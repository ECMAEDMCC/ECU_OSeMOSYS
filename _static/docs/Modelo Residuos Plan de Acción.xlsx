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trabajo\planmicc\modelado\datos\trabajado\residuos modelo\"/>
    </mc:Choice>
  </mc:AlternateContent>
  <xr:revisionPtr revIDLastSave="0" documentId="13_ncr:1_{E56D7750-20BF-44DE-9427-28C1AD281AF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ME" sheetId="1" r:id="rId1"/>
    <sheet name="ProduccionResiduosSolidos" sheetId="10" r:id="rId2"/>
    <sheet name="ParticipacionTechsSolidosBA (2)" sheetId="21" state="hidden" r:id="rId3"/>
    <sheet name="ParticipacionTechsSolidosTN (" sheetId="28" r:id="rId4"/>
    <sheet name="ParticipacionTechsSolidosPA" sheetId="22" r:id="rId5"/>
    <sheet name="ParticipacionTechsSolidosBAU" sheetId="12" state="hidden" r:id="rId6"/>
    <sheet name="Iniciativas_Lanfill" sheetId="29" r:id="rId7"/>
    <sheet name="Ini_compost_Reduc" sheetId="30" r:id="rId8"/>
    <sheet name="Iniciativas_residuos" sheetId="31" r:id="rId9"/>
    <sheet name="RecuperacionMetanoRellenos" sheetId="25" r:id="rId10"/>
    <sheet name="ProduccionAguasResiduales" sheetId="11" r:id="rId11"/>
    <sheet name="ParticipacionTechsAguasTN" sheetId="23" r:id="rId12"/>
    <sheet name="ParticipacionTechsAguasBAU" sheetId="18" state="hidden" r:id="rId13"/>
    <sheet name="ParticipacionTechsAguas" sheetId="5" state="hidden" r:id="rId14"/>
    <sheet name="ParticipacionTechsAguasPA" sheetId="26" r:id="rId15"/>
    <sheet name="proyectos agua" sheetId="27" r:id="rId16"/>
    <sheet name="AguasRes.Ind" sheetId="20" r:id="rId17"/>
    <sheet name="EmisionesFactorEmision" sheetId="19" r:id="rId18"/>
    <sheet name="CAPEX" sheetId="13" r:id="rId19"/>
    <sheet name="OPEXvariable" sheetId="14" r:id="rId20"/>
    <sheet name="Externalidades" sheetId="17" r:id="rId21"/>
  </sheets>
  <externalReferences>
    <externalReference r:id="rId22"/>
  </externalReferences>
  <definedNames>
    <definedName name="_xlnm._FilterDatabase" localSheetId="8" hidden="1">Iniciativas_residuos!$A$3:$O$16</definedName>
    <definedName name="_xlnm._FilterDatabase" localSheetId="15" hidden="1">'proyectos agua'!$A$5:$F$14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31" l="1"/>
  <c r="E15" i="31"/>
  <c r="E14" i="31"/>
  <c r="E13" i="31"/>
  <c r="E12" i="31"/>
  <c r="E11" i="31"/>
  <c r="E10" i="31"/>
  <c r="E9" i="31"/>
  <c r="D8" i="31"/>
  <c r="E8" i="31" s="1"/>
  <c r="E7" i="31"/>
  <c r="E6" i="31"/>
  <c r="E5" i="31"/>
  <c r="E4" i="31"/>
  <c r="AA25" i="30"/>
  <c r="AA27" i="30" s="1"/>
  <c r="AA29" i="30" s="1"/>
  <c r="AA31" i="30" s="1"/>
  <c r="AA33" i="30" s="1"/>
  <c r="AA34" i="30" s="1"/>
  <c r="AA36" i="30" s="1"/>
  <c r="G84" i="30"/>
  <c r="B71" i="30"/>
  <c r="G71" i="30" s="1"/>
  <c r="B61" i="30"/>
  <c r="B60" i="30"/>
  <c r="B57" i="30"/>
  <c r="B56" i="30"/>
  <c r="U50" i="30"/>
  <c r="U52" i="30" s="1"/>
  <c r="Q50" i="30"/>
  <c r="Q52" i="30" s="1"/>
  <c r="P50" i="30"/>
  <c r="P52" i="30" s="1"/>
  <c r="AK48" i="30"/>
  <c r="AK50" i="30" s="1"/>
  <c r="AK52" i="30" s="1"/>
  <c r="AI48" i="30"/>
  <c r="AI50" i="30" s="1"/>
  <c r="AI52" i="30" s="1"/>
  <c r="AH48" i="30"/>
  <c r="AH50" i="30" s="1"/>
  <c r="AH52" i="30" s="1"/>
  <c r="AG48" i="30"/>
  <c r="AG50" i="30" s="1"/>
  <c r="AG52" i="30" s="1"/>
  <c r="AF48" i="30"/>
  <c r="AF50" i="30" s="1"/>
  <c r="AF52" i="30" s="1"/>
  <c r="AE48" i="30"/>
  <c r="AE50" i="30" s="1"/>
  <c r="AE52" i="30" s="1"/>
  <c r="AD48" i="30"/>
  <c r="AD50" i="30" s="1"/>
  <c r="AD52" i="30" s="1"/>
  <c r="AC48" i="30"/>
  <c r="AC50" i="30" s="1"/>
  <c r="AC52" i="30" s="1"/>
  <c r="AB48" i="30"/>
  <c r="AB50" i="30" s="1"/>
  <c r="AB52" i="30" s="1"/>
  <c r="AA48" i="30"/>
  <c r="AA50" i="30" s="1"/>
  <c r="AA52" i="30" s="1"/>
  <c r="Z48" i="30"/>
  <c r="Z50" i="30" s="1"/>
  <c r="Z52" i="30" s="1"/>
  <c r="Y48" i="30"/>
  <c r="Y50" i="30" s="1"/>
  <c r="Y52" i="30" s="1"/>
  <c r="X48" i="30"/>
  <c r="X50" i="30" s="1"/>
  <c r="X52" i="30" s="1"/>
  <c r="W48" i="30"/>
  <c r="W50" i="30" s="1"/>
  <c r="W52" i="30" s="1"/>
  <c r="V48" i="30"/>
  <c r="V50" i="30" s="1"/>
  <c r="V52" i="30" s="1"/>
  <c r="U48" i="30"/>
  <c r="T48" i="30"/>
  <c r="T50" i="30" s="1"/>
  <c r="T52" i="30" s="1"/>
  <c r="S48" i="30"/>
  <c r="S50" i="30" s="1"/>
  <c r="S52" i="30" s="1"/>
  <c r="R48" i="30"/>
  <c r="R50" i="30" s="1"/>
  <c r="R52" i="30" s="1"/>
  <c r="Q48" i="30"/>
  <c r="P48" i="30"/>
  <c r="O48" i="30"/>
  <c r="O50" i="30" s="1"/>
  <c r="O52" i="30" s="1"/>
  <c r="N48" i="30"/>
  <c r="N50" i="30" s="1"/>
  <c r="N52" i="30" s="1"/>
  <c r="M48" i="30"/>
  <c r="M50" i="30" s="1"/>
  <c r="M52" i="30" s="1"/>
  <c r="L48" i="30"/>
  <c r="L50" i="30" s="1"/>
  <c r="L52" i="30" s="1"/>
  <c r="K48" i="30"/>
  <c r="K50" i="30" s="1"/>
  <c r="K52" i="30" s="1"/>
  <c r="Y25" i="30"/>
  <c r="Y27" i="30" s="1"/>
  <c r="Y29" i="30" s="1"/>
  <c r="Y31" i="30" s="1"/>
  <c r="Y33" i="30" s="1"/>
  <c r="Y34" i="30" s="1"/>
  <c r="Y36" i="30" s="1"/>
  <c r="X25" i="30"/>
  <c r="X27" i="30" s="1"/>
  <c r="X29" i="30" s="1"/>
  <c r="X31" i="30" s="1"/>
  <c r="X33" i="30" s="1"/>
  <c r="X34" i="30" s="1"/>
  <c r="X36" i="30" s="1"/>
  <c r="W25" i="30"/>
  <c r="W27" i="30" s="1"/>
  <c r="W29" i="30" s="1"/>
  <c r="W31" i="30" s="1"/>
  <c r="W33" i="30" s="1"/>
  <c r="W34" i="30" s="1"/>
  <c r="W36" i="30" s="1"/>
  <c r="V25" i="30"/>
  <c r="V27" i="30" s="1"/>
  <c r="V29" i="30" s="1"/>
  <c r="V31" i="30" s="1"/>
  <c r="V33" i="30" s="1"/>
  <c r="V34" i="30" s="1"/>
  <c r="V36" i="30" s="1"/>
  <c r="U25" i="30"/>
  <c r="U27" i="30" s="1"/>
  <c r="U29" i="30" s="1"/>
  <c r="U31" i="30" s="1"/>
  <c r="U33" i="30" s="1"/>
  <c r="U34" i="30" s="1"/>
  <c r="U36" i="30" s="1"/>
  <c r="T25" i="30"/>
  <c r="T27" i="30" s="1"/>
  <c r="T29" i="30" s="1"/>
  <c r="T31" i="30" s="1"/>
  <c r="T33" i="30" s="1"/>
  <c r="T34" i="30" s="1"/>
  <c r="T36" i="30" s="1"/>
  <c r="S25" i="30"/>
  <c r="S27" i="30" s="1"/>
  <c r="S29" i="30" s="1"/>
  <c r="S31" i="30" s="1"/>
  <c r="S33" i="30" s="1"/>
  <c r="S34" i="30" s="1"/>
  <c r="S36" i="30" s="1"/>
  <c r="R25" i="30"/>
  <c r="R27" i="30" s="1"/>
  <c r="R29" i="30" s="1"/>
  <c r="R31" i="30" s="1"/>
  <c r="R33" i="30" s="1"/>
  <c r="R34" i="30" s="1"/>
  <c r="R36" i="30" s="1"/>
  <c r="Q25" i="30"/>
  <c r="Q27" i="30" s="1"/>
  <c r="Q29" i="30" s="1"/>
  <c r="Q31" i="30" s="1"/>
  <c r="Q33" i="30" s="1"/>
  <c r="Q34" i="30" s="1"/>
  <c r="Q36" i="30" s="1"/>
  <c r="P25" i="30"/>
  <c r="P27" i="30" s="1"/>
  <c r="P29" i="30" s="1"/>
  <c r="P31" i="30" s="1"/>
  <c r="P33" i="30" s="1"/>
  <c r="P34" i="30" s="1"/>
  <c r="P36" i="30" s="1"/>
  <c r="O25" i="30"/>
  <c r="O27" i="30" s="1"/>
  <c r="O29" i="30" s="1"/>
  <c r="O31" i="30" s="1"/>
  <c r="O33" i="30" s="1"/>
  <c r="O34" i="30" s="1"/>
  <c r="O36" i="30" s="1"/>
  <c r="N25" i="30"/>
  <c r="N27" i="30" s="1"/>
  <c r="N29" i="30" s="1"/>
  <c r="N31" i="30" s="1"/>
  <c r="N33" i="30" s="1"/>
  <c r="N34" i="30" s="1"/>
  <c r="N36" i="30" s="1"/>
  <c r="M25" i="30"/>
  <c r="M27" i="30" s="1"/>
  <c r="M29" i="30" s="1"/>
  <c r="M31" i="30" s="1"/>
  <c r="M33" i="30" s="1"/>
  <c r="M34" i="30" s="1"/>
  <c r="M36" i="30" s="1"/>
  <c r="L25" i="30"/>
  <c r="L27" i="30" s="1"/>
  <c r="L29" i="30" s="1"/>
  <c r="L31" i="30" s="1"/>
  <c r="L33" i="30" s="1"/>
  <c r="L34" i="30" s="1"/>
  <c r="L36" i="30" s="1"/>
  <c r="K25" i="30"/>
  <c r="K27" i="30" s="1"/>
  <c r="K29" i="30" s="1"/>
  <c r="K31" i="30" s="1"/>
  <c r="K33" i="30" s="1"/>
  <c r="K34" i="30" s="1"/>
  <c r="K36" i="30" s="1"/>
  <c r="AJ25" i="30"/>
  <c r="AJ27" i="30" s="1"/>
  <c r="AJ29" i="30" s="1"/>
  <c r="AJ31" i="30" s="1"/>
  <c r="AJ33" i="30" s="1"/>
  <c r="AJ34" i="30" s="1"/>
  <c r="AJ36" i="30" s="1"/>
  <c r="AI25" i="30"/>
  <c r="AI27" i="30" s="1"/>
  <c r="AI29" i="30" s="1"/>
  <c r="AI31" i="30" s="1"/>
  <c r="AI33" i="30" s="1"/>
  <c r="AI34" i="30" s="1"/>
  <c r="AI36" i="30" s="1"/>
  <c r="AH25" i="30"/>
  <c r="AH27" i="30" s="1"/>
  <c r="AH29" i="30" s="1"/>
  <c r="AH31" i="30" s="1"/>
  <c r="AH33" i="30" s="1"/>
  <c r="AH34" i="30" s="1"/>
  <c r="AH36" i="30" s="1"/>
  <c r="AG25" i="30"/>
  <c r="AG27" i="30" s="1"/>
  <c r="AG29" i="30" s="1"/>
  <c r="AG31" i="30" s="1"/>
  <c r="AG33" i="30" s="1"/>
  <c r="AG34" i="30" s="1"/>
  <c r="AG36" i="30" s="1"/>
  <c r="AF25" i="30"/>
  <c r="AF27" i="30" s="1"/>
  <c r="AF29" i="30" s="1"/>
  <c r="AF31" i="30" s="1"/>
  <c r="AF33" i="30" s="1"/>
  <c r="AF34" i="30" s="1"/>
  <c r="AF36" i="30" s="1"/>
  <c r="AE25" i="30"/>
  <c r="AE27" i="30" s="1"/>
  <c r="AE29" i="30" s="1"/>
  <c r="AE31" i="30" s="1"/>
  <c r="AE33" i="30" s="1"/>
  <c r="AE34" i="30" s="1"/>
  <c r="AE36" i="30" s="1"/>
  <c r="AD25" i="30"/>
  <c r="AD27" i="30" s="1"/>
  <c r="AD29" i="30" s="1"/>
  <c r="AD31" i="30" s="1"/>
  <c r="AD33" i="30" s="1"/>
  <c r="AD34" i="30" s="1"/>
  <c r="AD36" i="30" s="1"/>
  <c r="AC25" i="30"/>
  <c r="AC27" i="30" s="1"/>
  <c r="AC29" i="30" s="1"/>
  <c r="AC31" i="30" s="1"/>
  <c r="AC33" i="30" s="1"/>
  <c r="AC34" i="30" s="1"/>
  <c r="AC36" i="30" s="1"/>
  <c r="AB25" i="30"/>
  <c r="AB27" i="30" s="1"/>
  <c r="AB29" i="30" s="1"/>
  <c r="AB31" i="30" s="1"/>
  <c r="AB33" i="30" s="1"/>
  <c r="AB34" i="30" s="1"/>
  <c r="AB36" i="30" s="1"/>
  <c r="Z23" i="30"/>
  <c r="Z25" i="30" s="1"/>
  <c r="Z27" i="30" s="1"/>
  <c r="Z29" i="30" s="1"/>
  <c r="Z31" i="30" s="1"/>
  <c r="Z33" i="30" s="1"/>
  <c r="Z34" i="30" s="1"/>
  <c r="Z36" i="30" s="1"/>
  <c r="D13" i="30"/>
  <c r="C13" i="30"/>
  <c r="B13" i="30"/>
  <c r="A13" i="30"/>
  <c r="B11" i="30"/>
  <c r="Z5" i="30"/>
  <c r="Z6" i="30" s="1"/>
  <c r="Z7" i="30" s="1"/>
  <c r="Z8" i="30" s="1"/>
  <c r="Y5" i="30"/>
  <c r="Y6" i="30" s="1"/>
  <c r="Y7" i="30" s="1"/>
  <c r="Y8" i="30" s="1"/>
  <c r="X5" i="30"/>
  <c r="X6" i="30" s="1"/>
  <c r="X7" i="30" s="1"/>
  <c r="X8" i="30" s="1"/>
  <c r="W5" i="30"/>
  <c r="W6" i="30" s="1"/>
  <c r="W7" i="30" s="1"/>
  <c r="W8" i="30" s="1"/>
  <c r="V5" i="30"/>
  <c r="V6" i="30" s="1"/>
  <c r="V7" i="30" s="1"/>
  <c r="V8" i="30" s="1"/>
  <c r="U5" i="30"/>
  <c r="U6" i="30" s="1"/>
  <c r="U7" i="30" s="1"/>
  <c r="U8" i="30" s="1"/>
  <c r="T5" i="30"/>
  <c r="T6" i="30" s="1"/>
  <c r="T7" i="30" s="1"/>
  <c r="T8" i="30" s="1"/>
  <c r="S5" i="30"/>
  <c r="S6" i="30" s="1"/>
  <c r="S7" i="30" s="1"/>
  <c r="S8" i="30" s="1"/>
  <c r="R5" i="30"/>
  <c r="R6" i="30" s="1"/>
  <c r="R7" i="30" s="1"/>
  <c r="R8" i="30" s="1"/>
  <c r="Q5" i="30"/>
  <c r="Q6" i="30" s="1"/>
  <c r="Q7" i="30" s="1"/>
  <c r="Q8" i="30" s="1"/>
  <c r="P5" i="30"/>
  <c r="P6" i="30" s="1"/>
  <c r="P7" i="30" s="1"/>
  <c r="P8" i="30" s="1"/>
  <c r="O5" i="30"/>
  <c r="O6" i="30" s="1"/>
  <c r="O7" i="30" s="1"/>
  <c r="O8" i="30" s="1"/>
  <c r="N5" i="30"/>
  <c r="N6" i="30" s="1"/>
  <c r="N7" i="30" s="1"/>
  <c r="N8" i="30" s="1"/>
  <c r="M5" i="30"/>
  <c r="M6" i="30" s="1"/>
  <c r="M7" i="30" s="1"/>
  <c r="M8" i="30" s="1"/>
  <c r="L5" i="30"/>
  <c r="L6" i="30" s="1"/>
  <c r="L7" i="30" s="1"/>
  <c r="L8" i="30" s="1"/>
  <c r="K5" i="30"/>
  <c r="K6" i="30" s="1"/>
  <c r="K7" i="30" s="1"/>
  <c r="K8" i="30" s="1"/>
  <c r="AA4" i="30"/>
  <c r="AB4" i="30" s="1"/>
  <c r="AC4" i="30" s="1"/>
  <c r="AD4" i="30" s="1"/>
  <c r="AE4" i="30" s="1"/>
  <c r="AF4" i="30" s="1"/>
  <c r="AG4" i="30" s="1"/>
  <c r="AH4" i="30" s="1"/>
  <c r="AI4" i="30" s="1"/>
  <c r="AJ4" i="30" s="1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S22" i="28"/>
  <c r="T22" i="28"/>
  <c r="U22" i="28"/>
  <c r="V22" i="28"/>
  <c r="W22" i="28"/>
  <c r="X22" i="28"/>
  <c r="Y22" i="28"/>
  <c r="Z22" i="28"/>
  <c r="AA22" i="28"/>
  <c r="AB22" i="28"/>
  <c r="AC22" i="28"/>
  <c r="AD22" i="28"/>
  <c r="E22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E9" i="28"/>
  <c r="B58" i="30" l="1"/>
  <c r="E14" i="30"/>
  <c r="B79" i="30"/>
  <c r="B82" i="30" s="1"/>
  <c r="B83" i="30" s="1"/>
  <c r="B78" i="30"/>
  <c r="B80" i="30" s="1"/>
  <c r="B81" i="30" s="1"/>
  <c r="AA5" i="30"/>
  <c r="AA6" i="30" l="1"/>
  <c r="AA7" i="30" s="1"/>
  <c r="AA8" i="30" s="1"/>
  <c r="AB5" i="30"/>
  <c r="AC5" i="30" l="1"/>
  <c r="AB6" i="30"/>
  <c r="AB7" i="30" s="1"/>
  <c r="AB8" i="30" s="1"/>
  <c r="AC6" i="30" l="1"/>
  <c r="AC7" i="30" s="1"/>
  <c r="AC8" i="30" s="1"/>
  <c r="AD5" i="30"/>
  <c r="AD6" i="30" l="1"/>
  <c r="AD7" i="30" s="1"/>
  <c r="AD8" i="30" s="1"/>
  <c r="AE5" i="30"/>
  <c r="AE6" i="30" l="1"/>
  <c r="AE7" i="30" s="1"/>
  <c r="AE8" i="30" s="1"/>
  <c r="AF5" i="30"/>
  <c r="AF6" i="30" l="1"/>
  <c r="AF7" i="30" s="1"/>
  <c r="AF8" i="30" s="1"/>
  <c r="AG5" i="30"/>
  <c r="AG6" i="30" l="1"/>
  <c r="AG7" i="30" s="1"/>
  <c r="AG8" i="30" s="1"/>
  <c r="AH5" i="30"/>
  <c r="AH6" i="30" l="1"/>
  <c r="AH7" i="30" s="1"/>
  <c r="AH8" i="30" s="1"/>
  <c r="AI5" i="30"/>
  <c r="AI6" i="30" l="1"/>
  <c r="AI7" i="30" s="1"/>
  <c r="AI8" i="30" s="1"/>
  <c r="AJ5" i="30"/>
  <c r="AJ6" i="30" s="1"/>
  <c r="AJ7" i="30" s="1"/>
  <c r="AJ8" i="30" s="1"/>
  <c r="E11" i="25" l="1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D11" i="25"/>
  <c r="AC10" i="25"/>
  <c r="AB10" i="25"/>
  <c r="AA10" i="25"/>
  <c r="Z10" i="25"/>
  <c r="Y10" i="25"/>
  <c r="X10" i="25"/>
  <c r="W10" i="25"/>
  <c r="V10" i="25"/>
  <c r="U10" i="25"/>
  <c r="T10" i="25"/>
  <c r="S10" i="25"/>
  <c r="AC9" i="25"/>
  <c r="AB9" i="25"/>
  <c r="AA9" i="25"/>
  <c r="Z9" i="25"/>
  <c r="Y9" i="25"/>
  <c r="X9" i="25"/>
  <c r="W9" i="25"/>
  <c r="V9" i="25"/>
  <c r="U9" i="25"/>
  <c r="T9" i="25"/>
  <c r="S9" i="25"/>
  <c r="AC8" i="25"/>
  <c r="AB8" i="25"/>
  <c r="AA8" i="25"/>
  <c r="Z8" i="25"/>
  <c r="Y8" i="25"/>
  <c r="X8" i="25"/>
  <c r="W8" i="25"/>
  <c r="W11" i="25" s="1"/>
  <c r="V8" i="25"/>
  <c r="U8" i="25"/>
  <c r="T8" i="25"/>
  <c r="S8" i="25"/>
  <c r="AC6" i="25"/>
  <c r="AC11" i="25" s="1"/>
  <c r="AB6" i="25"/>
  <c r="AB11" i="25" s="1"/>
  <c r="AA6" i="25"/>
  <c r="AA11" i="25" s="1"/>
  <c r="Z6" i="25"/>
  <c r="Z11" i="25" s="1"/>
  <c r="Y6" i="25"/>
  <c r="Y11" i="25" s="1"/>
  <c r="X6" i="25"/>
  <c r="X11" i="25" s="1"/>
  <c r="W6" i="25"/>
  <c r="V6" i="25"/>
  <c r="V11" i="25" s="1"/>
  <c r="U6" i="25"/>
  <c r="U11" i="25" s="1"/>
  <c r="T6" i="25"/>
  <c r="T11" i="25" s="1"/>
  <c r="S6" i="25"/>
  <c r="S11" i="25" s="1"/>
  <c r="P25" i="22"/>
  <c r="P27" i="22" s="1"/>
  <c r="H25" i="22"/>
  <c r="H27" i="22" s="1"/>
  <c r="AD24" i="22"/>
  <c r="AD25" i="22" s="1"/>
  <c r="AD27" i="22" s="1"/>
  <c r="AC24" i="22"/>
  <c r="AB24" i="22"/>
  <c r="AA24" i="22"/>
  <c r="Z24" i="22"/>
  <c r="Z30" i="22" s="1"/>
  <c r="Y24" i="22"/>
  <c r="Y30" i="22" s="1"/>
  <c r="X24" i="22"/>
  <c r="X25" i="22" s="1"/>
  <c r="W24" i="22"/>
  <c r="W25" i="22" s="1"/>
  <c r="V24" i="22"/>
  <c r="V25" i="22" s="1"/>
  <c r="U24" i="22"/>
  <c r="T24" i="22"/>
  <c r="S24" i="22"/>
  <c r="R24" i="22"/>
  <c r="R30" i="22" s="1"/>
  <c r="Q24" i="22"/>
  <c r="Q30" i="22" s="1"/>
  <c r="P24" i="22"/>
  <c r="O24" i="22"/>
  <c r="N24" i="22"/>
  <c r="M24" i="22"/>
  <c r="L24" i="22"/>
  <c r="L30" i="22" s="1"/>
  <c r="L36" i="22" s="1"/>
  <c r="K24" i="22"/>
  <c r="J24" i="22"/>
  <c r="J30" i="22" s="1"/>
  <c r="I24" i="22"/>
  <c r="I30" i="22" s="1"/>
  <c r="H24" i="22"/>
  <c r="G24" i="22"/>
  <c r="G25" i="22" s="1"/>
  <c r="F24" i="22"/>
  <c r="F25" i="22" s="1"/>
  <c r="E24" i="22"/>
  <c r="AD23" i="22"/>
  <c r="AD29" i="22" s="1"/>
  <c r="AC23" i="22"/>
  <c r="AB23" i="22"/>
  <c r="AB29" i="22" s="1"/>
  <c r="AB31" i="22" s="1"/>
  <c r="AA23" i="22"/>
  <c r="Z23" i="22"/>
  <c r="Y23" i="22"/>
  <c r="X23" i="22"/>
  <c r="W23" i="22"/>
  <c r="V23" i="22"/>
  <c r="U23" i="22"/>
  <c r="T23" i="22"/>
  <c r="T29" i="22" s="1"/>
  <c r="S23" i="22"/>
  <c r="S29" i="22" s="1"/>
  <c r="R23" i="22"/>
  <c r="Q23" i="22"/>
  <c r="P23" i="22"/>
  <c r="O23" i="22"/>
  <c r="O25" i="22" s="1"/>
  <c r="N23" i="22"/>
  <c r="N25" i="22" s="1"/>
  <c r="M23" i="22"/>
  <c r="M29" i="22" s="1"/>
  <c r="L23" i="22"/>
  <c r="L29" i="22" s="1"/>
  <c r="K23" i="22"/>
  <c r="J23" i="22"/>
  <c r="J29" i="22" s="1"/>
  <c r="I23" i="22"/>
  <c r="H23" i="22"/>
  <c r="G23" i="22"/>
  <c r="G29" i="22" s="1"/>
  <c r="F23" i="22"/>
  <c r="E23" i="22"/>
  <c r="E29" i="22" s="1"/>
  <c r="F29" i="22"/>
  <c r="H29" i="22"/>
  <c r="I29" i="22"/>
  <c r="O29" i="22"/>
  <c r="P29" i="22"/>
  <c r="Q29" i="22"/>
  <c r="R29" i="22"/>
  <c r="W29" i="22"/>
  <c r="X29" i="22"/>
  <c r="Y29" i="22"/>
  <c r="Z29" i="22"/>
  <c r="E30" i="22"/>
  <c r="F30" i="22"/>
  <c r="F36" i="22" s="1"/>
  <c r="G30" i="22"/>
  <c r="G36" i="22" s="1"/>
  <c r="H30" i="22"/>
  <c r="M30" i="22"/>
  <c r="N30" i="22"/>
  <c r="N36" i="22" s="1"/>
  <c r="O30" i="22"/>
  <c r="O36" i="22" s="1"/>
  <c r="P30" i="22"/>
  <c r="P31" i="22" s="1"/>
  <c r="T30" i="22"/>
  <c r="T36" i="22" s="1"/>
  <c r="U30" i="22"/>
  <c r="U36" i="22" s="1"/>
  <c r="V30" i="22"/>
  <c r="V36" i="22" s="1"/>
  <c r="W30" i="22"/>
  <c r="W36" i="22" s="1"/>
  <c r="X30" i="22"/>
  <c r="X36" i="22" s="1"/>
  <c r="AB30" i="22"/>
  <c r="AB36" i="22" s="1"/>
  <c r="AC30" i="22"/>
  <c r="AC36" i="22" s="1"/>
  <c r="AD30" i="22"/>
  <c r="AD36" i="22" s="1"/>
  <c r="E36" i="22"/>
  <c r="H36" i="22"/>
  <c r="AA6" i="29"/>
  <c r="AA8" i="29" s="1"/>
  <c r="AA10" i="29" s="1"/>
  <c r="AA11" i="29" s="1"/>
  <c r="Z6" i="29"/>
  <c r="Z8" i="29" s="1"/>
  <c r="Z10" i="29" s="1"/>
  <c r="Z11" i="29" s="1"/>
  <c r="Y6" i="29"/>
  <c r="Y8" i="29" s="1"/>
  <c r="Y10" i="29" s="1"/>
  <c r="Y11" i="29" s="1"/>
  <c r="X6" i="29"/>
  <c r="X8" i="29" s="1"/>
  <c r="X10" i="29" s="1"/>
  <c r="X11" i="29" s="1"/>
  <c r="W6" i="29"/>
  <c r="W8" i="29" s="1"/>
  <c r="W10" i="29" s="1"/>
  <c r="W11" i="29" s="1"/>
  <c r="V6" i="29"/>
  <c r="V8" i="29" s="1"/>
  <c r="V10" i="29" s="1"/>
  <c r="V11" i="29" s="1"/>
  <c r="U6" i="29"/>
  <c r="U8" i="29" s="1"/>
  <c r="U10" i="29" s="1"/>
  <c r="U11" i="29" s="1"/>
  <c r="T6" i="29"/>
  <c r="T8" i="29" s="1"/>
  <c r="T10" i="29" s="1"/>
  <c r="T11" i="29" s="1"/>
  <c r="S6" i="29"/>
  <c r="S8" i="29" s="1"/>
  <c r="S10" i="29" s="1"/>
  <c r="S11" i="29" s="1"/>
  <c r="R6" i="29"/>
  <c r="R8" i="29" s="1"/>
  <c r="R10" i="29" s="1"/>
  <c r="R11" i="29" s="1"/>
  <c r="Q6" i="29"/>
  <c r="Q8" i="29" s="1"/>
  <c r="Q10" i="29" s="1"/>
  <c r="Q11" i="29" s="1"/>
  <c r="P6" i="29"/>
  <c r="P8" i="29" s="1"/>
  <c r="P10" i="29" s="1"/>
  <c r="P11" i="29" s="1"/>
  <c r="O6" i="29"/>
  <c r="O8" i="29" s="1"/>
  <c r="O10" i="29" s="1"/>
  <c r="O11" i="29" s="1"/>
  <c r="N6" i="29"/>
  <c r="N8" i="29" s="1"/>
  <c r="N10" i="29" s="1"/>
  <c r="N11" i="29" s="1"/>
  <c r="M6" i="29"/>
  <c r="M8" i="29" s="1"/>
  <c r="M10" i="29" s="1"/>
  <c r="M11" i="29" s="1"/>
  <c r="AE5" i="29"/>
  <c r="AD5" i="29"/>
  <c r="AC5" i="29"/>
  <c r="AB5" i="29"/>
  <c r="AI6" i="29"/>
  <c r="AI8" i="29" s="1"/>
  <c r="AI10" i="29" s="1"/>
  <c r="AI11" i="29" s="1"/>
  <c r="AD77" i="28"/>
  <c r="AD63" i="28" s="1"/>
  <c r="AC77" i="28"/>
  <c r="AB77" i="28"/>
  <c r="AB52" i="28" s="1"/>
  <c r="AA77" i="28"/>
  <c r="AA69" i="28" s="1"/>
  <c r="Z77" i="28"/>
  <c r="Z63" i="28" s="1"/>
  <c r="Y77" i="28"/>
  <c r="X77" i="28"/>
  <c r="W77" i="28"/>
  <c r="W69" i="28" s="1"/>
  <c r="V77" i="28"/>
  <c r="V57" i="28" s="1"/>
  <c r="U77" i="28"/>
  <c r="T77" i="28"/>
  <c r="T63" i="28" s="1"/>
  <c r="S77" i="28"/>
  <c r="S54" i="28" s="1"/>
  <c r="R77" i="28"/>
  <c r="R63" i="28" s="1"/>
  <c r="Q77" i="28"/>
  <c r="P77" i="28"/>
  <c r="O77" i="28"/>
  <c r="O69" i="28" s="1"/>
  <c r="N77" i="28"/>
  <c r="N69" i="28" s="1"/>
  <c r="M77" i="28"/>
  <c r="M69" i="28" s="1"/>
  <c r="L77" i="28"/>
  <c r="L56" i="28" s="1"/>
  <c r="K77" i="28"/>
  <c r="K56" i="28" s="1"/>
  <c r="J77" i="28"/>
  <c r="J63" i="28" s="1"/>
  <c r="I77" i="28"/>
  <c r="H77" i="28"/>
  <c r="G77" i="28"/>
  <c r="G69" i="28" s="1"/>
  <c r="F77" i="28"/>
  <c r="F54" i="28" s="1"/>
  <c r="E77" i="28"/>
  <c r="AC69" i="28"/>
  <c r="AB69" i="28"/>
  <c r="Y69" i="28"/>
  <c r="X69" i="28"/>
  <c r="U69" i="28"/>
  <c r="Q69" i="28"/>
  <c r="P69" i="28"/>
  <c r="I69" i="28"/>
  <c r="H69" i="28"/>
  <c r="F69" i="28"/>
  <c r="E69" i="28"/>
  <c r="AC63" i="28"/>
  <c r="Y63" i="28"/>
  <c r="X63" i="28"/>
  <c r="V63" i="28"/>
  <c r="U63" i="28"/>
  <c r="Q63" i="28"/>
  <c r="P63" i="28"/>
  <c r="M63" i="28"/>
  <c r="L63" i="28"/>
  <c r="K63" i="28"/>
  <c r="I63" i="28"/>
  <c r="H63" i="28"/>
  <c r="E63" i="28"/>
  <c r="AB60" i="28"/>
  <c r="AB64" i="28" s="1"/>
  <c r="T60" i="28"/>
  <c r="AC57" i="28"/>
  <c r="AB57" i="28"/>
  <c r="Y57" i="28"/>
  <c r="X57" i="28"/>
  <c r="U57" i="28"/>
  <c r="Q57" i="28"/>
  <c r="P57" i="28"/>
  <c r="N57" i="28"/>
  <c r="M57" i="28"/>
  <c r="I57" i="28"/>
  <c r="H57" i="28"/>
  <c r="F57" i="28"/>
  <c r="E57" i="28"/>
  <c r="AC56" i="28"/>
  <c r="Y56" i="28"/>
  <c r="X56" i="28"/>
  <c r="V56" i="28"/>
  <c r="U56" i="28"/>
  <c r="Q56" i="28"/>
  <c r="P56" i="28"/>
  <c r="N56" i="28"/>
  <c r="M56" i="28"/>
  <c r="I56" i="28"/>
  <c r="H56" i="28"/>
  <c r="F56" i="28"/>
  <c r="E56" i="28"/>
  <c r="T55" i="28"/>
  <c r="AC54" i="28"/>
  <c r="Y54" i="28"/>
  <c r="X54" i="28"/>
  <c r="W54" i="28"/>
  <c r="U54" i="28"/>
  <c r="Q54" i="28"/>
  <c r="P54" i="28"/>
  <c r="O54" i="28"/>
  <c r="M54" i="28"/>
  <c r="I54" i="28"/>
  <c r="H54" i="28"/>
  <c r="G54" i="28"/>
  <c r="E54" i="28"/>
  <c r="AC53" i="28"/>
  <c r="Y53" i="28"/>
  <c r="X53" i="28"/>
  <c r="U53" i="28"/>
  <c r="Q53" i="28"/>
  <c r="P53" i="28"/>
  <c r="N53" i="28"/>
  <c r="M53" i="28"/>
  <c r="I53" i="28"/>
  <c r="H53" i="28"/>
  <c r="E53" i="28"/>
  <c r="AD52" i="28"/>
  <c r="AC52" i="28"/>
  <c r="Y52" i="28"/>
  <c r="X52" i="28"/>
  <c r="U52" i="28"/>
  <c r="T52" i="28"/>
  <c r="S52" i="28"/>
  <c r="Q52" i="28"/>
  <c r="P52" i="28"/>
  <c r="M52" i="28"/>
  <c r="I52" i="28"/>
  <c r="H52" i="28"/>
  <c r="E52" i="28"/>
  <c r="AC51" i="28"/>
  <c r="Y51" i="28"/>
  <c r="X51" i="28"/>
  <c r="W51" i="28"/>
  <c r="U51" i="28"/>
  <c r="Q51" i="28"/>
  <c r="P51" i="28"/>
  <c r="O51" i="28"/>
  <c r="M51" i="28"/>
  <c r="I51" i="28"/>
  <c r="H51" i="28"/>
  <c r="G51" i="28"/>
  <c r="E51" i="28"/>
  <c r="AC50" i="28"/>
  <c r="AB50" i="28"/>
  <c r="AA50" i="28"/>
  <c r="Y50" i="28"/>
  <c r="X50" i="28"/>
  <c r="W50" i="28"/>
  <c r="U50" i="28"/>
  <c r="T50" i="28"/>
  <c r="S50" i="28"/>
  <c r="Q50" i="28"/>
  <c r="P50" i="28"/>
  <c r="O50" i="28"/>
  <c r="M50" i="28"/>
  <c r="L50" i="28"/>
  <c r="K50" i="28"/>
  <c r="I50" i="28"/>
  <c r="H50" i="28"/>
  <c r="G50" i="28"/>
  <c r="E50" i="28"/>
  <c r="Y28" i="28"/>
  <c r="AB24" i="28"/>
  <c r="AB62" i="28" s="1"/>
  <c r="AD23" i="28"/>
  <c r="AD29" i="28" s="1"/>
  <c r="AC23" i="28"/>
  <c r="AC61" i="28" s="1"/>
  <c r="AB23" i="28"/>
  <c r="AB29" i="28" s="1"/>
  <c r="AA23" i="28"/>
  <c r="Z23" i="28"/>
  <c r="Z61" i="28" s="1"/>
  <c r="Y23" i="28"/>
  <c r="Y24" i="28" s="1"/>
  <c r="Y62" i="28" s="1"/>
  <c r="X23" i="28"/>
  <c r="X61" i="28" s="1"/>
  <c r="W23" i="28"/>
  <c r="V23" i="28"/>
  <c r="V29" i="28" s="1"/>
  <c r="U23" i="28"/>
  <c r="U61" i="28" s="1"/>
  <c r="T23" i="28"/>
  <c r="T29" i="28" s="1"/>
  <c r="S23" i="28"/>
  <c r="R23" i="28"/>
  <c r="R61" i="28" s="1"/>
  <c r="Q23" i="28"/>
  <c r="Q29" i="28" s="1"/>
  <c r="P23" i="28"/>
  <c r="P61" i="28" s="1"/>
  <c r="O23" i="28"/>
  <c r="N23" i="28"/>
  <c r="N29" i="28" s="1"/>
  <c r="M23" i="28"/>
  <c r="M61" i="28" s="1"/>
  <c r="L23" i="28"/>
  <c r="L29" i="28" s="1"/>
  <c r="K23" i="28"/>
  <c r="K24" i="28" s="1"/>
  <c r="K62" i="28" s="1"/>
  <c r="J23" i="28"/>
  <c r="I23" i="28"/>
  <c r="I29" i="28" s="1"/>
  <c r="H23" i="28"/>
  <c r="H61" i="28" s="1"/>
  <c r="G23" i="28"/>
  <c r="F23" i="28"/>
  <c r="E23" i="28"/>
  <c r="E61" i="28" s="1"/>
  <c r="AD28" i="28"/>
  <c r="AB28" i="28"/>
  <c r="AA28" i="28"/>
  <c r="Z60" i="28"/>
  <c r="Y60" i="28"/>
  <c r="X28" i="28"/>
  <c r="W28" i="28"/>
  <c r="V28" i="28"/>
  <c r="V36" i="28" s="1"/>
  <c r="V73" i="28" s="1"/>
  <c r="T28" i="28"/>
  <c r="S28" i="28"/>
  <c r="R60" i="28"/>
  <c r="Q60" i="28"/>
  <c r="P28" i="28"/>
  <c r="N28" i="28"/>
  <c r="N36" i="28" s="1"/>
  <c r="N73" i="28" s="1"/>
  <c r="L28" i="28"/>
  <c r="K28" i="28"/>
  <c r="J60" i="28"/>
  <c r="I60" i="28"/>
  <c r="H28" i="28"/>
  <c r="G28" i="28"/>
  <c r="F28" i="28"/>
  <c r="F36" i="28" s="1"/>
  <c r="F73" i="28" s="1"/>
  <c r="AD15" i="28"/>
  <c r="AD55" i="28" s="1"/>
  <c r="AC15" i="28"/>
  <c r="AC55" i="28" s="1"/>
  <c r="AB15" i="28"/>
  <c r="Y15" i="28"/>
  <c r="Y55" i="28" s="1"/>
  <c r="X15" i="28"/>
  <c r="V15" i="28"/>
  <c r="V55" i="28" s="1"/>
  <c r="U15" i="28"/>
  <c r="U55" i="28" s="1"/>
  <c r="T15" i="28"/>
  <c r="S15" i="28"/>
  <c r="S55" i="28" s="1"/>
  <c r="Q15" i="28"/>
  <c r="Q55" i="28" s="1"/>
  <c r="P15" i="28"/>
  <c r="M15" i="28"/>
  <c r="M55" i="28" s="1"/>
  <c r="L15" i="28"/>
  <c r="I15" i="28"/>
  <c r="I55" i="28" s="1"/>
  <c r="H15" i="28"/>
  <c r="F15" i="28"/>
  <c r="F55" i="28" s="1"/>
  <c r="E15" i="28"/>
  <c r="E55" i="28" s="1"/>
  <c r="Y49" i="28"/>
  <c r="Y58" i="28" s="1"/>
  <c r="E49" i="28"/>
  <c r="E58" i="28" s="1"/>
  <c r="D14" i="27"/>
  <c r="E13" i="27"/>
  <c r="E12" i="27"/>
  <c r="E11" i="27"/>
  <c r="E10" i="27"/>
  <c r="E9" i="27"/>
  <c r="E8" i="27"/>
  <c r="E7" i="27"/>
  <c r="E6" i="27"/>
  <c r="X12" i="26"/>
  <c r="X14" i="26" s="1"/>
  <c r="X15" i="26" s="1"/>
  <c r="W12" i="26"/>
  <c r="W14" i="26" s="1"/>
  <c r="W15" i="26" s="1"/>
  <c r="V12" i="26"/>
  <c r="V14" i="26" s="1"/>
  <c r="V15" i="26" s="1"/>
  <c r="U12" i="26"/>
  <c r="U14" i="26" s="1"/>
  <c r="U15" i="26" s="1"/>
  <c r="T12" i="26"/>
  <c r="T14" i="26" s="1"/>
  <c r="T15" i="26" s="1"/>
  <c r="S12" i="26"/>
  <c r="S14" i="26" s="1"/>
  <c r="S15" i="26" s="1"/>
  <c r="R12" i="26"/>
  <c r="R14" i="26" s="1"/>
  <c r="R15" i="26" s="1"/>
  <c r="Q12" i="26"/>
  <c r="Q14" i="26" s="1"/>
  <c r="Q15" i="26" s="1"/>
  <c r="P12" i="26"/>
  <c r="P14" i="26" s="1"/>
  <c r="P15" i="26" s="1"/>
  <c r="O12" i="26"/>
  <c r="O14" i="26" s="1"/>
  <c r="O15" i="26" s="1"/>
  <c r="N12" i="26"/>
  <c r="N14" i="26" s="1"/>
  <c r="N15" i="26" s="1"/>
  <c r="M12" i="26"/>
  <c r="M14" i="26" s="1"/>
  <c r="M15" i="26" s="1"/>
  <c r="L12" i="26"/>
  <c r="L14" i="26" s="1"/>
  <c r="L15" i="26" s="1"/>
  <c r="K12" i="26"/>
  <c r="K14" i="26" s="1"/>
  <c r="K15" i="26" s="1"/>
  <c r="J12" i="26"/>
  <c r="J14" i="26" s="1"/>
  <c r="J15" i="26" s="1"/>
  <c r="AI8" i="26"/>
  <c r="AI11" i="26" s="1"/>
  <c r="AI12" i="26" s="1"/>
  <c r="AI14" i="26" s="1"/>
  <c r="AI15" i="26" s="1"/>
  <c r="AH8" i="26"/>
  <c r="AH11" i="26" s="1"/>
  <c r="AH12" i="26" s="1"/>
  <c r="AH14" i="26" s="1"/>
  <c r="AH15" i="26" s="1"/>
  <c r="AG8" i="26"/>
  <c r="AG11" i="26" s="1"/>
  <c r="AG12" i="26" s="1"/>
  <c r="AG14" i="26" s="1"/>
  <c r="AG15" i="26" s="1"/>
  <c r="AF8" i="26"/>
  <c r="AF11" i="26" s="1"/>
  <c r="AF12" i="26" s="1"/>
  <c r="AF14" i="26" s="1"/>
  <c r="AF15" i="26" s="1"/>
  <c r="AE8" i="26"/>
  <c r="AE11" i="26" s="1"/>
  <c r="AE12" i="26" s="1"/>
  <c r="AE14" i="26" s="1"/>
  <c r="AE15" i="26" s="1"/>
  <c r="AD8" i="26"/>
  <c r="AD11" i="26" s="1"/>
  <c r="AD12" i="26" s="1"/>
  <c r="AD14" i="26" s="1"/>
  <c r="AD15" i="26" s="1"/>
  <c r="AC8" i="26"/>
  <c r="AC11" i="26" s="1"/>
  <c r="AC12" i="26" s="1"/>
  <c r="AC14" i="26" s="1"/>
  <c r="AC15" i="26" s="1"/>
  <c r="AB8" i="26"/>
  <c r="AB11" i="26" s="1"/>
  <c r="AB12" i="26" s="1"/>
  <c r="AB14" i="26" s="1"/>
  <c r="AB15" i="26" s="1"/>
  <c r="AA8" i="26"/>
  <c r="AA11" i="26" s="1"/>
  <c r="AA12" i="26" s="1"/>
  <c r="AA14" i="26" s="1"/>
  <c r="AA15" i="26" s="1"/>
  <c r="Z8" i="26"/>
  <c r="Z11" i="26" s="1"/>
  <c r="Z12" i="26" s="1"/>
  <c r="Z14" i="26" s="1"/>
  <c r="Z15" i="26" s="1"/>
  <c r="Y8" i="26"/>
  <c r="Y11" i="26" s="1"/>
  <c r="Y12" i="26" s="1"/>
  <c r="Y14" i="26" s="1"/>
  <c r="Y15" i="26" s="1"/>
  <c r="X8" i="26"/>
  <c r="W8" i="26"/>
  <c r="V8" i="26"/>
  <c r="U8" i="26"/>
  <c r="T8" i="26"/>
  <c r="S8" i="26"/>
  <c r="R8" i="26"/>
  <c r="Q8" i="26"/>
  <c r="P8" i="26"/>
  <c r="O8" i="26"/>
  <c r="N8" i="26"/>
  <c r="M8" i="26"/>
  <c r="L8" i="26"/>
  <c r="K8" i="26"/>
  <c r="J8" i="26"/>
  <c r="R64" i="28" l="1"/>
  <c r="Z64" i="28"/>
  <c r="Z51" i="28"/>
  <c r="K51" i="28"/>
  <c r="S51" i="28"/>
  <c r="AA51" i="28"/>
  <c r="K52" i="28"/>
  <c r="AA53" i="28"/>
  <c r="Z57" i="28"/>
  <c r="S69" i="28"/>
  <c r="AD69" i="28"/>
  <c r="K15" i="28"/>
  <c r="K55" i="28" s="1"/>
  <c r="S24" i="28"/>
  <c r="S62" i="28" s="1"/>
  <c r="AA24" i="28"/>
  <c r="AA62" i="28" s="1"/>
  <c r="F50" i="28"/>
  <c r="N50" i="28"/>
  <c r="V50" i="28"/>
  <c r="AD50" i="28"/>
  <c r="L51" i="28"/>
  <c r="T51" i="28"/>
  <c r="AB51" i="28"/>
  <c r="L52" i="28"/>
  <c r="V52" i="28"/>
  <c r="F53" i="28"/>
  <c r="AB53" i="28"/>
  <c r="J54" i="28"/>
  <c r="R54" i="28"/>
  <c r="Z54" i="28"/>
  <c r="Z56" i="28"/>
  <c r="R57" i="28"/>
  <c r="AA57" i="28"/>
  <c r="N63" i="28"/>
  <c r="T69" i="28"/>
  <c r="J51" i="28"/>
  <c r="F49" i="28"/>
  <c r="F58" i="28" s="1"/>
  <c r="T30" i="28"/>
  <c r="T68" i="28" s="1"/>
  <c r="AA54" i="28"/>
  <c r="R56" i="28"/>
  <c r="J57" i="28"/>
  <c r="AA63" i="28"/>
  <c r="F51" i="28"/>
  <c r="N51" i="28"/>
  <c r="V51" i="28"/>
  <c r="AD51" i="28"/>
  <c r="N52" i="28"/>
  <c r="T53" i="28"/>
  <c r="AD53" i="28"/>
  <c r="L54" i="28"/>
  <c r="T54" i="28"/>
  <c r="AB54" i="28"/>
  <c r="J56" i="28"/>
  <c r="S56" i="28"/>
  <c r="AB56" i="28"/>
  <c r="K57" i="28"/>
  <c r="T57" i="28"/>
  <c r="F63" i="28"/>
  <c r="AB63" i="28"/>
  <c r="L69" i="28"/>
  <c r="V69" i="28"/>
  <c r="S53" i="28"/>
  <c r="K54" i="28"/>
  <c r="S57" i="28"/>
  <c r="K69" i="28"/>
  <c r="AD49" i="28"/>
  <c r="AD58" i="28" s="1"/>
  <c r="N15" i="28"/>
  <c r="AA52" i="28"/>
  <c r="K53" i="28"/>
  <c r="T56" i="28"/>
  <c r="L57" i="28"/>
  <c r="AD57" i="28"/>
  <c r="S63" i="28"/>
  <c r="R51" i="28"/>
  <c r="AB30" i="28"/>
  <c r="AB68" i="28" s="1"/>
  <c r="AA56" i="28"/>
  <c r="AA15" i="28"/>
  <c r="AA55" i="28" s="1"/>
  <c r="J50" i="28"/>
  <c r="R50" i="28"/>
  <c r="Z50" i="28"/>
  <c r="F52" i="28"/>
  <c r="L53" i="28"/>
  <c r="V53" i="28"/>
  <c r="N54" i="28"/>
  <c r="V54" i="28"/>
  <c r="AD54" i="28"/>
  <c r="AD56" i="28"/>
  <c r="L60" i="28"/>
  <c r="L64" i="28" s="1"/>
  <c r="AC6" i="29"/>
  <c r="AC8" i="29" s="1"/>
  <c r="AC10" i="29" s="1"/>
  <c r="AC11" i="29" s="1"/>
  <c r="AK6" i="29"/>
  <c r="AK8" i="29" s="1"/>
  <c r="AK10" i="29" s="1"/>
  <c r="AK11" i="29" s="1"/>
  <c r="AD6" i="29"/>
  <c r="AD8" i="29" s="1"/>
  <c r="AD10" i="29" s="1"/>
  <c r="AD11" i="29" s="1"/>
  <c r="AL6" i="29"/>
  <c r="AL8" i="29" s="1"/>
  <c r="AL10" i="29" s="1"/>
  <c r="AL11" i="29" s="1"/>
  <c r="AG6" i="29"/>
  <c r="AG8" i="29" s="1"/>
  <c r="AG10" i="29" s="1"/>
  <c r="AG11" i="29" s="1"/>
  <c r="AF6" i="29"/>
  <c r="AF8" i="29" s="1"/>
  <c r="AF10" i="29" s="1"/>
  <c r="AF11" i="29" s="1"/>
  <c r="AB6" i="29"/>
  <c r="AB8" i="29" s="1"/>
  <c r="AB10" i="29" s="1"/>
  <c r="AB11" i="29" s="1"/>
  <c r="AJ6" i="29"/>
  <c r="AJ8" i="29" s="1"/>
  <c r="AJ10" i="29" s="1"/>
  <c r="AJ11" i="29" s="1"/>
  <c r="AE6" i="29"/>
  <c r="AE8" i="29" s="1"/>
  <c r="AE10" i="29" s="1"/>
  <c r="AE11" i="29" s="1"/>
  <c r="AH6" i="29"/>
  <c r="AH8" i="29" s="1"/>
  <c r="AH10" i="29" s="1"/>
  <c r="AH11" i="29" s="1"/>
  <c r="L31" i="22"/>
  <c r="T31" i="22"/>
  <c r="Z31" i="22"/>
  <c r="K25" i="22"/>
  <c r="K27" i="22" s="1"/>
  <c r="S25" i="22"/>
  <c r="S27" i="22" s="1"/>
  <c r="AA25" i="22"/>
  <c r="AA27" i="22" s="1"/>
  <c r="N27" i="22"/>
  <c r="AB25" i="22"/>
  <c r="M31" i="22"/>
  <c r="N29" i="22"/>
  <c r="N33" i="22" s="1"/>
  <c r="E25" i="22"/>
  <c r="E27" i="22" s="1"/>
  <c r="M25" i="22"/>
  <c r="M27" i="22" s="1"/>
  <c r="U25" i="22"/>
  <c r="AC25" i="22"/>
  <c r="Z33" i="22"/>
  <c r="V27" i="22"/>
  <c r="L25" i="22"/>
  <c r="L27" i="22" s="1"/>
  <c r="F27" i="22"/>
  <c r="T25" i="22"/>
  <c r="T27" i="22" s="1"/>
  <c r="V29" i="22"/>
  <c r="V33" i="22" s="1"/>
  <c r="X27" i="22"/>
  <c r="J31" i="22"/>
  <c r="J33" i="22" s="1"/>
  <c r="R31" i="22"/>
  <c r="R33" i="22" s="1"/>
  <c r="Y31" i="22"/>
  <c r="Y36" i="22"/>
  <c r="E31" i="22"/>
  <c r="E33" i="22" s="1"/>
  <c r="M33" i="22"/>
  <c r="U27" i="22"/>
  <c r="AC27" i="22"/>
  <c r="Q31" i="22"/>
  <c r="Q36" i="22"/>
  <c r="I31" i="22"/>
  <c r="I33" i="22" s="1"/>
  <c r="I36" i="22"/>
  <c r="G33" i="22"/>
  <c r="I25" i="22"/>
  <c r="P36" i="22"/>
  <c r="X31" i="22"/>
  <c r="X33" i="22" s="1"/>
  <c r="J25" i="22"/>
  <c r="R25" i="22"/>
  <c r="Z25" i="22"/>
  <c r="Y25" i="22"/>
  <c r="M36" i="22"/>
  <c r="U31" i="22"/>
  <c r="AA30" i="22"/>
  <c r="AA36" i="22" s="1"/>
  <c r="S30" i="22"/>
  <c r="S36" i="22" s="1"/>
  <c r="K30" i="22"/>
  <c r="K36" i="22" s="1"/>
  <c r="AC29" i="22"/>
  <c r="AC31" i="22" s="1"/>
  <c r="U29" i="22"/>
  <c r="Q33" i="22"/>
  <c r="P33" i="22"/>
  <c r="Q25" i="22"/>
  <c r="Q27" i="22" s="1"/>
  <c r="AA29" i="22"/>
  <c r="Y33" i="22"/>
  <c r="H31" i="22"/>
  <c r="H33" i="22" s="1"/>
  <c r="Y27" i="22"/>
  <c r="I27" i="22"/>
  <c r="W31" i="22"/>
  <c r="W33" i="22" s="1"/>
  <c r="O31" i="22"/>
  <c r="O33" i="22" s="1"/>
  <c r="G31" i="22"/>
  <c r="K29" i="22"/>
  <c r="W27" i="22"/>
  <c r="O27" i="22"/>
  <c r="G27" i="22"/>
  <c r="Z36" i="22"/>
  <c r="R36" i="22"/>
  <c r="J36" i="22"/>
  <c r="AB33" i="22"/>
  <c r="T33" i="22"/>
  <c r="L33" i="22"/>
  <c r="AD31" i="22"/>
  <c r="AD33" i="22" s="1"/>
  <c r="V31" i="22"/>
  <c r="N31" i="22"/>
  <c r="F31" i="22"/>
  <c r="F33" i="22" s="1"/>
  <c r="AB27" i="22"/>
  <c r="Z27" i="22"/>
  <c r="R27" i="22"/>
  <c r="J27" i="22"/>
  <c r="S49" i="28"/>
  <c r="S58" i="28" s="1"/>
  <c r="I24" i="28"/>
  <c r="I62" i="28" s="1"/>
  <c r="Q28" i="28"/>
  <c r="Q36" i="28" s="1"/>
  <c r="Q73" i="28" s="1"/>
  <c r="J53" i="28"/>
  <c r="R53" i="28"/>
  <c r="Z53" i="28"/>
  <c r="V60" i="28"/>
  <c r="AB61" i="28"/>
  <c r="J69" i="28"/>
  <c r="R69" i="28"/>
  <c r="Z69" i="28"/>
  <c r="I49" i="28"/>
  <c r="I58" i="28" s="1"/>
  <c r="U49" i="28"/>
  <c r="U58" i="28" s="1"/>
  <c r="L24" i="28"/>
  <c r="L62" i="28" s="1"/>
  <c r="G56" i="28"/>
  <c r="O56" i="28"/>
  <c r="W56" i="28"/>
  <c r="AD60" i="28"/>
  <c r="M49" i="28"/>
  <c r="M58" i="28" s="1"/>
  <c r="V49" i="28"/>
  <c r="V58" i="28" s="1"/>
  <c r="G15" i="28"/>
  <c r="G55" i="28" s="1"/>
  <c r="O15" i="28"/>
  <c r="W15" i="28"/>
  <c r="J24" i="28"/>
  <c r="J62" i="28" s="1"/>
  <c r="J64" i="28" s="1"/>
  <c r="R24" i="28"/>
  <c r="R62" i="28" s="1"/>
  <c r="Z24" i="28"/>
  <c r="Z62" i="28" s="1"/>
  <c r="Q24" i="28"/>
  <c r="Q62" i="28" s="1"/>
  <c r="G52" i="28"/>
  <c r="O52" i="28"/>
  <c r="W52" i="28"/>
  <c r="J61" i="28"/>
  <c r="G63" i="28"/>
  <c r="O63" i="28"/>
  <c r="W63" i="28"/>
  <c r="G57" i="28"/>
  <c r="O57" i="28"/>
  <c r="W57" i="28"/>
  <c r="F60" i="28"/>
  <c r="L61" i="28"/>
  <c r="T24" i="28"/>
  <c r="T62" i="28" s="1"/>
  <c r="T64" i="28" s="1"/>
  <c r="G53" i="28"/>
  <c r="O53" i="28"/>
  <c r="W53" i="28"/>
  <c r="Q49" i="28"/>
  <c r="Q58" i="28" s="1"/>
  <c r="J15" i="28"/>
  <c r="R15" i="28"/>
  <c r="Z15" i="28"/>
  <c r="J52" i="28"/>
  <c r="R52" i="28"/>
  <c r="Z52" i="28"/>
  <c r="N60" i="28"/>
  <c r="T61" i="28"/>
  <c r="H66" i="28"/>
  <c r="H36" i="28"/>
  <c r="H73" i="28" s="1"/>
  <c r="P66" i="28"/>
  <c r="P36" i="28"/>
  <c r="P73" i="28" s="1"/>
  <c r="X66" i="28"/>
  <c r="X36" i="28"/>
  <c r="X73" i="28" s="1"/>
  <c r="V67" i="28"/>
  <c r="V35" i="28"/>
  <c r="V30" i="28"/>
  <c r="AD67" i="28"/>
  <c r="AD35" i="28"/>
  <c r="AD30" i="28"/>
  <c r="L49" i="28"/>
  <c r="L58" i="28" s="1"/>
  <c r="L18" i="28"/>
  <c r="AB37" i="28"/>
  <c r="AB74" i="28" s="1"/>
  <c r="G66" i="28"/>
  <c r="G36" i="28"/>
  <c r="G73" i="28" s="1"/>
  <c r="W66" i="28"/>
  <c r="W36" i="28"/>
  <c r="W73" i="28" s="1"/>
  <c r="I67" i="28"/>
  <c r="I35" i="28"/>
  <c r="I18" i="28"/>
  <c r="Y18" i="28"/>
  <c r="M29" i="28"/>
  <c r="L55" i="28"/>
  <c r="AA36" i="28"/>
  <c r="AA73" i="28" s="1"/>
  <c r="AA66" i="28"/>
  <c r="Y26" i="28"/>
  <c r="T49" i="28"/>
  <c r="T58" i="28" s="1"/>
  <c r="T18" i="28"/>
  <c r="AB49" i="28"/>
  <c r="AB58" i="28" s="1"/>
  <c r="AB18" i="28"/>
  <c r="L36" i="28"/>
  <c r="L73" i="28" s="1"/>
  <c r="L66" i="28"/>
  <c r="T36" i="28"/>
  <c r="T73" i="28" s="1"/>
  <c r="T66" i="28"/>
  <c r="T32" i="28"/>
  <c r="AB36" i="28"/>
  <c r="AB73" i="28" s="1"/>
  <c r="AB66" i="28"/>
  <c r="AB32" i="28"/>
  <c r="AC24" i="28"/>
  <c r="AC62" i="28" s="1"/>
  <c r="U29" i="28"/>
  <c r="AB55" i="28"/>
  <c r="E28" i="28"/>
  <c r="E60" i="28"/>
  <c r="M28" i="28"/>
  <c r="M60" i="28"/>
  <c r="U28" i="28"/>
  <c r="U60" i="28"/>
  <c r="AC28" i="28"/>
  <c r="AC60" i="28"/>
  <c r="K29" i="28"/>
  <c r="K61" i="28"/>
  <c r="S29" i="28"/>
  <c r="S61" i="28"/>
  <c r="AA29" i="28"/>
  <c r="AA61" i="28"/>
  <c r="M24" i="28"/>
  <c r="M62" i="28" s="1"/>
  <c r="AA26" i="28"/>
  <c r="S36" i="28"/>
  <c r="S73" i="28" s="1"/>
  <c r="S66" i="28"/>
  <c r="F66" i="28"/>
  <c r="N66" i="28"/>
  <c r="V66" i="28"/>
  <c r="V32" i="28"/>
  <c r="AD66" i="28"/>
  <c r="L67" i="28"/>
  <c r="L35" i="28"/>
  <c r="T67" i="28"/>
  <c r="T35" i="28"/>
  <c r="AB67" i="28"/>
  <c r="AB35" i="28"/>
  <c r="Y36" i="28"/>
  <c r="Y73" i="28" s="1"/>
  <c r="Y66" i="28"/>
  <c r="AC29" i="28"/>
  <c r="AD36" i="28"/>
  <c r="AD73" i="28" s="1"/>
  <c r="E18" i="28"/>
  <c r="G60" i="28"/>
  <c r="O60" i="28"/>
  <c r="W60" i="28"/>
  <c r="K26" i="28"/>
  <c r="E29" i="28"/>
  <c r="K36" i="28"/>
  <c r="K73" i="28" s="1"/>
  <c r="K66" i="28"/>
  <c r="Q67" i="28"/>
  <c r="Q35" i="28"/>
  <c r="N67" i="28"/>
  <c r="N35" i="28"/>
  <c r="N30" i="28"/>
  <c r="N32" i="28" s="1"/>
  <c r="H55" i="28"/>
  <c r="P55" i="28"/>
  <c r="X55" i="28"/>
  <c r="F18" i="28"/>
  <c r="S18" i="28"/>
  <c r="H60" i="28"/>
  <c r="H24" i="28"/>
  <c r="H62" i="28" s="1"/>
  <c r="P60" i="28"/>
  <c r="P24" i="28"/>
  <c r="P62" i="28" s="1"/>
  <c r="X60" i="28"/>
  <c r="X24" i="28"/>
  <c r="X62" i="28" s="1"/>
  <c r="F61" i="28"/>
  <c r="F24" i="28"/>
  <c r="F62" i="28" s="1"/>
  <c r="N61" i="28"/>
  <c r="N24" i="28"/>
  <c r="N62" i="28" s="1"/>
  <c r="V61" i="28"/>
  <c r="V24" i="28"/>
  <c r="V62" i="28" s="1"/>
  <c r="V64" i="28" s="1"/>
  <c r="AD61" i="28"/>
  <c r="AD24" i="28"/>
  <c r="AD62" i="28" s="1"/>
  <c r="I28" i="28"/>
  <c r="I30" i="28" s="1"/>
  <c r="F29" i="28"/>
  <c r="T37" i="28"/>
  <c r="T74" i="28" s="1"/>
  <c r="AC49" i="28"/>
  <c r="AC58" i="28" s="1"/>
  <c r="AC18" i="28"/>
  <c r="G61" i="28"/>
  <c r="G24" i="28"/>
  <c r="G62" i="28" s="1"/>
  <c r="O61" i="28"/>
  <c r="O24" i="28"/>
  <c r="O62" i="28" s="1"/>
  <c r="O29" i="28"/>
  <c r="W61" i="28"/>
  <c r="W24" i="28"/>
  <c r="W62" i="28" s="1"/>
  <c r="W29" i="28"/>
  <c r="E24" i="28"/>
  <c r="E62" i="28" s="1"/>
  <c r="U24" i="28"/>
  <c r="U62" i="28" s="1"/>
  <c r="R26" i="28"/>
  <c r="O28" i="28"/>
  <c r="G29" i="28"/>
  <c r="L30" i="28"/>
  <c r="K60" i="28"/>
  <c r="K64" i="28" s="1"/>
  <c r="S60" i="28"/>
  <c r="AA60" i="28"/>
  <c r="AA64" i="28" s="1"/>
  <c r="I61" i="28"/>
  <c r="I64" i="28" s="1"/>
  <c r="Q61" i="28"/>
  <c r="Y61" i="28"/>
  <c r="Y64" i="28" s="1"/>
  <c r="L26" i="28"/>
  <c r="AB26" i="28"/>
  <c r="J28" i="28"/>
  <c r="R28" i="28"/>
  <c r="Z28" i="28"/>
  <c r="H29" i="28"/>
  <c r="P29" i="28"/>
  <c r="X29" i="28"/>
  <c r="Y29" i="28"/>
  <c r="J29" i="28"/>
  <c r="R29" i="28"/>
  <c r="Z29" i="28"/>
  <c r="E14" i="27"/>
  <c r="L18" i="26"/>
  <c r="L16" i="26"/>
  <c r="T16" i="26"/>
  <c r="T18" i="26"/>
  <c r="Y18" i="26"/>
  <c r="Y16" i="26"/>
  <c r="AH16" i="26"/>
  <c r="AH19" i="26" s="1"/>
  <c r="AH18" i="26"/>
  <c r="N18" i="26"/>
  <c r="N16" i="26"/>
  <c r="V18" i="26"/>
  <c r="V16" i="26"/>
  <c r="W18" i="26"/>
  <c r="W16" i="26"/>
  <c r="M18" i="26"/>
  <c r="M16" i="26"/>
  <c r="AA16" i="26"/>
  <c r="AA19" i="26" s="1"/>
  <c r="AA18" i="26"/>
  <c r="AB16" i="26"/>
  <c r="AB19" i="26" s="1"/>
  <c r="AB18" i="26"/>
  <c r="U16" i="26"/>
  <c r="U18" i="26"/>
  <c r="O18" i="26"/>
  <c r="O16" i="26"/>
  <c r="AC18" i="26"/>
  <c r="AC16" i="26"/>
  <c r="AC19" i="26" s="1"/>
  <c r="P18" i="26"/>
  <c r="P16" i="26"/>
  <c r="AG18" i="26"/>
  <c r="AG16" i="26"/>
  <c r="AG19" i="26" s="1"/>
  <c r="AI16" i="26"/>
  <c r="AI19" i="26" s="1"/>
  <c r="AI18" i="26"/>
  <c r="AD18" i="26"/>
  <c r="AD16" i="26"/>
  <c r="AD19" i="26" s="1"/>
  <c r="J18" i="26"/>
  <c r="J16" i="26"/>
  <c r="R16" i="26"/>
  <c r="R18" i="26"/>
  <c r="Q18" i="26"/>
  <c r="Q16" i="26"/>
  <c r="AF18" i="26"/>
  <c r="AF16" i="26"/>
  <c r="AF19" i="26" s="1"/>
  <c r="Z16" i="26"/>
  <c r="Z19" i="26" s="1"/>
  <c r="Z18" i="26"/>
  <c r="AE18" i="26"/>
  <c r="AE16" i="26"/>
  <c r="AE19" i="26" s="1"/>
  <c r="K16" i="26"/>
  <c r="K18" i="26"/>
  <c r="S16" i="26"/>
  <c r="S18" i="26"/>
  <c r="X18" i="26"/>
  <c r="X16" i="26"/>
  <c r="S64" i="28" l="1"/>
  <c r="P64" i="28"/>
  <c r="T26" i="28"/>
  <c r="W64" i="28"/>
  <c r="Z26" i="28"/>
  <c r="F64" i="28"/>
  <c r="M64" i="28"/>
  <c r="Q64" i="28"/>
  <c r="Q30" i="28"/>
  <c r="Q32" i="28" s="1"/>
  <c r="S26" i="28"/>
  <c r="N55" i="28"/>
  <c r="N64" i="28"/>
  <c r="I26" i="28"/>
  <c r="V18" i="28"/>
  <c r="Q66" i="28"/>
  <c r="AD18" i="28"/>
  <c r="M18" i="28"/>
  <c r="Q26" i="28"/>
  <c r="AD64" i="28"/>
  <c r="S33" i="22"/>
  <c r="S31" i="22"/>
  <c r="U33" i="22"/>
  <c r="AC33" i="22"/>
  <c r="AA31" i="22"/>
  <c r="AA33" i="22" s="1"/>
  <c r="K31" i="22"/>
  <c r="K33" i="22" s="1"/>
  <c r="Z55" i="28"/>
  <c r="W55" i="28"/>
  <c r="W26" i="28"/>
  <c r="Q18" i="28"/>
  <c r="R55" i="28"/>
  <c r="O55" i="28"/>
  <c r="U18" i="28"/>
  <c r="J26" i="28"/>
  <c r="J55" i="28"/>
  <c r="N26" i="28"/>
  <c r="F26" i="28"/>
  <c r="M26" i="28"/>
  <c r="I37" i="28"/>
  <c r="I74" i="28" s="1"/>
  <c r="I68" i="28"/>
  <c r="H32" i="28"/>
  <c r="AD37" i="28"/>
  <c r="AD74" i="28" s="1"/>
  <c r="AD68" i="28"/>
  <c r="P30" i="28"/>
  <c r="P35" i="28"/>
  <c r="P67" i="28"/>
  <c r="G30" i="28"/>
  <c r="G32" i="28" s="1"/>
  <c r="G67" i="28"/>
  <c r="G35" i="28"/>
  <c r="O30" i="28"/>
  <c r="O32" i="28" s="1"/>
  <c r="O67" i="28"/>
  <c r="O35" i="28"/>
  <c r="X18" i="28"/>
  <c r="X49" i="28"/>
  <c r="X58" i="28" s="1"/>
  <c r="E67" i="28"/>
  <c r="E35" i="28"/>
  <c r="E30" i="28"/>
  <c r="E32" i="28" s="1"/>
  <c r="AD32" i="28"/>
  <c r="K49" i="28"/>
  <c r="K58" i="28" s="1"/>
  <c r="K18" i="28"/>
  <c r="AD70" i="28"/>
  <c r="Z36" i="28"/>
  <c r="Z73" i="28" s="1"/>
  <c r="Z66" i="28"/>
  <c r="G49" i="28"/>
  <c r="G58" i="28" s="1"/>
  <c r="G18" i="28"/>
  <c r="AD26" i="28"/>
  <c r="P26" i="28"/>
  <c r="P18" i="28"/>
  <c r="P49" i="28"/>
  <c r="P58" i="28" s="1"/>
  <c r="AB72" i="28"/>
  <c r="AB38" i="28"/>
  <c r="AB75" i="28" s="1"/>
  <c r="AC64" i="28"/>
  <c r="M66" i="28"/>
  <c r="M36" i="28"/>
  <c r="M73" i="28" s="1"/>
  <c r="AB70" i="28"/>
  <c r="AA49" i="28"/>
  <c r="AA58" i="28" s="1"/>
  <c r="AA18" i="28"/>
  <c r="AD72" i="28"/>
  <c r="Z30" i="28"/>
  <c r="Z32" i="28" s="1"/>
  <c r="Z67" i="28"/>
  <c r="Z35" i="28"/>
  <c r="R36" i="28"/>
  <c r="R73" i="28" s="1"/>
  <c r="R32" i="28"/>
  <c r="R66" i="28"/>
  <c r="AC26" i="28"/>
  <c r="E64" i="28"/>
  <c r="P32" i="28"/>
  <c r="Q72" i="28"/>
  <c r="R30" i="28"/>
  <c r="R67" i="28"/>
  <c r="R35" i="28"/>
  <c r="J36" i="28"/>
  <c r="J73" i="28" s="1"/>
  <c r="J66" i="28"/>
  <c r="H64" i="28"/>
  <c r="H18" i="28"/>
  <c r="H49" i="28"/>
  <c r="H58" i="28" s="1"/>
  <c r="O64" i="28"/>
  <c r="T72" i="28"/>
  <c r="T38" i="28"/>
  <c r="T75" i="28" s="1"/>
  <c r="AC66" i="28"/>
  <c r="AC36" i="28"/>
  <c r="AC73" i="28" s="1"/>
  <c r="E26" i="28"/>
  <c r="I72" i="28"/>
  <c r="V37" i="28"/>
  <c r="V74" i="28" s="1"/>
  <c r="V68" i="28"/>
  <c r="V70" i="28" s="1"/>
  <c r="J30" i="28"/>
  <c r="J32" i="28" s="1"/>
  <c r="J67" i="28"/>
  <c r="J35" i="28"/>
  <c r="W30" i="28"/>
  <c r="W67" i="28"/>
  <c r="W35" i="28"/>
  <c r="V26" i="28"/>
  <c r="H26" i="28"/>
  <c r="O26" i="28"/>
  <c r="AC67" i="28"/>
  <c r="AC35" i="28"/>
  <c r="AC30" i="28"/>
  <c r="AC32" i="28" s="1"/>
  <c r="AA67" i="28"/>
  <c r="AA35" i="28"/>
  <c r="AA30" i="28"/>
  <c r="AA32" i="28" s="1"/>
  <c r="U64" i="28"/>
  <c r="E66" i="28"/>
  <c r="E36" i="28"/>
  <c r="E73" i="28" s="1"/>
  <c r="T70" i="28"/>
  <c r="V72" i="28"/>
  <c r="O66" i="28"/>
  <c r="O36" i="28"/>
  <c r="O73" i="28" s="1"/>
  <c r="K67" i="28"/>
  <c r="K35" i="28"/>
  <c r="K30" i="28"/>
  <c r="K32" i="28" s="1"/>
  <c r="Y30" i="28"/>
  <c r="Y67" i="28"/>
  <c r="Y35" i="28"/>
  <c r="F67" i="28"/>
  <c r="F35" i="28"/>
  <c r="F30" i="28"/>
  <c r="F32" i="28" s="1"/>
  <c r="X64" i="28"/>
  <c r="N37" i="28"/>
  <c r="N74" i="28" s="1"/>
  <c r="N68" i="28"/>
  <c r="N70" i="28" s="1"/>
  <c r="G64" i="28"/>
  <c r="L72" i="28"/>
  <c r="U26" i="28"/>
  <c r="U67" i="28"/>
  <c r="U35" i="28"/>
  <c r="U30" i="28"/>
  <c r="M67" i="28"/>
  <c r="M35" i="28"/>
  <c r="M30" i="28"/>
  <c r="H30" i="28"/>
  <c r="H35" i="28"/>
  <c r="H67" i="28"/>
  <c r="X30" i="28"/>
  <c r="X32" i="28" s="1"/>
  <c r="X67" i="28"/>
  <c r="X35" i="28"/>
  <c r="L68" i="28"/>
  <c r="L70" i="28" s="1"/>
  <c r="L37" i="28"/>
  <c r="L74" i="28" s="1"/>
  <c r="I36" i="28"/>
  <c r="I73" i="28" s="1"/>
  <c r="I66" i="28"/>
  <c r="I32" i="28"/>
  <c r="X26" i="28"/>
  <c r="N72" i="28"/>
  <c r="G26" i="28"/>
  <c r="S67" i="28"/>
  <c r="S35" i="28"/>
  <c r="S30" i="28"/>
  <c r="U66" i="28"/>
  <c r="U32" i="28"/>
  <c r="U36" i="28"/>
  <c r="U73" i="28" s="1"/>
  <c r="L32" i="28"/>
  <c r="M19" i="26"/>
  <c r="O19" i="26"/>
  <c r="W19" i="26"/>
  <c r="Y19" i="26"/>
  <c r="U19" i="26"/>
  <c r="V19" i="26"/>
  <c r="K19" i="26"/>
  <c r="X19" i="26"/>
  <c r="T19" i="26"/>
  <c r="Q19" i="26"/>
  <c r="R19" i="26"/>
  <c r="P19" i="26"/>
  <c r="N19" i="26"/>
  <c r="L19" i="26"/>
  <c r="J19" i="26"/>
  <c r="S19" i="26"/>
  <c r="I70" i="28" l="1"/>
  <c r="Q68" i="28"/>
  <c r="Q70" i="28" s="1"/>
  <c r="Q37" i="28"/>
  <c r="N18" i="28"/>
  <c r="N49" i="28"/>
  <c r="N58" i="28" s="1"/>
  <c r="J49" i="28"/>
  <c r="J58" i="28" s="1"/>
  <c r="J18" i="28"/>
  <c r="O49" i="28"/>
  <c r="O58" i="28" s="1"/>
  <c r="O18" i="28"/>
  <c r="Z49" i="28"/>
  <c r="Z58" i="28" s="1"/>
  <c r="Z18" i="28"/>
  <c r="W49" i="28"/>
  <c r="W58" i="28" s="1"/>
  <c r="W18" i="28"/>
  <c r="R49" i="28"/>
  <c r="R58" i="28" s="1"/>
  <c r="R18" i="28"/>
  <c r="S72" i="28"/>
  <c r="Y37" i="28"/>
  <c r="Y74" i="28" s="1"/>
  <c r="Y68" i="28"/>
  <c r="Y70" i="28" s="1"/>
  <c r="O37" i="28"/>
  <c r="O74" i="28" s="1"/>
  <c r="O68" i="28"/>
  <c r="O70" i="28" s="1"/>
  <c r="K72" i="28"/>
  <c r="AC37" i="28"/>
  <c r="AC74" i="28" s="1"/>
  <c r="AC68" i="28"/>
  <c r="AC70" i="28" s="1"/>
  <c r="E72" i="28"/>
  <c r="G72" i="28"/>
  <c r="M37" i="28"/>
  <c r="M74" i="28" s="1"/>
  <c r="M68" i="28"/>
  <c r="M70" i="28" s="1"/>
  <c r="F37" i="28"/>
  <c r="F74" i="28" s="1"/>
  <c r="F68" i="28"/>
  <c r="F70" i="28" s="1"/>
  <c r="AC72" i="28"/>
  <c r="W37" i="28"/>
  <c r="W74" i="28" s="1"/>
  <c r="W68" i="28"/>
  <c r="W70" i="28" s="1"/>
  <c r="R72" i="28"/>
  <c r="Z72" i="28"/>
  <c r="G37" i="28"/>
  <c r="G74" i="28" s="1"/>
  <c r="G68" i="28"/>
  <c r="G70" i="28" s="1"/>
  <c r="H72" i="28"/>
  <c r="W72" i="28"/>
  <c r="M72" i="28"/>
  <c r="M38" i="28"/>
  <c r="M75" i="28" s="1"/>
  <c r="L38" i="28"/>
  <c r="L75" i="28" s="1"/>
  <c r="F72" i="28"/>
  <c r="F38" i="28"/>
  <c r="F75" i="28" s="1"/>
  <c r="J72" i="28"/>
  <c r="I38" i="28"/>
  <c r="I75" i="28" s="1"/>
  <c r="K68" i="28"/>
  <c r="K70" i="28" s="1"/>
  <c r="K37" i="28"/>
  <c r="K74" i="28" s="1"/>
  <c r="N38" i="28"/>
  <c r="N75" i="28" s="1"/>
  <c r="X72" i="28"/>
  <c r="R37" i="28"/>
  <c r="R74" i="28" s="1"/>
  <c r="R68" i="28"/>
  <c r="R70" i="28" s="1"/>
  <c r="Z37" i="28"/>
  <c r="Z74" i="28" s="1"/>
  <c r="Z68" i="28"/>
  <c r="Z70" i="28" s="1"/>
  <c r="M32" i="28"/>
  <c r="P72" i="28"/>
  <c r="W32" i="28"/>
  <c r="U70" i="28"/>
  <c r="U37" i="28"/>
  <c r="U74" i="28" s="1"/>
  <c r="U68" i="28"/>
  <c r="Y32" i="28"/>
  <c r="Y72" i="28"/>
  <c r="Y38" i="28"/>
  <c r="Y75" i="28" s="1"/>
  <c r="AA68" i="28"/>
  <c r="AA70" i="28" s="1"/>
  <c r="AA37" i="28"/>
  <c r="AA74" i="28" s="1"/>
  <c r="J37" i="28"/>
  <c r="J74" i="28" s="1"/>
  <c r="J68" i="28"/>
  <c r="J70" i="28" s="1"/>
  <c r="AD38" i="28"/>
  <c r="AD75" i="28" s="1"/>
  <c r="O38" i="28"/>
  <c r="O75" i="28" s="1"/>
  <c r="O72" i="28"/>
  <c r="P37" i="28"/>
  <c r="P74" i="28" s="1"/>
  <c r="P68" i="28"/>
  <c r="P70" i="28" s="1"/>
  <c r="E37" i="28"/>
  <c r="E74" i="28" s="1"/>
  <c r="E68" i="28"/>
  <c r="E70" i="28" s="1"/>
  <c r="H37" i="28"/>
  <c r="H74" i="28" s="1"/>
  <c r="H68" i="28"/>
  <c r="H70" i="28" s="1"/>
  <c r="S68" i="28"/>
  <c r="S70" i="28" s="1"/>
  <c r="S37" i="28"/>
  <c r="S74" i="28" s="1"/>
  <c r="S32" i="28"/>
  <c r="X37" i="28"/>
  <c r="X74" i="28" s="1"/>
  <c r="X68" i="28"/>
  <c r="X70" i="28" s="1"/>
  <c r="U72" i="28"/>
  <c r="V38" i="28"/>
  <c r="V75" i="28" s="1"/>
  <c r="AA72" i="28"/>
  <c r="AA38" i="28"/>
  <c r="AA75" i="28" s="1"/>
  <c r="X38" i="28" l="1"/>
  <c r="X75" i="28" s="1"/>
  <c r="Z38" i="28"/>
  <c r="Z75" i="28" s="1"/>
  <c r="Q74" i="28"/>
  <c r="Q38" i="28"/>
  <c r="Q75" i="28" s="1"/>
  <c r="U38" i="28"/>
  <c r="U75" i="28" s="1"/>
  <c r="G38" i="28"/>
  <c r="G75" i="28" s="1"/>
  <c r="H38" i="28"/>
  <c r="H75" i="28" s="1"/>
  <c r="AC38" i="28"/>
  <c r="AC75" i="28" s="1"/>
  <c r="W38" i="28"/>
  <c r="W75" i="28" s="1"/>
  <c r="S38" i="28"/>
  <c r="S75" i="28" s="1"/>
  <c r="P38" i="28"/>
  <c r="P75" i="28" s="1"/>
  <c r="E38" i="28"/>
  <c r="E75" i="28" s="1"/>
  <c r="J38" i="28"/>
  <c r="J75" i="28" s="1"/>
  <c r="R38" i="28"/>
  <c r="R75" i="28" s="1"/>
  <c r="K38" i="28"/>
  <c r="K75" i="28" s="1"/>
  <c r="K50" i="14" l="1"/>
  <c r="E40" i="13" l="1"/>
  <c r="S15" i="20"/>
  <c r="R15" i="20"/>
  <c r="D13" i="11"/>
  <c r="O12" i="10" l="1"/>
  <c r="N12" i="10"/>
  <c r="E20" i="23" l="1"/>
  <c r="E22" i="23" s="1"/>
  <c r="E17" i="23"/>
  <c r="E19" i="23" l="1"/>
  <c r="E21" i="23" s="1"/>
  <c r="Z12" i="10" l="1"/>
  <c r="AA12" i="10"/>
  <c r="AB12" i="10"/>
  <c r="AC12" i="10"/>
  <c r="Y12" i="10"/>
  <c r="P12" i="10"/>
  <c r="Q12" i="10"/>
  <c r="R12" i="10"/>
  <c r="S12" i="10"/>
  <c r="T12" i="10"/>
  <c r="U12" i="10"/>
  <c r="V12" i="10"/>
  <c r="W12" i="10"/>
  <c r="X12" i="10"/>
  <c r="F40" i="14" l="1"/>
  <c r="F41" i="14" s="1"/>
  <c r="K49" i="14"/>
  <c r="H40" i="14" s="1"/>
  <c r="H41" i="14" s="1"/>
  <c r="K40" i="14"/>
  <c r="K41" i="14" s="1"/>
  <c r="J40" i="14"/>
  <c r="J41" i="14" s="1"/>
  <c r="G40" i="14"/>
  <c r="G41" i="14" s="1"/>
  <c r="AD9" i="13"/>
  <c r="AC9" i="13"/>
  <c r="AB9" i="13"/>
  <c r="AA9" i="13"/>
  <c r="Z9" i="13"/>
  <c r="Y9" i="13"/>
  <c r="X9" i="13"/>
  <c r="W9" i="13"/>
  <c r="V9" i="13"/>
  <c r="U9" i="13"/>
  <c r="T9" i="13"/>
  <c r="S9" i="13"/>
  <c r="R9" i="13"/>
  <c r="Q9" i="13"/>
  <c r="P9" i="13"/>
  <c r="O9" i="13"/>
  <c r="N9" i="13"/>
  <c r="M9" i="13"/>
  <c r="L9" i="13"/>
  <c r="K9" i="13"/>
  <c r="J9" i="13"/>
  <c r="I9" i="13"/>
  <c r="H9" i="13"/>
  <c r="G9" i="13"/>
  <c r="F9" i="13"/>
  <c r="E9" i="13"/>
  <c r="AD15" i="20"/>
  <c r="AC15" i="20"/>
  <c r="AC7" i="20" s="1"/>
  <c r="AB15" i="20"/>
  <c r="AB7" i="20" s="1"/>
  <c r="AA15" i="20"/>
  <c r="Z15" i="20"/>
  <c r="Z7" i="20" s="1"/>
  <c r="Y15" i="20"/>
  <c r="X15" i="20"/>
  <c r="X7" i="20" s="1"/>
  <c r="W15" i="20"/>
  <c r="W7" i="20" s="1"/>
  <c r="V15" i="20"/>
  <c r="U15" i="20"/>
  <c r="U7" i="20" s="1"/>
  <c r="T15" i="20"/>
  <c r="T7" i="20" s="1"/>
  <c r="AD7" i="20"/>
  <c r="AA7" i="20"/>
  <c r="Y7" i="20"/>
  <c r="V7" i="20"/>
  <c r="S7" i="20"/>
  <c r="R7" i="20"/>
  <c r="AK165" i="5"/>
  <c r="L165" i="5"/>
  <c r="H165" i="5"/>
  <c r="AK164" i="5"/>
  <c r="L164" i="5"/>
  <c r="H164" i="5"/>
  <c r="AK162" i="5"/>
  <c r="L162" i="5"/>
  <c r="H162" i="5"/>
  <c r="AK161" i="5"/>
  <c r="L161" i="5"/>
  <c r="H161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AK148" i="5"/>
  <c r="L148" i="5"/>
  <c r="H148" i="5"/>
  <c r="AK147" i="5"/>
  <c r="L147" i="5"/>
  <c r="H147" i="5"/>
  <c r="AK145" i="5"/>
  <c r="L145" i="5"/>
  <c r="H145" i="5"/>
  <c r="AK144" i="5"/>
  <c r="L144" i="5"/>
  <c r="H144" i="5"/>
  <c r="AK142" i="5"/>
  <c r="L142" i="5"/>
  <c r="H142" i="5"/>
  <c r="AK141" i="5"/>
  <c r="L141" i="5"/>
  <c r="H141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AK130" i="5"/>
  <c r="L130" i="5"/>
  <c r="H130" i="5"/>
  <c r="AK129" i="5"/>
  <c r="L129" i="5"/>
  <c r="H129" i="5"/>
  <c r="AK127" i="5"/>
  <c r="L127" i="5"/>
  <c r="H127" i="5"/>
  <c r="AK126" i="5"/>
  <c r="L126" i="5"/>
  <c r="H126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L114" i="5"/>
  <c r="H114" i="5"/>
  <c r="AK113" i="5"/>
  <c r="L113" i="5"/>
  <c r="H113" i="5"/>
  <c r="AK112" i="5"/>
  <c r="L111" i="5"/>
  <c r="H111" i="5"/>
  <c r="AK110" i="5"/>
  <c r="L110" i="5"/>
  <c r="H110" i="5"/>
  <c r="AK109" i="5"/>
  <c r="L108" i="5"/>
  <c r="H108" i="5"/>
  <c r="AK107" i="5"/>
  <c r="L107" i="5"/>
  <c r="H107" i="5"/>
  <c r="AK106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K102" i="5"/>
  <c r="AJ102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AK93" i="5"/>
  <c r="L93" i="5"/>
  <c r="H93" i="5"/>
  <c r="AK92" i="5"/>
  <c r="L92" i="5"/>
  <c r="H92" i="5"/>
  <c r="AK90" i="5"/>
  <c r="L90" i="5"/>
  <c r="H90" i="5"/>
  <c r="AK89" i="5"/>
  <c r="L89" i="5"/>
  <c r="H89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K87" i="5"/>
  <c r="AJ87" i="5"/>
  <c r="AI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K86" i="5"/>
  <c r="AJ86" i="5"/>
  <c r="AI86" i="5"/>
  <c r="AH86" i="5"/>
  <c r="AG86" i="5"/>
  <c r="AF86" i="5"/>
  <c r="AE86" i="5"/>
  <c r="AD86" i="5"/>
  <c r="AC86" i="5"/>
  <c r="AB86" i="5"/>
  <c r="AA86" i="5"/>
  <c r="Z86" i="5"/>
  <c r="Y86" i="5"/>
  <c r="X86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K85" i="5"/>
  <c r="AJ85" i="5"/>
  <c r="AI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AV79" i="5"/>
  <c r="W79" i="5"/>
  <c r="S79" i="5"/>
  <c r="AV78" i="5"/>
  <c r="W78" i="5"/>
  <c r="S78" i="5"/>
  <c r="AV76" i="5"/>
  <c r="W76" i="5"/>
  <c r="S76" i="5"/>
  <c r="AV75" i="5"/>
  <c r="W75" i="5"/>
  <c r="S75" i="5"/>
  <c r="AV73" i="5"/>
  <c r="W73" i="5"/>
  <c r="S73" i="5"/>
  <c r="AV72" i="5"/>
  <c r="W72" i="5"/>
  <c r="S72" i="5"/>
  <c r="BP70" i="5"/>
  <c r="BO70" i="5"/>
  <c r="BN70" i="5"/>
  <c r="BM70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K70" i="5"/>
  <c r="AJ70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BP69" i="5"/>
  <c r="BO69" i="5"/>
  <c r="BN69" i="5"/>
  <c r="BM69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BP68" i="5"/>
  <c r="BO68" i="5"/>
  <c r="BN68" i="5"/>
  <c r="BM68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BP67" i="5"/>
  <c r="BO67" i="5"/>
  <c r="BN67" i="5"/>
  <c r="BM67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K45" i="5"/>
  <c r="J45" i="5"/>
  <c r="I45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K44" i="5"/>
  <c r="J44" i="5"/>
  <c r="I44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K43" i="5"/>
  <c r="J43" i="5"/>
  <c r="I43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K39" i="5"/>
  <c r="AJ39" i="5"/>
  <c r="AI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BE38" i="5"/>
  <c r="BD38" i="5"/>
  <c r="BC38" i="5"/>
  <c r="BB38" i="5"/>
  <c r="BA38" i="5"/>
  <c r="AZ38" i="5"/>
  <c r="AY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BD28" i="5"/>
  <c r="BC28" i="5"/>
  <c r="BB28" i="5"/>
  <c r="BA28" i="5"/>
  <c r="AZ28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K28" i="5"/>
  <c r="J28" i="5"/>
  <c r="I28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K27" i="5"/>
  <c r="J27" i="5"/>
  <c r="I27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K26" i="5"/>
  <c r="J26" i="5"/>
  <c r="I26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K17" i="5"/>
  <c r="AJ17" i="5"/>
  <c r="AI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K16" i="5"/>
  <c r="AJ16" i="5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K11" i="5"/>
  <c r="J11" i="5"/>
  <c r="I11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K10" i="5"/>
  <c r="J10" i="5"/>
  <c r="I10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K9" i="5"/>
  <c r="J9" i="5"/>
  <c r="I9" i="5"/>
  <c r="N84" i="18"/>
  <c r="M84" i="18"/>
  <c r="L84" i="18"/>
  <c r="K84" i="18"/>
  <c r="J84" i="18"/>
  <c r="I84" i="18"/>
  <c r="H84" i="18"/>
  <c r="G84" i="18"/>
  <c r="N83" i="18"/>
  <c r="M83" i="18"/>
  <c r="L83" i="18"/>
  <c r="K83" i="18"/>
  <c r="J83" i="18"/>
  <c r="I83" i="18"/>
  <c r="H83" i="18"/>
  <c r="G83" i="18"/>
  <c r="N82" i="18"/>
  <c r="M82" i="18"/>
  <c r="L82" i="18"/>
  <c r="K82" i="18"/>
  <c r="J82" i="18"/>
  <c r="I82" i="18"/>
  <c r="H82" i="18"/>
  <c r="G82" i="18"/>
  <c r="N81" i="18"/>
  <c r="M81" i="18"/>
  <c r="L81" i="18"/>
  <c r="K81" i="18"/>
  <c r="J81" i="18"/>
  <c r="I81" i="18"/>
  <c r="H81" i="18"/>
  <c r="G81" i="18"/>
  <c r="N80" i="18"/>
  <c r="M80" i="18"/>
  <c r="L80" i="18"/>
  <c r="K80" i="18"/>
  <c r="J80" i="18"/>
  <c r="I80" i="18"/>
  <c r="H80" i="18"/>
  <c r="G80" i="18"/>
  <c r="N79" i="18"/>
  <c r="M79" i="18"/>
  <c r="L79" i="18"/>
  <c r="K79" i="18"/>
  <c r="J79" i="18"/>
  <c r="I79" i="18"/>
  <c r="H79" i="18"/>
  <c r="G79" i="18"/>
  <c r="N78" i="18"/>
  <c r="M78" i="18"/>
  <c r="L78" i="18"/>
  <c r="K78" i="18"/>
  <c r="J78" i="18"/>
  <c r="I78" i="18"/>
  <c r="H78" i="18"/>
  <c r="G78" i="18"/>
  <c r="N77" i="18"/>
  <c r="M77" i="18"/>
  <c r="L77" i="18"/>
  <c r="K77" i="18"/>
  <c r="J77" i="18"/>
  <c r="I77" i="18"/>
  <c r="H77" i="18"/>
  <c r="G77" i="18"/>
  <c r="N76" i="18"/>
  <c r="M76" i="18"/>
  <c r="L76" i="18"/>
  <c r="K76" i="18"/>
  <c r="J76" i="18"/>
  <c r="I76" i="18"/>
  <c r="H76" i="18"/>
  <c r="G76" i="18"/>
  <c r="N75" i="18"/>
  <c r="M75" i="18"/>
  <c r="L75" i="18"/>
  <c r="K75" i="18"/>
  <c r="J75" i="18"/>
  <c r="I75" i="18"/>
  <c r="H75" i="18"/>
  <c r="G75" i="18"/>
  <c r="N74" i="18"/>
  <c r="M74" i="18"/>
  <c r="L74" i="18"/>
  <c r="K74" i="18"/>
  <c r="J74" i="18"/>
  <c r="I74" i="18"/>
  <c r="H74" i="18"/>
  <c r="G74" i="18"/>
  <c r="N73" i="18"/>
  <c r="M73" i="18"/>
  <c r="L73" i="18"/>
  <c r="K73" i="18"/>
  <c r="J73" i="18"/>
  <c r="I73" i="18"/>
  <c r="H73" i="18"/>
  <c r="G73" i="18"/>
  <c r="N72" i="18"/>
  <c r="M72" i="18"/>
  <c r="L72" i="18"/>
  <c r="K72" i="18"/>
  <c r="J72" i="18"/>
  <c r="I72" i="18"/>
  <c r="H72" i="18"/>
  <c r="G72" i="18"/>
  <c r="N71" i="18"/>
  <c r="M71" i="18"/>
  <c r="L71" i="18"/>
  <c r="K71" i="18"/>
  <c r="J71" i="18"/>
  <c r="I71" i="18"/>
  <c r="H71" i="18"/>
  <c r="G71" i="18"/>
  <c r="Q67" i="18"/>
  <c r="P67" i="18"/>
  <c r="N67" i="18"/>
  <c r="M67" i="18"/>
  <c r="L67" i="18"/>
  <c r="Q66" i="18"/>
  <c r="P66" i="18"/>
  <c r="N66" i="18"/>
  <c r="M66" i="18"/>
  <c r="L66" i="18"/>
  <c r="Q65" i="18"/>
  <c r="P65" i="18"/>
  <c r="N65" i="18"/>
  <c r="M65" i="18"/>
  <c r="L65" i="18"/>
  <c r="Q64" i="18"/>
  <c r="P64" i="18"/>
  <c r="N64" i="18"/>
  <c r="M64" i="18"/>
  <c r="L64" i="18"/>
  <c r="Q63" i="18"/>
  <c r="P63" i="18"/>
  <c r="N63" i="18"/>
  <c r="M63" i="18"/>
  <c r="L63" i="18"/>
  <c r="V62" i="18"/>
  <c r="U62" i="18"/>
  <c r="T62" i="18"/>
  <c r="Q62" i="18"/>
  <c r="P62" i="18"/>
  <c r="N62" i="18"/>
  <c r="M62" i="18"/>
  <c r="L62" i="18"/>
  <c r="V61" i="18"/>
  <c r="U61" i="18"/>
  <c r="T61" i="18"/>
  <c r="Q61" i="18"/>
  <c r="P61" i="18"/>
  <c r="N61" i="18"/>
  <c r="M61" i="18"/>
  <c r="L61" i="18"/>
  <c r="V60" i="18"/>
  <c r="U60" i="18"/>
  <c r="T60" i="18"/>
  <c r="Q60" i="18"/>
  <c r="P60" i="18"/>
  <c r="N60" i="18"/>
  <c r="M60" i="18"/>
  <c r="L60" i="18"/>
  <c r="V59" i="18"/>
  <c r="U59" i="18"/>
  <c r="T59" i="18"/>
  <c r="Q59" i="18"/>
  <c r="P59" i="18"/>
  <c r="N59" i="18"/>
  <c r="M59" i="18"/>
  <c r="L59" i="18"/>
  <c r="V58" i="18"/>
  <c r="U58" i="18"/>
  <c r="T58" i="18"/>
  <c r="Q58" i="18"/>
  <c r="P58" i="18"/>
  <c r="N58" i="18"/>
  <c r="M58" i="18"/>
  <c r="L58" i="18"/>
  <c r="I58" i="18"/>
  <c r="V57" i="18"/>
  <c r="U57" i="18"/>
  <c r="T57" i="18"/>
  <c r="Q57" i="18"/>
  <c r="P57" i="18"/>
  <c r="N57" i="18"/>
  <c r="M57" i="18"/>
  <c r="L57" i="18"/>
  <c r="V56" i="18"/>
  <c r="U56" i="18"/>
  <c r="T56" i="18"/>
  <c r="Q56" i="18"/>
  <c r="P56" i="18"/>
  <c r="N56" i="18"/>
  <c r="M56" i="18"/>
  <c r="L56" i="18"/>
  <c r="V55" i="18"/>
  <c r="U55" i="18"/>
  <c r="T55" i="18"/>
  <c r="Q55" i="18"/>
  <c r="P55" i="18"/>
  <c r="N55" i="18"/>
  <c r="M55" i="18"/>
  <c r="L55" i="18"/>
  <c r="V54" i="18"/>
  <c r="U54" i="18"/>
  <c r="T54" i="18"/>
  <c r="Q54" i="18"/>
  <c r="P54" i="18"/>
  <c r="N54" i="18"/>
  <c r="M54" i="18"/>
  <c r="L54" i="18"/>
  <c r="V53" i="18"/>
  <c r="U53" i="18"/>
  <c r="T53" i="18"/>
  <c r="BM46" i="18"/>
  <c r="BL46" i="18"/>
  <c r="BK46" i="18"/>
  <c r="BJ46" i="18"/>
  <c r="BI46" i="18"/>
  <c r="BH46" i="18"/>
  <c r="BG46" i="18"/>
  <c r="BF46" i="18"/>
  <c r="BE46" i="18"/>
  <c r="BD46" i="18"/>
  <c r="BC46" i="18"/>
  <c r="BB46" i="18"/>
  <c r="BA46" i="18"/>
  <c r="AZ46" i="18"/>
  <c r="AY46" i="18"/>
  <c r="AX46" i="18"/>
  <c r="AW46" i="18"/>
  <c r="AV46" i="18"/>
  <c r="AU46" i="18"/>
  <c r="AT46" i="18"/>
  <c r="AS46" i="18"/>
  <c r="AR46" i="18"/>
  <c r="AQ46" i="18"/>
  <c r="AP46" i="18"/>
  <c r="AO46" i="18"/>
  <c r="AN46" i="18"/>
  <c r="AM46" i="18"/>
  <c r="AL46" i="18"/>
  <c r="AK46" i="18"/>
  <c r="AJ46" i="18"/>
  <c r="AI46" i="18"/>
  <c r="AH46" i="18"/>
  <c r="AG46" i="18"/>
  <c r="AF46" i="18"/>
  <c r="AE46" i="18"/>
  <c r="AD46" i="18"/>
  <c r="AC46" i="18"/>
  <c r="AB46" i="18"/>
  <c r="AA46" i="18"/>
  <c r="Z46" i="18"/>
  <c r="Y46" i="18"/>
  <c r="X46" i="18"/>
  <c r="W46" i="18"/>
  <c r="V46" i="18"/>
  <c r="U46" i="18"/>
  <c r="T46" i="18"/>
  <c r="S46" i="18"/>
  <c r="R46" i="18"/>
  <c r="Q46" i="18"/>
  <c r="P46" i="18"/>
  <c r="O46" i="18"/>
  <c r="N46" i="18"/>
  <c r="M46" i="18"/>
  <c r="L46" i="18"/>
  <c r="K46" i="18"/>
  <c r="J46" i="18"/>
  <c r="I46" i="18"/>
  <c r="H46" i="18"/>
  <c r="G46" i="18"/>
  <c r="F46" i="18"/>
  <c r="E46" i="18"/>
  <c r="BM45" i="18"/>
  <c r="BL45" i="18"/>
  <c r="BK45" i="18"/>
  <c r="BJ45" i="18"/>
  <c r="BI45" i="18"/>
  <c r="BH45" i="18"/>
  <c r="BG45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BM44" i="18"/>
  <c r="BL44" i="18"/>
  <c r="BK44" i="18"/>
  <c r="BJ44" i="18"/>
  <c r="BI44" i="18"/>
  <c r="BH44" i="18"/>
  <c r="BG44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BM43" i="18"/>
  <c r="BL43" i="18"/>
  <c r="BK43" i="18"/>
  <c r="BJ43" i="18"/>
  <c r="BI43" i="18"/>
  <c r="BH43" i="18"/>
  <c r="BG43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BM41" i="18"/>
  <c r="BL41" i="18"/>
  <c r="BK41" i="18"/>
  <c r="BJ41" i="18"/>
  <c r="BI41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BM40" i="18"/>
  <c r="BL40" i="18"/>
  <c r="BK40" i="18"/>
  <c r="BJ40" i="18"/>
  <c r="BI40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BM39" i="18"/>
  <c r="BL39" i="18"/>
  <c r="BK39" i="18"/>
  <c r="BJ39" i="18"/>
  <c r="BI39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BM36" i="18"/>
  <c r="BL36" i="18"/>
  <c r="BK36" i="18"/>
  <c r="BJ36" i="18"/>
  <c r="BI36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U36" i="18"/>
  <c r="AT36" i="18"/>
  <c r="AS36" i="18"/>
  <c r="AR36" i="18"/>
  <c r="AQ36" i="18"/>
  <c r="AP36" i="18"/>
  <c r="AO36" i="18"/>
  <c r="AN36" i="18"/>
  <c r="AM36" i="18"/>
  <c r="AL36" i="18"/>
  <c r="AK36" i="18"/>
  <c r="AJ36" i="18"/>
  <c r="AI36" i="18"/>
  <c r="AH36" i="18"/>
  <c r="AG36" i="18"/>
  <c r="AF36" i="18"/>
  <c r="AE36" i="18"/>
  <c r="AD36" i="18"/>
  <c r="AC36" i="18"/>
  <c r="AB36" i="18"/>
  <c r="AA36" i="18"/>
  <c r="Z36" i="18"/>
  <c r="Y36" i="18"/>
  <c r="X36" i="18"/>
  <c r="W36" i="18"/>
  <c r="V36" i="18"/>
  <c r="U36" i="18"/>
  <c r="T36" i="18"/>
  <c r="S36" i="18"/>
  <c r="R36" i="18"/>
  <c r="Q36" i="18"/>
  <c r="P36" i="18"/>
  <c r="O36" i="18"/>
  <c r="N36" i="18"/>
  <c r="M36" i="18"/>
  <c r="L36" i="18"/>
  <c r="K36" i="18"/>
  <c r="J36" i="18"/>
  <c r="I36" i="18"/>
  <c r="H36" i="18"/>
  <c r="G36" i="18"/>
  <c r="F36" i="18"/>
  <c r="E36" i="18"/>
  <c r="BM35" i="18"/>
  <c r="BL35" i="18"/>
  <c r="BK35" i="18"/>
  <c r="BJ35" i="18"/>
  <c r="BI35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U35" i="18"/>
  <c r="AT35" i="18"/>
  <c r="AS35" i="18"/>
  <c r="AR35" i="18"/>
  <c r="AQ35" i="18"/>
  <c r="AP35" i="18"/>
  <c r="AO35" i="18"/>
  <c r="AN35" i="18"/>
  <c r="AM35" i="18"/>
  <c r="AL35" i="18"/>
  <c r="AK35" i="18"/>
  <c r="AJ35" i="18"/>
  <c r="AI35" i="18"/>
  <c r="AH35" i="18"/>
  <c r="AG35" i="18"/>
  <c r="AF35" i="18"/>
  <c r="AE35" i="18"/>
  <c r="AD35" i="18"/>
  <c r="AC35" i="18"/>
  <c r="AB35" i="18"/>
  <c r="AA35" i="18"/>
  <c r="Z35" i="18"/>
  <c r="Y35" i="18"/>
  <c r="X35" i="18"/>
  <c r="W35" i="18"/>
  <c r="V35" i="18"/>
  <c r="U35" i="18"/>
  <c r="T35" i="18"/>
  <c r="S35" i="18"/>
  <c r="R35" i="18"/>
  <c r="Q35" i="18"/>
  <c r="P35" i="18"/>
  <c r="O35" i="18"/>
  <c r="N35" i="18"/>
  <c r="M35" i="18"/>
  <c r="L35" i="18"/>
  <c r="K35" i="18"/>
  <c r="J35" i="18"/>
  <c r="I35" i="18"/>
  <c r="H35" i="18"/>
  <c r="G35" i="18"/>
  <c r="F35" i="18"/>
  <c r="E35" i="18"/>
  <c r="BM34" i="18"/>
  <c r="BL34" i="18"/>
  <c r="BK34" i="18"/>
  <c r="BJ34" i="18"/>
  <c r="BI34" i="18"/>
  <c r="BH34" i="18"/>
  <c r="BG34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BM33" i="18"/>
  <c r="BL33" i="18"/>
  <c r="BK33" i="18"/>
  <c r="BJ33" i="18"/>
  <c r="BI33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BM21" i="18"/>
  <c r="BL21" i="18"/>
  <c r="BK21" i="18"/>
  <c r="BJ21" i="18"/>
  <c r="BI21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BM17" i="18"/>
  <c r="BL17" i="18"/>
  <c r="BK17" i="18"/>
  <c r="BJ17" i="18"/>
  <c r="BI17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BM12" i="18"/>
  <c r="BL12" i="18"/>
  <c r="BK12" i="18"/>
  <c r="BJ12" i="18"/>
  <c r="BI12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U12" i="18"/>
  <c r="AT12" i="18"/>
  <c r="AS12" i="18"/>
  <c r="AR12" i="18"/>
  <c r="AQ12" i="18"/>
  <c r="AP12" i="18"/>
  <c r="AO12" i="18"/>
  <c r="AN12" i="18"/>
  <c r="AM12" i="18"/>
  <c r="AL12" i="18"/>
  <c r="AK12" i="18"/>
  <c r="AJ12" i="18"/>
  <c r="AI12" i="18"/>
  <c r="AH12" i="18"/>
  <c r="AG12" i="18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BM11" i="18"/>
  <c r="BL11" i="18"/>
  <c r="BK11" i="18"/>
  <c r="BJ11" i="18"/>
  <c r="BI11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U11" i="18"/>
  <c r="AT11" i="18"/>
  <c r="AS11" i="18"/>
  <c r="AR11" i="18"/>
  <c r="AQ11" i="18"/>
  <c r="AP11" i="18"/>
  <c r="AO11" i="18"/>
  <c r="AN11" i="18"/>
  <c r="AM11" i="18"/>
  <c r="AL11" i="18"/>
  <c r="AK11" i="18"/>
  <c r="AJ11" i="18"/>
  <c r="AI11" i="18"/>
  <c r="AH11" i="18"/>
  <c r="AG11" i="18"/>
  <c r="AF11" i="18"/>
  <c r="AE11" i="18"/>
  <c r="AD11" i="18"/>
  <c r="AC11" i="18"/>
  <c r="AB11" i="18"/>
  <c r="AA11" i="18"/>
  <c r="Z11" i="18"/>
  <c r="Y11" i="18"/>
  <c r="X11" i="18"/>
  <c r="W11" i="18"/>
  <c r="V11" i="18"/>
  <c r="U11" i="18"/>
  <c r="T11" i="18"/>
  <c r="S11" i="18"/>
  <c r="R11" i="18"/>
  <c r="Q11" i="18"/>
  <c r="I10" i="18"/>
  <c r="AC13" i="11"/>
  <c r="AB13" i="11"/>
  <c r="AA13" i="11"/>
  <c r="Z13" i="11"/>
  <c r="Y13" i="11"/>
  <c r="X13" i="11"/>
  <c r="W13" i="11"/>
  <c r="V13" i="11"/>
  <c r="U13" i="11"/>
  <c r="T13" i="11"/>
  <c r="S13" i="11"/>
  <c r="R13" i="11"/>
  <c r="N13" i="11"/>
  <c r="M13" i="11"/>
  <c r="L13" i="11"/>
  <c r="H82" i="23"/>
  <c r="K82" i="23" s="1"/>
  <c r="G82" i="23"/>
  <c r="H81" i="23"/>
  <c r="G81" i="23"/>
  <c r="H80" i="23"/>
  <c r="G80" i="23"/>
  <c r="H79" i="23"/>
  <c r="G79" i="23"/>
  <c r="H78" i="23"/>
  <c r="K78" i="23" s="1"/>
  <c r="G78" i="23"/>
  <c r="H77" i="23"/>
  <c r="G77" i="23"/>
  <c r="H76" i="23"/>
  <c r="G76" i="23"/>
  <c r="H75" i="23"/>
  <c r="G75" i="23"/>
  <c r="H74" i="23"/>
  <c r="G74" i="23"/>
  <c r="G73" i="23"/>
  <c r="H72" i="23"/>
  <c r="G72" i="23"/>
  <c r="H71" i="23"/>
  <c r="K71" i="23" s="1"/>
  <c r="G71" i="23"/>
  <c r="H70" i="23"/>
  <c r="K70" i="23" s="1"/>
  <c r="G70" i="23"/>
  <c r="H69" i="23"/>
  <c r="G69" i="23"/>
  <c r="P65" i="23"/>
  <c r="M65" i="23"/>
  <c r="L65" i="23"/>
  <c r="Q65" i="23" s="1"/>
  <c r="P64" i="23"/>
  <c r="M81" i="23" s="1"/>
  <c r="M64" i="23"/>
  <c r="L64" i="23"/>
  <c r="Q64" i="23" s="1"/>
  <c r="P63" i="23"/>
  <c r="M80" i="23" s="1"/>
  <c r="M63" i="23"/>
  <c r="L63" i="23"/>
  <c r="Q63" i="23" s="1"/>
  <c r="P62" i="23"/>
  <c r="M79" i="23" s="1"/>
  <c r="M62" i="23"/>
  <c r="L62" i="23"/>
  <c r="Q62" i="23" s="1"/>
  <c r="P61" i="23"/>
  <c r="M61" i="23"/>
  <c r="L61" i="23"/>
  <c r="Q61" i="23" s="1"/>
  <c r="P60" i="23"/>
  <c r="M77" i="23" s="1"/>
  <c r="M60" i="23"/>
  <c r="L60" i="23"/>
  <c r="Q60" i="23" s="1"/>
  <c r="Q59" i="23"/>
  <c r="P59" i="23"/>
  <c r="M59" i="23"/>
  <c r="L59" i="23"/>
  <c r="P58" i="23"/>
  <c r="M75" i="23" s="1"/>
  <c r="M58" i="23"/>
  <c r="L58" i="23"/>
  <c r="Q58" i="23" s="1"/>
  <c r="P57" i="23"/>
  <c r="M57" i="23"/>
  <c r="L57" i="23"/>
  <c r="Q57" i="23" s="1"/>
  <c r="P56" i="23"/>
  <c r="L56" i="23"/>
  <c r="Q56" i="23" s="1"/>
  <c r="I56" i="23"/>
  <c r="M56" i="23" s="1"/>
  <c r="P55" i="23"/>
  <c r="M72" i="23" s="1"/>
  <c r="M55" i="23"/>
  <c r="L55" i="23"/>
  <c r="Q55" i="23" s="1"/>
  <c r="P54" i="23"/>
  <c r="M71" i="23" s="1"/>
  <c r="M54" i="23"/>
  <c r="L54" i="23"/>
  <c r="Q54" i="23" s="1"/>
  <c r="P53" i="23"/>
  <c r="M53" i="23"/>
  <c r="L53" i="23"/>
  <c r="Q53" i="23" s="1"/>
  <c r="P52" i="23"/>
  <c r="M69" i="23" s="1"/>
  <c r="M52" i="23"/>
  <c r="L52" i="23"/>
  <c r="Q52" i="23" s="1"/>
  <c r="E45" i="23"/>
  <c r="E44" i="23"/>
  <c r="K43" i="23"/>
  <c r="J43" i="23"/>
  <c r="E43" i="23"/>
  <c r="L42" i="23"/>
  <c r="E42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O40" i="23" s="1"/>
  <c r="N39" i="23"/>
  <c r="M39" i="23"/>
  <c r="L39" i="23"/>
  <c r="K39" i="23"/>
  <c r="J39" i="23"/>
  <c r="I39" i="23"/>
  <c r="H39" i="23"/>
  <c r="G39" i="23"/>
  <c r="F39" i="23"/>
  <c r="F40" i="23" s="1"/>
  <c r="E39" i="23"/>
  <c r="AD38" i="23"/>
  <c r="AD40" i="23" s="1"/>
  <c r="AC38" i="23"/>
  <c r="AC40" i="23" s="1"/>
  <c r="AB38" i="23"/>
  <c r="AB40" i="23" s="1"/>
  <c r="AA38" i="23"/>
  <c r="AA40" i="23" s="1"/>
  <c r="Z38" i="23"/>
  <c r="Y38" i="23"/>
  <c r="Y40" i="23" s="1"/>
  <c r="X38" i="23"/>
  <c r="X40" i="23" s="1"/>
  <c r="W38" i="23"/>
  <c r="W40" i="23" s="1"/>
  <c r="V38" i="23"/>
  <c r="V40" i="23" s="1"/>
  <c r="U38" i="23"/>
  <c r="U40" i="23" s="1"/>
  <c r="T38" i="23"/>
  <c r="T40" i="23" s="1"/>
  <c r="S38" i="23"/>
  <c r="S40" i="23" s="1"/>
  <c r="R38" i="23"/>
  <c r="Q38" i="23"/>
  <c r="Q40" i="23" s="1"/>
  <c r="P38" i="23"/>
  <c r="P40" i="23" s="1"/>
  <c r="O38" i="23"/>
  <c r="N38" i="23"/>
  <c r="N40" i="23" s="1"/>
  <c r="M38" i="23"/>
  <c r="M40" i="23" s="1"/>
  <c r="L38" i="23"/>
  <c r="L40" i="23" s="1"/>
  <c r="K38" i="23"/>
  <c r="K40" i="23" s="1"/>
  <c r="J38" i="23"/>
  <c r="I38" i="23"/>
  <c r="I40" i="23" s="1"/>
  <c r="H38" i="23"/>
  <c r="H40" i="23" s="1"/>
  <c r="G38" i="23"/>
  <c r="G40" i="23" s="1"/>
  <c r="F38" i="23"/>
  <c r="E38" i="23"/>
  <c r="E40" i="23" s="1"/>
  <c r="P34" i="23"/>
  <c r="O34" i="23"/>
  <c r="N34" i="23"/>
  <c r="M34" i="23"/>
  <c r="L34" i="23"/>
  <c r="K34" i="23"/>
  <c r="J34" i="23"/>
  <c r="I34" i="23"/>
  <c r="H34" i="23"/>
  <c r="G34" i="23"/>
  <c r="F34" i="23"/>
  <c r="E34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M35" i="23" s="1"/>
  <c r="L33" i="23"/>
  <c r="K33" i="23"/>
  <c r="J33" i="23"/>
  <c r="I33" i="23"/>
  <c r="H33" i="23"/>
  <c r="G33" i="23"/>
  <c r="F33" i="23"/>
  <c r="E33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N35" i="23" s="1"/>
  <c r="M32" i="23"/>
  <c r="L32" i="23"/>
  <c r="L35" i="23" s="1"/>
  <c r="K32" i="23"/>
  <c r="K35" i="23" s="1"/>
  <c r="J32" i="23"/>
  <c r="I32" i="23"/>
  <c r="H32" i="23"/>
  <c r="G32" i="23"/>
  <c r="F32" i="23"/>
  <c r="F35" i="23" s="1"/>
  <c r="E32" i="23"/>
  <c r="E35" i="23" s="1"/>
  <c r="AC22" i="23"/>
  <c r="AC45" i="23" s="1"/>
  <c r="AB22" i="23"/>
  <c r="AB45" i="23" s="1"/>
  <c r="L22" i="23"/>
  <c r="L45" i="23" s="1"/>
  <c r="M21" i="23"/>
  <c r="M44" i="23" s="1"/>
  <c r="AD20" i="23"/>
  <c r="AD43" i="23" s="1"/>
  <c r="AC20" i="23"/>
  <c r="AC43" i="23" s="1"/>
  <c r="AB20" i="23"/>
  <c r="AB43" i="23" s="1"/>
  <c r="AA20" i="23"/>
  <c r="AA22" i="23" s="1"/>
  <c r="AA45" i="23" s="1"/>
  <c r="Z20" i="23"/>
  <c r="Z22" i="23" s="1"/>
  <c r="Z45" i="23" s="1"/>
  <c r="Y20" i="23"/>
  <c r="Y22" i="23" s="1"/>
  <c r="Y45" i="23" s="1"/>
  <c r="X20" i="23"/>
  <c r="X43" i="23" s="1"/>
  <c r="W20" i="23"/>
  <c r="W43" i="23" s="1"/>
  <c r="V20" i="23"/>
  <c r="V21" i="23" s="1"/>
  <c r="V44" i="23" s="1"/>
  <c r="U20" i="23"/>
  <c r="U43" i="23" s="1"/>
  <c r="T20" i="23"/>
  <c r="T43" i="23" s="1"/>
  <c r="S20" i="23"/>
  <c r="S22" i="23" s="1"/>
  <c r="S45" i="23" s="1"/>
  <c r="R20" i="23"/>
  <c r="R22" i="23" s="1"/>
  <c r="R45" i="23" s="1"/>
  <c r="Q20" i="23"/>
  <c r="Q22" i="23" s="1"/>
  <c r="Q45" i="23" s="1"/>
  <c r="P20" i="23"/>
  <c r="P43" i="23" s="1"/>
  <c r="O20" i="23"/>
  <c r="O43" i="23" s="1"/>
  <c r="N20" i="23"/>
  <c r="N43" i="23" s="1"/>
  <c r="M20" i="23"/>
  <c r="M43" i="23" s="1"/>
  <c r="L20" i="23"/>
  <c r="L43" i="23" s="1"/>
  <c r="K20" i="23"/>
  <c r="K22" i="23" s="1"/>
  <c r="K45" i="23" s="1"/>
  <c r="J20" i="23"/>
  <c r="J22" i="23" s="1"/>
  <c r="J45" i="23" s="1"/>
  <c r="I20" i="23"/>
  <c r="I22" i="23" s="1"/>
  <c r="I45" i="23" s="1"/>
  <c r="H20" i="23"/>
  <c r="H43" i="23" s="1"/>
  <c r="G20" i="23"/>
  <c r="G43" i="23" s="1"/>
  <c r="F20" i="23"/>
  <c r="F43" i="23" s="1"/>
  <c r="AD19" i="23"/>
  <c r="AD42" i="23" s="1"/>
  <c r="AC19" i="23"/>
  <c r="AC42" i="23" s="1"/>
  <c r="AB19" i="23"/>
  <c r="AB21" i="23" s="1"/>
  <c r="AB44" i="23" s="1"/>
  <c r="AA19" i="23"/>
  <c r="AA21" i="23" s="1"/>
  <c r="AA44" i="23" s="1"/>
  <c r="Z19" i="23"/>
  <c r="Z42" i="23" s="1"/>
  <c r="Y19" i="23"/>
  <c r="Y42" i="23" s="1"/>
  <c r="X19" i="23"/>
  <c r="X42" i="23" s="1"/>
  <c r="W19" i="23"/>
  <c r="W42" i="23" s="1"/>
  <c r="V19" i="23"/>
  <c r="V42" i="23" s="1"/>
  <c r="U19" i="23"/>
  <c r="U42" i="23" s="1"/>
  <c r="T19" i="23"/>
  <c r="T21" i="23" s="1"/>
  <c r="T44" i="23" s="1"/>
  <c r="S19" i="23"/>
  <c r="S21" i="23" s="1"/>
  <c r="S44" i="23" s="1"/>
  <c r="R19" i="23"/>
  <c r="R42" i="23" s="1"/>
  <c r="Q19" i="23"/>
  <c r="Q42" i="23" s="1"/>
  <c r="P19" i="23"/>
  <c r="P42" i="23" s="1"/>
  <c r="O19" i="23"/>
  <c r="O42" i="23" s="1"/>
  <c r="N19" i="23"/>
  <c r="N42" i="23" s="1"/>
  <c r="M19" i="23"/>
  <c r="M42" i="23" s="1"/>
  <c r="L19" i="23"/>
  <c r="L21" i="23" s="1"/>
  <c r="L44" i="23" s="1"/>
  <c r="K19" i="23"/>
  <c r="K21" i="23" s="1"/>
  <c r="K44" i="23" s="1"/>
  <c r="J19" i="23"/>
  <c r="J42" i="23" s="1"/>
  <c r="I19" i="23"/>
  <c r="I42" i="23" s="1"/>
  <c r="H19" i="23"/>
  <c r="H42" i="23" s="1"/>
  <c r="G19" i="23"/>
  <c r="G42" i="23" s="1"/>
  <c r="F19" i="23"/>
  <c r="F42" i="23" s="1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Q11" i="23"/>
  <c r="Q34" i="23" s="1"/>
  <c r="J92" i="12"/>
  <c r="I92" i="12"/>
  <c r="H92" i="12"/>
  <c r="J91" i="12"/>
  <c r="I91" i="12"/>
  <c r="H91" i="12"/>
  <c r="J90" i="12"/>
  <c r="I90" i="12"/>
  <c r="H90" i="12"/>
  <c r="J89" i="12"/>
  <c r="I89" i="12"/>
  <c r="H89" i="12"/>
  <c r="BM79" i="12"/>
  <c r="BL79" i="12"/>
  <c r="BK79" i="12"/>
  <c r="BJ79" i="12"/>
  <c r="BI79" i="12"/>
  <c r="BH79" i="12"/>
  <c r="BG79" i="12"/>
  <c r="BF79" i="12"/>
  <c r="BE79" i="12"/>
  <c r="BD79" i="12"/>
  <c r="BC79" i="12"/>
  <c r="BB79" i="12"/>
  <c r="BA79" i="12"/>
  <c r="AZ79" i="12"/>
  <c r="AY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K79" i="12"/>
  <c r="AJ79" i="12"/>
  <c r="AI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T79" i="12"/>
  <c r="S79" i="12"/>
  <c r="R79" i="12"/>
  <c r="Q79" i="12"/>
  <c r="P79" i="12"/>
  <c r="O79" i="12"/>
  <c r="N79" i="12"/>
  <c r="M79" i="12"/>
  <c r="L79" i="12"/>
  <c r="K79" i="12"/>
  <c r="J79" i="12"/>
  <c r="I79" i="12"/>
  <c r="H79" i="12"/>
  <c r="G79" i="12"/>
  <c r="F79" i="12"/>
  <c r="E79" i="12"/>
  <c r="BM78" i="12"/>
  <c r="BL78" i="12"/>
  <c r="BK78" i="12"/>
  <c r="BJ78" i="12"/>
  <c r="BI78" i="12"/>
  <c r="BH78" i="12"/>
  <c r="BG78" i="12"/>
  <c r="BF78" i="12"/>
  <c r="BE78" i="12"/>
  <c r="BD78" i="12"/>
  <c r="BC78" i="12"/>
  <c r="BB78" i="12"/>
  <c r="BA78" i="12"/>
  <c r="AZ78" i="12"/>
  <c r="AY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K78" i="12"/>
  <c r="AJ78" i="12"/>
  <c r="AI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T78" i="12"/>
  <c r="S78" i="12"/>
  <c r="R78" i="12"/>
  <c r="Q78" i="12"/>
  <c r="P78" i="12"/>
  <c r="O78" i="12"/>
  <c r="N78" i="12"/>
  <c r="M78" i="12"/>
  <c r="L78" i="12"/>
  <c r="K78" i="12"/>
  <c r="J78" i="12"/>
  <c r="I78" i="12"/>
  <c r="H78" i="12"/>
  <c r="G78" i="12"/>
  <c r="F78" i="12"/>
  <c r="E78" i="12"/>
  <c r="BM77" i="12"/>
  <c r="BL77" i="12"/>
  <c r="BK77" i="12"/>
  <c r="BJ77" i="12"/>
  <c r="BI77" i="12"/>
  <c r="BH77" i="12"/>
  <c r="BG77" i="12"/>
  <c r="BF77" i="12"/>
  <c r="BE77" i="12"/>
  <c r="BD77" i="12"/>
  <c r="BC77" i="12"/>
  <c r="BB77" i="12"/>
  <c r="BA77" i="12"/>
  <c r="AZ77" i="12"/>
  <c r="AY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K77" i="12"/>
  <c r="AJ77" i="12"/>
  <c r="AI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T77" i="12"/>
  <c r="S77" i="12"/>
  <c r="R77" i="12"/>
  <c r="Q77" i="12"/>
  <c r="P77" i="12"/>
  <c r="O77" i="12"/>
  <c r="N77" i="12"/>
  <c r="M77" i="12"/>
  <c r="L77" i="12"/>
  <c r="K77" i="12"/>
  <c r="J77" i="12"/>
  <c r="I77" i="12"/>
  <c r="H77" i="12"/>
  <c r="G77" i="12"/>
  <c r="F77" i="12"/>
  <c r="E77" i="12"/>
  <c r="BM76" i="12"/>
  <c r="BL76" i="12"/>
  <c r="BK76" i="12"/>
  <c r="BJ76" i="12"/>
  <c r="BI76" i="12"/>
  <c r="BH76" i="12"/>
  <c r="BG76" i="12"/>
  <c r="BF76" i="12"/>
  <c r="BE76" i="12"/>
  <c r="BD76" i="12"/>
  <c r="BC76" i="12"/>
  <c r="BB76" i="12"/>
  <c r="BA76" i="12"/>
  <c r="AZ76" i="12"/>
  <c r="AY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K76" i="12"/>
  <c r="AJ76" i="12"/>
  <c r="AI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T76" i="12"/>
  <c r="S76" i="12"/>
  <c r="R76" i="12"/>
  <c r="Q76" i="12"/>
  <c r="P76" i="12"/>
  <c r="O76" i="12"/>
  <c r="N76" i="12"/>
  <c r="M76" i="12"/>
  <c r="L76" i="12"/>
  <c r="K76" i="12"/>
  <c r="J76" i="12"/>
  <c r="I76" i="12"/>
  <c r="H76" i="12"/>
  <c r="G76" i="12"/>
  <c r="F76" i="12"/>
  <c r="E76" i="12"/>
  <c r="BM74" i="12"/>
  <c r="BL74" i="12"/>
  <c r="BK74" i="12"/>
  <c r="BJ74" i="12"/>
  <c r="BI74" i="12"/>
  <c r="BH74" i="12"/>
  <c r="BG74" i="12"/>
  <c r="BF74" i="12"/>
  <c r="BE74" i="12"/>
  <c r="BD74" i="12"/>
  <c r="BC74" i="12"/>
  <c r="BB74" i="12"/>
  <c r="BA74" i="12"/>
  <c r="AZ74" i="12"/>
  <c r="AY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K74" i="12"/>
  <c r="AJ74" i="12"/>
  <c r="AI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T74" i="12"/>
  <c r="S74" i="12"/>
  <c r="R74" i="12"/>
  <c r="Q74" i="12"/>
  <c r="P74" i="12"/>
  <c r="O74" i="12"/>
  <c r="N74" i="12"/>
  <c r="M74" i="12"/>
  <c r="L74" i="12"/>
  <c r="K74" i="12"/>
  <c r="J74" i="12"/>
  <c r="I74" i="12"/>
  <c r="H74" i="12"/>
  <c r="G74" i="12"/>
  <c r="F74" i="12"/>
  <c r="E74" i="12"/>
  <c r="BM73" i="12"/>
  <c r="BL73" i="12"/>
  <c r="BK73" i="12"/>
  <c r="BJ73" i="12"/>
  <c r="BI73" i="12"/>
  <c r="BH73" i="12"/>
  <c r="BG73" i="12"/>
  <c r="BF73" i="12"/>
  <c r="BE73" i="12"/>
  <c r="BD73" i="12"/>
  <c r="BC73" i="12"/>
  <c r="BB73" i="12"/>
  <c r="BA73" i="12"/>
  <c r="AZ73" i="12"/>
  <c r="AY73" i="12"/>
  <c r="AX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K73" i="12"/>
  <c r="AJ73" i="12"/>
  <c r="AI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T73" i="12"/>
  <c r="S73" i="12"/>
  <c r="R73" i="12"/>
  <c r="Q73" i="12"/>
  <c r="P73" i="12"/>
  <c r="O73" i="12"/>
  <c r="N73" i="12"/>
  <c r="M73" i="12"/>
  <c r="L73" i="12"/>
  <c r="K73" i="12"/>
  <c r="J73" i="12"/>
  <c r="I73" i="12"/>
  <c r="H73" i="12"/>
  <c r="G73" i="12"/>
  <c r="F73" i="12"/>
  <c r="E73" i="12"/>
  <c r="BM72" i="12"/>
  <c r="BL72" i="12"/>
  <c r="BK72" i="12"/>
  <c r="BJ72" i="12"/>
  <c r="BI72" i="12"/>
  <c r="BH72" i="12"/>
  <c r="BG72" i="12"/>
  <c r="BF72" i="12"/>
  <c r="BE72" i="12"/>
  <c r="BD72" i="12"/>
  <c r="BC72" i="12"/>
  <c r="BB72" i="12"/>
  <c r="BA72" i="12"/>
  <c r="AZ72" i="12"/>
  <c r="AY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K72" i="12"/>
  <c r="AJ72" i="12"/>
  <c r="AI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T72" i="12"/>
  <c r="S72" i="12"/>
  <c r="R72" i="12"/>
  <c r="Q72" i="12"/>
  <c r="P72" i="12"/>
  <c r="O72" i="12"/>
  <c r="N72" i="12"/>
  <c r="M72" i="12"/>
  <c r="L72" i="12"/>
  <c r="K72" i="12"/>
  <c r="J72" i="12"/>
  <c r="I72" i="12"/>
  <c r="H72" i="12"/>
  <c r="G72" i="12"/>
  <c r="F72" i="12"/>
  <c r="E72" i="12"/>
  <c r="BM71" i="12"/>
  <c r="BL71" i="12"/>
  <c r="BK71" i="12"/>
  <c r="BJ71" i="12"/>
  <c r="BI71" i="12"/>
  <c r="BH71" i="12"/>
  <c r="BG71" i="12"/>
  <c r="BF71" i="12"/>
  <c r="BE71" i="12"/>
  <c r="BD71" i="12"/>
  <c r="BC71" i="12"/>
  <c r="BB71" i="12"/>
  <c r="BA71" i="12"/>
  <c r="AZ71" i="12"/>
  <c r="AY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K71" i="12"/>
  <c r="AJ71" i="12"/>
  <c r="AI71" i="12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T71" i="12"/>
  <c r="S71" i="12"/>
  <c r="R71" i="12"/>
  <c r="Q7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BM70" i="12"/>
  <c r="BL70" i="12"/>
  <c r="BK70" i="12"/>
  <c r="BJ70" i="12"/>
  <c r="BI70" i="12"/>
  <c r="BH70" i="12"/>
  <c r="BG70" i="12"/>
  <c r="BF70" i="12"/>
  <c r="BE70" i="12"/>
  <c r="BD70" i="12"/>
  <c r="BC70" i="12"/>
  <c r="BB70" i="12"/>
  <c r="BA70" i="12"/>
  <c r="AZ70" i="12"/>
  <c r="AY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K70" i="12"/>
  <c r="AJ70" i="12"/>
  <c r="AI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T70" i="12"/>
  <c r="S70" i="12"/>
  <c r="R70" i="12"/>
  <c r="Q70" i="12"/>
  <c r="P70" i="12"/>
  <c r="O70" i="12"/>
  <c r="N70" i="12"/>
  <c r="M70" i="12"/>
  <c r="L70" i="12"/>
  <c r="K70" i="12"/>
  <c r="J70" i="12"/>
  <c r="I70" i="12"/>
  <c r="H70" i="12"/>
  <c r="G70" i="12"/>
  <c r="F70" i="12"/>
  <c r="E70" i="12"/>
  <c r="BM68" i="12"/>
  <c r="BL68" i="12"/>
  <c r="BK68" i="12"/>
  <c r="BJ68" i="12"/>
  <c r="BI68" i="12"/>
  <c r="BH68" i="12"/>
  <c r="BG68" i="12"/>
  <c r="BF68" i="12"/>
  <c r="BE68" i="12"/>
  <c r="BD68" i="12"/>
  <c r="BC68" i="12"/>
  <c r="BB68" i="12"/>
  <c r="BA68" i="12"/>
  <c r="AZ68" i="12"/>
  <c r="AY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K68" i="12"/>
  <c r="AJ68" i="12"/>
  <c r="AI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T68" i="12"/>
  <c r="S68" i="12"/>
  <c r="R68" i="12"/>
  <c r="Q68" i="12"/>
  <c r="P68" i="12"/>
  <c r="O68" i="12"/>
  <c r="N68" i="12"/>
  <c r="M68" i="12"/>
  <c r="L68" i="12"/>
  <c r="K68" i="12"/>
  <c r="J68" i="12"/>
  <c r="I68" i="12"/>
  <c r="H68" i="12"/>
  <c r="G68" i="12"/>
  <c r="F68" i="12"/>
  <c r="E68" i="12"/>
  <c r="BM67" i="12"/>
  <c r="BL67" i="12"/>
  <c r="BK67" i="12"/>
  <c r="BJ67" i="12"/>
  <c r="BI67" i="12"/>
  <c r="BH67" i="12"/>
  <c r="BG67" i="12"/>
  <c r="BF67" i="12"/>
  <c r="BE67" i="12"/>
  <c r="BD67" i="12"/>
  <c r="BC67" i="12"/>
  <c r="BB67" i="12"/>
  <c r="BA67" i="12"/>
  <c r="AZ67" i="12"/>
  <c r="AY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K67" i="12"/>
  <c r="AJ67" i="12"/>
  <c r="AI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U67" i="12"/>
  <c r="T67" i="12"/>
  <c r="S67" i="12"/>
  <c r="R67" i="12"/>
  <c r="Q67" i="12"/>
  <c r="P67" i="12"/>
  <c r="O67" i="12"/>
  <c r="N67" i="12"/>
  <c r="M67" i="12"/>
  <c r="L67" i="12"/>
  <c r="K67" i="12"/>
  <c r="J67" i="12"/>
  <c r="I67" i="12"/>
  <c r="H67" i="12"/>
  <c r="G67" i="12"/>
  <c r="F67" i="12"/>
  <c r="E67" i="12"/>
  <c r="BM66" i="12"/>
  <c r="BL66" i="12"/>
  <c r="BK66" i="12"/>
  <c r="BJ66" i="12"/>
  <c r="BI66" i="12"/>
  <c r="BH66" i="12"/>
  <c r="BG66" i="12"/>
  <c r="BF66" i="12"/>
  <c r="BE66" i="12"/>
  <c r="BD66" i="12"/>
  <c r="BC66" i="12"/>
  <c r="BB66" i="12"/>
  <c r="BA66" i="12"/>
  <c r="AZ66" i="12"/>
  <c r="AY66" i="12"/>
  <c r="AX66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K66" i="12"/>
  <c r="AJ66" i="12"/>
  <c r="AI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T66" i="12"/>
  <c r="S66" i="12"/>
  <c r="R66" i="12"/>
  <c r="Q66" i="12"/>
  <c r="P66" i="12"/>
  <c r="O66" i="12"/>
  <c r="N66" i="12"/>
  <c r="M66" i="12"/>
  <c r="L66" i="12"/>
  <c r="K66" i="12"/>
  <c r="J66" i="12"/>
  <c r="I66" i="12"/>
  <c r="H66" i="12"/>
  <c r="G66" i="12"/>
  <c r="F66" i="12"/>
  <c r="E66" i="12"/>
  <c r="BM65" i="12"/>
  <c r="BL65" i="12"/>
  <c r="BK65" i="12"/>
  <c r="BJ65" i="12"/>
  <c r="BI65" i="12"/>
  <c r="BH65" i="12"/>
  <c r="BG65" i="12"/>
  <c r="BF65" i="12"/>
  <c r="BE65" i="12"/>
  <c r="BD65" i="12"/>
  <c r="BC65" i="12"/>
  <c r="BB65" i="12"/>
  <c r="BA65" i="12"/>
  <c r="AZ65" i="12"/>
  <c r="AY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K65" i="12"/>
  <c r="AJ65" i="12"/>
  <c r="AI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T65" i="12"/>
  <c r="S65" i="12"/>
  <c r="R65" i="12"/>
  <c r="Q65" i="12"/>
  <c r="P65" i="12"/>
  <c r="O65" i="12"/>
  <c r="N65" i="12"/>
  <c r="M65" i="12"/>
  <c r="L65" i="12"/>
  <c r="K65" i="12"/>
  <c r="J65" i="12"/>
  <c r="I65" i="12"/>
  <c r="H65" i="12"/>
  <c r="G65" i="12"/>
  <c r="F65" i="12"/>
  <c r="E65" i="12"/>
  <c r="BM64" i="12"/>
  <c r="BL64" i="12"/>
  <c r="BK64" i="12"/>
  <c r="BJ64" i="12"/>
  <c r="BI64" i="12"/>
  <c r="BH64" i="12"/>
  <c r="BG64" i="12"/>
  <c r="BF64" i="12"/>
  <c r="BE64" i="12"/>
  <c r="BD64" i="12"/>
  <c r="BC64" i="12"/>
  <c r="BB64" i="12"/>
  <c r="BA64" i="12"/>
  <c r="AZ64" i="12"/>
  <c r="AY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K64" i="12"/>
  <c r="AJ64" i="12"/>
  <c r="AI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T64" i="12"/>
  <c r="S64" i="12"/>
  <c r="R64" i="12"/>
  <c r="Q64" i="12"/>
  <c r="P64" i="12"/>
  <c r="O64" i="12"/>
  <c r="N64" i="12"/>
  <c r="M64" i="12"/>
  <c r="L64" i="12"/>
  <c r="K64" i="12"/>
  <c r="J64" i="12"/>
  <c r="I64" i="12"/>
  <c r="H64" i="12"/>
  <c r="G64" i="12"/>
  <c r="F64" i="12"/>
  <c r="E64" i="12"/>
  <c r="BM62" i="12"/>
  <c r="BL62" i="12"/>
  <c r="BK62" i="12"/>
  <c r="BJ62" i="12"/>
  <c r="BI62" i="12"/>
  <c r="BH62" i="12"/>
  <c r="BG62" i="12"/>
  <c r="BF62" i="12"/>
  <c r="BE62" i="12"/>
  <c r="BD62" i="12"/>
  <c r="BC62" i="12"/>
  <c r="BB62" i="12"/>
  <c r="BA62" i="12"/>
  <c r="AZ62" i="12"/>
  <c r="AY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K62" i="12"/>
  <c r="AJ62" i="12"/>
  <c r="AI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T62" i="12"/>
  <c r="S62" i="12"/>
  <c r="R62" i="12"/>
  <c r="Q62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BQ61" i="12"/>
  <c r="BP61" i="12"/>
  <c r="BO61" i="12"/>
  <c r="BN61" i="12"/>
  <c r="BM61" i="12"/>
  <c r="BL61" i="12"/>
  <c r="BK61" i="12"/>
  <c r="BJ61" i="12"/>
  <c r="BI61" i="12"/>
  <c r="BH61" i="12"/>
  <c r="BG61" i="12"/>
  <c r="BF61" i="12"/>
  <c r="BE61" i="12"/>
  <c r="BD61" i="12"/>
  <c r="BC61" i="12"/>
  <c r="BB61" i="12"/>
  <c r="BA61" i="12"/>
  <c r="AZ61" i="12"/>
  <c r="AY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K61" i="12"/>
  <c r="AJ61" i="12"/>
  <c r="AI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T61" i="12"/>
  <c r="S61" i="12"/>
  <c r="R61" i="12"/>
  <c r="Q61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BQ60" i="12"/>
  <c r="BP60" i="12"/>
  <c r="BO60" i="12"/>
  <c r="BN60" i="12"/>
  <c r="BM60" i="12"/>
  <c r="BL60" i="12"/>
  <c r="BK60" i="12"/>
  <c r="BJ60" i="12"/>
  <c r="BI60" i="12"/>
  <c r="BH60" i="12"/>
  <c r="BG60" i="12"/>
  <c r="BF60" i="12"/>
  <c r="BE60" i="12"/>
  <c r="BD60" i="12"/>
  <c r="BC60" i="12"/>
  <c r="BB60" i="12"/>
  <c r="BA60" i="12"/>
  <c r="AZ60" i="12"/>
  <c r="AY60" i="12"/>
  <c r="AX60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K60" i="12"/>
  <c r="AJ60" i="12"/>
  <c r="AI60" i="12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T60" i="12"/>
  <c r="S60" i="12"/>
  <c r="R60" i="12"/>
  <c r="Q60" i="12"/>
  <c r="P60" i="12"/>
  <c r="O60" i="12"/>
  <c r="N60" i="12"/>
  <c r="M60" i="12"/>
  <c r="L60" i="12"/>
  <c r="K60" i="12"/>
  <c r="J60" i="12"/>
  <c r="I60" i="12"/>
  <c r="H60" i="12"/>
  <c r="G60" i="12"/>
  <c r="F60" i="12"/>
  <c r="E60" i="12"/>
  <c r="BQ58" i="12"/>
  <c r="BP58" i="12"/>
  <c r="BO58" i="12"/>
  <c r="BN58" i="12"/>
  <c r="BM58" i="12"/>
  <c r="BL58" i="12"/>
  <c r="BK58" i="12"/>
  <c r="BJ58" i="12"/>
  <c r="BI58" i="12"/>
  <c r="BH58" i="12"/>
  <c r="BG58" i="12"/>
  <c r="BF58" i="12"/>
  <c r="BE58" i="12"/>
  <c r="BD58" i="12"/>
  <c r="BC58" i="12"/>
  <c r="BB58" i="12"/>
  <c r="BA58" i="12"/>
  <c r="AZ58" i="12"/>
  <c r="AY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K58" i="12"/>
  <c r="AJ58" i="12"/>
  <c r="AI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V58" i="12"/>
  <c r="U58" i="12"/>
  <c r="T58" i="12"/>
  <c r="S58" i="12"/>
  <c r="R58" i="12"/>
  <c r="Q58" i="12"/>
  <c r="P58" i="12"/>
  <c r="O58" i="12"/>
  <c r="N58" i="12"/>
  <c r="M58" i="12"/>
  <c r="L58" i="12"/>
  <c r="K58" i="12"/>
  <c r="J58" i="12"/>
  <c r="I58" i="12"/>
  <c r="H58" i="12"/>
  <c r="G58" i="12"/>
  <c r="F58" i="12"/>
  <c r="E58" i="12"/>
  <c r="BM57" i="12"/>
  <c r="BL57" i="12"/>
  <c r="BK57" i="12"/>
  <c r="BJ57" i="12"/>
  <c r="BI57" i="12"/>
  <c r="BH57" i="12"/>
  <c r="BG57" i="12"/>
  <c r="BF57" i="12"/>
  <c r="BE57" i="12"/>
  <c r="BD57" i="12"/>
  <c r="BC57" i="12"/>
  <c r="BB57" i="12"/>
  <c r="BA57" i="12"/>
  <c r="AZ57" i="12"/>
  <c r="AY57" i="12"/>
  <c r="AX57" i="12"/>
  <c r="AW57" i="12"/>
  <c r="AV57" i="12"/>
  <c r="AU57" i="12"/>
  <c r="AT57" i="12"/>
  <c r="AS57" i="12"/>
  <c r="AR57" i="12"/>
  <c r="AQ57" i="12"/>
  <c r="AP57" i="12"/>
  <c r="AO57" i="12"/>
  <c r="AN57" i="12"/>
  <c r="AM57" i="12"/>
  <c r="AL57" i="12"/>
  <c r="AK57" i="12"/>
  <c r="AJ57" i="12"/>
  <c r="AI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T57" i="12"/>
  <c r="S57" i="12"/>
  <c r="R57" i="12"/>
  <c r="Q57" i="12"/>
  <c r="P57" i="12"/>
  <c r="O57" i="12"/>
  <c r="N57" i="12"/>
  <c r="M57" i="12"/>
  <c r="L57" i="12"/>
  <c r="K57" i="12"/>
  <c r="J57" i="12"/>
  <c r="I57" i="12"/>
  <c r="H57" i="12"/>
  <c r="G57" i="12"/>
  <c r="F57" i="12"/>
  <c r="E57" i="12"/>
  <c r="BM56" i="12"/>
  <c r="BL56" i="12"/>
  <c r="BK56" i="12"/>
  <c r="BJ56" i="12"/>
  <c r="BI56" i="12"/>
  <c r="BH56" i="12"/>
  <c r="BG56" i="12"/>
  <c r="BF56" i="12"/>
  <c r="BE56" i="12"/>
  <c r="BD56" i="12"/>
  <c r="BC56" i="12"/>
  <c r="BB56" i="12"/>
  <c r="BA56" i="12"/>
  <c r="AZ56" i="12"/>
  <c r="AY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K56" i="12"/>
  <c r="AJ56" i="12"/>
  <c r="AI56" i="12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T56" i="12"/>
  <c r="S56" i="12"/>
  <c r="R56" i="12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BM55" i="12"/>
  <c r="BL55" i="12"/>
  <c r="BK55" i="12"/>
  <c r="BJ55" i="12"/>
  <c r="BI55" i="12"/>
  <c r="BH55" i="12"/>
  <c r="BG55" i="12"/>
  <c r="BF55" i="12"/>
  <c r="BE55" i="12"/>
  <c r="BD55" i="12"/>
  <c r="BC55" i="12"/>
  <c r="BB55" i="12"/>
  <c r="BA55" i="12"/>
  <c r="AZ55" i="12"/>
  <c r="AY55" i="12"/>
  <c r="AX55" i="12"/>
  <c r="AW55" i="12"/>
  <c r="AV55" i="12"/>
  <c r="AU55" i="12"/>
  <c r="AT55" i="12"/>
  <c r="AS55" i="12"/>
  <c r="AR55" i="12"/>
  <c r="AQ55" i="12"/>
  <c r="AP55" i="12"/>
  <c r="AO55" i="12"/>
  <c r="AN55" i="12"/>
  <c r="AM55" i="12"/>
  <c r="AL55" i="12"/>
  <c r="AK55" i="12"/>
  <c r="AJ55" i="12"/>
  <c r="AI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T55" i="12"/>
  <c r="S55" i="12"/>
  <c r="R55" i="12"/>
  <c r="Q55" i="12"/>
  <c r="P55" i="12"/>
  <c r="O55" i="12"/>
  <c r="N55" i="12"/>
  <c r="M55" i="12"/>
  <c r="L55" i="12"/>
  <c r="K55" i="12"/>
  <c r="J55" i="12"/>
  <c r="I55" i="12"/>
  <c r="H55" i="12"/>
  <c r="G55" i="12"/>
  <c r="F55" i="12"/>
  <c r="E55" i="12"/>
  <c r="BM54" i="12"/>
  <c r="BL54" i="12"/>
  <c r="BK54" i="12"/>
  <c r="BJ54" i="12"/>
  <c r="BI54" i="12"/>
  <c r="BH54" i="12"/>
  <c r="BG54" i="12"/>
  <c r="BF54" i="12"/>
  <c r="BE54" i="12"/>
  <c r="BD54" i="12"/>
  <c r="BC54" i="12"/>
  <c r="BB54" i="12"/>
  <c r="BA54" i="12"/>
  <c r="AZ54" i="12"/>
  <c r="AY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K54" i="12"/>
  <c r="AJ54" i="12"/>
  <c r="AI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BM53" i="12"/>
  <c r="BL53" i="12"/>
  <c r="BK53" i="12"/>
  <c r="BJ53" i="12"/>
  <c r="BI53" i="12"/>
  <c r="BH53" i="12"/>
  <c r="BG53" i="12"/>
  <c r="BF53" i="12"/>
  <c r="BE53" i="12"/>
  <c r="BD53" i="12"/>
  <c r="BC53" i="12"/>
  <c r="BB53" i="12"/>
  <c r="BA53" i="12"/>
  <c r="AZ53" i="12"/>
  <c r="AY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K53" i="12"/>
  <c r="AJ53" i="12"/>
  <c r="AI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T53" i="12"/>
  <c r="S53" i="12"/>
  <c r="R53" i="12"/>
  <c r="Q53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BM52" i="12"/>
  <c r="BL52" i="12"/>
  <c r="BK52" i="12"/>
  <c r="BJ52" i="12"/>
  <c r="BI52" i="12"/>
  <c r="BH52" i="12"/>
  <c r="BG52" i="12"/>
  <c r="BF52" i="12"/>
  <c r="BE52" i="12"/>
  <c r="BD52" i="12"/>
  <c r="BC52" i="12"/>
  <c r="BB52" i="12"/>
  <c r="BA52" i="12"/>
  <c r="AZ52" i="12"/>
  <c r="AY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K52" i="12"/>
  <c r="AJ52" i="12"/>
  <c r="AI52" i="12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T52" i="12"/>
  <c r="S52" i="12"/>
  <c r="R52" i="12"/>
  <c r="Q52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BM41" i="12"/>
  <c r="BL41" i="12"/>
  <c r="BK41" i="12"/>
  <c r="BJ41" i="12"/>
  <c r="BI41" i="12"/>
  <c r="BH41" i="12"/>
  <c r="BG41" i="12"/>
  <c r="BF41" i="12"/>
  <c r="BE41" i="12"/>
  <c r="BD41" i="12"/>
  <c r="BC41" i="12"/>
  <c r="BB41" i="12"/>
  <c r="BA41" i="12"/>
  <c r="AZ41" i="12"/>
  <c r="AY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K41" i="12"/>
  <c r="AJ41" i="12"/>
  <c r="AI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T41" i="12"/>
  <c r="S41" i="12"/>
  <c r="R41" i="12"/>
  <c r="Q41" i="12"/>
  <c r="P41" i="12"/>
  <c r="O41" i="12"/>
  <c r="N41" i="12"/>
  <c r="M41" i="12"/>
  <c r="L41" i="12"/>
  <c r="K41" i="12"/>
  <c r="J41" i="12"/>
  <c r="I41" i="12"/>
  <c r="H41" i="12"/>
  <c r="G41" i="12"/>
  <c r="F41" i="12"/>
  <c r="E41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G39" i="12"/>
  <c r="F39" i="12"/>
  <c r="E39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G38" i="12"/>
  <c r="F38" i="12"/>
  <c r="E38" i="12"/>
  <c r="BM35" i="12"/>
  <c r="BL35" i="12"/>
  <c r="BK35" i="12"/>
  <c r="BJ35" i="12"/>
  <c r="BI35" i="12"/>
  <c r="BH35" i="12"/>
  <c r="BG35" i="12"/>
  <c r="BF35" i="12"/>
  <c r="BE35" i="12"/>
  <c r="BD35" i="12"/>
  <c r="BC35" i="12"/>
  <c r="BB35" i="12"/>
  <c r="BA35" i="12"/>
  <c r="AZ35" i="12"/>
  <c r="AY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K35" i="12"/>
  <c r="AJ35" i="12"/>
  <c r="AI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T35" i="12"/>
  <c r="S35" i="12"/>
  <c r="R35" i="12"/>
  <c r="Q35" i="12"/>
  <c r="P35" i="12"/>
  <c r="O35" i="12"/>
  <c r="N35" i="12"/>
  <c r="M35" i="12"/>
  <c r="L35" i="12"/>
  <c r="K35" i="12"/>
  <c r="J35" i="12"/>
  <c r="I35" i="12"/>
  <c r="H35" i="12"/>
  <c r="G35" i="12"/>
  <c r="F35" i="12"/>
  <c r="E35" i="12"/>
  <c r="BM29" i="12"/>
  <c r="BL29" i="12"/>
  <c r="BK29" i="12"/>
  <c r="BJ29" i="12"/>
  <c r="BI29" i="12"/>
  <c r="BH29" i="12"/>
  <c r="BG29" i="12"/>
  <c r="BF29" i="12"/>
  <c r="BE29" i="12"/>
  <c r="BD29" i="12"/>
  <c r="BC29" i="12"/>
  <c r="BB29" i="12"/>
  <c r="BA29" i="12"/>
  <c r="AZ29" i="12"/>
  <c r="AY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K29" i="12"/>
  <c r="AJ29" i="12"/>
  <c r="AI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T29" i="12"/>
  <c r="S29" i="12"/>
  <c r="R29" i="12"/>
  <c r="Q29" i="12"/>
  <c r="P29" i="12"/>
  <c r="O29" i="12"/>
  <c r="N29" i="12"/>
  <c r="M29" i="12"/>
  <c r="L29" i="12"/>
  <c r="K29" i="12"/>
  <c r="J29" i="12"/>
  <c r="I29" i="12"/>
  <c r="H29" i="12"/>
  <c r="G29" i="12"/>
  <c r="F29" i="12"/>
  <c r="E29" i="12"/>
  <c r="BM27" i="12"/>
  <c r="BL27" i="12"/>
  <c r="BK27" i="12"/>
  <c r="BJ27" i="12"/>
  <c r="BI27" i="12"/>
  <c r="BH27" i="12"/>
  <c r="BG27" i="12"/>
  <c r="BF27" i="12"/>
  <c r="BE27" i="12"/>
  <c r="BD27" i="12"/>
  <c r="BC27" i="12"/>
  <c r="BB27" i="12"/>
  <c r="BA27" i="12"/>
  <c r="AZ27" i="12"/>
  <c r="AY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K27" i="12"/>
  <c r="AJ27" i="12"/>
  <c r="AI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U27" i="12"/>
  <c r="T27" i="12"/>
  <c r="BM26" i="12"/>
  <c r="AS26" i="12"/>
  <c r="AR26" i="12"/>
  <c r="AQ26" i="12"/>
  <c r="AP26" i="12"/>
  <c r="AO26" i="12"/>
  <c r="AN26" i="12"/>
  <c r="AM26" i="12"/>
  <c r="AL26" i="12"/>
  <c r="AK26" i="12"/>
  <c r="AJ26" i="12"/>
  <c r="AI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V26" i="12"/>
  <c r="U26" i="12"/>
  <c r="T26" i="12"/>
  <c r="BM25" i="12"/>
  <c r="AS25" i="12"/>
  <c r="AR25" i="12"/>
  <c r="AQ25" i="12"/>
  <c r="AP25" i="12"/>
  <c r="AO25" i="12"/>
  <c r="AN25" i="12"/>
  <c r="AM25" i="12"/>
  <c r="AL25" i="12"/>
  <c r="AK25" i="12"/>
  <c r="AJ25" i="12"/>
  <c r="AI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T25" i="12"/>
  <c r="BM19" i="12"/>
  <c r="BL19" i="12"/>
  <c r="BK19" i="12"/>
  <c r="BJ19" i="12"/>
  <c r="BI19" i="12"/>
  <c r="BH19" i="12"/>
  <c r="BG19" i="12"/>
  <c r="BF19" i="12"/>
  <c r="BE19" i="12"/>
  <c r="BD19" i="12"/>
  <c r="BC19" i="12"/>
  <c r="BB19" i="12"/>
  <c r="BA19" i="12"/>
  <c r="AZ19" i="12"/>
  <c r="AY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K19" i="12"/>
  <c r="AJ19" i="12"/>
  <c r="AI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BM16" i="12"/>
  <c r="BL16" i="12"/>
  <c r="BK16" i="12"/>
  <c r="BJ16" i="12"/>
  <c r="BI16" i="12"/>
  <c r="BH16" i="12"/>
  <c r="BG16" i="12"/>
  <c r="BF16" i="12"/>
  <c r="BE16" i="12"/>
  <c r="BD16" i="12"/>
  <c r="BC16" i="12"/>
  <c r="BB16" i="12"/>
  <c r="BA16" i="12"/>
  <c r="AZ16" i="12"/>
  <c r="AY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K16" i="12"/>
  <c r="AJ16" i="12"/>
  <c r="AI16" i="12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6" i="12"/>
  <c r="F16" i="12"/>
  <c r="E16" i="12"/>
  <c r="BM13" i="12"/>
  <c r="BL13" i="12"/>
  <c r="BK13" i="12"/>
  <c r="BJ13" i="12"/>
  <c r="BI13" i="12"/>
  <c r="BH13" i="12"/>
  <c r="BG13" i="12"/>
  <c r="BF13" i="12"/>
  <c r="BE13" i="12"/>
  <c r="BD13" i="12"/>
  <c r="BC13" i="12"/>
  <c r="BB13" i="12"/>
  <c r="BA13" i="12"/>
  <c r="AZ13" i="12"/>
  <c r="AY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K13" i="12"/>
  <c r="AJ13" i="12"/>
  <c r="AI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T13" i="12"/>
  <c r="R13" i="12"/>
  <c r="Q13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BM11" i="12"/>
  <c r="BL11" i="12"/>
  <c r="BK11" i="12"/>
  <c r="BJ11" i="12"/>
  <c r="BI11" i="12"/>
  <c r="BH11" i="12"/>
  <c r="BG11" i="12"/>
  <c r="BF11" i="12"/>
  <c r="BE11" i="12"/>
  <c r="BD11" i="12"/>
  <c r="BC11" i="12"/>
  <c r="BB11" i="12"/>
  <c r="BA11" i="12"/>
  <c r="AZ11" i="12"/>
  <c r="AY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K11" i="12"/>
  <c r="AJ11" i="12"/>
  <c r="AI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BM9" i="12"/>
  <c r="BL9" i="12"/>
  <c r="BK9" i="12"/>
  <c r="BJ9" i="12"/>
  <c r="BI9" i="12"/>
  <c r="BH9" i="12"/>
  <c r="BG9" i="12"/>
  <c r="BF9" i="12"/>
  <c r="BE9" i="12"/>
  <c r="BD9" i="12"/>
  <c r="BC9" i="12"/>
  <c r="BB9" i="12"/>
  <c r="BA9" i="12"/>
  <c r="AZ9" i="12"/>
  <c r="AY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K9" i="12"/>
  <c r="AJ9" i="12"/>
  <c r="AI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T9" i="12"/>
  <c r="S9" i="12"/>
  <c r="R9" i="12"/>
  <c r="Q9" i="12"/>
  <c r="P9" i="12"/>
  <c r="O9" i="12"/>
  <c r="N9" i="12"/>
  <c r="M9" i="12"/>
  <c r="L9" i="12"/>
  <c r="K9" i="12"/>
  <c r="J9" i="12"/>
  <c r="I9" i="12"/>
  <c r="H9" i="12"/>
  <c r="G9" i="12"/>
  <c r="F9" i="12"/>
  <c r="E9" i="12"/>
  <c r="AD37" i="22"/>
  <c r="AC37" i="22"/>
  <c r="AB37" i="22"/>
  <c r="AA37" i="22"/>
  <c r="Z37" i="22"/>
  <c r="Y37" i="22"/>
  <c r="X37" i="22"/>
  <c r="W37" i="22"/>
  <c r="V37" i="22"/>
  <c r="U37" i="22"/>
  <c r="S37" i="22"/>
  <c r="R37" i="22"/>
  <c r="Q37" i="22"/>
  <c r="P37" i="22"/>
  <c r="O37" i="22"/>
  <c r="N37" i="22"/>
  <c r="L37" i="22"/>
  <c r="K37" i="22"/>
  <c r="J37" i="22"/>
  <c r="I37" i="22"/>
  <c r="H37" i="22"/>
  <c r="G37" i="22"/>
  <c r="F37" i="22"/>
  <c r="J94" i="21"/>
  <c r="I94" i="21"/>
  <c r="H94" i="21"/>
  <c r="J93" i="21"/>
  <c r="I93" i="21"/>
  <c r="H93" i="21"/>
  <c r="J92" i="21"/>
  <c r="I92" i="21"/>
  <c r="H92" i="21"/>
  <c r="J91" i="21"/>
  <c r="I91" i="21"/>
  <c r="H91" i="21"/>
  <c r="BM81" i="21"/>
  <c r="BL81" i="21"/>
  <c r="BK81" i="21"/>
  <c r="BJ81" i="21"/>
  <c r="BI81" i="21"/>
  <c r="BH81" i="21"/>
  <c r="BG81" i="21"/>
  <c r="BF81" i="21"/>
  <c r="BE81" i="21"/>
  <c r="BD81" i="21"/>
  <c r="BC81" i="21"/>
  <c r="BB81" i="21"/>
  <c r="BA81" i="21"/>
  <c r="AZ81" i="21"/>
  <c r="AY81" i="21"/>
  <c r="AX81" i="21"/>
  <c r="AW81" i="21"/>
  <c r="AV81" i="21"/>
  <c r="AU81" i="21"/>
  <c r="AT81" i="21"/>
  <c r="AS81" i="21"/>
  <c r="AR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BM80" i="21"/>
  <c r="BL80" i="21"/>
  <c r="BK80" i="21"/>
  <c r="BJ80" i="21"/>
  <c r="BI80" i="21"/>
  <c r="BH80" i="21"/>
  <c r="BG80" i="21"/>
  <c r="BF80" i="21"/>
  <c r="BE80" i="21"/>
  <c r="BD80" i="21"/>
  <c r="BC80" i="21"/>
  <c r="BB80" i="21"/>
  <c r="BA80" i="21"/>
  <c r="AZ80" i="21"/>
  <c r="AY80" i="21"/>
  <c r="AX80" i="21"/>
  <c r="AW80" i="21"/>
  <c r="AV80" i="21"/>
  <c r="AU80" i="21"/>
  <c r="AT80" i="21"/>
  <c r="AS80" i="21"/>
  <c r="AR80" i="21"/>
  <c r="AQ80" i="21"/>
  <c r="AP80" i="21"/>
  <c r="AO80" i="21"/>
  <c r="AN80" i="21"/>
  <c r="AM80" i="21"/>
  <c r="AL80" i="21"/>
  <c r="AK80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BM79" i="21"/>
  <c r="BL79" i="21"/>
  <c r="BK79" i="21"/>
  <c r="BJ79" i="21"/>
  <c r="BI79" i="21"/>
  <c r="BH79" i="21"/>
  <c r="BG79" i="21"/>
  <c r="BF79" i="21"/>
  <c r="BE79" i="21"/>
  <c r="BD79" i="21"/>
  <c r="BC79" i="21"/>
  <c r="BB79" i="21"/>
  <c r="BA79" i="21"/>
  <c r="AZ79" i="21"/>
  <c r="AY79" i="21"/>
  <c r="AX79" i="21"/>
  <c r="AW79" i="21"/>
  <c r="AV79" i="21"/>
  <c r="AU79" i="21"/>
  <c r="AT79" i="21"/>
  <c r="AS79" i="21"/>
  <c r="AR79" i="21"/>
  <c r="AQ79" i="21"/>
  <c r="AP79" i="21"/>
  <c r="AO79" i="21"/>
  <c r="AN79" i="21"/>
  <c r="AM79" i="2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BM78" i="21"/>
  <c r="BL78" i="21"/>
  <c r="BK78" i="21"/>
  <c r="BJ78" i="21"/>
  <c r="BI78" i="21"/>
  <c r="BH78" i="21"/>
  <c r="BG78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BM76" i="21"/>
  <c r="BL76" i="21"/>
  <c r="BK76" i="21"/>
  <c r="BJ76" i="21"/>
  <c r="BI76" i="21"/>
  <c r="BH76" i="21"/>
  <c r="BG76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BM75" i="21"/>
  <c r="BL75" i="21"/>
  <c r="BK75" i="21"/>
  <c r="BJ75" i="21"/>
  <c r="BI75" i="21"/>
  <c r="BH75" i="21"/>
  <c r="BG75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BM74" i="21"/>
  <c r="BL74" i="21"/>
  <c r="BK74" i="21"/>
  <c r="BJ74" i="21"/>
  <c r="BI74" i="21"/>
  <c r="BH74" i="21"/>
  <c r="BG74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BM73" i="21"/>
  <c r="BL73" i="21"/>
  <c r="BK73" i="21"/>
  <c r="BJ73" i="21"/>
  <c r="BI73" i="21"/>
  <c r="BH73" i="21"/>
  <c r="BG73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BM72" i="21"/>
  <c r="BL72" i="21"/>
  <c r="BK72" i="21"/>
  <c r="BJ72" i="21"/>
  <c r="BI72" i="21"/>
  <c r="BH72" i="21"/>
  <c r="BG72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BM70" i="21"/>
  <c r="BL70" i="21"/>
  <c r="BK70" i="21"/>
  <c r="BJ70" i="21"/>
  <c r="BI70" i="21"/>
  <c r="BH70" i="21"/>
  <c r="BG70" i="21"/>
  <c r="BF70" i="21"/>
  <c r="BE70" i="21"/>
  <c r="BD70" i="21"/>
  <c r="BC70" i="21"/>
  <c r="BB70" i="21"/>
  <c r="BA70" i="21"/>
  <c r="AZ70" i="21"/>
  <c r="AY70" i="21"/>
  <c r="AX70" i="21"/>
  <c r="AW70" i="21"/>
  <c r="AV70" i="21"/>
  <c r="AU70" i="21"/>
  <c r="AT70" i="21"/>
  <c r="AS70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BM69" i="21"/>
  <c r="BL69" i="21"/>
  <c r="BK69" i="21"/>
  <c r="BJ69" i="21"/>
  <c r="BI69" i="21"/>
  <c r="BH69" i="21"/>
  <c r="BG69" i="21"/>
  <c r="BF69" i="21"/>
  <c r="BE69" i="21"/>
  <c r="BD69" i="21"/>
  <c r="BC69" i="21"/>
  <c r="BB69" i="21"/>
  <c r="BA69" i="21"/>
  <c r="AZ69" i="21"/>
  <c r="AY69" i="21"/>
  <c r="AX69" i="21"/>
  <c r="AW69" i="21"/>
  <c r="AV69" i="21"/>
  <c r="AU69" i="21"/>
  <c r="AT69" i="21"/>
  <c r="AS69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BM68" i="21"/>
  <c r="BL68" i="21"/>
  <c r="BK68" i="21"/>
  <c r="BJ68" i="21"/>
  <c r="BI68" i="21"/>
  <c r="BH68" i="21"/>
  <c r="BG68" i="21"/>
  <c r="BF68" i="21"/>
  <c r="BE68" i="21"/>
  <c r="BD68" i="21"/>
  <c r="BC68" i="21"/>
  <c r="BB68" i="21"/>
  <c r="BA68" i="21"/>
  <c r="AZ68" i="21"/>
  <c r="AY68" i="21"/>
  <c r="AX68" i="21"/>
  <c r="AW68" i="21"/>
  <c r="AV68" i="21"/>
  <c r="AU68" i="21"/>
  <c r="AT68" i="21"/>
  <c r="AS68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BM67" i="21"/>
  <c r="BL67" i="21"/>
  <c r="BK67" i="21"/>
  <c r="BJ67" i="21"/>
  <c r="BI67" i="21"/>
  <c r="BH67" i="21"/>
  <c r="BG67" i="21"/>
  <c r="BF67" i="21"/>
  <c r="BE67" i="21"/>
  <c r="BD67" i="21"/>
  <c r="BC67" i="21"/>
  <c r="BB67" i="21"/>
  <c r="BA67" i="21"/>
  <c r="AZ67" i="21"/>
  <c r="AY67" i="21"/>
  <c r="AX67" i="21"/>
  <c r="AW67" i="21"/>
  <c r="AV67" i="21"/>
  <c r="AU67" i="21"/>
  <c r="AT67" i="21"/>
  <c r="AS67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BM66" i="21"/>
  <c r="BL66" i="21"/>
  <c r="BK66" i="21"/>
  <c r="BJ66" i="21"/>
  <c r="BI66" i="21"/>
  <c r="BH66" i="21"/>
  <c r="BG66" i="21"/>
  <c r="BF66" i="21"/>
  <c r="BE66" i="21"/>
  <c r="BD66" i="21"/>
  <c r="BC66" i="21"/>
  <c r="BB66" i="21"/>
  <c r="BA66" i="21"/>
  <c r="AZ66" i="21"/>
  <c r="AY66" i="21"/>
  <c r="AX66" i="21"/>
  <c r="AW66" i="21"/>
  <c r="AV66" i="21"/>
  <c r="AU66" i="21"/>
  <c r="AT66" i="21"/>
  <c r="AS66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BM64" i="21"/>
  <c r="BL64" i="21"/>
  <c r="BK64" i="21"/>
  <c r="BJ64" i="21"/>
  <c r="BI64" i="21"/>
  <c r="BH64" i="21"/>
  <c r="BG64" i="21"/>
  <c r="BF64" i="21"/>
  <c r="BE64" i="21"/>
  <c r="BD64" i="21"/>
  <c r="BC64" i="21"/>
  <c r="BB64" i="21"/>
  <c r="BA64" i="21"/>
  <c r="AZ64" i="21"/>
  <c r="AY64" i="21"/>
  <c r="AX64" i="21"/>
  <c r="AW64" i="21"/>
  <c r="AV64" i="21"/>
  <c r="AU64" i="21"/>
  <c r="AT64" i="21"/>
  <c r="AS64" i="21"/>
  <c r="AR64" i="21"/>
  <c r="AQ64" i="21"/>
  <c r="AP64" i="21"/>
  <c r="AO64" i="21"/>
  <c r="AN64" i="21"/>
  <c r="AM64" i="21"/>
  <c r="AL64" i="21"/>
  <c r="AK64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BM63" i="21"/>
  <c r="BL63" i="21"/>
  <c r="BK63" i="21"/>
  <c r="BJ63" i="21"/>
  <c r="BI63" i="21"/>
  <c r="BH63" i="21"/>
  <c r="BG63" i="21"/>
  <c r="BF63" i="21"/>
  <c r="BE63" i="21"/>
  <c r="BD63" i="21"/>
  <c r="BC63" i="21"/>
  <c r="BB63" i="21"/>
  <c r="BA63" i="21"/>
  <c r="AZ63" i="21"/>
  <c r="AY63" i="21"/>
  <c r="AX63" i="21"/>
  <c r="AW63" i="21"/>
  <c r="AV63" i="21"/>
  <c r="AU63" i="21"/>
  <c r="AT63" i="21"/>
  <c r="AS63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BM62" i="21"/>
  <c r="BL62" i="21"/>
  <c r="BK62" i="21"/>
  <c r="BJ62" i="21"/>
  <c r="BI62" i="21"/>
  <c r="BH62" i="21"/>
  <c r="BG62" i="21"/>
  <c r="BF62" i="21"/>
  <c r="BE62" i="21"/>
  <c r="BD62" i="21"/>
  <c r="BC62" i="21"/>
  <c r="BB62" i="21"/>
  <c r="BA62" i="21"/>
  <c r="AZ62" i="21"/>
  <c r="AY62" i="21"/>
  <c r="AX62" i="21"/>
  <c r="AW62" i="21"/>
  <c r="AV62" i="21"/>
  <c r="AU62" i="21"/>
  <c r="AT62" i="21"/>
  <c r="AS62" i="21"/>
  <c r="AR62" i="21"/>
  <c r="AQ62" i="21"/>
  <c r="AP62" i="21"/>
  <c r="AO62" i="21"/>
  <c r="AN62" i="21"/>
  <c r="AM62" i="21"/>
  <c r="AL62" i="21"/>
  <c r="AK62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BM61" i="21"/>
  <c r="BL61" i="21"/>
  <c r="BK61" i="21"/>
  <c r="BJ61" i="21"/>
  <c r="BI61" i="21"/>
  <c r="BH61" i="21"/>
  <c r="BG61" i="21"/>
  <c r="BF61" i="21"/>
  <c r="BE61" i="21"/>
  <c r="BD61" i="21"/>
  <c r="BC61" i="21"/>
  <c r="BB61" i="21"/>
  <c r="BA61" i="21"/>
  <c r="AZ61" i="21"/>
  <c r="AY61" i="21"/>
  <c r="AX61" i="21"/>
  <c r="AW61" i="21"/>
  <c r="AV61" i="21"/>
  <c r="AU61" i="21"/>
  <c r="AT61" i="21"/>
  <c r="AS61" i="21"/>
  <c r="AR61" i="21"/>
  <c r="AQ61" i="21"/>
  <c r="AP61" i="21"/>
  <c r="AO61" i="21"/>
  <c r="AN61" i="21"/>
  <c r="AM61" i="21"/>
  <c r="AL61" i="21"/>
  <c r="AK61" i="21"/>
  <c r="AJ61" i="21"/>
  <c r="AI61" i="21"/>
  <c r="AH61" i="21"/>
  <c r="AG61" i="21"/>
  <c r="AF61" i="21"/>
  <c r="AE61" i="21"/>
  <c r="BM60" i="21"/>
  <c r="BL60" i="21"/>
  <c r="BK60" i="21"/>
  <c r="BJ60" i="21"/>
  <c r="BI60" i="21"/>
  <c r="BH60" i="21"/>
  <c r="BG60" i="21"/>
  <c r="BF60" i="21"/>
  <c r="BE60" i="21"/>
  <c r="BD60" i="21"/>
  <c r="BC60" i="21"/>
  <c r="BB60" i="21"/>
  <c r="BA60" i="21"/>
  <c r="AZ60" i="21"/>
  <c r="AY60" i="21"/>
  <c r="AX60" i="21"/>
  <c r="AW60" i="21"/>
  <c r="AV60" i="21"/>
  <c r="AU60" i="21"/>
  <c r="AT60" i="21"/>
  <c r="AS60" i="21"/>
  <c r="AR60" i="21"/>
  <c r="AQ60" i="21"/>
  <c r="AP60" i="21"/>
  <c r="AO60" i="21"/>
  <c r="AN60" i="21"/>
  <c r="AM60" i="21"/>
  <c r="AL60" i="21"/>
  <c r="AK60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BM59" i="21"/>
  <c r="BL59" i="21"/>
  <c r="BK59" i="21"/>
  <c r="BJ59" i="21"/>
  <c r="BI59" i="21"/>
  <c r="BH59" i="21"/>
  <c r="BG59" i="21"/>
  <c r="BF59" i="21"/>
  <c r="BE59" i="21"/>
  <c r="BD59" i="21"/>
  <c r="BC59" i="21"/>
  <c r="BB59" i="21"/>
  <c r="BA59" i="21"/>
  <c r="AZ59" i="21"/>
  <c r="AY59" i="21"/>
  <c r="AX59" i="21"/>
  <c r="AW59" i="21"/>
  <c r="AV59" i="21"/>
  <c r="AU59" i="21"/>
  <c r="AT59" i="21"/>
  <c r="AS59" i="21"/>
  <c r="AR59" i="21"/>
  <c r="AQ59" i="21"/>
  <c r="AP59" i="21"/>
  <c r="AO59" i="21"/>
  <c r="AN59" i="21"/>
  <c r="AM59" i="21"/>
  <c r="AL59" i="21"/>
  <c r="AK59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BM58" i="21"/>
  <c r="BL58" i="21"/>
  <c r="BK58" i="21"/>
  <c r="BJ58" i="21"/>
  <c r="BI58" i="21"/>
  <c r="BH58" i="21"/>
  <c r="BG58" i="21"/>
  <c r="BF58" i="21"/>
  <c r="BE58" i="21"/>
  <c r="BD58" i="21"/>
  <c r="BC58" i="21"/>
  <c r="BB58" i="21"/>
  <c r="BA58" i="21"/>
  <c r="AZ58" i="21"/>
  <c r="AY58" i="21"/>
  <c r="AX58" i="21"/>
  <c r="AW58" i="21"/>
  <c r="AV58" i="21"/>
  <c r="AU58" i="21"/>
  <c r="AT58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BM57" i="21"/>
  <c r="BL57" i="21"/>
  <c r="BK57" i="21"/>
  <c r="BJ57" i="21"/>
  <c r="BI57" i="21"/>
  <c r="BH57" i="21"/>
  <c r="BG57" i="21"/>
  <c r="BF57" i="21"/>
  <c r="BE57" i="21"/>
  <c r="BD57" i="21"/>
  <c r="BC57" i="21"/>
  <c r="BB57" i="21"/>
  <c r="BA57" i="21"/>
  <c r="AZ57" i="21"/>
  <c r="AY57" i="21"/>
  <c r="AX57" i="21"/>
  <c r="AW57" i="21"/>
  <c r="AV57" i="21"/>
  <c r="AU57" i="21"/>
  <c r="AT57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BM56" i="21"/>
  <c r="BL56" i="21"/>
  <c r="BK56" i="21"/>
  <c r="BJ56" i="21"/>
  <c r="BI56" i="21"/>
  <c r="BH56" i="21"/>
  <c r="BG56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BM55" i="21"/>
  <c r="BL55" i="21"/>
  <c r="BK55" i="21"/>
  <c r="BJ55" i="21"/>
  <c r="BI55" i="21"/>
  <c r="BH55" i="21"/>
  <c r="BG55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BM54" i="21"/>
  <c r="BL54" i="21"/>
  <c r="BK54" i="21"/>
  <c r="BJ54" i="21"/>
  <c r="BI54" i="21"/>
  <c r="BH54" i="21"/>
  <c r="BG54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BM41" i="21"/>
  <c r="BL41" i="21"/>
  <c r="BK41" i="21"/>
  <c r="BJ41" i="21"/>
  <c r="BI41" i="21"/>
  <c r="BH41" i="21"/>
  <c r="BG41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BM35" i="21"/>
  <c r="BL35" i="21"/>
  <c r="BK35" i="21"/>
  <c r="BJ35" i="21"/>
  <c r="BI35" i="21"/>
  <c r="BH35" i="21"/>
  <c r="BG35" i="21"/>
  <c r="BF35" i="21"/>
  <c r="BE35" i="21"/>
  <c r="BD35" i="21"/>
  <c r="BC35" i="21"/>
  <c r="BB35" i="21"/>
  <c r="BA35" i="21"/>
  <c r="AZ35" i="21"/>
  <c r="AY35" i="21"/>
  <c r="AX35" i="21"/>
  <c r="AW35" i="21"/>
  <c r="AV35" i="21"/>
  <c r="AU35" i="21"/>
  <c r="AT35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BM29" i="21"/>
  <c r="BL29" i="21"/>
  <c r="BK29" i="21"/>
  <c r="BJ29" i="21"/>
  <c r="BI29" i="21"/>
  <c r="BH29" i="21"/>
  <c r="BG29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BM26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BM25" i="21"/>
  <c r="AS25" i="21"/>
  <c r="AR25" i="21"/>
  <c r="AQ25" i="21"/>
  <c r="AP25" i="21"/>
  <c r="AO25" i="21"/>
  <c r="AN25" i="21"/>
  <c r="AM25" i="21"/>
  <c r="AL25" i="21"/>
  <c r="AK25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BM19" i="21"/>
  <c r="BL19" i="21"/>
  <c r="BK19" i="21"/>
  <c r="BJ19" i="21"/>
  <c r="BI19" i="21"/>
  <c r="BH19" i="21"/>
  <c r="BG19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BM16" i="21"/>
  <c r="BL16" i="21"/>
  <c r="BK16" i="21"/>
  <c r="BJ16" i="21"/>
  <c r="BI16" i="21"/>
  <c r="BH16" i="21"/>
  <c r="BG16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BM9" i="21"/>
  <c r="BL9" i="21"/>
  <c r="BK9" i="21"/>
  <c r="BJ9" i="21"/>
  <c r="BI9" i="21"/>
  <c r="BH9" i="21"/>
  <c r="BG9" i="21"/>
  <c r="BF9" i="21"/>
  <c r="BE9" i="21"/>
  <c r="BD9" i="21"/>
  <c r="BC9" i="21"/>
  <c r="BB9" i="21"/>
  <c r="BA9" i="21"/>
  <c r="AZ9" i="21"/>
  <c r="AY9" i="21"/>
  <c r="AX9" i="21"/>
  <c r="AW9" i="21"/>
  <c r="AV9" i="21"/>
  <c r="AU9" i="21"/>
  <c r="AT9" i="21"/>
  <c r="AS9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M12" i="10"/>
  <c r="L12" i="10"/>
  <c r="K12" i="10"/>
  <c r="J12" i="10"/>
  <c r="I12" i="10"/>
  <c r="H12" i="10"/>
  <c r="G12" i="10"/>
  <c r="F12" i="10"/>
  <c r="E12" i="10"/>
  <c r="D12" i="10"/>
  <c r="G46" i="14" l="1"/>
  <c r="F46" i="14"/>
  <c r="E46" i="14"/>
  <c r="K46" i="14"/>
  <c r="J46" i="14"/>
  <c r="I40" i="14"/>
  <c r="I41" i="14" s="1"/>
  <c r="I46" i="14"/>
  <c r="L40" i="14"/>
  <c r="L41" i="14" s="1"/>
  <c r="L46" i="14"/>
  <c r="E40" i="14"/>
  <c r="E41" i="14" s="1"/>
  <c r="H46" i="14"/>
  <c r="F40" i="13"/>
  <c r="F41" i="13" s="1"/>
  <c r="E41" i="13"/>
  <c r="G40" i="13"/>
  <c r="G41" i="13" s="1"/>
  <c r="G46" i="13"/>
  <c r="H40" i="13"/>
  <c r="H41" i="13" s="1"/>
  <c r="L40" i="13"/>
  <c r="L41" i="13" s="1"/>
  <c r="I40" i="13"/>
  <c r="I41" i="13" s="1"/>
  <c r="J40" i="13"/>
  <c r="J41" i="13" s="1"/>
  <c r="K40" i="13"/>
  <c r="K41" i="13" s="1"/>
  <c r="M74" i="23"/>
  <c r="U21" i="23"/>
  <c r="U44" i="23" s="1"/>
  <c r="J40" i="23"/>
  <c r="R40" i="23"/>
  <c r="Z40" i="23"/>
  <c r="R43" i="23"/>
  <c r="K75" i="23"/>
  <c r="K79" i="23"/>
  <c r="K74" i="23"/>
  <c r="AC21" i="23"/>
  <c r="AC44" i="23" s="1"/>
  <c r="T42" i="23"/>
  <c r="S43" i="23"/>
  <c r="G35" i="23"/>
  <c r="O35" i="23"/>
  <c r="Z43" i="23"/>
  <c r="M82" i="23"/>
  <c r="K72" i="23"/>
  <c r="K76" i="23"/>
  <c r="K80" i="23"/>
  <c r="M22" i="23"/>
  <c r="M45" i="23" s="1"/>
  <c r="H35" i="23"/>
  <c r="P35" i="23"/>
  <c r="AB42" i="23"/>
  <c r="AA43" i="23"/>
  <c r="M70" i="23"/>
  <c r="R11" i="23"/>
  <c r="T22" i="23"/>
  <c r="T45" i="23" s="1"/>
  <c r="I35" i="23"/>
  <c r="K69" i="23"/>
  <c r="H73" i="23"/>
  <c r="K73" i="23" s="1"/>
  <c r="K77" i="23"/>
  <c r="K81" i="23"/>
  <c r="U22" i="23"/>
  <c r="U45" i="23" s="1"/>
  <c r="J35" i="23"/>
  <c r="M76" i="23"/>
  <c r="M78" i="23"/>
  <c r="L69" i="23"/>
  <c r="N52" i="23" s="1"/>
  <c r="Q35" i="23"/>
  <c r="K42" i="23"/>
  <c r="S42" i="23"/>
  <c r="AA42" i="23"/>
  <c r="I43" i="23"/>
  <c r="Q43" i="23"/>
  <c r="Y43" i="23"/>
  <c r="N69" i="23"/>
  <c r="N70" i="23"/>
  <c r="N71" i="23"/>
  <c r="N72" i="23"/>
  <c r="N73" i="23"/>
  <c r="N74" i="23"/>
  <c r="N75" i="23"/>
  <c r="N76" i="23"/>
  <c r="N77" i="23"/>
  <c r="N78" i="23"/>
  <c r="N79" i="23"/>
  <c r="N80" i="23"/>
  <c r="N81" i="23"/>
  <c r="N82" i="23"/>
  <c r="N21" i="23"/>
  <c r="N44" i="23" s="1"/>
  <c r="G21" i="23"/>
  <c r="G44" i="23" s="1"/>
  <c r="O21" i="23"/>
  <c r="O44" i="23" s="1"/>
  <c r="W21" i="23"/>
  <c r="W44" i="23" s="1"/>
  <c r="F22" i="23"/>
  <c r="F45" i="23" s="1"/>
  <c r="N22" i="23"/>
  <c r="N45" i="23" s="1"/>
  <c r="V22" i="23"/>
  <c r="V45" i="23" s="1"/>
  <c r="AD22" i="23"/>
  <c r="AD45" i="23" s="1"/>
  <c r="I69" i="23"/>
  <c r="I70" i="23"/>
  <c r="L70" i="23" s="1"/>
  <c r="N53" i="23" s="1"/>
  <c r="I71" i="23"/>
  <c r="L71" i="23" s="1"/>
  <c r="N54" i="23" s="1"/>
  <c r="I72" i="23"/>
  <c r="L72" i="23" s="1"/>
  <c r="N55" i="23" s="1"/>
  <c r="I73" i="23"/>
  <c r="L73" i="23" s="1"/>
  <c r="N56" i="23" s="1"/>
  <c r="I74" i="23"/>
  <c r="L74" i="23" s="1"/>
  <c r="N57" i="23" s="1"/>
  <c r="I75" i="23"/>
  <c r="L75" i="23" s="1"/>
  <c r="N58" i="23" s="1"/>
  <c r="I76" i="23"/>
  <c r="L76" i="23" s="1"/>
  <c r="N59" i="23" s="1"/>
  <c r="I77" i="23"/>
  <c r="L77" i="23" s="1"/>
  <c r="N60" i="23" s="1"/>
  <c r="I78" i="23"/>
  <c r="L78" i="23" s="1"/>
  <c r="N61" i="23" s="1"/>
  <c r="I79" i="23"/>
  <c r="L79" i="23" s="1"/>
  <c r="N62" i="23" s="1"/>
  <c r="I80" i="23"/>
  <c r="L80" i="23" s="1"/>
  <c r="N63" i="23" s="1"/>
  <c r="I81" i="23"/>
  <c r="L81" i="23" s="1"/>
  <c r="N64" i="23" s="1"/>
  <c r="I82" i="23"/>
  <c r="L82" i="23" s="1"/>
  <c r="N65" i="23" s="1"/>
  <c r="F21" i="23"/>
  <c r="F44" i="23" s="1"/>
  <c r="H21" i="23"/>
  <c r="H44" i="23" s="1"/>
  <c r="P21" i="23"/>
  <c r="P44" i="23" s="1"/>
  <c r="X21" i="23"/>
  <c r="X44" i="23" s="1"/>
  <c r="G22" i="23"/>
  <c r="G45" i="23" s="1"/>
  <c r="O22" i="23"/>
  <c r="O45" i="23" s="1"/>
  <c r="W22" i="23"/>
  <c r="W45" i="23" s="1"/>
  <c r="J69" i="23"/>
  <c r="J70" i="23"/>
  <c r="J71" i="23"/>
  <c r="J72" i="23"/>
  <c r="J74" i="23"/>
  <c r="J75" i="23"/>
  <c r="J76" i="23"/>
  <c r="J77" i="23"/>
  <c r="J78" i="23"/>
  <c r="J79" i="23"/>
  <c r="J80" i="23"/>
  <c r="J81" i="23"/>
  <c r="J82" i="23"/>
  <c r="AD21" i="23"/>
  <c r="AD44" i="23" s="1"/>
  <c r="I21" i="23"/>
  <c r="I44" i="23" s="1"/>
  <c r="Q21" i="23"/>
  <c r="Q44" i="23" s="1"/>
  <c r="Y21" i="23"/>
  <c r="Y44" i="23" s="1"/>
  <c r="H22" i="23"/>
  <c r="H45" i="23" s="1"/>
  <c r="P22" i="23"/>
  <c r="P45" i="23" s="1"/>
  <c r="X22" i="23"/>
  <c r="X45" i="23" s="1"/>
  <c r="V43" i="23"/>
  <c r="J21" i="23"/>
  <c r="J44" i="23" s="1"/>
  <c r="R21" i="23"/>
  <c r="R44" i="23" s="1"/>
  <c r="Z21" i="23"/>
  <c r="Z44" i="23" s="1"/>
  <c r="F13" i="11"/>
  <c r="J13" i="11"/>
  <c r="G13" i="11"/>
  <c r="O13" i="11"/>
  <c r="H13" i="11"/>
  <c r="P13" i="11"/>
  <c r="I13" i="11"/>
  <c r="Q13" i="11"/>
  <c r="K13" i="11"/>
  <c r="E13" i="11"/>
  <c r="P38" i="22"/>
  <c r="AB38" i="22"/>
  <c r="T37" i="22"/>
  <c r="M37" i="22"/>
  <c r="H38" i="22"/>
  <c r="S38" i="22"/>
  <c r="AA38" i="22"/>
  <c r="J38" i="22"/>
  <c r="E37" i="22"/>
  <c r="E38" i="22"/>
  <c r="F38" i="22"/>
  <c r="N38" i="22"/>
  <c r="I38" i="22"/>
  <c r="Q38" i="22"/>
  <c r="G38" i="22"/>
  <c r="G39" i="22" s="1"/>
  <c r="O38" i="22"/>
  <c r="O39" i="22" s="1"/>
  <c r="F46" i="13" l="1"/>
  <c r="I46" i="13"/>
  <c r="E46" i="13"/>
  <c r="J46" i="13"/>
  <c r="K46" i="13"/>
  <c r="H46" i="13"/>
  <c r="L46" i="13"/>
  <c r="J73" i="23"/>
  <c r="M73" i="23"/>
  <c r="R34" i="23"/>
  <c r="R35" i="23" s="1"/>
  <c r="S11" i="23"/>
  <c r="R12" i="23"/>
  <c r="P39" i="22"/>
  <c r="T38" i="22"/>
  <c r="T39" i="22" s="1"/>
  <c r="H39" i="22"/>
  <c r="R38" i="22"/>
  <c r="R39" i="22" s="1"/>
  <c r="AB39" i="22"/>
  <c r="S39" i="22"/>
  <c r="E39" i="22"/>
  <c r="Y38" i="22"/>
  <c r="AD38" i="22"/>
  <c r="U38" i="22"/>
  <c r="V38" i="22"/>
  <c r="W38" i="22"/>
  <c r="AC38" i="22"/>
  <c r="Z38" i="22"/>
  <c r="X38" i="22"/>
  <c r="AA39" i="22"/>
  <c r="N39" i="22"/>
  <c r="J39" i="22"/>
  <c r="M38" i="22"/>
  <c r="K38" i="22"/>
  <c r="L38" i="22"/>
  <c r="Q39" i="22"/>
  <c r="F39" i="22"/>
  <c r="I39" i="22"/>
  <c r="T11" i="23" l="1"/>
  <c r="S34" i="23"/>
  <c r="S35" i="23" s="1"/>
  <c r="S12" i="23"/>
  <c r="AD39" i="22"/>
  <c r="Y39" i="22"/>
  <c r="Z39" i="22"/>
  <c r="V39" i="22"/>
  <c r="AC39" i="22"/>
  <c r="U39" i="22"/>
  <c r="X39" i="22"/>
  <c r="W39" i="22"/>
  <c r="M39" i="22"/>
  <c r="K39" i="22"/>
  <c r="L39" i="22"/>
  <c r="T34" i="23" l="1"/>
  <c r="T35" i="23" s="1"/>
  <c r="T12" i="23"/>
  <c r="U11" i="23"/>
  <c r="U12" i="23" l="1"/>
  <c r="V11" i="23"/>
  <c r="U34" i="23"/>
  <c r="U35" i="23" s="1"/>
  <c r="V12" i="23" l="1"/>
  <c r="W11" i="23"/>
  <c r="V34" i="23"/>
  <c r="V35" i="23" s="1"/>
  <c r="W34" i="23" l="1"/>
  <c r="W35" i="23" s="1"/>
  <c r="W12" i="23"/>
  <c r="X11" i="23"/>
  <c r="Y11" i="23" l="1"/>
  <c r="X34" i="23"/>
  <c r="X35" i="23" s="1"/>
  <c r="X12" i="23"/>
  <c r="Y34" i="23" l="1"/>
  <c r="Y35" i="23" s="1"/>
  <c r="Z11" i="23"/>
  <c r="Y12" i="23"/>
  <c r="Z34" i="23" l="1"/>
  <c r="Z35" i="23" s="1"/>
  <c r="AA11" i="23"/>
  <c r="Z12" i="23"/>
  <c r="AA34" i="23" l="1"/>
  <c r="AA35" i="23" s="1"/>
  <c r="AB11" i="23"/>
  <c r="AA12" i="23"/>
  <c r="AB34" i="23" l="1"/>
  <c r="AB35" i="23" s="1"/>
  <c r="AB12" i="23"/>
  <c r="AC11" i="23"/>
  <c r="AD11" i="23" l="1"/>
  <c r="AC12" i="23"/>
  <c r="AC34" i="23"/>
  <c r="AC35" i="23" s="1"/>
  <c r="AD34" i="23" l="1"/>
  <c r="AD35" i="23" s="1"/>
  <c r="AD12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4" authorId="0" shapeId="0" xr:uid="{E1CEEB59-4BD0-4D9B-B655-F601751D8FA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
EMAC BGP - Cuenca
Captura y Quema de Biogás del Relleno Sanitario “Las Iguanas”
EMGIRS - Aprovechamiento de BIO - GASGREEN
Relleno Sanitario del GADM de Ambato</t>
        </r>
      </text>
    </comment>
    <comment ref="C5" authorId="0" shapeId="0" xr:uid="{16BEB8D4-FEE8-4BC7-9C9D-45342197266B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I5" authorId="0" shapeId="0" xr:uid="{6F454EE0-3F8F-4FD3-8F61-C8D1009B24F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EMGIRS - Nuevo Complejo Ambiental (tratamiento biológico-mecánico, aprovechamiento de gas)</t>
        </r>
      </text>
    </comment>
    <comment ref="I10" authorId="0" shapeId="0" xr:uid="{4F813E47-18BC-44C0-9EE9-3F1F18F4C7A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emiciones neta mas metano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J4" authorId="0" shapeId="0" xr:uid="{77558EFA-40AA-4C83-A7E6-676660DC8A9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J5" authorId="0" shapeId="0" xr:uid="{A5C6C910-F10C-40EB-B853-92A8A7F677C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A14" authorId="0" shapeId="0" xr:uid="{0EDAFDF6-75FC-4394-9E82-27B62D8BA73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CUADRO 2.5 LORES POR DEFECTO PARA CONTENIDOS DE DOC Y CARBONO FÓSIL EN DESECHOS INDUSTRIALES  </t>
        </r>
      </text>
    </comment>
    <comment ref="A15" authorId="0" shapeId="0" xr:uid="{1AB2960A-5A17-482F-B0E1-41E88EB1C18E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CUADRO 3.2 
FACTOR DE OXIDACIÓN (OX) PARA LOS SEDS</t>
        </r>
      </text>
    </comment>
    <comment ref="A16" authorId="0" shapeId="0" xr:uid="{F6C4A58E-7060-48E9-BDCB-CAE33A06FFA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TABLE 3.5 (UPDATED) 
ESTIMATES OF UNCERTAINTIES ASSOCIATED WITH THE DEFAULT ACTIVITY DATA AND PARAMETERS 
 IN THE FOD METHOD FOR CH4 EMISSIONS FROM SWDS </t>
        </r>
      </text>
    </comment>
    <comment ref="A17" authorId="0" shapeId="0" xr:uid="{35EE65C1-AD5B-40CC-8E02-EF25A3F3E832}">
      <text>
        <r>
          <rPr>
            <b/>
            <sz val="9"/>
            <color indexed="81"/>
            <rFont val="Tahoma"/>
            <family val="2"/>
          </rPr>
          <t>TABLE 3.1 (UPDATED) 
SWDS CLASSIFICATION AND METHANE CORRECTION FACTORS (MCF)</t>
        </r>
      </text>
    </comment>
    <comment ref="A18" authorId="0" shapeId="0" xr:uid="{9ED4A0FF-9EB6-4003-964D-FEE28845164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Por defecto IPPC</t>
        </r>
      </text>
    </comment>
    <comment ref="J23" authorId="0" shapeId="0" xr:uid="{181EA73C-76B0-4CE8-AF48-DC55848BE80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J24" authorId="0" shapeId="0" xr:uid="{AC7A0E85-3CD3-4807-9D34-EB4EDBB7656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A25" authorId="0" shapeId="0" xr:uid="{540B1E46-0F24-48DA-B2F8-F50E03882E67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EMGIRS COMPLEJO AMBIENTAL</t>
        </r>
      </text>
    </comment>
    <comment ref="B25" authorId="0" shapeId="0" xr:uid="{12A11473-BEF6-44FD-A74F-992E553AE10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EMAC-EP, EMMAIC-EP</t>
        </r>
      </text>
    </comment>
    <comment ref="J25" authorId="0" shapeId="0" xr:uid="{3046C3CA-BB49-4FB4-B028-903CC788DD8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G32" authorId="0" shapeId="0" xr:uid="{05F56D46-E474-42DC-A096-386C444286A5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1 PROYECTO DE COMPOSTAJE</t>
        </r>
      </text>
    </comment>
    <comment ref="AJ32" authorId="0" shapeId="0" xr:uid="{1548DC42-BB07-4221-8A09-E1EF27B60EF3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 proyectos lombricultura y amazonia</t>
        </r>
      </text>
    </comment>
    <comment ref="A75" authorId="0" shapeId="0" xr:uid="{95B77671-85E7-4A38-84AE-F058A01830AA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Por defecto IPPC</t>
        </r>
      </text>
    </comment>
    <comment ref="A76" authorId="0" shapeId="0" xr:uid="{5884704E-301E-4937-BBB2-7241E084AD5D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TABLE 3.1 (UPDATED) 
SWDS CLASSIFICATION AND METHANE CORRECTION FACTORS (MCF)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G8" authorId="0" shapeId="0" xr:uid="{C248B1DD-1D82-423F-87F4-4754649CB83C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https://www.quitoinforma.gob.ec/2024/10/17/manejo-adecuado-de-residuos-solidos-genera-energia-electrica-para-quito/</t>
        </r>
      </text>
    </comment>
    <comment ref="D9" authorId="0" shapeId="0" xr:uid="{781619C4-73F9-41EC-A9D7-A2702D325E3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2028</t>
        </r>
      </text>
    </comment>
    <comment ref="D10" authorId="0" shapeId="0" xr:uid="{7CB00F58-D3DE-4054-BDC5-E6E356C9F398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2029-2035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C11" authorId="0" shapeId="0" xr:uid="{28AC7E48-A5D0-4C34-A012-5F65A5EFD219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PLAN MICC OCUPA MISMO VALOR PARA TODOS LOS AÑOS DESDE EL 2019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I10" authorId="0" shapeId="0" xr:uid="{6C9A07D7-0DE1-4280-90EC-4A39D045AEC6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Los proyectos considerados en esta sección son: GADM Guayaquil - Las Esclusas, GADM Guayaquil - Los Merinos, EMAPS - Construcción PTAR Tumbaco (Plantas descentralizadas), EMAPS - Construcción PTAR Quitumbe y UDLA - Planta de tratamiento UDLA-PARK.</t>
        </r>
      </text>
    </comment>
    <comment ref="G15" authorId="0" shapeId="0" xr:uid="{29737574-700F-4996-9E38-6D6DBF9B5DFF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Resta de emisiones de Aguas residuales de residuos liquidos sin tratamiento con los proyectos que presentan un potencial de mitigación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B12" authorId="0" shapeId="0" xr:uid="{3A9A829F-C0E4-4AD7-9AC0-A8E64E6F9932}">
      <text>
        <r>
          <rPr>
            <b/>
            <sz val="9"/>
            <color indexed="81"/>
            <rFont val="Tahoma"/>
            <family val="2"/>
          </rPr>
          <t>pc:</t>
        </r>
        <r>
          <rPr>
            <sz val="9"/>
            <color indexed="81"/>
            <rFont val="Tahoma"/>
            <family val="2"/>
          </rPr>
          <t xml:space="preserve">
21 plantas integra iniciativa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M7" authorId="0" shapeId="0" xr:uid="{6066F8C2-EB4D-40C5-A5C9-56ACB109A52E}">
      <text>
        <r>
          <rPr>
            <b/>
            <sz val="9"/>
            <color indexed="81"/>
            <rFont val="Tahoma"/>
            <family val="2"/>
          </rPr>
          <t>Se pidió excluir este costo pues está asociado al sector industria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Ignacio Alfaro</author>
  </authors>
  <commentList>
    <comment ref="M7" authorId="0" shapeId="0" xr:uid="{5F39EBB5-E218-4729-901F-39AFCDBF1FF6}">
      <text>
        <r>
          <rPr>
            <b/>
            <sz val="9"/>
            <color indexed="81"/>
            <rFont val="Tahoma"/>
            <family val="2"/>
          </rPr>
          <t>Se pidió excluir este costo pues está asociado al sector industria</t>
        </r>
      </text>
    </comment>
  </commentList>
</comments>
</file>

<file path=xl/sharedStrings.xml><?xml version="1.0" encoding="utf-8"?>
<sst xmlns="http://schemas.openxmlformats.org/spreadsheetml/2006/main" count="1347" uniqueCount="427">
  <si>
    <t>Notas importantes</t>
  </si>
  <si>
    <t>Llenar por favor TODAS las hojas y los espacios en blanco de este libro de Excel.</t>
  </si>
  <si>
    <t>Acompañe los datos de las casillas con comentarios para facilitar la comprensión de los datos, su origen, los cálculos, los supuestos, entre otros.</t>
  </si>
  <si>
    <t>Si requiere agregar más hojas, más filas o columnas, más tecnologías u otro para completar todos los datos necesarios de los 3 escenarios complementarios al BAU, hágalo por favor.</t>
  </si>
  <si>
    <t>Agregue comentarios explicativos bajo las tablas de los datos para la mejor comprensión de los escenarios.</t>
  </si>
  <si>
    <t>Si tiene dudas, contacte a los equipos o personas correspondientes para aclararlas.</t>
  </si>
  <si>
    <t>Si las variables dentro de las hojas no varían en comparación con el escenario BAU, replicar los datos donde corresponda e indicar que esto pasa.</t>
  </si>
  <si>
    <t>Siempre que sea posible, acompañe los datos con la referencia de procedencia (enlaces de la web, nombre del informe u otro).</t>
  </si>
  <si>
    <t>No se detallan necesariamente todas las tecnologías. Se incorporaron algunas de ellas y es cuestión de agregar más líneas para caracterizar cada tecnología,
sobretodo con las tecnologías reductoras de emisiones o indicadores mejorados de los 3 escenarios de emisiones reducidas.</t>
  </si>
  <si>
    <t>En algunos casos, se incluyeros unidades predeterminadas para los datos. Si los datos están en otras unidades o es mejor verlos en otras unidades, modifíquelo por favor.</t>
  </si>
  <si>
    <t>Si solo se tienen valores en años puntuales o años meta y no en todo el intervalo, colóquelos en el año correspondiente de igual manera. Se usará algún método de interpolación
o extrapolación para completar todo el intervalo.</t>
  </si>
  <si>
    <t>Si existen datos de la recuperación de metano consumido para generación de electricidad con plantas instaladas en vertederos, crear una nueva hoja e indicar la evolución esperada
en el tiempo de esa tecnología.</t>
  </si>
  <si>
    <t>Ecuador</t>
  </si>
  <si>
    <t>RESIDUOS SÓLIDOS</t>
  </si>
  <si>
    <t>Producción per cápita PPC [kg residuos sólidos/año]</t>
  </si>
  <si>
    <t>RESIDUOS LÍQUIDOS</t>
  </si>
  <si>
    <t>Producción per cápita PPC [m3/año]</t>
  </si>
  <si>
    <t>Escenario: Políticas Anunciadas</t>
  </si>
  <si>
    <t>Disposición final</t>
  </si>
  <si>
    <t>Reciclaje de residuos inorgánicos separados en sitio de disposición final</t>
  </si>
  <si>
    <t>Compostaje</t>
  </si>
  <si>
    <t>Relleno sanitario</t>
  </si>
  <si>
    <t>Botadero a cielo abierto</t>
  </si>
  <si>
    <t>Separación en sitio de disposición final</t>
  </si>
  <si>
    <t>Separación de residuos inorgánicos en sitio de disposición final</t>
  </si>
  <si>
    <t>No separación de residuos mezclados en sitio de disposición final</t>
  </si>
  <si>
    <t>Recolección</t>
  </si>
  <si>
    <t>Recolección diferenciada de residuos inorgánicos</t>
  </si>
  <si>
    <t>Recolección diferenciada de residuos orgánicos</t>
  </si>
  <si>
    <t>Recolección no diferenciada de residuos mezclados</t>
  </si>
  <si>
    <t>Separación en la fuente</t>
  </si>
  <si>
    <t>Separación de residuos orgánicos en la fuente</t>
  </si>
  <si>
    <t>Separación de residuos inorgánicos en la fuente</t>
  </si>
  <si>
    <t>No separación de residuos en la fuente</t>
  </si>
  <si>
    <t>Escenario: Net Zero 2050</t>
  </si>
  <si>
    <t>Escenario: Net Zero 2070</t>
  </si>
  <si>
    <t>Distribución de las aguas residuales</t>
  </si>
  <si>
    <t>% Residuos sin tratamiento</t>
  </si>
  <si>
    <t>% Alcantarillado</t>
  </si>
  <si>
    <t>% Tanques sépticos</t>
  </si>
  <si>
    <t>% Total</t>
  </si>
  <si>
    <t>Distribución de las aguas residuales que van al alcantarillado</t>
  </si>
  <si>
    <t>% Con tratamiento</t>
  </si>
  <si>
    <t>% Sin tratamiento</t>
  </si>
  <si>
    <t>% Tanques sépticos/ tratamiento descentralizado</t>
  </si>
  <si>
    <t>Interpolación</t>
  </si>
  <si>
    <t>m1</t>
  </si>
  <si>
    <t>b1</t>
  </si>
  <si>
    <t>m2</t>
  </si>
  <si>
    <t>b2</t>
  </si>
  <si>
    <t>m3</t>
  </si>
  <si>
    <t>b3</t>
  </si>
  <si>
    <t>Separación de residuos orgánicos en sitio de disposición final</t>
  </si>
  <si>
    <t>OSS_INORG</t>
  </si>
  <si>
    <t>OSS_ORG</t>
  </si>
  <si>
    <t>NO_OSS_BLEND</t>
  </si>
  <si>
    <t>INORG_RCY_OS</t>
  </si>
  <si>
    <t>COMPOST</t>
  </si>
  <si>
    <t>LANDFILL</t>
  </si>
  <si>
    <t>NO_CONTR_OD</t>
  </si>
  <si>
    <t>ORG_SS</t>
  </si>
  <si>
    <t>INORG_SS</t>
  </si>
  <si>
    <t>NO_SS</t>
  </si>
  <si>
    <t>BLEND_NO_DCOLL</t>
  </si>
  <si>
    <t>INORG_DCOLL</t>
  </si>
  <si>
    <t>ORG_DCOLL</t>
  </si>
  <si>
    <t>Total</t>
  </si>
  <si>
    <t>m</t>
  </si>
  <si>
    <t>b</t>
  </si>
  <si>
    <t>Códificación OSeMOSYS</t>
  </si>
  <si>
    <t>Producción de residuos sólidos</t>
  </si>
  <si>
    <t>TSW</t>
  </si>
  <si>
    <t>% Con tratamiento (ESTO ES CON RESPECTO AL TOTAL DE AGUAS RESIDUALES)</t>
  </si>
  <si>
    <t>% Sin tratamiento (ESTO ES CON RESPECTO AL TOTAL DE AGUAS RESIDUALES)</t>
  </si>
  <si>
    <t>Códigos OSeMOSYS</t>
  </si>
  <si>
    <t>WWWT;SEWERWWWT;SEWERWW</t>
  </si>
  <si>
    <t>WWWOT;TWWWOT</t>
  </si>
  <si>
    <t>STWW</t>
  </si>
  <si>
    <t>Producción de residuos sólidos [Mt]</t>
  </si>
  <si>
    <t>Producción de aguas residuales [miles de millones de m3]</t>
  </si>
  <si>
    <t>BAU</t>
  </si>
  <si>
    <t>Residuos sólidos (PORCENTAJES)</t>
  </si>
  <si>
    <t>Aguas residuales (PORCENTAJES)</t>
  </si>
  <si>
    <t>Residuos sólidos (Mt)</t>
  </si>
  <si>
    <t>WWWOT</t>
  </si>
  <si>
    <t>WWWT</t>
  </si>
  <si>
    <t>WFIRU</t>
  </si>
  <si>
    <t>LANDFILL_ELEC</t>
  </si>
  <si>
    <t>SEWERWWWOT</t>
  </si>
  <si>
    <t>SEWERWWWT</t>
  </si>
  <si>
    <t>WWWTFIRU</t>
  </si>
  <si>
    <t>TWWWOT</t>
  </si>
  <si>
    <t>SEWERWW</t>
  </si>
  <si>
    <t>Aguas residuales: CAPEX (MUSD/miles de millones de m3)</t>
  </si>
  <si>
    <t>Agua residual sin tratamiento</t>
  </si>
  <si>
    <t>Agua residual con tratamiento</t>
  </si>
  <si>
    <t>Aguas en alcantarillado que no se tratan</t>
  </si>
  <si>
    <t>Aguas en alcantarillado que sí se tratan</t>
  </si>
  <si>
    <t>Sistemas sépticos</t>
  </si>
  <si>
    <t>Alcantarillado para aguas residuales</t>
  </si>
  <si>
    <t>Aguas residuales no recolectadas</t>
  </si>
  <si>
    <t>Agua para reúso</t>
  </si>
  <si>
    <t>Agua tratada para reúso</t>
  </si>
  <si>
    <t>Tratamiento/No tratamiento</t>
  </si>
  <si>
    <t>Clasificación de aguas residuales</t>
  </si>
  <si>
    <t>Aguas residuales: OPEX variable (MUSD/miles de millones de m3)</t>
  </si>
  <si>
    <t>RM</t>
  </si>
  <si>
    <t>FERT_ORG</t>
  </si>
  <si>
    <t>SALUD</t>
  </si>
  <si>
    <t>Beneficio por cada dólar invertudo [USD/USD]</t>
  </si>
  <si>
    <t>Valorización del material reciclado [USD/t]</t>
  </si>
  <si>
    <t>Valorización del material compostado [USD/t]</t>
  </si>
  <si>
    <t>Externalidades (igual para todos los escenarios)</t>
  </si>
  <si>
    <t>Residuos sólidos: OPEX variable [MUSD/Mt] (igual para todos los escenarios)</t>
  </si>
  <si>
    <t>Residuos sólidos: CAPEX [MUSD/Mt] (igual para todos los escenarios)</t>
  </si>
  <si>
    <t>% Con tratamiento (ESTO ES CON RESPECTO A LO QUE VA A ACANTARILLADO)</t>
  </si>
  <si>
    <t>% Sin tratamiento (ESTO ES CON RESPECTO A LO QUE VA A ACANTARILLADO)</t>
  </si>
  <si>
    <t>Escenario BAU</t>
  </si>
  <si>
    <t>Aguas residuales [miles millones de m3]</t>
  </si>
  <si>
    <t>Producción de aguas residuales</t>
  </si>
  <si>
    <t>Residuos sin tratamiento</t>
  </si>
  <si>
    <t>Tanques sépticos/ tratamiento descentralizado</t>
  </si>
  <si>
    <t>Con tratamiento (ESTO ES CON RESPECTO A LO QUE VA A ACANTARILLADO)</t>
  </si>
  <si>
    <t>Sin tratamiento (ESTO ES CON RESPECTO A LO QUE VA A ACANTARILLADO)</t>
  </si>
  <si>
    <t>Con tratamiento (ESTO ES CON RESPECTO AL TOTAL DE AGUAS RESIDUALES)</t>
  </si>
  <si>
    <t>Sin tratamiento (ESTO ES CON RESPECTO AL TOTAL DE AGUAS RESIDUALES)</t>
  </si>
  <si>
    <t>Tecnología</t>
  </si>
  <si>
    <t>Nomenclatura en OSeMOSYS</t>
  </si>
  <si>
    <t>IWW</t>
  </si>
  <si>
    <t>Aguas residuales industriales</t>
  </si>
  <si>
    <t>Descripción</t>
  </si>
  <si>
    <t>Tratamiento biológico de residuos sólidos orgánicos</t>
  </si>
  <si>
    <t xml:space="preserve">FACTORES DE EMISIÓN </t>
  </si>
  <si>
    <t>Unidades</t>
  </si>
  <si>
    <t>MtCO2e/Mt residuos sólidos</t>
  </si>
  <si>
    <t>MtCO2e/miles de millones de m3</t>
  </si>
  <si>
    <t>WWWOT;TWWWOT, SEWERWWWOT</t>
  </si>
  <si>
    <t>BLEND_NO_COLL</t>
  </si>
  <si>
    <t xml:space="preserve">No recolección de residuos </t>
  </si>
  <si>
    <t>NO_OSS_NO_COLL</t>
  </si>
  <si>
    <t>No separación de residuos mezclados no recolectados</t>
  </si>
  <si>
    <t>AD</t>
  </si>
  <si>
    <t>Digestión Anaerobica</t>
  </si>
  <si>
    <t>LANDFILL_BG</t>
  </si>
  <si>
    <t>Relleno sanitario con quema biogas</t>
  </si>
  <si>
    <t>COPROC</t>
  </si>
  <si>
    <t>Coprocesamiento</t>
  </si>
  <si>
    <t>INCIN</t>
  </si>
  <si>
    <t>Incineranción contralada</t>
  </si>
  <si>
    <t>OPEN_BURN</t>
  </si>
  <si>
    <t>Quema a cielo abierto</t>
  </si>
  <si>
    <t>SIT_CLAN</t>
  </si>
  <si>
    <t>Disposición en sitios clandestinos</t>
  </si>
  <si>
    <t>Producción de aguas residuales-PLAN MICC</t>
  </si>
  <si>
    <t>%agua residual tratada</t>
  </si>
  <si>
    <t>%Aguas residuales tratadas que van alcantarilla</t>
  </si>
  <si>
    <t>millones de m3</t>
  </si>
  <si>
    <t>%sin alcantarillado</t>
  </si>
  <si>
    <t>año</t>
  </si>
  <si>
    <t>SEWERWWWT + STW</t>
  </si>
  <si>
    <t>%agua residual no tratada</t>
  </si>
  <si>
    <t>% agua residual sin tratamiento</t>
  </si>
  <si>
    <t>% agua residual tratada</t>
  </si>
  <si>
    <t>% no tratadas sin alcantarillado</t>
  </si>
  <si>
    <t>agua residual no tratada</t>
  </si>
  <si>
    <t>agua residual tratada</t>
  </si>
  <si>
    <t xml:space="preserve"> tratadas que van alcantarilla</t>
  </si>
  <si>
    <t xml:space="preserve"> sin tratamiento- alcantarillado</t>
  </si>
  <si>
    <t>no tratadas sin alcantarillado</t>
  </si>
  <si>
    <t>%  agua tratada a alcantarillado Normalizado</t>
  </si>
  <si>
    <t>%  agua no tratada a alcantarillado normalizado</t>
  </si>
  <si>
    <t>WWOT;SEWERWWWT;SEWERWW</t>
  </si>
  <si>
    <t xml:space="preserve">% de aguas residuales sin tratamiento  y sin alcantarillado </t>
  </si>
  <si>
    <t>WWT</t>
  </si>
  <si>
    <t>Agua residual tratada</t>
  </si>
  <si>
    <t>agua tratada a alcantarillado Normalizado</t>
  </si>
  <si>
    <t>agua no tratada a alcantarillado normalizado</t>
  </si>
  <si>
    <t>m Agua tratada</t>
  </si>
  <si>
    <t>b  Agua tratada</t>
  </si>
  <si>
    <t>m Agua  no tratada alcan</t>
  </si>
  <si>
    <t>B Agua  no tratada alcan</t>
  </si>
  <si>
    <t>m Agua tratada alcan</t>
  </si>
  <si>
    <t>B Aguano tratada alcan</t>
  </si>
  <si>
    <t>m Aguano tratada alcan</t>
  </si>
  <si>
    <t>b Agua tratada alcan</t>
  </si>
  <si>
    <t>%  sin tratamiento va alcantarillado</t>
  </si>
  <si>
    <t xml:space="preserve">% tratadas va sin alcantarillado </t>
  </si>
  <si>
    <t xml:space="preserve"> tratadas va sin alcantarillado </t>
  </si>
  <si>
    <t>m No trat, no alc</t>
  </si>
  <si>
    <t>b No trat, no alc</t>
  </si>
  <si>
    <t xml:space="preserve"> SEWERWWWOT; SEWERWW</t>
  </si>
  <si>
    <t xml:space="preserve"> SEWERWWWT; SEWERWW</t>
  </si>
  <si>
    <t>Aguas residuales industriales [Mt DC]</t>
  </si>
  <si>
    <t>Etapa 2: Recolección</t>
  </si>
  <si>
    <t>Etapa 3: Separación en el sitio de disposición final</t>
  </si>
  <si>
    <t>Etapa 4: Disposición final</t>
  </si>
  <si>
    <t>Etapa 1: Separación en la fuente</t>
  </si>
  <si>
    <t>|</t>
  </si>
  <si>
    <t>m OSS_INORG</t>
  </si>
  <si>
    <t>b  OSS_INORG</t>
  </si>
  <si>
    <t>m OSS_ORG</t>
  </si>
  <si>
    <t>B OSS_ORG</t>
  </si>
  <si>
    <t>Inorgánicos u otros sin emisiones</t>
  </si>
  <si>
    <t>Sitios gestionados</t>
  </si>
  <si>
    <t>Sitios no gestionados</t>
  </si>
  <si>
    <t>1-%</t>
  </si>
  <si>
    <t>Alcantarillado</t>
  </si>
  <si>
    <t>Escenario</t>
  </si>
  <si>
    <t>Reducción de emisiones por recuperación de emisiones [MtCO2eq]</t>
  </si>
  <si>
    <t>S</t>
  </si>
  <si>
    <t xml:space="preserve">Población </t>
  </si>
  <si>
    <t>Tendencial Nacional</t>
  </si>
  <si>
    <t>Población INEN</t>
  </si>
  <si>
    <t>Aguas residuales no recogidas</t>
  </si>
  <si>
    <t>Sistemas septicos</t>
  </si>
  <si>
    <t>MtCO2eq/ Mt DC</t>
  </si>
  <si>
    <t>TENDENCIAL NACIONAL</t>
  </si>
  <si>
    <t>Reporte de la Gestión, Gasto e Inversión en Protección Ambiental de los Municipios y Consejos Provinciales 2010</t>
  </si>
  <si>
    <t>Reporte de la Gestión, Gasto e Inversión en Protección Ambiental de los Municipios y Consejos Provinciales 2011</t>
  </si>
  <si>
    <t>Reporte de la Gestión, Gasto e Inversión en Protección Ambiental de los Municipios y Consejos Provinciales 2012</t>
  </si>
  <si>
    <t>Información Ambiental Económica en Gobiernos Autónomos Descentraliza 2015</t>
  </si>
  <si>
    <t>Información Ambiental Económica en Gobiernos Autónomos Descentraliza 2016</t>
  </si>
  <si>
    <t>Información Ambiental Económica en Gobiernos Autónomos Descentraliza 2017</t>
  </si>
  <si>
    <t>Información Ambiental Económica en Gobiernos Autónomos Descentraliza 2018</t>
  </si>
  <si>
    <t>Información Ambiental Económica en Gobiernos Autónomos Descentraliza 2019</t>
  </si>
  <si>
    <t>Información Ambiental Económica en Gobiernos Autónomos Descentraliza 2020</t>
  </si>
  <si>
    <t>Información Ambiental Económica en Gobiernos Autónomos Descentraliza 2021</t>
  </si>
  <si>
    <t>Información Ambiental Económica en Gobiernos Autónomos Descentraliza 2022</t>
  </si>
  <si>
    <t>Información Ambiental Económica en Gobiernos Autónomos Descentraliza 2023</t>
  </si>
  <si>
    <t>Reporte de la Gestión, Gasto e Inversión en Protección Ambiental de los Municipios y Consejos Provinciales 2014</t>
  </si>
  <si>
    <t>Fuente</t>
  </si>
  <si>
    <t>Fuente: Base de datos PLAN MICC y 2NDC</t>
  </si>
  <si>
    <t>Fuente: INEC 2024. https://www.ecuadorencifras.gob.ec/proyecciones-poblacionales/</t>
  </si>
  <si>
    <t>Fuente: PLAN MICC</t>
  </si>
  <si>
    <t xml:space="preserve">Tegnologia </t>
  </si>
  <si>
    <t>nombre</t>
  </si>
  <si>
    <t xml:space="preserve">unidad </t>
  </si>
  <si>
    <t>Observación</t>
  </si>
  <si>
    <t>miles millones de m3</t>
  </si>
  <si>
    <t>Escenario Tendencial nacional modelo</t>
  </si>
  <si>
    <t>Act_T_Aguas WASTE (NDC)2017- Plan MICC2018-2070</t>
  </si>
  <si>
    <t>Nombre</t>
  </si>
  <si>
    <t>Tegnologia</t>
  </si>
  <si>
    <t xml:space="preserve">%Agua residuales tratadas que van al alcantarillado </t>
  </si>
  <si>
    <t>%</t>
  </si>
  <si>
    <t>Datos 2014–2023: Boletines INEC (Agua y Saneamiento). Datos 2010–2013: Censo Ambiental Económico en GAD</t>
  </si>
  <si>
    <t>Aguas residuales</t>
  </si>
  <si>
    <t xml:space="preserve"> miles millones de m3</t>
  </si>
  <si>
    <t>%  Aguas residuales de residuos liquidos sin tratamiento</t>
  </si>
  <si>
    <t>Aguas residuales de residuos liquidos sin tratamiento</t>
  </si>
  <si>
    <t>Emisiones  residuos liquidos sin tratamiento</t>
  </si>
  <si>
    <t>Escenario BAU  Tendencial nacional - OSEMOSYS</t>
  </si>
  <si>
    <t>Emisiones NDC- INGEI2022</t>
  </si>
  <si>
    <t>FE OSEMOSYS</t>
  </si>
  <si>
    <t>Escenario BAU modelo</t>
  </si>
  <si>
    <t>Calculado de las INGEI 2022 del NDC/ Mt de millones de m3 (Datos 2014–2023: Boletines INEC (Agua y Saneamiento). Datos 2010–2013: Censo Ambiental Económico en GAD)</t>
  </si>
  <si>
    <t xml:space="preserve"> Mt CO2eq</t>
  </si>
  <si>
    <t>Potencial de reducción- PROYECTOS</t>
  </si>
  <si>
    <t>Mt CO2eq</t>
  </si>
  <si>
    <t>Matriz de iniciativas GCF Readiness Mitigación_Residuos&amp;PI_factibilidad</t>
  </si>
  <si>
    <t>Sumatoria acumulado del potencial  de mitigación al 2035</t>
  </si>
  <si>
    <t>Potencial de reducción- PROYECTOS TOTAL</t>
  </si>
  <si>
    <t>POR SECTOR TWWWOT</t>
  </si>
  <si>
    <t>Emisiones de aguas residuales sin tratamiento</t>
  </si>
  <si>
    <t>WWWOT;TWWWOT- POTENCIAL</t>
  </si>
  <si>
    <t>Aguas residuales de residuos liquidos con tratamiento(1)</t>
  </si>
  <si>
    <t>%Aguas residuales de residuos liquidos sin tratamiento(1)</t>
  </si>
  <si>
    <t>WWWOT;TWWWOT/TSW</t>
  </si>
  <si>
    <t>Agua residuales tratadas que van al alcantarillado incluido proyectos</t>
  </si>
  <si>
    <t>SEWERWWWT;SEWERWW</t>
  </si>
  <si>
    <t xml:space="preserve">Nro. </t>
  </si>
  <si>
    <t xml:space="preserve">Nombre de la Iniciativa </t>
  </si>
  <si>
    <t>INICIO</t>
  </si>
  <si>
    <t xml:space="preserve">¿Cual es el potencial  de mitigación al 2035? 
[kT CO2eq/ año] </t>
  </si>
  <si>
    <t>¿Cual es el potencial  de mitigación al 2035? 
[MT CO2eq/ año] acumulado</t>
  </si>
  <si>
    <t>tegnologia OsemoSYs</t>
  </si>
  <si>
    <t>PTAR en municipio</t>
  </si>
  <si>
    <t>2026-2035</t>
  </si>
  <si>
    <t>2027-2035</t>
  </si>
  <si>
    <t>Tratamiento de Aguas Residuales mediante digestión aeróbica</t>
  </si>
  <si>
    <t>Tratamiento de aguas residuales (Plantas descentralizadas)</t>
  </si>
  <si>
    <t>Tratamiento de aguas residuales institucional</t>
  </si>
  <si>
    <t>Planta de Tratamiento de Aguas Residuales (PTAR) domésticas</t>
  </si>
  <si>
    <t>2034-2035</t>
  </si>
  <si>
    <t>Plan de acción</t>
  </si>
  <si>
    <t xml:space="preserve">Producción de residuos sólidos </t>
  </si>
  <si>
    <t>Iniciativa identificada</t>
  </si>
  <si>
    <t>MtCO2eq</t>
  </si>
  <si>
    <t xml:space="preserve">Iniciativa identificada </t>
  </si>
  <si>
    <t xml:space="preserve">Iniciativa identificada  total </t>
  </si>
  <si>
    <t>LANDFILL+LANDFILL_ELEC</t>
  </si>
  <si>
    <t>Mt</t>
  </si>
  <si>
    <t>Poblacion y PPC de NDC</t>
  </si>
  <si>
    <t xml:space="preserve">Emisiones de Relleno Mt </t>
  </si>
  <si>
    <t>LANFILL</t>
  </si>
  <si>
    <t>Emisiones relleno sanitario</t>
  </si>
  <si>
    <t>Emisiones de Relleno netas</t>
  </si>
  <si>
    <t>LANFILL; LANFILL_ELEC</t>
  </si>
  <si>
    <t>FE Osemosys Lanfill</t>
  </si>
  <si>
    <t>FE OSEMOSYS  LANFILL_ELEC</t>
  </si>
  <si>
    <t>MtCO2e/Mt de residuos</t>
  </si>
  <si>
    <t>NDC- PLAN MICC usan el mismo</t>
  </si>
  <si>
    <t>RESIDUOS Relleno netas</t>
  </si>
  <si>
    <t>% de fases GIRS</t>
  </si>
  <si>
    <t>Calculado metodologia Plan Micc y adaptado a PAC</t>
  </si>
  <si>
    <t>% Residuos en Relleno netas</t>
  </si>
  <si>
    <t>PAC</t>
  </si>
  <si>
    <t>Emisiones NDC- INGEI 5taCN</t>
  </si>
  <si>
    <t>NDC- PLAN MICC usan el mismo del BAU</t>
  </si>
  <si>
    <t>Escenario Tendencial modelo</t>
  </si>
  <si>
    <t>Escenario Tendencial  modelo- OSEMOSYS</t>
  </si>
  <si>
    <t>Escenario Tendencial  modelo</t>
  </si>
  <si>
    <t>EscenarioTendencial  modelo</t>
  </si>
  <si>
    <t>Recuperacion de metano</t>
  </si>
  <si>
    <t xml:space="preserve">Complejo Ambiental </t>
  </si>
  <si>
    <t>Captura y Quema de Biogás 1</t>
  </si>
  <si>
    <t>Captura y Quema de Biogás 2</t>
  </si>
  <si>
    <t>Biogas para electricidad 2</t>
  </si>
  <si>
    <t>Producción de residuos sólidos MT</t>
  </si>
  <si>
    <t xml:space="preserve"> Reducir la producción per cápita </t>
  </si>
  <si>
    <t xml:space="preserve">Potencial de reduccion </t>
  </si>
  <si>
    <t>Potencial de reduccion en  MT de residuos</t>
  </si>
  <si>
    <t>Porcentaje de reducción</t>
  </si>
  <si>
    <t>Kt CO2 eq</t>
  </si>
  <si>
    <t>CH4​evitado</t>
  </si>
  <si>
    <t>Gg CH4</t>
  </si>
  <si>
    <t>Doc</t>
  </si>
  <si>
    <t>Gg de residuos</t>
  </si>
  <si>
    <t>0x</t>
  </si>
  <si>
    <t>DOCf</t>
  </si>
  <si>
    <t>MCF</t>
  </si>
  <si>
    <t>F</t>
  </si>
  <si>
    <t>ndc</t>
  </si>
  <si>
    <t>Producción de residuos sólidos MT nuevo incluido reducción</t>
  </si>
  <si>
    <t>Potencial de reduccion en MT CO2eq</t>
  </si>
  <si>
    <t>Emisiones de Relleno Mt CO2eq</t>
  </si>
  <si>
    <t>Emisiones de Relleno- PotencialCompost Mt CO2eq</t>
  </si>
  <si>
    <t>Cantidad de residuos en Relleno Mt con PotencialCompost Mt CO2eq</t>
  </si>
  <si>
    <t xml:space="preserve">Cantidad de residuos en Relleno Mt </t>
  </si>
  <si>
    <t>Diferencia de residuos compostables en relleno (vs base)</t>
  </si>
  <si>
    <t>LANFILL- COMPOST</t>
  </si>
  <si>
    <t xml:space="preserve">Cantidad de residuos Compost Mt </t>
  </si>
  <si>
    <t>Cantidad de residuos Compost Mt +Diferencia de residuos compostables en relleno (vs base)</t>
  </si>
  <si>
    <t>FE OSEMOSYS LANFILL</t>
  </si>
  <si>
    <t>Calculado de las INGEI 2022 del NDC/ Mt de residuos (Datos 2014–2023: Boletines INEC (RESIDUOS). Datos 2010–2013: Censo Ambiental Económico en GAD)</t>
  </si>
  <si>
    <t>nuevos proyectos</t>
  </si>
  <si>
    <t>Cantidad de residuos Compost Mt +Diferencia de residuos compostables en relleno (vs base)+ NUEVOS PROYECTOS</t>
  </si>
  <si>
    <t>FE OSEMOSYS  COMPOST</t>
  </si>
  <si>
    <t>% residuos sólidos COMPOST</t>
  </si>
  <si>
    <t>Calculado  Mt de residuos  metodologia Plan MICC(Datos 2014–2023: Boletines INEC (RESIDUOS). Datos 2010–2013: Censo Ambiental Económico en GAD)</t>
  </si>
  <si>
    <t>% BAU</t>
  </si>
  <si>
    <t>Emisiones compost Mt CO2eq</t>
  </si>
  <si>
    <t>Emisiones compost potencial Mt CO2eq</t>
  </si>
  <si>
    <t>Emisiones compost Mt CO2eq nuevas</t>
  </si>
  <si>
    <t>FE COMPOST OsemoSys</t>
  </si>
  <si>
    <t>Mt compost nuevo</t>
  </si>
  <si>
    <t>% COMPOST</t>
  </si>
  <si>
    <t>Mitigación=Emisiones en relleno−Emisiones en compostaje</t>
  </si>
  <si>
    <t>Emisiones en compostaje para una kt residuos</t>
  </si>
  <si>
    <t>Por Kt de residuo</t>
  </si>
  <si>
    <t>Gg Ch4</t>
  </si>
  <si>
    <t>Gg NO2</t>
  </si>
  <si>
    <t>GgCO2eq</t>
  </si>
  <si>
    <t>1kt=1Gg</t>
  </si>
  <si>
    <t>FE CH4</t>
  </si>
  <si>
    <t>(Gg de NO2/Gg. de desechos tratados</t>
  </si>
  <si>
    <t>FE NO2</t>
  </si>
  <si>
    <t>(Gg de CH4/Gg. de desechos tratados</t>
  </si>
  <si>
    <t>R</t>
  </si>
  <si>
    <t>GWP CH4</t>
  </si>
  <si>
    <t>GWP NO2</t>
  </si>
  <si>
    <t>w</t>
  </si>
  <si>
    <t>KT</t>
  </si>
  <si>
    <t>Emisiones del relleno sanitario</t>
  </si>
  <si>
    <t>Emisiones en compostaje para un 1 kt.</t>
  </si>
  <si>
    <t>Gg Ch4/Gg</t>
  </si>
  <si>
    <t>Gg CO2eq/Gg residuo</t>
  </si>
  <si>
    <t>Por Ton de residuo</t>
  </si>
  <si>
    <t>w SE APLICA A 1 T</t>
  </si>
  <si>
    <t>doc</t>
  </si>
  <si>
    <t>MCF Relleno optimo</t>
  </si>
  <si>
    <t>W</t>
  </si>
  <si>
    <t> Gg/año</t>
  </si>
  <si>
    <t>W2028</t>
  </si>
  <si>
    <t>Emisiones de compostaje</t>
  </si>
  <si>
    <t>Gg CO2eq</t>
  </si>
  <si>
    <t>Emisiones de compostaje 2028</t>
  </si>
  <si>
    <t>Reduc PPC</t>
  </si>
  <si>
    <t>Captura de biogás y generación eléctrica con gas de relleno</t>
  </si>
  <si>
    <t>2026-2029</t>
  </si>
  <si>
    <t>Captura activa y quema de biogás</t>
  </si>
  <si>
    <t>2025-2028</t>
  </si>
  <si>
    <t>2029-2035</t>
  </si>
  <si>
    <t>Lombricultura</t>
  </si>
  <si>
    <t>2028-2035</t>
  </si>
  <si>
    <t>Planta de compostaje municipal</t>
  </si>
  <si>
    <t>Compostaje mancomunado</t>
  </si>
  <si>
    <t>Complejo ambiental</t>
  </si>
  <si>
    <t>Reduccion de PPC</t>
  </si>
  <si>
    <t xml:space="preserve"> Planta de Lombricultura región amazonica</t>
  </si>
  <si>
    <t xml:space="preserve">Planta de compostaje para el mercado </t>
  </si>
  <si>
    <t>kt CO2eq</t>
  </si>
  <si>
    <t>Compostaje privado o de pequeña escala</t>
  </si>
  <si>
    <t>Tratamiento biológico de residuos orgánicos en instalaciones aeroportuarias</t>
  </si>
  <si>
    <t>kg/hab/día</t>
  </si>
  <si>
    <t>ton/año</t>
  </si>
  <si>
    <t>Año</t>
  </si>
  <si>
    <t>hab</t>
  </si>
  <si>
    <t>PPC</t>
  </si>
  <si>
    <t xml:space="preserve">Generacion </t>
  </si>
  <si>
    <t>% Botadero</t>
  </si>
  <si>
    <t>% Celda Emergente</t>
  </si>
  <si>
    <t>% Relleno Sanitario</t>
  </si>
  <si>
    <t xml:space="preserve">Recolección NO diferencidada </t>
  </si>
  <si>
    <t xml:space="preserve">Recolección diferencidada </t>
  </si>
  <si>
    <t>%Orgánicos</t>
  </si>
  <si>
    <t>%Inorgánicos</t>
  </si>
  <si>
    <t>Recolección diferenciada de residuos sólidos organico</t>
  </si>
  <si>
    <t>Recolección diferenciada de residuos sólidos inorganico</t>
  </si>
  <si>
    <t>botadero</t>
  </si>
  <si>
    <t>kg/dia</t>
  </si>
  <si>
    <t>RISDF</t>
  </si>
  <si>
    <t>RODA</t>
  </si>
  <si>
    <t>RRS: Residuos sólidos totales a RS</t>
  </si>
  <si>
    <t>RROB: Residuos sólidos totales a Bot y cel</t>
  </si>
  <si>
    <t>La construcción del modelo del sector Residuos se basó en un enfoque mixto (NDC–PLANMICC), integrando las bases metodológicas, tecnológicas y de datos de ambos ejercicios. Para su desarrollo se consideraron las proyecciones poblacionales del INEC (2024), los parámetros de generación y caracterización de residuos del modelo NDC, y la estructura tecnológica del PLANMICC (Proyecto CZZ 2739). El proceso de calibración, supuestos e incertidumbre se encuentra descrito en la sección 3.7 “Modelamiento del sector Residuos” del Producto 2: Establecimiento de escenarios de emisiones elaborado por el Consorcio USFQ–UCR.</t>
  </si>
  <si>
    <t>Para más información del proceso se recomienda revisar la sección de Producto 2: Establecimiento de escenarios de emisiones. Informe que detalla el proceso de calibración, supuestos e incertidumbre, del proyecto “Financiamiento de actividades de modelado para el desarrollo de una estrategia nacional de descarbonización en Ecuador para 2050 (PLANMICC) - CZZ 2739”, presentado por el consorcio USFQ–UCR al FIAS, MAATE y AFD, sección 3.7 Modelamiento del sector residuos: calibración, supuestos e incertidumbre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</si>
</sst>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* #,##0.00_-;\-* #,##0.00_-;_-* &quot;-&quot;??_-;_-@_-"/>
    <numFmt numFmtId="165" formatCode="0.00000%"/>
    <numFmt numFmtId="166" formatCode="0.000"/>
    <numFmt numFmtId="167" formatCode="0.000%"/>
    <numFmt numFmtId="168" formatCode="0.000000%"/>
    <numFmt numFmtId="169" formatCode="0.0"/>
    <numFmt numFmtId="170" formatCode="0.0%"/>
    <numFmt numFmtId="171" formatCode="0.0000%"/>
    <numFmt numFmtId="172" formatCode="0.00000"/>
    <numFmt numFmtId="173" formatCode="0.0000"/>
    <numFmt numFmtId="174" formatCode="0.000000"/>
    <numFmt numFmtId="176" formatCode="0.0000000"/>
    <numFmt numFmtId="177" formatCode="0.000000000"/>
  </numFmts>
  <fonts count="25" x14ac:knownFonts="1">
    <font>
      <sz val="11"/>
      <color theme="1"/>
      <name val="Calibri"/>
      <family val="2"/>
      <scheme val="minor"/>
    </font>
    <font>
      <b/>
      <sz val="13"/>
      <color theme="1"/>
      <name val="Open Sans"/>
      <family val="2"/>
    </font>
    <font>
      <sz val="11"/>
      <color theme="1"/>
      <name val="Open San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sz val="8"/>
      <color rgb="FF222222"/>
      <name val="Arial"/>
      <family val="2"/>
    </font>
    <font>
      <b/>
      <sz val="12"/>
      <name val="Aptos Narrow"/>
      <family val="2"/>
    </font>
    <font>
      <sz val="11"/>
      <name val="Aptos Narrow"/>
      <family val="2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sz val="11"/>
      <color rgb="FF404040"/>
      <name val="Calibri"/>
      <family val="2"/>
      <scheme val="minor"/>
    </font>
    <font>
      <sz val="11"/>
      <color theme="1"/>
      <name val="Aptos Narrow"/>
      <family val="2"/>
    </font>
    <font>
      <sz val="11"/>
      <color theme="1"/>
      <name val="Arial"/>
      <family val="2"/>
    </font>
    <font>
      <vertAlign val="superscript"/>
      <sz val="9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rgb="FFD8D8D8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5" tint="0.79998168889431442"/>
        <bgColor rgb="FFFAE2D5"/>
      </patternFill>
    </fill>
    <fill>
      <patternFill patternType="solid">
        <fgColor rgb="FFFAE2D5"/>
        <bgColor rgb="FFFAE2D5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9F2D0"/>
        <bgColor rgb="FFD9F2D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FC0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8" fillId="0" borderId="0"/>
    <xf numFmtId="0" fontId="9" fillId="0" borderId="0"/>
    <xf numFmtId="0" fontId="10" fillId="10" borderId="13">
      <alignment horizontal="right" vertical="center"/>
    </xf>
    <xf numFmtId="0" fontId="9" fillId="0" borderId="0" applyNumberFormat="0" applyFont="0" applyFill="0" applyBorder="0" applyProtection="0">
      <alignment horizontal="left" vertical="center" indent="2"/>
    </xf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0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0" fillId="3" borderId="4" xfId="0" applyFill="1" applyBorder="1"/>
    <xf numFmtId="0" fontId="0" fillId="3" borderId="4" xfId="0" applyFill="1" applyBorder="1" applyAlignment="1">
      <alignment vertical="center" wrapText="1"/>
    </xf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4" fillId="4" borderId="0" xfId="0" applyFont="1" applyFill="1"/>
    <xf numFmtId="0" fontId="0" fillId="4" borderId="0" xfId="0" applyFill="1"/>
    <xf numFmtId="0" fontId="0" fillId="4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3" borderId="4" xfId="0" applyFill="1" applyBorder="1" applyAlignment="1">
      <alignment wrapText="1"/>
    </xf>
    <xf numFmtId="0" fontId="0" fillId="4" borderId="0" xfId="0" applyFill="1" applyAlignment="1">
      <alignment horizontal="left"/>
    </xf>
    <xf numFmtId="0" fontId="4" fillId="6" borderId="0" xfId="0" applyFont="1" applyFill="1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9" fontId="0" fillId="4" borderId="0" xfId="1" applyFont="1" applyFill="1"/>
    <xf numFmtId="9" fontId="0" fillId="5" borderId="0" xfId="1" applyFont="1" applyFill="1" applyAlignment="1">
      <alignment horizontal="center"/>
    </xf>
    <xf numFmtId="9" fontId="0" fillId="5" borderId="0" xfId="0" applyNumberFormat="1" applyFill="1" applyAlignment="1">
      <alignment horizontal="center"/>
    </xf>
    <xf numFmtId="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9" fontId="0" fillId="4" borderId="0" xfId="1" applyFont="1" applyFill="1" applyAlignment="1">
      <alignment horizontal="center"/>
    </xf>
    <xf numFmtId="0" fontId="4" fillId="0" borderId="0" xfId="0" applyFont="1"/>
    <xf numFmtId="9" fontId="0" fillId="7" borderId="0" xfId="1" applyFont="1" applyFill="1"/>
    <xf numFmtId="165" fontId="0" fillId="0" borderId="0" xfId="0" applyNumberFormat="1"/>
    <xf numFmtId="9" fontId="0" fillId="0" borderId="0" xfId="1" applyFont="1" applyFill="1"/>
    <xf numFmtId="1" fontId="0" fillId="0" borderId="0" xfId="0" applyNumberFormat="1"/>
    <xf numFmtId="0" fontId="0" fillId="7" borderId="0" xfId="0" applyFill="1"/>
    <xf numFmtId="10" fontId="0" fillId="4" borderId="0" xfId="0" applyNumberFormat="1" applyFill="1" applyAlignment="1">
      <alignment horizontal="center"/>
    </xf>
    <xf numFmtId="169" fontId="0" fillId="0" borderId="0" xfId="0" applyNumberFormat="1"/>
    <xf numFmtId="9" fontId="0" fillId="8" borderId="0" xfId="1" applyFont="1" applyFill="1"/>
    <xf numFmtId="169" fontId="0" fillId="4" borderId="0" xfId="0" applyNumberFormat="1" applyFill="1"/>
    <xf numFmtId="169" fontId="4" fillId="4" borderId="0" xfId="0" applyNumberFormat="1" applyFont="1" applyFill="1"/>
    <xf numFmtId="169" fontId="4" fillId="4" borderId="0" xfId="2" applyNumberFormat="1" applyFont="1" applyFill="1" applyBorder="1"/>
    <xf numFmtId="2" fontId="0" fillId="3" borderId="0" xfId="0" applyNumberFormat="1" applyFill="1"/>
    <xf numFmtId="170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11" xfId="0" applyNumberFormat="1" applyFill="1" applyBorder="1" applyAlignment="1">
      <alignment horizontal="right"/>
    </xf>
    <xf numFmtId="0" fontId="0" fillId="4" borderId="0" xfId="0" applyFill="1" applyAlignment="1">
      <alignment horizontal="right"/>
    </xf>
    <xf numFmtId="0" fontId="0" fillId="4" borderId="11" xfId="0" applyFill="1" applyBorder="1" applyAlignment="1">
      <alignment horizontal="right"/>
    </xf>
    <xf numFmtId="169" fontId="0" fillId="4" borderId="11" xfId="0" applyNumberFormat="1" applyFill="1" applyBorder="1"/>
    <xf numFmtId="1" fontId="0" fillId="4" borderId="0" xfId="0" applyNumberFormat="1" applyFill="1" applyAlignment="1">
      <alignment horizontal="center"/>
    </xf>
    <xf numFmtId="1" fontId="0" fillId="4" borderId="0" xfId="1" applyNumberFormat="1" applyFont="1" applyFill="1" applyBorder="1" applyAlignment="1">
      <alignment horizontal="center"/>
    </xf>
    <xf numFmtId="1" fontId="0" fillId="9" borderId="0" xfId="1" applyNumberFormat="1" applyFont="1" applyFill="1" applyBorder="1" applyAlignment="1">
      <alignment horizontal="center"/>
    </xf>
    <xf numFmtId="1" fontId="5" fillId="9" borderId="0" xfId="1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1" fontId="0" fillId="9" borderId="0" xfId="0" applyNumberFormat="1" applyFill="1" applyAlignment="1">
      <alignment horizontal="center"/>
    </xf>
    <xf numFmtId="169" fontId="0" fillId="9" borderId="0" xfId="1" applyNumberFormat="1" applyFont="1" applyFill="1" applyBorder="1" applyAlignment="1">
      <alignment horizontal="center"/>
    </xf>
    <xf numFmtId="169" fontId="5" fillId="9" borderId="0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0" xfId="1" applyNumberFormat="1" applyFont="1" applyFill="1" applyAlignment="1">
      <alignment horizontal="center"/>
    </xf>
    <xf numFmtId="2" fontId="0" fillId="4" borderId="0" xfId="1" applyNumberFormat="1" applyFont="1" applyFill="1" applyAlignment="1">
      <alignment horizontal="center"/>
    </xf>
    <xf numFmtId="2" fontId="5" fillId="5" borderId="0" xfId="1" applyNumberFormat="1" applyFont="1" applyFill="1" applyAlignment="1">
      <alignment horizontal="center"/>
    </xf>
    <xf numFmtId="2" fontId="0" fillId="4" borderId="0" xfId="0" applyNumberFormat="1" applyFill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4" xfId="0" applyBorder="1" applyAlignment="1">
      <alignment wrapText="1"/>
    </xf>
    <xf numFmtId="0" fontId="2" fillId="14" borderId="2" xfId="0" applyFont="1" applyFill="1" applyBorder="1" applyAlignment="1">
      <alignment horizontal="center" vertical="center"/>
    </xf>
    <xf numFmtId="0" fontId="0" fillId="4" borderId="0" xfId="0" applyFill="1" applyAlignment="1">
      <alignment wrapText="1"/>
    </xf>
    <xf numFmtId="0" fontId="0" fillId="0" borderId="4" xfId="0" applyBorder="1"/>
    <xf numFmtId="166" fontId="0" fillId="0" borderId="4" xfId="0" applyNumberFormat="1" applyBorder="1"/>
    <xf numFmtId="2" fontId="0" fillId="0" borderId="0" xfId="0" applyNumberFormat="1"/>
    <xf numFmtId="0" fontId="0" fillId="4" borderId="4" xfId="0" applyFill="1" applyBorder="1" applyAlignment="1">
      <alignment wrapText="1"/>
    </xf>
    <xf numFmtId="0" fontId="2" fillId="14" borderId="4" xfId="0" applyFont="1" applyFill="1" applyBorder="1" applyAlignment="1">
      <alignment horizontal="center" vertical="center"/>
    </xf>
    <xf numFmtId="2" fontId="0" fillId="11" borderId="4" xfId="0" applyNumberFormat="1" applyFill="1" applyBorder="1" applyAlignment="1">
      <alignment horizontal="center"/>
    </xf>
    <xf numFmtId="2" fontId="0" fillId="0" borderId="4" xfId="0" applyNumberFormat="1" applyBorder="1"/>
    <xf numFmtId="2" fontId="0" fillId="13" borderId="0" xfId="0" applyNumberFormat="1" applyFill="1"/>
    <xf numFmtId="169" fontId="0" fillId="13" borderId="0" xfId="0" applyNumberFormat="1" applyFill="1"/>
    <xf numFmtId="2" fontId="0" fillId="13" borderId="0" xfId="0" applyNumberFormat="1" applyFill="1" applyAlignment="1">
      <alignment horizontal="center"/>
    </xf>
    <xf numFmtId="166" fontId="0" fillId="0" borderId="4" xfId="0" applyNumberFormat="1" applyBorder="1" applyAlignment="1">
      <alignment horizontal="left" indent="1"/>
    </xf>
    <xf numFmtId="169" fontId="0" fillId="11" borderId="4" xfId="0" applyNumberFormat="1" applyFill="1" applyBorder="1" applyAlignment="1">
      <alignment horizontal="center"/>
    </xf>
    <xf numFmtId="170" fontId="0" fillId="13" borderId="0" xfId="1" applyNumberFormat="1" applyFont="1" applyFill="1" applyAlignment="1">
      <alignment horizontal="center"/>
    </xf>
    <xf numFmtId="170" fontId="0" fillId="13" borderId="0" xfId="0" applyNumberFormat="1" applyFill="1" applyAlignment="1">
      <alignment horizontal="center"/>
    </xf>
    <xf numFmtId="170" fontId="4" fillId="4" borderId="0" xfId="0" applyNumberFormat="1" applyFont="1" applyFill="1"/>
    <xf numFmtId="170" fontId="0" fillId="13" borderId="0" xfId="1" applyNumberFormat="1" applyFont="1" applyFill="1"/>
    <xf numFmtId="170" fontId="0" fillId="5" borderId="0" xfId="0" applyNumberFormat="1" applyFill="1" applyAlignment="1">
      <alignment horizontal="center"/>
    </xf>
    <xf numFmtId="9" fontId="0" fillId="13" borderId="0" xfId="1" applyFont="1" applyFill="1" applyAlignment="1">
      <alignment horizontal="center"/>
    </xf>
    <xf numFmtId="9" fontId="0" fillId="13" borderId="0" xfId="1" applyFont="1" applyFill="1"/>
    <xf numFmtId="9" fontId="0" fillId="15" borderId="0" xfId="1" applyFont="1" applyFill="1" applyAlignment="1">
      <alignment horizontal="center"/>
    </xf>
    <xf numFmtId="2" fontId="0" fillId="15" borderId="0" xfId="1" applyNumberFormat="1" applyFont="1" applyFill="1" applyAlignment="1">
      <alignment horizontal="center"/>
    </xf>
    <xf numFmtId="170" fontId="0" fillId="15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4" borderId="6" xfId="0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170" fontId="4" fillId="4" borderId="0" xfId="0" applyNumberFormat="1" applyFont="1" applyFill="1" applyAlignment="1">
      <alignment horizontal="center"/>
    </xf>
    <xf numFmtId="0" fontId="0" fillId="4" borderId="11" xfId="0" applyFill="1" applyBorder="1" applyAlignment="1">
      <alignment horizontal="center"/>
    </xf>
    <xf numFmtId="169" fontId="0" fillId="13" borderId="0" xfId="0" applyNumberFormat="1" applyFill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16" borderId="4" xfId="0" applyFill="1" applyBorder="1" applyAlignment="1">
      <alignment wrapText="1"/>
    </xf>
    <xf numFmtId="0" fontId="0" fillId="16" borderId="4" xfId="0" applyFill="1" applyBorder="1"/>
    <xf numFmtId="2" fontId="0" fillId="16" borderId="4" xfId="0" applyNumberFormat="1" applyFill="1" applyBorder="1"/>
    <xf numFmtId="0" fontId="0" fillId="12" borderId="4" xfId="0" applyFill="1" applyBorder="1" applyAlignment="1">
      <alignment wrapText="1"/>
    </xf>
    <xf numFmtId="0" fontId="0" fillId="12" borderId="4" xfId="0" applyFill="1" applyBorder="1"/>
    <xf numFmtId="2" fontId="0" fillId="12" borderId="4" xfId="0" applyNumberFormat="1" applyFill="1" applyBorder="1"/>
    <xf numFmtId="0" fontId="0" fillId="11" borderId="4" xfId="0" applyFill="1" applyBorder="1" applyAlignment="1">
      <alignment wrapText="1"/>
    </xf>
    <xf numFmtId="0" fontId="0" fillId="17" borderId="4" xfId="0" applyFill="1" applyBorder="1" applyAlignment="1">
      <alignment wrapText="1"/>
    </xf>
    <xf numFmtId="2" fontId="0" fillId="11" borderId="4" xfId="0" applyNumberFormat="1" applyFill="1" applyBorder="1" applyAlignment="1">
      <alignment wrapText="1"/>
    </xf>
    <xf numFmtId="0" fontId="0" fillId="8" borderId="4" xfId="0" applyFill="1" applyBorder="1" applyAlignment="1">
      <alignment wrapText="1"/>
    </xf>
    <xf numFmtId="170" fontId="0" fillId="17" borderId="4" xfId="0" applyNumberFormat="1" applyFill="1" applyBorder="1" applyAlignment="1">
      <alignment wrapText="1"/>
    </xf>
    <xf numFmtId="9" fontId="0" fillId="17" borderId="4" xfId="0" applyNumberFormat="1" applyFill="1" applyBorder="1" applyAlignment="1">
      <alignment wrapText="1"/>
    </xf>
    <xf numFmtId="9" fontId="0" fillId="4" borderId="8" xfId="0" applyNumberFormat="1" applyFill="1" applyBorder="1"/>
    <xf numFmtId="9" fontId="0" fillId="4" borderId="0" xfId="0" applyNumberFormat="1" applyFill="1"/>
    <xf numFmtId="9" fontId="0" fillId="4" borderId="9" xfId="0" applyNumberFormat="1" applyFill="1" applyBorder="1"/>
    <xf numFmtId="2" fontId="0" fillId="13" borderId="0" xfId="1" applyNumberFormat="1" applyFont="1" applyFill="1" applyBorder="1" applyAlignment="1">
      <alignment horizontal="center"/>
    </xf>
    <xf numFmtId="9" fontId="0" fillId="18" borderId="0" xfId="1" applyFont="1" applyFill="1" applyAlignment="1">
      <alignment horizontal="center"/>
    </xf>
    <xf numFmtId="9" fontId="0" fillId="18" borderId="0" xfId="0" applyNumberFormat="1" applyFill="1" applyAlignment="1">
      <alignment horizontal="center"/>
    </xf>
    <xf numFmtId="171" fontId="0" fillId="18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9" fontId="5" fillId="18" borderId="0" xfId="1" applyFont="1" applyFill="1" applyAlignment="1">
      <alignment horizontal="center"/>
    </xf>
    <xf numFmtId="10" fontId="0" fillId="18" borderId="0" xfId="0" applyNumberFormat="1" applyFill="1" applyAlignment="1">
      <alignment horizontal="center"/>
    </xf>
    <xf numFmtId="0" fontId="0" fillId="18" borderId="0" xfId="0" applyFill="1"/>
    <xf numFmtId="1" fontId="0" fillId="4" borderId="0" xfId="0" applyNumberFormat="1" applyFill="1" applyAlignment="1">
      <alignment horizontal="left"/>
    </xf>
    <xf numFmtId="9" fontId="0" fillId="13" borderId="0" xfId="1" applyFont="1" applyFill="1" applyBorder="1" applyAlignment="1">
      <alignment horizontal="center"/>
    </xf>
    <xf numFmtId="9" fontId="5" fillId="4" borderId="0" xfId="1" applyFont="1" applyFill="1" applyBorder="1" applyAlignment="1">
      <alignment horizontal="center"/>
    </xf>
    <xf numFmtId="9" fontId="5" fillId="13" borderId="0" xfId="1" applyFont="1" applyFill="1" applyBorder="1" applyAlignment="1">
      <alignment horizontal="center"/>
    </xf>
    <xf numFmtId="9" fontId="4" fillId="4" borderId="0" xfId="0" applyNumberFormat="1" applyFont="1" applyFill="1"/>
    <xf numFmtId="9" fontId="11" fillId="13" borderId="0" xfId="1" applyFont="1" applyFill="1" applyBorder="1" applyAlignment="1">
      <alignment horizontal="center"/>
    </xf>
    <xf numFmtId="0" fontId="0" fillId="19" borderId="0" xfId="0" applyFill="1"/>
    <xf numFmtId="2" fontId="0" fillId="5" borderId="0" xfId="8" applyNumberFormat="1" applyFont="1" applyFill="1" applyBorder="1" applyAlignment="1">
      <alignment horizontal="center"/>
    </xf>
    <xf numFmtId="170" fontId="0" fillId="4" borderId="0" xfId="1" applyNumberFormat="1" applyFont="1" applyFill="1" applyBorder="1" applyAlignment="1">
      <alignment horizontal="center"/>
    </xf>
    <xf numFmtId="2" fontId="4" fillId="4" borderId="0" xfId="0" applyNumberFormat="1" applyFont="1" applyFill="1"/>
    <xf numFmtId="0" fontId="5" fillId="20" borderId="0" xfId="7" applyNumberFormat="1" applyFont="1" applyFill="1" applyBorder="1" applyAlignment="1">
      <alignment horizontal="left" vertical="center"/>
    </xf>
    <xf numFmtId="0" fontId="0" fillId="13" borderId="0" xfId="0" applyFill="1"/>
    <xf numFmtId="10" fontId="0" fillId="0" borderId="0" xfId="0" applyNumberFormat="1" applyAlignment="1">
      <alignment horizontal="left" indent="2"/>
    </xf>
    <xf numFmtId="0" fontId="0" fillId="5" borderId="0" xfId="0" applyFill="1"/>
    <xf numFmtId="0" fontId="11" fillId="4" borderId="8" xfId="0" applyFont="1" applyFill="1" applyBorder="1"/>
    <xf numFmtId="0" fontId="11" fillId="4" borderId="0" xfId="0" applyFont="1" applyFill="1"/>
    <xf numFmtId="9" fontId="11" fillId="4" borderId="0" xfId="1" applyFont="1" applyFill="1" applyBorder="1" applyAlignment="1">
      <alignment horizontal="center"/>
    </xf>
    <xf numFmtId="0" fontId="11" fillId="4" borderId="9" xfId="0" applyFont="1" applyFill="1" applyBorder="1"/>
    <xf numFmtId="0" fontId="11" fillId="0" borderId="0" xfId="0" applyFont="1"/>
    <xf numFmtId="2" fontId="0" fillId="0" borderId="0" xfId="1" applyNumberFormat="1" applyFont="1"/>
    <xf numFmtId="170" fontId="0" fillId="0" borderId="0" xfId="0" applyNumberFormat="1"/>
    <xf numFmtId="0" fontId="0" fillId="21" borderId="0" xfId="0" applyFill="1"/>
    <xf numFmtId="0" fontId="4" fillId="4" borderId="0" xfId="0" applyFont="1" applyFill="1" applyAlignment="1">
      <alignment wrapText="1"/>
    </xf>
    <xf numFmtId="0" fontId="12" fillId="2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wrapText="1"/>
    </xf>
    <xf numFmtId="0" fontId="13" fillId="4" borderId="6" xfId="0" applyFont="1" applyFill="1" applyBorder="1" applyAlignment="1">
      <alignment wrapText="1"/>
    </xf>
    <xf numFmtId="0" fontId="12" fillId="4" borderId="0" xfId="0" applyFont="1" applyFill="1" applyAlignment="1">
      <alignment wrapText="1"/>
    </xf>
    <xf numFmtId="0" fontId="12" fillId="6" borderId="0" xfId="0" applyFont="1" applyFill="1" applyAlignment="1">
      <alignment wrapText="1"/>
    </xf>
    <xf numFmtId="0" fontId="13" fillId="4" borderId="0" xfId="0" applyFont="1" applyFill="1" applyAlignment="1">
      <alignment wrapText="1"/>
    </xf>
    <xf numFmtId="0" fontId="13" fillId="4" borderId="11" xfId="0" applyFont="1" applyFill="1" applyBorder="1" applyAlignment="1">
      <alignment wrapText="1"/>
    </xf>
    <xf numFmtId="0" fontId="1" fillId="2" borderId="2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wrapText="1"/>
    </xf>
    <xf numFmtId="0" fontId="0" fillId="4" borderId="11" xfId="0" applyFill="1" applyBorder="1" applyAlignment="1">
      <alignment wrapText="1"/>
    </xf>
    <xf numFmtId="2" fontId="0" fillId="3" borderId="0" xfId="1" applyNumberFormat="1" applyFont="1" applyFill="1"/>
    <xf numFmtId="0" fontId="0" fillId="19" borderId="11" xfId="0" applyFill="1" applyBorder="1"/>
    <xf numFmtId="173" fontId="0" fillId="0" borderId="0" xfId="0" applyNumberFormat="1"/>
    <xf numFmtId="1" fontId="0" fillId="3" borderId="0" xfId="0" applyNumberFormat="1" applyFill="1"/>
    <xf numFmtId="166" fontId="0" fillId="3" borderId="0" xfId="0" applyNumberFormat="1" applyFill="1"/>
    <xf numFmtId="0" fontId="0" fillId="4" borderId="0" xfId="0" applyFill="1" applyBorder="1"/>
    <xf numFmtId="0" fontId="4" fillId="4" borderId="0" xfId="0" applyFont="1" applyFill="1" applyBorder="1"/>
    <xf numFmtId="0" fontId="4" fillId="6" borderId="0" xfId="0" applyFont="1" applyFill="1" applyBorder="1"/>
    <xf numFmtId="0" fontId="0" fillId="5" borderId="0" xfId="0" applyFill="1" applyBorder="1"/>
    <xf numFmtId="0" fontId="0" fillId="4" borderId="9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9" fontId="0" fillId="3" borderId="0" xfId="1" applyFont="1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9" fontId="0" fillId="3" borderId="11" xfId="1" applyFont="1" applyFill="1" applyBorder="1" applyAlignment="1">
      <alignment horizontal="center"/>
    </xf>
    <xf numFmtId="0" fontId="0" fillId="3" borderId="0" xfId="0" applyFill="1" applyBorder="1"/>
    <xf numFmtId="0" fontId="0" fillId="0" borderId="0" xfId="0" applyFill="1"/>
    <xf numFmtId="0" fontId="0" fillId="4" borderId="0" xfId="0" applyFont="1" applyFill="1"/>
    <xf numFmtId="0" fontId="0" fillId="4" borderId="0" xfId="0" applyFont="1" applyFill="1" applyBorder="1"/>
    <xf numFmtId="172" fontId="0" fillId="4" borderId="0" xfId="0" applyNumberFormat="1" applyFill="1" applyBorder="1"/>
    <xf numFmtId="172" fontId="0" fillId="4" borderId="9" xfId="0" applyNumberFormat="1" applyFill="1" applyBorder="1"/>
    <xf numFmtId="172" fontId="4" fillId="4" borderId="0" xfId="0" applyNumberFormat="1" applyFont="1" applyFill="1" applyBorder="1"/>
    <xf numFmtId="0" fontId="4" fillId="4" borderId="11" xfId="0" applyFont="1" applyFill="1" applyBorder="1"/>
    <xf numFmtId="176" fontId="0" fillId="7" borderId="11" xfId="0" applyNumberFormat="1" applyFill="1" applyBorder="1"/>
    <xf numFmtId="177" fontId="0" fillId="7" borderId="11" xfId="0" applyNumberFormat="1" applyFill="1" applyBorder="1"/>
    <xf numFmtId="174" fontId="0" fillId="7" borderId="11" xfId="0" applyNumberFormat="1" applyFill="1" applyBorder="1"/>
    <xf numFmtId="172" fontId="0" fillId="7" borderId="11" xfId="0" applyNumberFormat="1" applyFill="1" applyBorder="1"/>
    <xf numFmtId="173" fontId="0" fillId="3" borderId="0" xfId="0" applyNumberFormat="1" applyFill="1" applyBorder="1"/>
    <xf numFmtId="0" fontId="0" fillId="5" borderId="0" xfId="0" applyFill="1" applyBorder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right"/>
    </xf>
    <xf numFmtId="1" fontId="0" fillId="13" borderId="0" xfId="0" applyNumberFormat="1" applyFill="1" applyBorder="1"/>
    <xf numFmtId="173" fontId="0" fillId="11" borderId="0" xfId="0" applyNumberFormat="1" applyFill="1" applyBorder="1"/>
    <xf numFmtId="173" fontId="0" fillId="11" borderId="0" xfId="0" applyNumberFormat="1" applyFill="1" applyBorder="1" applyAlignment="1">
      <alignment horizontal="center"/>
    </xf>
    <xf numFmtId="169" fontId="0" fillId="4" borderId="0" xfId="0" applyNumberFormat="1" applyFill="1" applyBorder="1" applyAlignment="1">
      <alignment horizontal="center"/>
    </xf>
    <xf numFmtId="169" fontId="0" fillId="13" borderId="0" xfId="0" applyNumberFormat="1" applyFill="1" applyBorder="1"/>
    <xf numFmtId="169" fontId="0" fillId="13" borderId="0" xfId="0" applyNumberFormat="1" applyFill="1" applyBorder="1" applyAlignment="1">
      <alignment horizontal="right"/>
    </xf>
    <xf numFmtId="2" fontId="0" fillId="13" borderId="0" xfId="0" applyNumberFormat="1" applyFill="1" applyBorder="1" applyAlignment="1">
      <alignment horizontal="right"/>
    </xf>
    <xf numFmtId="0" fontId="0" fillId="4" borderId="0" xfId="0" applyFill="1" applyBorder="1" applyAlignment="1">
      <alignment horizontal="right"/>
    </xf>
    <xf numFmtId="2" fontId="0" fillId="3" borderId="0" xfId="1" applyNumberFormat="1" applyFont="1" applyFill="1" applyAlignment="1">
      <alignment horizontal="center"/>
    </xf>
    <xf numFmtId="0" fontId="0" fillId="4" borderId="0" xfId="0" applyFill="1" applyBorder="1" applyAlignment="1">
      <alignment wrapText="1"/>
    </xf>
    <xf numFmtId="0" fontId="12" fillId="4" borderId="0" xfId="0" applyFont="1" applyFill="1" applyBorder="1" applyAlignment="1">
      <alignment wrapText="1"/>
    </xf>
    <xf numFmtId="0" fontId="4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wrapText="1"/>
    </xf>
    <xf numFmtId="0" fontId="12" fillId="6" borderId="0" xfId="0" applyFont="1" applyFill="1" applyBorder="1" applyAlignment="1">
      <alignment wrapText="1"/>
    </xf>
    <xf numFmtId="0" fontId="4" fillId="6" borderId="0" xfId="0" applyFont="1" applyFill="1" applyBorder="1" applyAlignment="1">
      <alignment horizontal="center"/>
    </xf>
    <xf numFmtId="0" fontId="13" fillId="4" borderId="0" xfId="0" applyFont="1" applyFill="1" applyBorder="1" applyAlignment="1">
      <alignment wrapText="1"/>
    </xf>
    <xf numFmtId="170" fontId="0" fillId="3" borderId="0" xfId="0" applyNumberFormat="1" applyFill="1" applyBorder="1" applyAlignment="1">
      <alignment horizontal="center"/>
    </xf>
    <xf numFmtId="170" fontId="0" fillId="3" borderId="0" xfId="1" applyNumberFormat="1" applyFont="1" applyFill="1" applyBorder="1" applyAlignment="1">
      <alignment horizontal="center"/>
    </xf>
    <xf numFmtId="2" fontId="0" fillId="3" borderId="0" xfId="1" applyNumberFormat="1" applyFont="1" applyFill="1" applyBorder="1" applyAlignment="1">
      <alignment horizontal="center"/>
    </xf>
    <xf numFmtId="170" fontId="0" fillId="4" borderId="0" xfId="0" applyNumberFormat="1" applyFill="1" applyBorder="1" applyAlignment="1">
      <alignment horizontal="center"/>
    </xf>
    <xf numFmtId="170" fontId="4" fillId="4" borderId="0" xfId="0" applyNumberFormat="1" applyFont="1" applyFill="1" applyBorder="1"/>
    <xf numFmtId="170" fontId="4" fillId="4" borderId="0" xfId="0" applyNumberFormat="1" applyFont="1" applyFill="1" applyBorder="1" applyAlignment="1">
      <alignment horizontal="center"/>
    </xf>
    <xf numFmtId="9" fontId="0" fillId="4" borderId="0" xfId="0" applyNumberFormat="1" applyFill="1" applyBorder="1" applyAlignment="1">
      <alignment horizontal="center"/>
    </xf>
    <xf numFmtId="170" fontId="0" fillId="3" borderId="0" xfId="1" applyNumberFormat="1" applyFont="1" applyFill="1" applyBorder="1"/>
    <xf numFmtId="9" fontId="0" fillId="3" borderId="0" xfId="1" applyFont="1" applyFill="1" applyBorder="1"/>
    <xf numFmtId="2" fontId="5" fillId="3" borderId="0" xfId="1" applyNumberFormat="1" applyFont="1" applyFill="1" applyAlignment="1">
      <alignment horizontal="center"/>
    </xf>
    <xf numFmtId="174" fontId="0" fillId="13" borderId="0" xfId="0" applyNumberFormat="1" applyFill="1" applyAlignment="1">
      <alignment horizontal="center"/>
    </xf>
    <xf numFmtId="0" fontId="0" fillId="4" borderId="4" xfId="0" applyFill="1" applyBorder="1" applyAlignment="1">
      <alignment vertical="center" wrapText="1"/>
    </xf>
    <xf numFmtId="0" fontId="0" fillId="0" borderId="0" xfId="0" applyAlignment="1">
      <alignment horizontal="right" wrapText="1"/>
    </xf>
    <xf numFmtId="0" fontId="0" fillId="4" borderId="4" xfId="0" applyFill="1" applyBorder="1" applyAlignment="1">
      <alignment horizontal="right" vertical="center" wrapText="1"/>
    </xf>
    <xf numFmtId="0" fontId="2" fillId="14" borderId="4" xfId="0" applyFont="1" applyFill="1" applyBorder="1" applyAlignment="1">
      <alignment horizontal="right" vertical="center"/>
    </xf>
    <xf numFmtId="173" fontId="0" fillId="11" borderId="4" xfId="0" applyNumberFormat="1" applyFill="1" applyBorder="1" applyAlignment="1">
      <alignment horizontal="right"/>
    </xf>
    <xf numFmtId="0" fontId="0" fillId="0" borderId="4" xfId="0" applyBorder="1" applyAlignment="1">
      <alignment horizontal="right"/>
    </xf>
    <xf numFmtId="166" fontId="0" fillId="0" borderId="4" xfId="0" applyNumberFormat="1" applyBorder="1" applyAlignment="1">
      <alignment horizontal="right"/>
    </xf>
    <xf numFmtId="0" fontId="0" fillId="0" borderId="4" xfId="0" applyBorder="1" applyAlignment="1">
      <alignment horizontal="right" wrapText="1"/>
    </xf>
    <xf numFmtId="2" fontId="0" fillId="0" borderId="4" xfId="0" applyNumberFormat="1" applyBorder="1" applyAlignment="1">
      <alignment horizontal="right"/>
    </xf>
    <xf numFmtId="0" fontId="4" fillId="4" borderId="0" xfId="0" applyFont="1" applyFill="1" applyAlignment="1"/>
    <xf numFmtId="0" fontId="0" fillId="4" borderId="0" xfId="0" applyFill="1" applyAlignment="1"/>
    <xf numFmtId="0" fontId="4" fillId="22" borderId="6" xfId="0" applyFont="1" applyFill="1" applyBorder="1"/>
    <xf numFmtId="0" fontId="0" fillId="22" borderId="6" xfId="0" applyFill="1" applyBorder="1"/>
    <xf numFmtId="0" fontId="4" fillId="0" borderId="4" xfId="0" applyFont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/>
    <xf numFmtId="169" fontId="0" fillId="3" borderId="4" xfId="0" applyNumberFormat="1" applyFill="1" applyBorder="1"/>
    <xf numFmtId="2" fontId="0" fillId="3" borderId="4" xfId="1" applyNumberFormat="1" applyFont="1" applyFill="1" applyBorder="1"/>
    <xf numFmtId="9" fontId="0" fillId="3" borderId="4" xfId="1" applyFont="1" applyFill="1" applyBorder="1"/>
    <xf numFmtId="0" fontId="0" fillId="23" borderId="4" xfId="0" applyFill="1" applyBorder="1"/>
    <xf numFmtId="173" fontId="0" fillId="3" borderId="4" xfId="0" applyNumberFormat="1" applyFill="1" applyBorder="1"/>
    <xf numFmtId="173" fontId="0" fillId="24" borderId="4" xfId="0" applyNumberFormat="1" applyFill="1" applyBorder="1"/>
    <xf numFmtId="0" fontId="0" fillId="21" borderId="4" xfId="0" applyFill="1" applyBorder="1" applyAlignment="1">
      <alignment wrapText="1"/>
    </xf>
    <xf numFmtId="0" fontId="0" fillId="21" borderId="4" xfId="0" applyFill="1" applyBorder="1"/>
    <xf numFmtId="9" fontId="0" fillId="21" borderId="4" xfId="1" applyFont="1" applyFill="1" applyBorder="1"/>
    <xf numFmtId="0" fontId="0" fillId="0" borderId="5" xfId="0" applyBorder="1" applyAlignment="1">
      <alignment wrapText="1"/>
    </xf>
    <xf numFmtId="0" fontId="0" fillId="0" borderId="6" xfId="0" applyBorder="1"/>
    <xf numFmtId="9" fontId="0" fillId="0" borderId="6" xfId="1" applyFont="1" applyBorder="1"/>
    <xf numFmtId="9" fontId="0" fillId="3" borderId="6" xfId="1" applyFont="1" applyFill="1" applyBorder="1"/>
    <xf numFmtId="0" fontId="0" fillId="0" borderId="10" xfId="0" applyBorder="1" applyAlignment="1">
      <alignment wrapText="1"/>
    </xf>
    <xf numFmtId="0" fontId="0" fillId="0" borderId="11" xfId="0" applyBorder="1"/>
    <xf numFmtId="9" fontId="0" fillId="0" borderId="11" xfId="1" applyFont="1" applyBorder="1"/>
    <xf numFmtId="9" fontId="0" fillId="3" borderId="11" xfId="1" applyFont="1" applyFill="1" applyBorder="1"/>
    <xf numFmtId="0" fontId="0" fillId="3" borderId="0" xfId="0" applyFill="1" applyAlignment="1">
      <alignment wrapText="1"/>
    </xf>
    <xf numFmtId="0" fontId="0" fillId="3" borderId="8" xfId="0" applyFill="1" applyBorder="1" applyAlignment="1">
      <alignment wrapText="1"/>
    </xf>
    <xf numFmtId="9" fontId="0" fillId="3" borderId="9" xfId="1" applyFont="1" applyFill="1" applyBorder="1"/>
    <xf numFmtId="0" fontId="0" fillId="3" borderId="10" xfId="0" applyFill="1" applyBorder="1" applyAlignment="1">
      <alignment wrapText="1"/>
    </xf>
    <xf numFmtId="0" fontId="0" fillId="3" borderId="11" xfId="0" applyFill="1" applyBorder="1"/>
    <xf numFmtId="9" fontId="0" fillId="3" borderId="12" xfId="1" applyFont="1" applyFill="1" applyBorder="1"/>
    <xf numFmtId="10" fontId="0" fillId="3" borderId="0" xfId="0" applyNumberFormat="1" applyFill="1"/>
    <xf numFmtId="0" fontId="17" fillId="25" borderId="14" xfId="0" applyFont="1" applyFill="1" applyBorder="1" applyAlignment="1">
      <alignment horizontal="center" vertical="center"/>
    </xf>
    <xf numFmtId="0" fontId="17" fillId="25" borderId="18" xfId="0" applyFont="1" applyFill="1" applyBorder="1" applyAlignment="1">
      <alignment horizontal="center" vertical="center"/>
    </xf>
    <xf numFmtId="0" fontId="17" fillId="26" borderId="15" xfId="0" applyFont="1" applyFill="1" applyBorder="1" applyAlignment="1">
      <alignment horizontal="center" vertical="center"/>
    </xf>
    <xf numFmtId="0" fontId="17" fillId="25" borderId="19" xfId="0" applyFont="1" applyFill="1" applyBorder="1" applyAlignment="1">
      <alignment horizontal="center" vertical="center" wrapText="1"/>
    </xf>
    <xf numFmtId="0" fontId="17" fillId="25" borderId="14" xfId="0" applyFont="1" applyFill="1" applyBorder="1" applyAlignment="1">
      <alignment horizontal="center" vertical="center" wrapText="1"/>
    </xf>
    <xf numFmtId="0" fontId="0" fillId="13" borderId="14" xfId="0" applyFill="1" applyBorder="1" applyAlignment="1">
      <alignment wrapText="1"/>
    </xf>
    <xf numFmtId="0" fontId="0" fillId="13" borderId="4" xfId="0" applyFill="1" applyBorder="1" applyAlignment="1">
      <alignment wrapText="1"/>
    </xf>
    <xf numFmtId="173" fontId="4" fillId="0" borderId="4" xfId="0" applyNumberFormat="1" applyFont="1" applyBorder="1"/>
    <xf numFmtId="0" fontId="0" fillId="0" borderId="0" xfId="0" applyAlignment="1">
      <alignment horizontal="center" wrapText="1"/>
    </xf>
    <xf numFmtId="0" fontId="4" fillId="4" borderId="0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166" fontId="0" fillId="0" borderId="0" xfId="0" applyNumberFormat="1" applyFill="1" applyAlignment="1">
      <alignment horizontal="center"/>
    </xf>
    <xf numFmtId="9" fontId="0" fillId="3" borderId="0" xfId="1" applyFont="1" applyFill="1" applyBorder="1" applyAlignment="1">
      <alignment horizontal="right"/>
    </xf>
    <xf numFmtId="10" fontId="0" fillId="3" borderId="0" xfId="1" applyNumberFormat="1" applyFont="1" applyFill="1" applyBorder="1"/>
    <xf numFmtId="0" fontId="4" fillId="4" borderId="6" xfId="0" applyFont="1" applyFill="1" applyBorder="1"/>
    <xf numFmtId="9" fontId="0" fillId="3" borderId="0" xfId="0" applyNumberFormat="1" applyFill="1" applyBorder="1" applyAlignment="1">
      <alignment horizontal="center"/>
    </xf>
    <xf numFmtId="10" fontId="0" fillId="3" borderId="0" xfId="0" applyNumberFormat="1" applyFill="1" applyBorder="1" applyAlignment="1">
      <alignment horizontal="center"/>
    </xf>
    <xf numFmtId="167" fontId="0" fillId="3" borderId="0" xfId="0" applyNumberFormat="1" applyFill="1" applyBorder="1" applyAlignment="1">
      <alignment horizontal="center"/>
    </xf>
    <xf numFmtId="167" fontId="0" fillId="3" borderId="0" xfId="1" applyNumberFormat="1" applyFont="1" applyFill="1" applyBorder="1" applyAlignment="1">
      <alignment horizontal="center"/>
    </xf>
    <xf numFmtId="9" fontId="4" fillId="4" borderId="6" xfId="0" applyNumberFormat="1" applyFont="1" applyFill="1" applyBorder="1"/>
    <xf numFmtId="9" fontId="0" fillId="4" borderId="6" xfId="0" applyNumberFormat="1" applyFill="1" applyBorder="1" applyAlignment="1">
      <alignment horizontal="center"/>
    </xf>
    <xf numFmtId="0" fontId="0" fillId="4" borderId="0" xfId="0" applyFill="1" applyBorder="1" applyAlignment="1">
      <alignment horizontal="left"/>
    </xf>
    <xf numFmtId="0" fontId="4" fillId="4" borderId="9" xfId="0" applyFont="1" applyFill="1" applyBorder="1"/>
    <xf numFmtId="0" fontId="4" fillId="4" borderId="5" xfId="0" applyFont="1" applyFill="1" applyBorder="1"/>
    <xf numFmtId="2" fontId="0" fillId="3" borderId="0" xfId="0" applyNumberFormat="1" applyFill="1" applyBorder="1"/>
    <xf numFmtId="0" fontId="0" fillId="3" borderId="0" xfId="0" applyFill="1" applyBorder="1" applyAlignment="1">
      <alignment wrapText="1"/>
    </xf>
    <xf numFmtId="0" fontId="4" fillId="3" borderId="0" xfId="0" applyFont="1" applyFill="1" applyBorder="1"/>
    <xf numFmtId="0" fontId="0" fillId="3" borderId="0" xfId="0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/>
    <xf numFmtId="0" fontId="0" fillId="3" borderId="12" xfId="0" applyFill="1" applyBorder="1" applyAlignment="1">
      <alignment wrapText="1"/>
    </xf>
    <xf numFmtId="0" fontId="4" fillId="27" borderId="5" xfId="0" applyFont="1" applyFill="1" applyBorder="1"/>
    <xf numFmtId="0" fontId="4" fillId="27" borderId="6" xfId="0" applyFont="1" applyFill="1" applyBorder="1"/>
    <xf numFmtId="0" fontId="4" fillId="27" borderId="7" xfId="0" applyFont="1" applyFill="1" applyBorder="1"/>
    <xf numFmtId="0" fontId="0" fillId="3" borderId="0" xfId="0" applyFont="1" applyFill="1" applyBorder="1"/>
    <xf numFmtId="0" fontId="0" fillId="3" borderId="0" xfId="0" applyFont="1" applyFill="1" applyBorder="1" applyAlignment="1">
      <alignment horizontal="center" wrapText="1"/>
    </xf>
    <xf numFmtId="0" fontId="21" fillId="3" borderId="0" xfId="0" applyFont="1" applyFill="1" applyBorder="1"/>
    <xf numFmtId="0" fontId="0" fillId="23" borderId="0" xfId="0" applyFont="1" applyFill="1" applyBorder="1"/>
    <xf numFmtId="2" fontId="0" fillId="3" borderId="0" xfId="0" applyNumberFormat="1" applyFont="1" applyFill="1" applyBorder="1"/>
    <xf numFmtId="173" fontId="0" fillId="3" borderId="0" xfId="0" applyNumberFormat="1" applyFont="1" applyFill="1" applyBorder="1"/>
    <xf numFmtId="0" fontId="4" fillId="18" borderId="5" xfId="0" applyFont="1" applyFill="1" applyBorder="1" applyAlignment="1">
      <alignment horizontal="center"/>
    </xf>
    <xf numFmtId="0" fontId="4" fillId="18" borderId="6" xfId="0" applyFont="1" applyFill="1" applyBorder="1" applyAlignment="1">
      <alignment horizontal="center"/>
    </xf>
    <xf numFmtId="0" fontId="4" fillId="18" borderId="6" xfId="0" applyFont="1" applyFill="1" applyBorder="1"/>
    <xf numFmtId="0" fontId="4" fillId="18" borderId="7" xfId="0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3" borderId="8" xfId="0" applyFont="1" applyFill="1" applyBorder="1" applyAlignment="1">
      <alignment horizontal="center" wrapText="1"/>
    </xf>
    <xf numFmtId="2" fontId="0" fillId="3" borderId="9" xfId="0" applyNumberFormat="1" applyFont="1" applyFill="1" applyBorder="1"/>
    <xf numFmtId="173" fontId="0" fillId="3" borderId="9" xfId="0" applyNumberFormat="1" applyFont="1" applyFill="1" applyBorder="1"/>
    <xf numFmtId="0" fontId="0" fillId="3" borderId="10" xfId="0" applyFont="1" applyFill="1" applyBorder="1" applyAlignment="1">
      <alignment horizontal="center" wrapText="1"/>
    </xf>
    <xf numFmtId="0" fontId="0" fillId="3" borderId="11" xfId="0" applyFont="1" applyFill="1" applyBorder="1" applyAlignment="1">
      <alignment horizontal="center" wrapText="1"/>
    </xf>
    <xf numFmtId="0" fontId="0" fillId="3" borderId="11" xfId="0" applyFont="1" applyFill="1" applyBorder="1"/>
    <xf numFmtId="167" fontId="0" fillId="0" borderId="0" xfId="1" applyNumberFormat="1" applyFont="1"/>
    <xf numFmtId="0" fontId="18" fillId="28" borderId="21" xfId="0" applyFont="1" applyFill="1" applyBorder="1" applyAlignment="1">
      <alignment horizontal="center" vertical="center" wrapText="1"/>
    </xf>
    <xf numFmtId="0" fontId="18" fillId="28" borderId="0" xfId="0" applyFont="1" applyFill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70" fontId="0" fillId="0" borderId="0" xfId="1" applyNumberFormat="1" applyFont="1" applyAlignment="1">
      <alignment horizontal="left"/>
    </xf>
    <xf numFmtId="170" fontId="11" fillId="0" borderId="0" xfId="1" applyNumberFormat="1" applyFont="1" applyFill="1" applyAlignment="1">
      <alignment horizontal="left"/>
    </xf>
    <xf numFmtId="171" fontId="0" fillId="0" borderId="0" xfId="1" applyNumberFormat="1" applyFont="1" applyAlignment="1">
      <alignment horizontal="left"/>
    </xf>
    <xf numFmtId="171" fontId="11" fillId="0" borderId="0" xfId="1" applyNumberFormat="1" applyFont="1" applyAlignment="1">
      <alignment horizontal="left"/>
    </xf>
    <xf numFmtId="171" fontId="0" fillId="0" borderId="0" xfId="1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0" fillId="29" borderId="24" xfId="0" applyFill="1" applyBorder="1"/>
    <xf numFmtId="0" fontId="0" fillId="0" borderId="24" xfId="0" applyBorder="1"/>
    <xf numFmtId="0" fontId="0" fillId="0" borderId="25" xfId="0" applyBorder="1"/>
    <xf numFmtId="173" fontId="0" fillId="9" borderId="16" xfId="0" applyNumberFormat="1" applyFill="1" applyBorder="1"/>
    <xf numFmtId="173" fontId="0" fillId="9" borderId="13" xfId="0" applyNumberFormat="1" applyFill="1" applyBorder="1"/>
    <xf numFmtId="173" fontId="0" fillId="0" borderId="13" xfId="0" applyNumberFormat="1" applyBorder="1"/>
    <xf numFmtId="173" fontId="0" fillId="9" borderId="17" xfId="0" applyNumberFormat="1" applyFill="1" applyBorder="1"/>
    <xf numFmtId="173" fontId="0" fillId="9" borderId="0" xfId="0" applyNumberFormat="1" applyFill="1"/>
    <xf numFmtId="171" fontId="0" fillId="21" borderId="0" xfId="1" applyNumberFormat="1" applyFont="1" applyFill="1"/>
    <xf numFmtId="171" fontId="0" fillId="0" borderId="0" xfId="1" applyNumberFormat="1" applyFont="1" applyFill="1"/>
    <xf numFmtId="0" fontId="0" fillId="0" borderId="22" xfId="0" applyBorder="1"/>
    <xf numFmtId="0" fontId="4" fillId="21" borderId="0" xfId="0" applyFont="1" applyFill="1"/>
    <xf numFmtId="0" fontId="4" fillId="0" borderId="6" xfId="0" applyFont="1" applyBorder="1"/>
    <xf numFmtId="0" fontId="0" fillId="3" borderId="0" xfId="0" applyFill="1" applyBorder="1" applyAlignment="1">
      <alignment horizontal="center" wrapText="1"/>
    </xf>
    <xf numFmtId="176" fontId="0" fillId="3" borderId="0" xfId="0" applyNumberFormat="1" applyFill="1" applyBorder="1"/>
    <xf numFmtId="0" fontId="0" fillId="3" borderId="8" xfId="0" applyFill="1" applyBorder="1" applyAlignment="1">
      <alignment horizontal="center" wrapText="1"/>
    </xf>
    <xf numFmtId="176" fontId="0" fillId="3" borderId="9" xfId="0" applyNumberFormat="1" applyFill="1" applyBorder="1"/>
    <xf numFmtId="0" fontId="0" fillId="3" borderId="10" xfId="0" applyFill="1" applyBorder="1" applyAlignment="1">
      <alignment horizontal="center" wrapText="1"/>
    </xf>
    <xf numFmtId="0" fontId="0" fillId="3" borderId="11" xfId="0" applyFill="1" applyBorder="1" applyAlignment="1">
      <alignment horizontal="center" wrapText="1"/>
    </xf>
    <xf numFmtId="0" fontId="0" fillId="3" borderId="11" xfId="0" applyFill="1" applyBorder="1" applyAlignment="1">
      <alignment wrapText="1"/>
    </xf>
    <xf numFmtId="170" fontId="0" fillId="3" borderId="11" xfId="0" applyNumberFormat="1" applyFill="1" applyBorder="1" applyAlignment="1">
      <alignment wrapText="1"/>
    </xf>
    <xf numFmtId="10" fontId="0" fillId="3" borderId="11" xfId="1" applyNumberFormat="1" applyFont="1" applyFill="1" applyBorder="1"/>
    <xf numFmtId="10" fontId="0" fillId="3" borderId="12" xfId="1" applyNumberFormat="1" applyFont="1" applyFill="1" applyBorder="1"/>
    <xf numFmtId="0" fontId="4" fillId="30" borderId="6" xfId="0" applyFont="1" applyFill="1" applyBorder="1"/>
    <xf numFmtId="0" fontId="4" fillId="30" borderId="7" xfId="0" applyFont="1" applyFill="1" applyBorder="1"/>
    <xf numFmtId="173" fontId="0" fillId="9" borderId="26" xfId="0" applyNumberFormat="1" applyFill="1" applyBorder="1"/>
    <xf numFmtId="0" fontId="4" fillId="30" borderId="5" xfId="0" applyFont="1" applyFill="1" applyBorder="1" applyAlignment="1">
      <alignment horizontal="center"/>
    </xf>
    <xf numFmtId="0" fontId="4" fillId="30" borderId="6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0" fillId="23" borderId="0" xfId="0" applyFill="1" applyBorder="1"/>
    <xf numFmtId="0" fontId="4" fillId="22" borderId="7" xfId="0" applyFont="1" applyFill="1" applyBorder="1"/>
    <xf numFmtId="0" fontId="0" fillId="23" borderId="9" xfId="0" applyFill="1" applyBorder="1"/>
    <xf numFmtId="173" fontId="0" fillId="3" borderId="9" xfId="0" applyNumberFormat="1" applyFill="1" applyBorder="1"/>
    <xf numFmtId="168" fontId="0" fillId="3" borderId="9" xfId="1" applyNumberFormat="1" applyFont="1" applyFill="1" applyBorder="1"/>
    <xf numFmtId="10" fontId="0" fillId="3" borderId="11" xfId="1" applyNumberFormat="1" applyFont="1" applyFill="1" applyBorder="1" applyAlignment="1">
      <alignment horizontal="right"/>
    </xf>
    <xf numFmtId="10" fontId="11" fillId="3" borderId="11" xfId="1" applyNumberFormat="1" applyFont="1" applyFill="1" applyBorder="1" applyAlignment="1">
      <alignment horizontal="right"/>
    </xf>
    <xf numFmtId="10" fontId="0" fillId="3" borderId="12" xfId="1" applyNumberFormat="1" applyFont="1" applyFill="1" applyBorder="1" applyAlignment="1">
      <alignment horizontal="right"/>
    </xf>
    <xf numFmtId="0" fontId="4" fillId="4" borderId="7" xfId="0" applyFont="1" applyFill="1" applyBorder="1"/>
    <xf numFmtId="0" fontId="18" fillId="31" borderId="20" xfId="0" applyFont="1" applyFill="1" applyBorder="1" applyAlignment="1">
      <alignment horizontal="center" vertical="center" wrapText="1"/>
    </xf>
    <xf numFmtId="169" fontId="19" fillId="31" borderId="4" xfId="0" applyNumberFormat="1" applyFont="1" applyFill="1" applyBorder="1" applyAlignment="1">
      <alignment vertical="center" wrapText="1"/>
    </xf>
    <xf numFmtId="0" fontId="18" fillId="31" borderId="4" xfId="0" applyFont="1" applyFill="1" applyBorder="1" applyAlignment="1">
      <alignment horizontal="center" vertical="center" wrapText="1"/>
    </xf>
    <xf numFmtId="0" fontId="18" fillId="31" borderId="4" xfId="0" applyFont="1" applyFill="1" applyBorder="1" applyAlignment="1">
      <alignment vertical="center" wrapText="1"/>
    </xf>
    <xf numFmtId="0" fontId="20" fillId="3" borderId="0" xfId="0" applyFont="1" applyFill="1"/>
    <xf numFmtId="0" fontId="18" fillId="31" borderId="4" xfId="0" applyFont="1" applyFill="1" applyBorder="1" applyAlignment="1">
      <alignment horizontal="center" vertical="center"/>
    </xf>
    <xf numFmtId="0" fontId="18" fillId="31" borderId="4" xfId="0" applyFont="1" applyFill="1" applyBorder="1" applyAlignment="1">
      <alignment vertical="center"/>
    </xf>
    <xf numFmtId="169" fontId="19" fillId="31" borderId="4" xfId="0" applyNumberFormat="1" applyFont="1" applyFill="1" applyBorder="1" applyAlignment="1">
      <alignment vertical="center"/>
    </xf>
    <xf numFmtId="0" fontId="0" fillId="3" borderId="4" xfId="0" applyFill="1" applyBorder="1" applyAlignment="1">
      <alignment horizontal="center"/>
    </xf>
    <xf numFmtId="0" fontId="0" fillId="3" borderId="0" xfId="0" applyFont="1" applyFill="1" applyBorder="1" applyAlignment="1">
      <alignment wrapText="1"/>
    </xf>
    <xf numFmtId="0" fontId="22" fillId="31" borderId="0" xfId="0" applyFont="1" applyFill="1" applyBorder="1" applyAlignment="1">
      <alignment horizontal="left" vertical="center" wrapText="1"/>
    </xf>
    <xf numFmtId="0" fontId="22" fillId="31" borderId="0" xfId="0" applyFont="1" applyFill="1" applyBorder="1" applyAlignment="1">
      <alignment horizontal="center" vertical="center" wrapText="1"/>
    </xf>
    <xf numFmtId="169" fontId="22" fillId="31" borderId="0" xfId="0" applyNumberFormat="1" applyFont="1" applyFill="1" applyBorder="1" applyAlignment="1">
      <alignment horizontal="center" vertical="center" wrapText="1"/>
    </xf>
    <xf numFmtId="0" fontId="22" fillId="31" borderId="0" xfId="0" applyFont="1" applyFill="1" applyBorder="1" applyAlignment="1">
      <alignment vertical="center" wrapText="1"/>
    </xf>
    <xf numFmtId="0" fontId="0" fillId="3" borderId="8" xfId="0" applyFont="1" applyFill="1" applyBorder="1" applyAlignment="1">
      <alignment wrapText="1"/>
    </xf>
    <xf numFmtId="0" fontId="0" fillId="3" borderId="9" xfId="0" applyFont="1" applyFill="1" applyBorder="1" applyAlignment="1">
      <alignment wrapText="1"/>
    </xf>
    <xf numFmtId="0" fontId="18" fillId="31" borderId="11" xfId="0" applyFont="1" applyFill="1" applyBorder="1" applyAlignment="1">
      <alignment horizontal="center" vertical="center" wrapText="1"/>
    </xf>
    <xf numFmtId="0" fontId="17" fillId="25" borderId="6" xfId="0" applyFont="1" applyFill="1" applyBorder="1" applyAlignment="1">
      <alignment horizontal="center" vertical="center" wrapText="1"/>
    </xf>
    <xf numFmtId="0" fontId="17" fillId="25" borderId="7" xfId="0" applyFont="1" applyFill="1" applyBorder="1" applyAlignment="1">
      <alignment horizontal="center" vertical="center" wrapText="1"/>
    </xf>
    <xf numFmtId="0" fontId="17" fillId="25" borderId="5" xfId="0" applyFont="1" applyFill="1" applyBorder="1" applyAlignment="1">
      <alignment horizontal="center" vertical="center" wrapText="1"/>
    </xf>
    <xf numFmtId="2" fontId="0" fillId="3" borderId="0" xfId="0" applyNumberFormat="1" applyFont="1" applyFill="1" applyBorder="1" applyAlignment="1">
      <alignment horizontal="center" wrapText="1"/>
    </xf>
    <xf numFmtId="0" fontId="23" fillId="3" borderId="0" xfId="0" applyFont="1" applyFill="1" applyBorder="1" applyAlignment="1">
      <alignment wrapText="1"/>
    </xf>
    <xf numFmtId="0" fontId="0" fillId="3" borderId="0" xfId="0" applyFont="1" applyFill="1" applyBorder="1" applyAlignment="1">
      <alignment horizontal="center" wrapText="1"/>
    </xf>
    <xf numFmtId="2" fontId="22" fillId="31" borderId="0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23" fillId="3" borderId="9" xfId="0" applyFont="1" applyFill="1" applyBorder="1" applyAlignment="1">
      <alignment wrapText="1"/>
    </xf>
    <xf numFmtId="0" fontId="0" fillId="3" borderId="10" xfId="0" applyFont="1" applyFill="1" applyBorder="1" applyAlignment="1">
      <alignment wrapText="1"/>
    </xf>
    <xf numFmtId="0" fontId="0" fillId="3" borderId="11" xfId="0" applyFont="1" applyFill="1" applyBorder="1" applyAlignment="1">
      <alignment wrapText="1"/>
    </xf>
    <xf numFmtId="0" fontId="0" fillId="3" borderId="12" xfId="0" applyFont="1" applyFill="1" applyBorder="1" applyAlignment="1">
      <alignment wrapText="1"/>
    </xf>
    <xf numFmtId="0" fontId="22" fillId="3" borderId="0" xfId="0" applyFont="1" applyFill="1" applyBorder="1" applyAlignment="1">
      <alignment horizontal="center" vertical="center" wrapText="1"/>
    </xf>
    <xf numFmtId="0" fontId="22" fillId="32" borderId="0" xfId="0" applyFont="1" applyFill="1" applyBorder="1" applyAlignment="1">
      <alignment horizontal="center" vertical="center" wrapText="1"/>
    </xf>
    <xf numFmtId="166" fontId="22" fillId="31" borderId="0" xfId="0" applyNumberFormat="1" applyFont="1" applyFill="1" applyBorder="1" applyAlignment="1">
      <alignment horizontal="center" vertical="center" wrapText="1"/>
    </xf>
    <xf numFmtId="169" fontId="0" fillId="3" borderId="11" xfId="0" applyNumberFormat="1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9" fontId="0" fillId="0" borderId="4" xfId="1" applyFont="1" applyBorder="1" applyAlignment="1">
      <alignment wrapText="1"/>
    </xf>
    <xf numFmtId="0" fontId="14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16" fillId="3" borderId="8" xfId="0" applyFont="1" applyFill="1" applyBorder="1" applyAlignment="1">
      <alignment wrapText="1"/>
    </xf>
    <xf numFmtId="0" fontId="16" fillId="3" borderId="10" xfId="0" applyFont="1" applyFill="1" applyBorder="1" applyAlignment="1">
      <alignment wrapText="1"/>
    </xf>
    <xf numFmtId="9" fontId="0" fillId="4" borderId="6" xfId="1" applyFont="1" applyFill="1" applyBorder="1"/>
    <xf numFmtId="9" fontId="0" fillId="4" borderId="7" xfId="1" applyFont="1" applyFill="1" applyBorder="1" applyAlignment="1">
      <alignment wrapText="1"/>
    </xf>
    <xf numFmtId="9" fontId="0" fillId="0" borderId="14" xfId="1" applyFont="1" applyBorder="1" applyAlignment="1">
      <alignment wrapText="1"/>
    </xf>
  </cellXfs>
  <cellStyles count="10">
    <cellStyle name="2x indented GHG Textfiels" xfId="6" xr:uid="{22F2EBE3-33A8-4817-B3CA-3BB74E6676B9}"/>
    <cellStyle name="AggblueCels_bold_T2x" xfId="5" xr:uid="{73403D48-B436-4E81-B1B5-79E4BA9BB2CF}"/>
    <cellStyle name="Millares" xfId="2" builtinId="3"/>
    <cellStyle name="Millares 2" xfId="7" xr:uid="{4E7189D4-AD26-4606-B816-2E87C7C8C2F3}"/>
    <cellStyle name="Millares 2 2" xfId="9" xr:uid="{6821B5F2-865F-4B16-A44D-7D1006EC2CA7}"/>
    <cellStyle name="Normal" xfId="0" builtinId="0"/>
    <cellStyle name="Normal 2 2" xfId="4" xr:uid="{3276AFF2-DE55-4BF0-93CE-E85252D06427}"/>
    <cellStyle name="Porcentaje" xfId="1" builtinId="5"/>
    <cellStyle name="Porcentaje 2" xfId="8" xr:uid="{3B47425C-5B7E-4878-BE73-33EE1AD48D2C}"/>
    <cellStyle name="Обычный_2++" xfId="3" xr:uid="{C36CEAE9-204B-4B4C-9193-332D324705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125845</xdr:colOff>
      <xdr:row>17</xdr:row>
      <xdr:rowOff>166254</xdr:rowOff>
    </xdr:from>
    <xdr:to>
      <xdr:col>4</xdr:col>
      <xdr:colOff>739179</xdr:colOff>
      <xdr:row>23</xdr:row>
      <xdr:rowOff>175634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94CE30-8D04-41BB-8519-3B3D35469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554" y="3754581"/>
          <a:ext cx="6321407" cy="1090035"/>
        </a:xfrm>
        <a:prstGeom prst="rect">
          <a:avLst/>
        </a:prstGeom>
      </xdr:spPr>
    </xdr:pic>
    <xdr:clientData/>
  </xdr:twoCellAnchor>
  <xdr:twoCellAnchor editAs="oneCell">
    <xdr:from>
      <xdr:col>2</xdr:col>
      <xdr:colOff>2</xdr:colOff>
      <xdr:row>8</xdr:row>
      <xdr:rowOff>157615</xdr:rowOff>
    </xdr:from>
    <xdr:to>
      <xdr:col>2</xdr:col>
      <xdr:colOff>3505201</xdr:colOff>
      <xdr:row>10</xdr:row>
      <xdr:rowOff>457199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7DCD01A-F067-969D-9DEC-A5AF65EA1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9420" y="1695470"/>
          <a:ext cx="3505199" cy="65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rabajo\planmicc\modelado\datos\trabajado\ippu%20modelo\residuos%20modelo%202.xlsx" TargetMode="External"/><Relationship Id="rId1" Type="http://schemas.openxmlformats.org/officeDocument/2006/relationships/externalLinkPath" Target="/trabajo/planmicc/modelado/datos/trabajado/ippu%20modelo/residuos%20modelo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leno (2)"/>
      <sheetName val="ippu (3)"/>
      <sheetName val="ippu (2)"/>
      <sheetName val="ippu"/>
      <sheetName val="proyectos"/>
      <sheetName val="Nuevos proyectos"/>
      <sheetName val="RESIDUOS (2)"/>
      <sheetName val="RESIDUOS"/>
      <sheetName val="Compost"/>
      <sheetName val="RELLENOS"/>
      <sheetName val="Compost (2)"/>
      <sheetName val="ptar (2)"/>
      <sheetName val="ptar"/>
      <sheetName val="ptar (3)"/>
      <sheetName val="ptar (5)"/>
      <sheetName val="proyectos agua"/>
      <sheetName val="ptar (4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7">
          <cell r="P17">
            <v>0</v>
          </cell>
          <cell r="Q17">
            <v>7.4999999999999997E-3</v>
          </cell>
          <cell r="R17">
            <v>1.4999999999999999E-2</v>
          </cell>
          <cell r="S17">
            <v>2.2499999999999999E-2</v>
          </cell>
          <cell r="T17">
            <v>0.03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P18">
            <v>0</v>
          </cell>
          <cell r="Q18">
            <v>0.17099999999999999</v>
          </cell>
          <cell r="R18">
            <v>0.17099999999999999</v>
          </cell>
          <cell r="S18">
            <v>0.17099999999999999</v>
          </cell>
          <cell r="T18">
            <v>0.17099999999999999</v>
          </cell>
          <cell r="U18">
            <v>0.17099999999999999</v>
          </cell>
          <cell r="V18">
            <v>0.17099999999999999</v>
          </cell>
          <cell r="W18">
            <v>0.17099999999999999</v>
          </cell>
          <cell r="X18">
            <v>0.17099999999999999</v>
          </cell>
          <cell r="Y18">
            <v>0.17099999999999999</v>
          </cell>
          <cell r="Z18">
            <v>0.17099999999999999</v>
          </cell>
        </row>
        <row r="19">
          <cell r="P19">
            <v>0</v>
          </cell>
        </row>
        <row r="22">
          <cell r="P22">
            <v>0</v>
          </cell>
        </row>
        <row r="23"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1.2857142857142857E-2</v>
          </cell>
          <cell r="U23">
            <v>2.5714285714285714E-2</v>
          </cell>
          <cell r="V23">
            <v>3.8571428571428569E-2</v>
          </cell>
          <cell r="W23">
            <v>5.1428571428571428E-2</v>
          </cell>
          <cell r="X23">
            <v>6.4285714285714279E-2</v>
          </cell>
          <cell r="Y23">
            <v>7.7142857142857138E-2</v>
          </cell>
          <cell r="Z23">
            <v>0.09</v>
          </cell>
        </row>
        <row r="24">
          <cell r="P24">
            <v>0</v>
          </cell>
          <cell r="Q24">
            <v>5.0000000000000001E-3</v>
          </cell>
          <cell r="R24">
            <v>0.01</v>
          </cell>
          <cell r="S24">
            <v>1.4999999999999999E-2</v>
          </cell>
          <cell r="T24">
            <v>0.02</v>
          </cell>
          <cell r="U24">
            <v>2.5000000000000001E-2</v>
          </cell>
          <cell r="V24">
            <v>3.0000000000000002E-2</v>
          </cell>
          <cell r="W24">
            <v>3.5000000000000003E-2</v>
          </cell>
          <cell r="X24">
            <v>0.04</v>
          </cell>
          <cell r="Y24">
            <v>4.4999999999999998E-2</v>
          </cell>
          <cell r="Z24">
            <v>4.9999999999999996E-2</v>
          </cell>
        </row>
        <row r="27">
          <cell r="P27">
            <v>0</v>
          </cell>
        </row>
        <row r="28">
          <cell r="P28">
            <v>0</v>
          </cell>
        </row>
        <row r="29">
          <cell r="P29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yaret Acosta" id="{0BA44B9C-8B03-4BB4-B60F-E09560BBD376}" userId="S::Nayaret.Acosta@globalwe.com::f4dff95e-531f-46de-a770-85f0ad041e1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9" dT="2023-02-10T09:31:45.33" personId="{0BA44B9C-8B03-4BB4-B60F-E09560BBD376}" id="{34E59D23-D475-4E69-811D-6087B54EEB47}">
    <text>Debido al aumento de cobertura de recoleccion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5"/>
  <sheetViews>
    <sheetView zoomScale="130" zoomScaleNormal="130" workbookViewId="0">
      <selection activeCell="C16" sqref="C16"/>
    </sheetView>
  </sheetViews>
  <sheetFormatPr baseColWidth="10" defaultColWidth="9.21875" defaultRowHeight="14.4" x14ac:dyDescent="0.3"/>
  <cols>
    <col min="1" max="1" width="9.21875" style="5"/>
    <col min="2" max="2" width="3.21875" style="5" bestFit="1" customWidth="1"/>
    <col min="3" max="3" width="163.21875" style="5" bestFit="1" customWidth="1"/>
    <col min="4" max="16384" width="9.21875" style="5"/>
  </cols>
  <sheetData>
    <row r="3" spans="2:3" x14ac:dyDescent="0.3">
      <c r="C3" s="6" t="s">
        <v>0</v>
      </c>
    </row>
    <row r="5" spans="2:3" x14ac:dyDescent="0.3">
      <c r="B5" s="19">
        <v>1</v>
      </c>
      <c r="C5" s="7" t="s">
        <v>1</v>
      </c>
    </row>
    <row r="6" spans="2:3" x14ac:dyDescent="0.3">
      <c r="B6" s="19">
        <v>2</v>
      </c>
      <c r="C6" s="7" t="s">
        <v>2</v>
      </c>
    </row>
    <row r="7" spans="2:3" x14ac:dyDescent="0.3">
      <c r="B7" s="19">
        <v>3</v>
      </c>
      <c r="C7" s="7" t="s">
        <v>3</v>
      </c>
    </row>
    <row r="8" spans="2:3" x14ac:dyDescent="0.3">
      <c r="B8" s="19">
        <v>4</v>
      </c>
      <c r="C8" s="7" t="s">
        <v>4</v>
      </c>
    </row>
    <row r="9" spans="2:3" x14ac:dyDescent="0.3">
      <c r="B9" s="19">
        <v>5</v>
      </c>
      <c r="C9" s="7" t="s">
        <v>5</v>
      </c>
    </row>
    <row r="10" spans="2:3" x14ac:dyDescent="0.3">
      <c r="B10" s="19">
        <v>6</v>
      </c>
      <c r="C10" s="7" t="s">
        <v>6</v>
      </c>
    </row>
    <row r="11" spans="2:3" x14ac:dyDescent="0.3">
      <c r="B11" s="19">
        <v>7</v>
      </c>
      <c r="C11" s="7" t="s">
        <v>7</v>
      </c>
    </row>
    <row r="12" spans="2:3" ht="28.8" x14ac:dyDescent="0.3">
      <c r="B12" s="20">
        <v>8</v>
      </c>
      <c r="C12" s="8" t="s">
        <v>8</v>
      </c>
    </row>
    <row r="13" spans="2:3" x14ac:dyDescent="0.3">
      <c r="B13" s="19">
        <v>9</v>
      </c>
      <c r="C13" s="7" t="s">
        <v>9</v>
      </c>
    </row>
    <row r="14" spans="2:3" ht="28.8" x14ac:dyDescent="0.3">
      <c r="B14" s="20">
        <v>10</v>
      </c>
      <c r="C14" s="8" t="s">
        <v>10</v>
      </c>
    </row>
    <row r="15" spans="2:3" ht="31.5" customHeight="1" x14ac:dyDescent="0.3">
      <c r="B15" s="20">
        <v>11</v>
      </c>
      <c r="C15" s="22" t="s">
        <v>11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2774-AB68-433E-9801-A326454F04E4}">
  <dimension ref="B1:AD14"/>
  <sheetViews>
    <sheetView zoomScale="85" zoomScaleNormal="85" workbookViewId="0">
      <pane ySplit="1" topLeftCell="A2" activePane="bottomLeft" state="frozen"/>
      <selection pane="bottomLeft" activeCell="C17" sqref="C17"/>
    </sheetView>
  </sheetViews>
  <sheetFormatPr baseColWidth="10" defaultColWidth="11.44140625" defaultRowHeight="14.4" x14ac:dyDescent="0.3"/>
  <cols>
    <col min="2" max="2" width="17.33203125" customWidth="1"/>
    <col min="3" max="3" width="41.21875" customWidth="1"/>
    <col min="4" max="4" width="17.5546875" customWidth="1"/>
    <col min="5" max="11" width="16.33203125" customWidth="1"/>
    <col min="12" max="12" width="20.44140625" customWidth="1"/>
    <col min="13" max="13" width="14.44140625" customWidth="1"/>
    <col min="14" max="14" width="17.77734375" customWidth="1"/>
    <col min="17" max="17" width="16.33203125" customWidth="1"/>
  </cols>
  <sheetData>
    <row r="1" spans="2:30" ht="20.399999999999999" thickBot="1" x14ac:dyDescent="0.35">
      <c r="B1" s="1"/>
      <c r="C1" s="2" t="s">
        <v>12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  <c r="Q1" s="3">
        <v>2023</v>
      </c>
      <c r="R1" s="3">
        <v>2024</v>
      </c>
      <c r="S1" s="3">
        <v>2025</v>
      </c>
      <c r="T1" s="3">
        <v>2026</v>
      </c>
      <c r="U1" s="3">
        <v>2027</v>
      </c>
      <c r="V1" s="3">
        <v>2028</v>
      </c>
      <c r="W1" s="3">
        <v>2029</v>
      </c>
      <c r="X1" s="3">
        <v>2030</v>
      </c>
      <c r="Y1" s="3">
        <v>2031</v>
      </c>
      <c r="Z1" s="3">
        <v>2032</v>
      </c>
      <c r="AA1" s="3">
        <v>2033</v>
      </c>
      <c r="AB1" s="3">
        <v>2034</v>
      </c>
      <c r="AC1" s="3">
        <v>2035</v>
      </c>
      <c r="AD1" s="4"/>
    </row>
    <row r="2" spans="2:30" ht="15" thickBot="1" x14ac:dyDescent="0.35"/>
    <row r="3" spans="2:30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2:30" x14ac:dyDescent="0.3">
      <c r="B4" s="12"/>
      <c r="C4" s="13" t="s">
        <v>13</v>
      </c>
      <c r="D4" s="13"/>
      <c r="E4" s="13"/>
      <c r="F4" s="13"/>
      <c r="G4" s="13"/>
      <c r="H4" s="13"/>
      <c r="I4" s="13"/>
      <c r="J4" s="13"/>
      <c r="K4" s="13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</row>
    <row r="5" spans="2:30" x14ac:dyDescent="0.3">
      <c r="B5" s="12"/>
      <c r="C5" s="13" t="s">
        <v>212</v>
      </c>
      <c r="D5" s="161">
        <v>14883661</v>
      </c>
      <c r="E5" s="161">
        <v>15160587</v>
      </c>
      <c r="F5" s="161">
        <v>15440550</v>
      </c>
      <c r="G5" s="161">
        <v>15717514</v>
      </c>
      <c r="H5" s="161">
        <v>15994366</v>
      </c>
      <c r="I5" s="161">
        <v>16269171</v>
      </c>
      <c r="J5" s="161">
        <v>16532265</v>
      </c>
      <c r="K5" s="161">
        <v>16792803</v>
      </c>
      <c r="L5" s="161">
        <v>17023408</v>
      </c>
      <c r="M5" s="161">
        <v>17267986</v>
      </c>
      <c r="N5" s="161">
        <v>17510643</v>
      </c>
      <c r="O5" s="161">
        <v>17751277</v>
      </c>
      <c r="P5" s="161">
        <v>17989912</v>
      </c>
      <c r="Q5" s="161">
        <v>18226512</v>
      </c>
      <c r="R5" s="161">
        <v>17966573</v>
      </c>
      <c r="S5" s="161">
        <v>18103660</v>
      </c>
      <c r="T5" s="161">
        <v>18243816</v>
      </c>
      <c r="U5" s="161">
        <v>18385975</v>
      </c>
      <c r="V5" s="161">
        <v>18529121</v>
      </c>
      <c r="W5" s="161">
        <v>18672456</v>
      </c>
      <c r="X5" s="161">
        <v>18815497</v>
      </c>
      <c r="Y5" s="161">
        <v>18957924</v>
      </c>
      <c r="Z5" s="161">
        <v>19099478</v>
      </c>
      <c r="AA5" s="161">
        <v>19239759</v>
      </c>
      <c r="AB5" s="161">
        <v>19378452</v>
      </c>
      <c r="AC5" s="161">
        <v>19515303</v>
      </c>
      <c r="AD5" s="15"/>
    </row>
    <row r="6" spans="2:30" x14ac:dyDescent="0.3">
      <c r="B6" s="12"/>
      <c r="C6" s="174" t="s">
        <v>232</v>
      </c>
      <c r="D6" s="174"/>
      <c r="E6" s="174"/>
      <c r="F6" s="174"/>
      <c r="G6" s="13"/>
      <c r="H6" s="13"/>
      <c r="I6" s="13"/>
      <c r="J6" s="13"/>
      <c r="K6" s="13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5"/>
    </row>
    <row r="7" spans="2:30" x14ac:dyDescent="0.3"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5"/>
    </row>
    <row r="8" spans="2:30" x14ac:dyDescent="0.3">
      <c r="B8" s="12"/>
      <c r="C8" s="13" t="s">
        <v>14</v>
      </c>
      <c r="D8" s="13"/>
      <c r="E8" s="13"/>
      <c r="F8" s="13"/>
      <c r="G8" s="13"/>
      <c r="H8" s="13"/>
      <c r="I8" s="13"/>
      <c r="J8" s="13"/>
      <c r="K8" s="13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</row>
    <row r="9" spans="2:30" x14ac:dyDescent="0.3">
      <c r="B9" s="12"/>
      <c r="C9" s="50" t="s">
        <v>211</v>
      </c>
      <c r="D9" s="46">
        <v>0.74868269227911144</v>
      </c>
      <c r="E9" s="46">
        <v>0.76193327575108227</v>
      </c>
      <c r="F9" s="46">
        <v>0.77153461162335368</v>
      </c>
      <c r="G9" s="46">
        <v>0.86518149609098638</v>
      </c>
      <c r="H9" s="46">
        <v>0.96349653592167706</v>
      </c>
      <c r="I9" s="46">
        <v>0.89204956105723321</v>
      </c>
      <c r="J9" s="46">
        <v>0.83803573582264346</v>
      </c>
      <c r="K9" s="46">
        <v>0.8225333733177701</v>
      </c>
      <c r="L9" s="46">
        <v>0.80888483062481498</v>
      </c>
      <c r="M9" s="46">
        <v>0.79910816064125356</v>
      </c>
      <c r="N9" s="46">
        <v>0.83</v>
      </c>
      <c r="O9" s="46">
        <v>0.78</v>
      </c>
      <c r="P9" s="46">
        <v>0.83779624040569212</v>
      </c>
      <c r="Q9" s="46">
        <v>0.88031889678537523</v>
      </c>
      <c r="R9" s="46">
        <v>0.92252260195599722</v>
      </c>
      <c r="S9" s="46">
        <v>0.96463385048634598</v>
      </c>
      <c r="T9" s="46">
        <v>1.0067584005814567</v>
      </c>
      <c r="U9" s="46">
        <v>1.0488757258495571</v>
      </c>
      <c r="V9" s="46">
        <v>1.0910321555155744</v>
      </c>
      <c r="W9" s="46">
        <v>1.1332685357110301</v>
      </c>
      <c r="X9" s="46">
        <v>1.1755240840426551</v>
      </c>
      <c r="Y9" s="46">
        <v>1.1894808831880044</v>
      </c>
      <c r="Z9" s="46">
        <v>1.2033133854698916</v>
      </c>
      <c r="AA9" s="46">
        <v>1.2170085582135102</v>
      </c>
      <c r="AB9" s="46">
        <v>1.230606303797801</v>
      </c>
      <c r="AC9" s="46">
        <v>1.2441140931935231</v>
      </c>
      <c r="AD9" s="15"/>
    </row>
    <row r="10" spans="2:30" x14ac:dyDescent="0.3">
      <c r="B10" s="12"/>
      <c r="C10" s="66" t="s">
        <v>231</v>
      </c>
      <c r="D10" s="66"/>
      <c r="E10" s="66"/>
      <c r="F10" s="48"/>
      <c r="G10" s="48"/>
      <c r="H10" s="48"/>
      <c r="I10" s="48"/>
      <c r="J10" s="48"/>
      <c r="K10" s="48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5"/>
    </row>
    <row r="11" spans="2:30" x14ac:dyDescent="0.3">
      <c r="B11" s="12"/>
      <c r="C11" s="13" t="s">
        <v>78</v>
      </c>
      <c r="D11" s="13"/>
      <c r="E11" s="13"/>
      <c r="F11" s="13"/>
      <c r="G11" s="13"/>
      <c r="H11" s="13"/>
      <c r="I11" s="13"/>
      <c r="J11" s="13"/>
      <c r="K11" s="13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</row>
    <row r="12" spans="2:30" x14ac:dyDescent="0.3">
      <c r="B12" s="12"/>
      <c r="C12" s="50" t="s">
        <v>211</v>
      </c>
      <c r="D12" s="162">
        <f>(D9*D5*365)/1000000000</f>
        <v>4.0672458767841082</v>
      </c>
      <c r="E12" s="162">
        <f>(E9*E5*365)/1000000000</f>
        <v>4.2162448360550338</v>
      </c>
      <c r="F12" s="162">
        <f>(F9*F5*365)/1000000000</f>
        <v>4.3482153428378556</v>
      </c>
      <c r="G12" s="162">
        <f>(G9*G5*365)/1000000000</f>
        <v>4.9634533312331239</v>
      </c>
      <c r="H12" s="162">
        <f>(H9*H5*365)/1000000000</f>
        <v>5.6248384258711592</v>
      </c>
      <c r="I12" s="162">
        <f>(I9*I5*365)/1000000000</f>
        <v>5.2972109999999999</v>
      </c>
      <c r="J12" s="162">
        <f>(J9*J5*365)/1000000000</f>
        <v>5.0569395353928259</v>
      </c>
      <c r="K12" s="162">
        <f>(K9*K5*365)/1000000000</f>
        <v>5.0416139281535308</v>
      </c>
      <c r="L12" s="162">
        <f>(L9*L5*365)/1000000000</f>
        <v>5.0260414213090483</v>
      </c>
      <c r="M12" s="162">
        <f>(M9*M5*365)/1000000000</f>
        <v>5.0366308136102047</v>
      </c>
      <c r="N12" s="162">
        <f>(N9*N5*365)/1000000000</f>
        <v>5.3048492968499996</v>
      </c>
      <c r="O12" s="162">
        <f>(O9*O5*365)/1000000000</f>
        <v>5.0537885619000003</v>
      </c>
      <c r="P12" s="162">
        <f>(P9*P5*365)/1000000000</f>
        <v>5.5012364331726751</v>
      </c>
      <c r="Q12" s="162">
        <f>(Q9*Q5*365)/1000000000</f>
        <v>5.8564771716711723</v>
      </c>
      <c r="R12" s="162">
        <f>(R9*R5*365)/1000000000</f>
        <v>6.049717930350214</v>
      </c>
      <c r="S12" s="162">
        <f>(S9*S5*365)/1000000000</f>
        <v>6.3741421875989088</v>
      </c>
      <c r="T12" s="162">
        <f>(T9*T5*365)/1000000000</f>
        <v>6.7039969810817714</v>
      </c>
      <c r="U12" s="162">
        <f>(U9*U5*365)/1000000000</f>
        <v>7.0388800488555363</v>
      </c>
      <c r="V12" s="162">
        <f>(V9*V5*365)/1000000000</f>
        <v>7.3787913909201972</v>
      </c>
      <c r="W12" s="162">
        <f>(W9*W5*365)/1000000000</f>
        <v>7.7237310072757541</v>
      </c>
      <c r="X12" s="162">
        <f>(X9*X5*365)/1000000000</f>
        <v>8.0730955050072986</v>
      </c>
      <c r="Y12" s="162">
        <f>(Y9*Y5*365)/1000000000</f>
        <v>8.2307821867698401</v>
      </c>
      <c r="Z12" s="162">
        <f>(Z9*Z5*365)/1000000000</f>
        <v>8.3886699995040157</v>
      </c>
      <c r="AA12" s="162">
        <f>(AA9*AA5*365)/1000000000</f>
        <v>8.5464572467523734</v>
      </c>
      <c r="AB12" s="162">
        <f>(AB9*AB5*365)/1000000000</f>
        <v>8.7042444940007329</v>
      </c>
      <c r="AC12" s="162">
        <f>(AC9*AC5*365)/1000000000</f>
        <v>8.8619311757632708</v>
      </c>
      <c r="AD12" s="15"/>
    </row>
    <row r="13" spans="2:30" x14ac:dyDescent="0.3">
      <c r="B13" s="1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</row>
    <row r="14" spans="2:30" ht="15" thickBot="1" x14ac:dyDescent="0.35"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8604-9503-46F3-970E-FF68045C8E0C}">
  <dimension ref="B1:BN94"/>
  <sheetViews>
    <sheetView topLeftCell="C1" zoomScale="70" zoomScaleNormal="70" workbookViewId="0">
      <pane ySplit="1" topLeftCell="A2" activePane="bottomLeft" state="frozen"/>
      <selection pane="bottomLeft" sqref="A1:XFD64"/>
    </sheetView>
  </sheetViews>
  <sheetFormatPr baseColWidth="10" defaultColWidth="11.44140625" defaultRowHeight="14.4" x14ac:dyDescent="0.3"/>
  <cols>
    <col min="2" max="2" width="20.77734375" bestFit="1" customWidth="1"/>
    <col min="3" max="3" width="31.44140625" customWidth="1"/>
    <col min="4" max="4" width="65.5546875" bestFit="1" customWidth="1"/>
    <col min="5" max="5" width="12.5546875" customWidth="1"/>
    <col min="6" max="12" width="13.6640625" customWidth="1"/>
    <col min="16" max="16" width="13.77734375" bestFit="1" customWidth="1"/>
    <col min="20" max="20" width="19.6640625" bestFit="1" customWidth="1"/>
    <col min="23" max="23" width="16" bestFit="1" customWidth="1"/>
  </cols>
  <sheetData>
    <row r="1" spans="2:66" ht="20.399999999999999" thickBot="1" x14ac:dyDescent="0.35">
      <c r="B1" s="1"/>
      <c r="C1" s="2"/>
      <c r="D1" s="2" t="s">
        <v>12</v>
      </c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3">
        <v>2036</v>
      </c>
      <c r="AF1" s="3">
        <v>2037</v>
      </c>
      <c r="AG1" s="3">
        <v>2038</v>
      </c>
      <c r="AH1" s="3">
        <v>2039</v>
      </c>
      <c r="AI1" s="3">
        <v>2040</v>
      </c>
      <c r="AJ1" s="3">
        <v>2041</v>
      </c>
      <c r="AK1" s="3">
        <v>2042</v>
      </c>
      <c r="AL1" s="3">
        <v>2043</v>
      </c>
      <c r="AM1" s="3">
        <v>2044</v>
      </c>
      <c r="AN1" s="3">
        <v>2045</v>
      </c>
      <c r="AO1" s="3">
        <v>2046</v>
      </c>
      <c r="AP1" s="3">
        <v>2047</v>
      </c>
      <c r="AQ1" s="3">
        <v>2048</v>
      </c>
      <c r="AR1" s="3">
        <v>2049</v>
      </c>
      <c r="AS1" s="3">
        <v>2050</v>
      </c>
      <c r="AT1" s="3">
        <v>2051</v>
      </c>
      <c r="AU1" s="3">
        <v>2052</v>
      </c>
      <c r="AV1" s="3">
        <v>2053</v>
      </c>
      <c r="AW1" s="3">
        <v>2054</v>
      </c>
      <c r="AX1" s="3">
        <v>2055</v>
      </c>
      <c r="AY1" s="3">
        <v>2056</v>
      </c>
      <c r="AZ1" s="3">
        <v>2057</v>
      </c>
      <c r="BA1" s="3">
        <v>2058</v>
      </c>
      <c r="BB1" s="3">
        <v>2059</v>
      </c>
      <c r="BC1" s="3">
        <v>2060</v>
      </c>
      <c r="BD1" s="3">
        <v>2061</v>
      </c>
      <c r="BE1" s="3">
        <v>2062</v>
      </c>
      <c r="BF1" s="3">
        <v>2063</v>
      </c>
      <c r="BG1" s="3">
        <v>2064</v>
      </c>
      <c r="BH1" s="3">
        <v>2065</v>
      </c>
      <c r="BI1" s="3">
        <v>2066</v>
      </c>
      <c r="BJ1" s="3">
        <v>2067</v>
      </c>
      <c r="BK1" s="3">
        <v>2068</v>
      </c>
      <c r="BL1" s="3">
        <v>2069</v>
      </c>
      <c r="BM1" s="3">
        <v>2070</v>
      </c>
      <c r="BN1" s="4"/>
    </row>
    <row r="2" spans="2:66" ht="15" hidden="1" thickBot="1" x14ac:dyDescent="0.35"/>
    <row r="3" spans="2:66" hidden="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</row>
    <row r="4" spans="2:66" hidden="1" x14ac:dyDescent="0.3">
      <c r="B4" s="12"/>
      <c r="C4" s="14"/>
      <c r="D4" s="13" t="s">
        <v>81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</row>
    <row r="5" spans="2:66" hidden="1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 spans="2:66" hidden="1" x14ac:dyDescent="0.3">
      <c r="B6" s="12"/>
      <c r="C6" s="13" t="s">
        <v>69</v>
      </c>
      <c r="D6" s="24" t="s">
        <v>80</v>
      </c>
      <c r="E6" s="24"/>
      <c r="F6" s="24"/>
      <c r="G6" s="24"/>
      <c r="H6" s="24"/>
      <c r="I6" s="24"/>
      <c r="J6" s="24"/>
      <c r="K6" s="24"/>
      <c r="L6" s="2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2:66" hidden="1" x14ac:dyDescent="0.3"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</row>
    <row r="8" spans="2:66" hidden="1" x14ac:dyDescent="0.3">
      <c r="B8" s="14"/>
      <c r="C8" s="13" t="s">
        <v>195</v>
      </c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</row>
    <row r="9" spans="2:66" hidden="1" x14ac:dyDescent="0.3">
      <c r="B9" s="12"/>
      <c r="C9" s="14" t="s">
        <v>56</v>
      </c>
      <c r="D9" s="14" t="s">
        <v>202</v>
      </c>
      <c r="E9" s="126">
        <f>1-E10-E11-E12-E13-E14-E15-E16-E17-E18</f>
        <v>0.41274757603576673</v>
      </c>
      <c r="F9" s="126">
        <f t="shared" ref="F9:AE9" si="0">1-F10-F11-F12-F13-F14-F15-F16-F17-F18</f>
        <v>0.41274757603576662</v>
      </c>
      <c r="G9" s="126">
        <f t="shared" si="0"/>
        <v>0.41274757603576684</v>
      </c>
      <c r="H9" s="126">
        <f t="shared" si="0"/>
        <v>0.41274757603576684</v>
      </c>
      <c r="I9" s="126">
        <f t="shared" si="0"/>
        <v>0.41274757603576684</v>
      </c>
      <c r="J9" s="126">
        <f t="shared" si="0"/>
        <v>0.41178480524940386</v>
      </c>
      <c r="K9" s="126">
        <f t="shared" si="0"/>
        <v>0.40541366607504176</v>
      </c>
      <c r="L9" s="126">
        <f t="shared" si="0"/>
        <v>0.39926298334682692</v>
      </c>
      <c r="M9" s="126">
        <f t="shared" si="0"/>
        <v>0.40009604991238573</v>
      </c>
      <c r="N9" s="126">
        <f t="shared" si="0"/>
        <v>0.40011580276889303</v>
      </c>
      <c r="O9" s="126">
        <f t="shared" si="0"/>
        <v>0.40009604991238573</v>
      </c>
      <c r="P9" s="126">
        <f t="shared" si="0"/>
        <v>0.38470584996442869</v>
      </c>
      <c r="Q9" s="126">
        <f t="shared" si="0"/>
        <v>0.35412793247534513</v>
      </c>
      <c r="R9" s="126">
        <f t="shared" si="0"/>
        <v>0.33625992267609833</v>
      </c>
      <c r="S9" s="126">
        <f t="shared" si="0"/>
        <v>0.31934375296716699</v>
      </c>
      <c r="T9" s="126">
        <f t="shared" si="0"/>
        <v>0.30319087632340785</v>
      </c>
      <c r="U9" s="126">
        <f t="shared" si="0"/>
        <v>0.28767433539831028</v>
      </c>
      <c r="V9" s="126">
        <f t="shared" si="0"/>
        <v>0.27279905290690759</v>
      </c>
      <c r="W9" s="126">
        <f t="shared" si="0"/>
        <v>0.25844585264541842</v>
      </c>
      <c r="X9" s="126">
        <f t="shared" si="0"/>
        <v>0.24459161156182435</v>
      </c>
      <c r="Y9" s="126">
        <f t="shared" si="0"/>
        <v>0.23122303192450444</v>
      </c>
      <c r="Z9" s="126">
        <f t="shared" si="0"/>
        <v>0.36340338780347003</v>
      </c>
      <c r="AA9" s="126">
        <f t="shared" si="0"/>
        <v>0.36146108282340716</v>
      </c>
      <c r="AB9" s="126">
        <f t="shared" si="0"/>
        <v>0.35961463852941306</v>
      </c>
      <c r="AC9" s="126">
        <f t="shared" si="0"/>
        <v>0.35784866330496223</v>
      </c>
      <c r="AD9" s="126">
        <f t="shared" si="0"/>
        <v>0.35616237949043444</v>
      </c>
      <c r="AE9" s="126">
        <f t="shared" si="0"/>
        <v>0.35620298392198063</v>
      </c>
      <c r="AF9" s="126">
        <f t="shared" ref="AF9:BM9" si="1">1-AF10-AF11-AF12-AF13-AF14-AF15-AF16-AF17-AF18</f>
        <v>0.356242350940778</v>
      </c>
      <c r="AG9" s="126">
        <f t="shared" si="1"/>
        <v>0.35628047288304188</v>
      </c>
      <c r="AH9" s="126">
        <f t="shared" si="1"/>
        <v>0.35631734293956141</v>
      </c>
      <c r="AI9" s="126">
        <f t="shared" si="1"/>
        <v>0.35635298028013507</v>
      </c>
      <c r="AJ9" s="126">
        <f t="shared" si="1"/>
        <v>0.3563873969049785</v>
      </c>
      <c r="AK9" s="126">
        <f t="shared" si="1"/>
        <v>0.35642060712702789</v>
      </c>
      <c r="AL9" s="126">
        <f t="shared" si="1"/>
        <v>0.35645263456713683</v>
      </c>
      <c r="AM9" s="126">
        <f t="shared" si="1"/>
        <v>0.35648350398050982</v>
      </c>
      <c r="AN9" s="126">
        <f t="shared" si="1"/>
        <v>0.35651324173123855</v>
      </c>
      <c r="AO9" s="126">
        <f t="shared" si="1"/>
        <v>0.35654187600197207</v>
      </c>
      <c r="AP9" s="126">
        <f t="shared" si="1"/>
        <v>0.3565694342296391</v>
      </c>
      <c r="AQ9" s="126">
        <f t="shared" si="1"/>
        <v>0.3565959437346784</v>
      </c>
      <c r="AR9" s="126">
        <f t="shared" si="1"/>
        <v>0.35662143326319778</v>
      </c>
      <c r="AS9" s="126">
        <f t="shared" si="1"/>
        <v>0.35664654342916557</v>
      </c>
      <c r="AT9" s="126">
        <f t="shared" si="1"/>
        <v>0.3566772538969557</v>
      </c>
      <c r="AU9" s="126">
        <f t="shared" si="1"/>
        <v>0.3567064219642635</v>
      </c>
      <c r="AV9" s="126">
        <f t="shared" si="1"/>
        <v>0.35673409763789371</v>
      </c>
      <c r="AW9" s="126">
        <f t="shared" si="1"/>
        <v>0.35676032799270185</v>
      </c>
      <c r="AX9" s="126">
        <f t="shared" si="1"/>
        <v>0.35678515730426347</v>
      </c>
      <c r="AY9" s="126">
        <f t="shared" si="1"/>
        <v>0.35680862717277195</v>
      </c>
      <c r="AZ9" s="126">
        <f t="shared" si="1"/>
        <v>0.35683077663864837</v>
      </c>
      <c r="BA9" s="126">
        <f t="shared" si="1"/>
        <v>0.35685164229031074</v>
      </c>
      <c r="BB9" s="126">
        <f t="shared" si="1"/>
        <v>0.356871258364518</v>
      </c>
      <c r="BC9" s="126">
        <f t="shared" si="1"/>
        <v>0.35688965683967189</v>
      </c>
      <c r="BD9" s="126">
        <f t="shared" si="1"/>
        <v>0.35690686752243272</v>
      </c>
      <c r="BE9" s="126">
        <f t="shared" si="1"/>
        <v>0.35692291812797533</v>
      </c>
      <c r="BF9" s="126">
        <f t="shared" si="1"/>
        <v>0.35693783435418747</v>
      </c>
      <c r="BG9" s="126">
        <f t="shared" si="1"/>
        <v>0.3569516399500885</v>
      </c>
      <c r="BH9" s="126">
        <f t="shared" si="1"/>
        <v>0.35696435677872218</v>
      </c>
      <c r="BI9" s="126">
        <f t="shared" si="1"/>
        <v>0.35697600487475628</v>
      </c>
      <c r="BJ9" s="126">
        <f t="shared" si="1"/>
        <v>0.35698660249700187</v>
      </c>
      <c r="BK9" s="126">
        <f t="shared" si="1"/>
        <v>0.35699616617604413</v>
      </c>
      <c r="BL9" s="126">
        <f t="shared" si="1"/>
        <v>0.35700471075715795</v>
      </c>
      <c r="BM9" s="126">
        <f t="shared" si="1"/>
        <v>0.35701224943866533</v>
      </c>
      <c r="BN9" s="15"/>
    </row>
    <row r="10" spans="2:66" hidden="1" x14ac:dyDescent="0.3">
      <c r="B10" s="12"/>
      <c r="C10" s="14" t="s">
        <v>141</v>
      </c>
      <c r="D10" s="14" t="s">
        <v>142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126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15"/>
    </row>
    <row r="11" spans="2:66" hidden="1" x14ac:dyDescent="0.3">
      <c r="B11" s="12"/>
      <c r="C11" s="14" t="s">
        <v>57</v>
      </c>
      <c r="D11" s="14" t="s">
        <v>20</v>
      </c>
      <c r="E11" s="126">
        <f>E44/E83</f>
        <v>1.3522664148223913E-3</v>
      </c>
      <c r="F11" s="126">
        <f t="shared" ref="F11:AD11" si="2">F44/F83</f>
        <v>1.517938414124028E-3</v>
      </c>
      <c r="G11" s="126">
        <f t="shared" si="2"/>
        <v>1.6788496945129832E-3</v>
      </c>
      <c r="H11" s="126">
        <f t="shared" si="2"/>
        <v>4.4726924015390341E-3</v>
      </c>
      <c r="I11" s="126">
        <f t="shared" si="2"/>
        <v>6.6135233020917514E-3</v>
      </c>
      <c r="J11" s="126">
        <f t="shared" si="2"/>
        <v>6.0786704550753216E-3</v>
      </c>
      <c r="K11" s="126">
        <f t="shared" si="2"/>
        <v>5.3787473252608483E-3</v>
      </c>
      <c r="L11" s="126">
        <f t="shared" si="2"/>
        <v>6.0496500594147025E-3</v>
      </c>
      <c r="M11" s="126">
        <f t="shared" si="2"/>
        <v>6.7035231104326503E-3</v>
      </c>
      <c r="N11" s="126">
        <f t="shared" si="2"/>
        <v>6.9727583471030719E-3</v>
      </c>
      <c r="O11" s="126">
        <f t="shared" si="2"/>
        <v>7.240313991518285E-3</v>
      </c>
      <c r="P11" s="126">
        <f t="shared" si="2"/>
        <v>7.5773158133962517E-3</v>
      </c>
      <c r="Q11" s="126">
        <f t="shared" si="2"/>
        <v>6.7078025477706991E-3</v>
      </c>
      <c r="R11" s="126">
        <f t="shared" si="2"/>
        <v>6.8877939597503102E-3</v>
      </c>
      <c r="S11" s="126">
        <f t="shared" si="2"/>
        <v>7.0700279733124684E-3</v>
      </c>
      <c r="T11" s="126">
        <f t="shared" si="2"/>
        <v>7.2379836988915626E-3</v>
      </c>
      <c r="U11" s="126">
        <f t="shared" si="2"/>
        <v>7.4110980195859323E-3</v>
      </c>
      <c r="V11" s="126">
        <f t="shared" si="2"/>
        <v>7.5545077092536838E-3</v>
      </c>
      <c r="W11" s="126">
        <f t="shared" si="2"/>
        <v>7.7212467754602795E-3</v>
      </c>
      <c r="X11" s="126">
        <f t="shared" si="2"/>
        <v>7.8604970380836189E-3</v>
      </c>
      <c r="Y11" s="126">
        <f t="shared" si="2"/>
        <v>8.0063627682027752E-3</v>
      </c>
      <c r="Z11" s="126">
        <f t="shared" si="2"/>
        <v>6.609402809272886E-3</v>
      </c>
      <c r="AA11" s="126">
        <f t="shared" si="2"/>
        <v>6.6195645123705883E-3</v>
      </c>
      <c r="AB11" s="126">
        <f t="shared" si="2"/>
        <v>6.6415430793253984E-3</v>
      </c>
      <c r="AC11" s="126">
        <f t="shared" si="2"/>
        <v>6.6625952527870043E-3</v>
      </c>
      <c r="AD11" s="126">
        <f t="shared" si="2"/>
        <v>6.6828611221618536E-3</v>
      </c>
      <c r="AE11" s="127">
        <v>6.6828611221618536E-3</v>
      </c>
      <c r="AF11" s="127">
        <v>6.6828611221618536E-3</v>
      </c>
      <c r="AG11" s="127">
        <v>6.6828611221618536E-3</v>
      </c>
      <c r="AH11" s="127">
        <v>6.6828611221618536E-3</v>
      </c>
      <c r="AI11" s="127">
        <v>6.6828611221618536E-3</v>
      </c>
      <c r="AJ11" s="127">
        <v>6.6828611221618536E-3</v>
      </c>
      <c r="AK11" s="127">
        <v>6.6828611221618536E-3</v>
      </c>
      <c r="AL11" s="127">
        <v>6.6828611221618536E-3</v>
      </c>
      <c r="AM11" s="127">
        <v>6.6828611221618536E-3</v>
      </c>
      <c r="AN11" s="127">
        <v>6.6828611221618536E-3</v>
      </c>
      <c r="AO11" s="127">
        <v>6.6828611221618536E-3</v>
      </c>
      <c r="AP11" s="127">
        <v>6.6828611221618536E-3</v>
      </c>
      <c r="AQ11" s="127">
        <v>6.6828611221618536E-3</v>
      </c>
      <c r="AR11" s="127">
        <v>6.6828611221618536E-3</v>
      </c>
      <c r="AS11" s="127">
        <v>6.6828611221618536E-3</v>
      </c>
      <c r="AT11" s="127">
        <v>6.6828611221618536E-3</v>
      </c>
      <c r="AU11" s="127">
        <v>6.6828611221618536E-3</v>
      </c>
      <c r="AV11" s="127">
        <v>6.6828611221618536E-3</v>
      </c>
      <c r="AW11" s="127">
        <v>6.6828611221618536E-3</v>
      </c>
      <c r="AX11" s="127">
        <v>6.6828611221618536E-3</v>
      </c>
      <c r="AY11" s="127">
        <v>6.6828611221618536E-3</v>
      </c>
      <c r="AZ11" s="127">
        <v>6.6828611221618536E-3</v>
      </c>
      <c r="BA11" s="127">
        <v>6.6828611221618536E-3</v>
      </c>
      <c r="BB11" s="127">
        <v>6.6828611221618536E-3</v>
      </c>
      <c r="BC11" s="127">
        <v>6.6828611221618536E-3</v>
      </c>
      <c r="BD11" s="127">
        <v>6.6828611221618536E-3</v>
      </c>
      <c r="BE11" s="127">
        <v>6.6828611221618536E-3</v>
      </c>
      <c r="BF11" s="127">
        <v>6.6828611221618536E-3</v>
      </c>
      <c r="BG11" s="127">
        <v>6.6828611221618536E-3</v>
      </c>
      <c r="BH11" s="127">
        <v>6.6828611221618536E-3</v>
      </c>
      <c r="BI11" s="127">
        <v>6.6828611221618536E-3</v>
      </c>
      <c r="BJ11" s="127">
        <v>6.6828611221618536E-3</v>
      </c>
      <c r="BK11" s="127">
        <v>6.6828611221618536E-3</v>
      </c>
      <c r="BL11" s="127">
        <v>6.6828611221618536E-3</v>
      </c>
      <c r="BM11" s="127">
        <v>6.6828611221618536E-3</v>
      </c>
      <c r="BN11" s="15"/>
    </row>
    <row r="12" spans="2:66" hidden="1" x14ac:dyDescent="0.3">
      <c r="B12" s="12"/>
      <c r="C12" s="14" t="s">
        <v>143</v>
      </c>
      <c r="D12" s="14" t="s">
        <v>144</v>
      </c>
      <c r="E12" s="21">
        <v>0</v>
      </c>
      <c r="F12" s="21">
        <v>0</v>
      </c>
      <c r="G12" s="21">
        <v>0</v>
      </c>
      <c r="H12" s="21">
        <v>0</v>
      </c>
      <c r="I12" s="21">
        <v>0</v>
      </c>
      <c r="J12" s="21">
        <v>0</v>
      </c>
      <c r="K12" s="21">
        <v>7.3339099607251526E-3</v>
      </c>
      <c r="L12" s="21">
        <v>1.2651526123381183E-2</v>
      </c>
      <c r="M12" s="21">
        <v>1.2651526123381183E-2</v>
      </c>
      <c r="N12" s="21">
        <v>1.2651526123381183E-2</v>
      </c>
      <c r="O12" s="21">
        <v>1.2651526123381183E-2</v>
      </c>
      <c r="P12" s="21">
        <v>1.2651526123381183E-2</v>
      </c>
      <c r="Q12" s="21">
        <v>1.2651526123381183E-2</v>
      </c>
      <c r="R12" s="21">
        <v>1.2651526123381183E-2</v>
      </c>
      <c r="S12" s="21">
        <v>1.2651526123381201E-2</v>
      </c>
      <c r="T12" s="21">
        <v>1.2651526123381201E-2</v>
      </c>
      <c r="U12" s="21">
        <v>1.2651526123381201E-2</v>
      </c>
      <c r="V12" s="21">
        <v>1.2651526123381201E-2</v>
      </c>
      <c r="W12" s="21">
        <v>1.2651526123381201E-2</v>
      </c>
      <c r="X12" s="21">
        <v>1.2651526123381201E-2</v>
      </c>
      <c r="Y12" s="21">
        <v>1.2651526123381201E-2</v>
      </c>
      <c r="Z12" s="21">
        <v>1.2651526123381201E-2</v>
      </c>
      <c r="AA12" s="21">
        <v>1.2651526123381201E-2</v>
      </c>
      <c r="AB12" s="21">
        <v>1.2651526123381201E-2</v>
      </c>
      <c r="AC12" s="21">
        <v>1.2651526123381201E-2</v>
      </c>
      <c r="AD12" s="21">
        <v>1.2651526123381201E-2</v>
      </c>
      <c r="AE12" s="21">
        <v>1.2651526123381201E-2</v>
      </c>
      <c r="AF12" s="21">
        <v>1.2651526123381201E-2</v>
      </c>
      <c r="AG12" s="21">
        <v>1.2651526123381201E-2</v>
      </c>
      <c r="AH12" s="21">
        <v>1.2651526123381201E-2</v>
      </c>
      <c r="AI12" s="21">
        <v>1.2651526123381201E-2</v>
      </c>
      <c r="AJ12" s="21">
        <v>1.2651526123381201E-2</v>
      </c>
      <c r="AK12" s="21">
        <v>1.2651526123381201E-2</v>
      </c>
      <c r="AL12" s="21">
        <v>1.2651526123381201E-2</v>
      </c>
      <c r="AM12" s="21">
        <v>1.2651526123381201E-2</v>
      </c>
      <c r="AN12" s="21">
        <v>1.2651526123381201E-2</v>
      </c>
      <c r="AO12" s="21">
        <v>1.2651526123381201E-2</v>
      </c>
      <c r="AP12" s="21">
        <v>1.2651526123381201E-2</v>
      </c>
      <c r="AQ12" s="21">
        <v>1.2651526123381201E-2</v>
      </c>
      <c r="AR12" s="21">
        <v>1.2651526123381201E-2</v>
      </c>
      <c r="AS12" s="21">
        <v>1.2651526123381201E-2</v>
      </c>
      <c r="AT12" s="21">
        <v>1.2651526123381201E-2</v>
      </c>
      <c r="AU12" s="21">
        <v>1.2651526123381201E-2</v>
      </c>
      <c r="AV12" s="21">
        <v>1.2651526123381201E-2</v>
      </c>
      <c r="AW12" s="21">
        <v>1.2651526123381201E-2</v>
      </c>
      <c r="AX12" s="21">
        <v>1.2651526123381201E-2</v>
      </c>
      <c r="AY12" s="21">
        <v>1.2651526123381201E-2</v>
      </c>
      <c r="AZ12" s="21">
        <v>1.2651526123381201E-2</v>
      </c>
      <c r="BA12" s="21">
        <v>1.2651526123381201E-2</v>
      </c>
      <c r="BB12" s="21">
        <v>1.2651526123381201E-2</v>
      </c>
      <c r="BC12" s="21">
        <v>1.2651526123381201E-2</v>
      </c>
      <c r="BD12" s="21">
        <v>1.2651526123381201E-2</v>
      </c>
      <c r="BE12" s="21">
        <v>1.2651526123381201E-2</v>
      </c>
      <c r="BF12" s="21">
        <v>1.2651526123381201E-2</v>
      </c>
      <c r="BG12" s="21">
        <v>1.2651526123381201E-2</v>
      </c>
      <c r="BH12" s="21">
        <v>1.2651526123381201E-2</v>
      </c>
      <c r="BI12" s="21">
        <v>1.2651526123381201E-2</v>
      </c>
      <c r="BJ12" s="21">
        <v>1.2651526123381201E-2</v>
      </c>
      <c r="BK12" s="21">
        <v>1.2651526123381201E-2</v>
      </c>
      <c r="BL12" s="21">
        <v>1.2651526123381201E-2</v>
      </c>
      <c r="BM12" s="21">
        <v>1.2651526123381201E-2</v>
      </c>
      <c r="BN12" s="15"/>
    </row>
    <row r="13" spans="2:66" hidden="1" x14ac:dyDescent="0.3">
      <c r="B13" s="12"/>
      <c r="C13" s="14" t="s">
        <v>58</v>
      </c>
      <c r="D13" s="14" t="s">
        <v>203</v>
      </c>
      <c r="E13" s="126">
        <f>E45/E83</f>
        <v>0.30664484955754306</v>
      </c>
      <c r="F13" s="126">
        <f t="shared" ref="F13:AD13" si="3">F45/F83</f>
        <v>0.32113884573811469</v>
      </c>
      <c r="G13" s="126">
        <f t="shared" si="3"/>
        <v>0.33305618186215097</v>
      </c>
      <c r="H13" s="126">
        <f t="shared" si="3"/>
        <v>0.3172388043001515</v>
      </c>
      <c r="I13" s="126">
        <f t="shared" si="3"/>
        <v>0.30415095874243464</v>
      </c>
      <c r="J13" s="126">
        <f t="shared" si="3"/>
        <v>0.37693420179033832</v>
      </c>
      <c r="K13" s="126">
        <f t="shared" si="3"/>
        <v>0.43860520468487357</v>
      </c>
      <c r="L13" s="126">
        <f t="shared" si="3"/>
        <v>0.46566437522911142</v>
      </c>
      <c r="M13" s="126">
        <f t="shared" si="3"/>
        <v>0.48824654417938168</v>
      </c>
      <c r="N13" s="126">
        <f t="shared" si="3"/>
        <v>0.48943627853971644</v>
      </c>
      <c r="O13" s="126">
        <f t="shared" si="3"/>
        <v>0.49031485049626955</v>
      </c>
      <c r="P13" s="126">
        <f t="shared" si="3"/>
        <v>0.51956768872168213</v>
      </c>
      <c r="Q13" s="126">
        <f t="shared" si="3"/>
        <v>0.54721337579617824</v>
      </c>
      <c r="R13" s="126">
        <f t="shared" si="3"/>
        <v>0.56267085375690595</v>
      </c>
      <c r="S13" s="126">
        <f t="shared" si="3"/>
        <v>0.57727906598049483</v>
      </c>
      <c r="T13" s="126">
        <f t="shared" si="3"/>
        <v>0.59124822396905108</v>
      </c>
      <c r="U13" s="126">
        <f t="shared" si="3"/>
        <v>0.60465318182818373</v>
      </c>
      <c r="V13" s="126">
        <f t="shared" si="3"/>
        <v>0.61751617822025362</v>
      </c>
      <c r="W13" s="126">
        <f t="shared" si="3"/>
        <v>0.62991243301500133</v>
      </c>
      <c r="X13" s="126">
        <f t="shared" si="3"/>
        <v>0.64189146333700753</v>
      </c>
      <c r="Y13" s="126">
        <f t="shared" si="3"/>
        <v>0.65342765460810293</v>
      </c>
      <c r="Z13" s="126">
        <f t="shared" si="3"/>
        <v>0.53920850652993824</v>
      </c>
      <c r="AA13" s="126">
        <f t="shared" si="3"/>
        <v>0.54088575980063014</v>
      </c>
      <c r="AB13" s="126">
        <f t="shared" si="3"/>
        <v>0.54248023811017165</v>
      </c>
      <c r="AC13" s="126">
        <f t="shared" si="3"/>
        <v>0.54400521275667346</v>
      </c>
      <c r="AD13" s="126">
        <f t="shared" si="3"/>
        <v>0.54545973366058986</v>
      </c>
      <c r="AE13" s="21">
        <v>0.54545973366058986</v>
      </c>
      <c r="AF13" s="21">
        <v>0.54545973366058986</v>
      </c>
      <c r="AG13" s="21">
        <v>0.54545973366058986</v>
      </c>
      <c r="AH13" s="21">
        <v>0.54545973366058986</v>
      </c>
      <c r="AI13" s="21">
        <v>0.54545973366058986</v>
      </c>
      <c r="AJ13" s="21">
        <v>0.54545973366058986</v>
      </c>
      <c r="AK13" s="21">
        <v>0.54545973366058986</v>
      </c>
      <c r="AL13" s="21">
        <v>0.54545973366058986</v>
      </c>
      <c r="AM13" s="21">
        <v>0.54545973366058986</v>
      </c>
      <c r="AN13" s="21">
        <v>0.54545973366058986</v>
      </c>
      <c r="AO13" s="21">
        <v>0.54545973366058986</v>
      </c>
      <c r="AP13" s="21">
        <v>0.54545973366058986</v>
      </c>
      <c r="AQ13" s="21">
        <v>0.54545973366058986</v>
      </c>
      <c r="AR13" s="21">
        <v>0.54545973366058986</v>
      </c>
      <c r="AS13" s="21">
        <v>0.54545973366058986</v>
      </c>
      <c r="AT13" s="21">
        <v>0.54545973366058986</v>
      </c>
      <c r="AU13" s="21">
        <v>0.54545973366058986</v>
      </c>
      <c r="AV13" s="21">
        <v>0.54545973366058986</v>
      </c>
      <c r="AW13" s="21">
        <v>0.54545973366058986</v>
      </c>
      <c r="AX13" s="21">
        <v>0.54545973366058986</v>
      </c>
      <c r="AY13" s="21">
        <v>0.54545973366058986</v>
      </c>
      <c r="AZ13" s="21">
        <v>0.54545973366058986</v>
      </c>
      <c r="BA13" s="21">
        <v>0.54545973366058986</v>
      </c>
      <c r="BB13" s="21">
        <v>0.54545973366058986</v>
      </c>
      <c r="BC13" s="21">
        <v>0.54545973366058986</v>
      </c>
      <c r="BD13" s="21">
        <v>0.54545973366058986</v>
      </c>
      <c r="BE13" s="21">
        <v>0.54545973366058986</v>
      </c>
      <c r="BF13" s="21">
        <v>0.54545973366058986</v>
      </c>
      <c r="BG13" s="21">
        <v>0.54545973366058986</v>
      </c>
      <c r="BH13" s="21">
        <v>0.54545973366058986</v>
      </c>
      <c r="BI13" s="21">
        <v>0.54545973366058986</v>
      </c>
      <c r="BJ13" s="21">
        <v>0.54545973366058986</v>
      </c>
      <c r="BK13" s="21">
        <v>0.54545973366058986</v>
      </c>
      <c r="BL13" s="21">
        <v>0.54545973366058986</v>
      </c>
      <c r="BM13" s="21">
        <v>0.54545973366058986</v>
      </c>
      <c r="BN13" s="15"/>
    </row>
    <row r="14" spans="2:66" hidden="1" x14ac:dyDescent="0.3">
      <c r="B14" s="12"/>
      <c r="C14" s="14" t="s">
        <v>59</v>
      </c>
      <c r="D14" s="14" t="s">
        <v>204</v>
      </c>
      <c r="E14" s="126">
        <f>E46/E83</f>
        <v>0.27701792174188883</v>
      </c>
      <c r="F14" s="126">
        <f t="shared" ref="F14:AD14" si="4">F46/F83</f>
        <v>0.26229501440308789</v>
      </c>
      <c r="G14" s="126">
        <f t="shared" si="4"/>
        <v>0.25012560654141375</v>
      </c>
      <c r="H14" s="126">
        <f t="shared" si="4"/>
        <v>0.26336502285098312</v>
      </c>
      <c r="I14" s="126">
        <f t="shared" si="4"/>
        <v>0.27447899532525422</v>
      </c>
      <c r="J14" s="126">
        <f t="shared" si="4"/>
        <v>0.20308800234689539</v>
      </c>
      <c r="K14" s="126">
        <f t="shared" si="4"/>
        <v>0.14105369364369719</v>
      </c>
      <c r="L14" s="126">
        <f t="shared" si="4"/>
        <v>0.1141102845633206</v>
      </c>
      <c r="M14" s="126">
        <f t="shared" si="4"/>
        <v>9.000173927557209E-2</v>
      </c>
      <c r="N14" s="126">
        <f t="shared" si="4"/>
        <v>8.78409528882928E-2</v>
      </c>
      <c r="O14" s="126">
        <f t="shared" si="4"/>
        <v>8.5900029584154436E-2</v>
      </c>
      <c r="P14" s="126">
        <f t="shared" si="4"/>
        <v>7.3706617457581725E-2</v>
      </c>
      <c r="Q14" s="126">
        <f t="shared" si="4"/>
        <v>7.6572452229299343E-2</v>
      </c>
      <c r="R14" s="126">
        <f t="shared" si="4"/>
        <v>7.8725937141078686E-2</v>
      </c>
      <c r="S14" s="126">
        <f t="shared" si="4"/>
        <v>8.0778830248272232E-2</v>
      </c>
      <c r="T14" s="126">
        <f t="shared" si="4"/>
        <v>8.2725035912078818E-2</v>
      </c>
      <c r="U14" s="126">
        <f t="shared" si="4"/>
        <v>8.4596706410621197E-2</v>
      </c>
      <c r="V14" s="126">
        <f t="shared" si="4"/>
        <v>8.6401440574027252E-2</v>
      </c>
      <c r="W14" s="126">
        <f t="shared" si="4"/>
        <v>8.8129873326005234E-2</v>
      </c>
      <c r="X14" s="126">
        <f t="shared" si="4"/>
        <v>8.9806178660105346E-2</v>
      </c>
      <c r="Y14" s="126">
        <f t="shared" si="4"/>
        <v>9.1435214641646431E-2</v>
      </c>
      <c r="Z14" s="126">
        <f t="shared" si="4"/>
        <v>7.5440136752716297E-2</v>
      </c>
      <c r="AA14" s="126">
        <f t="shared" si="4"/>
        <v>7.5686652207661409E-2</v>
      </c>
      <c r="AB14" s="126">
        <f t="shared" si="4"/>
        <v>7.5908709884041123E-2</v>
      </c>
      <c r="AC14" s="126">
        <f t="shared" si="4"/>
        <v>7.6121074413080345E-2</v>
      </c>
      <c r="AD14" s="126">
        <f t="shared" si="4"/>
        <v>7.6325308605743269E-2</v>
      </c>
      <c r="AE14" s="126">
        <v>7.6325308605743269E-2</v>
      </c>
      <c r="AF14" s="126">
        <v>7.6325308605743269E-2</v>
      </c>
      <c r="AG14" s="126">
        <v>7.6325308605743269E-2</v>
      </c>
      <c r="AH14" s="126">
        <v>7.6325308605743269E-2</v>
      </c>
      <c r="AI14" s="126">
        <v>7.6325308605743269E-2</v>
      </c>
      <c r="AJ14" s="126">
        <v>7.6325308605743269E-2</v>
      </c>
      <c r="AK14" s="126">
        <v>7.6325308605743269E-2</v>
      </c>
      <c r="AL14" s="126">
        <v>7.6325308605743269E-2</v>
      </c>
      <c r="AM14" s="126">
        <v>7.6325308605743269E-2</v>
      </c>
      <c r="AN14" s="126">
        <v>7.6325308605743269E-2</v>
      </c>
      <c r="AO14" s="126">
        <v>7.6325308605743269E-2</v>
      </c>
      <c r="AP14" s="126">
        <v>7.6325308605743269E-2</v>
      </c>
      <c r="AQ14" s="126">
        <v>7.6325308605743269E-2</v>
      </c>
      <c r="AR14" s="126">
        <v>7.6325308605743269E-2</v>
      </c>
      <c r="AS14" s="126">
        <v>7.6325308605743269E-2</v>
      </c>
      <c r="AT14" s="126">
        <v>7.6325308605743269E-2</v>
      </c>
      <c r="AU14" s="126">
        <v>7.6325308605743269E-2</v>
      </c>
      <c r="AV14" s="126">
        <v>7.6325308605743269E-2</v>
      </c>
      <c r="AW14" s="126">
        <v>7.6325308605743269E-2</v>
      </c>
      <c r="AX14" s="126">
        <v>7.6325308605743269E-2</v>
      </c>
      <c r="AY14" s="126">
        <v>7.6325308605743269E-2</v>
      </c>
      <c r="AZ14" s="126">
        <v>7.6325308605743269E-2</v>
      </c>
      <c r="BA14" s="126">
        <v>7.6325308605743269E-2</v>
      </c>
      <c r="BB14" s="126">
        <v>7.6325308605743269E-2</v>
      </c>
      <c r="BC14" s="126">
        <v>7.6325308605743269E-2</v>
      </c>
      <c r="BD14" s="126">
        <v>7.6325308605743269E-2</v>
      </c>
      <c r="BE14" s="126">
        <v>7.6325308605743269E-2</v>
      </c>
      <c r="BF14" s="126">
        <v>7.6325308605743269E-2</v>
      </c>
      <c r="BG14" s="126">
        <v>7.6325308605743269E-2</v>
      </c>
      <c r="BH14" s="126">
        <v>7.6325308605743269E-2</v>
      </c>
      <c r="BI14" s="126">
        <v>7.6325308605743269E-2</v>
      </c>
      <c r="BJ14" s="126">
        <v>7.6325308605743269E-2</v>
      </c>
      <c r="BK14" s="126">
        <v>7.6325308605743269E-2</v>
      </c>
      <c r="BL14" s="126">
        <v>7.6325308605743269E-2</v>
      </c>
      <c r="BM14" s="126">
        <v>7.6325308605743269E-2</v>
      </c>
      <c r="BN14" s="15"/>
    </row>
    <row r="15" spans="2:66" hidden="1" x14ac:dyDescent="0.3">
      <c r="B15" s="12"/>
      <c r="C15" s="14" t="s">
        <v>145</v>
      </c>
      <c r="D15" s="14" t="s">
        <v>146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15"/>
    </row>
    <row r="16" spans="2:66" hidden="1" x14ac:dyDescent="0.3">
      <c r="B16" s="12"/>
      <c r="C16" s="14" t="s">
        <v>147</v>
      </c>
      <c r="D16" s="14" t="s">
        <v>148</v>
      </c>
      <c r="E16" s="21">
        <f>E47/E83</f>
        <v>2.2373862499788658E-3</v>
      </c>
      <c r="F16" s="21">
        <f t="shared" ref="F16:BM16" si="5">F47/F83</f>
        <v>2.3006254089067298E-3</v>
      </c>
      <c r="G16" s="21">
        <f t="shared" si="5"/>
        <v>2.3917858661554828E-3</v>
      </c>
      <c r="H16" s="21">
        <f t="shared" si="5"/>
        <v>2.1759044115595302E-3</v>
      </c>
      <c r="I16" s="21">
        <f t="shared" si="5"/>
        <v>2.0089465944526019E-3</v>
      </c>
      <c r="J16" s="21">
        <f t="shared" si="5"/>
        <v>2.1143201582870686E-3</v>
      </c>
      <c r="K16" s="21">
        <f t="shared" si="5"/>
        <v>2.2147783104015258E-3</v>
      </c>
      <c r="L16" s="21">
        <f t="shared" si="5"/>
        <v>2.2611806779451677E-3</v>
      </c>
      <c r="M16" s="21">
        <f t="shared" si="5"/>
        <v>2.3006173988467083E-3</v>
      </c>
      <c r="N16" s="21">
        <f t="shared" si="5"/>
        <v>2.9826813326134954E-3</v>
      </c>
      <c r="O16" s="21">
        <f t="shared" si="5"/>
        <v>3.7972298922908398E-3</v>
      </c>
      <c r="P16" s="21">
        <f t="shared" si="5"/>
        <v>1.7910019195300233E-3</v>
      </c>
      <c r="Q16" s="21">
        <f t="shared" si="5"/>
        <v>2.7269108280254771E-3</v>
      </c>
      <c r="R16" s="21">
        <f t="shared" si="5"/>
        <v>2.80396634278561E-3</v>
      </c>
      <c r="S16" s="21">
        <f t="shared" si="5"/>
        <v>2.8767967073722797E-3</v>
      </c>
      <c r="T16" s="21">
        <f t="shared" si="5"/>
        <v>2.9463539731894956E-3</v>
      </c>
      <c r="U16" s="21">
        <f t="shared" si="5"/>
        <v>3.013152219917672E-3</v>
      </c>
      <c r="V16" s="21">
        <f t="shared" si="5"/>
        <v>3.0772944661766497E-3</v>
      </c>
      <c r="W16" s="21">
        <f t="shared" si="5"/>
        <v>3.1390681147335808E-3</v>
      </c>
      <c r="X16" s="21">
        <f t="shared" si="5"/>
        <v>3.1987232795979391E-3</v>
      </c>
      <c r="Y16" s="21">
        <f t="shared" si="5"/>
        <v>3.2562099341622492E-3</v>
      </c>
      <c r="Z16" s="21">
        <f t="shared" si="5"/>
        <v>2.6870399812213373E-3</v>
      </c>
      <c r="AA16" s="21">
        <f t="shared" si="5"/>
        <v>2.6954145325495584E-3</v>
      </c>
      <c r="AB16" s="21">
        <f t="shared" si="5"/>
        <v>2.7033442736675833E-3</v>
      </c>
      <c r="AC16" s="21">
        <f t="shared" si="5"/>
        <v>2.7109281491157506E-3</v>
      </c>
      <c r="AD16" s="21">
        <f t="shared" si="5"/>
        <v>2.7181909976893631E-3</v>
      </c>
      <c r="AE16" s="21">
        <f t="shared" si="5"/>
        <v>2.6775865661432083E-3</v>
      </c>
      <c r="AF16" s="21">
        <f t="shared" si="5"/>
        <v>2.6382195473458113E-3</v>
      </c>
      <c r="AG16" s="21">
        <f t="shared" si="5"/>
        <v>2.6000976050819576E-3</v>
      </c>
      <c r="AH16" s="21">
        <f t="shared" si="5"/>
        <v>2.5632275485624433E-3</v>
      </c>
      <c r="AI16" s="21">
        <f t="shared" si="5"/>
        <v>2.5275902079887839E-3</v>
      </c>
      <c r="AJ16" s="21">
        <f t="shared" si="5"/>
        <v>2.493173583145341E-3</v>
      </c>
      <c r="AK16" s="21">
        <f t="shared" si="5"/>
        <v>2.459963361095943E-3</v>
      </c>
      <c r="AL16" s="21">
        <f t="shared" si="5"/>
        <v>2.4279359209870288E-3</v>
      </c>
      <c r="AM16" s="21">
        <f t="shared" si="5"/>
        <v>2.3970665076139971E-3</v>
      </c>
      <c r="AN16" s="21">
        <f t="shared" si="5"/>
        <v>2.3673287568852508E-3</v>
      </c>
      <c r="AO16" s="21">
        <f t="shared" si="5"/>
        <v>2.3386944861517852E-3</v>
      </c>
      <c r="AP16" s="21">
        <f t="shared" si="5"/>
        <v>2.311136258484722E-3</v>
      </c>
      <c r="AQ16" s="21">
        <f t="shared" si="5"/>
        <v>2.2846267534454394E-3</v>
      </c>
      <c r="AR16" s="21">
        <f t="shared" si="5"/>
        <v>2.2591372249260453E-3</v>
      </c>
      <c r="AS16" s="21">
        <f t="shared" si="5"/>
        <v>2.2340270589582606E-3</v>
      </c>
      <c r="AT16" s="21">
        <f t="shared" si="5"/>
        <v>2.2033165911681473E-3</v>
      </c>
      <c r="AU16" s="21">
        <f t="shared" si="5"/>
        <v>2.1741485238603586E-3</v>
      </c>
      <c r="AV16" s="21">
        <f t="shared" si="5"/>
        <v>2.1464728502301415E-3</v>
      </c>
      <c r="AW16" s="21">
        <f t="shared" si="5"/>
        <v>2.1202424954219778E-3</v>
      </c>
      <c r="AX16" s="21">
        <f t="shared" si="5"/>
        <v>2.0954131838603666E-3</v>
      </c>
      <c r="AY16" s="21">
        <f t="shared" si="5"/>
        <v>2.0719433153518823E-3</v>
      </c>
      <c r="AZ16" s="21">
        <f t="shared" si="5"/>
        <v>2.0497938494754629E-3</v>
      </c>
      <c r="BA16" s="21">
        <f t="shared" si="5"/>
        <v>2.028928197813063E-3</v>
      </c>
      <c r="BB16" s="21">
        <f t="shared" si="5"/>
        <v>2.009312123605837E-3</v>
      </c>
      <c r="BC16" s="21">
        <f t="shared" si="5"/>
        <v>1.9909136484519332E-3</v>
      </c>
      <c r="BD16" s="21">
        <f t="shared" si="5"/>
        <v>1.9737029656910891E-3</v>
      </c>
      <c r="BE16" s="21">
        <f t="shared" si="5"/>
        <v>1.9576523601485232E-3</v>
      </c>
      <c r="BF16" s="21">
        <f t="shared" si="5"/>
        <v>1.9427361339363848E-3</v>
      </c>
      <c r="BG16" s="21">
        <f t="shared" si="5"/>
        <v>1.9289305380353187E-3</v>
      </c>
      <c r="BH16" s="21">
        <f t="shared" si="5"/>
        <v>1.9162137094016656E-3</v>
      </c>
      <c r="BI16" s="21">
        <f t="shared" si="5"/>
        <v>1.9045656133675755E-3</v>
      </c>
      <c r="BJ16" s="21">
        <f t="shared" si="5"/>
        <v>1.8939679911219353E-3</v>
      </c>
      <c r="BK16" s="21">
        <f t="shared" si="5"/>
        <v>1.8844043120796964E-3</v>
      </c>
      <c r="BL16" s="21">
        <f t="shared" si="5"/>
        <v>1.8758597309658756E-3</v>
      </c>
      <c r="BM16" s="21">
        <f t="shared" si="5"/>
        <v>1.868321049458476E-3</v>
      </c>
      <c r="BN16" s="15"/>
    </row>
    <row r="17" spans="2:66" ht="15" hidden="1" customHeight="1" x14ac:dyDescent="0.3">
      <c r="B17" s="12"/>
      <c r="C17" s="14" t="s">
        <v>149</v>
      </c>
      <c r="D17" s="14" t="s">
        <v>150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15"/>
    </row>
    <row r="18" spans="2:66" hidden="1" x14ac:dyDescent="0.3">
      <c r="B18" s="12"/>
      <c r="C18" s="14" t="s">
        <v>151</v>
      </c>
      <c r="D18" s="14" t="s">
        <v>152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15"/>
    </row>
    <row r="19" spans="2:66" hidden="1" x14ac:dyDescent="0.3">
      <c r="B19" s="12"/>
      <c r="C19" s="14"/>
      <c r="D19" s="14"/>
      <c r="E19" s="31">
        <f>SUM(E9:E18)</f>
        <v>0.99999999999999989</v>
      </c>
      <c r="F19" s="31">
        <f t="shared" ref="F19:BM19" si="6">SUM(F9:F18)</f>
        <v>1</v>
      </c>
      <c r="G19" s="31">
        <f t="shared" si="6"/>
        <v>1</v>
      </c>
      <c r="H19" s="31">
        <f t="shared" si="6"/>
        <v>1</v>
      </c>
      <c r="I19" s="31">
        <f t="shared" si="6"/>
        <v>1</v>
      </c>
      <c r="J19" s="31">
        <f t="shared" si="6"/>
        <v>1</v>
      </c>
      <c r="K19" s="31">
        <f t="shared" si="6"/>
        <v>1.0000000000000002</v>
      </c>
      <c r="L19" s="31">
        <f t="shared" si="6"/>
        <v>1</v>
      </c>
      <c r="M19" s="31">
        <f t="shared" si="6"/>
        <v>1</v>
      </c>
      <c r="N19" s="31">
        <f t="shared" si="6"/>
        <v>1</v>
      </c>
      <c r="O19" s="31">
        <f t="shared" si="6"/>
        <v>1</v>
      </c>
      <c r="P19" s="31">
        <f t="shared" si="6"/>
        <v>1</v>
      </c>
      <c r="Q19" s="31">
        <f t="shared" si="6"/>
        <v>1</v>
      </c>
      <c r="R19" s="31">
        <f t="shared" si="6"/>
        <v>1</v>
      </c>
      <c r="S19" s="31">
        <f t="shared" si="6"/>
        <v>1</v>
      </c>
      <c r="T19" s="31">
        <f t="shared" si="6"/>
        <v>1</v>
      </c>
      <c r="U19" s="31">
        <f t="shared" si="6"/>
        <v>1</v>
      </c>
      <c r="V19" s="31">
        <f t="shared" si="6"/>
        <v>1</v>
      </c>
      <c r="W19" s="31">
        <f t="shared" si="6"/>
        <v>1</v>
      </c>
      <c r="X19" s="31">
        <f t="shared" si="6"/>
        <v>1</v>
      </c>
      <c r="Y19" s="31">
        <f t="shared" si="6"/>
        <v>1</v>
      </c>
      <c r="Z19" s="31">
        <f t="shared" si="6"/>
        <v>1.0000000000000002</v>
      </c>
      <c r="AA19" s="31">
        <f t="shared" si="6"/>
        <v>1</v>
      </c>
      <c r="AB19" s="31">
        <f t="shared" si="6"/>
        <v>1</v>
      </c>
      <c r="AC19" s="31">
        <f t="shared" si="6"/>
        <v>1</v>
      </c>
      <c r="AD19" s="31">
        <f t="shared" si="6"/>
        <v>1</v>
      </c>
      <c r="AE19" s="31">
        <f t="shared" si="6"/>
        <v>1</v>
      </c>
      <c r="AF19" s="31">
        <f t="shared" si="6"/>
        <v>1</v>
      </c>
      <c r="AG19" s="31">
        <f t="shared" si="6"/>
        <v>1.0000000000000002</v>
      </c>
      <c r="AH19" s="31">
        <f t="shared" si="6"/>
        <v>1</v>
      </c>
      <c r="AI19" s="31">
        <f t="shared" si="6"/>
        <v>1</v>
      </c>
      <c r="AJ19" s="31">
        <f t="shared" si="6"/>
        <v>1</v>
      </c>
      <c r="AK19" s="31">
        <f t="shared" si="6"/>
        <v>1</v>
      </c>
      <c r="AL19" s="31">
        <f t="shared" si="6"/>
        <v>1</v>
      </c>
      <c r="AM19" s="31">
        <f t="shared" si="6"/>
        <v>1</v>
      </c>
      <c r="AN19" s="31">
        <f t="shared" si="6"/>
        <v>1</v>
      </c>
      <c r="AO19" s="31">
        <f t="shared" si="6"/>
        <v>1</v>
      </c>
      <c r="AP19" s="31">
        <f t="shared" si="6"/>
        <v>1</v>
      </c>
      <c r="AQ19" s="31">
        <f t="shared" si="6"/>
        <v>1</v>
      </c>
      <c r="AR19" s="31">
        <f t="shared" si="6"/>
        <v>1</v>
      </c>
      <c r="AS19" s="31">
        <f t="shared" si="6"/>
        <v>1.0000000000000002</v>
      </c>
      <c r="AT19" s="31">
        <f t="shared" si="6"/>
        <v>1.0000000000000002</v>
      </c>
      <c r="AU19" s="31">
        <f t="shared" si="6"/>
        <v>1</v>
      </c>
      <c r="AV19" s="31">
        <f t="shared" si="6"/>
        <v>1</v>
      </c>
      <c r="AW19" s="31">
        <f t="shared" si="6"/>
        <v>1</v>
      </c>
      <c r="AX19" s="31">
        <f t="shared" si="6"/>
        <v>1</v>
      </c>
      <c r="AY19" s="31">
        <f t="shared" si="6"/>
        <v>1</v>
      </c>
      <c r="AZ19" s="31">
        <f t="shared" si="6"/>
        <v>1.0000000000000002</v>
      </c>
      <c r="BA19" s="31">
        <f t="shared" si="6"/>
        <v>1</v>
      </c>
      <c r="BB19" s="31">
        <f t="shared" si="6"/>
        <v>1</v>
      </c>
      <c r="BC19" s="31">
        <f t="shared" si="6"/>
        <v>1</v>
      </c>
      <c r="BD19" s="31">
        <f t="shared" si="6"/>
        <v>1</v>
      </c>
      <c r="BE19" s="31">
        <f t="shared" si="6"/>
        <v>1</v>
      </c>
      <c r="BF19" s="31">
        <f t="shared" si="6"/>
        <v>1.0000000000000002</v>
      </c>
      <c r="BG19" s="31">
        <f t="shared" si="6"/>
        <v>1</v>
      </c>
      <c r="BH19" s="31">
        <f t="shared" si="6"/>
        <v>1</v>
      </c>
      <c r="BI19" s="31">
        <f t="shared" si="6"/>
        <v>1</v>
      </c>
      <c r="BJ19" s="31">
        <f t="shared" si="6"/>
        <v>1</v>
      </c>
      <c r="BK19" s="31">
        <f t="shared" si="6"/>
        <v>1</v>
      </c>
      <c r="BL19" s="31">
        <f t="shared" si="6"/>
        <v>1</v>
      </c>
      <c r="BM19" s="31">
        <f t="shared" si="6"/>
        <v>1</v>
      </c>
      <c r="BN19" s="15"/>
    </row>
    <row r="20" spans="2:66" hidden="1" x14ac:dyDescent="0.3">
      <c r="B20" s="14"/>
      <c r="C20" s="14"/>
      <c r="D20" s="1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14"/>
    </row>
    <row r="21" spans="2:66" hidden="1" x14ac:dyDescent="0.3">
      <c r="D21" s="14" t="s">
        <v>21</v>
      </c>
      <c r="E21" s="126">
        <v>0.15345821609823171</v>
      </c>
      <c r="F21" s="126">
        <v>0.17844800827512045</v>
      </c>
      <c r="G21" s="126">
        <v>0.18257968721183263</v>
      </c>
      <c r="H21" s="126">
        <v>0.25336909828776005</v>
      </c>
      <c r="I21" s="126">
        <v>0.29152718061674004</v>
      </c>
      <c r="J21" s="126">
        <v>0.3175844736842105</v>
      </c>
      <c r="K21" s="126">
        <v>0.34105925847457624</v>
      </c>
      <c r="L21" s="126">
        <v>0.28420063839285709</v>
      </c>
      <c r="M21" s="126">
        <v>0.29868551674208144</v>
      </c>
      <c r="N21" s="126">
        <v>0.30029408144796382</v>
      </c>
      <c r="O21" s="126">
        <v>0.33361838914027153</v>
      </c>
      <c r="P21" s="126">
        <v>0.42025908054298639</v>
      </c>
      <c r="Q21" s="126">
        <v>0.4613269458823529</v>
      </c>
      <c r="R21" s="126">
        <v>0.51146955412844053</v>
      </c>
      <c r="S21" s="126">
        <v>0.52365632910661464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</row>
    <row r="22" spans="2:66" hidden="1" x14ac:dyDescent="0.3">
      <c r="D22" s="14" t="s">
        <v>19</v>
      </c>
      <c r="E22" s="126">
        <v>2.4154045090909279E-2</v>
      </c>
      <c r="F22" s="126">
        <v>2.514790254545464E-2</v>
      </c>
      <c r="G22" s="126">
        <v>2.5940633959385478E-2</v>
      </c>
      <c r="H22" s="126">
        <v>2.8244365801459521E-2</v>
      </c>
      <c r="I22" s="126">
        <v>2.7713999999999996E-2</v>
      </c>
      <c r="J22" s="126">
        <v>2.7719999999999998E-2</v>
      </c>
      <c r="K22" s="126">
        <v>2.7354E-2</v>
      </c>
      <c r="L22" s="126">
        <v>3.8622000000000004E-2</v>
      </c>
      <c r="M22" s="126">
        <v>4.0208400000000005E-2</v>
      </c>
      <c r="N22" s="126">
        <v>3.7583999999999999E-2</v>
      </c>
      <c r="O22" s="126">
        <v>3.8275200000000002E-2</v>
      </c>
      <c r="P22" s="126">
        <v>3.8539199999999996E-2</v>
      </c>
      <c r="Q22" s="126">
        <v>4.0218479999999994E-2</v>
      </c>
      <c r="R22" s="126">
        <v>4.2375599999999999E-2</v>
      </c>
      <c r="S22" s="126">
        <v>4.2375599999999999E-2</v>
      </c>
      <c r="T22" s="25">
        <v>4.091826030441359E-2</v>
      </c>
      <c r="U22" s="25">
        <v>3.9460920608826999E-2</v>
      </c>
      <c r="V22" s="25">
        <v>3.8003580913240409E-2</v>
      </c>
      <c r="W22" s="25">
        <v>3.6546241217653819E-2</v>
      </c>
      <c r="X22" s="25">
        <v>3.5088901522067228E-2</v>
      </c>
      <c r="Y22" s="25">
        <v>3.3631561826480597E-2</v>
      </c>
      <c r="Z22" s="25">
        <v>3.3683609672751552E-2</v>
      </c>
      <c r="AA22" s="25">
        <v>3.3735657519022494E-2</v>
      </c>
      <c r="AB22" s="25">
        <v>3.3787705365293449E-2</v>
      </c>
      <c r="AC22" s="25">
        <v>3.3839753211564405E-2</v>
      </c>
      <c r="AD22" s="25">
        <v>3.3891801057835347E-2</v>
      </c>
      <c r="AE22" s="25">
        <v>3.3943848904106302E-2</v>
      </c>
      <c r="AF22" s="25">
        <v>3.3995896750377244E-2</v>
      </c>
      <c r="AG22" s="25">
        <v>3.40479445966482E-2</v>
      </c>
      <c r="AH22" s="25">
        <v>3.4099992442919155E-2</v>
      </c>
      <c r="AI22" s="25">
        <v>3.4152040289190097E-2</v>
      </c>
      <c r="AJ22" s="25">
        <v>3.4204088135461053E-2</v>
      </c>
      <c r="AK22" s="25">
        <v>3.4256135981731994E-2</v>
      </c>
      <c r="AL22" s="25">
        <v>3.430818382800295E-2</v>
      </c>
      <c r="AM22" s="25">
        <v>3.4360231674273906E-2</v>
      </c>
      <c r="AN22" s="25">
        <v>3.4412279520544847E-2</v>
      </c>
      <c r="AO22" s="25">
        <v>3.4464327366815803E-2</v>
      </c>
      <c r="AP22" s="25">
        <v>3.4516375213086745E-2</v>
      </c>
      <c r="AQ22" s="25">
        <v>3.45684230593577E-2</v>
      </c>
      <c r="AR22" s="25">
        <v>3.4620470905628656E-2</v>
      </c>
      <c r="AS22" s="25">
        <v>3.4672518751899598E-2</v>
      </c>
      <c r="AT22" s="25">
        <v>3.4672518751899598E-2</v>
      </c>
      <c r="AU22" s="25">
        <v>3.4672518751899598E-2</v>
      </c>
      <c r="AV22" s="25">
        <v>3.4672518751899598E-2</v>
      </c>
      <c r="AW22" s="25">
        <v>3.4672518751899598E-2</v>
      </c>
      <c r="AX22" s="25">
        <v>3.4672518751899598E-2</v>
      </c>
      <c r="AY22" s="25">
        <v>3.4672518751899598E-2</v>
      </c>
      <c r="AZ22" s="25">
        <v>3.4672518751899598E-2</v>
      </c>
      <c r="BA22" s="25">
        <v>3.4672518751899598E-2</v>
      </c>
      <c r="BB22" s="25">
        <v>3.4672518751899598E-2</v>
      </c>
      <c r="BC22" s="25">
        <v>3.4672518751899598E-2</v>
      </c>
      <c r="BD22" s="25">
        <v>3.4672518751899598E-2</v>
      </c>
      <c r="BE22" s="25">
        <v>3.4672518751899598E-2</v>
      </c>
      <c r="BF22" s="25">
        <v>3.4672518751899598E-2</v>
      </c>
      <c r="BG22" s="25">
        <v>3.4672518751899598E-2</v>
      </c>
      <c r="BH22" s="25">
        <v>3.4672518751899598E-2</v>
      </c>
      <c r="BI22" s="25">
        <v>3.4672518751899598E-2</v>
      </c>
      <c r="BJ22" s="25">
        <v>3.4672518751899598E-2</v>
      </c>
      <c r="BK22" s="25">
        <v>3.4672518751899598E-2</v>
      </c>
      <c r="BL22" s="25">
        <v>3.4672518751899598E-2</v>
      </c>
      <c r="BM22" s="25">
        <v>3.4507700572041625E-2</v>
      </c>
    </row>
    <row r="23" spans="2:66" hidden="1" x14ac:dyDescent="0.3"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</row>
    <row r="24" spans="2:66" hidden="1" x14ac:dyDescent="0.3">
      <c r="B24" s="12"/>
      <c r="C24" s="13" t="s">
        <v>194</v>
      </c>
      <c r="D24" s="13"/>
      <c r="E24" s="129"/>
      <c r="F24" s="129"/>
      <c r="G24" s="129"/>
      <c r="H24" s="129"/>
      <c r="I24" s="129"/>
      <c r="J24" s="129"/>
      <c r="K24" s="129"/>
      <c r="L24" s="129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15"/>
    </row>
    <row r="25" spans="2:66" hidden="1" x14ac:dyDescent="0.3">
      <c r="B25" s="12"/>
      <c r="C25" s="14" t="s">
        <v>53</v>
      </c>
      <c r="D25" s="23" t="s">
        <v>24</v>
      </c>
      <c r="E25" s="126">
        <v>2.4154045090909279E-2</v>
      </c>
      <c r="F25" s="126">
        <v>2.514790254545464E-2</v>
      </c>
      <c r="G25" s="126">
        <v>2.5940633959385478E-2</v>
      </c>
      <c r="H25" s="126">
        <v>2.8244365801459521E-2</v>
      </c>
      <c r="I25" s="126">
        <v>2.7713999999999996E-2</v>
      </c>
      <c r="J25" s="126">
        <v>2.7719999999999998E-2</v>
      </c>
      <c r="K25" s="126">
        <v>2.7354E-2</v>
      </c>
      <c r="L25" s="126">
        <v>3.8622000000000004E-2</v>
      </c>
      <c r="M25" s="126">
        <v>4.0208400000000005E-2</v>
      </c>
      <c r="N25" s="126">
        <v>3.7583999999999999E-2</v>
      </c>
      <c r="O25" s="126">
        <v>3.8275200000000002E-2</v>
      </c>
      <c r="P25" s="126">
        <v>3.8539199999999996E-2</v>
      </c>
      <c r="Q25" s="126">
        <v>4.0218479999999994E-2</v>
      </c>
      <c r="R25" s="126">
        <v>4.2375599999999999E-2</v>
      </c>
      <c r="S25" s="126">
        <v>4.2375599999999999E-2</v>
      </c>
      <c r="T25" s="21">
        <f>$H$92+$H$91*T1</f>
        <v>4.091826030441359E-2</v>
      </c>
      <c r="U25" s="21">
        <f>$H$92+$H$91*U1</f>
        <v>3.9460920608826999E-2</v>
      </c>
      <c r="V25" s="21">
        <f>$H$92+$H$91*V1</f>
        <v>3.8003580913240409E-2</v>
      </c>
      <c r="W25" s="21">
        <f>$H$92+$H$91*W1</f>
        <v>3.6546241217653819E-2</v>
      </c>
      <c r="X25" s="21">
        <f>$H$92+$H$91*X1</f>
        <v>3.5088901522067228E-2</v>
      </c>
      <c r="Y25" s="91">
        <f>AVERAGE(E25:S25)</f>
        <v>3.3631561826480597E-2</v>
      </c>
      <c r="Z25" s="21">
        <f t="shared" ref="Z25:AR25" si="7">$I$92+$I$91*Z1</f>
        <v>3.3683609672751552E-2</v>
      </c>
      <c r="AA25" s="21">
        <f t="shared" si="7"/>
        <v>3.3735657519022494E-2</v>
      </c>
      <c r="AB25" s="21">
        <f t="shared" si="7"/>
        <v>3.3787705365293449E-2</v>
      </c>
      <c r="AC25" s="21">
        <f t="shared" si="7"/>
        <v>3.3839753211564405E-2</v>
      </c>
      <c r="AD25" s="21">
        <f t="shared" si="7"/>
        <v>3.3891801057835347E-2</v>
      </c>
      <c r="AE25" s="21">
        <f t="shared" si="7"/>
        <v>3.3943848904106302E-2</v>
      </c>
      <c r="AF25" s="21">
        <f t="shared" si="7"/>
        <v>3.3995896750377244E-2</v>
      </c>
      <c r="AG25" s="21">
        <f t="shared" si="7"/>
        <v>3.40479445966482E-2</v>
      </c>
      <c r="AH25" s="21">
        <f t="shared" si="7"/>
        <v>3.4099992442919155E-2</v>
      </c>
      <c r="AI25" s="21">
        <f t="shared" si="7"/>
        <v>3.4152040289190097E-2</v>
      </c>
      <c r="AJ25" s="21">
        <f t="shared" si="7"/>
        <v>3.4204088135461053E-2</v>
      </c>
      <c r="AK25" s="21">
        <f t="shared" si="7"/>
        <v>3.4256135981731994E-2</v>
      </c>
      <c r="AL25" s="21">
        <f t="shared" si="7"/>
        <v>3.430818382800295E-2</v>
      </c>
      <c r="AM25" s="21">
        <f t="shared" si="7"/>
        <v>3.4360231674273906E-2</v>
      </c>
      <c r="AN25" s="21">
        <f t="shared" si="7"/>
        <v>3.4412279520544847E-2</v>
      </c>
      <c r="AO25" s="21">
        <f t="shared" si="7"/>
        <v>3.4464327366815803E-2</v>
      </c>
      <c r="AP25" s="21">
        <f t="shared" si="7"/>
        <v>3.4516375213086745E-2</v>
      </c>
      <c r="AQ25" s="21">
        <f t="shared" si="7"/>
        <v>3.45684230593577E-2</v>
      </c>
      <c r="AR25" s="21">
        <f t="shared" si="7"/>
        <v>3.4620470905628656E-2</v>
      </c>
      <c r="AS25" s="130">
        <f>AVERAGE(E25:Y25)</f>
        <v>3.4672518751899598E-2</v>
      </c>
      <c r="AT25" s="126">
        <v>3.4672518751899598E-2</v>
      </c>
      <c r="AU25" s="126">
        <v>3.4672518751899598E-2</v>
      </c>
      <c r="AV25" s="126">
        <v>3.4672518751899598E-2</v>
      </c>
      <c r="AW25" s="126">
        <v>3.4672518751899598E-2</v>
      </c>
      <c r="AX25" s="126">
        <v>3.4672518751899598E-2</v>
      </c>
      <c r="AY25" s="126">
        <v>3.4672518751899598E-2</v>
      </c>
      <c r="AZ25" s="126">
        <v>3.4672518751899598E-2</v>
      </c>
      <c r="BA25" s="126">
        <v>3.4672518751899598E-2</v>
      </c>
      <c r="BB25" s="126">
        <v>3.4672518751899598E-2</v>
      </c>
      <c r="BC25" s="126">
        <v>3.4672518751899598E-2</v>
      </c>
      <c r="BD25" s="126">
        <v>3.4672518751899598E-2</v>
      </c>
      <c r="BE25" s="126">
        <v>3.4672518751899598E-2</v>
      </c>
      <c r="BF25" s="126">
        <v>3.4672518751899598E-2</v>
      </c>
      <c r="BG25" s="126">
        <v>3.4672518751899598E-2</v>
      </c>
      <c r="BH25" s="126">
        <v>3.4672518751899598E-2</v>
      </c>
      <c r="BI25" s="126">
        <v>3.4672518751899598E-2</v>
      </c>
      <c r="BJ25" s="126">
        <v>3.4672518751899598E-2</v>
      </c>
      <c r="BK25" s="126">
        <v>3.4672518751899598E-2</v>
      </c>
      <c r="BL25" s="126">
        <v>3.4672518751899598E-2</v>
      </c>
      <c r="BM25" s="21">
        <f>AVERAGE(E25:BL25)</f>
        <v>3.4507700572041625E-2</v>
      </c>
      <c r="BN25" s="15"/>
    </row>
    <row r="26" spans="2:66" hidden="1" x14ac:dyDescent="0.3">
      <c r="B26" s="12"/>
      <c r="C26" s="14" t="s">
        <v>54</v>
      </c>
      <c r="D26" s="23" t="s">
        <v>52</v>
      </c>
      <c r="E26" s="126">
        <v>2.3762538181818366E-2</v>
      </c>
      <c r="F26" s="126">
        <v>2.5779778181818272E-2</v>
      </c>
      <c r="G26" s="126">
        <v>2.7964623215663609E-2</v>
      </c>
      <c r="H26" s="126">
        <v>2.8890301226056282E-2</v>
      </c>
      <c r="I26" s="126">
        <v>2.6905000000000002E-2</v>
      </c>
      <c r="J26" s="126">
        <v>3.1899999999999998E-2</v>
      </c>
      <c r="K26" s="126">
        <v>2.5704999999999999E-2</v>
      </c>
      <c r="L26" s="126">
        <v>4.4744999999999993E-2</v>
      </c>
      <c r="M26" s="126">
        <v>4.2993000000000003E-2</v>
      </c>
      <c r="N26" s="126">
        <v>4.0679999999999994E-2</v>
      </c>
      <c r="O26" s="126">
        <v>4.0104000000000008E-2</v>
      </c>
      <c r="P26" s="126">
        <v>4.1883999999999991E-2</v>
      </c>
      <c r="Q26" s="126">
        <v>4.9484600000000011E-2</v>
      </c>
      <c r="R26" s="126">
        <v>4.3686999999999997E-2</v>
      </c>
      <c r="S26" s="126">
        <v>4.3686999999999997E-2</v>
      </c>
      <c r="T26" s="21">
        <f>$H$94+$H$93*T1</f>
        <v>4.2385520453392722E-2</v>
      </c>
      <c r="U26" s="21">
        <f>$H$94+$H$93*U1</f>
        <v>4.1084040906785635E-2</v>
      </c>
      <c r="V26" s="21">
        <f>$H$94+$H$93*V1</f>
        <v>3.9782561360178548E-2</v>
      </c>
      <c r="W26" s="21">
        <f>$H$94+$H$93*W1</f>
        <v>3.8481081813571461E-2</v>
      </c>
      <c r="X26" s="21">
        <f>$H$94+$H$93*X1</f>
        <v>3.7179602266964373E-2</v>
      </c>
      <c r="Y26" s="91">
        <f>AVERAGE(E26:S26)</f>
        <v>3.5878122720357099E-2</v>
      </c>
      <c r="Z26" s="21">
        <f t="shared" ref="Z26:AR26" si="8">$I$94+$I$93*Z1</f>
        <v>3.5924604132735925E-2</v>
      </c>
      <c r="AA26" s="21">
        <f t="shared" si="8"/>
        <v>3.5971085545114752E-2</v>
      </c>
      <c r="AB26" s="21">
        <f t="shared" si="8"/>
        <v>3.6017566957493578E-2</v>
      </c>
      <c r="AC26" s="21">
        <f t="shared" si="8"/>
        <v>3.6064048369872405E-2</v>
      </c>
      <c r="AD26" s="21">
        <f t="shared" si="8"/>
        <v>3.6110529782251231E-2</v>
      </c>
      <c r="AE26" s="21">
        <f t="shared" si="8"/>
        <v>3.6157011194630058E-2</v>
      </c>
      <c r="AF26" s="21">
        <f t="shared" si="8"/>
        <v>3.6203492607008884E-2</v>
      </c>
      <c r="AG26" s="21">
        <f t="shared" si="8"/>
        <v>3.6249974019387711E-2</v>
      </c>
      <c r="AH26" s="21">
        <f t="shared" si="8"/>
        <v>3.6296455431766537E-2</v>
      </c>
      <c r="AI26" s="21">
        <f t="shared" si="8"/>
        <v>3.6342936844145364E-2</v>
      </c>
      <c r="AJ26" s="21">
        <f t="shared" si="8"/>
        <v>3.6389418256524191E-2</v>
      </c>
      <c r="AK26" s="21">
        <f t="shared" si="8"/>
        <v>3.6435899668903017E-2</v>
      </c>
      <c r="AL26" s="21">
        <f t="shared" si="8"/>
        <v>3.6482381081281844E-2</v>
      </c>
      <c r="AM26" s="21">
        <f t="shared" si="8"/>
        <v>3.652886249366067E-2</v>
      </c>
      <c r="AN26" s="21">
        <f t="shared" si="8"/>
        <v>3.6575343906039497E-2</v>
      </c>
      <c r="AO26" s="21">
        <f t="shared" si="8"/>
        <v>3.6621825318418323E-2</v>
      </c>
      <c r="AP26" s="21">
        <f t="shared" si="8"/>
        <v>3.666830673079715E-2</v>
      </c>
      <c r="AQ26" s="21">
        <f t="shared" si="8"/>
        <v>3.6714788143175976E-2</v>
      </c>
      <c r="AR26" s="21">
        <f t="shared" si="8"/>
        <v>3.6761269555554803E-2</v>
      </c>
      <c r="AS26" s="130">
        <f>AVERAGE(E26:Y26)</f>
        <v>3.6807750967933636E-2</v>
      </c>
      <c r="AT26" s="126">
        <v>3.6807750967933636E-2</v>
      </c>
      <c r="AU26" s="126">
        <v>3.6807750967933636E-2</v>
      </c>
      <c r="AV26" s="126">
        <v>3.6807750967933636E-2</v>
      </c>
      <c r="AW26" s="126">
        <v>3.6807750967933636E-2</v>
      </c>
      <c r="AX26" s="126">
        <v>3.6807750967933636E-2</v>
      </c>
      <c r="AY26" s="126">
        <v>3.6807750967933636E-2</v>
      </c>
      <c r="AZ26" s="126">
        <v>3.6807750967933636E-2</v>
      </c>
      <c r="BA26" s="126">
        <v>3.6807750967933636E-2</v>
      </c>
      <c r="BB26" s="126">
        <v>3.6807750967933636E-2</v>
      </c>
      <c r="BC26" s="126">
        <v>3.6807750967933636E-2</v>
      </c>
      <c r="BD26" s="126">
        <v>3.6807750967933636E-2</v>
      </c>
      <c r="BE26" s="126">
        <v>3.6807750967933636E-2</v>
      </c>
      <c r="BF26" s="126">
        <v>3.6807750967933636E-2</v>
      </c>
      <c r="BG26" s="126">
        <v>3.6807750967933636E-2</v>
      </c>
      <c r="BH26" s="126">
        <v>3.6807750967933636E-2</v>
      </c>
      <c r="BI26" s="126">
        <v>3.6807750967933636E-2</v>
      </c>
      <c r="BJ26" s="126">
        <v>3.6807750967933636E-2</v>
      </c>
      <c r="BK26" s="126">
        <v>3.6807750967933636E-2</v>
      </c>
      <c r="BL26" s="126">
        <v>3.6807750967933636E-2</v>
      </c>
      <c r="BM26" s="21">
        <f>AVERAGE(E26:BL26)</f>
        <v>3.6660559828734021E-2</v>
      </c>
      <c r="BN26" s="15"/>
    </row>
    <row r="27" spans="2:66" hidden="1" x14ac:dyDescent="0.3">
      <c r="B27" s="12"/>
      <c r="C27" s="14" t="s">
        <v>55</v>
      </c>
      <c r="D27" s="23" t="s">
        <v>25</v>
      </c>
      <c r="E27" s="126">
        <v>0.95208341672727248</v>
      </c>
      <c r="F27" s="126">
        <v>0.94907231927272706</v>
      </c>
      <c r="G27" s="126">
        <v>0.94609474282495098</v>
      </c>
      <c r="H27" s="126">
        <v>0.9428653329724842</v>
      </c>
      <c r="I27" s="126">
        <v>0.9453809999999998</v>
      </c>
      <c r="J27" s="126">
        <v>0.94037999999999999</v>
      </c>
      <c r="K27" s="126">
        <v>0.94694100000000003</v>
      </c>
      <c r="L27" s="126">
        <v>0.8966329999999999</v>
      </c>
      <c r="M27" s="126">
        <v>0.91679860000000002</v>
      </c>
      <c r="N27" s="126">
        <v>0.92173599999999989</v>
      </c>
      <c r="O27" s="126">
        <v>0.92162080000000002</v>
      </c>
      <c r="P27" s="126">
        <v>0.91957679999999986</v>
      </c>
      <c r="Q27" s="126">
        <v>0.91029691999999984</v>
      </c>
      <c r="R27" s="126">
        <v>0.91393740000000023</v>
      </c>
      <c r="S27" s="126">
        <v>0.91847657724255427</v>
      </c>
      <c r="T27" s="21">
        <f>1-T26-T25</f>
        <v>0.91669621924219369</v>
      </c>
      <c r="U27" s="21">
        <f t="shared" ref="U27:BM27" si="9">1-U26-U25</f>
        <v>0.91945503848438737</v>
      </c>
      <c r="V27" s="21">
        <f t="shared" si="9"/>
        <v>0.92221385772658104</v>
      </c>
      <c r="W27" s="21">
        <f t="shared" si="9"/>
        <v>0.92497267696877472</v>
      </c>
      <c r="X27" s="21">
        <f t="shared" si="9"/>
        <v>0.9277314962109684</v>
      </c>
      <c r="Y27" s="21">
        <f t="shared" si="9"/>
        <v>0.9304903154531623</v>
      </c>
      <c r="Z27" s="21">
        <f t="shared" si="9"/>
        <v>0.93039178619451257</v>
      </c>
      <c r="AA27" s="21">
        <f t="shared" si="9"/>
        <v>0.93029325693586273</v>
      </c>
      <c r="AB27" s="21">
        <f t="shared" si="9"/>
        <v>0.93019472767721301</v>
      </c>
      <c r="AC27" s="21">
        <f t="shared" si="9"/>
        <v>0.93009619841856317</v>
      </c>
      <c r="AD27" s="21">
        <f t="shared" si="9"/>
        <v>0.92999766915991344</v>
      </c>
      <c r="AE27" s="21">
        <f t="shared" si="9"/>
        <v>0.9298991399012636</v>
      </c>
      <c r="AF27" s="21">
        <f t="shared" si="9"/>
        <v>0.92980061064261388</v>
      </c>
      <c r="AG27" s="21">
        <f t="shared" si="9"/>
        <v>0.92970208138396415</v>
      </c>
      <c r="AH27" s="21">
        <f t="shared" si="9"/>
        <v>0.92960355212531431</v>
      </c>
      <c r="AI27" s="21">
        <f t="shared" si="9"/>
        <v>0.92950502286666459</v>
      </c>
      <c r="AJ27" s="21">
        <f t="shared" si="9"/>
        <v>0.92940649360801475</v>
      </c>
      <c r="AK27" s="21">
        <f t="shared" si="9"/>
        <v>0.92930796434936491</v>
      </c>
      <c r="AL27" s="21">
        <f t="shared" si="9"/>
        <v>0.92920943509071519</v>
      </c>
      <c r="AM27" s="21">
        <f t="shared" si="9"/>
        <v>0.92911090583206535</v>
      </c>
      <c r="AN27" s="21">
        <f t="shared" si="9"/>
        <v>0.92901237657341573</v>
      </c>
      <c r="AO27" s="21">
        <f t="shared" si="9"/>
        <v>0.92891384731476589</v>
      </c>
      <c r="AP27" s="21">
        <f t="shared" si="9"/>
        <v>0.92881531805611617</v>
      </c>
      <c r="AQ27" s="21">
        <f t="shared" si="9"/>
        <v>0.92871678879746633</v>
      </c>
      <c r="AR27" s="21">
        <f t="shared" si="9"/>
        <v>0.92861825953881649</v>
      </c>
      <c r="AS27" s="21">
        <f t="shared" si="9"/>
        <v>0.92851973028016677</v>
      </c>
      <c r="AT27" s="21">
        <f>1-AT26-AT25</f>
        <v>0.92851973028016677</v>
      </c>
      <c r="AU27" s="21">
        <f t="shared" si="9"/>
        <v>0.92851973028016677</v>
      </c>
      <c r="AV27" s="21">
        <f t="shared" si="9"/>
        <v>0.92851973028016677</v>
      </c>
      <c r="AW27" s="21">
        <f t="shared" si="9"/>
        <v>0.92851973028016677</v>
      </c>
      <c r="AX27" s="21">
        <f t="shared" si="9"/>
        <v>0.92851973028016677</v>
      </c>
      <c r="AY27" s="21">
        <f t="shared" si="9"/>
        <v>0.92851973028016677</v>
      </c>
      <c r="AZ27" s="21">
        <f t="shared" si="9"/>
        <v>0.92851973028016677</v>
      </c>
      <c r="BA27" s="21">
        <f t="shared" si="9"/>
        <v>0.92851973028016677</v>
      </c>
      <c r="BB27" s="21">
        <f t="shared" si="9"/>
        <v>0.92851973028016677</v>
      </c>
      <c r="BC27" s="21">
        <f t="shared" si="9"/>
        <v>0.92851973028016677</v>
      </c>
      <c r="BD27" s="21">
        <f t="shared" si="9"/>
        <v>0.92851973028016677</v>
      </c>
      <c r="BE27" s="21">
        <f t="shared" si="9"/>
        <v>0.92851973028016677</v>
      </c>
      <c r="BF27" s="21">
        <f t="shared" si="9"/>
        <v>0.92851973028016677</v>
      </c>
      <c r="BG27" s="21">
        <f t="shared" si="9"/>
        <v>0.92851973028016677</v>
      </c>
      <c r="BH27" s="21">
        <f t="shared" si="9"/>
        <v>0.92851973028016677</v>
      </c>
      <c r="BI27" s="21">
        <f t="shared" si="9"/>
        <v>0.92851973028016677</v>
      </c>
      <c r="BJ27" s="21">
        <f t="shared" si="9"/>
        <v>0.92851973028016677</v>
      </c>
      <c r="BK27" s="21">
        <f t="shared" si="9"/>
        <v>0.92851973028016677</v>
      </c>
      <c r="BL27" s="21">
        <f t="shared" si="9"/>
        <v>0.92851973028016677</v>
      </c>
      <c r="BM27" s="21">
        <f t="shared" si="9"/>
        <v>0.92883173959922427</v>
      </c>
      <c r="BN27" s="15"/>
    </row>
    <row r="28" spans="2:66" ht="13.8" hidden="1" customHeight="1" x14ac:dyDescent="0.3">
      <c r="B28" s="12"/>
      <c r="C28" s="14" t="s">
        <v>139</v>
      </c>
      <c r="D28" s="23" t="s">
        <v>140</v>
      </c>
      <c r="E28" s="21">
        <v>2.2373862499788658E-3</v>
      </c>
      <c r="F28" s="21">
        <v>2.2373862499788658E-3</v>
      </c>
      <c r="G28" s="21">
        <v>2.2373862499788658E-3</v>
      </c>
      <c r="H28" s="21">
        <v>2.2373862499788658E-3</v>
      </c>
      <c r="I28" s="21">
        <v>2.2373862499788658E-3</v>
      </c>
      <c r="J28" s="21">
        <v>2.2373862499788658E-3</v>
      </c>
      <c r="K28" s="21">
        <v>2.2373862499788658E-3</v>
      </c>
      <c r="L28" s="21">
        <v>2.2373862499788658E-3</v>
      </c>
      <c r="M28" s="21">
        <v>2.2373862499788658E-3</v>
      </c>
      <c r="N28" s="21">
        <v>2.2373862499788658E-3</v>
      </c>
      <c r="O28" s="21">
        <v>2.2373862499788658E-3</v>
      </c>
      <c r="P28" s="21">
        <v>2.2373862499788658E-3</v>
      </c>
      <c r="Q28" s="21">
        <v>2.2373862499788658E-3</v>
      </c>
      <c r="R28" s="21">
        <v>2.2373862499788658E-3</v>
      </c>
      <c r="S28" s="21">
        <v>2.2373862499788658E-3</v>
      </c>
      <c r="T28" s="21">
        <v>2.2373862499788658E-3</v>
      </c>
      <c r="U28" s="21">
        <v>2.2373862499788658E-3</v>
      </c>
      <c r="V28" s="21">
        <v>2.2373862499788658E-3</v>
      </c>
      <c r="W28" s="21">
        <v>2.2373862499788658E-3</v>
      </c>
      <c r="X28" s="21">
        <v>2.2373862499788658E-3</v>
      </c>
      <c r="Y28" s="21">
        <v>2.2373862499788658E-3</v>
      </c>
      <c r="Z28" s="21">
        <v>2.2373862499788658E-3</v>
      </c>
      <c r="AA28" s="21">
        <v>2.2373862499788658E-3</v>
      </c>
      <c r="AB28" s="21">
        <v>2.2373862499788658E-3</v>
      </c>
      <c r="AC28" s="21">
        <v>2.2373862499788658E-3</v>
      </c>
      <c r="AD28" s="21">
        <v>2.2373862499788658E-3</v>
      </c>
      <c r="AE28" s="21">
        <v>2.2373862499788658E-3</v>
      </c>
      <c r="AF28" s="21">
        <v>2.2373862499788658E-3</v>
      </c>
      <c r="AG28" s="21">
        <v>2.2373862499788658E-3</v>
      </c>
      <c r="AH28" s="21">
        <v>2.2373862499788658E-3</v>
      </c>
      <c r="AI28" s="21">
        <v>2.2373862499788658E-3</v>
      </c>
      <c r="AJ28" s="21">
        <v>2.2373862499788658E-3</v>
      </c>
      <c r="AK28" s="21">
        <v>2.2373862499788658E-3</v>
      </c>
      <c r="AL28" s="21">
        <v>2.2373862499788658E-3</v>
      </c>
      <c r="AM28" s="21">
        <v>2.2373862499788658E-3</v>
      </c>
      <c r="AN28" s="21">
        <v>2.2373862499788658E-3</v>
      </c>
      <c r="AO28" s="21">
        <v>2.2373862499788658E-3</v>
      </c>
      <c r="AP28" s="21">
        <v>2.2373862499788658E-3</v>
      </c>
      <c r="AQ28" s="21">
        <v>2.2373862499788658E-3</v>
      </c>
      <c r="AR28" s="21">
        <v>2.2373862499788658E-3</v>
      </c>
      <c r="AS28" s="21">
        <v>2.2373862499788658E-3</v>
      </c>
      <c r="AT28" s="21">
        <v>2.2373862499788658E-3</v>
      </c>
      <c r="AU28" s="21">
        <v>2.2373862499788658E-3</v>
      </c>
      <c r="AV28" s="21">
        <v>2.2373862499788658E-3</v>
      </c>
      <c r="AW28" s="21">
        <v>2.2373862499788658E-3</v>
      </c>
      <c r="AX28" s="21">
        <v>2.2373862499788658E-3</v>
      </c>
      <c r="AY28" s="21">
        <v>2.2373862499788658E-3</v>
      </c>
      <c r="AZ28" s="21">
        <v>2.2373862499788658E-3</v>
      </c>
      <c r="BA28" s="21">
        <v>2.2373862499788658E-3</v>
      </c>
      <c r="BB28" s="21">
        <v>2.2373862499788658E-3</v>
      </c>
      <c r="BC28" s="21">
        <v>2.2373862499788658E-3</v>
      </c>
      <c r="BD28" s="21">
        <v>2.2373862499788658E-3</v>
      </c>
      <c r="BE28" s="21">
        <v>2.2373862499788658E-3</v>
      </c>
      <c r="BF28" s="21">
        <v>2.2373862499788658E-3</v>
      </c>
      <c r="BG28" s="21">
        <v>2.2373862499788658E-3</v>
      </c>
      <c r="BH28" s="21">
        <v>2.2373862499788658E-3</v>
      </c>
      <c r="BI28" s="21">
        <v>2.2373862499788658E-3</v>
      </c>
      <c r="BJ28" s="21">
        <v>2.2373862499788658E-3</v>
      </c>
      <c r="BK28" s="21">
        <v>2.2373862499788658E-3</v>
      </c>
      <c r="BL28" s="21">
        <v>2.2373862499788658E-3</v>
      </c>
      <c r="BM28" s="21">
        <v>2.2373862499788658E-3</v>
      </c>
      <c r="BN28" s="15"/>
    </row>
    <row r="29" spans="2:66" hidden="1" x14ac:dyDescent="0.3">
      <c r="B29" s="12"/>
      <c r="C29" s="14"/>
      <c r="D29" s="14"/>
      <c r="E29" s="31">
        <f t="shared" ref="E29:L29" si="10">E25+E26+E27</f>
        <v>1.0000000000000002</v>
      </c>
      <c r="F29" s="31">
        <f t="shared" si="10"/>
        <v>1</v>
      </c>
      <c r="G29" s="31">
        <f t="shared" si="10"/>
        <v>1</v>
      </c>
      <c r="H29" s="31">
        <f t="shared" si="10"/>
        <v>1</v>
      </c>
      <c r="I29" s="31">
        <f t="shared" si="10"/>
        <v>0.99999999999999978</v>
      </c>
      <c r="J29" s="31">
        <f t="shared" si="10"/>
        <v>1</v>
      </c>
      <c r="K29" s="31">
        <f t="shared" si="10"/>
        <v>1</v>
      </c>
      <c r="L29" s="31">
        <f t="shared" si="10"/>
        <v>0.97999999999999987</v>
      </c>
      <c r="M29" s="31">
        <f>M25+M26+M27</f>
        <v>1</v>
      </c>
      <c r="N29" s="31">
        <f t="shared" ref="N29:BM29" si="11">N25+N26+N27</f>
        <v>0.99999999999999989</v>
      </c>
      <c r="O29" s="31">
        <f t="shared" si="11"/>
        <v>1</v>
      </c>
      <c r="P29" s="31">
        <f t="shared" si="11"/>
        <v>0.99999999999999989</v>
      </c>
      <c r="Q29" s="31">
        <f t="shared" si="11"/>
        <v>0.99999999999999989</v>
      </c>
      <c r="R29" s="31">
        <f t="shared" si="11"/>
        <v>1.0000000000000002</v>
      </c>
      <c r="S29" s="31">
        <f t="shared" si="11"/>
        <v>1.0045391772425543</v>
      </c>
      <c r="T29" s="31">
        <f t="shared" si="11"/>
        <v>1</v>
      </c>
      <c r="U29" s="31">
        <f t="shared" si="11"/>
        <v>1</v>
      </c>
      <c r="V29" s="31">
        <f t="shared" si="11"/>
        <v>1</v>
      </c>
      <c r="W29" s="31">
        <f t="shared" si="11"/>
        <v>1</v>
      </c>
      <c r="X29" s="31">
        <f t="shared" si="11"/>
        <v>1</v>
      </c>
      <c r="Y29" s="31">
        <f t="shared" si="11"/>
        <v>1</v>
      </c>
      <c r="Z29" s="31">
        <f t="shared" si="11"/>
        <v>1</v>
      </c>
      <c r="AA29" s="31">
        <f t="shared" si="11"/>
        <v>1</v>
      </c>
      <c r="AB29" s="31">
        <f t="shared" si="11"/>
        <v>1</v>
      </c>
      <c r="AC29" s="31">
        <f t="shared" si="11"/>
        <v>1</v>
      </c>
      <c r="AD29" s="31">
        <f t="shared" si="11"/>
        <v>1</v>
      </c>
      <c r="AE29" s="31">
        <f t="shared" si="11"/>
        <v>1</v>
      </c>
      <c r="AF29" s="31">
        <f t="shared" si="11"/>
        <v>1</v>
      </c>
      <c r="AG29" s="31">
        <f t="shared" si="11"/>
        <v>1</v>
      </c>
      <c r="AH29" s="31">
        <f t="shared" si="11"/>
        <v>1</v>
      </c>
      <c r="AI29" s="31">
        <f t="shared" si="11"/>
        <v>1</v>
      </c>
      <c r="AJ29" s="31">
        <f t="shared" si="11"/>
        <v>1</v>
      </c>
      <c r="AK29" s="31">
        <f t="shared" si="11"/>
        <v>0.99999999999999989</v>
      </c>
      <c r="AL29" s="31">
        <f t="shared" si="11"/>
        <v>1</v>
      </c>
      <c r="AM29" s="31">
        <f t="shared" si="11"/>
        <v>0.99999999999999989</v>
      </c>
      <c r="AN29" s="31">
        <f t="shared" si="11"/>
        <v>1</v>
      </c>
      <c r="AO29" s="31">
        <f t="shared" si="11"/>
        <v>1</v>
      </c>
      <c r="AP29" s="31">
        <f t="shared" si="11"/>
        <v>1</v>
      </c>
      <c r="AQ29" s="31">
        <f t="shared" si="11"/>
        <v>1</v>
      </c>
      <c r="AR29" s="31">
        <f t="shared" si="11"/>
        <v>1</v>
      </c>
      <c r="AS29" s="31">
        <f t="shared" si="11"/>
        <v>1</v>
      </c>
      <c r="AT29" s="31">
        <f>AT25+AT26+AT27</f>
        <v>1</v>
      </c>
      <c r="AU29" s="31">
        <f t="shared" si="11"/>
        <v>1</v>
      </c>
      <c r="AV29" s="31">
        <f t="shared" si="11"/>
        <v>1</v>
      </c>
      <c r="AW29" s="31">
        <f t="shared" si="11"/>
        <v>1</v>
      </c>
      <c r="AX29" s="31">
        <f t="shared" si="11"/>
        <v>1</v>
      </c>
      <c r="AY29" s="31">
        <f t="shared" si="11"/>
        <v>1</v>
      </c>
      <c r="AZ29" s="31">
        <f t="shared" si="11"/>
        <v>1</v>
      </c>
      <c r="BA29" s="31">
        <f t="shared" si="11"/>
        <v>1</v>
      </c>
      <c r="BB29" s="31">
        <f t="shared" si="11"/>
        <v>1</v>
      </c>
      <c r="BC29" s="31">
        <f t="shared" si="11"/>
        <v>1</v>
      </c>
      <c r="BD29" s="31">
        <f t="shared" si="11"/>
        <v>1</v>
      </c>
      <c r="BE29" s="31">
        <f t="shared" si="11"/>
        <v>1</v>
      </c>
      <c r="BF29" s="31">
        <f t="shared" si="11"/>
        <v>1</v>
      </c>
      <c r="BG29" s="31">
        <f t="shared" si="11"/>
        <v>1</v>
      </c>
      <c r="BH29" s="31">
        <f t="shared" si="11"/>
        <v>1</v>
      </c>
      <c r="BI29" s="31">
        <f t="shared" si="11"/>
        <v>1</v>
      </c>
      <c r="BJ29" s="31">
        <f t="shared" si="11"/>
        <v>1</v>
      </c>
      <c r="BK29" s="31">
        <f t="shared" si="11"/>
        <v>1</v>
      </c>
      <c r="BL29" s="31">
        <f t="shared" si="11"/>
        <v>1</v>
      </c>
      <c r="BM29" s="31">
        <f t="shared" si="11"/>
        <v>0.99999999999999989</v>
      </c>
      <c r="BN29" s="15"/>
    </row>
    <row r="30" spans="2:66" hidden="1" x14ac:dyDescent="0.3">
      <c r="B30" s="12"/>
      <c r="C30" s="13" t="s">
        <v>193</v>
      </c>
      <c r="D30" s="13"/>
      <c r="E30" s="13"/>
      <c r="F30" s="13"/>
      <c r="G30" s="13"/>
      <c r="H30" s="13"/>
      <c r="I30" s="13"/>
      <c r="J30" s="13"/>
      <c r="K30" s="13"/>
      <c r="L30" s="13"/>
      <c r="M30" s="4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15"/>
    </row>
    <row r="31" spans="2:66" hidden="1" x14ac:dyDescent="0.3">
      <c r="B31" s="12"/>
      <c r="C31" s="14" t="s">
        <v>64</v>
      </c>
      <c r="D31" s="14" t="s">
        <v>27</v>
      </c>
      <c r="E31" s="126">
        <v>4.7525076363636697E-2</v>
      </c>
      <c r="F31" s="126">
        <v>5.1559556363636502E-2</v>
      </c>
      <c r="G31" s="126">
        <v>5.5929246431327198E-2</v>
      </c>
      <c r="H31" s="126">
        <v>5.7780602452112598E-2</v>
      </c>
      <c r="I31" s="126">
        <v>5.3809999999999997E-2</v>
      </c>
      <c r="J31" s="126">
        <v>6.3799999999999996E-2</v>
      </c>
      <c r="K31" s="126">
        <v>5.1409999999999997E-2</v>
      </c>
      <c r="L31" s="126">
        <v>8.949E-2</v>
      </c>
      <c r="M31" s="126">
        <v>8.5986000000000007E-2</v>
      </c>
      <c r="N31" s="126">
        <v>8.1360000000000002E-2</v>
      </c>
      <c r="O31" s="126">
        <v>8.0208000000000002E-2</v>
      </c>
      <c r="P31" s="126">
        <v>8.3767999999999995E-2</v>
      </c>
      <c r="Q31" s="126">
        <v>9.8969199999999993E-2</v>
      </c>
      <c r="R31" s="126">
        <v>8.7373999999999993E-2</v>
      </c>
      <c r="S31" s="126">
        <v>8.7373999999999993E-2</v>
      </c>
      <c r="T31" s="21">
        <v>8.7373999999999993E-2</v>
      </c>
      <c r="U31" s="21">
        <v>8.7373999999999993E-2</v>
      </c>
      <c r="V31" s="21">
        <v>8.7373999999999993E-2</v>
      </c>
      <c r="W31" s="21">
        <v>8.7373999999999993E-2</v>
      </c>
      <c r="X31" s="21">
        <v>8.7373999999999993E-2</v>
      </c>
      <c r="Y31" s="21">
        <v>8.7373999999999993E-2</v>
      </c>
      <c r="Z31" s="21">
        <v>8.7373999999999993E-2</v>
      </c>
      <c r="AA31" s="21">
        <v>8.7373999999999993E-2</v>
      </c>
      <c r="AB31" s="21">
        <v>8.7373999999999993E-2</v>
      </c>
      <c r="AC31" s="21">
        <v>8.7373999999999993E-2</v>
      </c>
      <c r="AD31" s="21">
        <v>8.7373999999999993E-2</v>
      </c>
      <c r="AE31" s="21">
        <v>8.7373999999999993E-2</v>
      </c>
      <c r="AF31" s="21">
        <v>8.7373999999999993E-2</v>
      </c>
      <c r="AG31" s="21">
        <v>8.7373999999999993E-2</v>
      </c>
      <c r="AH31" s="21">
        <v>8.7373999999999993E-2</v>
      </c>
      <c r="AI31" s="21">
        <v>8.7373999999999993E-2</v>
      </c>
      <c r="AJ31" s="21">
        <v>8.7373999999999993E-2</v>
      </c>
      <c r="AK31" s="21">
        <v>8.7373999999999993E-2</v>
      </c>
      <c r="AL31" s="21">
        <v>8.7373999999999993E-2</v>
      </c>
      <c r="AM31" s="21">
        <v>8.7373999999999993E-2</v>
      </c>
      <c r="AN31" s="21">
        <v>8.7373999999999993E-2</v>
      </c>
      <c r="AO31" s="21">
        <v>8.7373999999999993E-2</v>
      </c>
      <c r="AP31" s="21">
        <v>8.7373999999999993E-2</v>
      </c>
      <c r="AQ31" s="21">
        <v>8.7373999999999993E-2</v>
      </c>
      <c r="AR31" s="21">
        <v>8.7373999999999993E-2</v>
      </c>
      <c r="AS31" s="21">
        <v>8.7373999999999993E-2</v>
      </c>
      <c r="AT31" s="21">
        <v>8.7373999999999993E-2</v>
      </c>
      <c r="AU31" s="21">
        <v>8.7373999999999993E-2</v>
      </c>
      <c r="AV31" s="21">
        <v>8.7373999999999993E-2</v>
      </c>
      <c r="AW31" s="21">
        <v>8.7373999999999993E-2</v>
      </c>
      <c r="AX31" s="21">
        <v>8.7373999999999993E-2</v>
      </c>
      <c r="AY31" s="21">
        <v>8.7373999999999993E-2</v>
      </c>
      <c r="AZ31" s="21">
        <v>8.7373999999999993E-2</v>
      </c>
      <c r="BA31" s="21">
        <v>8.7373999999999993E-2</v>
      </c>
      <c r="BB31" s="21">
        <v>8.7373999999999993E-2</v>
      </c>
      <c r="BC31" s="21">
        <v>8.7373999999999993E-2</v>
      </c>
      <c r="BD31" s="21">
        <v>8.7373999999999993E-2</v>
      </c>
      <c r="BE31" s="21">
        <v>8.7373999999999993E-2</v>
      </c>
      <c r="BF31" s="21">
        <v>8.7373999999999993E-2</v>
      </c>
      <c r="BG31" s="21">
        <v>8.7373999999999993E-2</v>
      </c>
      <c r="BH31" s="21">
        <v>8.7373999999999993E-2</v>
      </c>
      <c r="BI31" s="21">
        <v>8.7373999999999993E-2</v>
      </c>
      <c r="BJ31" s="21">
        <v>8.7373999999999993E-2</v>
      </c>
      <c r="BK31" s="21">
        <v>8.7373999999999993E-2</v>
      </c>
      <c r="BL31" s="21">
        <v>8.7373999999999993E-2</v>
      </c>
      <c r="BM31" s="21">
        <v>8.7373999999999993E-2</v>
      </c>
      <c r="BN31" s="15"/>
    </row>
    <row r="32" spans="2:66" hidden="1" x14ac:dyDescent="0.3">
      <c r="B32" s="12"/>
      <c r="C32" s="14" t="s">
        <v>65</v>
      </c>
      <c r="D32" s="14" t="s">
        <v>28</v>
      </c>
      <c r="E32" s="126">
        <v>4.0256741818182097E-2</v>
      </c>
      <c r="F32" s="126">
        <v>4.1913170909091101E-2</v>
      </c>
      <c r="G32" s="126">
        <v>4.3234389932309103E-2</v>
      </c>
      <c r="H32" s="126">
        <v>4.7073943002432499E-2</v>
      </c>
      <c r="I32" s="126">
        <v>4.6190000000000002E-2</v>
      </c>
      <c r="J32" s="126">
        <v>4.6199999999999998E-2</v>
      </c>
      <c r="K32" s="126">
        <v>4.5589999999999999E-2</v>
      </c>
      <c r="L32" s="126">
        <v>6.4369999999999997E-2</v>
      </c>
      <c r="M32" s="126">
        <v>6.7014000000000004E-2</v>
      </c>
      <c r="N32" s="126">
        <v>6.2640000000000001E-2</v>
      </c>
      <c r="O32" s="126">
        <v>6.3792000000000001E-2</v>
      </c>
      <c r="P32" s="126">
        <v>6.4231999999999997E-2</v>
      </c>
      <c r="Q32" s="126">
        <v>6.7030800000000001E-2</v>
      </c>
      <c r="R32" s="126">
        <v>7.0625999999999994E-2</v>
      </c>
      <c r="S32" s="126">
        <v>7.0625999999999994E-2</v>
      </c>
      <c r="T32" s="21">
        <v>7.0625999999999994E-2</v>
      </c>
      <c r="U32" s="21">
        <v>7.0625999999999994E-2</v>
      </c>
      <c r="V32" s="21">
        <v>7.0625999999999994E-2</v>
      </c>
      <c r="W32" s="21">
        <v>7.0625999999999994E-2</v>
      </c>
      <c r="X32" s="21">
        <v>7.0625999999999994E-2</v>
      </c>
      <c r="Y32" s="21">
        <v>7.0625999999999994E-2</v>
      </c>
      <c r="Z32" s="21">
        <v>7.0625999999999994E-2</v>
      </c>
      <c r="AA32" s="21">
        <v>7.0625999999999994E-2</v>
      </c>
      <c r="AB32" s="21">
        <v>7.0625999999999994E-2</v>
      </c>
      <c r="AC32" s="21">
        <v>7.0625999999999994E-2</v>
      </c>
      <c r="AD32" s="21">
        <v>7.0625999999999994E-2</v>
      </c>
      <c r="AE32" s="21">
        <v>7.0625999999999994E-2</v>
      </c>
      <c r="AF32" s="21">
        <v>7.0625999999999994E-2</v>
      </c>
      <c r="AG32" s="21">
        <v>7.0625999999999994E-2</v>
      </c>
      <c r="AH32" s="21">
        <v>7.0625999999999994E-2</v>
      </c>
      <c r="AI32" s="21">
        <v>7.0625999999999994E-2</v>
      </c>
      <c r="AJ32" s="21">
        <v>7.0625999999999994E-2</v>
      </c>
      <c r="AK32" s="21">
        <v>7.0625999999999994E-2</v>
      </c>
      <c r="AL32" s="21">
        <v>7.0625999999999994E-2</v>
      </c>
      <c r="AM32" s="21">
        <v>7.0625999999999994E-2</v>
      </c>
      <c r="AN32" s="21">
        <v>7.0625999999999994E-2</v>
      </c>
      <c r="AO32" s="21">
        <v>7.0625999999999994E-2</v>
      </c>
      <c r="AP32" s="21">
        <v>7.0625999999999994E-2</v>
      </c>
      <c r="AQ32" s="21">
        <v>7.0625999999999994E-2</v>
      </c>
      <c r="AR32" s="21">
        <v>7.0625999999999994E-2</v>
      </c>
      <c r="AS32" s="21">
        <v>7.0625999999999994E-2</v>
      </c>
      <c r="AT32" s="21">
        <v>7.0625999999999994E-2</v>
      </c>
      <c r="AU32" s="21">
        <v>7.0625999999999994E-2</v>
      </c>
      <c r="AV32" s="21">
        <v>7.0625999999999994E-2</v>
      </c>
      <c r="AW32" s="21">
        <v>7.0625999999999994E-2</v>
      </c>
      <c r="AX32" s="21">
        <v>7.0625999999999994E-2</v>
      </c>
      <c r="AY32" s="21">
        <v>7.0625999999999994E-2</v>
      </c>
      <c r="AZ32" s="21">
        <v>7.0625999999999994E-2</v>
      </c>
      <c r="BA32" s="21">
        <v>7.0625999999999994E-2</v>
      </c>
      <c r="BB32" s="21">
        <v>7.0625999999999994E-2</v>
      </c>
      <c r="BC32" s="21">
        <v>7.0625999999999994E-2</v>
      </c>
      <c r="BD32" s="21">
        <v>7.0625999999999994E-2</v>
      </c>
      <c r="BE32" s="21">
        <v>7.0625999999999994E-2</v>
      </c>
      <c r="BF32" s="21">
        <v>7.0625999999999994E-2</v>
      </c>
      <c r="BG32" s="21">
        <v>7.0625999999999994E-2</v>
      </c>
      <c r="BH32" s="21">
        <v>7.0625999999999994E-2</v>
      </c>
      <c r="BI32" s="21">
        <v>7.0625999999999994E-2</v>
      </c>
      <c r="BJ32" s="21">
        <v>7.0625999999999994E-2</v>
      </c>
      <c r="BK32" s="21">
        <v>7.0625999999999994E-2</v>
      </c>
      <c r="BL32" s="21">
        <v>7.0625999999999994E-2</v>
      </c>
      <c r="BM32" s="21">
        <v>7.0625999999999994E-2</v>
      </c>
      <c r="BN32" s="15"/>
    </row>
    <row r="33" spans="2:66" hidden="1" x14ac:dyDescent="0.3">
      <c r="B33" s="12"/>
      <c r="C33" s="14" t="s">
        <v>63</v>
      </c>
      <c r="D33" s="14" t="s">
        <v>29</v>
      </c>
      <c r="E33" s="126">
        <v>0.91221818181818115</v>
      </c>
      <c r="F33" s="126">
        <v>0.9065272727272724</v>
      </c>
      <c r="G33" s="126">
        <v>0.90083636363636366</v>
      </c>
      <c r="H33" s="126">
        <v>0.89514545454545491</v>
      </c>
      <c r="I33" s="126">
        <v>0.9</v>
      </c>
      <c r="J33" s="126">
        <v>0.89</v>
      </c>
      <c r="K33" s="126">
        <v>0.90300000000000002</v>
      </c>
      <c r="L33" s="126">
        <v>0.84299999999999997</v>
      </c>
      <c r="M33" s="126">
        <v>0.84699999999999998</v>
      </c>
      <c r="N33" s="126">
        <v>0.85599999999999998</v>
      </c>
      <c r="O33" s="126">
        <v>0.85599999999999998</v>
      </c>
      <c r="P33" s="126">
        <v>0.85</v>
      </c>
      <c r="Q33" s="126">
        <v>0.83399999999999996</v>
      </c>
      <c r="R33" s="126">
        <v>0.84199999999999997</v>
      </c>
      <c r="S33" s="126">
        <v>0.84</v>
      </c>
      <c r="T33" s="21">
        <v>0.84</v>
      </c>
      <c r="U33" s="21">
        <v>0.84</v>
      </c>
      <c r="V33" s="21">
        <v>0.84</v>
      </c>
      <c r="W33" s="21">
        <v>0.84</v>
      </c>
      <c r="X33" s="21">
        <v>0.84</v>
      </c>
      <c r="Y33" s="21">
        <v>0.84</v>
      </c>
      <c r="Z33" s="21">
        <v>0.84</v>
      </c>
      <c r="AA33" s="21">
        <v>0.84</v>
      </c>
      <c r="AB33" s="21">
        <v>0.84</v>
      </c>
      <c r="AC33" s="21">
        <v>0.84</v>
      </c>
      <c r="AD33" s="21">
        <v>0.84</v>
      </c>
      <c r="AE33" s="21">
        <v>0.84</v>
      </c>
      <c r="AF33" s="21">
        <v>0.84</v>
      </c>
      <c r="AG33" s="21">
        <v>0.84</v>
      </c>
      <c r="AH33" s="21">
        <v>0.84</v>
      </c>
      <c r="AI33" s="21">
        <v>0.84</v>
      </c>
      <c r="AJ33" s="21">
        <v>0.84</v>
      </c>
      <c r="AK33" s="21">
        <v>0.84</v>
      </c>
      <c r="AL33" s="21">
        <v>0.84</v>
      </c>
      <c r="AM33" s="21">
        <v>0.84</v>
      </c>
      <c r="AN33" s="21">
        <v>0.84</v>
      </c>
      <c r="AO33" s="21">
        <v>0.84</v>
      </c>
      <c r="AP33" s="21">
        <v>0.84</v>
      </c>
      <c r="AQ33" s="21">
        <v>0.84</v>
      </c>
      <c r="AR33" s="21">
        <v>0.84</v>
      </c>
      <c r="AS33" s="21">
        <v>0.84</v>
      </c>
      <c r="AT33" s="21">
        <v>0.84</v>
      </c>
      <c r="AU33" s="21">
        <v>0.84</v>
      </c>
      <c r="AV33" s="21">
        <v>0.84</v>
      </c>
      <c r="AW33" s="21">
        <v>0.84</v>
      </c>
      <c r="AX33" s="21">
        <v>0.84</v>
      </c>
      <c r="AY33" s="21">
        <v>0.84</v>
      </c>
      <c r="AZ33" s="21">
        <v>0.84</v>
      </c>
      <c r="BA33" s="21">
        <v>0.84</v>
      </c>
      <c r="BB33" s="21">
        <v>0.84</v>
      </c>
      <c r="BC33" s="21">
        <v>0.84</v>
      </c>
      <c r="BD33" s="21">
        <v>0.84</v>
      </c>
      <c r="BE33" s="21">
        <v>0.84</v>
      </c>
      <c r="BF33" s="21">
        <v>0.84</v>
      </c>
      <c r="BG33" s="21">
        <v>0.84</v>
      </c>
      <c r="BH33" s="21">
        <v>0.84</v>
      </c>
      <c r="BI33" s="21">
        <v>0.84</v>
      </c>
      <c r="BJ33" s="21">
        <v>0.84</v>
      </c>
      <c r="BK33" s="21">
        <v>0.84</v>
      </c>
      <c r="BL33" s="21">
        <v>0.84</v>
      </c>
      <c r="BM33" s="21">
        <v>0.84</v>
      </c>
      <c r="BN33" s="15"/>
    </row>
    <row r="34" spans="2:66" hidden="1" x14ac:dyDescent="0.3">
      <c r="B34" s="12"/>
      <c r="C34" s="14" t="s">
        <v>137</v>
      </c>
      <c r="D34" s="14" t="s">
        <v>138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15"/>
    </row>
    <row r="35" spans="2:66" hidden="1" x14ac:dyDescent="0.3">
      <c r="B35" s="12"/>
      <c r="C35" s="14"/>
      <c r="D35" s="14"/>
      <c r="E35" s="31">
        <f t="shared" ref="E35:L35" si="12">SUM(E31:E34)</f>
        <v>1</v>
      </c>
      <c r="F35" s="31">
        <f t="shared" si="12"/>
        <v>1</v>
      </c>
      <c r="G35" s="31">
        <f t="shared" si="12"/>
        <v>1</v>
      </c>
      <c r="H35" s="31">
        <f t="shared" si="12"/>
        <v>1</v>
      </c>
      <c r="I35" s="31">
        <f t="shared" si="12"/>
        <v>1</v>
      </c>
      <c r="J35" s="31">
        <f t="shared" si="12"/>
        <v>1</v>
      </c>
      <c r="K35" s="31">
        <f t="shared" si="12"/>
        <v>1</v>
      </c>
      <c r="L35" s="31">
        <f t="shared" si="12"/>
        <v>0.99685999999999997</v>
      </c>
      <c r="M35" s="31">
        <f>SUM(M31:M34)</f>
        <v>1</v>
      </c>
      <c r="N35" s="31">
        <f t="shared" ref="N35:BM35" si="13">SUM(N31:N34)</f>
        <v>1</v>
      </c>
      <c r="O35" s="31">
        <f t="shared" si="13"/>
        <v>1</v>
      </c>
      <c r="P35" s="31">
        <f t="shared" si="13"/>
        <v>0.998</v>
      </c>
      <c r="Q35" s="31">
        <f t="shared" si="13"/>
        <v>1</v>
      </c>
      <c r="R35" s="31">
        <f t="shared" si="13"/>
        <v>1</v>
      </c>
      <c r="S35" s="31">
        <f t="shared" si="13"/>
        <v>0.998</v>
      </c>
      <c r="T35" s="31">
        <f t="shared" si="13"/>
        <v>0.998</v>
      </c>
      <c r="U35" s="31">
        <f t="shared" si="13"/>
        <v>0.998</v>
      </c>
      <c r="V35" s="31">
        <f t="shared" si="13"/>
        <v>0.998</v>
      </c>
      <c r="W35" s="31">
        <f t="shared" si="13"/>
        <v>0.998</v>
      </c>
      <c r="X35" s="31">
        <f t="shared" si="13"/>
        <v>0.998</v>
      </c>
      <c r="Y35" s="31">
        <f t="shared" si="13"/>
        <v>0.998</v>
      </c>
      <c r="Z35" s="31">
        <f t="shared" si="13"/>
        <v>0.998</v>
      </c>
      <c r="AA35" s="31">
        <f t="shared" si="13"/>
        <v>0.998</v>
      </c>
      <c r="AB35" s="31">
        <f t="shared" si="13"/>
        <v>0.998</v>
      </c>
      <c r="AC35" s="31">
        <f t="shared" si="13"/>
        <v>0.998</v>
      </c>
      <c r="AD35" s="31">
        <f t="shared" si="13"/>
        <v>0.998</v>
      </c>
      <c r="AE35" s="31">
        <f t="shared" si="13"/>
        <v>0.998</v>
      </c>
      <c r="AF35" s="31">
        <f t="shared" si="13"/>
        <v>0.998</v>
      </c>
      <c r="AG35" s="31">
        <f t="shared" si="13"/>
        <v>0.998</v>
      </c>
      <c r="AH35" s="31">
        <f t="shared" si="13"/>
        <v>0.998</v>
      </c>
      <c r="AI35" s="31">
        <f t="shared" si="13"/>
        <v>0.998</v>
      </c>
      <c r="AJ35" s="31">
        <f t="shared" si="13"/>
        <v>0.998</v>
      </c>
      <c r="AK35" s="31">
        <f t="shared" si="13"/>
        <v>0.998</v>
      </c>
      <c r="AL35" s="31">
        <f t="shared" si="13"/>
        <v>0.998</v>
      </c>
      <c r="AM35" s="31">
        <f t="shared" si="13"/>
        <v>0.998</v>
      </c>
      <c r="AN35" s="31">
        <f t="shared" si="13"/>
        <v>0.998</v>
      </c>
      <c r="AO35" s="31">
        <f t="shared" si="13"/>
        <v>0.998</v>
      </c>
      <c r="AP35" s="31">
        <f t="shared" si="13"/>
        <v>0.998</v>
      </c>
      <c r="AQ35" s="31">
        <f t="shared" si="13"/>
        <v>0.998</v>
      </c>
      <c r="AR35" s="31">
        <f t="shared" si="13"/>
        <v>0.998</v>
      </c>
      <c r="AS35" s="31">
        <f t="shared" si="13"/>
        <v>0.998</v>
      </c>
      <c r="AT35" s="31">
        <f t="shared" si="13"/>
        <v>0.998</v>
      </c>
      <c r="AU35" s="31">
        <f t="shared" si="13"/>
        <v>0.998</v>
      </c>
      <c r="AV35" s="31">
        <f t="shared" si="13"/>
        <v>0.998</v>
      </c>
      <c r="AW35" s="31">
        <f t="shared" si="13"/>
        <v>0.998</v>
      </c>
      <c r="AX35" s="31">
        <f t="shared" si="13"/>
        <v>0.998</v>
      </c>
      <c r="AY35" s="31">
        <f t="shared" si="13"/>
        <v>0.998</v>
      </c>
      <c r="AZ35" s="31">
        <f t="shared" si="13"/>
        <v>0.998</v>
      </c>
      <c r="BA35" s="31">
        <f t="shared" si="13"/>
        <v>0.998</v>
      </c>
      <c r="BB35" s="31">
        <f t="shared" si="13"/>
        <v>0.998</v>
      </c>
      <c r="BC35" s="31">
        <f t="shared" si="13"/>
        <v>0.998</v>
      </c>
      <c r="BD35" s="31">
        <f t="shared" si="13"/>
        <v>0.998</v>
      </c>
      <c r="BE35" s="31">
        <f t="shared" si="13"/>
        <v>0.998</v>
      </c>
      <c r="BF35" s="31">
        <f t="shared" si="13"/>
        <v>0.998</v>
      </c>
      <c r="BG35" s="31">
        <f t="shared" si="13"/>
        <v>0.998</v>
      </c>
      <c r="BH35" s="31">
        <f t="shared" si="13"/>
        <v>0.998</v>
      </c>
      <c r="BI35" s="31">
        <f t="shared" si="13"/>
        <v>0.998</v>
      </c>
      <c r="BJ35" s="31">
        <f t="shared" si="13"/>
        <v>0.998</v>
      </c>
      <c r="BK35" s="31">
        <f t="shared" si="13"/>
        <v>0.998</v>
      </c>
      <c r="BL35" s="31">
        <f t="shared" si="13"/>
        <v>0.998</v>
      </c>
      <c r="BM35" s="31">
        <f t="shared" si="13"/>
        <v>0.998</v>
      </c>
      <c r="BN35" s="15"/>
    </row>
    <row r="36" spans="2:66" hidden="1" x14ac:dyDescent="0.3">
      <c r="B36" s="12"/>
      <c r="C36" s="13" t="s">
        <v>196</v>
      </c>
      <c r="D36" s="14"/>
      <c r="E36" s="14"/>
      <c r="F36" s="14"/>
      <c r="G36" s="14"/>
      <c r="H36" s="14"/>
      <c r="I36" s="14"/>
      <c r="J36" s="14"/>
      <c r="K36" s="14"/>
      <c r="L36" s="14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15"/>
    </row>
    <row r="37" spans="2:66" hidden="1" x14ac:dyDescent="0.3">
      <c r="B37" s="12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15"/>
    </row>
    <row r="38" spans="2:66" hidden="1" x14ac:dyDescent="0.3">
      <c r="B38" s="12"/>
      <c r="C38" s="14" t="s">
        <v>60</v>
      </c>
      <c r="D38" s="14" t="s">
        <v>31</v>
      </c>
      <c r="E38" s="126">
        <f t="shared" ref="E38:P38" si="14">E32</f>
        <v>4.0256741818182097E-2</v>
      </c>
      <c r="F38" s="126">
        <f t="shared" si="14"/>
        <v>4.1913170909091101E-2</v>
      </c>
      <c r="G38" s="126">
        <f t="shared" si="14"/>
        <v>4.3234389932309103E-2</v>
      </c>
      <c r="H38" s="126">
        <f t="shared" si="14"/>
        <v>4.7073943002432499E-2</v>
      </c>
      <c r="I38" s="126">
        <f t="shared" si="14"/>
        <v>4.6190000000000002E-2</v>
      </c>
      <c r="J38" s="126">
        <f t="shared" si="14"/>
        <v>4.6199999999999998E-2</v>
      </c>
      <c r="K38" s="126">
        <f t="shared" si="14"/>
        <v>4.5589999999999999E-2</v>
      </c>
      <c r="L38" s="126">
        <f t="shared" si="14"/>
        <v>6.4369999999999997E-2</v>
      </c>
      <c r="M38" s="126">
        <f t="shared" si="14"/>
        <v>6.7014000000000004E-2</v>
      </c>
      <c r="N38" s="126">
        <f t="shared" si="14"/>
        <v>6.2640000000000001E-2</v>
      </c>
      <c r="O38" s="126">
        <f t="shared" si="14"/>
        <v>6.3792000000000001E-2</v>
      </c>
      <c r="P38" s="126">
        <f t="shared" si="14"/>
        <v>6.4231999999999997E-2</v>
      </c>
      <c r="Q38" s="126">
        <f t="shared" ref="Q38:S39" si="15">Q31</f>
        <v>9.8969199999999993E-2</v>
      </c>
      <c r="R38" s="126">
        <f t="shared" si="15"/>
        <v>8.7373999999999993E-2</v>
      </c>
      <c r="S38" s="126">
        <f t="shared" si="15"/>
        <v>8.7373999999999993E-2</v>
      </c>
      <c r="T38" s="21">
        <v>8.7373999999999993E-2</v>
      </c>
      <c r="U38" s="21">
        <v>8.7373999999999993E-2</v>
      </c>
      <c r="V38" s="21">
        <v>8.7373999999999993E-2</v>
      </c>
      <c r="W38" s="21">
        <v>8.7373999999999993E-2</v>
      </c>
      <c r="X38" s="21">
        <v>8.7373999999999993E-2</v>
      </c>
      <c r="Y38" s="21">
        <v>8.7373999999999993E-2</v>
      </c>
      <c r="Z38" s="21">
        <v>8.7373999999999993E-2</v>
      </c>
      <c r="AA38" s="21">
        <v>8.7373999999999993E-2</v>
      </c>
      <c r="AB38" s="21">
        <v>8.7373999999999993E-2</v>
      </c>
      <c r="AC38" s="21">
        <v>8.7373999999999993E-2</v>
      </c>
      <c r="AD38" s="21">
        <v>8.7373999999999993E-2</v>
      </c>
      <c r="AE38" s="21">
        <v>8.7373999999999993E-2</v>
      </c>
      <c r="AF38" s="21">
        <v>8.7373999999999993E-2</v>
      </c>
      <c r="AG38" s="21">
        <v>8.7373999999999993E-2</v>
      </c>
      <c r="AH38" s="21">
        <v>8.7373999999999993E-2</v>
      </c>
      <c r="AI38" s="21">
        <v>8.7373999999999993E-2</v>
      </c>
      <c r="AJ38" s="21">
        <v>8.7373999999999993E-2</v>
      </c>
      <c r="AK38" s="21">
        <v>8.7373999999999993E-2</v>
      </c>
      <c r="AL38" s="21">
        <v>8.7373999999999993E-2</v>
      </c>
      <c r="AM38" s="21">
        <v>8.7373999999999993E-2</v>
      </c>
      <c r="AN38" s="21">
        <v>8.7373999999999993E-2</v>
      </c>
      <c r="AO38" s="21">
        <v>8.7373999999999993E-2</v>
      </c>
      <c r="AP38" s="21">
        <v>8.7373999999999993E-2</v>
      </c>
      <c r="AQ38" s="21">
        <v>8.7373999999999993E-2</v>
      </c>
      <c r="AR38" s="21">
        <v>8.7373999999999993E-2</v>
      </c>
      <c r="AS38" s="21">
        <v>8.7373999999999993E-2</v>
      </c>
      <c r="AT38" s="21">
        <v>8.7373999999999993E-2</v>
      </c>
      <c r="AU38" s="21">
        <v>8.7373999999999993E-2</v>
      </c>
      <c r="AV38" s="21">
        <v>8.7373999999999993E-2</v>
      </c>
      <c r="AW38" s="21">
        <v>8.7373999999999993E-2</v>
      </c>
      <c r="AX38" s="21">
        <v>8.7373999999999993E-2</v>
      </c>
      <c r="AY38" s="21">
        <v>8.7373999999999993E-2</v>
      </c>
      <c r="AZ38" s="21">
        <v>8.7373999999999993E-2</v>
      </c>
      <c r="BA38" s="21">
        <v>8.7373999999999993E-2</v>
      </c>
      <c r="BB38" s="21">
        <v>8.7373999999999993E-2</v>
      </c>
      <c r="BC38" s="21">
        <v>8.7373999999999993E-2</v>
      </c>
      <c r="BD38" s="21">
        <v>8.7373999999999993E-2</v>
      </c>
      <c r="BE38" s="21">
        <v>8.7373999999999993E-2</v>
      </c>
      <c r="BF38" s="21">
        <v>8.7373999999999993E-2</v>
      </c>
      <c r="BG38" s="21">
        <v>8.7373999999999993E-2</v>
      </c>
      <c r="BH38" s="21">
        <v>8.7373999999999993E-2</v>
      </c>
      <c r="BI38" s="21">
        <v>8.7373999999999993E-2</v>
      </c>
      <c r="BJ38" s="21">
        <v>8.7373999999999993E-2</v>
      </c>
      <c r="BK38" s="21">
        <v>8.7373999999999993E-2</v>
      </c>
      <c r="BL38" s="21">
        <v>8.7373999999999993E-2</v>
      </c>
      <c r="BM38" s="21">
        <v>8.7373999999999993E-2</v>
      </c>
      <c r="BN38" s="15"/>
    </row>
    <row r="39" spans="2:66" hidden="1" x14ac:dyDescent="0.3">
      <c r="B39" s="12"/>
      <c r="C39" s="14" t="s">
        <v>61</v>
      </c>
      <c r="D39" s="14" t="s">
        <v>32</v>
      </c>
      <c r="E39" s="126">
        <f t="shared" ref="E39:P39" si="16">E31</f>
        <v>4.7525076363636697E-2</v>
      </c>
      <c r="F39" s="126">
        <f t="shared" si="16"/>
        <v>5.1559556363636502E-2</v>
      </c>
      <c r="G39" s="126">
        <f t="shared" si="16"/>
        <v>5.5929246431327198E-2</v>
      </c>
      <c r="H39" s="126">
        <f t="shared" si="16"/>
        <v>5.7780602452112598E-2</v>
      </c>
      <c r="I39" s="126">
        <f t="shared" si="16"/>
        <v>5.3809999999999997E-2</v>
      </c>
      <c r="J39" s="126">
        <f t="shared" si="16"/>
        <v>6.3799999999999996E-2</v>
      </c>
      <c r="K39" s="126">
        <f t="shared" si="16"/>
        <v>5.1409999999999997E-2</v>
      </c>
      <c r="L39" s="126">
        <f t="shared" si="16"/>
        <v>8.949E-2</v>
      </c>
      <c r="M39" s="126">
        <f t="shared" si="16"/>
        <v>8.5986000000000007E-2</v>
      </c>
      <c r="N39" s="126">
        <f t="shared" si="16"/>
        <v>8.1360000000000002E-2</v>
      </c>
      <c r="O39" s="126">
        <f t="shared" si="16"/>
        <v>8.0208000000000002E-2</v>
      </c>
      <c r="P39" s="126">
        <f t="shared" si="16"/>
        <v>8.3767999999999995E-2</v>
      </c>
      <c r="Q39" s="126">
        <f t="shared" si="15"/>
        <v>6.7030800000000001E-2</v>
      </c>
      <c r="R39" s="126">
        <f t="shared" si="15"/>
        <v>7.0625999999999994E-2</v>
      </c>
      <c r="S39" s="126">
        <f t="shared" si="15"/>
        <v>7.0625999999999994E-2</v>
      </c>
      <c r="T39" s="21">
        <v>7.0625999999999994E-2</v>
      </c>
      <c r="U39" s="21">
        <v>7.0625999999999994E-2</v>
      </c>
      <c r="V39" s="21">
        <v>7.0625999999999994E-2</v>
      </c>
      <c r="W39" s="21">
        <v>7.0625999999999994E-2</v>
      </c>
      <c r="X39" s="21">
        <v>7.0625999999999994E-2</v>
      </c>
      <c r="Y39" s="21">
        <v>7.0625999999999994E-2</v>
      </c>
      <c r="Z39" s="21">
        <v>7.0625999999999994E-2</v>
      </c>
      <c r="AA39" s="21">
        <v>7.0625999999999994E-2</v>
      </c>
      <c r="AB39" s="21">
        <v>7.0625999999999994E-2</v>
      </c>
      <c r="AC39" s="21">
        <v>7.0625999999999994E-2</v>
      </c>
      <c r="AD39" s="21">
        <v>7.0625999999999994E-2</v>
      </c>
      <c r="AE39" s="21">
        <v>7.0625999999999994E-2</v>
      </c>
      <c r="AF39" s="21">
        <v>7.0625999999999994E-2</v>
      </c>
      <c r="AG39" s="21">
        <v>7.0625999999999994E-2</v>
      </c>
      <c r="AH39" s="21">
        <v>7.0625999999999994E-2</v>
      </c>
      <c r="AI39" s="21">
        <v>7.0625999999999994E-2</v>
      </c>
      <c r="AJ39" s="21">
        <v>7.0625999999999994E-2</v>
      </c>
      <c r="AK39" s="21">
        <v>7.0625999999999994E-2</v>
      </c>
      <c r="AL39" s="21">
        <v>7.0625999999999994E-2</v>
      </c>
      <c r="AM39" s="21">
        <v>7.0625999999999994E-2</v>
      </c>
      <c r="AN39" s="21">
        <v>7.0625999999999994E-2</v>
      </c>
      <c r="AO39" s="21">
        <v>7.0625999999999994E-2</v>
      </c>
      <c r="AP39" s="21">
        <v>7.0625999999999994E-2</v>
      </c>
      <c r="AQ39" s="21">
        <v>7.0625999999999994E-2</v>
      </c>
      <c r="AR39" s="21">
        <v>7.0625999999999994E-2</v>
      </c>
      <c r="AS39" s="21">
        <v>7.0625999999999994E-2</v>
      </c>
      <c r="AT39" s="21">
        <v>7.0625999999999994E-2</v>
      </c>
      <c r="AU39" s="21">
        <v>7.0625999999999994E-2</v>
      </c>
      <c r="AV39" s="21">
        <v>7.0625999999999994E-2</v>
      </c>
      <c r="AW39" s="21">
        <v>7.0625999999999994E-2</v>
      </c>
      <c r="AX39" s="21">
        <v>7.0625999999999994E-2</v>
      </c>
      <c r="AY39" s="21">
        <v>7.0625999999999994E-2</v>
      </c>
      <c r="AZ39" s="21">
        <v>7.0625999999999994E-2</v>
      </c>
      <c r="BA39" s="21">
        <v>7.0625999999999994E-2</v>
      </c>
      <c r="BB39" s="21">
        <v>7.0625999999999994E-2</v>
      </c>
      <c r="BC39" s="21">
        <v>7.0625999999999994E-2</v>
      </c>
      <c r="BD39" s="21">
        <v>7.0625999999999994E-2</v>
      </c>
      <c r="BE39" s="21">
        <v>7.0625999999999994E-2</v>
      </c>
      <c r="BF39" s="21">
        <v>7.0625999999999994E-2</v>
      </c>
      <c r="BG39" s="21">
        <v>7.0625999999999994E-2</v>
      </c>
      <c r="BH39" s="21">
        <v>7.0625999999999994E-2</v>
      </c>
      <c r="BI39" s="21">
        <v>7.0625999999999994E-2</v>
      </c>
      <c r="BJ39" s="21">
        <v>7.0625999999999994E-2</v>
      </c>
      <c r="BK39" s="21">
        <v>7.0625999999999994E-2</v>
      </c>
      <c r="BL39" s="21">
        <v>7.0625999999999994E-2</v>
      </c>
      <c r="BM39" s="21">
        <v>7.0625999999999994E-2</v>
      </c>
      <c r="BN39" s="15"/>
    </row>
    <row r="40" spans="2:66" hidden="1" x14ac:dyDescent="0.3">
      <c r="B40" s="12"/>
      <c r="C40" s="14" t="s">
        <v>62</v>
      </c>
      <c r="D40" s="14" t="s">
        <v>33</v>
      </c>
      <c r="E40" s="126">
        <f t="shared" ref="E40:L40" si="17">E33</f>
        <v>0.91221818181818115</v>
      </c>
      <c r="F40" s="126">
        <f t="shared" si="17"/>
        <v>0.9065272727272724</v>
      </c>
      <c r="G40" s="126">
        <f t="shared" si="17"/>
        <v>0.90083636363636366</v>
      </c>
      <c r="H40" s="126">
        <f t="shared" si="17"/>
        <v>0.89514545454545491</v>
      </c>
      <c r="I40" s="126">
        <f t="shared" si="17"/>
        <v>0.9</v>
      </c>
      <c r="J40" s="126">
        <f t="shared" si="17"/>
        <v>0.89</v>
      </c>
      <c r="K40" s="126">
        <f t="shared" si="17"/>
        <v>0.90300000000000002</v>
      </c>
      <c r="L40" s="126">
        <f t="shared" si="17"/>
        <v>0.84299999999999997</v>
      </c>
      <c r="M40" s="126">
        <f>M33</f>
        <v>0.84699999999999998</v>
      </c>
      <c r="N40" s="126">
        <f t="shared" ref="N40:S40" si="18">N33</f>
        <v>0.85599999999999998</v>
      </c>
      <c r="O40" s="126">
        <f t="shared" si="18"/>
        <v>0.85599999999999998</v>
      </c>
      <c r="P40" s="126">
        <f t="shared" si="18"/>
        <v>0.85</v>
      </c>
      <c r="Q40" s="126">
        <f t="shared" si="18"/>
        <v>0.83399999999999996</v>
      </c>
      <c r="R40" s="126">
        <f t="shared" si="18"/>
        <v>0.84199999999999997</v>
      </c>
      <c r="S40" s="126">
        <f t="shared" si="18"/>
        <v>0.84</v>
      </c>
      <c r="T40" s="21">
        <v>0.84</v>
      </c>
      <c r="U40" s="21">
        <v>0.84</v>
      </c>
      <c r="V40" s="21">
        <v>0.84</v>
      </c>
      <c r="W40" s="21">
        <v>0.84</v>
      </c>
      <c r="X40" s="21">
        <v>0.84</v>
      </c>
      <c r="Y40" s="21">
        <v>0.84</v>
      </c>
      <c r="Z40" s="21">
        <v>0.84</v>
      </c>
      <c r="AA40" s="21">
        <v>0.84</v>
      </c>
      <c r="AB40" s="21">
        <v>0.84</v>
      </c>
      <c r="AC40" s="21">
        <v>0.84</v>
      </c>
      <c r="AD40" s="21">
        <v>0.84</v>
      </c>
      <c r="AE40" s="21">
        <v>0.84</v>
      </c>
      <c r="AF40" s="21">
        <v>0.84</v>
      </c>
      <c r="AG40" s="21">
        <v>0.84</v>
      </c>
      <c r="AH40" s="21">
        <v>0.84</v>
      </c>
      <c r="AI40" s="21">
        <v>0.84</v>
      </c>
      <c r="AJ40" s="21">
        <v>0.84</v>
      </c>
      <c r="AK40" s="21">
        <v>0.84</v>
      </c>
      <c r="AL40" s="21">
        <v>0.84</v>
      </c>
      <c r="AM40" s="21">
        <v>0.84</v>
      </c>
      <c r="AN40" s="21">
        <v>0.84</v>
      </c>
      <c r="AO40" s="21">
        <v>0.84</v>
      </c>
      <c r="AP40" s="21">
        <v>0.84</v>
      </c>
      <c r="AQ40" s="21">
        <v>0.84</v>
      </c>
      <c r="AR40" s="21">
        <v>0.84</v>
      </c>
      <c r="AS40" s="21">
        <v>0.84</v>
      </c>
      <c r="AT40" s="21">
        <v>0.84</v>
      </c>
      <c r="AU40" s="21">
        <v>0.84</v>
      </c>
      <c r="AV40" s="21">
        <v>0.84</v>
      </c>
      <c r="AW40" s="21">
        <v>0.84</v>
      </c>
      <c r="AX40" s="21">
        <v>0.84</v>
      </c>
      <c r="AY40" s="21">
        <v>0.84</v>
      </c>
      <c r="AZ40" s="21">
        <v>0.84</v>
      </c>
      <c r="BA40" s="21">
        <v>0.84</v>
      </c>
      <c r="BB40" s="21">
        <v>0.84</v>
      </c>
      <c r="BC40" s="21">
        <v>0.84</v>
      </c>
      <c r="BD40" s="21">
        <v>0.84</v>
      </c>
      <c r="BE40" s="21">
        <v>0.84</v>
      </c>
      <c r="BF40" s="21">
        <v>0.84</v>
      </c>
      <c r="BG40" s="21">
        <v>0.84</v>
      </c>
      <c r="BH40" s="21">
        <v>0.84</v>
      </c>
      <c r="BI40" s="21">
        <v>0.84</v>
      </c>
      <c r="BJ40" s="21">
        <v>0.84</v>
      </c>
      <c r="BK40" s="21">
        <v>0.84</v>
      </c>
      <c r="BL40" s="21">
        <v>0.84</v>
      </c>
      <c r="BM40" s="21">
        <v>0.84</v>
      </c>
      <c r="BN40" s="15"/>
    </row>
    <row r="41" spans="2:66" hidden="1" x14ac:dyDescent="0.3">
      <c r="B41" s="12"/>
      <c r="C41" s="14"/>
      <c r="D41" s="14"/>
      <c r="E41" s="31">
        <f t="shared" ref="E41:L41" si="19">SUM(E38:E40)</f>
        <v>1</v>
      </c>
      <c r="F41" s="31">
        <f t="shared" si="19"/>
        <v>1</v>
      </c>
      <c r="G41" s="31">
        <f t="shared" si="19"/>
        <v>1</v>
      </c>
      <c r="H41" s="31">
        <f t="shared" si="19"/>
        <v>1</v>
      </c>
      <c r="I41" s="31">
        <f t="shared" si="19"/>
        <v>1</v>
      </c>
      <c r="J41" s="31">
        <f t="shared" si="19"/>
        <v>1</v>
      </c>
      <c r="K41" s="31">
        <f t="shared" si="19"/>
        <v>1</v>
      </c>
      <c r="L41" s="31">
        <f t="shared" si="19"/>
        <v>0.99685999999999997</v>
      </c>
      <c r="M41" s="31">
        <f>SUM(M38:M40)</f>
        <v>1</v>
      </c>
      <c r="N41" s="31">
        <f t="shared" ref="N41:BM41" si="20">SUM(N38:N40)</f>
        <v>1</v>
      </c>
      <c r="O41" s="31">
        <f t="shared" si="20"/>
        <v>1</v>
      </c>
      <c r="P41" s="31">
        <f t="shared" si="20"/>
        <v>0.998</v>
      </c>
      <c r="Q41" s="31">
        <f t="shared" si="20"/>
        <v>1</v>
      </c>
      <c r="R41" s="31">
        <f t="shared" si="20"/>
        <v>1</v>
      </c>
      <c r="S41" s="31">
        <f t="shared" si="20"/>
        <v>0.998</v>
      </c>
      <c r="T41" s="31">
        <f t="shared" si="20"/>
        <v>0.998</v>
      </c>
      <c r="U41" s="31">
        <f t="shared" si="20"/>
        <v>0.998</v>
      </c>
      <c r="V41" s="31">
        <f t="shared" si="20"/>
        <v>0.998</v>
      </c>
      <c r="W41" s="31">
        <f t="shared" si="20"/>
        <v>0.998</v>
      </c>
      <c r="X41" s="31">
        <f t="shared" si="20"/>
        <v>0.998</v>
      </c>
      <c r="Y41" s="31">
        <f t="shared" si="20"/>
        <v>0.998</v>
      </c>
      <c r="Z41" s="31">
        <f t="shared" si="20"/>
        <v>0.998</v>
      </c>
      <c r="AA41" s="31">
        <f t="shared" si="20"/>
        <v>0.998</v>
      </c>
      <c r="AB41" s="31">
        <f t="shared" si="20"/>
        <v>0.998</v>
      </c>
      <c r="AC41" s="31">
        <f t="shared" si="20"/>
        <v>0.998</v>
      </c>
      <c r="AD41" s="31">
        <f t="shared" si="20"/>
        <v>0.998</v>
      </c>
      <c r="AE41" s="31">
        <f t="shared" si="20"/>
        <v>0.998</v>
      </c>
      <c r="AF41" s="31">
        <f t="shared" si="20"/>
        <v>0.998</v>
      </c>
      <c r="AG41" s="31">
        <f t="shared" si="20"/>
        <v>0.998</v>
      </c>
      <c r="AH41" s="31">
        <f t="shared" si="20"/>
        <v>0.998</v>
      </c>
      <c r="AI41" s="31">
        <f t="shared" si="20"/>
        <v>0.998</v>
      </c>
      <c r="AJ41" s="31">
        <f t="shared" si="20"/>
        <v>0.998</v>
      </c>
      <c r="AK41" s="31">
        <f t="shared" si="20"/>
        <v>0.998</v>
      </c>
      <c r="AL41" s="31">
        <f t="shared" si="20"/>
        <v>0.998</v>
      </c>
      <c r="AM41" s="31">
        <f t="shared" si="20"/>
        <v>0.998</v>
      </c>
      <c r="AN41" s="31">
        <f t="shared" si="20"/>
        <v>0.998</v>
      </c>
      <c r="AO41" s="31">
        <f t="shared" si="20"/>
        <v>0.998</v>
      </c>
      <c r="AP41" s="31">
        <f t="shared" si="20"/>
        <v>0.998</v>
      </c>
      <c r="AQ41" s="31">
        <f t="shared" si="20"/>
        <v>0.998</v>
      </c>
      <c r="AR41" s="31">
        <f t="shared" si="20"/>
        <v>0.998</v>
      </c>
      <c r="AS41" s="31">
        <f t="shared" si="20"/>
        <v>0.998</v>
      </c>
      <c r="AT41" s="31">
        <f t="shared" si="20"/>
        <v>0.998</v>
      </c>
      <c r="AU41" s="31">
        <f t="shared" si="20"/>
        <v>0.998</v>
      </c>
      <c r="AV41" s="31">
        <f t="shared" si="20"/>
        <v>0.998</v>
      </c>
      <c r="AW41" s="31">
        <f t="shared" si="20"/>
        <v>0.998</v>
      </c>
      <c r="AX41" s="31">
        <f t="shared" si="20"/>
        <v>0.998</v>
      </c>
      <c r="AY41" s="31">
        <f t="shared" si="20"/>
        <v>0.998</v>
      </c>
      <c r="AZ41" s="31">
        <f t="shared" si="20"/>
        <v>0.998</v>
      </c>
      <c r="BA41" s="31">
        <f t="shared" si="20"/>
        <v>0.998</v>
      </c>
      <c r="BB41" s="31">
        <f t="shared" si="20"/>
        <v>0.998</v>
      </c>
      <c r="BC41" s="31">
        <f t="shared" si="20"/>
        <v>0.998</v>
      </c>
      <c r="BD41" s="31">
        <f t="shared" si="20"/>
        <v>0.998</v>
      </c>
      <c r="BE41" s="31">
        <f t="shared" si="20"/>
        <v>0.998</v>
      </c>
      <c r="BF41" s="31">
        <f t="shared" si="20"/>
        <v>0.998</v>
      </c>
      <c r="BG41" s="31">
        <f t="shared" si="20"/>
        <v>0.998</v>
      </c>
      <c r="BH41" s="31">
        <f t="shared" si="20"/>
        <v>0.998</v>
      </c>
      <c r="BI41" s="31">
        <f t="shared" si="20"/>
        <v>0.998</v>
      </c>
      <c r="BJ41" s="31">
        <f t="shared" si="20"/>
        <v>0.998</v>
      </c>
      <c r="BK41" s="31">
        <f t="shared" si="20"/>
        <v>0.998</v>
      </c>
      <c r="BL41" s="31">
        <f t="shared" si="20"/>
        <v>0.998</v>
      </c>
      <c r="BM41" s="31">
        <f t="shared" si="20"/>
        <v>0.998</v>
      </c>
      <c r="BN41" s="15"/>
    </row>
    <row r="42" spans="2:66" ht="15" hidden="1" thickBot="1" x14ac:dyDescent="0.35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8"/>
    </row>
    <row r="43" spans="2:66" hidden="1" x14ac:dyDescent="0.3">
      <c r="D43" s="135" t="s">
        <v>202</v>
      </c>
    </row>
    <row r="44" spans="2:66" hidden="1" x14ac:dyDescent="0.3">
      <c r="D44" s="14" t="s">
        <v>20</v>
      </c>
      <c r="E44">
        <v>5.4999999999999997E-3</v>
      </c>
      <c r="F44">
        <v>6.4000000000000003E-3</v>
      </c>
      <c r="G44">
        <v>7.3000000000000001E-3</v>
      </c>
      <c r="H44">
        <v>2.2200000000000001E-2</v>
      </c>
      <c r="I44">
        <v>3.7199999999999997E-2</v>
      </c>
      <c r="J44">
        <v>3.2199999999999999E-2</v>
      </c>
      <c r="K44">
        <v>2.7199999999999998E-2</v>
      </c>
      <c r="L44">
        <v>3.0499999999999999E-2</v>
      </c>
      <c r="M44">
        <v>3.3799999999999997E-2</v>
      </c>
      <c r="N44">
        <v>3.5299999999999998E-2</v>
      </c>
      <c r="O44">
        <v>3.6799999999999999E-2</v>
      </c>
      <c r="P44">
        <v>3.85E-2</v>
      </c>
      <c r="Q44">
        <v>3.3700000000000001E-2</v>
      </c>
      <c r="R44">
        <v>3.56E-2</v>
      </c>
      <c r="S44">
        <v>3.7600000000000001E-2</v>
      </c>
      <c r="T44">
        <v>3.9600000000000003E-2</v>
      </c>
      <c r="U44">
        <v>4.1700000000000001E-2</v>
      </c>
      <c r="V44">
        <v>4.3700000000000003E-2</v>
      </c>
      <c r="W44">
        <v>4.5900000000000003E-2</v>
      </c>
      <c r="X44">
        <v>4.8000000000000001E-2</v>
      </c>
      <c r="Y44">
        <v>5.0200000000000002E-2</v>
      </c>
      <c r="Z44">
        <v>5.1200000000000002E-2</v>
      </c>
      <c r="AA44">
        <v>5.21E-2</v>
      </c>
      <c r="AB44">
        <v>5.3100000000000001E-2</v>
      </c>
      <c r="AC44">
        <v>5.4100000000000002E-2</v>
      </c>
      <c r="AD44">
        <v>5.5100000000000003E-2</v>
      </c>
    </row>
    <row r="45" spans="2:66" hidden="1" x14ac:dyDescent="0.3">
      <c r="D45" s="14" t="s">
        <v>203</v>
      </c>
      <c r="E45">
        <v>1.2472000000000001</v>
      </c>
      <c r="F45">
        <v>1.3540000000000001</v>
      </c>
      <c r="G45">
        <v>1.4481999999999999</v>
      </c>
      <c r="H45">
        <v>1.5746</v>
      </c>
      <c r="I45">
        <v>1.7108000000000001</v>
      </c>
      <c r="J45">
        <v>1.9966999999999999</v>
      </c>
      <c r="K45">
        <v>2.218</v>
      </c>
      <c r="L45">
        <v>2.3477000000000001</v>
      </c>
      <c r="M45">
        <v>2.4618000000000002</v>
      </c>
      <c r="N45">
        <v>2.4777999999999998</v>
      </c>
      <c r="O45">
        <v>2.4921000000000002</v>
      </c>
      <c r="P45">
        <v>2.6398999999999999</v>
      </c>
      <c r="Q45">
        <v>2.7492000000000001</v>
      </c>
      <c r="R45">
        <v>2.9081999999999999</v>
      </c>
      <c r="S45">
        <v>3.0701000000000001</v>
      </c>
      <c r="T45">
        <v>3.2347999999999999</v>
      </c>
      <c r="U45">
        <v>3.4022000000000001</v>
      </c>
      <c r="V45">
        <v>3.5720999999999998</v>
      </c>
      <c r="W45">
        <v>3.7446000000000002</v>
      </c>
      <c r="X45">
        <v>3.9197000000000002</v>
      </c>
      <c r="Y45">
        <v>4.0970000000000004</v>
      </c>
      <c r="Z45">
        <v>4.1769999999999996</v>
      </c>
      <c r="AA45">
        <v>4.2571000000000003</v>
      </c>
      <c r="AB45">
        <v>4.3372000000000002</v>
      </c>
      <c r="AC45">
        <v>4.4173</v>
      </c>
      <c r="AD45">
        <v>4.4973000000000001</v>
      </c>
    </row>
    <row r="46" spans="2:66" hidden="1" x14ac:dyDescent="0.3">
      <c r="D46" s="14" t="s">
        <v>204</v>
      </c>
      <c r="E46">
        <v>1.1267</v>
      </c>
      <c r="F46">
        <v>1.1059000000000001</v>
      </c>
      <c r="G46">
        <v>1.0875999999999999</v>
      </c>
      <c r="H46">
        <v>1.3071999999999999</v>
      </c>
      <c r="I46">
        <v>1.5439000000000001</v>
      </c>
      <c r="J46">
        <v>1.0758000000000001</v>
      </c>
      <c r="K46">
        <v>0.71330000000000005</v>
      </c>
      <c r="L46">
        <v>0.57530000000000003</v>
      </c>
      <c r="M46">
        <v>0.45379999999999998</v>
      </c>
      <c r="N46">
        <v>0.44469999999999998</v>
      </c>
      <c r="O46">
        <v>0.43659999999999999</v>
      </c>
      <c r="P46">
        <v>0.3745</v>
      </c>
      <c r="Q46">
        <v>0.38469999999999999</v>
      </c>
      <c r="R46">
        <v>0.40689999999999998</v>
      </c>
      <c r="S46">
        <v>0.42959999999999998</v>
      </c>
      <c r="T46">
        <v>0.4526</v>
      </c>
      <c r="U46">
        <v>0.47599999999999998</v>
      </c>
      <c r="V46">
        <v>0.49980000000000002</v>
      </c>
      <c r="W46">
        <v>0.52390000000000003</v>
      </c>
      <c r="X46">
        <v>0.5484</v>
      </c>
      <c r="Y46">
        <v>0.57330000000000003</v>
      </c>
      <c r="Z46">
        <v>0.58440000000000003</v>
      </c>
      <c r="AA46">
        <v>0.59570000000000001</v>
      </c>
      <c r="AB46">
        <v>0.6069</v>
      </c>
      <c r="AC46">
        <v>0.61809999999999998</v>
      </c>
      <c r="AD46">
        <v>0.62929999999999997</v>
      </c>
    </row>
    <row r="47" spans="2:66" ht="15" hidden="1" thickBot="1" x14ac:dyDescent="0.35">
      <c r="D47" s="14" t="s">
        <v>148</v>
      </c>
      <c r="E47" s="62">
        <v>9.1000000000000004E-3</v>
      </c>
      <c r="F47" s="62">
        <v>9.7000000000000003E-3</v>
      </c>
      <c r="G47" s="62">
        <v>1.04E-2</v>
      </c>
      <c r="H47" s="62">
        <v>1.0800000000000001E-2</v>
      </c>
      <c r="I47" s="62">
        <v>1.1299999999999999E-2</v>
      </c>
      <c r="J47" s="62">
        <v>1.12E-2</v>
      </c>
      <c r="K47" s="62">
        <v>1.12E-2</v>
      </c>
      <c r="L47" s="62">
        <v>1.14E-2</v>
      </c>
      <c r="M47" s="62">
        <v>1.1599999999999999E-2</v>
      </c>
      <c r="N47" s="62">
        <v>1.5100000000000001E-2</v>
      </c>
      <c r="O47" s="62">
        <v>1.9300000000000001E-2</v>
      </c>
      <c r="P47" s="62">
        <v>9.1000000000000004E-3</v>
      </c>
      <c r="Q47" s="62">
        <v>1.37E-2</v>
      </c>
      <c r="R47" s="132">
        <v>1.4492477908962647E-2</v>
      </c>
      <c r="S47" s="132">
        <v>1.529945236504047E-2</v>
      </c>
      <c r="T47" s="132">
        <v>1.6119906066681518E-2</v>
      </c>
      <c r="U47" s="132">
        <v>1.6954093339273776E-2</v>
      </c>
      <c r="V47" s="132">
        <v>1.7800996881265314E-2</v>
      </c>
      <c r="W47" s="132">
        <v>1.8660616692656125E-2</v>
      </c>
      <c r="X47" s="132">
        <v>1.9532952773446202E-2</v>
      </c>
      <c r="Y47" s="132">
        <v>2.0416479171307639E-2</v>
      </c>
      <c r="Z47" s="132">
        <v>2.0815261379668815E-2</v>
      </c>
      <c r="AA47" s="132">
        <v>2.1214552238805969E-2</v>
      </c>
      <c r="AB47" s="132">
        <v>2.1613588772555134E-2</v>
      </c>
      <c r="AC47" s="132">
        <v>2.2012625306304302E-2</v>
      </c>
      <c r="AD47" s="132">
        <v>2.2411407514665475E-2</v>
      </c>
      <c r="AE47" s="132">
        <v>2.2411407514665475E-2</v>
      </c>
      <c r="AF47" s="132">
        <v>2.2411407514665499E-2</v>
      </c>
      <c r="AG47" s="132">
        <v>2.2411407514665499E-2</v>
      </c>
      <c r="AH47" s="132">
        <v>2.2411407514665499E-2</v>
      </c>
      <c r="AI47" s="132">
        <v>2.2411407514665499E-2</v>
      </c>
      <c r="AJ47" s="132">
        <v>2.2411407514665499E-2</v>
      </c>
      <c r="AK47" s="132">
        <v>2.2411407514665499E-2</v>
      </c>
      <c r="AL47" s="132">
        <v>2.2411407514665499E-2</v>
      </c>
      <c r="AM47" s="132">
        <v>2.2411407514665499E-2</v>
      </c>
      <c r="AN47" s="132">
        <v>2.2411407514665499E-2</v>
      </c>
      <c r="AO47" s="132">
        <v>2.2411407514665499E-2</v>
      </c>
      <c r="AP47" s="132">
        <v>2.2411407514665499E-2</v>
      </c>
      <c r="AQ47" s="132">
        <v>2.2411407514665499E-2</v>
      </c>
      <c r="AR47" s="132">
        <v>2.2411407514665499E-2</v>
      </c>
      <c r="AS47" s="132">
        <v>2.2411407514665499E-2</v>
      </c>
      <c r="AT47" s="132">
        <v>2.2411407514665499E-2</v>
      </c>
      <c r="AU47" s="132">
        <v>2.2411407514665499E-2</v>
      </c>
      <c r="AV47" s="132">
        <v>2.2411407514665499E-2</v>
      </c>
      <c r="AW47" s="132">
        <v>2.2411407514665499E-2</v>
      </c>
      <c r="AX47" s="132">
        <v>2.2411407514665499E-2</v>
      </c>
      <c r="AY47" s="132">
        <v>2.2411407514665499E-2</v>
      </c>
      <c r="AZ47" s="132">
        <v>2.2411407514665499E-2</v>
      </c>
      <c r="BA47" s="132">
        <v>2.2411407514665499E-2</v>
      </c>
      <c r="BB47" s="132">
        <v>2.2411407514665499E-2</v>
      </c>
      <c r="BC47" s="132">
        <v>2.2411407514665499E-2</v>
      </c>
      <c r="BD47" s="132">
        <v>2.2411407514665499E-2</v>
      </c>
      <c r="BE47" s="132">
        <v>2.2411407514665499E-2</v>
      </c>
      <c r="BF47" s="132">
        <v>2.2411407514665499E-2</v>
      </c>
      <c r="BG47" s="132">
        <v>2.2411407514665499E-2</v>
      </c>
      <c r="BH47" s="132">
        <v>2.2411407514665499E-2</v>
      </c>
      <c r="BI47" s="132">
        <v>2.2411407514665499E-2</v>
      </c>
      <c r="BJ47" s="132">
        <v>2.2411407514665499E-2</v>
      </c>
      <c r="BK47" s="132">
        <v>2.2411407514665499E-2</v>
      </c>
      <c r="BL47" s="132">
        <v>2.2411407514665499E-2</v>
      </c>
      <c r="BM47" s="132">
        <v>2.2411407514665499E-2</v>
      </c>
    </row>
    <row r="48" spans="2:66" hidden="1" x14ac:dyDescent="0.3">
      <c r="B48" s="9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1"/>
    </row>
    <row r="49" spans="2:66" hidden="1" x14ac:dyDescent="0.3">
      <c r="B49" s="12"/>
      <c r="C49" s="14"/>
      <c r="D49" s="13" t="s">
        <v>83</v>
      </c>
      <c r="E49" s="13"/>
      <c r="F49" s="13"/>
      <c r="G49" s="13"/>
      <c r="H49" s="13"/>
      <c r="I49" s="13"/>
      <c r="J49" s="13"/>
      <c r="K49" s="13"/>
      <c r="L49" s="13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</row>
    <row r="50" spans="2:66" hidden="1" x14ac:dyDescent="0.3">
      <c r="B50" s="12"/>
      <c r="C50" s="14"/>
      <c r="D50" s="13"/>
      <c r="E50" s="13"/>
      <c r="F50" s="13"/>
      <c r="G50" s="13"/>
      <c r="H50" s="13"/>
      <c r="I50" s="13"/>
      <c r="J50" s="13"/>
      <c r="K50" s="13"/>
      <c r="L50" s="13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</row>
    <row r="51" spans="2:66" hidden="1" x14ac:dyDescent="0.3">
      <c r="B51" s="12"/>
      <c r="C51" s="13" t="s">
        <v>69</v>
      </c>
      <c r="D51" s="24" t="s">
        <v>80</v>
      </c>
      <c r="E51" s="24"/>
      <c r="F51" s="24"/>
      <c r="G51" s="24"/>
      <c r="H51" s="24"/>
      <c r="I51" s="24"/>
      <c r="J51" s="24"/>
      <c r="K51" s="24"/>
      <c r="L51" s="2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</row>
    <row r="52" spans="2:66" hidden="1" x14ac:dyDescent="0.3">
      <c r="B52" s="12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4"/>
      <c r="BK52" s="14"/>
      <c r="BL52" s="14"/>
      <c r="BM52" s="14"/>
      <c r="BN52" s="15"/>
    </row>
    <row r="53" spans="2:66" x14ac:dyDescent="0.3">
      <c r="B53" s="12"/>
      <c r="C53" s="13" t="s">
        <v>195</v>
      </c>
      <c r="D53" s="13"/>
      <c r="E53" s="13"/>
      <c r="F53" s="13"/>
      <c r="G53" s="13"/>
      <c r="H53" s="13"/>
      <c r="I53" s="13"/>
      <c r="J53" s="13"/>
      <c r="K53" s="13"/>
      <c r="L53" s="13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4"/>
      <c r="BK53" s="14"/>
      <c r="BL53" s="14"/>
      <c r="BM53" s="14"/>
      <c r="BN53" s="15"/>
    </row>
    <row r="54" spans="2:66" x14ac:dyDescent="0.3">
      <c r="B54" s="12"/>
      <c r="C54" s="39" t="s">
        <v>56</v>
      </c>
      <c r="D54" s="14" t="s">
        <v>19</v>
      </c>
      <c r="E54" s="66">
        <f t="shared" ref="E54:AJ54" si="21">E9*$E$83</f>
        <v>1.6787458767841075</v>
      </c>
      <c r="F54" s="66">
        <f t="shared" si="21"/>
        <v>1.678745876784107</v>
      </c>
      <c r="G54" s="66">
        <f t="shared" si="21"/>
        <v>1.6787458767841079</v>
      </c>
      <c r="H54" s="66">
        <f t="shared" si="21"/>
        <v>1.6787458767841079</v>
      </c>
      <c r="I54" s="66">
        <f t="shared" si="21"/>
        <v>1.6787458767841079</v>
      </c>
      <c r="J54" s="66">
        <f t="shared" si="21"/>
        <v>1.6748300512729848</v>
      </c>
      <c r="K54" s="66">
        <f t="shared" si="21"/>
        <v>1.6489170617356428</v>
      </c>
      <c r="L54" s="66">
        <f t="shared" si="21"/>
        <v>1.6239007227699038</v>
      </c>
      <c r="M54" s="66">
        <f t="shared" si="21"/>
        <v>1.6272890093237595</v>
      </c>
      <c r="N54" s="66">
        <f t="shared" si="21"/>
        <v>1.6273693490479437</v>
      </c>
      <c r="O54" s="66">
        <f t="shared" si="21"/>
        <v>1.6272890093237595</v>
      </c>
      <c r="P54" s="66">
        <f t="shared" si="21"/>
        <v>1.5646932820425483</v>
      </c>
      <c r="Q54" s="66">
        <f t="shared" si="21"/>
        <v>1.4403253732144286</v>
      </c>
      <c r="R54" s="66">
        <f t="shared" si="21"/>
        <v>1.3676517840321041</v>
      </c>
      <c r="S54" s="66">
        <f t="shared" si="21"/>
        <v>1.2988495625324727</v>
      </c>
      <c r="T54" s="66">
        <f t="shared" si="21"/>
        <v>1.2331518416049412</v>
      </c>
      <c r="U54" s="66">
        <f t="shared" si="21"/>
        <v>1.1700422545053861</v>
      </c>
      <c r="V54" s="66">
        <f t="shared" si="21"/>
        <v>1.1095408231262296</v>
      </c>
      <c r="W54" s="66">
        <f t="shared" si="21"/>
        <v>1.0511628285440313</v>
      </c>
      <c r="X54" s="66">
        <f t="shared" si="21"/>
        <v>0.99481422362081029</v>
      </c>
      <c r="Y54" s="66">
        <f t="shared" si="21"/>
        <v>0.94044092321246087</v>
      </c>
      <c r="Z54" s="66">
        <f t="shared" si="21"/>
        <v>1.4780509306530398</v>
      </c>
      <c r="AA54" s="66">
        <f t="shared" si="21"/>
        <v>1.4701510987314219</v>
      </c>
      <c r="AB54" s="66">
        <f t="shared" si="21"/>
        <v>1.4626411557899628</v>
      </c>
      <c r="AC54" s="66">
        <f t="shared" si="21"/>
        <v>1.4554585003398122</v>
      </c>
      <c r="AD54" s="66">
        <f t="shared" si="21"/>
        <v>1.4485999694480862</v>
      </c>
      <c r="AE54" s="66">
        <f t="shared" si="21"/>
        <v>1.4487651176548717</v>
      </c>
      <c r="AF54" s="66">
        <f t="shared" si="21"/>
        <v>1.4489252329997566</v>
      </c>
      <c r="AG54" s="66">
        <f t="shared" si="21"/>
        <v>1.4490802843122443</v>
      </c>
      <c r="AH54" s="66">
        <f t="shared" si="21"/>
        <v>1.4492302438976001</v>
      </c>
      <c r="AI54" s="66">
        <f t="shared" si="21"/>
        <v>1.4493751897241081</v>
      </c>
      <c r="AJ54" s="66">
        <f t="shared" si="21"/>
        <v>1.4495151705995952</v>
      </c>
      <c r="AK54" s="66">
        <f t="shared" ref="AK54:BM54" si="22">AK9*$E$83</f>
        <v>1.4496502447382926</v>
      </c>
      <c r="AL54" s="66">
        <f t="shared" si="22"/>
        <v>1.4497805082120196</v>
      </c>
      <c r="AM54" s="66">
        <f t="shared" si="22"/>
        <v>1.4499060617062798</v>
      </c>
      <c r="AN54" s="66">
        <f t="shared" si="22"/>
        <v>1.4500270124503161</v>
      </c>
      <c r="AO54" s="66">
        <f t="shared" si="22"/>
        <v>1.4501434750698916</v>
      </c>
      <c r="AP54" s="66">
        <f t="shared" si="22"/>
        <v>1.4502555611577419</v>
      </c>
      <c r="AQ54" s="66">
        <f t="shared" si="22"/>
        <v>1.4503633818328086</v>
      </c>
      <c r="AR54" s="66">
        <f t="shared" si="22"/>
        <v>1.4504670540125801</v>
      </c>
      <c r="AS54" s="66">
        <f t="shared" si="22"/>
        <v>1.4505691832315781</v>
      </c>
      <c r="AT54" s="66">
        <f t="shared" si="22"/>
        <v>1.4506940902550716</v>
      </c>
      <c r="AU54" s="66">
        <f t="shared" si="22"/>
        <v>1.4508127239565629</v>
      </c>
      <c r="AV54" s="66">
        <f t="shared" si="22"/>
        <v>1.4509252877260226</v>
      </c>
      <c r="AW54" s="66">
        <f t="shared" si="22"/>
        <v>1.4510319730284627</v>
      </c>
      <c r="AX54" s="66">
        <f t="shared" si="22"/>
        <v>1.451132959943535</v>
      </c>
      <c r="AY54" s="66">
        <f t="shared" si="22"/>
        <v>1.4512284176694548</v>
      </c>
      <c r="AZ54" s="66">
        <f t="shared" si="22"/>
        <v>1.4513185049932136</v>
      </c>
      <c r="BA54" s="66">
        <f t="shared" si="22"/>
        <v>1.4514033707289038</v>
      </c>
      <c r="BB54" s="66">
        <f t="shared" si="22"/>
        <v>1.4514831541258419</v>
      </c>
      <c r="BC54" s="66">
        <f t="shared" si="22"/>
        <v>1.4515579852480507</v>
      </c>
      <c r="BD54" s="66">
        <f t="shared" si="22"/>
        <v>1.4516279853265464</v>
      </c>
      <c r="BE54" s="66">
        <f t="shared" si="22"/>
        <v>1.4516932670857594</v>
      </c>
      <c r="BF54" s="66">
        <f t="shared" si="22"/>
        <v>1.4517539350453179</v>
      </c>
      <c r="BG54" s="66">
        <f t="shared" si="22"/>
        <v>1.4518100857983229</v>
      </c>
      <c r="BH54" s="66">
        <f t="shared" si="22"/>
        <v>1.4518618082671491</v>
      </c>
      <c r="BI54" s="66">
        <f t="shared" si="22"/>
        <v>1.4519091839377163</v>
      </c>
      <c r="BJ54" s="66">
        <f t="shared" si="22"/>
        <v>1.4519522870730983</v>
      </c>
      <c r="BK54" s="66">
        <f t="shared" si="22"/>
        <v>1.4519911849072498</v>
      </c>
      <c r="BL54" s="66">
        <f t="shared" si="22"/>
        <v>1.4520259378195539</v>
      </c>
      <c r="BM54" s="66">
        <f t="shared" si="22"/>
        <v>1.4520565994908312</v>
      </c>
      <c r="BN54" s="15"/>
    </row>
    <row r="55" spans="2:66" x14ac:dyDescent="0.3">
      <c r="B55" s="12"/>
      <c r="C55" s="14" t="s">
        <v>141</v>
      </c>
      <c r="D55" s="14" t="s">
        <v>142</v>
      </c>
      <c r="E55" s="66">
        <f t="shared" ref="E55:AJ55" si="23">E10*$E$83</f>
        <v>0</v>
      </c>
      <c r="F55" s="66">
        <f t="shared" si="23"/>
        <v>0</v>
      </c>
      <c r="G55" s="66">
        <f t="shared" si="23"/>
        <v>0</v>
      </c>
      <c r="H55" s="66">
        <f t="shared" si="23"/>
        <v>0</v>
      </c>
      <c r="I55" s="66">
        <f t="shared" si="23"/>
        <v>0</v>
      </c>
      <c r="J55" s="66">
        <f t="shared" si="23"/>
        <v>0</v>
      </c>
      <c r="K55" s="66">
        <f t="shared" si="23"/>
        <v>0</v>
      </c>
      <c r="L55" s="66">
        <f t="shared" si="23"/>
        <v>0</v>
      </c>
      <c r="M55" s="66">
        <f t="shared" si="23"/>
        <v>0</v>
      </c>
      <c r="N55" s="66">
        <f t="shared" si="23"/>
        <v>0</v>
      </c>
      <c r="O55" s="66">
        <f t="shared" si="23"/>
        <v>0</v>
      </c>
      <c r="P55" s="66">
        <f t="shared" si="23"/>
        <v>0</v>
      </c>
      <c r="Q55" s="66">
        <f t="shared" si="23"/>
        <v>0</v>
      </c>
      <c r="R55" s="66">
        <f t="shared" si="23"/>
        <v>0</v>
      </c>
      <c r="S55" s="66">
        <f t="shared" si="23"/>
        <v>0</v>
      </c>
      <c r="T55" s="66">
        <f t="shared" si="23"/>
        <v>0</v>
      </c>
      <c r="U55" s="66">
        <f t="shared" si="23"/>
        <v>0</v>
      </c>
      <c r="V55" s="66">
        <f t="shared" si="23"/>
        <v>0</v>
      </c>
      <c r="W55" s="66">
        <f t="shared" si="23"/>
        <v>0</v>
      </c>
      <c r="X55" s="66">
        <f t="shared" si="23"/>
        <v>0</v>
      </c>
      <c r="Y55" s="66">
        <f t="shared" si="23"/>
        <v>0</v>
      </c>
      <c r="Z55" s="66">
        <f t="shared" si="23"/>
        <v>0</v>
      </c>
      <c r="AA55" s="66">
        <f t="shared" si="23"/>
        <v>0</v>
      </c>
      <c r="AB55" s="66">
        <f t="shared" si="23"/>
        <v>0</v>
      </c>
      <c r="AC55" s="66">
        <f t="shared" si="23"/>
        <v>0</v>
      </c>
      <c r="AD55" s="66">
        <f t="shared" si="23"/>
        <v>0</v>
      </c>
      <c r="AE55" s="66">
        <f t="shared" si="23"/>
        <v>0</v>
      </c>
      <c r="AF55" s="66">
        <f t="shared" si="23"/>
        <v>0</v>
      </c>
      <c r="AG55" s="66">
        <f t="shared" si="23"/>
        <v>0</v>
      </c>
      <c r="AH55" s="66">
        <f t="shared" si="23"/>
        <v>0</v>
      </c>
      <c r="AI55" s="66">
        <f t="shared" si="23"/>
        <v>0</v>
      </c>
      <c r="AJ55" s="66">
        <f t="shared" si="23"/>
        <v>0</v>
      </c>
      <c r="AK55" s="66">
        <f t="shared" ref="AK55:BM55" si="24">AK10*$E$83</f>
        <v>0</v>
      </c>
      <c r="AL55" s="66">
        <f t="shared" si="24"/>
        <v>0</v>
      </c>
      <c r="AM55" s="66">
        <f t="shared" si="24"/>
        <v>0</v>
      </c>
      <c r="AN55" s="66">
        <f t="shared" si="24"/>
        <v>0</v>
      </c>
      <c r="AO55" s="66">
        <f t="shared" si="24"/>
        <v>0</v>
      </c>
      <c r="AP55" s="66">
        <f t="shared" si="24"/>
        <v>0</v>
      </c>
      <c r="AQ55" s="66">
        <f t="shared" si="24"/>
        <v>0</v>
      </c>
      <c r="AR55" s="66">
        <f t="shared" si="24"/>
        <v>0</v>
      </c>
      <c r="AS55" s="66">
        <f t="shared" si="24"/>
        <v>0</v>
      </c>
      <c r="AT55" s="66">
        <f t="shared" si="24"/>
        <v>0</v>
      </c>
      <c r="AU55" s="66">
        <f t="shared" si="24"/>
        <v>0</v>
      </c>
      <c r="AV55" s="66">
        <f t="shared" si="24"/>
        <v>0</v>
      </c>
      <c r="AW55" s="66">
        <f t="shared" si="24"/>
        <v>0</v>
      </c>
      <c r="AX55" s="66">
        <f t="shared" si="24"/>
        <v>0</v>
      </c>
      <c r="AY55" s="66">
        <f t="shared" si="24"/>
        <v>0</v>
      </c>
      <c r="AZ55" s="66">
        <f t="shared" si="24"/>
        <v>0</v>
      </c>
      <c r="BA55" s="66">
        <f t="shared" si="24"/>
        <v>0</v>
      </c>
      <c r="BB55" s="66">
        <f t="shared" si="24"/>
        <v>0</v>
      </c>
      <c r="BC55" s="66">
        <f t="shared" si="24"/>
        <v>0</v>
      </c>
      <c r="BD55" s="66">
        <f t="shared" si="24"/>
        <v>0</v>
      </c>
      <c r="BE55" s="66">
        <f t="shared" si="24"/>
        <v>0</v>
      </c>
      <c r="BF55" s="66">
        <f t="shared" si="24"/>
        <v>0</v>
      </c>
      <c r="BG55" s="66">
        <f t="shared" si="24"/>
        <v>0</v>
      </c>
      <c r="BH55" s="66">
        <f t="shared" si="24"/>
        <v>0</v>
      </c>
      <c r="BI55" s="66">
        <f t="shared" si="24"/>
        <v>0</v>
      </c>
      <c r="BJ55" s="66">
        <f t="shared" si="24"/>
        <v>0</v>
      </c>
      <c r="BK55" s="66">
        <f t="shared" si="24"/>
        <v>0</v>
      </c>
      <c r="BL55" s="66">
        <f t="shared" si="24"/>
        <v>0</v>
      </c>
      <c r="BM55" s="66">
        <f t="shared" si="24"/>
        <v>0</v>
      </c>
      <c r="BN55" s="15"/>
    </row>
    <row r="56" spans="2:66" x14ac:dyDescent="0.3">
      <c r="B56" s="12"/>
      <c r="C56" s="39" t="s">
        <v>57</v>
      </c>
      <c r="D56" s="14" t="s">
        <v>20</v>
      </c>
      <c r="E56" s="66">
        <f t="shared" ref="E56:AJ56" si="25">E11*$E$83</f>
        <v>5.4999999999999997E-3</v>
      </c>
      <c r="F56" s="66">
        <f t="shared" si="25"/>
        <v>6.1738287560581607E-3</v>
      </c>
      <c r="G56" s="66">
        <f t="shared" si="25"/>
        <v>6.8282944977481903E-3</v>
      </c>
      <c r="H56" s="66">
        <f t="shared" si="25"/>
        <v>1.8191539728283246E-2</v>
      </c>
      <c r="I56" s="66">
        <f t="shared" si="25"/>
        <v>2.6898825381448294E-2</v>
      </c>
      <c r="J56" s="66">
        <f t="shared" si="25"/>
        <v>2.472344734473448E-2</v>
      </c>
      <c r="K56" s="66">
        <f t="shared" si="25"/>
        <v>2.1876687880930737E-2</v>
      </c>
      <c r="L56" s="66">
        <f t="shared" si="25"/>
        <v>2.4605414260141185E-2</v>
      </c>
      <c r="M56" s="66">
        <f t="shared" si="25"/>
        <v>2.7264876730834178E-2</v>
      </c>
      <c r="N56" s="66">
        <f t="shared" si="25"/>
        <v>2.8359922637066944E-2</v>
      </c>
      <c r="O56" s="66">
        <f t="shared" si="25"/>
        <v>2.9448137228625035E-2</v>
      </c>
      <c r="P56" s="66">
        <f t="shared" si="25"/>
        <v>3.0818806499126924E-2</v>
      </c>
      <c r="Q56" s="66">
        <f t="shared" si="25"/>
        <v>2.7282282254702313E-2</v>
      </c>
      <c r="R56" s="66">
        <f t="shared" si="25"/>
        <v>2.8014351582932934E-2</v>
      </c>
      <c r="S56" s="66">
        <f t="shared" si="25"/>
        <v>2.8755542123203442E-2</v>
      </c>
      <c r="T56" s="66">
        <f t="shared" si="25"/>
        <v>2.9438659355547295E-2</v>
      </c>
      <c r="U56" s="66">
        <f t="shared" si="25"/>
        <v>3.0142757862603755E-2</v>
      </c>
      <c r="V56" s="66">
        <f t="shared" si="25"/>
        <v>3.0726040331595803E-2</v>
      </c>
      <c r="W56" s="66">
        <f t="shared" si="25"/>
        <v>3.1404209111123411E-2</v>
      </c>
      <c r="X56" s="66">
        <f t="shared" si="25"/>
        <v>3.1970574167619295E-2</v>
      </c>
      <c r="Y56" s="66">
        <f t="shared" si="25"/>
        <v>3.2563845957010534E-2</v>
      </c>
      <c r="Z56" s="66">
        <f t="shared" si="25"/>
        <v>2.6882066324020445E-2</v>
      </c>
      <c r="AA56" s="66">
        <f t="shared" si="25"/>
        <v>2.692339646904568E-2</v>
      </c>
      <c r="AB56" s="66">
        <f t="shared" si="25"/>
        <v>2.7012788704870255E-2</v>
      </c>
      <c r="AC56" s="66">
        <f t="shared" si="25"/>
        <v>2.7098413070579315E-2</v>
      </c>
      <c r="AD56" s="66">
        <f t="shared" si="25"/>
        <v>2.7180839344233616E-2</v>
      </c>
      <c r="AE56" s="66">
        <f t="shared" si="25"/>
        <v>2.7180839344233616E-2</v>
      </c>
      <c r="AF56" s="66">
        <f t="shared" si="25"/>
        <v>2.7180839344233616E-2</v>
      </c>
      <c r="AG56" s="66">
        <f t="shared" si="25"/>
        <v>2.7180839344233616E-2</v>
      </c>
      <c r="AH56" s="66">
        <f t="shared" si="25"/>
        <v>2.7180839344233616E-2</v>
      </c>
      <c r="AI56" s="66">
        <f t="shared" si="25"/>
        <v>2.7180839344233616E-2</v>
      </c>
      <c r="AJ56" s="66">
        <f t="shared" si="25"/>
        <v>2.7180839344233616E-2</v>
      </c>
      <c r="AK56" s="66">
        <f t="shared" ref="AK56:BM56" si="26">AK11*$E$83</f>
        <v>2.7180839344233616E-2</v>
      </c>
      <c r="AL56" s="66">
        <f t="shared" si="26"/>
        <v>2.7180839344233616E-2</v>
      </c>
      <c r="AM56" s="66">
        <f t="shared" si="26"/>
        <v>2.7180839344233616E-2</v>
      </c>
      <c r="AN56" s="66">
        <f t="shared" si="26"/>
        <v>2.7180839344233616E-2</v>
      </c>
      <c r="AO56" s="66">
        <f t="shared" si="26"/>
        <v>2.7180839344233616E-2</v>
      </c>
      <c r="AP56" s="66">
        <f t="shared" si="26"/>
        <v>2.7180839344233616E-2</v>
      </c>
      <c r="AQ56" s="66">
        <f t="shared" si="26"/>
        <v>2.7180839344233616E-2</v>
      </c>
      <c r="AR56" s="66">
        <f t="shared" si="26"/>
        <v>2.7180839344233616E-2</v>
      </c>
      <c r="AS56" s="66">
        <f t="shared" si="26"/>
        <v>2.7180839344233616E-2</v>
      </c>
      <c r="AT56" s="66">
        <f t="shared" si="26"/>
        <v>2.7180839344233616E-2</v>
      </c>
      <c r="AU56" s="66">
        <f t="shared" si="26"/>
        <v>2.7180839344233616E-2</v>
      </c>
      <c r="AV56" s="66">
        <f t="shared" si="26"/>
        <v>2.7180839344233616E-2</v>
      </c>
      <c r="AW56" s="66">
        <f t="shared" si="26"/>
        <v>2.7180839344233616E-2</v>
      </c>
      <c r="AX56" s="66">
        <f t="shared" si="26"/>
        <v>2.7180839344233616E-2</v>
      </c>
      <c r="AY56" s="66">
        <f t="shared" si="26"/>
        <v>2.7180839344233616E-2</v>
      </c>
      <c r="AZ56" s="66">
        <f t="shared" si="26"/>
        <v>2.7180839344233616E-2</v>
      </c>
      <c r="BA56" s="66">
        <f t="shared" si="26"/>
        <v>2.7180839344233616E-2</v>
      </c>
      <c r="BB56" s="66">
        <f t="shared" si="26"/>
        <v>2.7180839344233616E-2</v>
      </c>
      <c r="BC56" s="66">
        <f t="shared" si="26"/>
        <v>2.7180839344233616E-2</v>
      </c>
      <c r="BD56" s="66">
        <f t="shared" si="26"/>
        <v>2.7180839344233616E-2</v>
      </c>
      <c r="BE56" s="66">
        <f t="shared" si="26"/>
        <v>2.7180839344233616E-2</v>
      </c>
      <c r="BF56" s="66">
        <f t="shared" si="26"/>
        <v>2.7180839344233616E-2</v>
      </c>
      <c r="BG56" s="66">
        <f t="shared" si="26"/>
        <v>2.7180839344233616E-2</v>
      </c>
      <c r="BH56" s="66">
        <f t="shared" si="26"/>
        <v>2.7180839344233616E-2</v>
      </c>
      <c r="BI56" s="66">
        <f t="shared" si="26"/>
        <v>2.7180839344233616E-2</v>
      </c>
      <c r="BJ56" s="66">
        <f t="shared" si="26"/>
        <v>2.7180839344233616E-2</v>
      </c>
      <c r="BK56" s="66">
        <f t="shared" si="26"/>
        <v>2.7180839344233616E-2</v>
      </c>
      <c r="BL56" s="66">
        <f t="shared" si="26"/>
        <v>2.7180839344233616E-2</v>
      </c>
      <c r="BM56" s="66">
        <f t="shared" si="26"/>
        <v>2.7180839344233616E-2</v>
      </c>
      <c r="BN56" s="15"/>
    </row>
    <row r="57" spans="2:66" x14ac:dyDescent="0.3">
      <c r="B57" s="12"/>
      <c r="C57" s="14" t="s">
        <v>143</v>
      </c>
      <c r="D57" s="14" t="s">
        <v>144</v>
      </c>
      <c r="E57" s="66">
        <f t="shared" ref="E57:AJ57" si="27">E12*$E$83</f>
        <v>0</v>
      </c>
      <c r="F57" s="66">
        <f t="shared" si="27"/>
        <v>0</v>
      </c>
      <c r="G57" s="66">
        <f t="shared" si="27"/>
        <v>0</v>
      </c>
      <c r="H57" s="66">
        <f t="shared" si="27"/>
        <v>0</v>
      </c>
      <c r="I57" s="66">
        <f t="shared" si="27"/>
        <v>0</v>
      </c>
      <c r="J57" s="66">
        <f t="shared" si="27"/>
        <v>0</v>
      </c>
      <c r="K57" s="66">
        <f t="shared" si="27"/>
        <v>2.9828815048465279E-2</v>
      </c>
      <c r="L57" s="66">
        <f t="shared" si="27"/>
        <v>5.1456867460348554E-2</v>
      </c>
      <c r="M57" s="66">
        <f t="shared" si="27"/>
        <v>5.1456867460348554E-2</v>
      </c>
      <c r="N57" s="66">
        <f t="shared" si="27"/>
        <v>5.1456867460348554E-2</v>
      </c>
      <c r="O57" s="66">
        <f t="shared" si="27"/>
        <v>5.1456867460348554E-2</v>
      </c>
      <c r="P57" s="66">
        <f t="shared" si="27"/>
        <v>5.1456867460348554E-2</v>
      </c>
      <c r="Q57" s="66">
        <f t="shared" si="27"/>
        <v>5.1456867460348554E-2</v>
      </c>
      <c r="R57" s="66">
        <f t="shared" si="27"/>
        <v>5.1456867460348554E-2</v>
      </c>
      <c r="S57" s="66">
        <f t="shared" si="27"/>
        <v>5.1456867460348624E-2</v>
      </c>
      <c r="T57" s="66">
        <f t="shared" si="27"/>
        <v>5.1456867460348624E-2</v>
      </c>
      <c r="U57" s="66">
        <f t="shared" si="27"/>
        <v>5.1456867460348624E-2</v>
      </c>
      <c r="V57" s="66">
        <f t="shared" si="27"/>
        <v>5.1456867460348624E-2</v>
      </c>
      <c r="W57" s="66">
        <f t="shared" si="27"/>
        <v>5.1456867460348624E-2</v>
      </c>
      <c r="X57" s="66">
        <f t="shared" si="27"/>
        <v>5.1456867460348624E-2</v>
      </c>
      <c r="Y57" s="66">
        <f t="shared" si="27"/>
        <v>5.1456867460348624E-2</v>
      </c>
      <c r="Z57" s="66">
        <f t="shared" si="27"/>
        <v>5.1456867460348624E-2</v>
      </c>
      <c r="AA57" s="66">
        <f t="shared" si="27"/>
        <v>5.1456867460348624E-2</v>
      </c>
      <c r="AB57" s="66">
        <f t="shared" si="27"/>
        <v>5.1456867460348624E-2</v>
      </c>
      <c r="AC57" s="66">
        <f t="shared" si="27"/>
        <v>5.1456867460348624E-2</v>
      </c>
      <c r="AD57" s="66">
        <f t="shared" si="27"/>
        <v>5.1456867460348624E-2</v>
      </c>
      <c r="AE57" s="66">
        <f t="shared" si="27"/>
        <v>5.1456867460348624E-2</v>
      </c>
      <c r="AF57" s="66">
        <f t="shared" si="27"/>
        <v>5.1456867460348624E-2</v>
      </c>
      <c r="AG57" s="66">
        <f t="shared" si="27"/>
        <v>5.1456867460348624E-2</v>
      </c>
      <c r="AH57" s="66">
        <f t="shared" si="27"/>
        <v>5.1456867460348624E-2</v>
      </c>
      <c r="AI57" s="66">
        <f t="shared" si="27"/>
        <v>5.1456867460348624E-2</v>
      </c>
      <c r="AJ57" s="66">
        <f t="shared" si="27"/>
        <v>5.1456867460348624E-2</v>
      </c>
      <c r="AK57" s="66">
        <f t="shared" ref="AK57:BM57" si="28">AK12*$E$83</f>
        <v>5.1456867460348624E-2</v>
      </c>
      <c r="AL57" s="66">
        <f t="shared" si="28"/>
        <v>5.1456867460348624E-2</v>
      </c>
      <c r="AM57" s="66">
        <f t="shared" si="28"/>
        <v>5.1456867460348624E-2</v>
      </c>
      <c r="AN57" s="66">
        <f t="shared" si="28"/>
        <v>5.1456867460348624E-2</v>
      </c>
      <c r="AO57" s="66">
        <f t="shared" si="28"/>
        <v>5.1456867460348624E-2</v>
      </c>
      <c r="AP57" s="66">
        <f t="shared" si="28"/>
        <v>5.1456867460348624E-2</v>
      </c>
      <c r="AQ57" s="66">
        <f t="shared" si="28"/>
        <v>5.1456867460348624E-2</v>
      </c>
      <c r="AR57" s="66">
        <f t="shared" si="28"/>
        <v>5.1456867460348624E-2</v>
      </c>
      <c r="AS57" s="66">
        <f t="shared" si="28"/>
        <v>5.1456867460348624E-2</v>
      </c>
      <c r="AT57" s="66">
        <f t="shared" si="28"/>
        <v>5.1456867460348624E-2</v>
      </c>
      <c r="AU57" s="66">
        <f t="shared" si="28"/>
        <v>5.1456867460348624E-2</v>
      </c>
      <c r="AV57" s="66">
        <f t="shared" si="28"/>
        <v>5.1456867460348624E-2</v>
      </c>
      <c r="AW57" s="66">
        <f t="shared" si="28"/>
        <v>5.1456867460348624E-2</v>
      </c>
      <c r="AX57" s="66">
        <f t="shared" si="28"/>
        <v>5.1456867460348624E-2</v>
      </c>
      <c r="AY57" s="66">
        <f t="shared" si="28"/>
        <v>5.1456867460348624E-2</v>
      </c>
      <c r="AZ57" s="66">
        <f t="shared" si="28"/>
        <v>5.1456867460348624E-2</v>
      </c>
      <c r="BA57" s="66">
        <f t="shared" si="28"/>
        <v>5.1456867460348624E-2</v>
      </c>
      <c r="BB57" s="66">
        <f t="shared" si="28"/>
        <v>5.1456867460348624E-2</v>
      </c>
      <c r="BC57" s="66">
        <f t="shared" si="28"/>
        <v>5.1456867460348624E-2</v>
      </c>
      <c r="BD57" s="66">
        <f t="shared" si="28"/>
        <v>5.1456867460348624E-2</v>
      </c>
      <c r="BE57" s="66">
        <f t="shared" si="28"/>
        <v>5.1456867460348624E-2</v>
      </c>
      <c r="BF57" s="66">
        <f t="shared" si="28"/>
        <v>5.1456867460348624E-2</v>
      </c>
      <c r="BG57" s="66">
        <f t="shared" si="28"/>
        <v>5.1456867460348624E-2</v>
      </c>
      <c r="BH57" s="66">
        <f t="shared" si="28"/>
        <v>5.1456867460348624E-2</v>
      </c>
      <c r="BI57" s="66">
        <f t="shared" si="28"/>
        <v>5.1456867460348624E-2</v>
      </c>
      <c r="BJ57" s="66">
        <f t="shared" si="28"/>
        <v>5.1456867460348624E-2</v>
      </c>
      <c r="BK57" s="66">
        <f t="shared" si="28"/>
        <v>5.1456867460348624E-2</v>
      </c>
      <c r="BL57" s="66">
        <f t="shared" si="28"/>
        <v>5.1456867460348624E-2</v>
      </c>
      <c r="BM57" s="66">
        <f t="shared" si="28"/>
        <v>5.1456867460348624E-2</v>
      </c>
      <c r="BN57" s="15"/>
    </row>
    <row r="58" spans="2:66" x14ac:dyDescent="0.3">
      <c r="B58" s="12"/>
      <c r="C58" s="39" t="s">
        <v>58</v>
      </c>
      <c r="D58" s="14" t="s">
        <v>21</v>
      </c>
      <c r="E58" s="66">
        <f t="shared" ref="E58:AJ58" si="29">E13*$E$83</f>
        <v>1.2472000000000001</v>
      </c>
      <c r="F58" s="66">
        <f t="shared" si="29"/>
        <v>1.3061506462035548</v>
      </c>
      <c r="G58" s="66">
        <f t="shared" si="29"/>
        <v>1.3546213824162916</v>
      </c>
      <c r="H58" s="66">
        <f t="shared" si="29"/>
        <v>1.2902882187457119</v>
      </c>
      <c r="I58" s="66">
        <f t="shared" si="29"/>
        <v>1.2370567328651008</v>
      </c>
      <c r="J58" s="66">
        <f t="shared" si="29"/>
        <v>1.5330840780506625</v>
      </c>
      <c r="K58" s="66">
        <f t="shared" si="29"/>
        <v>1.783915210290602</v>
      </c>
      <c r="L58" s="66">
        <f t="shared" si="29"/>
        <v>1.8939715101158512</v>
      </c>
      <c r="M58" s="66">
        <f t="shared" si="29"/>
        <v>1.98581874366768</v>
      </c>
      <c r="N58" s="66">
        <f t="shared" si="29"/>
        <v>1.99065768583922</v>
      </c>
      <c r="O58" s="66">
        <f t="shared" si="29"/>
        <v>1.9942310540069688</v>
      </c>
      <c r="P58" s="66">
        <f t="shared" si="29"/>
        <v>2.1132095396635107</v>
      </c>
      <c r="Q58" s="66">
        <f t="shared" si="29"/>
        <v>2.2256513464281187</v>
      </c>
      <c r="R58" s="66">
        <f t="shared" si="29"/>
        <v>2.2885207099293696</v>
      </c>
      <c r="S58" s="66">
        <f t="shared" si="29"/>
        <v>2.3479359008629488</v>
      </c>
      <c r="T58" s="66">
        <f t="shared" si="29"/>
        <v>2.4047519010940501</v>
      </c>
      <c r="U58" s="66">
        <f t="shared" si="29"/>
        <v>2.459273160675072</v>
      </c>
      <c r="V58" s="66">
        <f t="shared" si="29"/>
        <v>2.5115901297138072</v>
      </c>
      <c r="W58" s="66">
        <f t="shared" si="29"/>
        <v>2.56200874591531</v>
      </c>
      <c r="X58" s="66">
        <f t="shared" si="29"/>
        <v>2.6107304076003612</v>
      </c>
      <c r="Y58" s="66">
        <f t="shared" si="29"/>
        <v>2.6576509339815169</v>
      </c>
      <c r="Z58" s="66">
        <f t="shared" si="29"/>
        <v>2.193093574910808</v>
      </c>
      <c r="AA58" s="66">
        <f t="shared" si="29"/>
        <v>2.1999153763603525</v>
      </c>
      <c r="AB58" s="66">
        <f t="shared" si="29"/>
        <v>2.206400511690457</v>
      </c>
      <c r="AC58" s="66">
        <f t="shared" si="29"/>
        <v>2.2126029585336418</v>
      </c>
      <c r="AD58" s="66">
        <f t="shared" si="29"/>
        <v>2.2185188526827919</v>
      </c>
      <c r="AE58" s="66">
        <f t="shared" si="29"/>
        <v>2.2185188526827919</v>
      </c>
      <c r="AF58" s="66">
        <f t="shared" si="29"/>
        <v>2.2185188526827919</v>
      </c>
      <c r="AG58" s="66">
        <f t="shared" si="29"/>
        <v>2.2185188526827919</v>
      </c>
      <c r="AH58" s="66">
        <f t="shared" si="29"/>
        <v>2.2185188526827919</v>
      </c>
      <c r="AI58" s="66">
        <f t="shared" si="29"/>
        <v>2.2185188526827919</v>
      </c>
      <c r="AJ58" s="66">
        <f t="shared" si="29"/>
        <v>2.2185188526827919</v>
      </c>
      <c r="AK58" s="66">
        <f t="shared" ref="AK58:BM58" si="30">AK13*$E$83</f>
        <v>2.2185188526827919</v>
      </c>
      <c r="AL58" s="66">
        <f t="shared" si="30"/>
        <v>2.2185188526827919</v>
      </c>
      <c r="AM58" s="66">
        <f t="shared" si="30"/>
        <v>2.2185188526827919</v>
      </c>
      <c r="AN58" s="66">
        <f t="shared" si="30"/>
        <v>2.2185188526827919</v>
      </c>
      <c r="AO58" s="66">
        <f t="shared" si="30"/>
        <v>2.2185188526827919</v>
      </c>
      <c r="AP58" s="66">
        <f t="shared" si="30"/>
        <v>2.2185188526827919</v>
      </c>
      <c r="AQ58" s="66">
        <f t="shared" si="30"/>
        <v>2.2185188526827919</v>
      </c>
      <c r="AR58" s="66">
        <f t="shared" si="30"/>
        <v>2.2185188526827919</v>
      </c>
      <c r="AS58" s="66">
        <f t="shared" si="30"/>
        <v>2.2185188526827919</v>
      </c>
      <c r="AT58" s="66">
        <f t="shared" si="30"/>
        <v>2.2185188526827919</v>
      </c>
      <c r="AU58" s="66">
        <f t="shared" si="30"/>
        <v>2.2185188526827919</v>
      </c>
      <c r="AV58" s="66">
        <f t="shared" si="30"/>
        <v>2.2185188526827919</v>
      </c>
      <c r="AW58" s="66">
        <f t="shared" si="30"/>
        <v>2.2185188526827919</v>
      </c>
      <c r="AX58" s="66">
        <f t="shared" si="30"/>
        <v>2.2185188526827919</v>
      </c>
      <c r="AY58" s="66">
        <f t="shared" si="30"/>
        <v>2.2185188526827919</v>
      </c>
      <c r="AZ58" s="66">
        <f t="shared" si="30"/>
        <v>2.2185188526827919</v>
      </c>
      <c r="BA58" s="66">
        <f t="shared" si="30"/>
        <v>2.2185188526827919</v>
      </c>
      <c r="BB58" s="66">
        <f t="shared" si="30"/>
        <v>2.2185188526827919</v>
      </c>
      <c r="BC58" s="66">
        <f t="shared" si="30"/>
        <v>2.2185188526827919</v>
      </c>
      <c r="BD58" s="66">
        <f t="shared" si="30"/>
        <v>2.2185188526827919</v>
      </c>
      <c r="BE58" s="66">
        <f t="shared" si="30"/>
        <v>2.2185188526827919</v>
      </c>
      <c r="BF58" s="66">
        <f t="shared" si="30"/>
        <v>2.2185188526827919</v>
      </c>
      <c r="BG58" s="66">
        <f t="shared" si="30"/>
        <v>2.2185188526827919</v>
      </c>
      <c r="BH58" s="66">
        <f t="shared" si="30"/>
        <v>2.2185188526827919</v>
      </c>
      <c r="BI58" s="66">
        <f t="shared" si="30"/>
        <v>2.2185188526827919</v>
      </c>
      <c r="BJ58" s="66">
        <f t="shared" si="30"/>
        <v>2.2185188526827919</v>
      </c>
      <c r="BK58" s="66">
        <f t="shared" si="30"/>
        <v>2.2185188526827919</v>
      </c>
      <c r="BL58" s="66">
        <f t="shared" si="30"/>
        <v>2.2185188526827919</v>
      </c>
      <c r="BM58" s="66">
        <f t="shared" si="30"/>
        <v>2.2185188526827919</v>
      </c>
      <c r="BN58" s="15"/>
    </row>
    <row r="59" spans="2:66" x14ac:dyDescent="0.3">
      <c r="B59" s="12"/>
      <c r="C59" s="14" t="s">
        <v>59</v>
      </c>
      <c r="D59" s="14" t="s">
        <v>22</v>
      </c>
      <c r="E59" s="66">
        <f t="shared" ref="E59:AJ59" si="31">E14*$E$83</f>
        <v>1.1267</v>
      </c>
      <c r="F59" s="66">
        <f t="shared" si="31"/>
        <v>1.0668183158319875</v>
      </c>
      <c r="G59" s="66">
        <f t="shared" si="31"/>
        <v>1.0173223418836892</v>
      </c>
      <c r="H59" s="66">
        <f t="shared" si="31"/>
        <v>1.0711703032798134</v>
      </c>
      <c r="I59" s="66">
        <f t="shared" si="31"/>
        <v>1.1163735620004847</v>
      </c>
      <c r="J59" s="66">
        <f t="shared" si="31"/>
        <v>0.82600884016973153</v>
      </c>
      <c r="K59" s="66">
        <f t="shared" si="31"/>
        <v>0.57370005387749612</v>
      </c>
      <c r="L59" s="66">
        <f t="shared" si="31"/>
        <v>0.46411458438882702</v>
      </c>
      <c r="M59" s="66">
        <f t="shared" si="31"/>
        <v>0.36605920297196892</v>
      </c>
      <c r="N59" s="66">
        <f t="shared" si="31"/>
        <v>0.35727075344769599</v>
      </c>
      <c r="O59" s="66">
        <f t="shared" si="31"/>
        <v>0.34937654114178507</v>
      </c>
      <c r="P59" s="66">
        <f t="shared" si="31"/>
        <v>0.29978293594605282</v>
      </c>
      <c r="Q59" s="66">
        <f t="shared" si="31"/>
        <v>0.31143899060486585</v>
      </c>
      <c r="R59" s="66">
        <f t="shared" si="31"/>
        <v>0.3201977432330172</v>
      </c>
      <c r="S59" s="66">
        <f t="shared" si="31"/>
        <v>0.32854736425872866</v>
      </c>
      <c r="T59" s="66">
        <f t="shared" si="31"/>
        <v>0.33646306122021985</v>
      </c>
      <c r="U59" s="66">
        <f t="shared" si="31"/>
        <v>0.34407560533811482</v>
      </c>
      <c r="V59" s="66">
        <f t="shared" si="31"/>
        <v>0.35141590292291952</v>
      </c>
      <c r="W59" s="66">
        <f t="shared" si="31"/>
        <v>0.35844586390670052</v>
      </c>
      <c r="X59" s="66">
        <f t="shared" si="31"/>
        <v>0.36526380986505042</v>
      </c>
      <c r="Y59" s="66">
        <f t="shared" si="31"/>
        <v>0.37188949974410634</v>
      </c>
      <c r="Z59" s="66">
        <f t="shared" si="31"/>
        <v>0.3068335851515146</v>
      </c>
      <c r="AA59" s="66">
        <f t="shared" si="31"/>
        <v>0.30783622411920369</v>
      </c>
      <c r="AB59" s="66">
        <f t="shared" si="31"/>
        <v>0.30873938728786732</v>
      </c>
      <c r="AC59" s="66">
        <f t="shared" si="31"/>
        <v>0.30960312604297729</v>
      </c>
      <c r="AD59" s="66">
        <f t="shared" si="31"/>
        <v>0.31043379672098392</v>
      </c>
      <c r="AE59" s="66">
        <f t="shared" si="31"/>
        <v>0.31043379672098392</v>
      </c>
      <c r="AF59" s="66">
        <f t="shared" si="31"/>
        <v>0.31043379672098392</v>
      </c>
      <c r="AG59" s="66">
        <f t="shared" si="31"/>
        <v>0.31043379672098392</v>
      </c>
      <c r="AH59" s="66">
        <f t="shared" si="31"/>
        <v>0.31043379672098392</v>
      </c>
      <c r="AI59" s="66">
        <f t="shared" si="31"/>
        <v>0.31043379672098392</v>
      </c>
      <c r="AJ59" s="66">
        <f t="shared" si="31"/>
        <v>0.31043379672098392</v>
      </c>
      <c r="AK59" s="66">
        <f t="shared" ref="AK59:BM59" si="32">AK14*$E$83</f>
        <v>0.31043379672098392</v>
      </c>
      <c r="AL59" s="66">
        <f t="shared" si="32"/>
        <v>0.31043379672098392</v>
      </c>
      <c r="AM59" s="66">
        <f t="shared" si="32"/>
        <v>0.31043379672098392</v>
      </c>
      <c r="AN59" s="66">
        <f t="shared" si="32"/>
        <v>0.31043379672098392</v>
      </c>
      <c r="AO59" s="66">
        <f t="shared" si="32"/>
        <v>0.31043379672098392</v>
      </c>
      <c r="AP59" s="66">
        <f t="shared" si="32"/>
        <v>0.31043379672098392</v>
      </c>
      <c r="AQ59" s="66">
        <f t="shared" si="32"/>
        <v>0.31043379672098392</v>
      </c>
      <c r="AR59" s="66">
        <f t="shared" si="32"/>
        <v>0.31043379672098392</v>
      </c>
      <c r="AS59" s="66">
        <f t="shared" si="32"/>
        <v>0.31043379672098392</v>
      </c>
      <c r="AT59" s="66">
        <f t="shared" si="32"/>
        <v>0.31043379672098392</v>
      </c>
      <c r="AU59" s="66">
        <f t="shared" si="32"/>
        <v>0.31043379672098392</v>
      </c>
      <c r="AV59" s="66">
        <f t="shared" si="32"/>
        <v>0.31043379672098392</v>
      </c>
      <c r="AW59" s="66">
        <f t="shared" si="32"/>
        <v>0.31043379672098392</v>
      </c>
      <c r="AX59" s="66">
        <f t="shared" si="32"/>
        <v>0.31043379672098392</v>
      </c>
      <c r="AY59" s="66">
        <f t="shared" si="32"/>
        <v>0.31043379672098392</v>
      </c>
      <c r="AZ59" s="66">
        <f t="shared" si="32"/>
        <v>0.31043379672098392</v>
      </c>
      <c r="BA59" s="66">
        <f t="shared" si="32"/>
        <v>0.31043379672098392</v>
      </c>
      <c r="BB59" s="66">
        <f t="shared" si="32"/>
        <v>0.31043379672098392</v>
      </c>
      <c r="BC59" s="66">
        <f t="shared" si="32"/>
        <v>0.31043379672098392</v>
      </c>
      <c r="BD59" s="66">
        <f t="shared" si="32"/>
        <v>0.31043379672098392</v>
      </c>
      <c r="BE59" s="66">
        <f t="shared" si="32"/>
        <v>0.31043379672098392</v>
      </c>
      <c r="BF59" s="66">
        <f t="shared" si="32"/>
        <v>0.31043379672098392</v>
      </c>
      <c r="BG59" s="66">
        <f t="shared" si="32"/>
        <v>0.31043379672098392</v>
      </c>
      <c r="BH59" s="66">
        <f t="shared" si="32"/>
        <v>0.31043379672098392</v>
      </c>
      <c r="BI59" s="66">
        <f t="shared" si="32"/>
        <v>0.31043379672098392</v>
      </c>
      <c r="BJ59" s="66">
        <f t="shared" si="32"/>
        <v>0.31043379672098392</v>
      </c>
      <c r="BK59" s="66">
        <f t="shared" si="32"/>
        <v>0.31043379672098392</v>
      </c>
      <c r="BL59" s="66">
        <f t="shared" si="32"/>
        <v>0.31043379672098392</v>
      </c>
      <c r="BM59" s="66">
        <f t="shared" si="32"/>
        <v>0.31043379672098392</v>
      </c>
      <c r="BN59" s="15"/>
    </row>
    <row r="60" spans="2:66" x14ac:dyDescent="0.3">
      <c r="B60" s="12"/>
      <c r="C60" s="14" t="s">
        <v>145</v>
      </c>
      <c r="D60" s="14" t="s">
        <v>146</v>
      </c>
      <c r="E60" s="66">
        <f t="shared" ref="E60:AJ60" si="33">E15*$E$83</f>
        <v>0</v>
      </c>
      <c r="F60" s="66">
        <f t="shared" si="33"/>
        <v>0</v>
      </c>
      <c r="G60" s="66">
        <f t="shared" si="33"/>
        <v>0</v>
      </c>
      <c r="H60" s="66">
        <f t="shared" si="33"/>
        <v>0</v>
      </c>
      <c r="I60" s="66">
        <f t="shared" si="33"/>
        <v>0</v>
      </c>
      <c r="J60" s="66">
        <f t="shared" si="33"/>
        <v>0</v>
      </c>
      <c r="K60" s="66">
        <f t="shared" si="33"/>
        <v>0</v>
      </c>
      <c r="L60" s="66">
        <f t="shared" si="33"/>
        <v>0</v>
      </c>
      <c r="M60" s="66">
        <f t="shared" si="33"/>
        <v>0</v>
      </c>
      <c r="N60" s="66">
        <f t="shared" si="33"/>
        <v>0</v>
      </c>
      <c r="O60" s="66">
        <f t="shared" si="33"/>
        <v>0</v>
      </c>
      <c r="P60" s="66">
        <f t="shared" si="33"/>
        <v>0</v>
      </c>
      <c r="Q60" s="66">
        <f t="shared" si="33"/>
        <v>0</v>
      </c>
      <c r="R60" s="66">
        <f t="shared" si="33"/>
        <v>0</v>
      </c>
      <c r="S60" s="66">
        <f t="shared" si="33"/>
        <v>0</v>
      </c>
      <c r="T60" s="66">
        <f t="shared" si="33"/>
        <v>0</v>
      </c>
      <c r="U60" s="66">
        <f t="shared" si="33"/>
        <v>0</v>
      </c>
      <c r="V60" s="66">
        <f t="shared" si="33"/>
        <v>0</v>
      </c>
      <c r="W60" s="66">
        <f t="shared" si="33"/>
        <v>0</v>
      </c>
      <c r="X60" s="66">
        <f t="shared" si="33"/>
        <v>0</v>
      </c>
      <c r="Y60" s="66">
        <f t="shared" si="33"/>
        <v>0</v>
      </c>
      <c r="Z60" s="66">
        <f t="shared" si="33"/>
        <v>0</v>
      </c>
      <c r="AA60" s="66">
        <f t="shared" si="33"/>
        <v>0</v>
      </c>
      <c r="AB60" s="66">
        <f t="shared" si="33"/>
        <v>0</v>
      </c>
      <c r="AC60" s="66">
        <f t="shared" si="33"/>
        <v>0</v>
      </c>
      <c r="AD60" s="66">
        <f t="shared" si="33"/>
        <v>0</v>
      </c>
      <c r="AE60" s="66">
        <f t="shared" si="33"/>
        <v>0</v>
      </c>
      <c r="AF60" s="66">
        <f t="shared" si="33"/>
        <v>0</v>
      </c>
      <c r="AG60" s="66">
        <f t="shared" si="33"/>
        <v>0</v>
      </c>
      <c r="AH60" s="66">
        <f t="shared" si="33"/>
        <v>0</v>
      </c>
      <c r="AI60" s="66">
        <f t="shared" si="33"/>
        <v>0</v>
      </c>
      <c r="AJ60" s="66">
        <f t="shared" si="33"/>
        <v>0</v>
      </c>
      <c r="AK60" s="66">
        <f t="shared" ref="AK60:BM60" si="34">AK15*$E$83</f>
        <v>0</v>
      </c>
      <c r="AL60" s="66">
        <f t="shared" si="34"/>
        <v>0</v>
      </c>
      <c r="AM60" s="66">
        <f t="shared" si="34"/>
        <v>0</v>
      </c>
      <c r="AN60" s="66">
        <f t="shared" si="34"/>
        <v>0</v>
      </c>
      <c r="AO60" s="66">
        <f t="shared" si="34"/>
        <v>0</v>
      </c>
      <c r="AP60" s="66">
        <f t="shared" si="34"/>
        <v>0</v>
      </c>
      <c r="AQ60" s="66">
        <f t="shared" si="34"/>
        <v>0</v>
      </c>
      <c r="AR60" s="66">
        <f t="shared" si="34"/>
        <v>0</v>
      </c>
      <c r="AS60" s="66">
        <f t="shared" si="34"/>
        <v>0</v>
      </c>
      <c r="AT60" s="66">
        <f t="shared" si="34"/>
        <v>0</v>
      </c>
      <c r="AU60" s="66">
        <f t="shared" si="34"/>
        <v>0</v>
      </c>
      <c r="AV60" s="66">
        <f t="shared" si="34"/>
        <v>0</v>
      </c>
      <c r="AW60" s="66">
        <f t="shared" si="34"/>
        <v>0</v>
      </c>
      <c r="AX60" s="66">
        <f t="shared" si="34"/>
        <v>0</v>
      </c>
      <c r="AY60" s="66">
        <f t="shared" si="34"/>
        <v>0</v>
      </c>
      <c r="AZ60" s="66">
        <f t="shared" si="34"/>
        <v>0</v>
      </c>
      <c r="BA60" s="66">
        <f t="shared" si="34"/>
        <v>0</v>
      </c>
      <c r="BB60" s="66">
        <f t="shared" si="34"/>
        <v>0</v>
      </c>
      <c r="BC60" s="66">
        <f t="shared" si="34"/>
        <v>0</v>
      </c>
      <c r="BD60" s="66">
        <f t="shared" si="34"/>
        <v>0</v>
      </c>
      <c r="BE60" s="66">
        <f t="shared" si="34"/>
        <v>0</v>
      </c>
      <c r="BF60" s="66">
        <f t="shared" si="34"/>
        <v>0</v>
      </c>
      <c r="BG60" s="66">
        <f t="shared" si="34"/>
        <v>0</v>
      </c>
      <c r="BH60" s="66">
        <f t="shared" si="34"/>
        <v>0</v>
      </c>
      <c r="BI60" s="66">
        <f t="shared" si="34"/>
        <v>0</v>
      </c>
      <c r="BJ60" s="66">
        <f t="shared" si="34"/>
        <v>0</v>
      </c>
      <c r="BK60" s="66">
        <f t="shared" si="34"/>
        <v>0</v>
      </c>
      <c r="BL60" s="66">
        <f t="shared" si="34"/>
        <v>0</v>
      </c>
      <c r="BM60" s="66">
        <f t="shared" si="34"/>
        <v>0</v>
      </c>
      <c r="BN60" s="15"/>
    </row>
    <row r="61" spans="2:66" ht="13.8" customHeight="1" x14ac:dyDescent="0.3">
      <c r="B61" s="12"/>
      <c r="C61" s="14" t="s">
        <v>147</v>
      </c>
      <c r="D61" s="14" t="s">
        <v>148</v>
      </c>
      <c r="E61" s="66">
        <v>9.1000000000000004E-3</v>
      </c>
      <c r="F61" s="66">
        <v>9.7000000000000003E-3</v>
      </c>
      <c r="G61" s="66">
        <v>1.04E-2</v>
      </c>
      <c r="H61" s="66">
        <v>1.0800000000000001E-2</v>
      </c>
      <c r="I61" s="66">
        <v>1.1299999999999999E-2</v>
      </c>
      <c r="J61" s="66">
        <v>1.12E-2</v>
      </c>
      <c r="K61" s="66">
        <v>1.12E-2</v>
      </c>
      <c r="L61" s="66">
        <v>1.14E-2</v>
      </c>
      <c r="M61" s="66">
        <v>1.1599999999999999E-2</v>
      </c>
      <c r="N61" s="66">
        <v>1.5100000000000001E-2</v>
      </c>
      <c r="O61" s="66">
        <v>1.9300000000000001E-2</v>
      </c>
      <c r="P61" s="66">
        <v>9.1000000000000004E-3</v>
      </c>
      <c r="Q61" s="66">
        <v>1.37E-2</v>
      </c>
      <c r="R61" s="66">
        <v>1.4492477908962647E-2</v>
      </c>
      <c r="S61" s="66">
        <v>1.529945236504047E-2</v>
      </c>
      <c r="T61" s="66">
        <v>1.6119906066681518E-2</v>
      </c>
      <c r="U61" s="66">
        <v>1.6954093339273776E-2</v>
      </c>
      <c r="V61" s="66">
        <v>1.7800996881265314E-2</v>
      </c>
      <c r="W61" s="66">
        <v>1.8660616692656125E-2</v>
      </c>
      <c r="X61" s="66">
        <v>1.9532952773446202E-2</v>
      </c>
      <c r="Y61" s="66">
        <v>2.0416479171307639E-2</v>
      </c>
      <c r="Z61" s="66">
        <v>2.0815261379668815E-2</v>
      </c>
      <c r="AA61" s="66">
        <v>2.1214552238805969E-2</v>
      </c>
      <c r="AB61" s="66">
        <v>2.1613588772555134E-2</v>
      </c>
      <c r="AC61" s="66">
        <v>2.2012625306304302E-2</v>
      </c>
      <c r="AD61" s="66">
        <v>2.2411407514665475E-2</v>
      </c>
      <c r="AE61" s="66">
        <f t="shared" ref="AE61:BM61" si="35">AE16*$E$83</f>
        <v>1.0890402920878483E-2</v>
      </c>
      <c r="AF61" s="66">
        <f t="shared" si="35"/>
        <v>1.0730287575993487E-2</v>
      </c>
      <c r="AG61" s="66">
        <f t="shared" si="35"/>
        <v>1.0575236263505827E-2</v>
      </c>
      <c r="AH61" s="66">
        <f t="shared" si="35"/>
        <v>1.0425276678150035E-2</v>
      </c>
      <c r="AI61" s="66">
        <f t="shared" si="35"/>
        <v>1.0280330851642268E-2</v>
      </c>
      <c r="AJ61" s="66">
        <f t="shared" si="35"/>
        <v>1.014034997615495E-2</v>
      </c>
      <c r="AK61" s="66">
        <f t="shared" si="35"/>
        <v>1.000527583745745E-2</v>
      </c>
      <c r="AL61" s="66">
        <f t="shared" si="35"/>
        <v>9.8750123637305186E-3</v>
      </c>
      <c r="AM61" s="66">
        <f t="shared" si="35"/>
        <v>9.7494588694703125E-3</v>
      </c>
      <c r="AN61" s="66">
        <f t="shared" si="35"/>
        <v>9.6285081254339853E-3</v>
      </c>
      <c r="AO61" s="66">
        <f t="shared" si="35"/>
        <v>9.5120455058585775E-3</v>
      </c>
      <c r="AP61" s="66">
        <f t="shared" si="35"/>
        <v>9.3999594180082368E-3</v>
      </c>
      <c r="AQ61" s="66">
        <f t="shared" si="35"/>
        <v>9.2921387429416268E-3</v>
      </c>
      <c r="AR61" s="66">
        <f t="shared" si="35"/>
        <v>9.1884665631699509E-3</v>
      </c>
      <c r="AS61" s="66">
        <f t="shared" si="35"/>
        <v>9.0863373441721126E-3</v>
      </c>
      <c r="AT61" s="66">
        <f t="shared" si="35"/>
        <v>8.9614303206786636E-3</v>
      </c>
      <c r="AU61" s="66">
        <f t="shared" si="35"/>
        <v>8.8427966191872986E-3</v>
      </c>
      <c r="AV61" s="66">
        <f t="shared" si="35"/>
        <v>8.7302328497275757E-3</v>
      </c>
      <c r="AW61" s="66">
        <f t="shared" si="35"/>
        <v>8.6235475472874884E-3</v>
      </c>
      <c r="AX61" s="66">
        <f t="shared" si="35"/>
        <v>8.5225606322151364E-3</v>
      </c>
      <c r="AY61" s="66">
        <f t="shared" si="35"/>
        <v>8.4271029062953379E-3</v>
      </c>
      <c r="AZ61" s="66">
        <f t="shared" si="35"/>
        <v>8.3370155825365014E-3</v>
      </c>
      <c r="BA61" s="66">
        <f t="shared" si="35"/>
        <v>8.2521498468461924E-3</v>
      </c>
      <c r="BB61" s="66">
        <f t="shared" si="35"/>
        <v>8.1723664499081614E-3</v>
      </c>
      <c r="BC61" s="66">
        <f t="shared" si="35"/>
        <v>8.0975353276993307E-3</v>
      </c>
      <c r="BD61" s="66">
        <f t="shared" si="35"/>
        <v>8.0275352492036479E-3</v>
      </c>
      <c r="BE61" s="66">
        <f t="shared" si="35"/>
        <v>7.9622534899907588E-3</v>
      </c>
      <c r="BF61" s="66">
        <f t="shared" si="35"/>
        <v>7.9015855304322598E-3</v>
      </c>
      <c r="BG61" s="66">
        <f t="shared" si="35"/>
        <v>7.8454347774271019E-3</v>
      </c>
      <c r="BH61" s="66">
        <f t="shared" si="35"/>
        <v>7.793712308601106E-3</v>
      </c>
      <c r="BI61" s="66">
        <f t="shared" si="35"/>
        <v>7.7463366380340669E-3</v>
      </c>
      <c r="BJ61" s="66">
        <f t="shared" si="35"/>
        <v>7.7032335026517721E-3</v>
      </c>
      <c r="BK61" s="66">
        <f t="shared" si="35"/>
        <v>7.6643356685003388E-3</v>
      </c>
      <c r="BL61" s="66">
        <f t="shared" si="35"/>
        <v>7.6295827561963037E-3</v>
      </c>
      <c r="BM61" s="66">
        <f t="shared" si="35"/>
        <v>7.5989210849189441E-3</v>
      </c>
      <c r="BN61" s="15"/>
    </row>
    <row r="62" spans="2:66" x14ac:dyDescent="0.3">
      <c r="B62" s="12"/>
      <c r="C62" s="14" t="s">
        <v>149</v>
      </c>
      <c r="D62" s="14" t="s">
        <v>150</v>
      </c>
      <c r="E62" s="66">
        <f t="shared" ref="E62:AD62" si="36">E17*$E$83</f>
        <v>0</v>
      </c>
      <c r="F62" s="66">
        <f t="shared" si="36"/>
        <v>0</v>
      </c>
      <c r="G62" s="66">
        <f t="shared" si="36"/>
        <v>0</v>
      </c>
      <c r="H62" s="66">
        <f t="shared" si="36"/>
        <v>0</v>
      </c>
      <c r="I62" s="66">
        <f t="shared" si="36"/>
        <v>0</v>
      </c>
      <c r="J62" s="66">
        <f t="shared" si="36"/>
        <v>0</v>
      </c>
      <c r="K62" s="66">
        <f t="shared" si="36"/>
        <v>0</v>
      </c>
      <c r="L62" s="66">
        <f t="shared" si="36"/>
        <v>0</v>
      </c>
      <c r="M62" s="66">
        <f t="shared" si="36"/>
        <v>0</v>
      </c>
      <c r="N62" s="66">
        <f t="shared" si="36"/>
        <v>0</v>
      </c>
      <c r="O62" s="66">
        <f t="shared" si="36"/>
        <v>0</v>
      </c>
      <c r="P62" s="66">
        <f t="shared" si="36"/>
        <v>0</v>
      </c>
      <c r="Q62" s="66">
        <f t="shared" si="36"/>
        <v>0</v>
      </c>
      <c r="R62" s="66">
        <f t="shared" si="36"/>
        <v>0</v>
      </c>
      <c r="S62" s="66">
        <f t="shared" si="36"/>
        <v>0</v>
      </c>
      <c r="T62" s="66">
        <f t="shared" si="36"/>
        <v>0</v>
      </c>
      <c r="U62" s="66">
        <f t="shared" si="36"/>
        <v>0</v>
      </c>
      <c r="V62" s="66">
        <f t="shared" si="36"/>
        <v>0</v>
      </c>
      <c r="W62" s="66">
        <f t="shared" si="36"/>
        <v>0</v>
      </c>
      <c r="X62" s="66">
        <f t="shared" si="36"/>
        <v>0</v>
      </c>
      <c r="Y62" s="66">
        <f t="shared" si="36"/>
        <v>0</v>
      </c>
      <c r="Z62" s="66">
        <f t="shared" si="36"/>
        <v>0</v>
      </c>
      <c r="AA62" s="66">
        <f t="shared" si="36"/>
        <v>0</v>
      </c>
      <c r="AB62" s="66">
        <f t="shared" si="36"/>
        <v>0</v>
      </c>
      <c r="AC62" s="66">
        <f t="shared" si="36"/>
        <v>0</v>
      </c>
      <c r="AD62" s="66">
        <f t="shared" si="36"/>
        <v>0</v>
      </c>
      <c r="AE62" s="66">
        <f t="shared" ref="AE62:BM62" si="37">AE17*$E$83</f>
        <v>0</v>
      </c>
      <c r="AF62" s="66">
        <f t="shared" si="37"/>
        <v>0</v>
      </c>
      <c r="AG62" s="66">
        <f t="shared" si="37"/>
        <v>0</v>
      </c>
      <c r="AH62" s="66">
        <f t="shared" si="37"/>
        <v>0</v>
      </c>
      <c r="AI62" s="66">
        <f t="shared" si="37"/>
        <v>0</v>
      </c>
      <c r="AJ62" s="66">
        <f t="shared" si="37"/>
        <v>0</v>
      </c>
      <c r="AK62" s="66">
        <f t="shared" si="37"/>
        <v>0</v>
      </c>
      <c r="AL62" s="66">
        <f t="shared" si="37"/>
        <v>0</v>
      </c>
      <c r="AM62" s="66">
        <f t="shared" si="37"/>
        <v>0</v>
      </c>
      <c r="AN62" s="66">
        <f t="shared" si="37"/>
        <v>0</v>
      </c>
      <c r="AO62" s="66">
        <f t="shared" si="37"/>
        <v>0</v>
      </c>
      <c r="AP62" s="66">
        <f t="shared" si="37"/>
        <v>0</v>
      </c>
      <c r="AQ62" s="66">
        <f t="shared" si="37"/>
        <v>0</v>
      </c>
      <c r="AR62" s="66">
        <f t="shared" si="37"/>
        <v>0</v>
      </c>
      <c r="AS62" s="66">
        <f t="shared" si="37"/>
        <v>0</v>
      </c>
      <c r="AT62" s="66">
        <f t="shared" si="37"/>
        <v>0</v>
      </c>
      <c r="AU62" s="66">
        <f t="shared" si="37"/>
        <v>0</v>
      </c>
      <c r="AV62" s="66">
        <f t="shared" si="37"/>
        <v>0</v>
      </c>
      <c r="AW62" s="66">
        <f t="shared" si="37"/>
        <v>0</v>
      </c>
      <c r="AX62" s="66">
        <f t="shared" si="37"/>
        <v>0</v>
      </c>
      <c r="AY62" s="66">
        <f t="shared" si="37"/>
        <v>0</v>
      </c>
      <c r="AZ62" s="66">
        <f t="shared" si="37"/>
        <v>0</v>
      </c>
      <c r="BA62" s="66">
        <f t="shared" si="37"/>
        <v>0</v>
      </c>
      <c r="BB62" s="66">
        <f t="shared" si="37"/>
        <v>0</v>
      </c>
      <c r="BC62" s="66">
        <f t="shared" si="37"/>
        <v>0</v>
      </c>
      <c r="BD62" s="66">
        <f t="shared" si="37"/>
        <v>0</v>
      </c>
      <c r="BE62" s="66">
        <f t="shared" si="37"/>
        <v>0</v>
      </c>
      <c r="BF62" s="66">
        <f t="shared" si="37"/>
        <v>0</v>
      </c>
      <c r="BG62" s="66">
        <f t="shared" si="37"/>
        <v>0</v>
      </c>
      <c r="BH62" s="66">
        <f t="shared" si="37"/>
        <v>0</v>
      </c>
      <c r="BI62" s="66">
        <f t="shared" si="37"/>
        <v>0</v>
      </c>
      <c r="BJ62" s="66">
        <f t="shared" si="37"/>
        <v>0</v>
      </c>
      <c r="BK62" s="66">
        <f t="shared" si="37"/>
        <v>0</v>
      </c>
      <c r="BL62" s="66">
        <f t="shared" si="37"/>
        <v>0</v>
      </c>
      <c r="BM62" s="66">
        <f t="shared" si="37"/>
        <v>0</v>
      </c>
      <c r="BN62" s="15"/>
    </row>
    <row r="63" spans="2:66" x14ac:dyDescent="0.3">
      <c r="B63" s="12"/>
      <c r="C63" s="14" t="s">
        <v>151</v>
      </c>
      <c r="D63" s="14" t="s">
        <v>152</v>
      </c>
      <c r="E63" s="66">
        <f t="shared" ref="E63:AD63" si="38">E18*$E$83</f>
        <v>0</v>
      </c>
      <c r="F63" s="66">
        <f t="shared" si="38"/>
        <v>0</v>
      </c>
      <c r="G63" s="66">
        <f t="shared" si="38"/>
        <v>0</v>
      </c>
      <c r="H63" s="66">
        <f t="shared" si="38"/>
        <v>0</v>
      </c>
      <c r="I63" s="66">
        <f t="shared" si="38"/>
        <v>0</v>
      </c>
      <c r="J63" s="66">
        <f t="shared" si="38"/>
        <v>0</v>
      </c>
      <c r="K63" s="66">
        <f t="shared" si="38"/>
        <v>0</v>
      </c>
      <c r="L63" s="66">
        <f t="shared" si="38"/>
        <v>0</v>
      </c>
      <c r="M63" s="66">
        <f t="shared" si="38"/>
        <v>0</v>
      </c>
      <c r="N63" s="66">
        <f t="shared" si="38"/>
        <v>0</v>
      </c>
      <c r="O63" s="66">
        <f t="shared" si="38"/>
        <v>0</v>
      </c>
      <c r="P63" s="66">
        <f t="shared" si="38"/>
        <v>0</v>
      </c>
      <c r="Q63" s="66">
        <f t="shared" si="38"/>
        <v>0</v>
      </c>
      <c r="R63" s="66">
        <f t="shared" si="38"/>
        <v>0</v>
      </c>
      <c r="S63" s="66">
        <f t="shared" si="38"/>
        <v>0</v>
      </c>
      <c r="T63" s="66">
        <f t="shared" si="38"/>
        <v>0</v>
      </c>
      <c r="U63" s="66">
        <f t="shared" si="38"/>
        <v>0</v>
      </c>
      <c r="V63" s="66">
        <f t="shared" si="38"/>
        <v>0</v>
      </c>
      <c r="W63" s="66">
        <f t="shared" si="38"/>
        <v>0</v>
      </c>
      <c r="X63" s="66">
        <f t="shared" si="38"/>
        <v>0</v>
      </c>
      <c r="Y63" s="66">
        <f t="shared" si="38"/>
        <v>0</v>
      </c>
      <c r="Z63" s="66">
        <f t="shared" si="38"/>
        <v>0</v>
      </c>
      <c r="AA63" s="66">
        <f t="shared" si="38"/>
        <v>0</v>
      </c>
      <c r="AB63" s="66">
        <f t="shared" si="38"/>
        <v>0</v>
      </c>
      <c r="AC63" s="66">
        <f t="shared" si="38"/>
        <v>0</v>
      </c>
      <c r="AD63" s="66">
        <f t="shared" si="38"/>
        <v>0</v>
      </c>
      <c r="AE63" s="66">
        <f t="shared" ref="AE63:BM63" si="39">AE18*$E$83</f>
        <v>0</v>
      </c>
      <c r="AF63" s="66">
        <f t="shared" si="39"/>
        <v>0</v>
      </c>
      <c r="AG63" s="66">
        <f t="shared" si="39"/>
        <v>0</v>
      </c>
      <c r="AH63" s="66">
        <f t="shared" si="39"/>
        <v>0</v>
      </c>
      <c r="AI63" s="66">
        <f t="shared" si="39"/>
        <v>0</v>
      </c>
      <c r="AJ63" s="66">
        <f t="shared" si="39"/>
        <v>0</v>
      </c>
      <c r="AK63" s="66">
        <f t="shared" si="39"/>
        <v>0</v>
      </c>
      <c r="AL63" s="66">
        <f t="shared" si="39"/>
        <v>0</v>
      </c>
      <c r="AM63" s="66">
        <f t="shared" si="39"/>
        <v>0</v>
      </c>
      <c r="AN63" s="66">
        <f t="shared" si="39"/>
        <v>0</v>
      </c>
      <c r="AO63" s="66">
        <f t="shared" si="39"/>
        <v>0</v>
      </c>
      <c r="AP63" s="66">
        <f t="shared" si="39"/>
        <v>0</v>
      </c>
      <c r="AQ63" s="66">
        <f t="shared" si="39"/>
        <v>0</v>
      </c>
      <c r="AR63" s="66">
        <f t="shared" si="39"/>
        <v>0</v>
      </c>
      <c r="AS63" s="66">
        <f t="shared" si="39"/>
        <v>0</v>
      </c>
      <c r="AT63" s="66">
        <f t="shared" si="39"/>
        <v>0</v>
      </c>
      <c r="AU63" s="66">
        <f t="shared" si="39"/>
        <v>0</v>
      </c>
      <c r="AV63" s="66">
        <f t="shared" si="39"/>
        <v>0</v>
      </c>
      <c r="AW63" s="66">
        <f t="shared" si="39"/>
        <v>0</v>
      </c>
      <c r="AX63" s="66">
        <f t="shared" si="39"/>
        <v>0</v>
      </c>
      <c r="AY63" s="66">
        <f t="shared" si="39"/>
        <v>0</v>
      </c>
      <c r="AZ63" s="66">
        <f t="shared" si="39"/>
        <v>0</v>
      </c>
      <c r="BA63" s="66">
        <f t="shared" si="39"/>
        <v>0</v>
      </c>
      <c r="BB63" s="66">
        <f t="shared" si="39"/>
        <v>0</v>
      </c>
      <c r="BC63" s="66">
        <f t="shared" si="39"/>
        <v>0</v>
      </c>
      <c r="BD63" s="66">
        <f t="shared" si="39"/>
        <v>0</v>
      </c>
      <c r="BE63" s="66">
        <f t="shared" si="39"/>
        <v>0</v>
      </c>
      <c r="BF63" s="66">
        <f t="shared" si="39"/>
        <v>0</v>
      </c>
      <c r="BG63" s="66">
        <f t="shared" si="39"/>
        <v>0</v>
      </c>
      <c r="BH63" s="66">
        <f t="shared" si="39"/>
        <v>0</v>
      </c>
      <c r="BI63" s="66">
        <f t="shared" si="39"/>
        <v>0</v>
      </c>
      <c r="BJ63" s="66">
        <f t="shared" si="39"/>
        <v>0</v>
      </c>
      <c r="BK63" s="66">
        <f t="shared" si="39"/>
        <v>0</v>
      </c>
      <c r="BL63" s="66">
        <f t="shared" si="39"/>
        <v>0</v>
      </c>
      <c r="BM63" s="66">
        <f t="shared" si="39"/>
        <v>0</v>
      </c>
      <c r="BN63" s="15"/>
    </row>
    <row r="64" spans="2:66" x14ac:dyDescent="0.3">
      <c r="B64" s="12"/>
      <c r="C64" s="14"/>
      <c r="D64" s="14"/>
      <c r="E64" s="134">
        <f t="shared" ref="E64:AJ64" si="40">E19*E83</f>
        <v>4.0672458767841073</v>
      </c>
      <c r="F64" s="134">
        <f t="shared" si="40"/>
        <v>4.2162448360550338</v>
      </c>
      <c r="G64" s="134">
        <f t="shared" si="40"/>
        <v>4.3482153428378556</v>
      </c>
      <c r="H64" s="134">
        <f t="shared" si="40"/>
        <v>4.9634533312331239</v>
      </c>
      <c r="I64" s="134">
        <f t="shared" si="40"/>
        <v>5.6248384258711592</v>
      </c>
      <c r="J64" s="134">
        <f t="shared" si="40"/>
        <v>5.2972109999999999</v>
      </c>
      <c r="K64" s="134">
        <f t="shared" si="40"/>
        <v>5.0569395353928268</v>
      </c>
      <c r="L64" s="134">
        <f t="shared" si="40"/>
        <v>5.0416139281535308</v>
      </c>
      <c r="M64" s="134">
        <f t="shared" si="40"/>
        <v>5.042124781728174</v>
      </c>
      <c r="N64" s="134">
        <f t="shared" si="40"/>
        <v>5.0625589247139002</v>
      </c>
      <c r="O64" s="134">
        <f t="shared" si="40"/>
        <v>5.0826524986498667</v>
      </c>
      <c r="P64" s="134">
        <f t="shared" si="40"/>
        <v>5.0809549117557236</v>
      </c>
      <c r="Q64" s="134">
        <f t="shared" si="40"/>
        <v>5.0240000000000009</v>
      </c>
      <c r="R64" s="134">
        <f t="shared" si="40"/>
        <v>5.1685634338124915</v>
      </c>
      <c r="S64" s="134">
        <f t="shared" si="40"/>
        <v>5.3182250681228282</v>
      </c>
      <c r="T64" s="134">
        <f t="shared" si="40"/>
        <v>5.4711369419171829</v>
      </c>
      <c r="U64" s="134">
        <f t="shared" si="40"/>
        <v>5.6266965960773829</v>
      </c>
      <c r="V64" s="134">
        <f t="shared" si="40"/>
        <v>5.784625773360573</v>
      </c>
      <c r="W64" s="134">
        <f t="shared" si="40"/>
        <v>5.9446357997363464</v>
      </c>
      <c r="X64" s="134">
        <f t="shared" si="40"/>
        <v>6.1064840769537838</v>
      </c>
      <c r="Y64" s="134">
        <f t="shared" si="40"/>
        <v>6.2700131699464112</v>
      </c>
      <c r="Z64" s="134">
        <f t="shared" si="40"/>
        <v>7.7465395100699928</v>
      </c>
      <c r="AA64" s="134">
        <f t="shared" si="40"/>
        <v>7.8706083916299852</v>
      </c>
      <c r="AB64" s="134">
        <f t="shared" si="40"/>
        <v>7.9951299518475052</v>
      </c>
      <c r="AC64" s="134">
        <f t="shared" si="40"/>
        <v>8.1199589570399979</v>
      </c>
      <c r="AD64" s="134">
        <f t="shared" si="40"/>
        <v>8.2449715762124924</v>
      </c>
      <c r="AE64" s="134">
        <f t="shared" si="40"/>
        <v>8.3700029713499919</v>
      </c>
      <c r="AF64" s="134">
        <f t="shared" si="40"/>
        <v>8.494898590684981</v>
      </c>
      <c r="AG64" s="134">
        <f t="shared" si="40"/>
        <v>8.6194485433400008</v>
      </c>
      <c r="AH64" s="134">
        <f t="shared" si="40"/>
        <v>8.7434326801124929</v>
      </c>
      <c r="AI64" s="134">
        <f t="shared" si="40"/>
        <v>8.8667092647499874</v>
      </c>
      <c r="AJ64" s="134">
        <f t="shared" si="40"/>
        <v>8.9891083662099796</v>
      </c>
      <c r="AK64" s="134">
        <f t="shared" ref="AK64:BM64" si="41">AK19*AK83</f>
        <v>9.1104639480000014</v>
      </c>
      <c r="AL64" s="134">
        <f t="shared" si="41"/>
        <v>9.2306420943574938</v>
      </c>
      <c r="AM64" s="134">
        <f t="shared" si="41"/>
        <v>9.3495142681599877</v>
      </c>
      <c r="AN64" s="134">
        <f t="shared" si="41"/>
        <v>9.4669603659749839</v>
      </c>
      <c r="AO64" s="134">
        <f t="shared" si="41"/>
        <v>9.5828709766800042</v>
      </c>
      <c r="AP64" s="134">
        <f t="shared" si="41"/>
        <v>9.6971381208649987</v>
      </c>
      <c r="AQ64" s="134">
        <f t="shared" si="41"/>
        <v>9.8096581775849891</v>
      </c>
      <c r="AR64" s="134">
        <f t="shared" si="41"/>
        <v>9.9203391752349859</v>
      </c>
      <c r="AS64" s="134">
        <f t="shared" si="41"/>
        <v>10.031842463500002</v>
      </c>
      <c r="AT64" s="134">
        <f t="shared" si="41"/>
        <v>10.171669202918993</v>
      </c>
      <c r="AU64" s="134">
        <f t="shared" si="41"/>
        <v>10.308130869951983</v>
      </c>
      <c r="AV64" s="134">
        <f t="shared" si="41"/>
        <v>10.441039360112374</v>
      </c>
      <c r="AW64" s="134">
        <f t="shared" si="41"/>
        <v>10.570209569450736</v>
      </c>
      <c r="AX64" s="134">
        <f t="shared" si="41"/>
        <v>10.695459820185489</v>
      </c>
      <c r="AY64" s="134">
        <f t="shared" si="41"/>
        <v>10.816612283072679</v>
      </c>
      <c r="AZ64" s="134">
        <f t="shared" si="41"/>
        <v>10.933493395153141</v>
      </c>
      <c r="BA64" s="134">
        <f t="shared" si="41"/>
        <v>11.045934271514517</v>
      </c>
      <c r="BB64" s="134">
        <f t="shared" si="41"/>
        <v>11.153771109710332</v>
      </c>
      <c r="BC64" s="134">
        <f t="shared" si="41"/>
        <v>11.256845585488778</v>
      </c>
      <c r="BD64" s="134">
        <f t="shared" si="41"/>
        <v>11.3550052385001</v>
      </c>
      <c r="BE64" s="134">
        <f t="shared" si="41"/>
        <v>11.448103846673364</v>
      </c>
      <c r="BF64" s="134">
        <f t="shared" si="41"/>
        <v>11.536001787981037</v>
      </c>
      <c r="BG64" s="134">
        <f t="shared" si="41"/>
        <v>11.618566388342982</v>
      </c>
      <c r="BH64" s="134">
        <f t="shared" si="41"/>
        <v>11.695672254460293</v>
      </c>
      <c r="BI64" s="134">
        <f t="shared" si="41"/>
        <v>11.767201590413343</v>
      </c>
      <c r="BJ64" s="134">
        <f t="shared" si="41"/>
        <v>11.833044496908096</v>
      </c>
      <c r="BK64" s="134">
        <f t="shared" si="41"/>
        <v>11.893099252108728</v>
      </c>
      <c r="BL64" s="134">
        <f t="shared" si="41"/>
        <v>11.947272573054233</v>
      </c>
      <c r="BM64" s="134">
        <f t="shared" si="41"/>
        <v>11.995479856720204</v>
      </c>
      <c r="BN64" s="15"/>
    </row>
    <row r="65" spans="2:66" x14ac:dyDescent="0.3">
      <c r="B65" s="12"/>
      <c r="C65" s="13" t="s">
        <v>194</v>
      </c>
      <c r="D65" s="1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43"/>
      <c r="AA65" s="43"/>
      <c r="AB65" s="43"/>
      <c r="AC65" s="43"/>
      <c r="AD65" s="43"/>
      <c r="AE65" s="43"/>
      <c r="AF65" s="43"/>
      <c r="AG65" s="43"/>
      <c r="AH65" s="43"/>
      <c r="AI65" s="43"/>
      <c r="AJ65" s="43"/>
      <c r="AK65" s="43"/>
      <c r="AL65" s="43"/>
      <c r="AM65" s="43"/>
      <c r="AN65" s="43"/>
      <c r="AO65" s="43"/>
      <c r="AP65" s="43"/>
      <c r="AQ65" s="43"/>
      <c r="AR65" s="43"/>
      <c r="AS65" s="43"/>
      <c r="AT65" s="43"/>
      <c r="AU65" s="43"/>
      <c r="AV65" s="43"/>
      <c r="AW65" s="43"/>
      <c r="AX65" s="43"/>
      <c r="AY65" s="43"/>
      <c r="AZ65" s="43"/>
      <c r="BA65" s="43"/>
      <c r="BB65" s="43"/>
      <c r="BC65" s="43"/>
      <c r="BD65" s="43"/>
      <c r="BE65" s="43"/>
      <c r="BF65" s="43"/>
      <c r="BG65" s="43"/>
      <c r="BH65" s="43"/>
      <c r="BI65" s="43"/>
      <c r="BJ65" s="43"/>
      <c r="BK65" s="43"/>
      <c r="BL65" s="43"/>
      <c r="BM65" s="43"/>
      <c r="BN65" s="15"/>
    </row>
    <row r="66" spans="2:66" x14ac:dyDescent="0.3">
      <c r="B66" s="12"/>
      <c r="C66" s="14" t="s">
        <v>53</v>
      </c>
      <c r="D66" s="23" t="s">
        <v>24</v>
      </c>
      <c r="E66" s="43">
        <f t="shared" ref="E66:AJ66" si="42">E25*$E$83</f>
        <v>9.8240440303658194E-2</v>
      </c>
      <c r="F66" s="43">
        <f t="shared" si="42"/>
        <v>0.10228270293776896</v>
      </c>
      <c r="G66" s="43">
        <f t="shared" si="42"/>
        <v>0.1055069365124764</v>
      </c>
      <c r="H66" s="43">
        <f t="shared" si="42"/>
        <v>0.1148767803483683</v>
      </c>
      <c r="I66" s="43">
        <f t="shared" si="42"/>
        <v>0.11271965222919475</v>
      </c>
      <c r="J66" s="43">
        <f t="shared" si="42"/>
        <v>0.11274405570445548</v>
      </c>
      <c r="K66" s="43">
        <f t="shared" si="42"/>
        <v>0.11125544371355249</v>
      </c>
      <c r="L66" s="43">
        <f t="shared" si="42"/>
        <v>0.15708517025315585</v>
      </c>
      <c r="M66" s="43">
        <f t="shared" si="42"/>
        <v>0.16353744911208615</v>
      </c>
      <c r="N66" s="43">
        <f t="shared" si="42"/>
        <v>0.15286336903305392</v>
      </c>
      <c r="O66" s="43">
        <f t="shared" si="42"/>
        <v>0.15567464938308712</v>
      </c>
      <c r="P66" s="43">
        <f t="shared" si="42"/>
        <v>0.15674840229455808</v>
      </c>
      <c r="Q66" s="43">
        <f t="shared" si="42"/>
        <v>0.16357844695052409</v>
      </c>
      <c r="R66" s="43">
        <f t="shared" si="42"/>
        <v>0.17235198437625265</v>
      </c>
      <c r="S66" s="43">
        <f t="shared" si="42"/>
        <v>0.17235198437625265</v>
      </c>
      <c r="T66" s="43">
        <f t="shared" si="42"/>
        <v>0.16642462550830503</v>
      </c>
      <c r="U66" s="43">
        <f t="shared" si="42"/>
        <v>0.16049726664035666</v>
      </c>
      <c r="V66" s="43">
        <f t="shared" si="42"/>
        <v>0.15456990777240828</v>
      </c>
      <c r="W66" s="43">
        <f t="shared" si="42"/>
        <v>0.14864254890445991</v>
      </c>
      <c r="X66" s="43">
        <f t="shared" si="42"/>
        <v>0.14271519003651156</v>
      </c>
      <c r="Y66" s="43">
        <f t="shared" si="42"/>
        <v>0.13678783116856302</v>
      </c>
      <c r="Z66" s="43">
        <f t="shared" si="42"/>
        <v>0.13699952255670406</v>
      </c>
      <c r="AA66" s="43">
        <f t="shared" si="42"/>
        <v>0.13721121394484503</v>
      </c>
      <c r="AB66" s="43">
        <f t="shared" si="42"/>
        <v>0.13742290533298607</v>
      </c>
      <c r="AC66" s="43">
        <f t="shared" si="42"/>
        <v>0.1376345967211271</v>
      </c>
      <c r="AD66" s="43">
        <f t="shared" si="42"/>
        <v>0.13784628810926808</v>
      </c>
      <c r="AE66" s="43">
        <f t="shared" si="42"/>
        <v>0.13805797949740914</v>
      </c>
      <c r="AF66" s="43">
        <f t="shared" si="42"/>
        <v>0.13826967088555012</v>
      </c>
      <c r="AG66" s="43">
        <f t="shared" si="42"/>
        <v>0.13848136227369115</v>
      </c>
      <c r="AH66" s="43">
        <f t="shared" si="42"/>
        <v>0.13869305366183218</v>
      </c>
      <c r="AI66" s="43">
        <f t="shared" si="42"/>
        <v>0.13890474504997316</v>
      </c>
      <c r="AJ66" s="43">
        <f t="shared" si="42"/>
        <v>0.13911643643811419</v>
      </c>
      <c r="AK66" s="43">
        <f t="shared" ref="AK66:BM66" si="43">AK25*$E$83</f>
        <v>0.13932812782625517</v>
      </c>
      <c r="AL66" s="43">
        <f t="shared" si="43"/>
        <v>0.13953981921439623</v>
      </c>
      <c r="AM66" s="43">
        <f t="shared" si="43"/>
        <v>0.13975151060253727</v>
      </c>
      <c r="AN66" s="43">
        <f t="shared" si="43"/>
        <v>0.13996320199067824</v>
      </c>
      <c r="AO66" s="43">
        <f t="shared" si="43"/>
        <v>0.14017489337881928</v>
      </c>
      <c r="AP66" s="43">
        <f t="shared" si="43"/>
        <v>0.14038658476696025</v>
      </c>
      <c r="AQ66" s="43">
        <f t="shared" si="43"/>
        <v>0.14059827615510129</v>
      </c>
      <c r="AR66" s="43">
        <f t="shared" si="43"/>
        <v>0.14080996754324232</v>
      </c>
      <c r="AS66" s="43">
        <f t="shared" si="43"/>
        <v>0.1410216589313833</v>
      </c>
      <c r="AT66" s="43">
        <f t="shared" si="43"/>
        <v>0.1410216589313833</v>
      </c>
      <c r="AU66" s="43">
        <f t="shared" si="43"/>
        <v>0.1410216589313833</v>
      </c>
      <c r="AV66" s="43">
        <f t="shared" si="43"/>
        <v>0.1410216589313833</v>
      </c>
      <c r="AW66" s="43">
        <f t="shared" si="43"/>
        <v>0.1410216589313833</v>
      </c>
      <c r="AX66" s="43">
        <f t="shared" si="43"/>
        <v>0.1410216589313833</v>
      </c>
      <c r="AY66" s="43">
        <f t="shared" si="43"/>
        <v>0.1410216589313833</v>
      </c>
      <c r="AZ66" s="43">
        <f t="shared" si="43"/>
        <v>0.1410216589313833</v>
      </c>
      <c r="BA66" s="43">
        <f t="shared" si="43"/>
        <v>0.1410216589313833</v>
      </c>
      <c r="BB66" s="43">
        <f t="shared" si="43"/>
        <v>0.1410216589313833</v>
      </c>
      <c r="BC66" s="43">
        <f t="shared" si="43"/>
        <v>0.1410216589313833</v>
      </c>
      <c r="BD66" s="43">
        <f t="shared" si="43"/>
        <v>0.1410216589313833</v>
      </c>
      <c r="BE66" s="43">
        <f t="shared" si="43"/>
        <v>0.1410216589313833</v>
      </c>
      <c r="BF66" s="43">
        <f t="shared" si="43"/>
        <v>0.1410216589313833</v>
      </c>
      <c r="BG66" s="43">
        <f t="shared" si="43"/>
        <v>0.1410216589313833</v>
      </c>
      <c r="BH66" s="43">
        <f t="shared" si="43"/>
        <v>0.1410216589313833</v>
      </c>
      <c r="BI66" s="43">
        <f t="shared" si="43"/>
        <v>0.1410216589313833</v>
      </c>
      <c r="BJ66" s="43">
        <f t="shared" si="43"/>
        <v>0.1410216589313833</v>
      </c>
      <c r="BK66" s="43">
        <f t="shared" si="43"/>
        <v>0.1410216589313833</v>
      </c>
      <c r="BL66" s="43">
        <f t="shared" si="43"/>
        <v>0.1410216589313833</v>
      </c>
      <c r="BM66" s="43">
        <f t="shared" si="43"/>
        <v>0.14035130286893691</v>
      </c>
      <c r="BN66" s="15"/>
    </row>
    <row r="67" spans="2:66" x14ac:dyDescent="0.3">
      <c r="B67" s="12"/>
      <c r="C67" s="14" t="s">
        <v>54</v>
      </c>
      <c r="D67" s="23" t="s">
        <v>52</v>
      </c>
      <c r="E67" s="43">
        <f t="shared" ref="E67:AJ67" si="44">E26*$E$83</f>
        <v>9.6648085441925685E-2</v>
      </c>
      <c r="F67" s="43">
        <f t="shared" si="44"/>
        <v>0.10485269651440927</v>
      </c>
      <c r="G67" s="43">
        <f t="shared" si="44"/>
        <v>0.11373899846972896</v>
      </c>
      <c r="H67" s="43">
        <f t="shared" si="44"/>
        <v>0.11750395854072827</v>
      </c>
      <c r="I67" s="43">
        <f t="shared" si="44"/>
        <v>0.10942925031487644</v>
      </c>
      <c r="J67" s="43">
        <f t="shared" si="44"/>
        <v>0.12974514346941304</v>
      </c>
      <c r="K67" s="43">
        <f t="shared" si="44"/>
        <v>0.1045485552627355</v>
      </c>
      <c r="L67" s="43">
        <f t="shared" si="44"/>
        <v>0.18198891675670489</v>
      </c>
      <c r="M67" s="43">
        <f t="shared" si="44"/>
        <v>0.17486310198057917</v>
      </c>
      <c r="N67" s="43">
        <f t="shared" si="44"/>
        <v>0.16545556226757749</v>
      </c>
      <c r="O67" s="43">
        <f t="shared" si="44"/>
        <v>0.16311282864254992</v>
      </c>
      <c r="P67" s="43">
        <f t="shared" si="44"/>
        <v>0.17035252630322556</v>
      </c>
      <c r="Q67" s="43">
        <f t="shared" si="44"/>
        <v>0.20126603531431092</v>
      </c>
      <c r="R67" s="43">
        <f t="shared" si="44"/>
        <v>0.17768577061906732</v>
      </c>
      <c r="S67" s="43">
        <f t="shared" si="44"/>
        <v>0.17768577061906732</v>
      </c>
      <c r="T67" s="43">
        <f t="shared" si="44"/>
        <v>0.17239233329941003</v>
      </c>
      <c r="U67" s="43">
        <f t="shared" si="44"/>
        <v>0.1670988959797535</v>
      </c>
      <c r="V67" s="43">
        <f t="shared" si="44"/>
        <v>0.16180545866009699</v>
      </c>
      <c r="W67" s="43">
        <f t="shared" si="44"/>
        <v>0.15651202134044045</v>
      </c>
      <c r="X67" s="43">
        <f t="shared" si="44"/>
        <v>0.15121858402078392</v>
      </c>
      <c r="Y67" s="43">
        <f t="shared" si="44"/>
        <v>0.14592514670112663</v>
      </c>
      <c r="Z67" s="43">
        <f t="shared" si="44"/>
        <v>0.14611419803397152</v>
      </c>
      <c r="AA67" s="43">
        <f t="shared" si="44"/>
        <v>0.14630324936681641</v>
      </c>
      <c r="AB67" s="43">
        <f t="shared" si="44"/>
        <v>0.14649230069966129</v>
      </c>
      <c r="AC67" s="43">
        <f t="shared" si="44"/>
        <v>0.14668135203250618</v>
      </c>
      <c r="AD67" s="43">
        <f t="shared" si="44"/>
        <v>0.14687040336535107</v>
      </c>
      <c r="AE67" s="43">
        <f t="shared" si="44"/>
        <v>0.14705945469819595</v>
      </c>
      <c r="AF67" s="43">
        <f t="shared" si="44"/>
        <v>0.14724850603104084</v>
      </c>
      <c r="AG67" s="43">
        <f t="shared" si="44"/>
        <v>0.14743755736388572</v>
      </c>
      <c r="AH67" s="43">
        <f t="shared" si="44"/>
        <v>0.14762660869673061</v>
      </c>
      <c r="AI67" s="43">
        <f t="shared" si="44"/>
        <v>0.14781566002957547</v>
      </c>
      <c r="AJ67" s="43">
        <f t="shared" si="44"/>
        <v>0.14800471136242035</v>
      </c>
      <c r="AK67" s="43">
        <f t="shared" ref="AK67:BM67" si="45">AK26*$E$83</f>
        <v>0.14819376269526524</v>
      </c>
      <c r="AL67" s="43">
        <f t="shared" si="45"/>
        <v>0.14838281402811013</v>
      </c>
      <c r="AM67" s="43">
        <f t="shared" si="45"/>
        <v>0.14857186536095501</v>
      </c>
      <c r="AN67" s="43">
        <f t="shared" si="45"/>
        <v>0.1487609166937999</v>
      </c>
      <c r="AO67" s="43">
        <f t="shared" si="45"/>
        <v>0.14894996802664479</v>
      </c>
      <c r="AP67" s="43">
        <f t="shared" si="45"/>
        <v>0.14913901935948967</v>
      </c>
      <c r="AQ67" s="43">
        <f t="shared" si="45"/>
        <v>0.14932807069233456</v>
      </c>
      <c r="AR67" s="43">
        <f t="shared" si="45"/>
        <v>0.14951712202517944</v>
      </c>
      <c r="AS67" s="43">
        <f t="shared" si="45"/>
        <v>0.14970617335802436</v>
      </c>
      <c r="AT67" s="43">
        <f t="shared" si="45"/>
        <v>0.14970617335802436</v>
      </c>
      <c r="AU67" s="43">
        <f t="shared" si="45"/>
        <v>0.14970617335802436</v>
      </c>
      <c r="AV67" s="43">
        <f t="shared" si="45"/>
        <v>0.14970617335802436</v>
      </c>
      <c r="AW67" s="43">
        <f t="shared" si="45"/>
        <v>0.14970617335802436</v>
      </c>
      <c r="AX67" s="43">
        <f t="shared" si="45"/>
        <v>0.14970617335802436</v>
      </c>
      <c r="AY67" s="43">
        <f t="shared" si="45"/>
        <v>0.14970617335802436</v>
      </c>
      <c r="AZ67" s="43">
        <f t="shared" si="45"/>
        <v>0.14970617335802436</v>
      </c>
      <c r="BA67" s="43">
        <f t="shared" si="45"/>
        <v>0.14970617335802436</v>
      </c>
      <c r="BB67" s="43">
        <f t="shared" si="45"/>
        <v>0.14970617335802436</v>
      </c>
      <c r="BC67" s="43">
        <f t="shared" si="45"/>
        <v>0.14970617335802436</v>
      </c>
      <c r="BD67" s="43">
        <f t="shared" si="45"/>
        <v>0.14970617335802436</v>
      </c>
      <c r="BE67" s="43">
        <f t="shared" si="45"/>
        <v>0.14970617335802436</v>
      </c>
      <c r="BF67" s="43">
        <f t="shared" si="45"/>
        <v>0.14970617335802436</v>
      </c>
      <c r="BG67" s="43">
        <f t="shared" si="45"/>
        <v>0.14970617335802436</v>
      </c>
      <c r="BH67" s="43">
        <f t="shared" si="45"/>
        <v>0.14970617335802436</v>
      </c>
      <c r="BI67" s="43">
        <f t="shared" si="45"/>
        <v>0.14970617335802436</v>
      </c>
      <c r="BJ67" s="43">
        <f t="shared" si="45"/>
        <v>0.14970617335802436</v>
      </c>
      <c r="BK67" s="43">
        <f t="shared" si="45"/>
        <v>0.14970617335802436</v>
      </c>
      <c r="BL67" s="43">
        <f t="shared" si="45"/>
        <v>0.14970617335802436</v>
      </c>
      <c r="BM67" s="43">
        <f t="shared" si="45"/>
        <v>0.14910751080401555</v>
      </c>
      <c r="BN67" s="15"/>
    </row>
    <row r="68" spans="2:66" x14ac:dyDescent="0.3">
      <c r="B68" s="12"/>
      <c r="C68" s="14" t="s">
        <v>55</v>
      </c>
      <c r="D68" s="23" t="s">
        <v>25</v>
      </c>
      <c r="E68" s="43">
        <f t="shared" ref="E68:AJ68" si="46">E27*$E$83</f>
        <v>3.872357351038525</v>
      </c>
      <c r="F68" s="43">
        <f t="shared" si="46"/>
        <v>3.8601104773319297</v>
      </c>
      <c r="G68" s="43">
        <f t="shared" si="46"/>
        <v>3.8479999418019033</v>
      </c>
      <c r="H68" s="43">
        <f t="shared" si="46"/>
        <v>3.8348651378950116</v>
      </c>
      <c r="I68" s="43">
        <f t="shared" si="46"/>
        <v>3.845096974240036</v>
      </c>
      <c r="J68" s="43">
        <f t="shared" si="46"/>
        <v>3.8247566776102397</v>
      </c>
      <c r="K68" s="43">
        <f t="shared" si="46"/>
        <v>3.8514418778078205</v>
      </c>
      <c r="L68" s="43">
        <f t="shared" si="46"/>
        <v>3.6468268722385648</v>
      </c>
      <c r="M68" s="43">
        <f t="shared" si="46"/>
        <v>3.7288453256914429</v>
      </c>
      <c r="N68" s="43">
        <f t="shared" si="46"/>
        <v>3.7489269454834764</v>
      </c>
      <c r="O68" s="43">
        <f t="shared" si="46"/>
        <v>3.7484583987584714</v>
      </c>
      <c r="P68" s="43">
        <f t="shared" si="46"/>
        <v>3.740144948186324</v>
      </c>
      <c r="Q68" s="43">
        <f t="shared" si="46"/>
        <v>3.7024013945192724</v>
      </c>
      <c r="R68" s="43">
        <f t="shared" si="46"/>
        <v>3.7172081217887891</v>
      </c>
      <c r="S68" s="43">
        <f t="shared" si="46"/>
        <v>3.7356700717125593</v>
      </c>
      <c r="T68" s="43">
        <f t="shared" si="46"/>
        <v>3.7284289179763932</v>
      </c>
      <c r="U68" s="43">
        <f t="shared" si="46"/>
        <v>3.7396497141639982</v>
      </c>
      <c r="V68" s="43">
        <f t="shared" si="46"/>
        <v>3.7508705103516031</v>
      </c>
      <c r="W68" s="43">
        <f t="shared" si="46"/>
        <v>3.7620913065392076</v>
      </c>
      <c r="X68" s="43">
        <f t="shared" si="46"/>
        <v>3.7733121027268126</v>
      </c>
      <c r="Y68" s="43">
        <f t="shared" si="46"/>
        <v>3.7845328989144185</v>
      </c>
      <c r="Z68" s="43">
        <f t="shared" si="46"/>
        <v>3.7841321561934329</v>
      </c>
      <c r="AA68" s="43">
        <f t="shared" si="46"/>
        <v>3.7837314134724465</v>
      </c>
      <c r="AB68" s="43">
        <f t="shared" si="46"/>
        <v>3.7833306707514609</v>
      </c>
      <c r="AC68" s="43">
        <f t="shared" si="46"/>
        <v>3.7829299280304749</v>
      </c>
      <c r="AD68" s="43">
        <f t="shared" si="46"/>
        <v>3.7825291853094893</v>
      </c>
      <c r="AE68" s="43">
        <f t="shared" si="46"/>
        <v>3.7821284425885029</v>
      </c>
      <c r="AF68" s="43">
        <f t="shared" si="46"/>
        <v>3.7817276998675173</v>
      </c>
      <c r="AG68" s="43">
        <f t="shared" si="46"/>
        <v>3.7813269571465318</v>
      </c>
      <c r="AH68" s="43">
        <f t="shared" si="46"/>
        <v>3.7809262144255453</v>
      </c>
      <c r="AI68" s="43">
        <f t="shared" si="46"/>
        <v>3.7805254717045598</v>
      </c>
      <c r="AJ68" s="43">
        <f t="shared" si="46"/>
        <v>3.7801247289835738</v>
      </c>
      <c r="AK68" s="43">
        <f t="shared" ref="AK68:BM68" si="47">AK27*$E$83</f>
        <v>3.7797239862625873</v>
      </c>
      <c r="AL68" s="43">
        <f t="shared" si="47"/>
        <v>3.7793232435416018</v>
      </c>
      <c r="AM68" s="43">
        <f t="shared" si="47"/>
        <v>3.7789225008206158</v>
      </c>
      <c r="AN68" s="43">
        <f t="shared" si="47"/>
        <v>3.7785217580996302</v>
      </c>
      <c r="AO68" s="43">
        <f t="shared" si="47"/>
        <v>3.7781210153786442</v>
      </c>
      <c r="AP68" s="43">
        <f t="shared" si="47"/>
        <v>3.7777202726576586</v>
      </c>
      <c r="AQ68" s="43">
        <f t="shared" si="47"/>
        <v>3.7773195299366722</v>
      </c>
      <c r="AR68" s="43">
        <f t="shared" si="47"/>
        <v>3.7769187872156862</v>
      </c>
      <c r="AS68" s="43">
        <f t="shared" si="47"/>
        <v>3.7765180444947006</v>
      </c>
      <c r="AT68" s="43">
        <f t="shared" si="47"/>
        <v>3.7765180444947006</v>
      </c>
      <c r="AU68" s="43">
        <f t="shared" si="47"/>
        <v>3.7765180444947006</v>
      </c>
      <c r="AV68" s="43">
        <f t="shared" si="47"/>
        <v>3.7765180444947006</v>
      </c>
      <c r="AW68" s="43">
        <f t="shared" si="47"/>
        <v>3.7765180444947006</v>
      </c>
      <c r="AX68" s="43">
        <f t="shared" si="47"/>
        <v>3.7765180444947006</v>
      </c>
      <c r="AY68" s="43">
        <f t="shared" si="47"/>
        <v>3.7765180444947006</v>
      </c>
      <c r="AZ68" s="43">
        <f t="shared" si="47"/>
        <v>3.7765180444947006</v>
      </c>
      <c r="BA68" s="43">
        <f t="shared" si="47"/>
        <v>3.7765180444947006</v>
      </c>
      <c r="BB68" s="43">
        <f t="shared" si="47"/>
        <v>3.7765180444947006</v>
      </c>
      <c r="BC68" s="43">
        <f t="shared" si="47"/>
        <v>3.7765180444947006</v>
      </c>
      <c r="BD68" s="43">
        <f t="shared" si="47"/>
        <v>3.7765180444947006</v>
      </c>
      <c r="BE68" s="43">
        <f t="shared" si="47"/>
        <v>3.7765180444947006</v>
      </c>
      <c r="BF68" s="43">
        <f t="shared" si="47"/>
        <v>3.7765180444947006</v>
      </c>
      <c r="BG68" s="43">
        <f t="shared" si="47"/>
        <v>3.7765180444947006</v>
      </c>
      <c r="BH68" s="43">
        <f t="shared" si="47"/>
        <v>3.7765180444947006</v>
      </c>
      <c r="BI68" s="43">
        <f t="shared" si="47"/>
        <v>3.7765180444947006</v>
      </c>
      <c r="BJ68" s="43">
        <f t="shared" si="47"/>
        <v>3.7765180444947006</v>
      </c>
      <c r="BK68" s="43">
        <f t="shared" si="47"/>
        <v>3.7765180444947006</v>
      </c>
      <c r="BL68" s="43">
        <f t="shared" si="47"/>
        <v>3.7765180444947006</v>
      </c>
      <c r="BM68" s="43">
        <f t="shared" si="47"/>
        <v>3.7777870631111554</v>
      </c>
      <c r="BN68" s="15"/>
    </row>
    <row r="69" spans="2:66" x14ac:dyDescent="0.3">
      <c r="B69" s="12"/>
      <c r="C69" s="14" t="s">
        <v>139</v>
      </c>
      <c r="D69" s="23" t="s">
        <v>140</v>
      </c>
      <c r="E69" s="43">
        <f t="shared" ref="E69:AJ69" si="48">E28*$E$83</f>
        <v>9.1000000000000004E-3</v>
      </c>
      <c r="F69" s="43">
        <f t="shared" si="48"/>
        <v>9.1000000000000004E-3</v>
      </c>
      <c r="G69" s="43">
        <f t="shared" si="48"/>
        <v>9.1000000000000004E-3</v>
      </c>
      <c r="H69" s="43">
        <f t="shared" si="48"/>
        <v>9.1000000000000004E-3</v>
      </c>
      <c r="I69" s="43">
        <f t="shared" si="48"/>
        <v>9.1000000000000004E-3</v>
      </c>
      <c r="J69" s="43">
        <f t="shared" si="48"/>
        <v>9.1000000000000004E-3</v>
      </c>
      <c r="K69" s="43">
        <f t="shared" si="48"/>
        <v>9.1000000000000004E-3</v>
      </c>
      <c r="L69" s="43">
        <f t="shared" si="48"/>
        <v>9.1000000000000004E-3</v>
      </c>
      <c r="M69" s="43">
        <f t="shared" si="48"/>
        <v>9.1000000000000004E-3</v>
      </c>
      <c r="N69" s="43">
        <f t="shared" si="48"/>
        <v>9.1000000000000004E-3</v>
      </c>
      <c r="O69" s="43">
        <f t="shared" si="48"/>
        <v>9.1000000000000004E-3</v>
      </c>
      <c r="P69" s="43">
        <f t="shared" si="48"/>
        <v>9.1000000000000004E-3</v>
      </c>
      <c r="Q69" s="43">
        <f t="shared" si="48"/>
        <v>9.1000000000000004E-3</v>
      </c>
      <c r="R69" s="43">
        <f t="shared" si="48"/>
        <v>9.1000000000000004E-3</v>
      </c>
      <c r="S69" s="43">
        <f t="shared" si="48"/>
        <v>9.1000000000000004E-3</v>
      </c>
      <c r="T69" s="43">
        <f t="shared" si="48"/>
        <v>9.1000000000000004E-3</v>
      </c>
      <c r="U69" s="43">
        <f t="shared" si="48"/>
        <v>9.1000000000000004E-3</v>
      </c>
      <c r="V69" s="43">
        <f t="shared" si="48"/>
        <v>9.1000000000000004E-3</v>
      </c>
      <c r="W69" s="43">
        <f t="shared" si="48"/>
        <v>9.1000000000000004E-3</v>
      </c>
      <c r="X69" s="43">
        <f t="shared" si="48"/>
        <v>9.1000000000000004E-3</v>
      </c>
      <c r="Y69" s="43">
        <f t="shared" si="48"/>
        <v>9.1000000000000004E-3</v>
      </c>
      <c r="Z69" s="43">
        <f t="shared" si="48"/>
        <v>9.1000000000000004E-3</v>
      </c>
      <c r="AA69" s="43">
        <f t="shared" si="48"/>
        <v>9.1000000000000004E-3</v>
      </c>
      <c r="AB69" s="43">
        <f t="shared" si="48"/>
        <v>9.1000000000000004E-3</v>
      </c>
      <c r="AC69" s="43">
        <f t="shared" si="48"/>
        <v>9.1000000000000004E-3</v>
      </c>
      <c r="AD69" s="43">
        <f t="shared" si="48"/>
        <v>9.1000000000000004E-3</v>
      </c>
      <c r="AE69" s="43">
        <f t="shared" si="48"/>
        <v>9.1000000000000004E-3</v>
      </c>
      <c r="AF69" s="43">
        <f t="shared" si="48"/>
        <v>9.1000000000000004E-3</v>
      </c>
      <c r="AG69" s="43">
        <f t="shared" si="48"/>
        <v>9.1000000000000004E-3</v>
      </c>
      <c r="AH69" s="43">
        <f t="shared" si="48"/>
        <v>9.1000000000000004E-3</v>
      </c>
      <c r="AI69" s="43">
        <f t="shared" si="48"/>
        <v>9.1000000000000004E-3</v>
      </c>
      <c r="AJ69" s="43">
        <f t="shared" si="48"/>
        <v>9.1000000000000004E-3</v>
      </c>
      <c r="AK69" s="43">
        <f t="shared" ref="AK69:BM69" si="49">AK28*$E$83</f>
        <v>9.1000000000000004E-3</v>
      </c>
      <c r="AL69" s="43">
        <f t="shared" si="49"/>
        <v>9.1000000000000004E-3</v>
      </c>
      <c r="AM69" s="43">
        <f t="shared" si="49"/>
        <v>9.1000000000000004E-3</v>
      </c>
      <c r="AN69" s="43">
        <f t="shared" si="49"/>
        <v>9.1000000000000004E-3</v>
      </c>
      <c r="AO69" s="43">
        <f t="shared" si="49"/>
        <v>9.1000000000000004E-3</v>
      </c>
      <c r="AP69" s="43">
        <f t="shared" si="49"/>
        <v>9.1000000000000004E-3</v>
      </c>
      <c r="AQ69" s="43">
        <f t="shared" si="49"/>
        <v>9.1000000000000004E-3</v>
      </c>
      <c r="AR69" s="43">
        <f t="shared" si="49"/>
        <v>9.1000000000000004E-3</v>
      </c>
      <c r="AS69" s="43">
        <f t="shared" si="49"/>
        <v>9.1000000000000004E-3</v>
      </c>
      <c r="AT69" s="43">
        <f t="shared" si="49"/>
        <v>9.1000000000000004E-3</v>
      </c>
      <c r="AU69" s="43">
        <f t="shared" si="49"/>
        <v>9.1000000000000004E-3</v>
      </c>
      <c r="AV69" s="43">
        <f t="shared" si="49"/>
        <v>9.1000000000000004E-3</v>
      </c>
      <c r="AW69" s="43">
        <f t="shared" si="49"/>
        <v>9.1000000000000004E-3</v>
      </c>
      <c r="AX69" s="43">
        <f t="shared" si="49"/>
        <v>9.1000000000000004E-3</v>
      </c>
      <c r="AY69" s="43">
        <f t="shared" si="49"/>
        <v>9.1000000000000004E-3</v>
      </c>
      <c r="AZ69" s="43">
        <f t="shared" si="49"/>
        <v>9.1000000000000004E-3</v>
      </c>
      <c r="BA69" s="43">
        <f t="shared" si="49"/>
        <v>9.1000000000000004E-3</v>
      </c>
      <c r="BB69" s="43">
        <f t="shared" si="49"/>
        <v>9.1000000000000004E-3</v>
      </c>
      <c r="BC69" s="43">
        <f t="shared" si="49"/>
        <v>9.1000000000000004E-3</v>
      </c>
      <c r="BD69" s="43">
        <f t="shared" si="49"/>
        <v>9.1000000000000004E-3</v>
      </c>
      <c r="BE69" s="43">
        <f t="shared" si="49"/>
        <v>9.1000000000000004E-3</v>
      </c>
      <c r="BF69" s="43">
        <f t="shared" si="49"/>
        <v>9.1000000000000004E-3</v>
      </c>
      <c r="BG69" s="43">
        <f t="shared" si="49"/>
        <v>9.1000000000000004E-3</v>
      </c>
      <c r="BH69" s="43">
        <f t="shared" si="49"/>
        <v>9.1000000000000004E-3</v>
      </c>
      <c r="BI69" s="43">
        <f t="shared" si="49"/>
        <v>9.1000000000000004E-3</v>
      </c>
      <c r="BJ69" s="43">
        <f t="shared" si="49"/>
        <v>9.1000000000000004E-3</v>
      </c>
      <c r="BK69" s="43">
        <f t="shared" si="49"/>
        <v>9.1000000000000004E-3</v>
      </c>
      <c r="BL69" s="43">
        <f t="shared" si="49"/>
        <v>9.1000000000000004E-3</v>
      </c>
      <c r="BM69" s="43">
        <f t="shared" si="49"/>
        <v>9.1000000000000004E-3</v>
      </c>
      <c r="BN69" s="15"/>
    </row>
    <row r="70" spans="2:66" x14ac:dyDescent="0.3">
      <c r="B70" s="12"/>
      <c r="C70" s="14"/>
      <c r="D70" s="14"/>
      <c r="E70" s="44">
        <f t="shared" ref="E70:AJ70" si="50">E29*E83</f>
        <v>4.0672458767841091</v>
      </c>
      <c r="F70" s="44">
        <f t="shared" si="50"/>
        <v>4.2162448360550338</v>
      </c>
      <c r="G70" s="44">
        <f t="shared" si="50"/>
        <v>4.3482153428378556</v>
      </c>
      <c r="H70" s="44">
        <f t="shared" si="50"/>
        <v>4.9634533312331239</v>
      </c>
      <c r="I70" s="44">
        <f t="shared" si="50"/>
        <v>5.6248384258711583</v>
      </c>
      <c r="J70" s="44">
        <f t="shared" si="50"/>
        <v>5.2972109999999999</v>
      </c>
      <c r="K70" s="44">
        <f t="shared" si="50"/>
        <v>5.0569395353928259</v>
      </c>
      <c r="L70" s="44">
        <f t="shared" si="50"/>
        <v>4.94078164959046</v>
      </c>
      <c r="M70" s="44">
        <f t="shared" si="50"/>
        <v>5.042124781728174</v>
      </c>
      <c r="N70" s="44">
        <f t="shared" si="50"/>
        <v>5.0625589247138993</v>
      </c>
      <c r="O70" s="44">
        <f t="shared" si="50"/>
        <v>5.0826524986498667</v>
      </c>
      <c r="P70" s="44">
        <f t="shared" si="50"/>
        <v>5.0809549117557227</v>
      </c>
      <c r="Q70" s="44">
        <f t="shared" si="50"/>
        <v>5.024</v>
      </c>
      <c r="R70" s="44">
        <f t="shared" si="50"/>
        <v>5.1685634338124924</v>
      </c>
      <c r="S70" s="44">
        <f t="shared" si="50"/>
        <v>5.3423654343228328</v>
      </c>
      <c r="T70" s="44">
        <f t="shared" si="50"/>
        <v>5.4711369419171829</v>
      </c>
      <c r="U70" s="44">
        <f t="shared" si="50"/>
        <v>5.6266965960773829</v>
      </c>
      <c r="V70" s="44">
        <f t="shared" si="50"/>
        <v>5.784625773360573</v>
      </c>
      <c r="W70" s="44">
        <f t="shared" si="50"/>
        <v>5.9446357997363464</v>
      </c>
      <c r="X70" s="44">
        <f t="shared" si="50"/>
        <v>6.1064840769537838</v>
      </c>
      <c r="Y70" s="44">
        <f t="shared" si="50"/>
        <v>6.2700131699464112</v>
      </c>
      <c r="Z70" s="44">
        <f t="shared" si="50"/>
        <v>7.746539510069991</v>
      </c>
      <c r="AA70" s="44">
        <f t="shared" si="50"/>
        <v>7.8706083916299852</v>
      </c>
      <c r="AB70" s="44">
        <f t="shared" si="50"/>
        <v>7.9951299518475052</v>
      </c>
      <c r="AC70" s="44">
        <f t="shared" si="50"/>
        <v>8.1199589570399979</v>
      </c>
      <c r="AD70" s="44">
        <f t="shared" si="50"/>
        <v>8.2449715762124924</v>
      </c>
      <c r="AE70" s="44">
        <f t="shared" si="50"/>
        <v>8.3700029713499919</v>
      </c>
      <c r="AF70" s="44">
        <f t="shared" si="50"/>
        <v>8.494898590684981</v>
      </c>
      <c r="AG70" s="44">
        <f t="shared" si="50"/>
        <v>8.619448543339999</v>
      </c>
      <c r="AH70" s="44">
        <f t="shared" si="50"/>
        <v>8.7434326801124929</v>
      </c>
      <c r="AI70" s="44">
        <f t="shared" si="50"/>
        <v>8.8667092647499874</v>
      </c>
      <c r="AJ70" s="44">
        <f t="shared" si="50"/>
        <v>8.9891083662099796</v>
      </c>
      <c r="AK70" s="44">
        <f t="shared" ref="AK70:BM70" si="51">AK29*AK83</f>
        <v>9.1104639479999996</v>
      </c>
      <c r="AL70" s="44">
        <f t="shared" si="51"/>
        <v>9.2306420943574938</v>
      </c>
      <c r="AM70" s="44">
        <f t="shared" si="51"/>
        <v>9.3495142681599859</v>
      </c>
      <c r="AN70" s="44">
        <f t="shared" si="51"/>
        <v>9.4669603659749839</v>
      </c>
      <c r="AO70" s="44">
        <f t="shared" si="51"/>
        <v>9.5828709766800042</v>
      </c>
      <c r="AP70" s="44">
        <f t="shared" si="51"/>
        <v>9.6971381208649987</v>
      </c>
      <c r="AQ70" s="44">
        <f t="shared" si="51"/>
        <v>9.8096581775849891</v>
      </c>
      <c r="AR70" s="44">
        <f t="shared" si="51"/>
        <v>9.9203391752349859</v>
      </c>
      <c r="AS70" s="44">
        <f t="shared" si="51"/>
        <v>10.0318424635</v>
      </c>
      <c r="AT70" s="44">
        <f t="shared" si="51"/>
        <v>10.171669202918991</v>
      </c>
      <c r="AU70" s="44">
        <f t="shared" si="51"/>
        <v>10.308130869951983</v>
      </c>
      <c r="AV70" s="44">
        <f t="shared" si="51"/>
        <v>10.441039360112374</v>
      </c>
      <c r="AW70" s="44">
        <f t="shared" si="51"/>
        <v>10.570209569450736</v>
      </c>
      <c r="AX70" s="44">
        <f t="shared" si="51"/>
        <v>10.695459820185489</v>
      </c>
      <c r="AY70" s="44">
        <f t="shared" si="51"/>
        <v>10.816612283072679</v>
      </c>
      <c r="AZ70" s="44">
        <f t="shared" si="51"/>
        <v>10.933493395153139</v>
      </c>
      <c r="BA70" s="44">
        <f t="shared" si="51"/>
        <v>11.045934271514517</v>
      </c>
      <c r="BB70" s="44">
        <f t="shared" si="51"/>
        <v>11.153771109710332</v>
      </c>
      <c r="BC70" s="44">
        <f t="shared" si="51"/>
        <v>11.256845585488778</v>
      </c>
      <c r="BD70" s="44">
        <f t="shared" si="51"/>
        <v>11.3550052385001</v>
      </c>
      <c r="BE70" s="44">
        <f t="shared" si="51"/>
        <v>11.448103846673364</v>
      </c>
      <c r="BF70" s="44">
        <f t="shared" si="51"/>
        <v>11.536001787981036</v>
      </c>
      <c r="BG70" s="44">
        <f t="shared" si="51"/>
        <v>11.618566388342982</v>
      </c>
      <c r="BH70" s="44">
        <f t="shared" si="51"/>
        <v>11.695672254460293</v>
      </c>
      <c r="BI70" s="44">
        <f t="shared" si="51"/>
        <v>11.767201590413343</v>
      </c>
      <c r="BJ70" s="44">
        <f t="shared" si="51"/>
        <v>11.833044496908096</v>
      </c>
      <c r="BK70" s="44">
        <f t="shared" si="51"/>
        <v>11.893099252108728</v>
      </c>
      <c r="BL70" s="44">
        <f t="shared" si="51"/>
        <v>11.947272573054233</v>
      </c>
      <c r="BM70" s="44">
        <f t="shared" si="51"/>
        <v>11.995479856720202</v>
      </c>
      <c r="BN70" s="15"/>
    </row>
    <row r="71" spans="2:66" x14ac:dyDescent="0.3">
      <c r="B71" s="12"/>
      <c r="C71" s="13" t="s">
        <v>193</v>
      </c>
      <c r="D71" s="13"/>
      <c r="E71" s="44"/>
      <c r="F71" s="44"/>
      <c r="G71" s="44"/>
      <c r="H71" s="44"/>
      <c r="I71" s="44"/>
      <c r="J71" s="44"/>
      <c r="K71" s="44"/>
      <c r="L71" s="44"/>
      <c r="M71" s="44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15"/>
    </row>
    <row r="72" spans="2:66" x14ac:dyDescent="0.3">
      <c r="B72" s="12"/>
      <c r="C72" s="14" t="s">
        <v>64</v>
      </c>
      <c r="D72" s="14" t="s">
        <v>27</v>
      </c>
      <c r="E72" s="43">
        <f t="shared" ref="E72:AJ72" si="52">E31*$E$83</f>
        <v>0.19329617088385123</v>
      </c>
      <c r="F72" s="43">
        <f t="shared" si="52"/>
        <v>0.20970539302881838</v>
      </c>
      <c r="G72" s="43">
        <f t="shared" si="52"/>
        <v>0.22747799693945783</v>
      </c>
      <c r="H72" s="43">
        <f t="shared" si="52"/>
        <v>0.23500791708145669</v>
      </c>
      <c r="I72" s="43">
        <f t="shared" si="52"/>
        <v>0.21885850062975284</v>
      </c>
      <c r="J72" s="43">
        <f t="shared" si="52"/>
        <v>0.25949028693882609</v>
      </c>
      <c r="K72" s="43">
        <f t="shared" si="52"/>
        <v>0.209097110525471</v>
      </c>
      <c r="L72" s="43">
        <f t="shared" si="52"/>
        <v>0.36397783351340984</v>
      </c>
      <c r="M72" s="43">
        <f t="shared" si="52"/>
        <v>0.34972620396115833</v>
      </c>
      <c r="N72" s="43">
        <f t="shared" si="52"/>
        <v>0.33091112453515503</v>
      </c>
      <c r="O72" s="43">
        <f t="shared" si="52"/>
        <v>0.32622565728509978</v>
      </c>
      <c r="P72" s="43">
        <f t="shared" si="52"/>
        <v>0.34070505260645118</v>
      </c>
      <c r="Q72" s="43">
        <f t="shared" si="52"/>
        <v>0.40253207062862173</v>
      </c>
      <c r="R72" s="43">
        <f t="shared" si="52"/>
        <v>0.35537154123813464</v>
      </c>
      <c r="S72" s="43">
        <f t="shared" si="52"/>
        <v>0.35537154123813464</v>
      </c>
      <c r="T72" s="43">
        <f t="shared" si="52"/>
        <v>0.35537154123813464</v>
      </c>
      <c r="U72" s="43">
        <f t="shared" si="52"/>
        <v>0.35537154123813464</v>
      </c>
      <c r="V72" s="43">
        <f t="shared" si="52"/>
        <v>0.35537154123813464</v>
      </c>
      <c r="W72" s="43">
        <f t="shared" si="52"/>
        <v>0.35537154123813464</v>
      </c>
      <c r="X72" s="43">
        <f t="shared" si="52"/>
        <v>0.35537154123813464</v>
      </c>
      <c r="Y72" s="43">
        <f t="shared" si="52"/>
        <v>0.35537154123813464</v>
      </c>
      <c r="Z72" s="43">
        <f t="shared" si="52"/>
        <v>0.35537154123813464</v>
      </c>
      <c r="AA72" s="43">
        <f t="shared" si="52"/>
        <v>0.35537154123813464</v>
      </c>
      <c r="AB72" s="43">
        <f t="shared" si="52"/>
        <v>0.35537154123813464</v>
      </c>
      <c r="AC72" s="43">
        <f t="shared" si="52"/>
        <v>0.35537154123813464</v>
      </c>
      <c r="AD72" s="43">
        <f t="shared" si="52"/>
        <v>0.35537154123813464</v>
      </c>
      <c r="AE72" s="43">
        <f t="shared" si="52"/>
        <v>0.35537154123813464</v>
      </c>
      <c r="AF72" s="43">
        <f t="shared" si="52"/>
        <v>0.35537154123813464</v>
      </c>
      <c r="AG72" s="43">
        <f t="shared" si="52"/>
        <v>0.35537154123813464</v>
      </c>
      <c r="AH72" s="43">
        <f t="shared" si="52"/>
        <v>0.35537154123813464</v>
      </c>
      <c r="AI72" s="43">
        <f t="shared" si="52"/>
        <v>0.35537154123813464</v>
      </c>
      <c r="AJ72" s="43">
        <f t="shared" si="52"/>
        <v>0.35537154123813464</v>
      </c>
      <c r="AK72" s="43">
        <f t="shared" ref="AK72:BM72" si="53">AK31*$E$83</f>
        <v>0.35537154123813464</v>
      </c>
      <c r="AL72" s="43">
        <f t="shared" si="53"/>
        <v>0.35537154123813464</v>
      </c>
      <c r="AM72" s="43">
        <f t="shared" si="53"/>
        <v>0.35537154123813464</v>
      </c>
      <c r="AN72" s="43">
        <f t="shared" si="53"/>
        <v>0.35537154123813464</v>
      </c>
      <c r="AO72" s="43">
        <f t="shared" si="53"/>
        <v>0.35537154123813464</v>
      </c>
      <c r="AP72" s="43">
        <f t="shared" si="53"/>
        <v>0.35537154123813464</v>
      </c>
      <c r="AQ72" s="43">
        <f t="shared" si="53"/>
        <v>0.35537154123813464</v>
      </c>
      <c r="AR72" s="43">
        <f t="shared" si="53"/>
        <v>0.35537154123813464</v>
      </c>
      <c r="AS72" s="43">
        <f t="shared" si="53"/>
        <v>0.35537154123813464</v>
      </c>
      <c r="AT72" s="43">
        <f t="shared" si="53"/>
        <v>0.35537154123813464</v>
      </c>
      <c r="AU72" s="43">
        <f t="shared" si="53"/>
        <v>0.35537154123813464</v>
      </c>
      <c r="AV72" s="43">
        <f t="shared" si="53"/>
        <v>0.35537154123813464</v>
      </c>
      <c r="AW72" s="43">
        <f t="shared" si="53"/>
        <v>0.35537154123813464</v>
      </c>
      <c r="AX72" s="43">
        <f t="shared" si="53"/>
        <v>0.35537154123813464</v>
      </c>
      <c r="AY72" s="43">
        <f t="shared" si="53"/>
        <v>0.35537154123813464</v>
      </c>
      <c r="AZ72" s="43">
        <f t="shared" si="53"/>
        <v>0.35537154123813464</v>
      </c>
      <c r="BA72" s="43">
        <f t="shared" si="53"/>
        <v>0.35537154123813464</v>
      </c>
      <c r="BB72" s="43">
        <f t="shared" si="53"/>
        <v>0.35537154123813464</v>
      </c>
      <c r="BC72" s="43">
        <f t="shared" si="53"/>
        <v>0.35537154123813464</v>
      </c>
      <c r="BD72" s="43">
        <f t="shared" si="53"/>
        <v>0.35537154123813464</v>
      </c>
      <c r="BE72" s="43">
        <f t="shared" si="53"/>
        <v>0.35537154123813464</v>
      </c>
      <c r="BF72" s="43">
        <f t="shared" si="53"/>
        <v>0.35537154123813464</v>
      </c>
      <c r="BG72" s="43">
        <f t="shared" si="53"/>
        <v>0.35537154123813464</v>
      </c>
      <c r="BH72" s="43">
        <f t="shared" si="53"/>
        <v>0.35537154123813464</v>
      </c>
      <c r="BI72" s="43">
        <f t="shared" si="53"/>
        <v>0.35537154123813464</v>
      </c>
      <c r="BJ72" s="43">
        <f t="shared" si="53"/>
        <v>0.35537154123813464</v>
      </c>
      <c r="BK72" s="43">
        <f t="shared" si="53"/>
        <v>0.35537154123813464</v>
      </c>
      <c r="BL72" s="43">
        <f t="shared" si="53"/>
        <v>0.35537154123813464</v>
      </c>
      <c r="BM72" s="43">
        <f t="shared" si="53"/>
        <v>0.35537154123813464</v>
      </c>
      <c r="BN72" s="15"/>
    </row>
    <row r="73" spans="2:66" x14ac:dyDescent="0.3">
      <c r="B73" s="12"/>
      <c r="C73" s="14" t="s">
        <v>65</v>
      </c>
      <c r="D73" s="14" t="s">
        <v>28</v>
      </c>
      <c r="E73" s="43">
        <f t="shared" ref="E73:AJ73" si="54">E32*$E$83</f>
        <v>0.16373406717276351</v>
      </c>
      <c r="F73" s="43">
        <f t="shared" si="54"/>
        <v>0.17047117156294841</v>
      </c>
      <c r="G73" s="43">
        <f t="shared" si="54"/>
        <v>0.17584489418746055</v>
      </c>
      <c r="H73" s="43">
        <f t="shared" si="54"/>
        <v>0.1914613005806137</v>
      </c>
      <c r="I73" s="43">
        <f t="shared" si="54"/>
        <v>0.18786608704865795</v>
      </c>
      <c r="J73" s="43">
        <f t="shared" si="54"/>
        <v>0.1879067595074258</v>
      </c>
      <c r="K73" s="43">
        <f t="shared" si="54"/>
        <v>0.18542573952258748</v>
      </c>
      <c r="L73" s="43">
        <f t="shared" si="54"/>
        <v>0.26180861708859304</v>
      </c>
      <c r="M73" s="43">
        <f t="shared" si="54"/>
        <v>0.27256241518681024</v>
      </c>
      <c r="N73" s="43">
        <f t="shared" si="54"/>
        <v>0.25477228172175653</v>
      </c>
      <c r="O73" s="43">
        <f t="shared" si="54"/>
        <v>0.25945774897181184</v>
      </c>
      <c r="P73" s="43">
        <f t="shared" si="54"/>
        <v>0.26124733715759685</v>
      </c>
      <c r="Q73" s="43">
        <f t="shared" si="54"/>
        <v>0.27263074491754019</v>
      </c>
      <c r="R73" s="43">
        <f t="shared" si="54"/>
        <v>0.28725330729375442</v>
      </c>
      <c r="S73" s="43">
        <f t="shared" si="54"/>
        <v>0.28725330729375442</v>
      </c>
      <c r="T73" s="43">
        <f t="shared" si="54"/>
        <v>0.28725330729375442</v>
      </c>
      <c r="U73" s="43">
        <f t="shared" si="54"/>
        <v>0.28725330729375442</v>
      </c>
      <c r="V73" s="43">
        <f t="shared" si="54"/>
        <v>0.28725330729375442</v>
      </c>
      <c r="W73" s="43">
        <f t="shared" si="54"/>
        <v>0.28725330729375442</v>
      </c>
      <c r="X73" s="43">
        <f t="shared" si="54"/>
        <v>0.28725330729375442</v>
      </c>
      <c r="Y73" s="43">
        <f t="shared" si="54"/>
        <v>0.28725330729375442</v>
      </c>
      <c r="Z73" s="43">
        <f t="shared" si="54"/>
        <v>0.28725330729375442</v>
      </c>
      <c r="AA73" s="43">
        <f t="shared" si="54"/>
        <v>0.28725330729375442</v>
      </c>
      <c r="AB73" s="43">
        <f t="shared" si="54"/>
        <v>0.28725330729375442</v>
      </c>
      <c r="AC73" s="43">
        <f t="shared" si="54"/>
        <v>0.28725330729375442</v>
      </c>
      <c r="AD73" s="43">
        <f t="shared" si="54"/>
        <v>0.28725330729375442</v>
      </c>
      <c r="AE73" s="43">
        <f t="shared" si="54"/>
        <v>0.28725330729375442</v>
      </c>
      <c r="AF73" s="43">
        <f t="shared" si="54"/>
        <v>0.28725330729375442</v>
      </c>
      <c r="AG73" s="43">
        <f t="shared" si="54"/>
        <v>0.28725330729375442</v>
      </c>
      <c r="AH73" s="43">
        <f t="shared" si="54"/>
        <v>0.28725330729375442</v>
      </c>
      <c r="AI73" s="43">
        <f t="shared" si="54"/>
        <v>0.28725330729375442</v>
      </c>
      <c r="AJ73" s="43">
        <f t="shared" si="54"/>
        <v>0.28725330729375442</v>
      </c>
      <c r="AK73" s="43">
        <f t="shared" ref="AK73:BM73" si="55">AK32*$E$83</f>
        <v>0.28725330729375442</v>
      </c>
      <c r="AL73" s="43">
        <f t="shared" si="55"/>
        <v>0.28725330729375442</v>
      </c>
      <c r="AM73" s="43">
        <f t="shared" si="55"/>
        <v>0.28725330729375442</v>
      </c>
      <c r="AN73" s="43">
        <f t="shared" si="55"/>
        <v>0.28725330729375442</v>
      </c>
      <c r="AO73" s="43">
        <f t="shared" si="55"/>
        <v>0.28725330729375442</v>
      </c>
      <c r="AP73" s="43">
        <f t="shared" si="55"/>
        <v>0.28725330729375442</v>
      </c>
      <c r="AQ73" s="43">
        <f t="shared" si="55"/>
        <v>0.28725330729375442</v>
      </c>
      <c r="AR73" s="43">
        <f t="shared" si="55"/>
        <v>0.28725330729375442</v>
      </c>
      <c r="AS73" s="43">
        <f t="shared" si="55"/>
        <v>0.28725330729375442</v>
      </c>
      <c r="AT73" s="43">
        <f t="shared" si="55"/>
        <v>0.28725330729375442</v>
      </c>
      <c r="AU73" s="43">
        <f t="shared" si="55"/>
        <v>0.28725330729375442</v>
      </c>
      <c r="AV73" s="43">
        <f t="shared" si="55"/>
        <v>0.28725330729375442</v>
      </c>
      <c r="AW73" s="43">
        <f t="shared" si="55"/>
        <v>0.28725330729375442</v>
      </c>
      <c r="AX73" s="43">
        <f t="shared" si="55"/>
        <v>0.28725330729375442</v>
      </c>
      <c r="AY73" s="43">
        <f t="shared" si="55"/>
        <v>0.28725330729375442</v>
      </c>
      <c r="AZ73" s="43">
        <f t="shared" si="55"/>
        <v>0.28725330729375442</v>
      </c>
      <c r="BA73" s="43">
        <f t="shared" si="55"/>
        <v>0.28725330729375442</v>
      </c>
      <c r="BB73" s="43">
        <f t="shared" si="55"/>
        <v>0.28725330729375442</v>
      </c>
      <c r="BC73" s="43">
        <f t="shared" si="55"/>
        <v>0.28725330729375442</v>
      </c>
      <c r="BD73" s="43">
        <f t="shared" si="55"/>
        <v>0.28725330729375442</v>
      </c>
      <c r="BE73" s="43">
        <f t="shared" si="55"/>
        <v>0.28725330729375442</v>
      </c>
      <c r="BF73" s="43">
        <f t="shared" si="55"/>
        <v>0.28725330729375442</v>
      </c>
      <c r="BG73" s="43">
        <f t="shared" si="55"/>
        <v>0.28725330729375442</v>
      </c>
      <c r="BH73" s="43">
        <f t="shared" si="55"/>
        <v>0.28725330729375442</v>
      </c>
      <c r="BI73" s="43">
        <f t="shared" si="55"/>
        <v>0.28725330729375442</v>
      </c>
      <c r="BJ73" s="43">
        <f t="shared" si="55"/>
        <v>0.28725330729375442</v>
      </c>
      <c r="BK73" s="43">
        <f t="shared" si="55"/>
        <v>0.28725330729375442</v>
      </c>
      <c r="BL73" s="43">
        <f t="shared" si="55"/>
        <v>0.28725330729375442</v>
      </c>
      <c r="BM73" s="43">
        <f t="shared" si="55"/>
        <v>0.28725330729375442</v>
      </c>
      <c r="BN73" s="15"/>
    </row>
    <row r="74" spans="2:66" x14ac:dyDescent="0.3">
      <c r="B74" s="12"/>
      <c r="C74" s="14" t="s">
        <v>63</v>
      </c>
      <c r="D74" s="14" t="s">
        <v>29</v>
      </c>
      <c r="E74" s="43">
        <f t="shared" ref="E74:AJ74" si="56">E33*$E$83</f>
        <v>3.7102156387274934</v>
      </c>
      <c r="F74" s="43">
        <f t="shared" si="56"/>
        <v>3.6870693121923415</v>
      </c>
      <c r="G74" s="43">
        <f t="shared" si="56"/>
        <v>3.6639229856571895</v>
      </c>
      <c r="H74" s="43">
        <f t="shared" si="56"/>
        <v>3.6407766591220376</v>
      </c>
      <c r="I74" s="43">
        <f t="shared" si="56"/>
        <v>3.6605212891056973</v>
      </c>
      <c r="J74" s="43">
        <f t="shared" si="56"/>
        <v>3.6198488303378564</v>
      </c>
      <c r="K74" s="43">
        <f t="shared" si="56"/>
        <v>3.6727230267360498</v>
      </c>
      <c r="L74" s="43">
        <f t="shared" si="56"/>
        <v>3.4286882741290032</v>
      </c>
      <c r="M74" s="43">
        <f t="shared" si="56"/>
        <v>3.4449572576361396</v>
      </c>
      <c r="N74" s="43">
        <f t="shared" si="56"/>
        <v>3.4815624705271966</v>
      </c>
      <c r="O74" s="43">
        <f t="shared" si="56"/>
        <v>3.4815624705271966</v>
      </c>
      <c r="P74" s="43">
        <f t="shared" si="56"/>
        <v>3.4571589952664921</v>
      </c>
      <c r="Q74" s="43">
        <f t="shared" si="56"/>
        <v>3.3920830612379462</v>
      </c>
      <c r="R74" s="43">
        <f t="shared" si="56"/>
        <v>3.4246210282522189</v>
      </c>
      <c r="S74" s="43">
        <f t="shared" si="56"/>
        <v>3.4164865364986508</v>
      </c>
      <c r="T74" s="43">
        <f t="shared" si="56"/>
        <v>3.4164865364986508</v>
      </c>
      <c r="U74" s="43">
        <f t="shared" si="56"/>
        <v>3.4164865364986508</v>
      </c>
      <c r="V74" s="43">
        <f t="shared" si="56"/>
        <v>3.4164865364986508</v>
      </c>
      <c r="W74" s="43">
        <f t="shared" si="56"/>
        <v>3.4164865364986508</v>
      </c>
      <c r="X74" s="43">
        <f t="shared" si="56"/>
        <v>3.4164865364986508</v>
      </c>
      <c r="Y74" s="43">
        <f t="shared" si="56"/>
        <v>3.4164865364986508</v>
      </c>
      <c r="Z74" s="43">
        <f t="shared" si="56"/>
        <v>3.4164865364986508</v>
      </c>
      <c r="AA74" s="43">
        <f t="shared" si="56"/>
        <v>3.4164865364986508</v>
      </c>
      <c r="AB74" s="43">
        <f t="shared" si="56"/>
        <v>3.4164865364986508</v>
      </c>
      <c r="AC74" s="43">
        <f t="shared" si="56"/>
        <v>3.4164865364986508</v>
      </c>
      <c r="AD74" s="43">
        <f t="shared" si="56"/>
        <v>3.4164865364986508</v>
      </c>
      <c r="AE74" s="43">
        <f t="shared" si="56"/>
        <v>3.4164865364986508</v>
      </c>
      <c r="AF74" s="43">
        <f t="shared" si="56"/>
        <v>3.4164865364986508</v>
      </c>
      <c r="AG74" s="43">
        <f t="shared" si="56"/>
        <v>3.4164865364986508</v>
      </c>
      <c r="AH74" s="43">
        <f t="shared" si="56"/>
        <v>3.4164865364986508</v>
      </c>
      <c r="AI74" s="43">
        <f t="shared" si="56"/>
        <v>3.4164865364986508</v>
      </c>
      <c r="AJ74" s="43">
        <f t="shared" si="56"/>
        <v>3.4164865364986508</v>
      </c>
      <c r="AK74" s="43">
        <f t="shared" ref="AK74:BM74" si="57">AK33*$E$83</f>
        <v>3.4164865364986508</v>
      </c>
      <c r="AL74" s="43">
        <f t="shared" si="57"/>
        <v>3.4164865364986508</v>
      </c>
      <c r="AM74" s="43">
        <f t="shared" si="57"/>
        <v>3.4164865364986508</v>
      </c>
      <c r="AN74" s="43">
        <f t="shared" si="57"/>
        <v>3.4164865364986508</v>
      </c>
      <c r="AO74" s="43">
        <f t="shared" si="57"/>
        <v>3.4164865364986508</v>
      </c>
      <c r="AP74" s="43">
        <f t="shared" si="57"/>
        <v>3.4164865364986508</v>
      </c>
      <c r="AQ74" s="43">
        <f t="shared" si="57"/>
        <v>3.4164865364986508</v>
      </c>
      <c r="AR74" s="43">
        <f t="shared" si="57"/>
        <v>3.4164865364986508</v>
      </c>
      <c r="AS74" s="43">
        <f t="shared" si="57"/>
        <v>3.4164865364986508</v>
      </c>
      <c r="AT74" s="43">
        <f t="shared" si="57"/>
        <v>3.4164865364986508</v>
      </c>
      <c r="AU74" s="43">
        <f t="shared" si="57"/>
        <v>3.4164865364986508</v>
      </c>
      <c r="AV74" s="43">
        <f t="shared" si="57"/>
        <v>3.4164865364986508</v>
      </c>
      <c r="AW74" s="43">
        <f t="shared" si="57"/>
        <v>3.4164865364986508</v>
      </c>
      <c r="AX74" s="43">
        <f t="shared" si="57"/>
        <v>3.4164865364986508</v>
      </c>
      <c r="AY74" s="43">
        <f t="shared" si="57"/>
        <v>3.4164865364986508</v>
      </c>
      <c r="AZ74" s="43">
        <f t="shared" si="57"/>
        <v>3.4164865364986508</v>
      </c>
      <c r="BA74" s="43">
        <f t="shared" si="57"/>
        <v>3.4164865364986508</v>
      </c>
      <c r="BB74" s="43">
        <f t="shared" si="57"/>
        <v>3.4164865364986508</v>
      </c>
      <c r="BC74" s="43">
        <f t="shared" si="57"/>
        <v>3.4164865364986508</v>
      </c>
      <c r="BD74" s="43">
        <f t="shared" si="57"/>
        <v>3.4164865364986508</v>
      </c>
      <c r="BE74" s="43">
        <f t="shared" si="57"/>
        <v>3.4164865364986508</v>
      </c>
      <c r="BF74" s="43">
        <f t="shared" si="57"/>
        <v>3.4164865364986508</v>
      </c>
      <c r="BG74" s="43">
        <f t="shared" si="57"/>
        <v>3.4164865364986508</v>
      </c>
      <c r="BH74" s="43">
        <f t="shared" si="57"/>
        <v>3.4164865364986508</v>
      </c>
      <c r="BI74" s="43">
        <f t="shared" si="57"/>
        <v>3.4164865364986508</v>
      </c>
      <c r="BJ74" s="43">
        <f t="shared" si="57"/>
        <v>3.4164865364986508</v>
      </c>
      <c r="BK74" s="43">
        <f t="shared" si="57"/>
        <v>3.4164865364986508</v>
      </c>
      <c r="BL74" s="43">
        <f t="shared" si="57"/>
        <v>3.4164865364986508</v>
      </c>
      <c r="BM74" s="43">
        <f t="shared" si="57"/>
        <v>3.4164865364986508</v>
      </c>
      <c r="BN74" s="15"/>
    </row>
    <row r="75" spans="2:66" x14ac:dyDescent="0.3">
      <c r="B75" s="12"/>
      <c r="C75" s="14" t="s">
        <v>137</v>
      </c>
      <c r="D75" s="14" t="s">
        <v>138</v>
      </c>
      <c r="E75" s="43">
        <f t="shared" ref="E75:AJ75" si="58">E34*$E$83</f>
        <v>0</v>
      </c>
      <c r="F75" s="43">
        <f t="shared" si="58"/>
        <v>0</v>
      </c>
      <c r="G75" s="43">
        <f t="shared" si="58"/>
        <v>0</v>
      </c>
      <c r="H75" s="43">
        <f t="shared" si="58"/>
        <v>0</v>
      </c>
      <c r="I75" s="43">
        <f t="shared" si="58"/>
        <v>0</v>
      </c>
      <c r="J75" s="43">
        <f t="shared" si="58"/>
        <v>0</v>
      </c>
      <c r="K75" s="43">
        <f t="shared" si="58"/>
        <v>0</v>
      </c>
      <c r="L75" s="43">
        <f t="shared" si="58"/>
        <v>0</v>
      </c>
      <c r="M75" s="43">
        <f t="shared" si="58"/>
        <v>0</v>
      </c>
      <c r="N75" s="43">
        <f t="shared" si="58"/>
        <v>0</v>
      </c>
      <c r="O75" s="43">
        <f t="shared" si="58"/>
        <v>0</v>
      </c>
      <c r="P75" s="43">
        <f t="shared" si="58"/>
        <v>0</v>
      </c>
      <c r="Q75" s="43">
        <f t="shared" si="58"/>
        <v>0</v>
      </c>
      <c r="R75" s="43">
        <f t="shared" si="58"/>
        <v>0</v>
      </c>
      <c r="S75" s="43">
        <f t="shared" si="58"/>
        <v>0</v>
      </c>
      <c r="T75" s="43">
        <f t="shared" si="58"/>
        <v>0</v>
      </c>
      <c r="U75" s="43">
        <f t="shared" si="58"/>
        <v>0</v>
      </c>
      <c r="V75" s="43">
        <f t="shared" si="58"/>
        <v>0</v>
      </c>
      <c r="W75" s="43">
        <f t="shared" si="58"/>
        <v>0</v>
      </c>
      <c r="X75" s="43">
        <f t="shared" si="58"/>
        <v>0</v>
      </c>
      <c r="Y75" s="43">
        <f t="shared" si="58"/>
        <v>0</v>
      </c>
      <c r="Z75" s="43">
        <f t="shared" si="58"/>
        <v>0</v>
      </c>
      <c r="AA75" s="43">
        <f t="shared" si="58"/>
        <v>0</v>
      </c>
      <c r="AB75" s="43">
        <f t="shared" si="58"/>
        <v>0</v>
      </c>
      <c r="AC75" s="43">
        <f t="shared" si="58"/>
        <v>0</v>
      </c>
      <c r="AD75" s="43">
        <f t="shared" si="58"/>
        <v>0</v>
      </c>
      <c r="AE75" s="43">
        <f t="shared" si="58"/>
        <v>0</v>
      </c>
      <c r="AF75" s="43">
        <f t="shared" si="58"/>
        <v>0</v>
      </c>
      <c r="AG75" s="43">
        <f t="shared" si="58"/>
        <v>0</v>
      </c>
      <c r="AH75" s="43">
        <f t="shared" si="58"/>
        <v>0</v>
      </c>
      <c r="AI75" s="43">
        <f t="shared" si="58"/>
        <v>0</v>
      </c>
      <c r="AJ75" s="43">
        <f t="shared" si="58"/>
        <v>0</v>
      </c>
      <c r="AK75" s="43">
        <f t="shared" ref="AK75:BM75" si="59">AK34*$E$83</f>
        <v>0</v>
      </c>
      <c r="AL75" s="43">
        <f t="shared" si="59"/>
        <v>0</v>
      </c>
      <c r="AM75" s="43">
        <f t="shared" si="59"/>
        <v>0</v>
      </c>
      <c r="AN75" s="43">
        <f t="shared" si="59"/>
        <v>0</v>
      </c>
      <c r="AO75" s="43">
        <f t="shared" si="59"/>
        <v>0</v>
      </c>
      <c r="AP75" s="43">
        <f t="shared" si="59"/>
        <v>0</v>
      </c>
      <c r="AQ75" s="43">
        <f t="shared" si="59"/>
        <v>0</v>
      </c>
      <c r="AR75" s="43">
        <f t="shared" si="59"/>
        <v>0</v>
      </c>
      <c r="AS75" s="43">
        <f t="shared" si="59"/>
        <v>0</v>
      </c>
      <c r="AT75" s="43">
        <f t="shared" si="59"/>
        <v>0</v>
      </c>
      <c r="AU75" s="43">
        <f t="shared" si="59"/>
        <v>0</v>
      </c>
      <c r="AV75" s="43">
        <f t="shared" si="59"/>
        <v>0</v>
      </c>
      <c r="AW75" s="43">
        <f t="shared" si="59"/>
        <v>0</v>
      </c>
      <c r="AX75" s="43">
        <f t="shared" si="59"/>
        <v>0</v>
      </c>
      <c r="AY75" s="43">
        <f t="shared" si="59"/>
        <v>0</v>
      </c>
      <c r="AZ75" s="43">
        <f t="shared" si="59"/>
        <v>0</v>
      </c>
      <c r="BA75" s="43">
        <f t="shared" si="59"/>
        <v>0</v>
      </c>
      <c r="BB75" s="43">
        <f t="shared" si="59"/>
        <v>0</v>
      </c>
      <c r="BC75" s="43">
        <f t="shared" si="59"/>
        <v>0</v>
      </c>
      <c r="BD75" s="43">
        <f t="shared" si="59"/>
        <v>0</v>
      </c>
      <c r="BE75" s="43">
        <f t="shared" si="59"/>
        <v>0</v>
      </c>
      <c r="BF75" s="43">
        <f t="shared" si="59"/>
        <v>0</v>
      </c>
      <c r="BG75" s="43">
        <f t="shared" si="59"/>
        <v>0</v>
      </c>
      <c r="BH75" s="43">
        <f t="shared" si="59"/>
        <v>0</v>
      </c>
      <c r="BI75" s="43">
        <f t="shared" si="59"/>
        <v>0</v>
      </c>
      <c r="BJ75" s="43">
        <f t="shared" si="59"/>
        <v>0</v>
      </c>
      <c r="BK75" s="43">
        <f t="shared" si="59"/>
        <v>0</v>
      </c>
      <c r="BL75" s="43">
        <f t="shared" si="59"/>
        <v>0</v>
      </c>
      <c r="BM75" s="43">
        <f t="shared" si="59"/>
        <v>0</v>
      </c>
      <c r="BN75" s="15"/>
    </row>
    <row r="76" spans="2:66" x14ac:dyDescent="0.3">
      <c r="B76" s="12"/>
      <c r="C76" s="14"/>
      <c r="D76" s="14"/>
      <c r="E76" s="44">
        <f t="shared" ref="E76:AJ76" si="60">E35*E83</f>
        <v>4.0672458767841082</v>
      </c>
      <c r="F76" s="44">
        <f t="shared" si="60"/>
        <v>4.2162448360550338</v>
      </c>
      <c r="G76" s="44">
        <f t="shared" si="60"/>
        <v>4.3482153428378556</v>
      </c>
      <c r="H76" s="44">
        <f t="shared" si="60"/>
        <v>4.9634533312331239</v>
      </c>
      <c r="I76" s="44">
        <f t="shared" si="60"/>
        <v>5.6248384258711592</v>
      </c>
      <c r="J76" s="44">
        <f t="shared" si="60"/>
        <v>5.2972109999999999</v>
      </c>
      <c r="K76" s="44">
        <f t="shared" si="60"/>
        <v>5.0569395353928259</v>
      </c>
      <c r="L76" s="44">
        <f t="shared" si="60"/>
        <v>5.0257832604191286</v>
      </c>
      <c r="M76" s="44">
        <f t="shared" si="60"/>
        <v>5.042124781728174</v>
      </c>
      <c r="N76" s="44">
        <f t="shared" si="60"/>
        <v>5.0625589247139002</v>
      </c>
      <c r="O76" s="44">
        <f t="shared" si="60"/>
        <v>5.0826524986498667</v>
      </c>
      <c r="P76" s="44">
        <f t="shared" si="60"/>
        <v>5.0707930019322118</v>
      </c>
      <c r="Q76" s="44">
        <f t="shared" si="60"/>
        <v>5.0240000000000009</v>
      </c>
      <c r="R76" s="44">
        <f t="shared" si="60"/>
        <v>5.1685634338124915</v>
      </c>
      <c r="S76" s="44">
        <f t="shared" si="60"/>
        <v>5.3075886179865828</v>
      </c>
      <c r="T76" s="44">
        <f t="shared" si="60"/>
        <v>5.4601946680333482</v>
      </c>
      <c r="U76" s="44">
        <f t="shared" si="60"/>
        <v>5.6154432028852286</v>
      </c>
      <c r="V76" s="44">
        <f t="shared" si="60"/>
        <v>5.7730565218138521</v>
      </c>
      <c r="W76" s="44">
        <f t="shared" si="60"/>
        <v>5.9327465281368736</v>
      </c>
      <c r="X76" s="44">
        <f t="shared" si="60"/>
        <v>6.0942711087998767</v>
      </c>
      <c r="Y76" s="44">
        <f t="shared" si="60"/>
        <v>6.2574731436065187</v>
      </c>
      <c r="Z76" s="44">
        <f t="shared" si="60"/>
        <v>7.731046431049851</v>
      </c>
      <c r="AA76" s="44">
        <f t="shared" si="60"/>
        <v>7.8548671748467251</v>
      </c>
      <c r="AB76" s="44">
        <f t="shared" si="60"/>
        <v>7.9791396919438098</v>
      </c>
      <c r="AC76" s="44">
        <f t="shared" si="60"/>
        <v>8.1037190391259184</v>
      </c>
      <c r="AD76" s="44">
        <f t="shared" si="60"/>
        <v>8.228481633060067</v>
      </c>
      <c r="AE76" s="44">
        <f t="shared" si="60"/>
        <v>8.3532629654072927</v>
      </c>
      <c r="AF76" s="44">
        <f t="shared" si="60"/>
        <v>8.4779087935036106</v>
      </c>
      <c r="AG76" s="44">
        <f t="shared" si="60"/>
        <v>8.6022096462533195</v>
      </c>
      <c r="AH76" s="44">
        <f t="shared" si="60"/>
        <v>8.7259458147522686</v>
      </c>
      <c r="AI76" s="44">
        <f t="shared" si="60"/>
        <v>8.8489758462204868</v>
      </c>
      <c r="AJ76" s="44">
        <f t="shared" si="60"/>
        <v>8.9711301494775597</v>
      </c>
      <c r="AK76" s="44">
        <f t="shared" ref="AK76:BM76" si="61">AK35*AK83</f>
        <v>9.0922430201040019</v>
      </c>
      <c r="AL76" s="44">
        <f t="shared" si="61"/>
        <v>9.2121808101687783</v>
      </c>
      <c r="AM76" s="44">
        <f t="shared" si="61"/>
        <v>9.3308152396236679</v>
      </c>
      <c r="AN76" s="44">
        <f t="shared" si="61"/>
        <v>9.448026445243034</v>
      </c>
      <c r="AO76" s="44">
        <f t="shared" si="61"/>
        <v>9.563705234726644</v>
      </c>
      <c r="AP76" s="44">
        <f t="shared" si="61"/>
        <v>9.6777438446232686</v>
      </c>
      <c r="AQ76" s="44">
        <f t="shared" si="61"/>
        <v>9.790038861229819</v>
      </c>
      <c r="AR76" s="44">
        <f t="shared" si="61"/>
        <v>9.9004984968845164</v>
      </c>
      <c r="AS76" s="44">
        <f t="shared" si="61"/>
        <v>10.011778778572999</v>
      </c>
      <c r="AT76" s="44">
        <f t="shared" si="61"/>
        <v>10.151325864513154</v>
      </c>
      <c r="AU76" s="44">
        <f t="shared" si="61"/>
        <v>10.287514608212078</v>
      </c>
      <c r="AV76" s="44">
        <f t="shared" si="61"/>
        <v>10.420157281392148</v>
      </c>
      <c r="AW76" s="44">
        <f t="shared" si="61"/>
        <v>10.549069150311833</v>
      </c>
      <c r="AX76" s="44">
        <f t="shared" si="61"/>
        <v>10.674068900545118</v>
      </c>
      <c r="AY76" s="44">
        <f t="shared" si="61"/>
        <v>10.794979058506534</v>
      </c>
      <c r="AZ76" s="44">
        <f t="shared" si="61"/>
        <v>10.911626408362833</v>
      </c>
      <c r="BA76" s="44">
        <f t="shared" si="61"/>
        <v>11.023842402971487</v>
      </c>
      <c r="BB76" s="44">
        <f t="shared" si="61"/>
        <v>11.131463567490911</v>
      </c>
      <c r="BC76" s="44">
        <f t="shared" si="61"/>
        <v>11.234331894317799</v>
      </c>
      <c r="BD76" s="44">
        <f t="shared" si="61"/>
        <v>11.332295228023099</v>
      </c>
      <c r="BE76" s="44">
        <f t="shared" si="61"/>
        <v>11.425207638980018</v>
      </c>
      <c r="BF76" s="44">
        <f t="shared" si="61"/>
        <v>11.512929784405074</v>
      </c>
      <c r="BG76" s="44">
        <f t="shared" si="61"/>
        <v>11.595329255566297</v>
      </c>
      <c r="BH76" s="44">
        <f t="shared" si="61"/>
        <v>11.672280909951372</v>
      </c>
      <c r="BI76" s="44">
        <f t="shared" si="61"/>
        <v>11.743667187232516</v>
      </c>
      <c r="BJ76" s="44">
        <f t="shared" si="61"/>
        <v>11.809378407914281</v>
      </c>
      <c r="BK76" s="44">
        <f t="shared" si="61"/>
        <v>11.869313053604511</v>
      </c>
      <c r="BL76" s="44">
        <f t="shared" si="61"/>
        <v>11.923378027908125</v>
      </c>
      <c r="BM76" s="44">
        <f t="shared" si="61"/>
        <v>11.971488897006763</v>
      </c>
      <c r="BN76" s="15"/>
    </row>
    <row r="77" spans="2:66" x14ac:dyDescent="0.3">
      <c r="B77" s="12"/>
      <c r="C77" s="13" t="s">
        <v>196</v>
      </c>
      <c r="D77" s="13"/>
      <c r="E77" s="44"/>
      <c r="F77" s="44"/>
      <c r="G77" s="44"/>
      <c r="H77" s="44"/>
      <c r="I77" s="44"/>
      <c r="J77" s="44"/>
      <c r="K77" s="44"/>
      <c r="L77" s="44"/>
      <c r="M77" s="44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  <c r="AW77" s="43"/>
      <c r="AX77" s="43"/>
      <c r="AY77" s="43"/>
      <c r="AZ77" s="43"/>
      <c r="BA77" s="43"/>
      <c r="BB77" s="43"/>
      <c r="BC77" s="43"/>
      <c r="BD77" s="43"/>
      <c r="BE77" s="43"/>
      <c r="BF77" s="43"/>
      <c r="BG77" s="43"/>
      <c r="BH77" s="43"/>
      <c r="BI77" s="43"/>
      <c r="BJ77" s="43"/>
      <c r="BK77" s="43"/>
      <c r="BL77" s="43"/>
      <c r="BM77" s="43"/>
      <c r="BN77" s="15"/>
    </row>
    <row r="78" spans="2:66" x14ac:dyDescent="0.3">
      <c r="B78" s="12"/>
      <c r="C78" s="14" t="s">
        <v>60</v>
      </c>
      <c r="D78" s="14" t="s">
        <v>31</v>
      </c>
      <c r="E78" s="43">
        <f t="shared" ref="E78:AJ78" si="62">E38*E83</f>
        <v>0.16373406717276351</v>
      </c>
      <c r="F78" s="43">
        <f t="shared" si="62"/>
        <v>0.17671619040814743</v>
      </c>
      <c r="G78" s="43">
        <f t="shared" si="62"/>
        <v>0.18799243764190096</v>
      </c>
      <c r="H78" s="43">
        <f t="shared" si="62"/>
        <v>0.23364931920970178</v>
      </c>
      <c r="I78" s="43">
        <f t="shared" si="62"/>
        <v>0.25981128689098887</v>
      </c>
      <c r="J78" s="43">
        <f t="shared" si="62"/>
        <v>0.2447311482</v>
      </c>
      <c r="K78" s="43">
        <f t="shared" si="62"/>
        <v>0.23054587341855892</v>
      </c>
      <c r="L78" s="43">
        <f t="shared" si="62"/>
        <v>0.32452868855524275</v>
      </c>
      <c r="M78" s="43">
        <f t="shared" si="62"/>
        <v>0.33789295012273185</v>
      </c>
      <c r="N78" s="43">
        <f t="shared" si="62"/>
        <v>0.31711869104407869</v>
      </c>
      <c r="O78" s="43">
        <f t="shared" si="62"/>
        <v>0.32423256819387231</v>
      </c>
      <c r="P78" s="43">
        <f t="shared" si="62"/>
        <v>0.32635989589189363</v>
      </c>
      <c r="Q78" s="43">
        <f t="shared" si="62"/>
        <v>0.49722126080000006</v>
      </c>
      <c r="R78" s="43">
        <f t="shared" si="62"/>
        <v>0.45159806146593262</v>
      </c>
      <c r="S78" s="43">
        <f t="shared" si="62"/>
        <v>0.46467459710216397</v>
      </c>
      <c r="T78" s="43">
        <f t="shared" si="62"/>
        <v>0.4780351191630719</v>
      </c>
      <c r="U78" s="43">
        <f t="shared" si="62"/>
        <v>0.49162698838566521</v>
      </c>
      <c r="V78" s="43">
        <f t="shared" si="62"/>
        <v>0.50542589232160662</v>
      </c>
      <c r="W78" s="43">
        <f t="shared" si="62"/>
        <v>0.51940660836616348</v>
      </c>
      <c r="X78" s="43">
        <f t="shared" si="62"/>
        <v>0.53354793973975989</v>
      </c>
      <c r="Y78" s="43">
        <f t="shared" si="62"/>
        <v>0.54783613071089765</v>
      </c>
      <c r="Z78" s="43">
        <f t="shared" si="62"/>
        <v>0.6768461431528553</v>
      </c>
      <c r="AA78" s="43">
        <f t="shared" si="62"/>
        <v>0.68768653761027831</v>
      </c>
      <c r="AB78" s="43">
        <f t="shared" si="62"/>
        <v>0.69856648441272384</v>
      </c>
      <c r="AC78" s="43">
        <f t="shared" si="62"/>
        <v>0.70947329391241276</v>
      </c>
      <c r="AD78" s="43">
        <f t="shared" si="62"/>
        <v>0.72039614649999029</v>
      </c>
      <c r="AE78" s="43">
        <f t="shared" si="62"/>
        <v>0.73132063961873417</v>
      </c>
      <c r="AF78" s="43">
        <f t="shared" si="62"/>
        <v>0.74223326946250945</v>
      </c>
      <c r="AG78" s="43">
        <f t="shared" si="62"/>
        <v>0.75311569702578907</v>
      </c>
      <c r="AH78" s="43">
        <f t="shared" si="62"/>
        <v>0.76394868699214891</v>
      </c>
      <c r="AI78" s="43">
        <f t="shared" si="62"/>
        <v>0.77471985529826537</v>
      </c>
      <c r="AJ78" s="43">
        <f t="shared" si="62"/>
        <v>0.78541435438923068</v>
      </c>
      <c r="AK78" s="43">
        <f t="shared" ref="AK78:BM78" si="63">AK38*AK83</f>
        <v>0.7960176769925521</v>
      </c>
      <c r="AL78" s="43">
        <f t="shared" si="63"/>
        <v>0.80651812235239162</v>
      </c>
      <c r="AM78" s="43">
        <f t="shared" si="63"/>
        <v>0.81690445966621072</v>
      </c>
      <c r="AN78" s="43">
        <f t="shared" si="63"/>
        <v>0.82716619501669819</v>
      </c>
      <c r="AO78" s="43">
        <f t="shared" si="63"/>
        <v>0.83729376871643857</v>
      </c>
      <c r="AP78" s="43">
        <f t="shared" si="63"/>
        <v>0.84727774617245832</v>
      </c>
      <c r="AQ78" s="43">
        <f t="shared" si="63"/>
        <v>0.85710907360831079</v>
      </c>
      <c r="AR78" s="43">
        <f t="shared" si="63"/>
        <v>0.8667797150969816</v>
      </c>
      <c r="AS78" s="43">
        <f t="shared" si="63"/>
        <v>0.87652220340584897</v>
      </c>
      <c r="AT78" s="43">
        <f t="shared" si="63"/>
        <v>0.8887394249358439</v>
      </c>
      <c r="AU78" s="43">
        <f t="shared" si="63"/>
        <v>0.90066262663118446</v>
      </c>
      <c r="AV78" s="43">
        <f t="shared" si="63"/>
        <v>0.91227537305045847</v>
      </c>
      <c r="AW78" s="43">
        <f t="shared" si="63"/>
        <v>0.92356149092118855</v>
      </c>
      <c r="AX78" s="43">
        <f t="shared" si="63"/>
        <v>0.93450510632888684</v>
      </c>
      <c r="AY78" s="43">
        <f t="shared" si="63"/>
        <v>0.94509068162119225</v>
      </c>
      <c r="AZ78" s="43">
        <f t="shared" si="63"/>
        <v>0.95530305190811027</v>
      </c>
      <c r="BA78" s="43">
        <f t="shared" si="63"/>
        <v>0.96512746103930924</v>
      </c>
      <c r="BB78" s="43">
        <f t="shared" si="63"/>
        <v>0.97454959693983045</v>
      </c>
      <c r="BC78" s="43">
        <f t="shared" si="63"/>
        <v>0.98355562618649639</v>
      </c>
      <c r="BD78" s="43">
        <f t="shared" si="63"/>
        <v>0.99213222770870768</v>
      </c>
      <c r="BE78" s="43">
        <f t="shared" si="63"/>
        <v>1.0002666254992385</v>
      </c>
      <c r="BF78" s="43">
        <f t="shared" si="63"/>
        <v>1.0079466202230549</v>
      </c>
      <c r="BG78" s="43">
        <f t="shared" si="63"/>
        <v>1.0151606196150798</v>
      </c>
      <c r="BH78" s="43">
        <f t="shared" si="63"/>
        <v>1.0218976675612135</v>
      </c>
      <c r="BI78" s="43">
        <f t="shared" si="63"/>
        <v>1.0281474717607753</v>
      </c>
      <c r="BJ78" s="43">
        <f t="shared" si="63"/>
        <v>1.0339004298728478</v>
      </c>
      <c r="BK78" s="43">
        <f t="shared" si="63"/>
        <v>1.0391476540537479</v>
      </c>
      <c r="BL78" s="43">
        <f t="shared" si="63"/>
        <v>1.0438809937980404</v>
      </c>
      <c r="BM78" s="43">
        <f t="shared" si="63"/>
        <v>1.0480930570010709</v>
      </c>
      <c r="BN78" s="15"/>
    </row>
    <row r="79" spans="2:66" x14ac:dyDescent="0.3">
      <c r="B79" s="12"/>
      <c r="C79" s="39" t="s">
        <v>61</v>
      </c>
      <c r="D79" s="14" t="s">
        <v>32</v>
      </c>
      <c r="E79" s="43">
        <f t="shared" ref="E79:AJ79" si="64">E39*E83</f>
        <v>0.19329617088385123</v>
      </c>
      <c r="F79" s="43">
        <f t="shared" si="64"/>
        <v>0.21738771326747086</v>
      </c>
      <c r="G79" s="43">
        <f t="shared" si="64"/>
        <v>0.2431924074460563</v>
      </c>
      <c r="H79" s="43">
        <f t="shared" si="64"/>
        <v>0.2867913237215951</v>
      </c>
      <c r="I79" s="43">
        <f t="shared" si="64"/>
        <v>0.30267255569612705</v>
      </c>
      <c r="J79" s="43">
        <f t="shared" si="64"/>
        <v>0.33796206179999999</v>
      </c>
      <c r="K79" s="43">
        <f t="shared" si="64"/>
        <v>0.25997726151454514</v>
      </c>
      <c r="L79" s="43">
        <f t="shared" si="64"/>
        <v>0.45117403043045945</v>
      </c>
      <c r="M79" s="43">
        <f t="shared" si="64"/>
        <v>0.43355214148167881</v>
      </c>
      <c r="N79" s="43">
        <f t="shared" si="64"/>
        <v>0.41188979411472293</v>
      </c>
      <c r="O79" s="43">
        <f t="shared" si="64"/>
        <v>0.40766939161170851</v>
      </c>
      <c r="P79" s="43">
        <f t="shared" si="64"/>
        <v>0.42562143104795341</v>
      </c>
      <c r="Q79" s="43">
        <f t="shared" si="64"/>
        <v>0.33676273920000005</v>
      </c>
      <c r="R79" s="43">
        <f t="shared" si="64"/>
        <v>0.36503496107644101</v>
      </c>
      <c r="S79" s="43">
        <f t="shared" si="64"/>
        <v>0.37560496366124285</v>
      </c>
      <c r="T79" s="43">
        <f t="shared" si="64"/>
        <v>0.38640451765984291</v>
      </c>
      <c r="U79" s="43">
        <f t="shared" si="64"/>
        <v>0.39739107379456123</v>
      </c>
      <c r="V79" s="43">
        <f t="shared" si="64"/>
        <v>0.40854497986936378</v>
      </c>
      <c r="W79" s="43">
        <f t="shared" si="64"/>
        <v>0.41984584799217917</v>
      </c>
      <c r="X79" s="43">
        <f t="shared" si="64"/>
        <v>0.43127654441893792</v>
      </c>
      <c r="Y79" s="43">
        <f t="shared" si="64"/>
        <v>0.44282595014063519</v>
      </c>
      <c r="Z79" s="43">
        <f t="shared" si="64"/>
        <v>0.54710709943820313</v>
      </c>
      <c r="AA79" s="43">
        <f t="shared" si="64"/>
        <v>0.5558695882672593</v>
      </c>
      <c r="AB79" s="43">
        <f t="shared" si="64"/>
        <v>0.5646640479791819</v>
      </c>
      <c r="AC79" s="43">
        <f t="shared" si="64"/>
        <v>0.57348022129990683</v>
      </c>
      <c r="AD79" s="43">
        <f t="shared" si="64"/>
        <v>0.5823093625415835</v>
      </c>
      <c r="AE79" s="43">
        <f t="shared" si="64"/>
        <v>0.59113982985456448</v>
      </c>
      <c r="AF79" s="43">
        <f t="shared" si="64"/>
        <v>0.59996070786571742</v>
      </c>
      <c r="AG79" s="43">
        <f t="shared" si="64"/>
        <v>0.60875717282193076</v>
      </c>
      <c r="AH79" s="43">
        <f t="shared" si="64"/>
        <v>0.61751367646562483</v>
      </c>
      <c r="AI79" s="43">
        <f t="shared" si="64"/>
        <v>0.62622020853223259</v>
      </c>
      <c r="AJ79" s="43">
        <f t="shared" si="64"/>
        <v>0.63486476747194598</v>
      </c>
      <c r="AK79" s="43">
        <f t="shared" ref="AK79:BM79" si="65">AK39*AK83</f>
        <v>0.64343562679144806</v>
      </c>
      <c r="AL79" s="43">
        <f t="shared" si="65"/>
        <v>0.65192332855609225</v>
      </c>
      <c r="AM79" s="43">
        <f t="shared" si="65"/>
        <v>0.6603187947030672</v>
      </c>
      <c r="AN79" s="43">
        <f t="shared" si="65"/>
        <v>0.66861354280734919</v>
      </c>
      <c r="AO79" s="43">
        <f t="shared" si="65"/>
        <v>0.67679984559900197</v>
      </c>
      <c r="AP79" s="43">
        <f t="shared" si="65"/>
        <v>0.68487007692421131</v>
      </c>
      <c r="AQ79" s="43">
        <f t="shared" si="65"/>
        <v>0.69281691845011739</v>
      </c>
      <c r="AR79" s="43">
        <f t="shared" si="65"/>
        <v>0.70063387459014603</v>
      </c>
      <c r="AS79" s="43">
        <f t="shared" si="65"/>
        <v>0.70850890582715098</v>
      </c>
      <c r="AT79" s="43">
        <f t="shared" si="65"/>
        <v>0.71838430912535667</v>
      </c>
      <c r="AU79" s="43">
        <f t="shared" si="65"/>
        <v>0.72802205082122862</v>
      </c>
      <c r="AV79" s="43">
        <f t="shared" si="65"/>
        <v>0.73740884584729649</v>
      </c>
      <c r="AW79" s="43">
        <f t="shared" si="65"/>
        <v>0.74653162105202764</v>
      </c>
      <c r="AX79" s="43">
        <f t="shared" si="65"/>
        <v>0.75537754526042022</v>
      </c>
      <c r="AY79" s="43">
        <f t="shared" si="65"/>
        <v>0.76393405910429102</v>
      </c>
      <c r="AZ79" s="43">
        <f t="shared" si="65"/>
        <v>0.77218890452608557</v>
      </c>
      <c r="BA79" s="43">
        <f t="shared" si="65"/>
        <v>0.78013015385998419</v>
      </c>
      <c r="BB79" s="43">
        <f t="shared" si="65"/>
        <v>0.78774623839440183</v>
      </c>
      <c r="BC79" s="43">
        <f t="shared" si="65"/>
        <v>0.79502597632073035</v>
      </c>
      <c r="BD79" s="43">
        <f t="shared" si="65"/>
        <v>0.80195859997430796</v>
      </c>
      <c r="BE79" s="43">
        <f t="shared" si="65"/>
        <v>0.80853378227515293</v>
      </c>
      <c r="BF79" s="43">
        <f t="shared" si="65"/>
        <v>0.81474166227794853</v>
      </c>
      <c r="BG79" s="43">
        <f t="shared" si="65"/>
        <v>0.82057286974311139</v>
      </c>
      <c r="BH79" s="43">
        <f t="shared" si="65"/>
        <v>0.82601854864351254</v>
      </c>
      <c r="BI79" s="43">
        <f t="shared" si="65"/>
        <v>0.83107037952453267</v>
      </c>
      <c r="BJ79" s="43">
        <f t="shared" si="65"/>
        <v>0.83572060063863118</v>
      </c>
      <c r="BK79" s="43">
        <f t="shared" si="65"/>
        <v>0.83996202777943096</v>
      </c>
      <c r="BL79" s="43">
        <f t="shared" si="65"/>
        <v>0.84378807274452816</v>
      </c>
      <c r="BM79" s="43">
        <f t="shared" si="65"/>
        <v>0.847192760360721</v>
      </c>
      <c r="BN79" s="15"/>
    </row>
    <row r="80" spans="2:66" x14ac:dyDescent="0.3">
      <c r="B80" s="12"/>
      <c r="C80" s="39" t="s">
        <v>62</v>
      </c>
      <c r="D80" s="14" t="s">
        <v>33</v>
      </c>
      <c r="E80" s="43">
        <f t="shared" ref="E80:AJ80" si="66">E40*E83</f>
        <v>3.7102156387274934</v>
      </c>
      <c r="F80" s="43">
        <f t="shared" si="66"/>
        <v>3.8221409323794155</v>
      </c>
      <c r="G80" s="43">
        <f t="shared" si="66"/>
        <v>3.9170304977498982</v>
      </c>
      <c r="H80" s="43">
        <f t="shared" si="66"/>
        <v>4.4430126883018275</v>
      </c>
      <c r="I80" s="43">
        <f t="shared" si="66"/>
        <v>5.0623545832840433</v>
      </c>
      <c r="J80" s="43">
        <f t="shared" si="66"/>
        <v>4.7145177900000004</v>
      </c>
      <c r="K80" s="43">
        <f t="shared" si="66"/>
        <v>4.5664164004597216</v>
      </c>
      <c r="L80" s="43">
        <f t="shared" si="66"/>
        <v>4.2500805414334266</v>
      </c>
      <c r="M80" s="43">
        <f t="shared" si="66"/>
        <v>4.2706796901237629</v>
      </c>
      <c r="N80" s="43">
        <f t="shared" si="66"/>
        <v>4.3335504395550988</v>
      </c>
      <c r="O80" s="43">
        <f t="shared" si="66"/>
        <v>4.3507505388442862</v>
      </c>
      <c r="P80" s="43">
        <f t="shared" si="66"/>
        <v>4.3188116749923653</v>
      </c>
      <c r="Q80" s="43">
        <f t="shared" si="66"/>
        <v>4.1900160000000009</v>
      </c>
      <c r="R80" s="43">
        <f t="shared" si="66"/>
        <v>4.3519304112701178</v>
      </c>
      <c r="S80" s="43">
        <f t="shared" si="66"/>
        <v>4.4673090572231757</v>
      </c>
      <c r="T80" s="43">
        <f t="shared" si="66"/>
        <v>4.5957550312104338</v>
      </c>
      <c r="U80" s="43">
        <f t="shared" si="66"/>
        <v>4.7264251407050013</v>
      </c>
      <c r="V80" s="43">
        <f t="shared" si="66"/>
        <v>4.8590856496228811</v>
      </c>
      <c r="W80" s="43">
        <f t="shared" si="66"/>
        <v>4.9934940717785308</v>
      </c>
      <c r="X80" s="43">
        <f t="shared" si="66"/>
        <v>5.1294466246411785</v>
      </c>
      <c r="Y80" s="43">
        <f t="shared" si="66"/>
        <v>5.2668110627549849</v>
      </c>
      <c r="Z80" s="43">
        <f t="shared" si="66"/>
        <v>6.5070931884587919</v>
      </c>
      <c r="AA80" s="43">
        <f t="shared" si="66"/>
        <v>6.6113110489691875</v>
      </c>
      <c r="AB80" s="43">
        <f t="shared" si="66"/>
        <v>6.715909159551904</v>
      </c>
      <c r="AC80" s="43">
        <f t="shared" si="66"/>
        <v>6.8207655239135976</v>
      </c>
      <c r="AD80" s="43">
        <f t="shared" si="66"/>
        <v>6.9257761240184932</v>
      </c>
      <c r="AE80" s="43">
        <f t="shared" si="66"/>
        <v>7.030802495933993</v>
      </c>
      <c r="AF80" s="43">
        <f t="shared" si="66"/>
        <v>7.1357148161753834</v>
      </c>
      <c r="AG80" s="43">
        <f t="shared" si="66"/>
        <v>7.2403367764055986</v>
      </c>
      <c r="AH80" s="43">
        <f t="shared" si="66"/>
        <v>7.3444834512944936</v>
      </c>
      <c r="AI80" s="43">
        <f t="shared" si="66"/>
        <v>7.4480357823899892</v>
      </c>
      <c r="AJ80" s="43">
        <f t="shared" si="66"/>
        <v>7.5508510276163827</v>
      </c>
      <c r="AK80" s="43">
        <f t="shared" ref="AK80:BM80" si="67">AK40*AK83</f>
        <v>7.6527897163200009</v>
      </c>
      <c r="AL80" s="43">
        <f t="shared" si="67"/>
        <v>7.7537393592602948</v>
      </c>
      <c r="AM80" s="43">
        <f t="shared" si="67"/>
        <v>7.853591985254389</v>
      </c>
      <c r="AN80" s="43">
        <f t="shared" si="67"/>
        <v>7.9522467074189862</v>
      </c>
      <c r="AO80" s="43">
        <f t="shared" si="67"/>
        <v>8.0496116204112038</v>
      </c>
      <c r="AP80" s="43">
        <f t="shared" si="67"/>
        <v>8.1455960215265986</v>
      </c>
      <c r="AQ80" s="43">
        <f t="shared" si="67"/>
        <v>8.2401128691713907</v>
      </c>
      <c r="AR80" s="43">
        <f t="shared" si="67"/>
        <v>8.3330849071973887</v>
      </c>
      <c r="AS80" s="43">
        <f t="shared" si="67"/>
        <v>8.4267476693399992</v>
      </c>
      <c r="AT80" s="43">
        <f t="shared" si="67"/>
        <v>8.5442021304519518</v>
      </c>
      <c r="AU80" s="43">
        <f t="shared" si="67"/>
        <v>8.6588299307596657</v>
      </c>
      <c r="AV80" s="43">
        <f t="shared" si="67"/>
        <v>8.7704730624943927</v>
      </c>
      <c r="AW80" s="43">
        <f t="shared" si="67"/>
        <v>8.8789760383386174</v>
      </c>
      <c r="AX80" s="43">
        <f t="shared" si="67"/>
        <v>8.98418624895581</v>
      </c>
      <c r="AY80" s="43">
        <f t="shared" si="67"/>
        <v>9.0859543177810504</v>
      </c>
      <c r="AZ80" s="43">
        <f t="shared" si="67"/>
        <v>9.184134451928637</v>
      </c>
      <c r="BA80" s="43">
        <f t="shared" si="67"/>
        <v>9.2785847880721928</v>
      </c>
      <c r="BB80" s="43">
        <f t="shared" si="67"/>
        <v>9.3691677321566793</v>
      </c>
      <c r="BC80" s="43">
        <f t="shared" si="67"/>
        <v>9.4557502918105723</v>
      </c>
      <c r="BD80" s="43">
        <f t="shared" si="67"/>
        <v>9.5382044003400832</v>
      </c>
      <c r="BE80" s="43">
        <f t="shared" si="67"/>
        <v>9.6164072312056259</v>
      </c>
      <c r="BF80" s="43">
        <f t="shared" si="67"/>
        <v>9.6902415019040689</v>
      </c>
      <c r="BG80" s="43">
        <f t="shared" si="67"/>
        <v>9.7595957662081041</v>
      </c>
      <c r="BH80" s="43">
        <f t="shared" si="67"/>
        <v>9.8243646937466451</v>
      </c>
      <c r="BI80" s="43">
        <f t="shared" si="67"/>
        <v>9.8844493359472079</v>
      </c>
      <c r="BJ80" s="43">
        <f t="shared" si="67"/>
        <v>9.9397573774028007</v>
      </c>
      <c r="BK80" s="43">
        <f t="shared" si="67"/>
        <v>9.9902033717713312</v>
      </c>
      <c r="BL80" s="43">
        <f t="shared" si="67"/>
        <v>10.035708961365556</v>
      </c>
      <c r="BM80" s="43">
        <f t="shared" si="67"/>
        <v>10.076203079644971</v>
      </c>
      <c r="BN80" s="15"/>
    </row>
    <row r="81" spans="2:66" x14ac:dyDescent="0.3">
      <c r="B81" s="12"/>
      <c r="C81" s="14"/>
      <c r="D81" s="14"/>
      <c r="E81" s="44">
        <f t="shared" ref="E81:AJ81" si="68">E41*E83</f>
        <v>4.0672458767841082</v>
      </c>
      <c r="F81" s="44">
        <f t="shared" si="68"/>
        <v>4.2162448360550338</v>
      </c>
      <c r="G81" s="44">
        <f t="shared" si="68"/>
        <v>4.3482153428378556</v>
      </c>
      <c r="H81" s="44">
        <f t="shared" si="68"/>
        <v>4.9634533312331239</v>
      </c>
      <c r="I81" s="44">
        <f t="shared" si="68"/>
        <v>5.6248384258711592</v>
      </c>
      <c r="J81" s="44">
        <f t="shared" si="68"/>
        <v>5.2972109999999999</v>
      </c>
      <c r="K81" s="44">
        <f t="shared" si="68"/>
        <v>5.0569395353928259</v>
      </c>
      <c r="L81" s="44">
        <f t="shared" si="68"/>
        <v>5.0257832604191286</v>
      </c>
      <c r="M81" s="44">
        <f t="shared" si="68"/>
        <v>5.042124781728174</v>
      </c>
      <c r="N81" s="44">
        <f t="shared" si="68"/>
        <v>5.0625589247139002</v>
      </c>
      <c r="O81" s="44">
        <f t="shared" si="68"/>
        <v>5.0826524986498667</v>
      </c>
      <c r="P81" s="44">
        <f t="shared" si="68"/>
        <v>5.0707930019322118</v>
      </c>
      <c r="Q81" s="44">
        <f t="shared" si="68"/>
        <v>5.0240000000000009</v>
      </c>
      <c r="R81" s="44">
        <f t="shared" si="68"/>
        <v>5.1685634338124915</v>
      </c>
      <c r="S81" s="44">
        <f t="shared" si="68"/>
        <v>5.3075886179865828</v>
      </c>
      <c r="T81" s="44">
        <f t="shared" si="68"/>
        <v>5.4601946680333482</v>
      </c>
      <c r="U81" s="44">
        <f t="shared" si="68"/>
        <v>5.6154432028852286</v>
      </c>
      <c r="V81" s="44">
        <f t="shared" si="68"/>
        <v>5.7730565218138521</v>
      </c>
      <c r="W81" s="44">
        <f t="shared" si="68"/>
        <v>5.9327465281368736</v>
      </c>
      <c r="X81" s="44">
        <f t="shared" si="68"/>
        <v>6.0942711087998767</v>
      </c>
      <c r="Y81" s="44">
        <f t="shared" si="68"/>
        <v>6.2574731436065187</v>
      </c>
      <c r="Z81" s="44">
        <f t="shared" si="68"/>
        <v>7.731046431049851</v>
      </c>
      <c r="AA81" s="44">
        <f t="shared" si="68"/>
        <v>7.8548671748467251</v>
      </c>
      <c r="AB81" s="44">
        <f t="shared" si="68"/>
        <v>7.9791396919438098</v>
      </c>
      <c r="AC81" s="44">
        <f t="shared" si="68"/>
        <v>8.1037190391259184</v>
      </c>
      <c r="AD81" s="44">
        <f t="shared" si="68"/>
        <v>8.228481633060067</v>
      </c>
      <c r="AE81" s="44">
        <f t="shared" si="68"/>
        <v>8.3532629654072927</v>
      </c>
      <c r="AF81" s="44">
        <f t="shared" si="68"/>
        <v>8.4779087935036106</v>
      </c>
      <c r="AG81" s="44">
        <f t="shared" si="68"/>
        <v>8.6022096462533195</v>
      </c>
      <c r="AH81" s="44">
        <f t="shared" si="68"/>
        <v>8.7259458147522686</v>
      </c>
      <c r="AI81" s="44">
        <f t="shared" si="68"/>
        <v>8.8489758462204868</v>
      </c>
      <c r="AJ81" s="44">
        <f t="shared" si="68"/>
        <v>8.9711301494775597</v>
      </c>
      <c r="AK81" s="44">
        <f t="shared" ref="AK81:BM81" si="69">AK41*AK83</f>
        <v>9.0922430201040019</v>
      </c>
      <c r="AL81" s="44">
        <f t="shared" si="69"/>
        <v>9.2121808101687783</v>
      </c>
      <c r="AM81" s="44">
        <f t="shared" si="69"/>
        <v>9.3308152396236679</v>
      </c>
      <c r="AN81" s="44">
        <f t="shared" si="69"/>
        <v>9.448026445243034</v>
      </c>
      <c r="AO81" s="44">
        <f t="shared" si="69"/>
        <v>9.563705234726644</v>
      </c>
      <c r="AP81" s="44">
        <f t="shared" si="69"/>
        <v>9.6777438446232686</v>
      </c>
      <c r="AQ81" s="44">
        <f t="shared" si="69"/>
        <v>9.790038861229819</v>
      </c>
      <c r="AR81" s="44">
        <f t="shared" si="69"/>
        <v>9.9004984968845164</v>
      </c>
      <c r="AS81" s="44">
        <f t="shared" si="69"/>
        <v>10.011778778572999</v>
      </c>
      <c r="AT81" s="44">
        <f t="shared" si="69"/>
        <v>10.151325864513154</v>
      </c>
      <c r="AU81" s="44">
        <f t="shared" si="69"/>
        <v>10.287514608212078</v>
      </c>
      <c r="AV81" s="44">
        <f t="shared" si="69"/>
        <v>10.420157281392148</v>
      </c>
      <c r="AW81" s="44">
        <f t="shared" si="69"/>
        <v>10.549069150311833</v>
      </c>
      <c r="AX81" s="44">
        <f t="shared" si="69"/>
        <v>10.674068900545118</v>
      </c>
      <c r="AY81" s="44">
        <f t="shared" si="69"/>
        <v>10.794979058506534</v>
      </c>
      <c r="AZ81" s="44">
        <f t="shared" si="69"/>
        <v>10.911626408362833</v>
      </c>
      <c r="BA81" s="44">
        <f t="shared" si="69"/>
        <v>11.023842402971487</v>
      </c>
      <c r="BB81" s="44">
        <f t="shared" si="69"/>
        <v>11.131463567490911</v>
      </c>
      <c r="BC81" s="44">
        <f t="shared" si="69"/>
        <v>11.234331894317799</v>
      </c>
      <c r="BD81" s="44">
        <f t="shared" si="69"/>
        <v>11.332295228023099</v>
      </c>
      <c r="BE81" s="44">
        <f t="shared" si="69"/>
        <v>11.425207638980018</v>
      </c>
      <c r="BF81" s="44">
        <f t="shared" si="69"/>
        <v>11.512929784405074</v>
      </c>
      <c r="BG81" s="44">
        <f t="shared" si="69"/>
        <v>11.595329255566297</v>
      </c>
      <c r="BH81" s="44">
        <f t="shared" si="69"/>
        <v>11.672280909951372</v>
      </c>
      <c r="BI81" s="44">
        <f t="shared" si="69"/>
        <v>11.743667187232516</v>
      </c>
      <c r="BJ81" s="44">
        <f t="shared" si="69"/>
        <v>11.809378407914281</v>
      </c>
      <c r="BK81" s="44">
        <f t="shared" si="69"/>
        <v>11.869313053604511</v>
      </c>
      <c r="BL81" s="44">
        <f t="shared" si="69"/>
        <v>11.923378027908125</v>
      </c>
      <c r="BM81" s="44">
        <f t="shared" si="69"/>
        <v>11.971488897006763</v>
      </c>
      <c r="BN81" s="15"/>
    </row>
    <row r="82" spans="2:66" x14ac:dyDescent="0.3">
      <c r="B82" s="12"/>
      <c r="C82" s="14"/>
      <c r="D82" s="14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3"/>
      <c r="AC82" s="43"/>
      <c r="AD82" s="43"/>
      <c r="AE82" s="43"/>
      <c r="AF82" s="43"/>
      <c r="AG82" s="43"/>
      <c r="AH82" s="43"/>
      <c r="AI82" s="43"/>
      <c r="AJ82" s="43"/>
      <c r="AK82" s="43"/>
      <c r="AL82" s="43"/>
      <c r="AM82" s="43"/>
      <c r="AN82" s="43"/>
      <c r="AO82" s="43"/>
      <c r="AP82" s="43"/>
      <c r="AQ82" s="43"/>
      <c r="AR82" s="43"/>
      <c r="AS82" s="43"/>
      <c r="AT82" s="43"/>
      <c r="AU82" s="43"/>
      <c r="AV82" s="43"/>
      <c r="AW82" s="43"/>
      <c r="AX82" s="43"/>
      <c r="AY82" s="43"/>
      <c r="AZ82" s="43"/>
      <c r="BA82" s="43"/>
      <c r="BB82" s="43"/>
      <c r="BC82" s="43"/>
      <c r="BD82" s="43"/>
      <c r="BE82" s="43"/>
      <c r="BF82" s="43"/>
      <c r="BG82" s="43"/>
      <c r="BH82" s="43"/>
      <c r="BI82" s="43"/>
      <c r="BJ82" s="43"/>
      <c r="BK82" s="43"/>
      <c r="BL82" s="43"/>
      <c r="BM82" s="43"/>
      <c r="BN82" s="15"/>
    </row>
    <row r="83" spans="2:66" x14ac:dyDescent="0.3">
      <c r="B83" s="12"/>
      <c r="C83" s="131" t="s">
        <v>71</v>
      </c>
      <c r="D83" s="13" t="s">
        <v>70</v>
      </c>
      <c r="E83" s="46">
        <v>4.0672458767841082</v>
      </c>
      <c r="F83" s="46">
        <v>4.2162448360550338</v>
      </c>
      <c r="G83" s="46">
        <v>4.3482153428378556</v>
      </c>
      <c r="H83" s="46">
        <v>4.9634533312331239</v>
      </c>
      <c r="I83" s="46">
        <v>5.6248384258711592</v>
      </c>
      <c r="J83" s="46">
        <v>5.2972109999999999</v>
      </c>
      <c r="K83" s="46">
        <v>5.0569395353928259</v>
      </c>
      <c r="L83" s="46">
        <v>5.0416139281535308</v>
      </c>
      <c r="M83" s="46">
        <v>5.042124781728174</v>
      </c>
      <c r="N83" s="46">
        <v>5.0625589247139002</v>
      </c>
      <c r="O83" s="46">
        <v>5.0826524986498667</v>
      </c>
      <c r="P83" s="46">
        <v>5.0809549117557236</v>
      </c>
      <c r="Q83" s="46">
        <v>5.0240000000000009</v>
      </c>
      <c r="R83" s="46">
        <v>5.1685634338124915</v>
      </c>
      <c r="S83" s="46">
        <v>5.3182250681228282</v>
      </c>
      <c r="T83" s="46">
        <v>5.4711369419171829</v>
      </c>
      <c r="U83" s="46">
        <v>5.6266965960773829</v>
      </c>
      <c r="V83" s="46">
        <v>5.784625773360573</v>
      </c>
      <c r="W83" s="46">
        <v>5.9446357997363464</v>
      </c>
      <c r="X83" s="46">
        <v>6.1064840769537838</v>
      </c>
      <c r="Y83" s="46">
        <v>6.2700131699464112</v>
      </c>
      <c r="Z83" s="46">
        <v>7.746539510069991</v>
      </c>
      <c r="AA83" s="46">
        <v>7.8706083916299852</v>
      </c>
      <c r="AB83" s="46">
        <v>7.9951299518475052</v>
      </c>
      <c r="AC83" s="46">
        <v>8.1199589570399979</v>
      </c>
      <c r="AD83" s="46">
        <v>8.2449715762124924</v>
      </c>
      <c r="AE83" s="46">
        <v>8.3700029713499919</v>
      </c>
      <c r="AF83" s="46">
        <v>8.494898590684981</v>
      </c>
      <c r="AG83" s="46">
        <v>8.619448543339999</v>
      </c>
      <c r="AH83" s="46">
        <v>8.7434326801124929</v>
      </c>
      <c r="AI83" s="46">
        <v>8.8667092647499874</v>
      </c>
      <c r="AJ83" s="46">
        <v>8.9891083662099796</v>
      </c>
      <c r="AK83" s="46">
        <v>9.1104639480000014</v>
      </c>
      <c r="AL83" s="46">
        <v>9.2306420943574938</v>
      </c>
      <c r="AM83" s="46">
        <v>9.3495142681599877</v>
      </c>
      <c r="AN83" s="46">
        <v>9.4669603659749839</v>
      </c>
      <c r="AO83" s="46">
        <v>9.5828709766800042</v>
      </c>
      <c r="AP83" s="46">
        <v>9.6971381208649987</v>
      </c>
      <c r="AQ83" s="46">
        <v>9.8096581775849891</v>
      </c>
      <c r="AR83" s="46">
        <v>9.9203391752349859</v>
      </c>
      <c r="AS83" s="46">
        <v>10.0318424635</v>
      </c>
      <c r="AT83" s="46">
        <v>10.171669202918991</v>
      </c>
      <c r="AU83" s="46">
        <v>10.308130869951983</v>
      </c>
      <c r="AV83" s="46">
        <v>10.441039360112374</v>
      </c>
      <c r="AW83" s="46">
        <v>10.570209569450736</v>
      </c>
      <c r="AX83" s="46">
        <v>10.695459820185489</v>
      </c>
      <c r="AY83" s="46">
        <v>10.816612283072679</v>
      </c>
      <c r="AZ83" s="46">
        <v>10.933493395153139</v>
      </c>
      <c r="BA83" s="46">
        <v>11.045934271514517</v>
      </c>
      <c r="BB83" s="46">
        <v>11.153771109710332</v>
      </c>
      <c r="BC83" s="46">
        <v>11.256845585488778</v>
      </c>
      <c r="BD83" s="46">
        <v>11.3550052385001</v>
      </c>
      <c r="BE83" s="46">
        <v>11.448103846673364</v>
      </c>
      <c r="BF83" s="46">
        <v>11.536001787981036</v>
      </c>
      <c r="BG83" s="46">
        <v>11.618566388342982</v>
      </c>
      <c r="BH83" s="46">
        <v>11.695672254460293</v>
      </c>
      <c r="BI83" s="46">
        <v>11.767201590413343</v>
      </c>
      <c r="BJ83" s="46">
        <v>11.833044496908096</v>
      </c>
      <c r="BK83" s="46">
        <v>11.893099252108728</v>
      </c>
      <c r="BL83" s="46">
        <v>11.947272573054233</v>
      </c>
      <c r="BM83" s="46">
        <v>11.995479856720204</v>
      </c>
      <c r="BN83" s="15"/>
    </row>
    <row r="84" spans="2:66" x14ac:dyDescent="0.3">
      <c r="B84" s="12"/>
      <c r="C84" s="14"/>
      <c r="D84" s="13"/>
      <c r="E84" s="13"/>
      <c r="F84" s="13"/>
      <c r="G84" s="13"/>
      <c r="H84" s="13"/>
      <c r="I84" s="13"/>
      <c r="J84" s="13"/>
      <c r="K84" s="13"/>
      <c r="L84" s="13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15"/>
    </row>
    <row r="85" spans="2:66" ht="15" thickBot="1" x14ac:dyDescent="0.35">
      <c r="B85" s="16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52"/>
      <c r="AK85" s="52"/>
      <c r="AL85" s="52"/>
      <c r="AM85" s="52"/>
      <c r="AN85" s="52"/>
      <c r="AO85" s="52"/>
      <c r="AP85" s="52"/>
      <c r="AQ85" s="52"/>
      <c r="AR85" s="52"/>
      <c r="AS85" s="52"/>
      <c r="AT85" s="52"/>
      <c r="AU85" s="52"/>
      <c r="AV85" s="52"/>
      <c r="AW85" s="52"/>
      <c r="AX85" s="52"/>
      <c r="AY85" s="52"/>
      <c r="AZ85" s="52"/>
      <c r="BA85" s="52"/>
      <c r="BB85" s="52"/>
      <c r="BC85" s="52"/>
      <c r="BD85" s="52"/>
      <c r="BE85" s="52"/>
      <c r="BF85" s="52"/>
      <c r="BG85" s="52"/>
      <c r="BH85" s="52"/>
      <c r="BI85" s="52"/>
      <c r="BJ85" s="52"/>
      <c r="BK85" s="52"/>
      <c r="BL85" s="52"/>
      <c r="BM85" s="52"/>
      <c r="BN85" s="18"/>
    </row>
    <row r="88" spans="2:66" x14ac:dyDescent="0.3"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</row>
    <row r="90" spans="2:66" x14ac:dyDescent="0.3">
      <c r="G90" s="72"/>
      <c r="H90" s="72">
        <v>2030</v>
      </c>
      <c r="I90" s="72">
        <v>2050</v>
      </c>
      <c r="J90" s="72">
        <v>2070</v>
      </c>
    </row>
    <row r="91" spans="2:66" x14ac:dyDescent="0.3">
      <c r="E91" s="14" t="s">
        <v>53</v>
      </c>
      <c r="G91" s="102" t="s">
        <v>198</v>
      </c>
      <c r="H91" s="103">
        <f>(Y25-S25)/($Y$1-$S$1)</f>
        <v>-1.4573396955865671E-3</v>
      </c>
      <c r="I91" s="103">
        <f>(AS25-Y25)/($AS$1-$Y$1)</f>
        <v>5.204784627095005E-5</v>
      </c>
      <c r="J91" s="103">
        <f>(BM25-AS25)/($BM$1-$AS$1)</f>
        <v>-8.2409089928986441E-6</v>
      </c>
    </row>
    <row r="92" spans="2:66" x14ac:dyDescent="0.3">
      <c r="E92" s="14" t="s">
        <v>54</v>
      </c>
      <c r="G92" s="102" t="s">
        <v>199</v>
      </c>
      <c r="H92" s="104">
        <f>S25-H91*$S$1</f>
        <v>2.9920311438672118</v>
      </c>
      <c r="I92" s="104">
        <f>Y25-I91*$Y$1</f>
        <v>-7.2025566103548003E-2</v>
      </c>
      <c r="J92" s="104">
        <f>Y25-J91*$Y$1</f>
        <v>5.0360607082064843E-2</v>
      </c>
    </row>
    <row r="93" spans="2:66" x14ac:dyDescent="0.3">
      <c r="G93" s="105" t="s">
        <v>200</v>
      </c>
      <c r="H93" s="103">
        <f>(Y26-S26)/($Y$1-$S$1)</f>
        <v>-1.3014795466071497E-3</v>
      </c>
      <c r="I93" s="103">
        <f>(AS26-Y26)/($AS$1-$Y$1)</f>
        <v>4.6481412378826871E-5</v>
      </c>
      <c r="J93" s="103">
        <f>(BM26-AS26)/($BM$1-$AS$1)</f>
        <v>-7.3595569599807507E-6</v>
      </c>
      <c r="M93" t="s">
        <v>197</v>
      </c>
    </row>
    <row r="94" spans="2:66" x14ac:dyDescent="0.3">
      <c r="G94" s="105" t="s">
        <v>201</v>
      </c>
      <c r="H94" s="104">
        <f>S26-H93*$S$1</f>
        <v>2.6778816023328709</v>
      </c>
      <c r="I94" s="104">
        <f>Y26-I93*$Y$1</f>
        <v>-5.8479144408661456E-2</v>
      </c>
      <c r="J94" s="104">
        <f>AS26-J93*$AS$1</f>
        <v>5.1894842735894176E-2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7DF3D-DA7C-4CD9-A039-DC2FB3F34AEE}">
  <dimension ref="B1:AE100"/>
  <sheetViews>
    <sheetView tabSelected="1" zoomScale="55" zoomScaleNormal="55" workbookViewId="0">
      <pane ySplit="1" topLeftCell="A2" activePane="bottomLeft" state="frozen"/>
      <selection pane="bottomLeft" activeCell="P81" sqref="P81:S82"/>
    </sheetView>
  </sheetViews>
  <sheetFormatPr baseColWidth="10" defaultColWidth="11.44140625" defaultRowHeight="14.4" x14ac:dyDescent="0.3"/>
  <cols>
    <col min="2" max="2" width="20.77734375" bestFit="1" customWidth="1"/>
    <col min="3" max="3" width="31.44140625" customWidth="1"/>
    <col min="4" max="4" width="65.5546875" bestFit="1" customWidth="1"/>
    <col min="5" max="5" width="12.5546875" customWidth="1"/>
    <col min="6" max="12" width="13.6640625" customWidth="1"/>
    <col min="13" max="15" width="11.44140625" customWidth="1"/>
    <col min="16" max="16" width="13.77734375" customWidth="1"/>
    <col min="17" max="19" width="11.44140625" customWidth="1"/>
    <col min="20" max="20" width="19.6640625" bestFit="1" customWidth="1"/>
    <col min="23" max="23" width="16" bestFit="1" customWidth="1"/>
    <col min="31" max="31" width="11.44140625" customWidth="1"/>
  </cols>
  <sheetData>
    <row r="1" spans="2:31" ht="20.399999999999999" thickBot="1" x14ac:dyDescent="0.35">
      <c r="B1" s="1"/>
      <c r="C1" s="2"/>
      <c r="D1" s="2" t="s">
        <v>12</v>
      </c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63"/>
      <c r="D4" s="164" t="s">
        <v>81</v>
      </c>
      <c r="E4" s="164"/>
      <c r="F4" s="164"/>
      <c r="G4" s="164"/>
      <c r="H4" s="164"/>
      <c r="I4" s="164"/>
      <c r="J4" s="164"/>
      <c r="K4" s="164"/>
      <c r="L4" s="164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5"/>
    </row>
    <row r="5" spans="2:31" x14ac:dyDescent="0.3">
      <c r="B5" s="12"/>
      <c r="C5" s="163"/>
      <c r="D5" s="164"/>
      <c r="E5" s="164"/>
      <c r="F5" s="164"/>
      <c r="G5" s="164"/>
      <c r="H5" s="164"/>
      <c r="I5" s="164"/>
      <c r="J5" s="164"/>
      <c r="K5" s="164"/>
      <c r="L5" s="164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5"/>
    </row>
    <row r="6" spans="2:31" x14ac:dyDescent="0.3">
      <c r="B6" s="12"/>
      <c r="C6" s="164" t="s">
        <v>69</v>
      </c>
      <c r="D6" s="165" t="s">
        <v>211</v>
      </c>
      <c r="E6" s="165"/>
      <c r="F6" s="165"/>
      <c r="G6" s="165"/>
      <c r="H6" s="165"/>
      <c r="I6" s="165"/>
      <c r="J6" s="165"/>
      <c r="K6" s="165"/>
      <c r="L6" s="165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5"/>
    </row>
    <row r="7" spans="2:31" x14ac:dyDescent="0.3">
      <c r="B7" s="1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5"/>
    </row>
    <row r="8" spans="2:31" x14ac:dyDescent="0.3">
      <c r="B8" s="12"/>
      <c r="C8" s="164" t="s">
        <v>195</v>
      </c>
      <c r="D8" s="164"/>
      <c r="E8" s="164"/>
      <c r="F8" s="164"/>
      <c r="G8" s="164"/>
      <c r="H8" s="164"/>
      <c r="I8" s="164"/>
      <c r="J8" s="164"/>
      <c r="K8" s="164"/>
      <c r="L8" s="164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5"/>
    </row>
    <row r="9" spans="2:31" x14ac:dyDescent="0.3">
      <c r="B9" s="12"/>
      <c r="C9" s="166" t="s">
        <v>56</v>
      </c>
      <c r="D9" s="163" t="s">
        <v>19</v>
      </c>
      <c r="E9" s="169">
        <f>E19-E15</f>
        <v>8.4026137500211352E-3</v>
      </c>
      <c r="F9" s="169">
        <f t="shared" ref="F9:AD9" si="0">F19-F15</f>
        <v>8.3393745910932699E-3</v>
      </c>
      <c r="G9" s="169">
        <f t="shared" si="0"/>
        <v>8.2482141338445173E-3</v>
      </c>
      <c r="H9" s="169">
        <f t="shared" si="0"/>
        <v>8.4640955884404696E-3</v>
      </c>
      <c r="I9" s="169">
        <f t="shared" si="0"/>
        <v>8.6310534055473974E-3</v>
      </c>
      <c r="J9" s="169">
        <f t="shared" si="0"/>
        <v>8.5256798417129315E-3</v>
      </c>
      <c r="K9" s="169">
        <f t="shared" si="0"/>
        <v>8.4252216895984739E-3</v>
      </c>
      <c r="L9" s="169">
        <f t="shared" si="0"/>
        <v>8.3788193220548333E-3</v>
      </c>
      <c r="M9" s="169">
        <f t="shared" si="0"/>
        <v>8.3320206127193552E-3</v>
      </c>
      <c r="N9" s="169">
        <f t="shared" si="0"/>
        <v>7.6419640988582855E-3</v>
      </c>
      <c r="O9" s="169">
        <f t="shared" si="0"/>
        <v>7.0018193618694748E-3</v>
      </c>
      <c r="P9" s="169">
        <f t="shared" si="0"/>
        <v>8.8393706526220788E-3</v>
      </c>
      <c r="Q9" s="169">
        <f t="shared" si="0"/>
        <v>8.1496507546215506E-3</v>
      </c>
      <c r="R9" s="169">
        <f t="shared" si="0"/>
        <v>8.1653932553403686E-3</v>
      </c>
      <c r="S9" s="169">
        <f t="shared" si="0"/>
        <v>8.111046990755353E-3</v>
      </c>
      <c r="T9" s="169">
        <f t="shared" si="0"/>
        <v>8.111046990755353E-3</v>
      </c>
      <c r="U9" s="169">
        <f t="shared" si="0"/>
        <v>8.111046990755353E-3</v>
      </c>
      <c r="V9" s="169">
        <f t="shared" si="0"/>
        <v>8.111046990755353E-3</v>
      </c>
      <c r="W9" s="169">
        <f t="shared" si="0"/>
        <v>8.111046990755353E-3</v>
      </c>
      <c r="X9" s="169">
        <f t="shared" si="0"/>
        <v>8.111046990755353E-3</v>
      </c>
      <c r="Y9" s="169">
        <f t="shared" si="0"/>
        <v>8.111046990755353E-3</v>
      </c>
      <c r="Z9" s="169">
        <f t="shared" si="0"/>
        <v>8.1110469907553547E-3</v>
      </c>
      <c r="AA9" s="169">
        <f t="shared" si="0"/>
        <v>8.111046990755353E-3</v>
      </c>
      <c r="AB9" s="169">
        <f t="shared" si="0"/>
        <v>8.111046990755353E-3</v>
      </c>
      <c r="AC9" s="169">
        <f t="shared" si="0"/>
        <v>8.111046990755353E-3</v>
      </c>
      <c r="AD9" s="169">
        <f t="shared" si="0"/>
        <v>8.111046990755353E-3</v>
      </c>
      <c r="AE9" s="167"/>
    </row>
    <row r="10" spans="2:31" x14ac:dyDescent="0.3">
      <c r="B10" s="12"/>
      <c r="C10" s="166" t="s">
        <v>141</v>
      </c>
      <c r="D10" s="163" t="s">
        <v>142</v>
      </c>
      <c r="E10" s="169">
        <v>0</v>
      </c>
      <c r="F10" s="169">
        <v>0</v>
      </c>
      <c r="G10" s="169">
        <v>0</v>
      </c>
      <c r="H10" s="169">
        <v>0</v>
      </c>
      <c r="I10" s="169">
        <v>0</v>
      </c>
      <c r="J10" s="169">
        <v>0</v>
      </c>
      <c r="K10" s="169">
        <v>0</v>
      </c>
      <c r="L10" s="169">
        <v>0</v>
      </c>
      <c r="M10" s="169">
        <v>0</v>
      </c>
      <c r="N10" s="169">
        <v>0</v>
      </c>
      <c r="O10" s="169">
        <v>0</v>
      </c>
      <c r="P10" s="169">
        <v>0</v>
      </c>
      <c r="Q10" s="169">
        <v>0</v>
      </c>
      <c r="R10" s="169">
        <v>0</v>
      </c>
      <c r="S10" s="169">
        <v>0</v>
      </c>
      <c r="T10" s="169">
        <v>0</v>
      </c>
      <c r="U10" s="169">
        <v>0</v>
      </c>
      <c r="V10" s="169">
        <v>0</v>
      </c>
      <c r="W10" s="169">
        <v>0</v>
      </c>
      <c r="X10" s="169">
        <v>0</v>
      </c>
      <c r="Y10" s="169">
        <v>0</v>
      </c>
      <c r="Z10" s="169">
        <v>0</v>
      </c>
      <c r="AA10" s="169">
        <v>0</v>
      </c>
      <c r="AB10" s="169">
        <v>0</v>
      </c>
      <c r="AC10" s="169">
        <v>0</v>
      </c>
      <c r="AD10" s="169">
        <v>0</v>
      </c>
      <c r="AE10" s="167"/>
    </row>
    <row r="11" spans="2:31" x14ac:dyDescent="0.3">
      <c r="B11" s="12"/>
      <c r="C11" s="166" t="s">
        <v>57</v>
      </c>
      <c r="D11" s="163" t="s">
        <v>20</v>
      </c>
      <c r="E11" s="169">
        <v>1.6331388546789075E-2</v>
      </c>
      <c r="F11" s="169">
        <v>1.8335774664961065E-2</v>
      </c>
      <c r="G11" s="169">
        <v>2.0436365156147055E-2</v>
      </c>
      <c r="H11" s="169">
        <v>2.3599999999999999E-2</v>
      </c>
      <c r="I11" s="169">
        <v>2.3599999999999999E-2</v>
      </c>
      <c r="J11" s="169">
        <v>2.3599999999999996E-2</v>
      </c>
      <c r="K11" s="169">
        <v>2.3599999999999999E-2</v>
      </c>
      <c r="L11" s="169">
        <v>2.3599999999999999E-2</v>
      </c>
      <c r="M11" s="169">
        <v>2.3599999999999999E-2</v>
      </c>
      <c r="N11" s="169">
        <v>2.3599999999999999E-2</v>
      </c>
      <c r="O11" s="169">
        <v>2.3599999999999999E-2</v>
      </c>
      <c r="P11" s="169">
        <v>2.3599999999999999E-2</v>
      </c>
      <c r="Q11" s="169">
        <v>3.5046692328650909E-2</v>
      </c>
      <c r="R11" s="169">
        <v>3.5175404328316062E-2</v>
      </c>
      <c r="S11" s="169">
        <v>3.5175404328316062E-2</v>
      </c>
      <c r="T11" s="169">
        <v>3.5175404328316062E-2</v>
      </c>
      <c r="U11" s="169">
        <v>3.5175404328316062E-2</v>
      </c>
      <c r="V11" s="169">
        <v>3.5175404328316062E-2</v>
      </c>
      <c r="W11" s="169">
        <v>3.5175404328316062E-2</v>
      </c>
      <c r="X11" s="169">
        <v>3.5175404328316062E-2</v>
      </c>
      <c r="Y11" s="169">
        <v>3.5175404328316062E-2</v>
      </c>
      <c r="Z11" s="169">
        <v>3.5175404328316062E-2</v>
      </c>
      <c r="AA11" s="169">
        <v>3.5175404328316062E-2</v>
      </c>
      <c r="AB11" s="169">
        <v>3.5175404328316062E-2</v>
      </c>
      <c r="AC11" s="169">
        <v>3.5175404328316062E-2</v>
      </c>
      <c r="AD11" s="169">
        <v>3.5175404328316062E-2</v>
      </c>
      <c r="AE11" s="167"/>
    </row>
    <row r="12" spans="2:31" x14ac:dyDescent="0.3">
      <c r="B12" s="12"/>
      <c r="C12" s="166" t="s">
        <v>58</v>
      </c>
      <c r="D12" s="163" t="s">
        <v>21</v>
      </c>
      <c r="E12" s="169">
        <v>0.33186663209587564</v>
      </c>
      <c r="F12" s="169">
        <v>0.33972031920415535</v>
      </c>
      <c r="G12" s="169">
        <v>0.34750425722247891</v>
      </c>
      <c r="H12" s="169">
        <v>0.35486065116279075</v>
      </c>
      <c r="I12" s="169">
        <v>0.36811479820627807</v>
      </c>
      <c r="J12" s="169">
        <v>0.40640579185520359</v>
      </c>
      <c r="K12" s="169">
        <v>0.41951565610859731</v>
      </c>
      <c r="L12" s="169">
        <v>0.44091140859140859</v>
      </c>
      <c r="M12" s="169">
        <v>0.43362624000000011</v>
      </c>
      <c r="N12" s="169">
        <v>0.46549632000000002</v>
      </c>
      <c r="O12" s="169">
        <v>0.48722157842157848</v>
      </c>
      <c r="P12" s="169">
        <v>0.49783432567432578</v>
      </c>
      <c r="Q12" s="169">
        <v>0.5201007526808854</v>
      </c>
      <c r="R12" s="169">
        <v>0.5288251976011743</v>
      </c>
      <c r="S12" s="169">
        <v>0.5288251976011743</v>
      </c>
      <c r="T12" s="169">
        <v>0.5288251976011743</v>
      </c>
      <c r="U12" s="169">
        <v>0.5288251976011743</v>
      </c>
      <c r="V12" s="169">
        <v>0.5288251976011743</v>
      </c>
      <c r="W12" s="169">
        <v>0.5288251976011743</v>
      </c>
      <c r="X12" s="169">
        <v>0.5288251976011743</v>
      </c>
      <c r="Y12" s="169">
        <v>0.5288251976011743</v>
      </c>
      <c r="Z12" s="169">
        <v>0.5288251976011743</v>
      </c>
      <c r="AA12" s="169">
        <v>0.5288251976011743</v>
      </c>
      <c r="AB12" s="169">
        <v>0.5288251976011743</v>
      </c>
      <c r="AC12" s="169">
        <v>0.5288251976011743</v>
      </c>
      <c r="AD12" s="169">
        <v>0.5288251976011743</v>
      </c>
      <c r="AE12" s="167"/>
    </row>
    <row r="13" spans="2:31" x14ac:dyDescent="0.3">
      <c r="B13" s="12"/>
      <c r="C13" s="166" t="s">
        <v>59</v>
      </c>
      <c r="D13" s="163" t="s">
        <v>22</v>
      </c>
      <c r="E13" s="169">
        <v>0.64116197935733532</v>
      </c>
      <c r="F13" s="169">
        <v>0.63130390613088361</v>
      </c>
      <c r="G13" s="169">
        <v>0.62141937762137411</v>
      </c>
      <c r="H13" s="169">
        <v>0.61089934883720931</v>
      </c>
      <c r="I13" s="169">
        <v>0.59764520179372194</v>
      </c>
      <c r="J13" s="169">
        <v>0.55935420814479642</v>
      </c>
      <c r="K13" s="169">
        <v>0.54624434389140275</v>
      </c>
      <c r="L13" s="169">
        <v>0.5248485914085913</v>
      </c>
      <c r="M13" s="169">
        <v>0.5321337599999999</v>
      </c>
      <c r="N13" s="169">
        <v>0.50026367999999999</v>
      </c>
      <c r="O13" s="169">
        <v>0.47853842157842158</v>
      </c>
      <c r="P13" s="169">
        <v>0.46792567432567433</v>
      </c>
      <c r="Q13" s="169">
        <v>0.43421255499046385</v>
      </c>
      <c r="R13" s="169">
        <v>0.42535939807050965</v>
      </c>
      <c r="S13" s="169">
        <v>0.42535939807050965</v>
      </c>
      <c r="T13" s="169">
        <v>0.42535939807050965</v>
      </c>
      <c r="U13" s="169">
        <v>0.42535939807050965</v>
      </c>
      <c r="V13" s="169">
        <v>0.42535939807050965</v>
      </c>
      <c r="W13" s="169">
        <v>0.42535939807050965</v>
      </c>
      <c r="X13" s="169">
        <v>0.42535939807050965</v>
      </c>
      <c r="Y13" s="169">
        <v>0.42535939807050965</v>
      </c>
      <c r="Z13" s="169">
        <v>0.42535939807050965</v>
      </c>
      <c r="AA13" s="169">
        <v>0.42535939807050965</v>
      </c>
      <c r="AB13" s="169">
        <v>0.42535939807050965</v>
      </c>
      <c r="AC13" s="169">
        <v>0.42535939807050965</v>
      </c>
      <c r="AD13" s="169">
        <v>0.42535939807050965</v>
      </c>
      <c r="AE13" s="167"/>
    </row>
    <row r="14" spans="2:31" x14ac:dyDescent="0.3">
      <c r="B14" s="12"/>
      <c r="C14" s="166" t="s">
        <v>145</v>
      </c>
      <c r="D14" s="163" t="s">
        <v>146</v>
      </c>
      <c r="E14" s="169">
        <v>0</v>
      </c>
      <c r="F14" s="169">
        <v>0</v>
      </c>
      <c r="G14" s="169">
        <v>0</v>
      </c>
      <c r="H14" s="169">
        <v>0</v>
      </c>
      <c r="I14" s="169">
        <v>0</v>
      </c>
      <c r="J14" s="169">
        <v>0</v>
      </c>
      <c r="K14" s="169">
        <v>0</v>
      </c>
      <c r="L14" s="169">
        <v>0</v>
      </c>
      <c r="M14" s="169">
        <v>0</v>
      </c>
      <c r="N14" s="169">
        <v>0</v>
      </c>
      <c r="O14" s="169">
        <v>0</v>
      </c>
      <c r="P14" s="169">
        <v>0</v>
      </c>
      <c r="Q14" s="169">
        <v>0</v>
      </c>
      <c r="R14" s="169">
        <v>0</v>
      </c>
      <c r="S14" s="169">
        <v>0</v>
      </c>
      <c r="T14" s="169">
        <v>0</v>
      </c>
      <c r="U14" s="169">
        <v>0</v>
      </c>
      <c r="V14" s="169">
        <v>0</v>
      </c>
      <c r="W14" s="169">
        <v>0</v>
      </c>
      <c r="X14" s="169">
        <v>0</v>
      </c>
      <c r="Y14" s="169">
        <v>0</v>
      </c>
      <c r="Z14" s="169">
        <v>0</v>
      </c>
      <c r="AA14" s="169">
        <v>0</v>
      </c>
      <c r="AB14" s="169">
        <v>0</v>
      </c>
      <c r="AC14" s="169">
        <v>0</v>
      </c>
      <c r="AD14" s="169">
        <v>0</v>
      </c>
      <c r="AE14" s="167"/>
    </row>
    <row r="15" spans="2:31" x14ac:dyDescent="0.3">
      <c r="B15" s="12"/>
      <c r="C15" s="166" t="s">
        <v>147</v>
      </c>
      <c r="D15" s="163" t="s">
        <v>148</v>
      </c>
      <c r="E15" s="169">
        <f>E42/E77</f>
        <v>2.2373862499788658E-3</v>
      </c>
      <c r="F15" s="169">
        <f>F42/F77</f>
        <v>2.3006254089067298E-3</v>
      </c>
      <c r="G15" s="169">
        <f>G42/G77</f>
        <v>2.3917858661554828E-3</v>
      </c>
      <c r="H15" s="169">
        <f>H42/H77</f>
        <v>2.1759044115595302E-3</v>
      </c>
      <c r="I15" s="169">
        <f>I42/I77</f>
        <v>2.0089465944526019E-3</v>
      </c>
      <c r="J15" s="169">
        <f>J42/J77</f>
        <v>2.1143201582870686E-3</v>
      </c>
      <c r="K15" s="169">
        <f>K42/K77</f>
        <v>2.2147783104015258E-3</v>
      </c>
      <c r="L15" s="169">
        <f>L42/L77</f>
        <v>2.2611806779451677E-3</v>
      </c>
      <c r="M15" s="169">
        <f>M42/M77</f>
        <v>2.307979387280645E-3</v>
      </c>
      <c r="N15" s="169">
        <f>N42/N77</f>
        <v>2.9980359011417151E-3</v>
      </c>
      <c r="O15" s="169">
        <f>O42/O77</f>
        <v>3.6381806381305254E-3</v>
      </c>
      <c r="P15" s="169">
        <f>P42/P77</f>
        <v>1.8006293473779211E-3</v>
      </c>
      <c r="Q15" s="169">
        <f>Q42/Q77</f>
        <v>2.4903492453784487E-3</v>
      </c>
      <c r="R15" s="169">
        <f>R42/R77</f>
        <v>2.4746067446596316E-3</v>
      </c>
      <c r="S15" s="169">
        <f>S42/S77</f>
        <v>2.5289530092446467E-3</v>
      </c>
      <c r="T15" s="169">
        <f>T42/T77</f>
        <v>2.5289530092446472E-3</v>
      </c>
      <c r="U15" s="169">
        <f>U42/U77</f>
        <v>2.5289530092446472E-3</v>
      </c>
      <c r="V15" s="169">
        <f>V42/V77</f>
        <v>2.5289530092446467E-3</v>
      </c>
      <c r="W15" s="169">
        <f>W42/W77</f>
        <v>2.5289530092446467E-3</v>
      </c>
      <c r="X15" s="169">
        <f>X42/X77</f>
        <v>2.5289530092446463E-3</v>
      </c>
      <c r="Y15" s="169">
        <f>Y42/Y77</f>
        <v>2.5289530092446467E-3</v>
      </c>
      <c r="Z15" s="169">
        <f>Z42/Z77</f>
        <v>2.5289530092446459E-3</v>
      </c>
      <c r="AA15" s="169">
        <f>AA42/AA77</f>
        <v>2.5289530092446467E-3</v>
      </c>
      <c r="AB15" s="169">
        <f>AB42/AB77</f>
        <v>2.5289530092446467E-3</v>
      </c>
      <c r="AC15" s="169">
        <f>AC42/AC77</f>
        <v>2.5289530092446467E-3</v>
      </c>
      <c r="AD15" s="169">
        <f>AD42/AD77</f>
        <v>2.5289530092446467E-3</v>
      </c>
      <c r="AE15" s="167"/>
    </row>
    <row r="16" spans="2:31" ht="15" customHeight="1" x14ac:dyDescent="0.3">
      <c r="B16" s="12"/>
      <c r="C16" s="166" t="s">
        <v>149</v>
      </c>
      <c r="D16" s="163" t="s">
        <v>150</v>
      </c>
      <c r="E16" s="169">
        <v>0</v>
      </c>
      <c r="F16" s="169">
        <v>0</v>
      </c>
      <c r="G16" s="169">
        <v>0</v>
      </c>
      <c r="H16" s="169">
        <v>0</v>
      </c>
      <c r="I16" s="169">
        <v>0</v>
      </c>
      <c r="J16" s="169">
        <v>0</v>
      </c>
      <c r="K16" s="169">
        <v>0</v>
      </c>
      <c r="L16" s="169">
        <v>0</v>
      </c>
      <c r="M16" s="169">
        <v>0</v>
      </c>
      <c r="N16" s="169">
        <v>0</v>
      </c>
      <c r="O16" s="169">
        <v>0</v>
      </c>
      <c r="P16" s="169">
        <v>0</v>
      </c>
      <c r="Q16" s="169">
        <v>0</v>
      </c>
      <c r="R16" s="169">
        <v>0</v>
      </c>
      <c r="S16" s="169">
        <v>0</v>
      </c>
      <c r="T16" s="169">
        <v>0</v>
      </c>
      <c r="U16" s="169">
        <v>0</v>
      </c>
      <c r="V16" s="169">
        <v>0</v>
      </c>
      <c r="W16" s="169">
        <v>0</v>
      </c>
      <c r="X16" s="169">
        <v>0</v>
      </c>
      <c r="Y16" s="169">
        <v>0</v>
      </c>
      <c r="Z16" s="169">
        <v>0</v>
      </c>
      <c r="AA16" s="169">
        <v>0</v>
      </c>
      <c r="AB16" s="169">
        <v>0</v>
      </c>
      <c r="AC16" s="169">
        <v>0</v>
      </c>
      <c r="AD16" s="169">
        <v>0</v>
      </c>
      <c r="AE16" s="167"/>
    </row>
    <row r="17" spans="2:31" x14ac:dyDescent="0.3">
      <c r="B17" s="12"/>
      <c r="C17" s="166" t="s">
        <v>151</v>
      </c>
      <c r="D17" s="163" t="s">
        <v>152</v>
      </c>
      <c r="E17" s="169">
        <v>0</v>
      </c>
      <c r="F17" s="169">
        <v>0</v>
      </c>
      <c r="G17" s="169">
        <v>0</v>
      </c>
      <c r="H17" s="169">
        <v>0</v>
      </c>
      <c r="I17" s="169">
        <v>0</v>
      </c>
      <c r="J17" s="169">
        <v>0</v>
      </c>
      <c r="K17" s="169">
        <v>0</v>
      </c>
      <c r="L17" s="169">
        <v>0</v>
      </c>
      <c r="M17" s="169">
        <v>0</v>
      </c>
      <c r="N17" s="169">
        <v>0</v>
      </c>
      <c r="O17" s="169">
        <v>0</v>
      </c>
      <c r="P17" s="169">
        <v>0</v>
      </c>
      <c r="Q17" s="169">
        <v>0</v>
      </c>
      <c r="R17" s="169">
        <v>0</v>
      </c>
      <c r="S17" s="169">
        <v>0</v>
      </c>
      <c r="T17" s="169">
        <v>0</v>
      </c>
      <c r="U17" s="169">
        <v>0</v>
      </c>
      <c r="V17" s="169">
        <v>0</v>
      </c>
      <c r="W17" s="169">
        <v>0</v>
      </c>
      <c r="X17" s="169">
        <v>0</v>
      </c>
      <c r="Y17" s="169">
        <v>0</v>
      </c>
      <c r="Z17" s="169">
        <v>0</v>
      </c>
      <c r="AA17" s="169">
        <v>0</v>
      </c>
      <c r="AB17" s="169">
        <v>0</v>
      </c>
      <c r="AC17" s="169">
        <v>0</v>
      </c>
      <c r="AD17" s="169">
        <v>0</v>
      </c>
      <c r="AE17" s="167"/>
    </row>
    <row r="18" spans="2:31" ht="15" thickBot="1" x14ac:dyDescent="0.35">
      <c r="B18" s="16"/>
      <c r="C18" s="17"/>
      <c r="D18" s="17"/>
      <c r="E18" s="171">
        <f>SUM(E9:E17)</f>
        <v>1</v>
      </c>
      <c r="F18" s="171">
        <f>SUM(F9:F17)</f>
        <v>1</v>
      </c>
      <c r="G18" s="171">
        <f>SUM(G9:G17)</f>
        <v>1</v>
      </c>
      <c r="H18" s="171">
        <f>SUM(H9:H17)</f>
        <v>1</v>
      </c>
      <c r="I18" s="171">
        <f>SUM(I9:I17)</f>
        <v>1</v>
      </c>
      <c r="J18" s="171">
        <f>SUM(J9:J17)</f>
        <v>1</v>
      </c>
      <c r="K18" s="171">
        <f>SUM(K9:K17)</f>
        <v>1.0000000000000002</v>
      </c>
      <c r="L18" s="171">
        <f>SUM(L9:L17)</f>
        <v>0.99999999999999978</v>
      </c>
      <c r="M18" s="171">
        <f>SUM(M9:M17)</f>
        <v>1</v>
      </c>
      <c r="N18" s="171">
        <f>SUM(N9:N17)</f>
        <v>1</v>
      </c>
      <c r="O18" s="171">
        <f>SUM(O9:O17)</f>
        <v>1</v>
      </c>
      <c r="P18" s="171">
        <f>SUM(P9:P17)</f>
        <v>1.0000000000000002</v>
      </c>
      <c r="Q18" s="171">
        <f>SUM(Q9:Q17)</f>
        <v>1.0000000000000002</v>
      </c>
      <c r="R18" s="171">
        <f>SUM(R9:R17)</f>
        <v>0.99999999999999989</v>
      </c>
      <c r="S18" s="171">
        <f>SUM(S9:S17)</f>
        <v>0.99999999999999989</v>
      </c>
      <c r="T18" s="171">
        <f>SUM(T9:T17)</f>
        <v>0.99999999999999989</v>
      </c>
      <c r="U18" s="171">
        <f>SUM(U9:U17)</f>
        <v>0.99999999999999989</v>
      </c>
      <c r="V18" s="171">
        <f>SUM(V9:V17)</f>
        <v>0.99999999999999989</v>
      </c>
      <c r="W18" s="171">
        <f>SUM(W9:W17)</f>
        <v>0.99999999999999989</v>
      </c>
      <c r="X18" s="171">
        <f>SUM(X9:X17)</f>
        <v>0.99999999999999989</v>
      </c>
      <c r="Y18" s="171">
        <f>SUM(Y9:Y17)</f>
        <v>0.99999999999999989</v>
      </c>
      <c r="Z18" s="171">
        <f>SUM(Z9:Z17)</f>
        <v>0.99999999999999989</v>
      </c>
      <c r="AA18" s="171">
        <f>SUM(AA9:AA17)</f>
        <v>0.99999999999999989</v>
      </c>
      <c r="AB18" s="171">
        <f>SUM(AB9:AB17)</f>
        <v>0.99999999999999989</v>
      </c>
      <c r="AC18" s="171">
        <f>SUM(AC9:AC17)</f>
        <v>0.99999999999999989</v>
      </c>
      <c r="AD18" s="171">
        <f>SUM(AD9:AD17)</f>
        <v>0.99999999999999989</v>
      </c>
      <c r="AE18" s="168"/>
    </row>
    <row r="19" spans="2:31" x14ac:dyDescent="0.3">
      <c r="D19" s="14" t="s">
        <v>19</v>
      </c>
      <c r="E19" s="254">
        <v>1.064E-2</v>
      </c>
      <c r="F19" s="254">
        <v>1.064E-2</v>
      </c>
      <c r="G19" s="254">
        <v>1.064E-2</v>
      </c>
      <c r="H19" s="254">
        <v>1.064E-2</v>
      </c>
      <c r="I19" s="254">
        <v>1.064E-2</v>
      </c>
      <c r="J19" s="254">
        <v>1.064E-2</v>
      </c>
      <c r="K19" s="254">
        <v>1.064E-2</v>
      </c>
      <c r="L19" s="254">
        <v>1.064E-2</v>
      </c>
      <c r="M19" s="254">
        <v>1.064E-2</v>
      </c>
      <c r="N19" s="254">
        <v>1.064E-2</v>
      </c>
      <c r="O19" s="254">
        <v>1.064E-2</v>
      </c>
      <c r="P19" s="254">
        <v>1.064E-2</v>
      </c>
      <c r="Q19" s="254">
        <v>1.064E-2</v>
      </c>
      <c r="R19" s="254">
        <v>1.064E-2</v>
      </c>
      <c r="S19" s="254">
        <v>1.064E-2</v>
      </c>
      <c r="T19" s="254">
        <v>1.064E-2</v>
      </c>
      <c r="U19" s="254">
        <v>1.064E-2</v>
      </c>
      <c r="V19" s="254">
        <v>1.064E-2</v>
      </c>
      <c r="W19" s="254">
        <v>1.064E-2</v>
      </c>
      <c r="X19" s="254">
        <v>1.064E-2</v>
      </c>
      <c r="Y19" s="254">
        <v>1.064E-2</v>
      </c>
      <c r="Z19" s="254">
        <v>1.064E-2</v>
      </c>
      <c r="AA19" s="254">
        <v>1.064E-2</v>
      </c>
      <c r="AB19" s="254">
        <v>1.064E-2</v>
      </c>
      <c r="AC19" s="254">
        <v>1.064E-2</v>
      </c>
      <c r="AD19" s="254">
        <v>1.064E-2</v>
      </c>
    </row>
    <row r="20" spans="2:31" ht="15" thickBot="1" x14ac:dyDescent="0.35"/>
    <row r="21" spans="2:31" x14ac:dyDescent="0.3">
      <c r="B21" s="9"/>
      <c r="C21" s="269" t="s">
        <v>194</v>
      </c>
      <c r="D21" s="269"/>
      <c r="E21" s="274"/>
      <c r="F21" s="274"/>
      <c r="G21" s="274"/>
      <c r="H21" s="274"/>
      <c r="I21" s="274"/>
      <c r="J21" s="274"/>
      <c r="K21" s="274"/>
      <c r="L21" s="274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75"/>
      <c r="AB21" s="275"/>
      <c r="AC21" s="275"/>
      <c r="AD21" s="275"/>
      <c r="AE21" s="11"/>
    </row>
    <row r="22" spans="2:31" x14ac:dyDescent="0.3">
      <c r="B22" s="12"/>
      <c r="C22" s="166" t="s">
        <v>53</v>
      </c>
      <c r="D22" s="276" t="s">
        <v>24</v>
      </c>
      <c r="E22" s="169">
        <f>E9</f>
        <v>8.4026137500211352E-3</v>
      </c>
      <c r="F22" s="169">
        <f t="shared" ref="F22:AD22" si="1">F9</f>
        <v>8.3393745910932699E-3</v>
      </c>
      <c r="G22" s="169">
        <f t="shared" si="1"/>
        <v>8.2482141338445173E-3</v>
      </c>
      <c r="H22" s="169">
        <f t="shared" si="1"/>
        <v>8.4640955884404696E-3</v>
      </c>
      <c r="I22" s="169">
        <f t="shared" si="1"/>
        <v>8.6310534055473974E-3</v>
      </c>
      <c r="J22" s="169">
        <f t="shared" si="1"/>
        <v>8.5256798417129315E-3</v>
      </c>
      <c r="K22" s="169">
        <f t="shared" si="1"/>
        <v>8.4252216895984739E-3</v>
      </c>
      <c r="L22" s="169">
        <f t="shared" si="1"/>
        <v>8.3788193220548333E-3</v>
      </c>
      <c r="M22" s="169">
        <f t="shared" si="1"/>
        <v>8.3320206127193552E-3</v>
      </c>
      <c r="N22" s="169">
        <f t="shared" si="1"/>
        <v>7.6419640988582855E-3</v>
      </c>
      <c r="O22" s="169">
        <f t="shared" si="1"/>
        <v>7.0018193618694748E-3</v>
      </c>
      <c r="P22" s="169">
        <f t="shared" si="1"/>
        <v>8.8393706526220788E-3</v>
      </c>
      <c r="Q22" s="169">
        <f t="shared" si="1"/>
        <v>8.1496507546215506E-3</v>
      </c>
      <c r="R22" s="169">
        <f t="shared" si="1"/>
        <v>8.1653932553403686E-3</v>
      </c>
      <c r="S22" s="169">
        <f t="shared" si="1"/>
        <v>8.111046990755353E-3</v>
      </c>
      <c r="T22" s="169">
        <f t="shared" si="1"/>
        <v>8.111046990755353E-3</v>
      </c>
      <c r="U22" s="169">
        <f t="shared" si="1"/>
        <v>8.111046990755353E-3</v>
      </c>
      <c r="V22" s="169">
        <f t="shared" si="1"/>
        <v>8.111046990755353E-3</v>
      </c>
      <c r="W22" s="169">
        <f t="shared" si="1"/>
        <v>8.111046990755353E-3</v>
      </c>
      <c r="X22" s="169">
        <f t="shared" si="1"/>
        <v>8.111046990755353E-3</v>
      </c>
      <c r="Y22" s="169">
        <f t="shared" si="1"/>
        <v>8.111046990755353E-3</v>
      </c>
      <c r="Z22" s="169">
        <f t="shared" si="1"/>
        <v>8.1110469907553547E-3</v>
      </c>
      <c r="AA22" s="169">
        <f t="shared" si="1"/>
        <v>8.111046990755353E-3</v>
      </c>
      <c r="AB22" s="169">
        <f t="shared" si="1"/>
        <v>8.111046990755353E-3</v>
      </c>
      <c r="AC22" s="169">
        <f t="shared" si="1"/>
        <v>8.111046990755353E-3</v>
      </c>
      <c r="AD22" s="169">
        <f t="shared" si="1"/>
        <v>8.111046990755353E-3</v>
      </c>
      <c r="AE22" s="15"/>
    </row>
    <row r="23" spans="2:31" x14ac:dyDescent="0.3">
      <c r="B23" s="12"/>
      <c r="C23" s="166" t="s">
        <v>54</v>
      </c>
      <c r="D23" s="276" t="s">
        <v>52</v>
      </c>
      <c r="E23" s="169">
        <f>E11</f>
        <v>1.6331388546789075E-2</v>
      </c>
      <c r="F23" s="169">
        <f>F11</f>
        <v>1.8335774664961065E-2</v>
      </c>
      <c r="G23" s="169">
        <f>G11</f>
        <v>2.0436365156147055E-2</v>
      </c>
      <c r="H23" s="169">
        <f>H11</f>
        <v>2.3599999999999999E-2</v>
      </c>
      <c r="I23" s="169">
        <f>I11</f>
        <v>2.3599999999999999E-2</v>
      </c>
      <c r="J23" s="169">
        <f>J11</f>
        <v>2.3599999999999996E-2</v>
      </c>
      <c r="K23" s="169">
        <f>K11</f>
        <v>2.3599999999999999E-2</v>
      </c>
      <c r="L23" s="169">
        <f>L11</f>
        <v>2.3599999999999999E-2</v>
      </c>
      <c r="M23" s="169">
        <f>M11</f>
        <v>2.3599999999999999E-2</v>
      </c>
      <c r="N23" s="169">
        <f>N11</f>
        <v>2.3599999999999999E-2</v>
      </c>
      <c r="O23" s="169">
        <f>O11</f>
        <v>2.3599999999999999E-2</v>
      </c>
      <c r="P23" s="169">
        <f>P11</f>
        <v>2.3599999999999999E-2</v>
      </c>
      <c r="Q23" s="169">
        <f>Q11</f>
        <v>3.5046692328650909E-2</v>
      </c>
      <c r="R23" s="169">
        <f>R11</f>
        <v>3.5175404328316062E-2</v>
      </c>
      <c r="S23" s="169">
        <f>S11</f>
        <v>3.5175404328316062E-2</v>
      </c>
      <c r="T23" s="169">
        <f>T11</f>
        <v>3.5175404328316062E-2</v>
      </c>
      <c r="U23" s="169">
        <f>U11</f>
        <v>3.5175404328316062E-2</v>
      </c>
      <c r="V23" s="169">
        <f>V11</f>
        <v>3.5175404328316062E-2</v>
      </c>
      <c r="W23" s="169">
        <f>W11</f>
        <v>3.5175404328316062E-2</v>
      </c>
      <c r="X23" s="169">
        <f>X11</f>
        <v>3.5175404328316062E-2</v>
      </c>
      <c r="Y23" s="169">
        <f>Y11</f>
        <v>3.5175404328316062E-2</v>
      </c>
      <c r="Z23" s="169">
        <f>Z11</f>
        <v>3.5175404328316062E-2</v>
      </c>
      <c r="AA23" s="169">
        <f>AA11</f>
        <v>3.5175404328316062E-2</v>
      </c>
      <c r="AB23" s="169">
        <f>AB11</f>
        <v>3.5175404328316062E-2</v>
      </c>
      <c r="AC23" s="169">
        <f>AC11</f>
        <v>3.5175404328316062E-2</v>
      </c>
      <c r="AD23" s="169">
        <f>AD11</f>
        <v>3.5175404328316062E-2</v>
      </c>
      <c r="AE23" s="15"/>
    </row>
    <row r="24" spans="2:31" x14ac:dyDescent="0.3">
      <c r="B24" s="12"/>
      <c r="C24" s="166" t="s">
        <v>55</v>
      </c>
      <c r="D24" s="276" t="s">
        <v>25</v>
      </c>
      <c r="E24" s="169">
        <f>1-E23-E22</f>
        <v>0.97526599770318978</v>
      </c>
      <c r="F24" s="169">
        <f t="shared" ref="F24:AD24" si="2">1-F23-F22</f>
        <v>0.9733248507439457</v>
      </c>
      <c r="G24" s="169">
        <f t="shared" si="2"/>
        <v>0.97131542071000843</v>
      </c>
      <c r="H24" s="169">
        <f t="shared" si="2"/>
        <v>0.96793590441155952</v>
      </c>
      <c r="I24" s="169">
        <f t="shared" si="2"/>
        <v>0.96776894659445267</v>
      </c>
      <c r="J24" s="169">
        <f t="shared" si="2"/>
        <v>0.96787432015828712</v>
      </c>
      <c r="K24" s="169">
        <f t="shared" si="2"/>
        <v>0.96797477831040157</v>
      </c>
      <c r="L24" s="169">
        <f t="shared" si="2"/>
        <v>0.96802118067794518</v>
      </c>
      <c r="M24" s="169">
        <f t="shared" si="2"/>
        <v>0.96806797938728073</v>
      </c>
      <c r="N24" s="169">
        <f t="shared" si="2"/>
        <v>0.96875803590114173</v>
      </c>
      <c r="O24" s="169">
        <f t="shared" si="2"/>
        <v>0.96939818063813055</v>
      </c>
      <c r="P24" s="169">
        <f t="shared" si="2"/>
        <v>0.96756062934737797</v>
      </c>
      <c r="Q24" s="169">
        <f t="shared" si="2"/>
        <v>0.95680365691672753</v>
      </c>
      <c r="R24" s="169">
        <f t="shared" si="2"/>
        <v>0.9566592024163435</v>
      </c>
      <c r="S24" s="169">
        <f t="shared" si="2"/>
        <v>0.9567135486809285</v>
      </c>
      <c r="T24" s="169">
        <f t="shared" si="2"/>
        <v>0.9567135486809285</v>
      </c>
      <c r="U24" s="169">
        <f t="shared" si="2"/>
        <v>0.9567135486809285</v>
      </c>
      <c r="V24" s="169">
        <f t="shared" si="2"/>
        <v>0.9567135486809285</v>
      </c>
      <c r="W24" s="169">
        <f t="shared" si="2"/>
        <v>0.9567135486809285</v>
      </c>
      <c r="X24" s="169">
        <f t="shared" si="2"/>
        <v>0.9567135486809285</v>
      </c>
      <c r="Y24" s="169">
        <f t="shared" si="2"/>
        <v>0.9567135486809285</v>
      </c>
      <c r="Z24" s="169">
        <f t="shared" si="2"/>
        <v>0.9567135486809285</v>
      </c>
      <c r="AA24" s="169">
        <f t="shared" si="2"/>
        <v>0.9567135486809285</v>
      </c>
      <c r="AB24" s="169">
        <f t="shared" si="2"/>
        <v>0.9567135486809285</v>
      </c>
      <c r="AC24" s="169">
        <f t="shared" si="2"/>
        <v>0.9567135486809285</v>
      </c>
      <c r="AD24" s="169">
        <f t="shared" si="2"/>
        <v>0.9567135486809285</v>
      </c>
      <c r="AE24" s="15"/>
    </row>
    <row r="25" spans="2:31" ht="13.8" customHeight="1" x14ac:dyDescent="0.3">
      <c r="B25" s="12"/>
      <c r="C25" s="166" t="s">
        <v>139</v>
      </c>
      <c r="D25" s="276" t="s">
        <v>140</v>
      </c>
      <c r="E25" s="169">
        <v>0</v>
      </c>
      <c r="F25" s="169">
        <v>0</v>
      </c>
      <c r="G25" s="169">
        <v>0</v>
      </c>
      <c r="H25" s="169">
        <v>0</v>
      </c>
      <c r="I25" s="169">
        <v>0</v>
      </c>
      <c r="J25" s="169">
        <v>0</v>
      </c>
      <c r="K25" s="169">
        <v>0</v>
      </c>
      <c r="L25" s="169">
        <v>0</v>
      </c>
      <c r="M25" s="169">
        <v>0</v>
      </c>
      <c r="N25" s="169">
        <v>0</v>
      </c>
      <c r="O25" s="169">
        <v>0</v>
      </c>
      <c r="P25" s="169">
        <v>0</v>
      </c>
      <c r="Q25" s="169">
        <v>0</v>
      </c>
      <c r="R25" s="169">
        <v>0</v>
      </c>
      <c r="S25" s="169">
        <v>0</v>
      </c>
      <c r="T25" s="169">
        <v>0</v>
      </c>
      <c r="U25" s="169">
        <v>0</v>
      </c>
      <c r="V25" s="169">
        <v>0</v>
      </c>
      <c r="W25" s="169">
        <v>0</v>
      </c>
      <c r="X25" s="169">
        <v>0</v>
      </c>
      <c r="Y25" s="169">
        <v>0</v>
      </c>
      <c r="Z25" s="169">
        <v>0</v>
      </c>
      <c r="AA25" s="169">
        <v>0</v>
      </c>
      <c r="AB25" s="169">
        <v>0</v>
      </c>
      <c r="AC25" s="169">
        <v>0</v>
      </c>
      <c r="AD25" s="169">
        <v>0</v>
      </c>
      <c r="AE25" s="15"/>
    </row>
    <row r="26" spans="2:31" x14ac:dyDescent="0.3">
      <c r="B26" s="12"/>
      <c r="C26" s="163"/>
      <c r="D26" s="163"/>
      <c r="E26" s="270">
        <f t="shared" ref="E26:L26" si="3">E22+E23+E24</f>
        <v>1</v>
      </c>
      <c r="F26" s="270">
        <f t="shared" si="3"/>
        <v>1</v>
      </c>
      <c r="G26" s="270">
        <f t="shared" si="3"/>
        <v>1</v>
      </c>
      <c r="H26" s="270">
        <f t="shared" si="3"/>
        <v>1</v>
      </c>
      <c r="I26" s="270">
        <f t="shared" si="3"/>
        <v>1</v>
      </c>
      <c r="J26" s="270">
        <f t="shared" si="3"/>
        <v>1</v>
      </c>
      <c r="K26" s="270">
        <f t="shared" si="3"/>
        <v>1</v>
      </c>
      <c r="L26" s="270">
        <f t="shared" si="3"/>
        <v>1</v>
      </c>
      <c r="M26" s="270">
        <f>M22+M23+M24</f>
        <v>1</v>
      </c>
      <c r="N26" s="270">
        <f t="shared" ref="N26:AD26" si="4">N22+N23+N24</f>
        <v>1</v>
      </c>
      <c r="O26" s="270">
        <f t="shared" si="4"/>
        <v>1</v>
      </c>
      <c r="P26" s="270">
        <f t="shared" si="4"/>
        <v>1</v>
      </c>
      <c r="Q26" s="270">
        <f t="shared" si="4"/>
        <v>1</v>
      </c>
      <c r="R26" s="270">
        <f t="shared" si="4"/>
        <v>0.99999999999999989</v>
      </c>
      <c r="S26" s="270">
        <f t="shared" si="4"/>
        <v>0.99999999999999989</v>
      </c>
      <c r="T26" s="270">
        <f t="shared" si="4"/>
        <v>0.99999999999999989</v>
      </c>
      <c r="U26" s="270">
        <f t="shared" si="4"/>
        <v>0.99999999999999989</v>
      </c>
      <c r="V26" s="270">
        <f t="shared" si="4"/>
        <v>0.99999999999999989</v>
      </c>
      <c r="W26" s="270">
        <f t="shared" si="4"/>
        <v>0.99999999999999989</v>
      </c>
      <c r="X26" s="270">
        <f t="shared" si="4"/>
        <v>0.99999999999999989</v>
      </c>
      <c r="Y26" s="270">
        <f t="shared" si="4"/>
        <v>0.99999999999999989</v>
      </c>
      <c r="Z26" s="270">
        <f t="shared" si="4"/>
        <v>0.99999999999999989</v>
      </c>
      <c r="AA26" s="270">
        <f t="shared" si="4"/>
        <v>0.99999999999999989</v>
      </c>
      <c r="AB26" s="270">
        <f t="shared" si="4"/>
        <v>0.99999999999999989</v>
      </c>
      <c r="AC26" s="270">
        <f t="shared" si="4"/>
        <v>0.99999999999999989</v>
      </c>
      <c r="AD26" s="270">
        <f t="shared" si="4"/>
        <v>0.99999999999999989</v>
      </c>
      <c r="AE26" s="15"/>
    </row>
    <row r="27" spans="2:31" x14ac:dyDescent="0.3">
      <c r="B27" s="12"/>
      <c r="C27" s="164" t="s">
        <v>193</v>
      </c>
      <c r="D27" s="164"/>
      <c r="E27" s="281"/>
      <c r="F27" s="281"/>
      <c r="G27" s="281"/>
      <c r="H27" s="281"/>
      <c r="I27" s="281"/>
      <c r="J27" s="281"/>
      <c r="K27" s="281"/>
      <c r="L27" s="281"/>
      <c r="M27" s="271"/>
      <c r="N27" s="282"/>
      <c r="O27" s="282"/>
      <c r="P27" s="282"/>
      <c r="Q27" s="282"/>
      <c r="R27" s="282"/>
      <c r="S27" s="282"/>
      <c r="T27" s="282"/>
      <c r="U27" s="282"/>
      <c r="V27" s="282"/>
      <c r="W27" s="282"/>
      <c r="X27" s="282"/>
      <c r="Y27" s="282"/>
      <c r="Z27" s="282"/>
      <c r="AA27" s="282"/>
      <c r="AB27" s="282"/>
      <c r="AC27" s="282"/>
      <c r="AD27" s="282"/>
      <c r="AE27" s="15"/>
    </row>
    <row r="28" spans="2:31" x14ac:dyDescent="0.3">
      <c r="B28" s="12"/>
      <c r="C28" s="166" t="s">
        <v>64</v>
      </c>
      <c r="D28" s="163" t="s">
        <v>27</v>
      </c>
      <c r="E28" s="169">
        <f>E22</f>
        <v>8.4026137500211352E-3</v>
      </c>
      <c r="F28" s="169">
        <f t="shared" ref="F28:AD29" si="5">F22</f>
        <v>8.3393745910932699E-3</v>
      </c>
      <c r="G28" s="169">
        <f t="shared" si="5"/>
        <v>8.2482141338445173E-3</v>
      </c>
      <c r="H28" s="169">
        <f t="shared" si="5"/>
        <v>8.4640955884404696E-3</v>
      </c>
      <c r="I28" s="169">
        <f t="shared" si="5"/>
        <v>8.6310534055473974E-3</v>
      </c>
      <c r="J28" s="169">
        <f t="shared" si="5"/>
        <v>8.5256798417129315E-3</v>
      </c>
      <c r="K28" s="169">
        <f t="shared" si="5"/>
        <v>8.4252216895984739E-3</v>
      </c>
      <c r="L28" s="169">
        <f t="shared" si="5"/>
        <v>8.3788193220548333E-3</v>
      </c>
      <c r="M28" s="169">
        <f t="shared" si="5"/>
        <v>8.3320206127193552E-3</v>
      </c>
      <c r="N28" s="169">
        <f t="shared" si="5"/>
        <v>7.6419640988582855E-3</v>
      </c>
      <c r="O28" s="169">
        <f t="shared" si="5"/>
        <v>7.0018193618694748E-3</v>
      </c>
      <c r="P28" s="169">
        <f t="shared" si="5"/>
        <v>8.8393706526220788E-3</v>
      </c>
      <c r="Q28" s="169">
        <f t="shared" si="5"/>
        <v>8.1496507546215506E-3</v>
      </c>
      <c r="R28" s="169">
        <f t="shared" si="5"/>
        <v>8.1653932553403686E-3</v>
      </c>
      <c r="S28" s="169">
        <f t="shared" si="5"/>
        <v>8.111046990755353E-3</v>
      </c>
      <c r="T28" s="169">
        <f t="shared" si="5"/>
        <v>8.111046990755353E-3</v>
      </c>
      <c r="U28" s="169">
        <f t="shared" si="5"/>
        <v>8.111046990755353E-3</v>
      </c>
      <c r="V28" s="169">
        <f t="shared" si="5"/>
        <v>8.111046990755353E-3</v>
      </c>
      <c r="W28" s="169">
        <f t="shared" si="5"/>
        <v>8.111046990755353E-3</v>
      </c>
      <c r="X28" s="169">
        <f t="shared" si="5"/>
        <v>8.111046990755353E-3</v>
      </c>
      <c r="Y28" s="169">
        <f t="shared" si="5"/>
        <v>8.111046990755353E-3</v>
      </c>
      <c r="Z28" s="169">
        <f t="shared" si="5"/>
        <v>8.1110469907553547E-3</v>
      </c>
      <c r="AA28" s="169">
        <f t="shared" si="5"/>
        <v>8.111046990755353E-3</v>
      </c>
      <c r="AB28" s="169">
        <f t="shared" si="5"/>
        <v>8.111046990755353E-3</v>
      </c>
      <c r="AC28" s="169">
        <f t="shared" si="5"/>
        <v>8.111046990755353E-3</v>
      </c>
      <c r="AD28" s="169">
        <f t="shared" si="5"/>
        <v>8.111046990755353E-3</v>
      </c>
      <c r="AE28" s="15"/>
    </row>
    <row r="29" spans="2:31" x14ac:dyDescent="0.3">
      <c r="B29" s="12"/>
      <c r="C29" s="166" t="s">
        <v>65</v>
      </c>
      <c r="D29" s="163" t="s">
        <v>28</v>
      </c>
      <c r="E29" s="169">
        <f>E23</f>
        <v>1.6331388546789075E-2</v>
      </c>
      <c r="F29" s="169">
        <f t="shared" si="5"/>
        <v>1.8335774664961065E-2</v>
      </c>
      <c r="G29" s="169">
        <f t="shared" si="5"/>
        <v>2.0436365156147055E-2</v>
      </c>
      <c r="H29" s="169">
        <f t="shared" si="5"/>
        <v>2.3599999999999999E-2</v>
      </c>
      <c r="I29" s="169">
        <f t="shared" si="5"/>
        <v>2.3599999999999999E-2</v>
      </c>
      <c r="J29" s="169">
        <f t="shared" si="5"/>
        <v>2.3599999999999996E-2</v>
      </c>
      <c r="K29" s="169">
        <f t="shared" si="5"/>
        <v>2.3599999999999999E-2</v>
      </c>
      <c r="L29" s="169">
        <f t="shared" si="5"/>
        <v>2.3599999999999999E-2</v>
      </c>
      <c r="M29" s="169">
        <f t="shared" si="5"/>
        <v>2.3599999999999999E-2</v>
      </c>
      <c r="N29" s="169">
        <f t="shared" si="5"/>
        <v>2.3599999999999999E-2</v>
      </c>
      <c r="O29" s="169">
        <f t="shared" si="5"/>
        <v>2.3599999999999999E-2</v>
      </c>
      <c r="P29" s="169">
        <f t="shared" si="5"/>
        <v>2.3599999999999999E-2</v>
      </c>
      <c r="Q29" s="169">
        <f t="shared" si="5"/>
        <v>3.5046692328650909E-2</v>
      </c>
      <c r="R29" s="169">
        <f t="shared" si="5"/>
        <v>3.5175404328316062E-2</v>
      </c>
      <c r="S29" s="169">
        <f t="shared" si="5"/>
        <v>3.5175404328316062E-2</v>
      </c>
      <c r="T29" s="169">
        <f t="shared" si="5"/>
        <v>3.5175404328316062E-2</v>
      </c>
      <c r="U29" s="169">
        <f t="shared" si="5"/>
        <v>3.5175404328316062E-2</v>
      </c>
      <c r="V29" s="169">
        <f t="shared" si="5"/>
        <v>3.5175404328316062E-2</v>
      </c>
      <c r="W29" s="169">
        <f t="shared" si="5"/>
        <v>3.5175404328316062E-2</v>
      </c>
      <c r="X29" s="169">
        <f t="shared" si="5"/>
        <v>3.5175404328316062E-2</v>
      </c>
      <c r="Y29" s="169">
        <f t="shared" si="5"/>
        <v>3.5175404328316062E-2</v>
      </c>
      <c r="Z29" s="169">
        <f t="shared" si="5"/>
        <v>3.5175404328316062E-2</v>
      </c>
      <c r="AA29" s="169">
        <f t="shared" si="5"/>
        <v>3.5175404328316062E-2</v>
      </c>
      <c r="AB29" s="169">
        <f t="shared" si="5"/>
        <v>3.5175404328316062E-2</v>
      </c>
      <c r="AC29" s="169">
        <f t="shared" si="5"/>
        <v>3.5175404328316062E-2</v>
      </c>
      <c r="AD29" s="169">
        <f t="shared" si="5"/>
        <v>3.5175404328316062E-2</v>
      </c>
      <c r="AE29" s="15"/>
    </row>
    <row r="30" spans="2:31" x14ac:dyDescent="0.3">
      <c r="B30" s="12"/>
      <c r="C30" s="166" t="s">
        <v>63</v>
      </c>
      <c r="D30" s="163" t="s">
        <v>29</v>
      </c>
      <c r="E30" s="169">
        <f t="shared" ref="E30:R30" si="6">1-E29-E28</f>
        <v>0.97526599770318978</v>
      </c>
      <c r="F30" s="169">
        <f t="shared" si="6"/>
        <v>0.9733248507439457</v>
      </c>
      <c r="G30" s="169">
        <f t="shared" si="6"/>
        <v>0.97131542071000843</v>
      </c>
      <c r="H30" s="169">
        <f t="shared" si="6"/>
        <v>0.96793590441155952</v>
      </c>
      <c r="I30" s="169">
        <f t="shared" si="6"/>
        <v>0.96776894659445267</v>
      </c>
      <c r="J30" s="169">
        <f t="shared" si="6"/>
        <v>0.96787432015828712</v>
      </c>
      <c r="K30" s="169">
        <f t="shared" si="6"/>
        <v>0.96797477831040157</v>
      </c>
      <c r="L30" s="169">
        <f t="shared" si="6"/>
        <v>0.96802118067794518</v>
      </c>
      <c r="M30" s="169">
        <f t="shared" si="6"/>
        <v>0.96806797938728073</v>
      </c>
      <c r="N30" s="169">
        <f t="shared" si="6"/>
        <v>0.96875803590114173</v>
      </c>
      <c r="O30" s="169">
        <f t="shared" si="6"/>
        <v>0.96939818063813055</v>
      </c>
      <c r="P30" s="169">
        <f t="shared" si="6"/>
        <v>0.96756062934737797</v>
      </c>
      <c r="Q30" s="169">
        <f t="shared" si="6"/>
        <v>0.95680365691672753</v>
      </c>
      <c r="R30" s="169">
        <f t="shared" si="6"/>
        <v>0.9566592024163435</v>
      </c>
      <c r="S30" s="169">
        <f>1-S29-S28</f>
        <v>0.9567135486809285</v>
      </c>
      <c r="T30" s="169">
        <f>1-T29-T28</f>
        <v>0.9567135486809285</v>
      </c>
      <c r="U30" s="169">
        <f t="shared" ref="U30:AD30" si="7">1-U29-U28</f>
        <v>0.9567135486809285</v>
      </c>
      <c r="V30" s="169">
        <f t="shared" si="7"/>
        <v>0.9567135486809285</v>
      </c>
      <c r="W30" s="169">
        <f t="shared" si="7"/>
        <v>0.9567135486809285</v>
      </c>
      <c r="X30" s="169">
        <f t="shared" si="7"/>
        <v>0.9567135486809285</v>
      </c>
      <c r="Y30" s="169">
        <f t="shared" si="7"/>
        <v>0.9567135486809285</v>
      </c>
      <c r="Z30" s="169">
        <f t="shared" si="7"/>
        <v>0.9567135486809285</v>
      </c>
      <c r="AA30" s="169">
        <f t="shared" si="7"/>
        <v>0.9567135486809285</v>
      </c>
      <c r="AB30" s="169">
        <f t="shared" si="7"/>
        <v>0.9567135486809285</v>
      </c>
      <c r="AC30" s="169">
        <f t="shared" si="7"/>
        <v>0.9567135486809285</v>
      </c>
      <c r="AD30" s="169">
        <f t="shared" si="7"/>
        <v>0.9567135486809285</v>
      </c>
      <c r="AE30" s="15"/>
    </row>
    <row r="31" spans="2:31" x14ac:dyDescent="0.3">
      <c r="B31" s="12"/>
      <c r="C31" s="166" t="s">
        <v>137</v>
      </c>
      <c r="D31" s="163" t="s">
        <v>138</v>
      </c>
      <c r="E31" s="169">
        <v>0</v>
      </c>
      <c r="F31" s="169">
        <v>0</v>
      </c>
      <c r="G31" s="169">
        <v>0</v>
      </c>
      <c r="H31" s="169">
        <v>0</v>
      </c>
      <c r="I31" s="169">
        <v>0</v>
      </c>
      <c r="J31" s="169">
        <v>0</v>
      </c>
      <c r="K31" s="169">
        <v>0</v>
      </c>
      <c r="L31" s="169">
        <v>0</v>
      </c>
      <c r="M31" s="169">
        <v>0</v>
      </c>
      <c r="N31" s="169">
        <v>0</v>
      </c>
      <c r="O31" s="169">
        <v>0</v>
      </c>
      <c r="P31" s="169">
        <v>0</v>
      </c>
      <c r="Q31" s="169">
        <v>0</v>
      </c>
      <c r="R31" s="169">
        <v>0</v>
      </c>
      <c r="S31" s="169">
        <v>0</v>
      </c>
      <c r="T31" s="169">
        <v>0</v>
      </c>
      <c r="U31" s="169">
        <v>0</v>
      </c>
      <c r="V31" s="169">
        <v>0</v>
      </c>
      <c r="W31" s="169">
        <v>0</v>
      </c>
      <c r="X31" s="169">
        <v>0</v>
      </c>
      <c r="Y31" s="169">
        <v>0</v>
      </c>
      <c r="Z31" s="169">
        <v>0</v>
      </c>
      <c r="AA31" s="169">
        <v>0</v>
      </c>
      <c r="AB31" s="169">
        <v>0</v>
      </c>
      <c r="AC31" s="169">
        <v>0</v>
      </c>
      <c r="AD31" s="169">
        <v>0</v>
      </c>
      <c r="AE31" s="15"/>
    </row>
    <row r="32" spans="2:31" x14ac:dyDescent="0.3">
      <c r="B32" s="12"/>
      <c r="C32" s="163"/>
      <c r="D32" s="163"/>
      <c r="E32" s="270">
        <f t="shared" ref="E32:L32" si="8">SUM(E28:E31)</f>
        <v>1</v>
      </c>
      <c r="F32" s="270">
        <f t="shared" si="8"/>
        <v>1</v>
      </c>
      <c r="G32" s="270">
        <f t="shared" si="8"/>
        <v>1</v>
      </c>
      <c r="H32" s="270">
        <f t="shared" si="8"/>
        <v>1</v>
      </c>
      <c r="I32" s="270">
        <f t="shared" si="8"/>
        <v>1</v>
      </c>
      <c r="J32" s="270">
        <f t="shared" si="8"/>
        <v>1</v>
      </c>
      <c r="K32" s="270">
        <f t="shared" si="8"/>
        <v>1</v>
      </c>
      <c r="L32" s="270">
        <f t="shared" si="8"/>
        <v>1</v>
      </c>
      <c r="M32" s="270">
        <f>SUM(M28:M31)</f>
        <v>1</v>
      </c>
      <c r="N32" s="270">
        <f t="shared" ref="N32:AD32" si="9">SUM(N28:N31)</f>
        <v>1</v>
      </c>
      <c r="O32" s="270">
        <f t="shared" si="9"/>
        <v>1</v>
      </c>
      <c r="P32" s="270">
        <f t="shared" si="9"/>
        <v>1</v>
      </c>
      <c r="Q32" s="270">
        <f t="shared" si="9"/>
        <v>1</v>
      </c>
      <c r="R32" s="270">
        <f t="shared" si="9"/>
        <v>0.99999999999999989</v>
      </c>
      <c r="S32" s="270">
        <f t="shared" si="9"/>
        <v>0.99999999999999989</v>
      </c>
      <c r="T32" s="270">
        <f t="shared" si="9"/>
        <v>0.99999999999999989</v>
      </c>
      <c r="U32" s="270">
        <f t="shared" si="9"/>
        <v>0.99999999999999989</v>
      </c>
      <c r="V32" s="270">
        <f t="shared" si="9"/>
        <v>0.99999999999999989</v>
      </c>
      <c r="W32" s="270">
        <f t="shared" si="9"/>
        <v>0.99999999999999989</v>
      </c>
      <c r="X32" s="270">
        <f t="shared" si="9"/>
        <v>0.99999999999999989</v>
      </c>
      <c r="Y32" s="270">
        <f t="shared" si="9"/>
        <v>0.99999999999999989</v>
      </c>
      <c r="Z32" s="270">
        <f t="shared" si="9"/>
        <v>0.99999999999999989</v>
      </c>
      <c r="AA32" s="270">
        <f t="shared" si="9"/>
        <v>0.99999999999999989</v>
      </c>
      <c r="AB32" s="270">
        <f t="shared" si="9"/>
        <v>0.99999999999999989</v>
      </c>
      <c r="AC32" s="270">
        <f t="shared" si="9"/>
        <v>0.99999999999999989</v>
      </c>
      <c r="AD32" s="270">
        <f t="shared" si="9"/>
        <v>0.99999999999999989</v>
      </c>
      <c r="AE32" s="15"/>
    </row>
    <row r="33" spans="2:31" x14ac:dyDescent="0.3">
      <c r="B33" s="12"/>
      <c r="C33" s="164" t="s">
        <v>196</v>
      </c>
      <c r="D33" s="163"/>
      <c r="E33" s="163"/>
      <c r="F33" s="163"/>
      <c r="G33" s="163"/>
      <c r="H33" s="163"/>
      <c r="I33" s="163"/>
      <c r="J33" s="163"/>
      <c r="K33" s="163"/>
      <c r="L33" s="163"/>
      <c r="M33" s="210"/>
      <c r="N33" s="210"/>
      <c r="O33" s="210"/>
      <c r="P33" s="210"/>
      <c r="Q33" s="210"/>
      <c r="R33" s="210"/>
      <c r="S33" s="210"/>
      <c r="T33" s="210"/>
      <c r="U33" s="210"/>
      <c r="V33" s="210"/>
      <c r="W33" s="210"/>
      <c r="X33" s="210"/>
      <c r="Y33" s="210"/>
      <c r="Z33" s="210"/>
      <c r="AA33" s="210"/>
      <c r="AB33" s="210"/>
      <c r="AC33" s="210"/>
      <c r="AD33" s="210"/>
      <c r="AE33" s="15"/>
    </row>
    <row r="34" spans="2:31" x14ac:dyDescent="0.3">
      <c r="B34" s="12"/>
      <c r="C34" s="163"/>
      <c r="D34" s="164"/>
      <c r="E34" s="164"/>
      <c r="F34" s="164"/>
      <c r="G34" s="164"/>
      <c r="H34" s="164"/>
      <c r="I34" s="164"/>
      <c r="J34" s="164"/>
      <c r="K34" s="164"/>
      <c r="L34" s="164"/>
      <c r="M34" s="170"/>
      <c r="N34" s="170"/>
      <c r="O34" s="170"/>
      <c r="P34" s="170"/>
      <c r="Q34" s="170"/>
      <c r="R34" s="170"/>
      <c r="S34" s="170"/>
      <c r="T34" s="170"/>
      <c r="U34" s="170"/>
      <c r="V34" s="170"/>
      <c r="W34" s="170"/>
      <c r="X34" s="170"/>
      <c r="Y34" s="170"/>
      <c r="Z34" s="170"/>
      <c r="AA34" s="170"/>
      <c r="AB34" s="170"/>
      <c r="AC34" s="170"/>
      <c r="AD34" s="170"/>
      <c r="AE34" s="15"/>
    </row>
    <row r="35" spans="2:31" x14ac:dyDescent="0.3">
      <c r="B35" s="12"/>
      <c r="C35" s="166" t="s">
        <v>60</v>
      </c>
      <c r="D35" s="163" t="s">
        <v>31</v>
      </c>
      <c r="E35" s="169">
        <f>E29</f>
        <v>1.6331388546789075E-2</v>
      </c>
      <c r="F35" s="169">
        <f t="shared" ref="F35:AD35" si="10">F29</f>
        <v>1.8335774664961065E-2</v>
      </c>
      <c r="G35" s="169">
        <f t="shared" si="10"/>
        <v>2.0436365156147055E-2</v>
      </c>
      <c r="H35" s="169">
        <f t="shared" si="10"/>
        <v>2.3599999999999999E-2</v>
      </c>
      <c r="I35" s="169">
        <f t="shared" si="10"/>
        <v>2.3599999999999999E-2</v>
      </c>
      <c r="J35" s="169">
        <f t="shared" si="10"/>
        <v>2.3599999999999996E-2</v>
      </c>
      <c r="K35" s="169">
        <f t="shared" si="10"/>
        <v>2.3599999999999999E-2</v>
      </c>
      <c r="L35" s="169">
        <f t="shared" si="10"/>
        <v>2.3599999999999999E-2</v>
      </c>
      <c r="M35" s="169">
        <f t="shared" si="10"/>
        <v>2.3599999999999999E-2</v>
      </c>
      <c r="N35" s="169">
        <f t="shared" si="10"/>
        <v>2.3599999999999999E-2</v>
      </c>
      <c r="O35" s="169">
        <f t="shared" si="10"/>
        <v>2.3599999999999999E-2</v>
      </c>
      <c r="P35" s="169">
        <f t="shared" si="10"/>
        <v>2.3599999999999999E-2</v>
      </c>
      <c r="Q35" s="169">
        <f t="shared" si="10"/>
        <v>3.5046692328650909E-2</v>
      </c>
      <c r="R35" s="169">
        <f t="shared" si="10"/>
        <v>3.5175404328316062E-2</v>
      </c>
      <c r="S35" s="169">
        <f t="shared" si="10"/>
        <v>3.5175404328316062E-2</v>
      </c>
      <c r="T35" s="169">
        <f t="shared" si="10"/>
        <v>3.5175404328316062E-2</v>
      </c>
      <c r="U35" s="169">
        <f t="shared" si="10"/>
        <v>3.5175404328316062E-2</v>
      </c>
      <c r="V35" s="169">
        <f t="shared" si="10"/>
        <v>3.5175404328316062E-2</v>
      </c>
      <c r="W35" s="169">
        <f t="shared" si="10"/>
        <v>3.5175404328316062E-2</v>
      </c>
      <c r="X35" s="169">
        <f t="shared" si="10"/>
        <v>3.5175404328316062E-2</v>
      </c>
      <c r="Y35" s="169">
        <f t="shared" si="10"/>
        <v>3.5175404328316062E-2</v>
      </c>
      <c r="Z35" s="169">
        <f t="shared" si="10"/>
        <v>3.5175404328316062E-2</v>
      </c>
      <c r="AA35" s="169">
        <f t="shared" si="10"/>
        <v>3.5175404328316062E-2</v>
      </c>
      <c r="AB35" s="169">
        <f t="shared" si="10"/>
        <v>3.5175404328316062E-2</v>
      </c>
      <c r="AC35" s="169">
        <f t="shared" si="10"/>
        <v>3.5175404328316062E-2</v>
      </c>
      <c r="AD35" s="169">
        <f t="shared" si="10"/>
        <v>3.5175404328316062E-2</v>
      </c>
      <c r="AE35" s="15"/>
    </row>
    <row r="36" spans="2:31" x14ac:dyDescent="0.3">
      <c r="B36" s="12"/>
      <c r="C36" s="166" t="s">
        <v>61</v>
      </c>
      <c r="D36" s="163" t="s">
        <v>32</v>
      </c>
      <c r="E36" s="169">
        <f>E28</f>
        <v>8.4026137500211352E-3</v>
      </c>
      <c r="F36" s="169">
        <f t="shared" ref="F36:AD36" si="11">F28</f>
        <v>8.3393745910932699E-3</v>
      </c>
      <c r="G36" s="169">
        <f t="shared" si="11"/>
        <v>8.2482141338445173E-3</v>
      </c>
      <c r="H36" s="169">
        <f t="shared" si="11"/>
        <v>8.4640955884404696E-3</v>
      </c>
      <c r="I36" s="169">
        <f t="shared" si="11"/>
        <v>8.6310534055473974E-3</v>
      </c>
      <c r="J36" s="169">
        <f t="shared" si="11"/>
        <v>8.5256798417129315E-3</v>
      </c>
      <c r="K36" s="169">
        <f t="shared" si="11"/>
        <v>8.4252216895984739E-3</v>
      </c>
      <c r="L36" s="169">
        <f t="shared" si="11"/>
        <v>8.3788193220548333E-3</v>
      </c>
      <c r="M36" s="169">
        <f t="shared" si="11"/>
        <v>8.3320206127193552E-3</v>
      </c>
      <c r="N36" s="169">
        <f t="shared" si="11"/>
        <v>7.6419640988582855E-3</v>
      </c>
      <c r="O36" s="169">
        <f t="shared" si="11"/>
        <v>7.0018193618694748E-3</v>
      </c>
      <c r="P36" s="169">
        <f t="shared" si="11"/>
        <v>8.8393706526220788E-3</v>
      </c>
      <c r="Q36" s="169">
        <f t="shared" si="11"/>
        <v>8.1496507546215506E-3</v>
      </c>
      <c r="R36" s="169">
        <f t="shared" si="11"/>
        <v>8.1653932553403686E-3</v>
      </c>
      <c r="S36" s="169">
        <f t="shared" si="11"/>
        <v>8.111046990755353E-3</v>
      </c>
      <c r="T36" s="169">
        <f t="shared" si="11"/>
        <v>8.111046990755353E-3</v>
      </c>
      <c r="U36" s="169">
        <f t="shared" si="11"/>
        <v>8.111046990755353E-3</v>
      </c>
      <c r="V36" s="169">
        <f t="shared" si="11"/>
        <v>8.111046990755353E-3</v>
      </c>
      <c r="W36" s="169">
        <f t="shared" si="11"/>
        <v>8.111046990755353E-3</v>
      </c>
      <c r="X36" s="169">
        <f t="shared" si="11"/>
        <v>8.111046990755353E-3</v>
      </c>
      <c r="Y36" s="169">
        <f t="shared" si="11"/>
        <v>8.111046990755353E-3</v>
      </c>
      <c r="Z36" s="169">
        <f t="shared" si="11"/>
        <v>8.1110469907553547E-3</v>
      </c>
      <c r="AA36" s="169">
        <f t="shared" si="11"/>
        <v>8.111046990755353E-3</v>
      </c>
      <c r="AB36" s="169">
        <f t="shared" si="11"/>
        <v>8.111046990755353E-3</v>
      </c>
      <c r="AC36" s="169">
        <f t="shared" si="11"/>
        <v>8.111046990755353E-3</v>
      </c>
      <c r="AD36" s="169">
        <f t="shared" si="11"/>
        <v>8.111046990755353E-3</v>
      </c>
      <c r="AE36" s="15"/>
    </row>
    <row r="37" spans="2:31" x14ac:dyDescent="0.3">
      <c r="B37" s="12"/>
      <c r="C37" s="166" t="s">
        <v>62</v>
      </c>
      <c r="D37" s="163" t="s">
        <v>33</v>
      </c>
      <c r="E37" s="169">
        <f>E30</f>
        <v>0.97526599770318978</v>
      </c>
      <c r="F37" s="169">
        <f t="shared" ref="F37:AD37" si="12">F30</f>
        <v>0.9733248507439457</v>
      </c>
      <c r="G37" s="169">
        <f t="shared" si="12"/>
        <v>0.97131542071000843</v>
      </c>
      <c r="H37" s="169">
        <f t="shared" si="12"/>
        <v>0.96793590441155952</v>
      </c>
      <c r="I37" s="169">
        <f t="shared" si="12"/>
        <v>0.96776894659445267</v>
      </c>
      <c r="J37" s="169">
        <f t="shared" si="12"/>
        <v>0.96787432015828712</v>
      </c>
      <c r="K37" s="169">
        <f t="shared" si="12"/>
        <v>0.96797477831040157</v>
      </c>
      <c r="L37" s="169">
        <f t="shared" si="12"/>
        <v>0.96802118067794518</v>
      </c>
      <c r="M37" s="169">
        <f t="shared" si="12"/>
        <v>0.96806797938728073</v>
      </c>
      <c r="N37" s="169">
        <f t="shared" si="12"/>
        <v>0.96875803590114173</v>
      </c>
      <c r="O37" s="169">
        <f t="shared" si="12"/>
        <v>0.96939818063813055</v>
      </c>
      <c r="P37" s="169">
        <f t="shared" si="12"/>
        <v>0.96756062934737797</v>
      </c>
      <c r="Q37" s="169">
        <f t="shared" si="12"/>
        <v>0.95680365691672753</v>
      </c>
      <c r="R37" s="169">
        <f t="shared" si="12"/>
        <v>0.9566592024163435</v>
      </c>
      <c r="S37" s="169">
        <f t="shared" si="12"/>
        <v>0.9567135486809285</v>
      </c>
      <c r="T37" s="169">
        <f t="shared" si="12"/>
        <v>0.9567135486809285</v>
      </c>
      <c r="U37" s="169">
        <f t="shared" si="12"/>
        <v>0.9567135486809285</v>
      </c>
      <c r="V37" s="169">
        <f t="shared" si="12"/>
        <v>0.9567135486809285</v>
      </c>
      <c r="W37" s="169">
        <f t="shared" si="12"/>
        <v>0.9567135486809285</v>
      </c>
      <c r="X37" s="169">
        <f t="shared" si="12"/>
        <v>0.9567135486809285</v>
      </c>
      <c r="Y37" s="169">
        <f t="shared" si="12"/>
        <v>0.9567135486809285</v>
      </c>
      <c r="Z37" s="169">
        <f t="shared" si="12"/>
        <v>0.9567135486809285</v>
      </c>
      <c r="AA37" s="169">
        <f t="shared" si="12"/>
        <v>0.9567135486809285</v>
      </c>
      <c r="AB37" s="169">
        <f t="shared" si="12"/>
        <v>0.9567135486809285</v>
      </c>
      <c r="AC37" s="169">
        <f t="shared" si="12"/>
        <v>0.9567135486809285</v>
      </c>
      <c r="AD37" s="169">
        <f t="shared" si="12"/>
        <v>0.9567135486809285</v>
      </c>
      <c r="AE37" s="15"/>
    </row>
    <row r="38" spans="2:31" x14ac:dyDescent="0.3">
      <c r="B38" s="12"/>
      <c r="C38" s="163"/>
      <c r="D38" s="163"/>
      <c r="E38" s="210">
        <f t="shared" ref="E38:L38" si="13">SUM(E35:E37)</f>
        <v>1</v>
      </c>
      <c r="F38" s="210">
        <f t="shared" si="13"/>
        <v>1</v>
      </c>
      <c r="G38" s="210">
        <f t="shared" si="13"/>
        <v>1</v>
      </c>
      <c r="H38" s="210">
        <f t="shared" si="13"/>
        <v>1</v>
      </c>
      <c r="I38" s="210">
        <f t="shared" si="13"/>
        <v>1</v>
      </c>
      <c r="J38" s="210">
        <f t="shared" si="13"/>
        <v>1</v>
      </c>
      <c r="K38" s="210">
        <f t="shared" si="13"/>
        <v>1</v>
      </c>
      <c r="L38" s="210">
        <f t="shared" si="13"/>
        <v>1</v>
      </c>
      <c r="M38" s="210">
        <f>SUM(M35:M37)</f>
        <v>1</v>
      </c>
      <c r="N38" s="210">
        <f t="shared" ref="N38:AD38" si="14">SUM(N35:N37)</f>
        <v>1</v>
      </c>
      <c r="O38" s="210">
        <f t="shared" si="14"/>
        <v>1</v>
      </c>
      <c r="P38" s="210">
        <f t="shared" si="14"/>
        <v>1</v>
      </c>
      <c r="Q38" s="210">
        <f t="shared" si="14"/>
        <v>1</v>
      </c>
      <c r="R38" s="210">
        <f t="shared" si="14"/>
        <v>0.99999999999999989</v>
      </c>
      <c r="S38" s="210">
        <f t="shared" si="14"/>
        <v>0.99999999999999989</v>
      </c>
      <c r="T38" s="210">
        <f t="shared" si="14"/>
        <v>0.99999999999999989</v>
      </c>
      <c r="U38" s="210">
        <f t="shared" si="14"/>
        <v>0.99999999999999989</v>
      </c>
      <c r="V38" s="210">
        <f t="shared" si="14"/>
        <v>0.99999999999999989</v>
      </c>
      <c r="W38" s="210">
        <f t="shared" si="14"/>
        <v>0.99999999999999989</v>
      </c>
      <c r="X38" s="210">
        <f t="shared" si="14"/>
        <v>0.99999999999999989</v>
      </c>
      <c r="Y38" s="210">
        <f t="shared" si="14"/>
        <v>0.99999999999999989</v>
      </c>
      <c r="Z38" s="210">
        <f t="shared" si="14"/>
        <v>0.99999999999999989</v>
      </c>
      <c r="AA38" s="210">
        <f t="shared" si="14"/>
        <v>0.99999999999999989</v>
      </c>
      <c r="AB38" s="210">
        <f t="shared" si="14"/>
        <v>0.99999999999999989</v>
      </c>
      <c r="AC38" s="210">
        <f t="shared" si="14"/>
        <v>0.99999999999999989</v>
      </c>
      <c r="AD38" s="210">
        <f t="shared" si="14"/>
        <v>0.99999999999999989</v>
      </c>
      <c r="AE38" s="15"/>
    </row>
    <row r="39" spans="2:31" ht="15" thickBot="1" x14ac:dyDescent="0.35">
      <c r="B39" s="16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8"/>
    </row>
    <row r="42" spans="2:31" ht="15" thickBot="1" x14ac:dyDescent="0.35">
      <c r="D42" s="163" t="s">
        <v>148</v>
      </c>
      <c r="E42" s="62">
        <v>9.1000000000000004E-3</v>
      </c>
      <c r="F42" s="62">
        <v>9.7000000000000003E-3</v>
      </c>
      <c r="G42" s="62">
        <v>1.04E-2</v>
      </c>
      <c r="H42" s="62">
        <v>1.0800000000000001E-2</v>
      </c>
      <c r="I42" s="62">
        <v>1.1299999999999999E-2</v>
      </c>
      <c r="J42" s="62">
        <v>1.12E-2</v>
      </c>
      <c r="K42" s="62">
        <v>1.12E-2</v>
      </c>
      <c r="L42" s="62">
        <v>1.14E-2</v>
      </c>
      <c r="M42" s="62">
        <v>1.1599999999999999E-2</v>
      </c>
      <c r="N42" s="62">
        <v>1.5100000000000001E-2</v>
      </c>
      <c r="O42" s="62">
        <v>1.9300000000000001E-2</v>
      </c>
      <c r="P42" s="62">
        <v>9.1000000000000004E-3</v>
      </c>
      <c r="Q42" s="62">
        <v>1.37E-2</v>
      </c>
      <c r="R42" s="132">
        <v>1.4492477908962647E-2</v>
      </c>
      <c r="S42" s="132">
        <v>1.529945236504047E-2</v>
      </c>
      <c r="T42" s="132">
        <v>1.6119906066681518E-2</v>
      </c>
      <c r="U42" s="132">
        <v>1.6954093339273776E-2</v>
      </c>
      <c r="V42" s="132">
        <v>1.7800996881265314E-2</v>
      </c>
      <c r="W42" s="132">
        <v>1.8660616692656125E-2</v>
      </c>
      <c r="X42" s="132">
        <v>1.9532952773446202E-2</v>
      </c>
      <c r="Y42" s="132">
        <v>2.0416479171307639E-2</v>
      </c>
      <c r="Z42" s="132">
        <v>2.0815261379668815E-2</v>
      </c>
      <c r="AA42" s="132">
        <v>2.1214552238805969E-2</v>
      </c>
      <c r="AB42" s="132">
        <v>2.1613588772555134E-2</v>
      </c>
      <c r="AC42" s="132">
        <v>2.2012625306304302E-2</v>
      </c>
      <c r="AD42" s="132">
        <v>2.2411407514665475E-2</v>
      </c>
    </row>
    <row r="43" spans="2:31" x14ac:dyDescent="0.3">
      <c r="B43" s="9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1"/>
    </row>
    <row r="44" spans="2:31" x14ac:dyDescent="0.3">
      <c r="B44" s="12"/>
      <c r="C44" s="163"/>
      <c r="D44" s="164" t="s">
        <v>83</v>
      </c>
      <c r="E44" s="164"/>
      <c r="F44" s="164"/>
      <c r="G44" s="164"/>
      <c r="H44" s="164"/>
      <c r="I44" s="164"/>
      <c r="J44" s="164"/>
      <c r="K44" s="164"/>
      <c r="L44" s="164"/>
      <c r="M44" s="163"/>
      <c r="N44" s="163"/>
      <c r="O44" s="163"/>
      <c r="P44" s="163"/>
      <c r="Q44" s="163"/>
      <c r="R44" s="163"/>
      <c r="S44" s="163"/>
      <c r="T44" s="163"/>
      <c r="U44" s="163"/>
      <c r="V44" s="163"/>
      <c r="W44" s="163"/>
      <c r="X44" s="163"/>
      <c r="Y44" s="163"/>
      <c r="Z44" s="163"/>
      <c r="AA44" s="163"/>
      <c r="AB44" s="163"/>
      <c r="AC44" s="163"/>
      <c r="AD44" s="163"/>
      <c r="AE44" s="15"/>
    </row>
    <row r="45" spans="2:31" x14ac:dyDescent="0.3">
      <c r="B45" s="12"/>
      <c r="C45" s="163"/>
      <c r="D45" s="164"/>
      <c r="E45" s="164"/>
      <c r="F45" s="164"/>
      <c r="G45" s="164"/>
      <c r="H45" s="164"/>
      <c r="I45" s="164"/>
      <c r="J45" s="164"/>
      <c r="K45" s="164"/>
      <c r="L45" s="164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5"/>
    </row>
    <row r="46" spans="2:31" x14ac:dyDescent="0.3">
      <c r="B46" s="12"/>
      <c r="C46" s="164" t="s">
        <v>69</v>
      </c>
      <c r="D46" s="165" t="s">
        <v>211</v>
      </c>
      <c r="E46" s="165"/>
      <c r="F46" s="165"/>
      <c r="G46" s="165"/>
      <c r="H46" s="165"/>
      <c r="I46" s="165"/>
      <c r="J46" s="165"/>
      <c r="K46" s="165"/>
      <c r="L46" s="165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5"/>
    </row>
    <row r="47" spans="2:31" x14ac:dyDescent="0.3">
      <c r="B47" s="12"/>
      <c r="C47" s="163"/>
      <c r="D47" s="163"/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5"/>
    </row>
    <row r="48" spans="2:31" x14ac:dyDescent="0.3">
      <c r="B48" s="12"/>
      <c r="C48" s="164" t="s">
        <v>195</v>
      </c>
      <c r="D48" s="164"/>
      <c r="E48" s="164"/>
      <c r="F48" s="164"/>
      <c r="G48" s="164"/>
      <c r="H48" s="164"/>
      <c r="I48" s="164"/>
      <c r="J48" s="164"/>
      <c r="K48" s="164"/>
      <c r="L48" s="164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5"/>
    </row>
    <row r="49" spans="2:31" x14ac:dyDescent="0.3">
      <c r="B49" s="12"/>
      <c r="C49" s="166" t="s">
        <v>56</v>
      </c>
      <c r="D49" s="175" t="s">
        <v>19</v>
      </c>
      <c r="E49" s="176">
        <f>E9*E77</f>
        <v>3.4175496128982914E-2</v>
      </c>
      <c r="F49" s="176">
        <f>F9*F77</f>
        <v>3.5160845055625556E-2</v>
      </c>
      <c r="G49" s="176">
        <f>G9*G77</f>
        <v>3.5865011247794787E-2</v>
      </c>
      <c r="H49" s="176">
        <f>H9*H77</f>
        <v>4.2011143444320435E-2</v>
      </c>
      <c r="I49" s="176">
        <f>I9*I77</f>
        <v>4.8548280851269131E-2</v>
      </c>
      <c r="J49" s="176">
        <f>J9*J77</f>
        <v>4.516232504E-2</v>
      </c>
      <c r="K49" s="176">
        <f>K9*K77</f>
        <v>4.2605836656579667E-2</v>
      </c>
      <c r="L49" s="176">
        <f>L9*L77</f>
        <v>4.2242772195553571E-2</v>
      </c>
      <c r="M49" s="176">
        <f>M9*M77</f>
        <v>4.1877080722728277E-2</v>
      </c>
      <c r="N49" s="176">
        <f>N9*N77</f>
        <v>3.8489751856812582E-2</v>
      </c>
      <c r="O49" s="176">
        <f>O9*O77</f>
        <v>3.7143596518483993E-2</v>
      </c>
      <c r="P49" s="176">
        <f>P9*P77</f>
        <v>4.4672310298616E-2</v>
      </c>
      <c r="Q49" s="176">
        <f>Q9*Q77</f>
        <v>4.4833155648957256E-2</v>
      </c>
      <c r="R49" s="176">
        <f>R9*R77</f>
        <v>4.7820439197618629E-2</v>
      </c>
      <c r="S49" s="176">
        <f>S9*S77</f>
        <v>4.9069546413885806E-2</v>
      </c>
      <c r="T49" s="176">
        <f>T9*T77</f>
        <v>5.170096680937087E-2</v>
      </c>
      <c r="U49" s="176">
        <f>U9*U77</f>
        <v>5.4376434539436275E-2</v>
      </c>
      <c r="V49" s="176">
        <f>V9*V77</f>
        <v>5.7092686838557588E-2</v>
      </c>
      <c r="W49" s="176">
        <f>W9*W77</f>
        <v>5.9849723706734768E-2</v>
      </c>
      <c r="X49" s="176">
        <f>X9*X77</f>
        <v>6.2647545143967823E-2</v>
      </c>
      <c r="Y49" s="176">
        <f>Y9*Y77</f>
        <v>6.5481257001970022E-2</v>
      </c>
      <c r="Z49" s="176">
        <f>Z9*Z77</f>
        <v>6.6760261087562292E-2</v>
      </c>
      <c r="AA49" s="176">
        <f>AA9*AA77</f>
        <v>6.8040896555916761E-2</v>
      </c>
      <c r="AB49" s="176">
        <f>AB9*AB77</f>
        <v>6.9320716332890123E-2</v>
      </c>
      <c r="AC49" s="176">
        <f>AC9*AC77</f>
        <v>7.0600536109863499E-2</v>
      </c>
      <c r="AD49" s="176">
        <f>AD9*AD77</f>
        <v>7.1879540195455727E-2</v>
      </c>
      <c r="AE49" s="177"/>
    </row>
    <row r="50" spans="2:31" x14ac:dyDescent="0.3">
      <c r="B50" s="12"/>
      <c r="C50" s="166" t="s">
        <v>141</v>
      </c>
      <c r="D50" s="175" t="s">
        <v>142</v>
      </c>
      <c r="E50" s="176">
        <f>E10*E77</f>
        <v>0</v>
      </c>
      <c r="F50" s="176">
        <f>F10*F77</f>
        <v>0</v>
      </c>
      <c r="G50" s="176">
        <f>G10*G77</f>
        <v>0</v>
      </c>
      <c r="H50" s="176">
        <f>H10*H77</f>
        <v>0</v>
      </c>
      <c r="I50" s="176">
        <f>I10*I77</f>
        <v>0</v>
      </c>
      <c r="J50" s="176">
        <f>J10*J77</f>
        <v>0</v>
      </c>
      <c r="K50" s="176">
        <f>K10*K77</f>
        <v>0</v>
      </c>
      <c r="L50" s="176">
        <f>L10*L77</f>
        <v>0</v>
      </c>
      <c r="M50" s="176">
        <f>M10*M77</f>
        <v>0</v>
      </c>
      <c r="N50" s="176">
        <f>N10*N77</f>
        <v>0</v>
      </c>
      <c r="O50" s="176">
        <f>O10*O77</f>
        <v>0</v>
      </c>
      <c r="P50" s="176">
        <f>P10*P77</f>
        <v>0</v>
      </c>
      <c r="Q50" s="176">
        <f>Q10*Q77</f>
        <v>0</v>
      </c>
      <c r="R50" s="176">
        <f>R10*R77</f>
        <v>0</v>
      </c>
      <c r="S50" s="176">
        <f>S10*S77</f>
        <v>0</v>
      </c>
      <c r="T50" s="176">
        <f>T10*T77</f>
        <v>0</v>
      </c>
      <c r="U50" s="176">
        <f>U10*U77</f>
        <v>0</v>
      </c>
      <c r="V50" s="176">
        <f>V10*V77</f>
        <v>0</v>
      </c>
      <c r="W50" s="176">
        <f>W10*W77</f>
        <v>0</v>
      </c>
      <c r="X50" s="176">
        <f>X10*X77</f>
        <v>0</v>
      </c>
      <c r="Y50" s="176">
        <f>Y10*Y77</f>
        <v>0</v>
      </c>
      <c r="Z50" s="176">
        <f>Z10*Z77</f>
        <v>0</v>
      </c>
      <c r="AA50" s="176">
        <f>AA10*AA77</f>
        <v>0</v>
      </c>
      <c r="AB50" s="176">
        <f>AB10*AB77</f>
        <v>0</v>
      </c>
      <c r="AC50" s="176">
        <f>AC10*AC77</f>
        <v>0</v>
      </c>
      <c r="AD50" s="176">
        <f>AD10*AD77</f>
        <v>0</v>
      </c>
      <c r="AE50" s="177"/>
    </row>
    <row r="51" spans="2:31" s="173" customFormat="1" x14ac:dyDescent="0.3">
      <c r="B51" s="12"/>
      <c r="C51" s="166" t="s">
        <v>57</v>
      </c>
      <c r="D51" s="175" t="s">
        <v>20</v>
      </c>
      <c r="E51" s="176">
        <f>E11*E77</f>
        <v>6.6423772729087074E-2</v>
      </c>
      <c r="F51" s="176">
        <f>F11*F77</f>
        <v>7.7308115246210798E-2</v>
      </c>
      <c r="G51" s="176">
        <f>G11*G77</f>
        <v>8.886171652379557E-2</v>
      </c>
      <c r="H51" s="176">
        <f>H11*H77</f>
        <v>0.11713749861710172</v>
      </c>
      <c r="I51" s="176">
        <f>I11*I77</f>
        <v>0.13274618685055936</v>
      </c>
      <c r="J51" s="176">
        <f>J11*J77</f>
        <v>0.12501417959999997</v>
      </c>
      <c r="K51" s="176">
        <f>K11*K77</f>
        <v>0.11934377303527069</v>
      </c>
      <c r="L51" s="176">
        <f>L11*L77</f>
        <v>0.11898208870442332</v>
      </c>
      <c r="M51" s="176">
        <f>M11*M77</f>
        <v>0.11861457754289353</v>
      </c>
      <c r="N51" s="176">
        <f>N11*N77</f>
        <v>0.11886448720120082</v>
      </c>
      <c r="O51" s="176">
        <f>O11*O77</f>
        <v>0.12519444340565999</v>
      </c>
      <c r="P51" s="176">
        <f>P11*P77</f>
        <v>0.11926941006084001</v>
      </c>
      <c r="Q51" s="176">
        <f>Q11*Q77</f>
        <v>0.1928001407005677</v>
      </c>
      <c r="R51" s="176">
        <f>R11*R77</f>
        <v>0.20600395245308636</v>
      </c>
      <c r="S51" s="176">
        <f>S11*S77</f>
        <v>0.2128012742723322</v>
      </c>
      <c r="T51" s="176">
        <f>T11*T77</f>
        <v>0.22421302869496867</v>
      </c>
      <c r="U51" s="176">
        <f>U11*U77</f>
        <v>0.23581580442536157</v>
      </c>
      <c r="V51" s="176">
        <f>V11*V77</f>
        <v>0.24759545173701061</v>
      </c>
      <c r="W51" s="176">
        <f>W11*W77</f>
        <v>0.25955197062991558</v>
      </c>
      <c r="X51" s="176">
        <f>X11*X77</f>
        <v>0.27168536110407654</v>
      </c>
      <c r="Y51" s="176">
        <f>Y11*Y77</f>
        <v>0.28397439856974266</v>
      </c>
      <c r="Z51" s="176">
        <f>Z11*Z77</f>
        <v>0.28952109135793058</v>
      </c>
      <c r="AA51" s="176">
        <f>AA11*AA77</f>
        <v>0.29507485900936864</v>
      </c>
      <c r="AB51" s="176">
        <f>AB11*AB77</f>
        <v>0.30062508922918163</v>
      </c>
      <c r="AC51" s="176">
        <f>AC11*AC77</f>
        <v>0.30617531944899462</v>
      </c>
      <c r="AD51" s="176">
        <f>AD11*AD77</f>
        <v>0.31172201223718243</v>
      </c>
      <c r="AE51" s="177"/>
    </row>
    <row r="52" spans="2:31" x14ac:dyDescent="0.3">
      <c r="B52" s="12"/>
      <c r="C52" s="166" t="s">
        <v>58</v>
      </c>
      <c r="D52" s="175" t="s">
        <v>21</v>
      </c>
      <c r="E52" s="176">
        <f>E12*E77</f>
        <v>1.3497831910341789</v>
      </c>
      <c r="F52" s="176">
        <f>F12*F77</f>
        <v>1.4323440415474877</v>
      </c>
      <c r="G52" s="176">
        <f>G12*G77</f>
        <v>1.5110233429562554</v>
      </c>
      <c r="H52" s="176">
        <f>H12*H77</f>
        <v>1.7613342811375092</v>
      </c>
      <c r="I52" s="176">
        <f>I12*I77</f>
        <v>2.0705862620824806</v>
      </c>
      <c r="J52" s="176">
        <f>J12*J77</f>
        <v>2.1528172310790947</v>
      </c>
      <c r="K52" s="176">
        <f>K12*K77</f>
        <v>2.1214653070918268</v>
      </c>
      <c r="L52" s="176">
        <f>L12*L77</f>
        <v>2.2229050986362378</v>
      </c>
      <c r="M52" s="176">
        <f>M12*M77</f>
        <v>2.179423443606499</v>
      </c>
      <c r="N52" s="176">
        <f>N12*N77</f>
        <v>2.3445331089341561</v>
      </c>
      <c r="O52" s="176">
        <f>O12*O77</f>
        <v>2.5846370476998577</v>
      </c>
      <c r="P52" s="176">
        <f>P12*P77</f>
        <v>2.5159494208141071</v>
      </c>
      <c r="Q52" s="176">
        <f>Q12*Q77</f>
        <v>2.8611972095686178</v>
      </c>
      <c r="R52" s="176">
        <f>R12*R77</f>
        <v>3.0970526975557742</v>
      </c>
      <c r="S52" s="176">
        <f>S12*S77</f>
        <v>3.1992432799488193</v>
      </c>
      <c r="T52" s="176">
        <f>T12*T77</f>
        <v>3.3708070018949745</v>
      </c>
      <c r="U52" s="176">
        <f>U12*U77</f>
        <v>3.5452425282382438</v>
      </c>
      <c r="V52" s="176">
        <f>V12*V77</f>
        <v>3.7223371327269925</v>
      </c>
      <c r="W52" s="176">
        <f>W12*W77</f>
        <v>3.902090815361217</v>
      </c>
      <c r="X52" s="176">
        <f>X12*X77</f>
        <v>4.0845035761409179</v>
      </c>
      <c r="Y52" s="176">
        <f>Y12*Y77</f>
        <v>4.2692563256886364</v>
      </c>
      <c r="Z52" s="176">
        <f>Z12*Z77</f>
        <v>4.3526450163307864</v>
      </c>
      <c r="AA52" s="176">
        <f>AA12*AA77</f>
        <v>4.4361400700987534</v>
      </c>
      <c r="AB52" s="176">
        <f>AB12*AB77</f>
        <v>4.5195819423038115</v>
      </c>
      <c r="AC52" s="176">
        <f>AC12*AC77</f>
        <v>4.6030238145088713</v>
      </c>
      <c r="AD52" s="176">
        <f>AD12*AD77</f>
        <v>4.6864125051510186</v>
      </c>
      <c r="AE52" s="177"/>
    </row>
    <row r="53" spans="2:31" x14ac:dyDescent="0.3">
      <c r="B53" s="12"/>
      <c r="C53" s="166" t="s">
        <v>59</v>
      </c>
      <c r="D53" s="175" t="s">
        <v>22</v>
      </c>
      <c r="E53" s="176">
        <f>E13*E77</f>
        <v>2.6077634168918595</v>
      </c>
      <c r="F53" s="176">
        <f>F13*F77</f>
        <v>2.6617318342057099</v>
      </c>
      <c r="G53" s="176">
        <f>G13*G77</f>
        <v>2.7020652721100102</v>
      </c>
      <c r="H53" s="176">
        <f>H13*H77</f>
        <v>3.0321704080341929</v>
      </c>
      <c r="I53" s="176">
        <f>I13*I77</f>
        <v>3.3616576960868501</v>
      </c>
      <c r="J53" s="176">
        <f>J13*J77</f>
        <v>2.9630172642809049</v>
      </c>
      <c r="K53" s="176">
        <f>K13*K77</f>
        <v>2.7623246186091492</v>
      </c>
      <c r="L53" s="176">
        <f>L13*L77</f>
        <v>2.6460839686173157</v>
      </c>
      <c r="M53" s="176">
        <f>M13*M77</f>
        <v>2.6745263194369273</v>
      </c>
      <c r="N53" s="176">
        <f>N13*N77</f>
        <v>2.5196434656180351</v>
      </c>
      <c r="O53" s="176">
        <f>O13*O77</f>
        <v>2.5385742092259984</v>
      </c>
      <c r="P53" s="176">
        <f>P13*P77</f>
        <v>2.3647974207264375</v>
      </c>
      <c r="Q53" s="176">
        <f>Q13*Q77</f>
        <v>2.3887059272545335</v>
      </c>
      <c r="R53" s="176">
        <f>R13*R77</f>
        <v>2.4911076045557308</v>
      </c>
      <c r="S53" s="176">
        <f>S13*S77</f>
        <v>2.5733043773501363</v>
      </c>
      <c r="T53" s="176">
        <f>T13*T77</f>
        <v>2.7113012841329134</v>
      </c>
      <c r="U53" s="176">
        <f>U13*U77</f>
        <v>2.8516081205394563</v>
      </c>
      <c r="V53" s="176">
        <f>V13*V77</f>
        <v>2.9940537806717105</v>
      </c>
      <c r="W53" s="176">
        <f>W13*W77</f>
        <v>3.138638264529674</v>
      </c>
      <c r="X53" s="176">
        <f>X13*X77</f>
        <v>3.285361572113346</v>
      </c>
      <c r="Y53" s="176">
        <f>Y13*Y77</f>
        <v>3.4339670445756418</v>
      </c>
      <c r="Z53" s="176">
        <f>Z13*Z77</f>
        <v>3.5010405566138925</v>
      </c>
      <c r="AA53" s="176">
        <f>AA13*AA77</f>
        <v>3.5681996216011704</v>
      </c>
      <c r="AB53" s="176">
        <f>AB13*AB77</f>
        <v>3.6353159101139347</v>
      </c>
      <c r="AC53" s="176">
        <f>AC13*AC77</f>
        <v>3.7024321986266995</v>
      </c>
      <c r="AD53" s="176">
        <f>AD13*AD77</f>
        <v>3.7695057106649488</v>
      </c>
      <c r="AE53" s="177"/>
    </row>
    <row r="54" spans="2:31" x14ac:dyDescent="0.3">
      <c r="B54" s="12"/>
      <c r="C54" s="166" t="s">
        <v>145</v>
      </c>
      <c r="D54" s="175" t="s">
        <v>146</v>
      </c>
      <c r="E54" s="176">
        <f>E14*E77</f>
        <v>0</v>
      </c>
      <c r="F54" s="176">
        <f>F14*F77</f>
        <v>0</v>
      </c>
      <c r="G54" s="176">
        <f>G14*G77</f>
        <v>0</v>
      </c>
      <c r="H54" s="176">
        <f>H14*H77</f>
        <v>0</v>
      </c>
      <c r="I54" s="176">
        <f>I14*I77</f>
        <v>0</v>
      </c>
      <c r="J54" s="176">
        <f>J14*J77</f>
        <v>0</v>
      </c>
      <c r="K54" s="176">
        <f>K14*K77</f>
        <v>0</v>
      </c>
      <c r="L54" s="176">
        <f>L14*L77</f>
        <v>0</v>
      </c>
      <c r="M54" s="176">
        <f>M14*M77</f>
        <v>0</v>
      </c>
      <c r="N54" s="176">
        <f>N14*N77</f>
        <v>0</v>
      </c>
      <c r="O54" s="176">
        <f>O14*O77</f>
        <v>0</v>
      </c>
      <c r="P54" s="176">
        <f>P14*P77</f>
        <v>0</v>
      </c>
      <c r="Q54" s="176">
        <f>Q14*Q77</f>
        <v>0</v>
      </c>
      <c r="R54" s="176">
        <f>R14*R77</f>
        <v>0</v>
      </c>
      <c r="S54" s="176">
        <f>S14*S77</f>
        <v>0</v>
      </c>
      <c r="T54" s="176">
        <f>T14*T77</f>
        <v>0</v>
      </c>
      <c r="U54" s="176">
        <f>U14*U77</f>
        <v>0</v>
      </c>
      <c r="V54" s="176">
        <f>V14*V77</f>
        <v>0</v>
      </c>
      <c r="W54" s="176">
        <f>W14*W77</f>
        <v>0</v>
      </c>
      <c r="X54" s="176">
        <f>X14*X77</f>
        <v>0</v>
      </c>
      <c r="Y54" s="176">
        <f>Y14*Y77</f>
        <v>0</v>
      </c>
      <c r="Z54" s="176">
        <f>Z14*Z77</f>
        <v>0</v>
      </c>
      <c r="AA54" s="176">
        <f>AA14*AA77</f>
        <v>0</v>
      </c>
      <c r="AB54" s="176">
        <f>AB14*AB77</f>
        <v>0</v>
      </c>
      <c r="AC54" s="176">
        <f>AC14*AC77</f>
        <v>0</v>
      </c>
      <c r="AD54" s="176">
        <f>AD14*AD77</f>
        <v>0</v>
      </c>
      <c r="AE54" s="177"/>
    </row>
    <row r="55" spans="2:31" ht="13.8" customHeight="1" x14ac:dyDescent="0.3">
      <c r="B55" s="12"/>
      <c r="C55" s="166" t="s">
        <v>147</v>
      </c>
      <c r="D55" s="175" t="s">
        <v>148</v>
      </c>
      <c r="E55" s="176">
        <f>E15*E77</f>
        <v>9.1000000000000004E-3</v>
      </c>
      <c r="F55" s="176">
        <f>F15*F77</f>
        <v>9.7000000000000003E-3</v>
      </c>
      <c r="G55" s="176">
        <f>G15*G77</f>
        <v>1.04E-2</v>
      </c>
      <c r="H55" s="176">
        <f>H15*H77</f>
        <v>1.0800000000000001E-2</v>
      </c>
      <c r="I55" s="176">
        <f>I15*I77</f>
        <v>1.1299999999999999E-2</v>
      </c>
      <c r="J55" s="176">
        <f>J15*J77</f>
        <v>1.1200000000000002E-2</v>
      </c>
      <c r="K55" s="176">
        <f>K15*K77</f>
        <v>1.12E-2</v>
      </c>
      <c r="L55" s="176">
        <f>L15*L77</f>
        <v>1.14E-2</v>
      </c>
      <c r="M55" s="176">
        <f>M15*M77</f>
        <v>1.1599999999999999E-2</v>
      </c>
      <c r="N55" s="176">
        <f>N15*N77</f>
        <v>1.5100000000000001E-2</v>
      </c>
      <c r="O55" s="176">
        <f>O15*O77</f>
        <v>1.9300000000000001E-2</v>
      </c>
      <c r="P55" s="176">
        <f>P15*P77</f>
        <v>9.1000000000000004E-3</v>
      </c>
      <c r="Q55" s="176">
        <f>Q15*Q77</f>
        <v>1.37E-2</v>
      </c>
      <c r="R55" s="176">
        <f>R15*R77</f>
        <v>1.4492477908962647E-2</v>
      </c>
      <c r="S55" s="176">
        <f>S15*S77</f>
        <v>1.529945236504047E-2</v>
      </c>
      <c r="T55" s="176">
        <f>T15*T77</f>
        <v>1.6119906066681518E-2</v>
      </c>
      <c r="U55" s="176">
        <f>U15*U77</f>
        <v>1.6954093339273776E-2</v>
      </c>
      <c r="V55" s="176">
        <f>V15*V77</f>
        <v>1.7800996881265314E-2</v>
      </c>
      <c r="W55" s="176">
        <f>W15*W77</f>
        <v>1.8660616692656125E-2</v>
      </c>
      <c r="X55" s="176">
        <f>X15*X77</f>
        <v>1.9532952773446202E-2</v>
      </c>
      <c r="Y55" s="176">
        <f>Y15*Y77</f>
        <v>2.0416479171307639E-2</v>
      </c>
      <c r="Z55" s="176">
        <f>Z15*Z77</f>
        <v>2.0815261379668815E-2</v>
      </c>
      <c r="AA55" s="176">
        <f>AA15*AA77</f>
        <v>2.1214552238805969E-2</v>
      </c>
      <c r="AB55" s="176">
        <f>AB15*AB77</f>
        <v>2.1613588772555134E-2</v>
      </c>
      <c r="AC55" s="176">
        <f>AC15*AC77</f>
        <v>2.2012625306304302E-2</v>
      </c>
      <c r="AD55" s="176">
        <f>AD15*AD77</f>
        <v>2.2411407514665475E-2</v>
      </c>
      <c r="AE55" s="177"/>
    </row>
    <row r="56" spans="2:31" x14ac:dyDescent="0.3">
      <c r="B56" s="12"/>
      <c r="C56" s="166" t="s">
        <v>149</v>
      </c>
      <c r="D56" s="175" t="s">
        <v>150</v>
      </c>
      <c r="E56" s="176">
        <f>E17*E77</f>
        <v>0</v>
      </c>
      <c r="F56" s="176">
        <f>F17*F77</f>
        <v>0</v>
      </c>
      <c r="G56" s="176">
        <f>G17*G77</f>
        <v>0</v>
      </c>
      <c r="H56" s="176">
        <f>H17*H77</f>
        <v>0</v>
      </c>
      <c r="I56" s="176">
        <f>I17*I77</f>
        <v>0</v>
      </c>
      <c r="J56" s="176">
        <f>J17*J77</f>
        <v>0</v>
      </c>
      <c r="K56" s="176">
        <f>K17*K77</f>
        <v>0</v>
      </c>
      <c r="L56" s="176">
        <f>L17*L77</f>
        <v>0</v>
      </c>
      <c r="M56" s="176">
        <f>M17*M77</f>
        <v>0</v>
      </c>
      <c r="N56" s="176">
        <f>N17*N77</f>
        <v>0</v>
      </c>
      <c r="O56" s="176">
        <f>O17*O77</f>
        <v>0</v>
      </c>
      <c r="P56" s="176">
        <f>P17*P77</f>
        <v>0</v>
      </c>
      <c r="Q56" s="176">
        <f>Q17*Q77</f>
        <v>0</v>
      </c>
      <c r="R56" s="176">
        <f>R17*R77</f>
        <v>0</v>
      </c>
      <c r="S56" s="176">
        <f>S17*S77</f>
        <v>0</v>
      </c>
      <c r="T56" s="176">
        <f>T17*T77</f>
        <v>0</v>
      </c>
      <c r="U56" s="176">
        <f>U17*U77</f>
        <v>0</v>
      </c>
      <c r="V56" s="176">
        <f>V17*V77</f>
        <v>0</v>
      </c>
      <c r="W56" s="176">
        <f>W17*W77</f>
        <v>0</v>
      </c>
      <c r="X56" s="176">
        <f>X17*X77</f>
        <v>0</v>
      </c>
      <c r="Y56" s="176">
        <f>Y17*Y77</f>
        <v>0</v>
      </c>
      <c r="Z56" s="176">
        <f>Z17*Z77</f>
        <v>0</v>
      </c>
      <c r="AA56" s="176">
        <f>AA17*AA77</f>
        <v>0</v>
      </c>
      <c r="AB56" s="176">
        <f>AB17*AB77</f>
        <v>0</v>
      </c>
      <c r="AC56" s="176">
        <f>AC17*AC77</f>
        <v>0</v>
      </c>
      <c r="AD56" s="176">
        <f>AD17*AD77</f>
        <v>0</v>
      </c>
      <c r="AE56" s="177"/>
    </row>
    <row r="57" spans="2:31" x14ac:dyDescent="0.3">
      <c r="B57" s="12"/>
      <c r="C57" s="166" t="s">
        <v>151</v>
      </c>
      <c r="D57" s="175" t="s">
        <v>152</v>
      </c>
      <c r="E57" s="176">
        <f>E17*E77</f>
        <v>0</v>
      </c>
      <c r="F57" s="176">
        <f>F17*F77</f>
        <v>0</v>
      </c>
      <c r="G57" s="176">
        <f>G17*G77</f>
        <v>0</v>
      </c>
      <c r="H57" s="176">
        <f>H17*H77</f>
        <v>0</v>
      </c>
      <c r="I57" s="176">
        <f>I17*I77</f>
        <v>0</v>
      </c>
      <c r="J57" s="176">
        <f>J17*J77</f>
        <v>0</v>
      </c>
      <c r="K57" s="176">
        <f>K17*K77</f>
        <v>0</v>
      </c>
      <c r="L57" s="176">
        <f>L17*L77</f>
        <v>0</v>
      </c>
      <c r="M57" s="176">
        <f>M17*M77</f>
        <v>0</v>
      </c>
      <c r="N57" s="176">
        <f>N17*N77</f>
        <v>0</v>
      </c>
      <c r="O57" s="176">
        <f>O17*O77</f>
        <v>0</v>
      </c>
      <c r="P57" s="176">
        <f>P17*P77</f>
        <v>0</v>
      </c>
      <c r="Q57" s="176">
        <f>Q17*Q77</f>
        <v>0</v>
      </c>
      <c r="R57" s="176">
        <f>R17*R77</f>
        <v>0</v>
      </c>
      <c r="S57" s="176">
        <f>S17*S77</f>
        <v>0</v>
      </c>
      <c r="T57" s="176">
        <f>T17*T77</f>
        <v>0</v>
      </c>
      <c r="U57" s="176">
        <f>U17*U77</f>
        <v>0</v>
      </c>
      <c r="V57" s="176">
        <f>V17*V77</f>
        <v>0</v>
      </c>
      <c r="W57" s="176">
        <f>W17*W77</f>
        <v>0</v>
      </c>
      <c r="X57" s="176">
        <f>X17*X77</f>
        <v>0</v>
      </c>
      <c r="Y57" s="176">
        <f>Y17*Y77</f>
        <v>0</v>
      </c>
      <c r="Z57" s="176">
        <f>Z17*Z77</f>
        <v>0</v>
      </c>
      <c r="AA57" s="176">
        <f>AA17*AA77</f>
        <v>0</v>
      </c>
      <c r="AB57" s="176">
        <f>AB17*AB77</f>
        <v>0</v>
      </c>
      <c r="AC57" s="176">
        <f>AC17*AC77</f>
        <v>0</v>
      </c>
      <c r="AD57" s="176">
        <f>AD17*AD77</f>
        <v>0</v>
      </c>
      <c r="AE57" s="177"/>
    </row>
    <row r="58" spans="2:31" x14ac:dyDescent="0.3">
      <c r="B58" s="12"/>
      <c r="C58" s="163"/>
      <c r="D58" s="175"/>
      <c r="E58" s="178">
        <f t="shared" ref="E58:AD58" si="15">SUM(E49:E57)</f>
        <v>4.0672458767841082</v>
      </c>
      <c r="F58" s="178">
        <f t="shared" si="15"/>
        <v>4.2162448360550338</v>
      </c>
      <c r="G58" s="178">
        <f t="shared" si="15"/>
        <v>4.3482153428378556</v>
      </c>
      <c r="H58" s="178">
        <f t="shared" si="15"/>
        <v>4.9634533312331239</v>
      </c>
      <c r="I58" s="178">
        <f t="shared" si="15"/>
        <v>5.6248384258711592</v>
      </c>
      <c r="J58" s="178">
        <f t="shared" si="15"/>
        <v>5.2972109999999999</v>
      </c>
      <c r="K58" s="178">
        <f t="shared" si="15"/>
        <v>5.0569395353928259</v>
      </c>
      <c r="L58" s="178">
        <f t="shared" si="15"/>
        <v>5.0416139281535308</v>
      </c>
      <c r="M58" s="178">
        <f t="shared" si="15"/>
        <v>5.0260414213090474</v>
      </c>
      <c r="N58" s="178">
        <f t="shared" si="15"/>
        <v>5.0366308136102056</v>
      </c>
      <c r="O58" s="178">
        <f t="shared" si="15"/>
        <v>5.3048492968500005</v>
      </c>
      <c r="P58" s="178">
        <f t="shared" si="15"/>
        <v>5.0537885619000011</v>
      </c>
      <c r="Q58" s="178">
        <f t="shared" si="15"/>
        <v>5.5012364331726769</v>
      </c>
      <c r="R58" s="178">
        <f t="shared" si="15"/>
        <v>5.8564771716711732</v>
      </c>
      <c r="S58" s="178">
        <f t="shared" si="15"/>
        <v>6.049717930350214</v>
      </c>
      <c r="T58" s="178">
        <f t="shared" si="15"/>
        <v>6.3741421875989088</v>
      </c>
      <c r="U58" s="178">
        <f t="shared" si="15"/>
        <v>6.7039969810817714</v>
      </c>
      <c r="V58" s="178">
        <f t="shared" si="15"/>
        <v>7.0388800488555363</v>
      </c>
      <c r="W58" s="178">
        <f t="shared" si="15"/>
        <v>7.3787913909201972</v>
      </c>
      <c r="X58" s="178">
        <f t="shared" si="15"/>
        <v>7.7237310072757541</v>
      </c>
      <c r="Y58" s="178">
        <f t="shared" si="15"/>
        <v>8.0730955050072986</v>
      </c>
      <c r="Z58" s="178">
        <f t="shared" si="15"/>
        <v>8.2307821867698401</v>
      </c>
      <c r="AA58" s="178">
        <f t="shared" si="15"/>
        <v>8.3886699995040157</v>
      </c>
      <c r="AB58" s="178">
        <f t="shared" si="15"/>
        <v>8.5464572467523734</v>
      </c>
      <c r="AC58" s="178">
        <f t="shared" si="15"/>
        <v>8.7042444940007329</v>
      </c>
      <c r="AD58" s="178">
        <f t="shared" si="15"/>
        <v>8.8619311757632708</v>
      </c>
      <c r="AE58" s="177"/>
    </row>
    <row r="59" spans="2:31" x14ac:dyDescent="0.3">
      <c r="B59" s="12"/>
      <c r="C59" s="164" t="s">
        <v>194</v>
      </c>
      <c r="D59" s="175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Y59" s="176"/>
      <c r="Z59" s="176"/>
      <c r="AA59" s="176"/>
      <c r="AB59" s="176"/>
      <c r="AC59" s="176"/>
      <c r="AD59" s="176"/>
      <c r="AE59" s="15"/>
    </row>
    <row r="60" spans="2:31" x14ac:dyDescent="0.3">
      <c r="B60" s="12"/>
      <c r="C60" s="166" t="s">
        <v>53</v>
      </c>
      <c r="D60" s="175" t="s">
        <v>24</v>
      </c>
      <c r="E60" s="176">
        <f>E22*E77</f>
        <v>3.4175496128982914E-2</v>
      </c>
      <c r="F60" s="176">
        <f t="shared" ref="F60:AD60" si="16">F22*F77</f>
        <v>3.5160845055625556E-2</v>
      </c>
      <c r="G60" s="176">
        <f t="shared" si="16"/>
        <v>3.5865011247794787E-2</v>
      </c>
      <c r="H60" s="176">
        <f t="shared" si="16"/>
        <v>4.2011143444320435E-2</v>
      </c>
      <c r="I60" s="176">
        <f t="shared" si="16"/>
        <v>4.8548280851269131E-2</v>
      </c>
      <c r="J60" s="176">
        <f t="shared" si="16"/>
        <v>4.516232504E-2</v>
      </c>
      <c r="K60" s="176">
        <f t="shared" si="16"/>
        <v>4.2605836656579667E-2</v>
      </c>
      <c r="L60" s="176">
        <f t="shared" si="16"/>
        <v>4.2242772195553571E-2</v>
      </c>
      <c r="M60" s="176">
        <f t="shared" si="16"/>
        <v>4.1877080722728277E-2</v>
      </c>
      <c r="N60" s="176">
        <f t="shared" si="16"/>
        <v>3.8489751856812582E-2</v>
      </c>
      <c r="O60" s="176">
        <f t="shared" si="16"/>
        <v>3.7143596518483993E-2</v>
      </c>
      <c r="P60" s="176">
        <f t="shared" si="16"/>
        <v>4.4672310298616E-2</v>
      </c>
      <c r="Q60" s="176">
        <f t="shared" si="16"/>
        <v>4.4833155648957256E-2</v>
      </c>
      <c r="R60" s="176">
        <f t="shared" si="16"/>
        <v>4.7820439197618629E-2</v>
      </c>
      <c r="S60" s="176">
        <f t="shared" si="16"/>
        <v>4.9069546413885806E-2</v>
      </c>
      <c r="T60" s="176">
        <f t="shared" si="16"/>
        <v>5.170096680937087E-2</v>
      </c>
      <c r="U60" s="176">
        <f t="shared" si="16"/>
        <v>5.4376434539436275E-2</v>
      </c>
      <c r="V60" s="176">
        <f t="shared" si="16"/>
        <v>5.7092686838557588E-2</v>
      </c>
      <c r="W60" s="176">
        <f t="shared" si="16"/>
        <v>5.9849723706734768E-2</v>
      </c>
      <c r="X60" s="176">
        <f t="shared" si="16"/>
        <v>6.2647545143967823E-2</v>
      </c>
      <c r="Y60" s="176">
        <f t="shared" si="16"/>
        <v>6.5481257001970022E-2</v>
      </c>
      <c r="Z60" s="176">
        <f t="shared" si="16"/>
        <v>6.6760261087562292E-2</v>
      </c>
      <c r="AA60" s="176">
        <f t="shared" si="16"/>
        <v>6.8040896555916761E-2</v>
      </c>
      <c r="AB60" s="176">
        <f t="shared" si="16"/>
        <v>6.9320716332890123E-2</v>
      </c>
      <c r="AC60" s="176">
        <f t="shared" si="16"/>
        <v>7.0600536109863499E-2</v>
      </c>
      <c r="AD60" s="176">
        <f t="shared" si="16"/>
        <v>7.1879540195455727E-2</v>
      </c>
      <c r="AE60" s="177"/>
    </row>
    <row r="61" spans="2:31" x14ac:dyDescent="0.3">
      <c r="B61" s="12"/>
      <c r="C61" s="166" t="s">
        <v>54</v>
      </c>
      <c r="D61" s="175" t="s">
        <v>52</v>
      </c>
      <c r="E61" s="176">
        <f>E23*E77</f>
        <v>6.6423772729087074E-2</v>
      </c>
      <c r="F61" s="176">
        <f t="shared" ref="F61:AD61" si="17">F23*F77</f>
        <v>7.7308115246210798E-2</v>
      </c>
      <c r="G61" s="176">
        <f t="shared" si="17"/>
        <v>8.886171652379557E-2</v>
      </c>
      <c r="H61" s="176">
        <f t="shared" si="17"/>
        <v>0.11713749861710172</v>
      </c>
      <c r="I61" s="176">
        <f t="shared" si="17"/>
        <v>0.13274618685055936</v>
      </c>
      <c r="J61" s="176">
        <f t="shared" si="17"/>
        <v>0.12501417959999997</v>
      </c>
      <c r="K61" s="176">
        <f t="shared" si="17"/>
        <v>0.11934377303527069</v>
      </c>
      <c r="L61" s="176">
        <f t="shared" si="17"/>
        <v>0.11898208870442332</v>
      </c>
      <c r="M61" s="176">
        <f t="shared" si="17"/>
        <v>0.11861457754289353</v>
      </c>
      <c r="N61" s="176">
        <f t="shared" si="17"/>
        <v>0.11886448720120082</v>
      </c>
      <c r="O61" s="176">
        <f t="shared" si="17"/>
        <v>0.12519444340565999</v>
      </c>
      <c r="P61" s="176">
        <f t="shared" si="17"/>
        <v>0.11926941006084001</v>
      </c>
      <c r="Q61" s="176">
        <f t="shared" si="17"/>
        <v>0.1928001407005677</v>
      </c>
      <c r="R61" s="176">
        <f t="shared" si="17"/>
        <v>0.20600395245308636</v>
      </c>
      <c r="S61" s="176">
        <f t="shared" si="17"/>
        <v>0.2128012742723322</v>
      </c>
      <c r="T61" s="176">
        <f t="shared" si="17"/>
        <v>0.22421302869496867</v>
      </c>
      <c r="U61" s="176">
        <f t="shared" si="17"/>
        <v>0.23581580442536157</v>
      </c>
      <c r="V61" s="176">
        <f t="shared" si="17"/>
        <v>0.24759545173701061</v>
      </c>
      <c r="W61" s="176">
        <f t="shared" si="17"/>
        <v>0.25955197062991558</v>
      </c>
      <c r="X61" s="176">
        <f t="shared" si="17"/>
        <v>0.27168536110407654</v>
      </c>
      <c r="Y61" s="176">
        <f t="shared" si="17"/>
        <v>0.28397439856974266</v>
      </c>
      <c r="Z61" s="176">
        <f t="shared" si="17"/>
        <v>0.28952109135793058</v>
      </c>
      <c r="AA61" s="176">
        <f t="shared" si="17"/>
        <v>0.29507485900936864</v>
      </c>
      <c r="AB61" s="176">
        <f t="shared" si="17"/>
        <v>0.30062508922918163</v>
      </c>
      <c r="AC61" s="176">
        <f t="shared" si="17"/>
        <v>0.30617531944899462</v>
      </c>
      <c r="AD61" s="176">
        <f t="shared" si="17"/>
        <v>0.31172201223718243</v>
      </c>
      <c r="AE61" s="177"/>
    </row>
    <row r="62" spans="2:31" s="173" customFormat="1" x14ac:dyDescent="0.3">
      <c r="B62" s="12"/>
      <c r="C62" s="166" t="s">
        <v>55</v>
      </c>
      <c r="D62" s="175" t="s">
        <v>25</v>
      </c>
      <c r="E62" s="176">
        <f>E24*E77</f>
        <v>3.9666466079260383</v>
      </c>
      <c r="F62" s="176">
        <f t="shared" ref="F62:AD62" si="18">F24*F77</f>
        <v>4.1037758757531977</v>
      </c>
      <c r="G62" s="176">
        <f t="shared" si="18"/>
        <v>4.2234886150662652</v>
      </c>
      <c r="H62" s="176">
        <f t="shared" si="18"/>
        <v>4.8043046891717021</v>
      </c>
      <c r="I62" s="176">
        <f t="shared" si="18"/>
        <v>5.4435439581693315</v>
      </c>
      <c r="J62" s="176">
        <f t="shared" si="18"/>
        <v>5.1270344953600002</v>
      </c>
      <c r="K62" s="176">
        <f t="shared" si="18"/>
        <v>4.8949899257009761</v>
      </c>
      <c r="L62" s="176">
        <f t="shared" si="18"/>
        <v>4.8803890672535539</v>
      </c>
      <c r="M62" s="176">
        <f t="shared" si="18"/>
        <v>4.8655497630434272</v>
      </c>
      <c r="N62" s="176">
        <f t="shared" si="18"/>
        <v>4.8792765745521915</v>
      </c>
      <c r="O62" s="176">
        <f t="shared" si="18"/>
        <v>5.1425112569258555</v>
      </c>
      <c r="P62" s="176">
        <f t="shared" si="18"/>
        <v>4.8898468415405443</v>
      </c>
      <c r="Q62" s="176">
        <f t="shared" si="18"/>
        <v>5.26360313682315</v>
      </c>
      <c r="R62" s="176">
        <f t="shared" si="18"/>
        <v>5.6026527800204668</v>
      </c>
      <c r="S62" s="176">
        <f t="shared" si="18"/>
        <v>5.7878471096639954</v>
      </c>
      <c r="T62" s="176">
        <f t="shared" si="18"/>
        <v>6.0982281920945685</v>
      </c>
      <c r="U62" s="176">
        <f t="shared" si="18"/>
        <v>6.413804742116973</v>
      </c>
      <c r="V62" s="176">
        <f t="shared" si="18"/>
        <v>6.7341919102799679</v>
      </c>
      <c r="W62" s="176">
        <f t="shared" si="18"/>
        <v>7.0593896965835459</v>
      </c>
      <c r="X62" s="176">
        <f t="shared" si="18"/>
        <v>7.3893981010277088</v>
      </c>
      <c r="Y62" s="176">
        <f t="shared" si="18"/>
        <v>7.7236398494355853</v>
      </c>
      <c r="Z62" s="176">
        <f t="shared" si="18"/>
        <v>7.8745008343243468</v>
      </c>
      <c r="AA62" s="176">
        <f t="shared" si="18"/>
        <v>8.0255542439387302</v>
      </c>
      <c r="AB62" s="176">
        <f t="shared" si="18"/>
        <v>8.1765114411903017</v>
      </c>
      <c r="AC62" s="176">
        <f t="shared" si="18"/>
        <v>8.3274686384418732</v>
      </c>
      <c r="AD62" s="176">
        <f t="shared" si="18"/>
        <v>8.478329623330632</v>
      </c>
      <c r="AE62" s="177"/>
    </row>
    <row r="63" spans="2:31" x14ac:dyDescent="0.3">
      <c r="B63" s="12"/>
      <c r="C63" s="166" t="s">
        <v>139</v>
      </c>
      <c r="D63" s="175" t="s">
        <v>140</v>
      </c>
      <c r="E63" s="176">
        <f>E25*E77</f>
        <v>0</v>
      </c>
      <c r="F63" s="176">
        <f t="shared" ref="F63:AD63" si="19">F25*F77</f>
        <v>0</v>
      </c>
      <c r="G63" s="176">
        <f t="shared" si="19"/>
        <v>0</v>
      </c>
      <c r="H63" s="176">
        <f t="shared" si="19"/>
        <v>0</v>
      </c>
      <c r="I63" s="176">
        <f t="shared" si="19"/>
        <v>0</v>
      </c>
      <c r="J63" s="176">
        <f t="shared" si="19"/>
        <v>0</v>
      </c>
      <c r="K63" s="176">
        <f t="shared" si="19"/>
        <v>0</v>
      </c>
      <c r="L63" s="176">
        <f t="shared" si="19"/>
        <v>0</v>
      </c>
      <c r="M63" s="176">
        <f t="shared" si="19"/>
        <v>0</v>
      </c>
      <c r="N63" s="176">
        <f t="shared" si="19"/>
        <v>0</v>
      </c>
      <c r="O63" s="176">
        <f t="shared" si="19"/>
        <v>0</v>
      </c>
      <c r="P63" s="176">
        <f t="shared" si="19"/>
        <v>0</v>
      </c>
      <c r="Q63" s="176">
        <f t="shared" si="19"/>
        <v>0</v>
      </c>
      <c r="R63" s="176">
        <f t="shared" si="19"/>
        <v>0</v>
      </c>
      <c r="S63" s="176">
        <f t="shared" si="19"/>
        <v>0</v>
      </c>
      <c r="T63" s="176">
        <f t="shared" si="19"/>
        <v>0</v>
      </c>
      <c r="U63" s="176">
        <f t="shared" si="19"/>
        <v>0</v>
      </c>
      <c r="V63" s="176">
        <f t="shared" si="19"/>
        <v>0</v>
      </c>
      <c r="W63" s="176">
        <f t="shared" si="19"/>
        <v>0</v>
      </c>
      <c r="X63" s="176">
        <f t="shared" si="19"/>
        <v>0</v>
      </c>
      <c r="Y63" s="176">
        <f t="shared" si="19"/>
        <v>0</v>
      </c>
      <c r="Z63" s="176">
        <f t="shared" si="19"/>
        <v>0</v>
      </c>
      <c r="AA63" s="176">
        <f t="shared" si="19"/>
        <v>0</v>
      </c>
      <c r="AB63" s="176">
        <f t="shared" si="19"/>
        <v>0</v>
      </c>
      <c r="AC63" s="176">
        <f t="shared" si="19"/>
        <v>0</v>
      </c>
      <c r="AD63" s="176">
        <f t="shared" si="19"/>
        <v>0</v>
      </c>
      <c r="AE63" s="177"/>
    </row>
    <row r="64" spans="2:31" x14ac:dyDescent="0.3">
      <c r="B64" s="12"/>
      <c r="C64" s="163"/>
      <c r="D64" s="175"/>
      <c r="E64" s="178">
        <f t="shared" ref="E64:AD64" si="20">SUM(E60:E63)</f>
        <v>4.0672458767841082</v>
      </c>
      <c r="F64" s="178">
        <f t="shared" si="20"/>
        <v>4.2162448360550338</v>
      </c>
      <c r="G64" s="178">
        <f t="shared" si="20"/>
        <v>4.3482153428378556</v>
      </c>
      <c r="H64" s="178">
        <f t="shared" si="20"/>
        <v>4.9634533312331239</v>
      </c>
      <c r="I64" s="178">
        <f t="shared" si="20"/>
        <v>5.6248384258711601</v>
      </c>
      <c r="J64" s="178">
        <f t="shared" si="20"/>
        <v>5.2972109999999999</v>
      </c>
      <c r="K64" s="178">
        <f t="shared" si="20"/>
        <v>5.0569395353928268</v>
      </c>
      <c r="L64" s="178">
        <f t="shared" si="20"/>
        <v>5.0416139281535308</v>
      </c>
      <c r="M64" s="178">
        <f t="shared" si="20"/>
        <v>5.0260414213090492</v>
      </c>
      <c r="N64" s="178">
        <f t="shared" si="20"/>
        <v>5.0366308136102047</v>
      </c>
      <c r="O64" s="178">
        <f t="shared" si="20"/>
        <v>5.3048492968499996</v>
      </c>
      <c r="P64" s="178">
        <f t="shared" si="20"/>
        <v>5.0537885619000003</v>
      </c>
      <c r="Q64" s="178">
        <f t="shared" si="20"/>
        <v>5.5012364331726751</v>
      </c>
      <c r="R64" s="178">
        <f t="shared" si="20"/>
        <v>5.8564771716711714</v>
      </c>
      <c r="S64" s="178">
        <f t="shared" si="20"/>
        <v>6.0497179303502131</v>
      </c>
      <c r="T64" s="178">
        <f t="shared" si="20"/>
        <v>6.3741421875989079</v>
      </c>
      <c r="U64" s="178">
        <f t="shared" si="20"/>
        <v>6.7039969810817706</v>
      </c>
      <c r="V64" s="178">
        <f t="shared" si="20"/>
        <v>7.0388800488555363</v>
      </c>
      <c r="W64" s="178">
        <f t="shared" si="20"/>
        <v>7.3787913909201963</v>
      </c>
      <c r="X64" s="178">
        <f t="shared" si="20"/>
        <v>7.7237310072757532</v>
      </c>
      <c r="Y64" s="178">
        <f t="shared" si="20"/>
        <v>8.0730955050072986</v>
      </c>
      <c r="Z64" s="178">
        <f t="shared" si="20"/>
        <v>8.2307821867698401</v>
      </c>
      <c r="AA64" s="178">
        <f t="shared" si="20"/>
        <v>8.3886699995040157</v>
      </c>
      <c r="AB64" s="178">
        <f t="shared" si="20"/>
        <v>8.5464572467523734</v>
      </c>
      <c r="AC64" s="178">
        <f t="shared" si="20"/>
        <v>8.7042444940007311</v>
      </c>
      <c r="AD64" s="178">
        <f t="shared" si="20"/>
        <v>8.8619311757632708</v>
      </c>
      <c r="AE64" s="15"/>
    </row>
    <row r="65" spans="2:31" x14ac:dyDescent="0.3">
      <c r="B65" s="12"/>
      <c r="C65" s="164" t="s">
        <v>193</v>
      </c>
      <c r="D65" s="175"/>
      <c r="E65" s="178"/>
      <c r="F65" s="178"/>
      <c r="G65" s="178"/>
      <c r="H65" s="178"/>
      <c r="I65" s="178"/>
      <c r="J65" s="178"/>
      <c r="K65" s="178"/>
      <c r="L65" s="178"/>
      <c r="M65" s="178"/>
      <c r="N65" s="176"/>
      <c r="O65" s="176"/>
      <c r="P65" s="176"/>
      <c r="Q65" s="176"/>
      <c r="R65" s="176"/>
      <c r="S65" s="176"/>
      <c r="T65" s="176"/>
      <c r="U65" s="176"/>
      <c r="V65" s="176"/>
      <c r="W65" s="176"/>
      <c r="X65" s="176"/>
      <c r="Y65" s="176"/>
      <c r="Z65" s="176"/>
      <c r="AA65" s="176"/>
      <c r="AB65" s="176"/>
      <c r="AC65" s="176"/>
      <c r="AD65" s="176"/>
      <c r="AE65" s="15"/>
    </row>
    <row r="66" spans="2:31" x14ac:dyDescent="0.3">
      <c r="B66" s="12"/>
      <c r="C66" s="166" t="s">
        <v>64</v>
      </c>
      <c r="D66" s="175" t="s">
        <v>27</v>
      </c>
      <c r="E66" s="176">
        <f>E28*E77</f>
        <v>3.4175496128982914E-2</v>
      </c>
      <c r="F66" s="176">
        <f t="shared" ref="F66:AD66" si="21">F28*F77</f>
        <v>3.5160845055625556E-2</v>
      </c>
      <c r="G66" s="176">
        <f t="shared" si="21"/>
        <v>3.5865011247794787E-2</v>
      </c>
      <c r="H66" s="176">
        <f t="shared" si="21"/>
        <v>4.2011143444320435E-2</v>
      </c>
      <c r="I66" s="176">
        <f t="shared" si="21"/>
        <v>4.8548280851269131E-2</v>
      </c>
      <c r="J66" s="176">
        <f t="shared" si="21"/>
        <v>4.516232504E-2</v>
      </c>
      <c r="K66" s="176">
        <f t="shared" si="21"/>
        <v>4.2605836656579667E-2</v>
      </c>
      <c r="L66" s="176">
        <f t="shared" si="21"/>
        <v>4.2242772195553571E-2</v>
      </c>
      <c r="M66" s="176">
        <f t="shared" si="21"/>
        <v>4.1877080722728277E-2</v>
      </c>
      <c r="N66" s="176">
        <f t="shared" si="21"/>
        <v>3.8489751856812582E-2</v>
      </c>
      <c r="O66" s="176">
        <f t="shared" si="21"/>
        <v>3.7143596518483993E-2</v>
      </c>
      <c r="P66" s="176">
        <f t="shared" si="21"/>
        <v>4.4672310298616E-2</v>
      </c>
      <c r="Q66" s="176">
        <f t="shared" si="21"/>
        <v>4.4833155648957256E-2</v>
      </c>
      <c r="R66" s="176">
        <f t="shared" si="21"/>
        <v>4.7820439197618629E-2</v>
      </c>
      <c r="S66" s="176">
        <f t="shared" si="21"/>
        <v>4.9069546413885806E-2</v>
      </c>
      <c r="T66" s="176">
        <f t="shared" si="21"/>
        <v>5.170096680937087E-2</v>
      </c>
      <c r="U66" s="176">
        <f t="shared" si="21"/>
        <v>5.4376434539436275E-2</v>
      </c>
      <c r="V66" s="176">
        <f t="shared" si="21"/>
        <v>5.7092686838557588E-2</v>
      </c>
      <c r="W66" s="176">
        <f t="shared" si="21"/>
        <v>5.9849723706734768E-2</v>
      </c>
      <c r="X66" s="176">
        <f t="shared" si="21"/>
        <v>6.2647545143967823E-2</v>
      </c>
      <c r="Y66" s="176">
        <f t="shared" si="21"/>
        <v>6.5481257001970022E-2</v>
      </c>
      <c r="Z66" s="176">
        <f t="shared" si="21"/>
        <v>6.6760261087562292E-2</v>
      </c>
      <c r="AA66" s="176">
        <f t="shared" si="21"/>
        <v>6.8040896555916761E-2</v>
      </c>
      <c r="AB66" s="176">
        <f t="shared" si="21"/>
        <v>6.9320716332890123E-2</v>
      </c>
      <c r="AC66" s="176">
        <f t="shared" si="21"/>
        <v>7.0600536109863499E-2</v>
      </c>
      <c r="AD66" s="176">
        <f t="shared" si="21"/>
        <v>7.1879540195455727E-2</v>
      </c>
      <c r="AE66" s="15"/>
    </row>
    <row r="67" spans="2:31" x14ac:dyDescent="0.3">
      <c r="B67" s="12"/>
      <c r="C67" s="166" t="s">
        <v>65</v>
      </c>
      <c r="D67" s="175" t="s">
        <v>28</v>
      </c>
      <c r="E67" s="176">
        <f>E29*E77</f>
        <v>6.6423772729087074E-2</v>
      </c>
      <c r="F67" s="176">
        <f t="shared" ref="F67:AD67" si="22">F29*F77</f>
        <v>7.7308115246210798E-2</v>
      </c>
      <c r="G67" s="176">
        <f t="shared" si="22"/>
        <v>8.886171652379557E-2</v>
      </c>
      <c r="H67" s="176">
        <f t="shared" si="22"/>
        <v>0.11713749861710172</v>
      </c>
      <c r="I67" s="176">
        <f t="shared" si="22"/>
        <v>0.13274618685055936</v>
      </c>
      <c r="J67" s="176">
        <f t="shared" si="22"/>
        <v>0.12501417959999997</v>
      </c>
      <c r="K67" s="176">
        <f t="shared" si="22"/>
        <v>0.11934377303527069</v>
      </c>
      <c r="L67" s="176">
        <f t="shared" si="22"/>
        <v>0.11898208870442332</v>
      </c>
      <c r="M67" s="176">
        <f t="shared" si="22"/>
        <v>0.11861457754289353</v>
      </c>
      <c r="N67" s="176">
        <f t="shared" si="22"/>
        <v>0.11886448720120082</v>
      </c>
      <c r="O67" s="176">
        <f t="shared" si="22"/>
        <v>0.12519444340565999</v>
      </c>
      <c r="P67" s="176">
        <f t="shared" si="22"/>
        <v>0.11926941006084001</v>
      </c>
      <c r="Q67" s="176">
        <f t="shared" si="22"/>
        <v>0.1928001407005677</v>
      </c>
      <c r="R67" s="176">
        <f t="shared" si="22"/>
        <v>0.20600395245308636</v>
      </c>
      <c r="S67" s="176">
        <f t="shared" si="22"/>
        <v>0.2128012742723322</v>
      </c>
      <c r="T67" s="176">
        <f t="shared" si="22"/>
        <v>0.22421302869496867</v>
      </c>
      <c r="U67" s="176">
        <f t="shared" si="22"/>
        <v>0.23581580442536157</v>
      </c>
      <c r="V67" s="176">
        <f t="shared" si="22"/>
        <v>0.24759545173701061</v>
      </c>
      <c r="W67" s="176">
        <f t="shared" si="22"/>
        <v>0.25955197062991558</v>
      </c>
      <c r="X67" s="176">
        <f t="shared" si="22"/>
        <v>0.27168536110407654</v>
      </c>
      <c r="Y67" s="176">
        <f t="shared" si="22"/>
        <v>0.28397439856974266</v>
      </c>
      <c r="Z67" s="176">
        <f t="shared" si="22"/>
        <v>0.28952109135793058</v>
      </c>
      <c r="AA67" s="176">
        <f t="shared" si="22"/>
        <v>0.29507485900936864</v>
      </c>
      <c r="AB67" s="176">
        <f t="shared" si="22"/>
        <v>0.30062508922918163</v>
      </c>
      <c r="AC67" s="176">
        <f t="shared" si="22"/>
        <v>0.30617531944899462</v>
      </c>
      <c r="AD67" s="176">
        <f t="shared" si="22"/>
        <v>0.31172201223718243</v>
      </c>
      <c r="AE67" s="15"/>
    </row>
    <row r="68" spans="2:31" x14ac:dyDescent="0.3">
      <c r="B68" s="12"/>
      <c r="C68" s="166" t="s">
        <v>63</v>
      </c>
      <c r="D68" s="175" t="s">
        <v>29</v>
      </c>
      <c r="E68" s="176">
        <f>E30*E77</f>
        <v>3.9666466079260383</v>
      </c>
      <c r="F68" s="176">
        <f t="shared" ref="F68:AD68" si="23">F30*F77</f>
        <v>4.1037758757531977</v>
      </c>
      <c r="G68" s="176">
        <f t="shared" si="23"/>
        <v>4.2234886150662652</v>
      </c>
      <c r="H68" s="176">
        <f t="shared" si="23"/>
        <v>4.8043046891717021</v>
      </c>
      <c r="I68" s="176">
        <f t="shared" si="23"/>
        <v>5.4435439581693315</v>
      </c>
      <c r="J68" s="176">
        <f t="shared" si="23"/>
        <v>5.1270344953600002</v>
      </c>
      <c r="K68" s="176">
        <f t="shared" si="23"/>
        <v>4.8949899257009761</v>
      </c>
      <c r="L68" s="176">
        <f t="shared" si="23"/>
        <v>4.8803890672535539</v>
      </c>
      <c r="M68" s="176">
        <f t="shared" si="23"/>
        <v>4.8655497630434272</v>
      </c>
      <c r="N68" s="176">
        <f t="shared" si="23"/>
        <v>4.8792765745521915</v>
      </c>
      <c r="O68" s="176">
        <f t="shared" si="23"/>
        <v>5.1425112569258555</v>
      </c>
      <c r="P68" s="176">
        <f t="shared" si="23"/>
        <v>4.8898468415405443</v>
      </c>
      <c r="Q68" s="176">
        <f t="shared" si="23"/>
        <v>5.26360313682315</v>
      </c>
      <c r="R68" s="176">
        <f t="shared" si="23"/>
        <v>5.6026527800204668</v>
      </c>
      <c r="S68" s="176">
        <f t="shared" si="23"/>
        <v>5.7878471096639954</v>
      </c>
      <c r="T68" s="176">
        <f t="shared" si="23"/>
        <v>6.0982281920945685</v>
      </c>
      <c r="U68" s="176">
        <f t="shared" si="23"/>
        <v>6.413804742116973</v>
      </c>
      <c r="V68" s="176">
        <f t="shared" si="23"/>
        <v>6.7341919102799679</v>
      </c>
      <c r="W68" s="176">
        <f t="shared" si="23"/>
        <v>7.0593896965835459</v>
      </c>
      <c r="X68" s="176">
        <f t="shared" si="23"/>
        <v>7.3893981010277088</v>
      </c>
      <c r="Y68" s="176">
        <f t="shared" si="23"/>
        <v>7.7236398494355853</v>
      </c>
      <c r="Z68" s="176">
        <f t="shared" si="23"/>
        <v>7.8745008343243468</v>
      </c>
      <c r="AA68" s="176">
        <f t="shared" si="23"/>
        <v>8.0255542439387302</v>
      </c>
      <c r="AB68" s="176">
        <f t="shared" si="23"/>
        <v>8.1765114411903017</v>
      </c>
      <c r="AC68" s="176">
        <f t="shared" si="23"/>
        <v>8.3274686384418732</v>
      </c>
      <c r="AD68" s="176">
        <f t="shared" si="23"/>
        <v>8.478329623330632</v>
      </c>
      <c r="AE68" s="15"/>
    </row>
    <row r="69" spans="2:31" x14ac:dyDescent="0.3">
      <c r="B69" s="12"/>
      <c r="C69" s="166" t="s">
        <v>137</v>
      </c>
      <c r="D69" s="175" t="s">
        <v>138</v>
      </c>
      <c r="E69" s="176">
        <f>E31*E77</f>
        <v>0</v>
      </c>
      <c r="F69" s="176">
        <f t="shared" ref="F69:AD69" si="24">F31*F77</f>
        <v>0</v>
      </c>
      <c r="G69" s="176">
        <f t="shared" si="24"/>
        <v>0</v>
      </c>
      <c r="H69" s="176">
        <f t="shared" si="24"/>
        <v>0</v>
      </c>
      <c r="I69" s="176">
        <f t="shared" si="24"/>
        <v>0</v>
      </c>
      <c r="J69" s="176">
        <f t="shared" si="24"/>
        <v>0</v>
      </c>
      <c r="K69" s="176">
        <f t="shared" si="24"/>
        <v>0</v>
      </c>
      <c r="L69" s="176">
        <f t="shared" si="24"/>
        <v>0</v>
      </c>
      <c r="M69" s="176">
        <f t="shared" si="24"/>
        <v>0</v>
      </c>
      <c r="N69" s="176">
        <f t="shared" si="24"/>
        <v>0</v>
      </c>
      <c r="O69" s="176">
        <f t="shared" si="24"/>
        <v>0</v>
      </c>
      <c r="P69" s="176">
        <f t="shared" si="24"/>
        <v>0</v>
      </c>
      <c r="Q69" s="176">
        <f t="shared" si="24"/>
        <v>0</v>
      </c>
      <c r="R69" s="176">
        <f t="shared" si="24"/>
        <v>0</v>
      </c>
      <c r="S69" s="176">
        <f t="shared" si="24"/>
        <v>0</v>
      </c>
      <c r="T69" s="176">
        <f t="shared" si="24"/>
        <v>0</v>
      </c>
      <c r="U69" s="176">
        <f t="shared" si="24"/>
        <v>0</v>
      </c>
      <c r="V69" s="176">
        <f t="shared" si="24"/>
        <v>0</v>
      </c>
      <c r="W69" s="176">
        <f t="shared" si="24"/>
        <v>0</v>
      </c>
      <c r="X69" s="176">
        <f t="shared" si="24"/>
        <v>0</v>
      </c>
      <c r="Y69" s="176">
        <f t="shared" si="24"/>
        <v>0</v>
      </c>
      <c r="Z69" s="176">
        <f t="shared" si="24"/>
        <v>0</v>
      </c>
      <c r="AA69" s="176">
        <f t="shared" si="24"/>
        <v>0</v>
      </c>
      <c r="AB69" s="176">
        <f t="shared" si="24"/>
        <v>0</v>
      </c>
      <c r="AC69" s="176">
        <f t="shared" si="24"/>
        <v>0</v>
      </c>
      <c r="AD69" s="176">
        <f t="shared" si="24"/>
        <v>0</v>
      </c>
      <c r="AE69" s="15"/>
    </row>
    <row r="70" spans="2:31" x14ac:dyDescent="0.3">
      <c r="B70" s="12"/>
      <c r="C70" s="163"/>
      <c r="D70" s="175"/>
      <c r="E70" s="178">
        <f>SUM(E66:E69)</f>
        <v>4.0672458767841082</v>
      </c>
      <c r="F70" s="178">
        <f t="shared" ref="F70:AD70" si="25">SUM(F66:F69)</f>
        <v>4.2162448360550338</v>
      </c>
      <c r="G70" s="178">
        <f t="shared" si="25"/>
        <v>4.3482153428378556</v>
      </c>
      <c r="H70" s="178">
        <f t="shared" si="25"/>
        <v>4.9634533312331239</v>
      </c>
      <c r="I70" s="178">
        <f t="shared" si="25"/>
        <v>5.6248384258711601</v>
      </c>
      <c r="J70" s="178">
        <f t="shared" si="25"/>
        <v>5.2972109999999999</v>
      </c>
      <c r="K70" s="178">
        <f t="shared" si="25"/>
        <v>5.0569395353928268</v>
      </c>
      <c r="L70" s="178">
        <f t="shared" si="25"/>
        <v>5.0416139281535308</v>
      </c>
      <c r="M70" s="178">
        <f t="shared" si="25"/>
        <v>5.0260414213090492</v>
      </c>
      <c r="N70" s="178">
        <f t="shared" si="25"/>
        <v>5.0366308136102047</v>
      </c>
      <c r="O70" s="178">
        <f t="shared" si="25"/>
        <v>5.3048492968499996</v>
      </c>
      <c r="P70" s="178">
        <f t="shared" si="25"/>
        <v>5.0537885619000003</v>
      </c>
      <c r="Q70" s="178">
        <f t="shared" si="25"/>
        <v>5.5012364331726751</v>
      </c>
      <c r="R70" s="178">
        <f t="shared" si="25"/>
        <v>5.8564771716711714</v>
      </c>
      <c r="S70" s="178">
        <f t="shared" si="25"/>
        <v>6.0497179303502131</v>
      </c>
      <c r="T70" s="178">
        <f t="shared" si="25"/>
        <v>6.3741421875989079</v>
      </c>
      <c r="U70" s="178">
        <f t="shared" si="25"/>
        <v>6.7039969810817706</v>
      </c>
      <c r="V70" s="178">
        <f t="shared" si="25"/>
        <v>7.0388800488555363</v>
      </c>
      <c r="W70" s="178">
        <f t="shared" si="25"/>
        <v>7.3787913909201963</v>
      </c>
      <c r="X70" s="178">
        <f t="shared" si="25"/>
        <v>7.7237310072757532</v>
      </c>
      <c r="Y70" s="178">
        <f t="shared" si="25"/>
        <v>8.0730955050072986</v>
      </c>
      <c r="Z70" s="178">
        <f t="shared" si="25"/>
        <v>8.2307821867698401</v>
      </c>
      <c r="AA70" s="178">
        <f t="shared" si="25"/>
        <v>8.3886699995040157</v>
      </c>
      <c r="AB70" s="178">
        <f t="shared" si="25"/>
        <v>8.5464572467523734</v>
      </c>
      <c r="AC70" s="178">
        <f t="shared" si="25"/>
        <v>8.7042444940007311</v>
      </c>
      <c r="AD70" s="178">
        <f t="shared" si="25"/>
        <v>8.8619311757632708</v>
      </c>
      <c r="AE70" s="15"/>
    </row>
    <row r="71" spans="2:31" x14ac:dyDescent="0.3">
      <c r="B71" s="12"/>
      <c r="C71" s="164" t="s">
        <v>196</v>
      </c>
      <c r="D71" s="175"/>
      <c r="E71" s="178"/>
      <c r="F71" s="178"/>
      <c r="G71" s="178"/>
      <c r="H71" s="178"/>
      <c r="I71" s="178"/>
      <c r="J71" s="178"/>
      <c r="K71" s="178"/>
      <c r="L71" s="178"/>
      <c r="M71" s="178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6"/>
      <c r="AB71" s="176"/>
      <c r="AC71" s="176"/>
      <c r="AD71" s="176"/>
      <c r="AE71" s="15"/>
    </row>
    <row r="72" spans="2:31" x14ac:dyDescent="0.3">
      <c r="B72" s="12"/>
      <c r="C72" s="166" t="s">
        <v>60</v>
      </c>
      <c r="D72" s="175" t="s">
        <v>31</v>
      </c>
      <c r="E72" s="176">
        <f t="shared" ref="E72:AD72" si="26">E35*E77</f>
        <v>6.6423772729087074E-2</v>
      </c>
      <c r="F72" s="176">
        <f t="shared" si="26"/>
        <v>7.7308115246210798E-2</v>
      </c>
      <c r="G72" s="176">
        <f t="shared" si="26"/>
        <v>8.886171652379557E-2</v>
      </c>
      <c r="H72" s="176">
        <f t="shared" si="26"/>
        <v>0.11713749861710172</v>
      </c>
      <c r="I72" s="176">
        <f t="shared" si="26"/>
        <v>0.13274618685055936</v>
      </c>
      <c r="J72" s="176">
        <f t="shared" si="26"/>
        <v>0.12501417959999997</v>
      </c>
      <c r="K72" s="176">
        <f t="shared" si="26"/>
        <v>0.11934377303527069</v>
      </c>
      <c r="L72" s="176">
        <f t="shared" si="26"/>
        <v>0.11898208870442332</v>
      </c>
      <c r="M72" s="176">
        <f t="shared" si="26"/>
        <v>0.11861457754289353</v>
      </c>
      <c r="N72" s="176">
        <f t="shared" si="26"/>
        <v>0.11886448720120082</v>
      </c>
      <c r="O72" s="176">
        <f t="shared" si="26"/>
        <v>0.12519444340565999</v>
      </c>
      <c r="P72" s="176">
        <f t="shared" si="26"/>
        <v>0.11926941006084001</v>
      </c>
      <c r="Q72" s="176">
        <f t="shared" si="26"/>
        <v>0.1928001407005677</v>
      </c>
      <c r="R72" s="176">
        <f t="shared" si="26"/>
        <v>0.20600395245308636</v>
      </c>
      <c r="S72" s="176">
        <f t="shared" si="26"/>
        <v>0.2128012742723322</v>
      </c>
      <c r="T72" s="176">
        <f t="shared" si="26"/>
        <v>0.22421302869496867</v>
      </c>
      <c r="U72" s="176">
        <f t="shared" si="26"/>
        <v>0.23581580442536157</v>
      </c>
      <c r="V72" s="176">
        <f t="shared" si="26"/>
        <v>0.24759545173701061</v>
      </c>
      <c r="W72" s="176">
        <f t="shared" si="26"/>
        <v>0.25955197062991558</v>
      </c>
      <c r="X72" s="176">
        <f t="shared" si="26"/>
        <v>0.27168536110407654</v>
      </c>
      <c r="Y72" s="176">
        <f t="shared" si="26"/>
        <v>0.28397439856974266</v>
      </c>
      <c r="Z72" s="176">
        <f t="shared" si="26"/>
        <v>0.28952109135793058</v>
      </c>
      <c r="AA72" s="176">
        <f t="shared" si="26"/>
        <v>0.29507485900936864</v>
      </c>
      <c r="AB72" s="176">
        <f t="shared" si="26"/>
        <v>0.30062508922918163</v>
      </c>
      <c r="AC72" s="176">
        <f t="shared" si="26"/>
        <v>0.30617531944899462</v>
      </c>
      <c r="AD72" s="176">
        <f t="shared" si="26"/>
        <v>0.31172201223718243</v>
      </c>
      <c r="AE72" s="15"/>
    </row>
    <row r="73" spans="2:31" x14ac:dyDescent="0.3">
      <c r="B73" s="12"/>
      <c r="C73" s="166" t="s">
        <v>61</v>
      </c>
      <c r="D73" s="175" t="s">
        <v>32</v>
      </c>
      <c r="E73" s="176">
        <f t="shared" ref="E73:AD73" si="27">E36*E77</f>
        <v>3.4175496128982914E-2</v>
      </c>
      <c r="F73" s="176">
        <f t="shared" si="27"/>
        <v>3.5160845055625556E-2</v>
      </c>
      <c r="G73" s="176">
        <f t="shared" si="27"/>
        <v>3.5865011247794787E-2</v>
      </c>
      <c r="H73" s="176">
        <f t="shared" si="27"/>
        <v>4.2011143444320435E-2</v>
      </c>
      <c r="I73" s="176">
        <f t="shared" si="27"/>
        <v>4.8548280851269131E-2</v>
      </c>
      <c r="J73" s="176">
        <f t="shared" si="27"/>
        <v>4.516232504E-2</v>
      </c>
      <c r="K73" s="176">
        <f t="shared" si="27"/>
        <v>4.2605836656579667E-2</v>
      </c>
      <c r="L73" s="176">
        <f t="shared" si="27"/>
        <v>4.2242772195553571E-2</v>
      </c>
      <c r="M73" s="176">
        <f t="shared" si="27"/>
        <v>4.1877080722728277E-2</v>
      </c>
      <c r="N73" s="176">
        <f t="shared" si="27"/>
        <v>3.8489751856812582E-2</v>
      </c>
      <c r="O73" s="176">
        <f t="shared" si="27"/>
        <v>3.7143596518483993E-2</v>
      </c>
      <c r="P73" s="176">
        <f t="shared" si="27"/>
        <v>4.4672310298616E-2</v>
      </c>
      <c r="Q73" s="176">
        <f t="shared" si="27"/>
        <v>4.4833155648957256E-2</v>
      </c>
      <c r="R73" s="176">
        <f t="shared" si="27"/>
        <v>4.7820439197618629E-2</v>
      </c>
      <c r="S73" s="176">
        <f t="shared" si="27"/>
        <v>4.9069546413885806E-2</v>
      </c>
      <c r="T73" s="176">
        <f t="shared" si="27"/>
        <v>5.170096680937087E-2</v>
      </c>
      <c r="U73" s="176">
        <f t="shared" si="27"/>
        <v>5.4376434539436275E-2</v>
      </c>
      <c r="V73" s="176">
        <f t="shared" si="27"/>
        <v>5.7092686838557588E-2</v>
      </c>
      <c r="W73" s="176">
        <f t="shared" si="27"/>
        <v>5.9849723706734768E-2</v>
      </c>
      <c r="X73" s="176">
        <f t="shared" si="27"/>
        <v>6.2647545143967823E-2</v>
      </c>
      <c r="Y73" s="176">
        <f t="shared" si="27"/>
        <v>6.5481257001970022E-2</v>
      </c>
      <c r="Z73" s="176">
        <f t="shared" si="27"/>
        <v>6.6760261087562292E-2</v>
      </c>
      <c r="AA73" s="176">
        <f t="shared" si="27"/>
        <v>6.8040896555916761E-2</v>
      </c>
      <c r="AB73" s="176">
        <f t="shared" si="27"/>
        <v>6.9320716332890123E-2</v>
      </c>
      <c r="AC73" s="176">
        <f t="shared" si="27"/>
        <v>7.0600536109863499E-2</v>
      </c>
      <c r="AD73" s="176">
        <f t="shared" si="27"/>
        <v>7.1879540195455727E-2</v>
      </c>
      <c r="AE73" s="15"/>
    </row>
    <row r="74" spans="2:31" x14ac:dyDescent="0.3">
      <c r="B74" s="12"/>
      <c r="C74" s="166" t="s">
        <v>62</v>
      </c>
      <c r="D74" s="175" t="s">
        <v>33</v>
      </c>
      <c r="E74" s="176">
        <f t="shared" ref="E74:AD74" si="28">E37*E77</f>
        <v>3.9666466079260383</v>
      </c>
      <c r="F74" s="176">
        <f t="shared" si="28"/>
        <v>4.1037758757531977</v>
      </c>
      <c r="G74" s="176">
        <f t="shared" si="28"/>
        <v>4.2234886150662652</v>
      </c>
      <c r="H74" s="176">
        <f t="shared" si="28"/>
        <v>4.8043046891717021</v>
      </c>
      <c r="I74" s="176">
        <f t="shared" si="28"/>
        <v>5.4435439581693315</v>
      </c>
      <c r="J74" s="176">
        <f t="shared" si="28"/>
        <v>5.1270344953600002</v>
      </c>
      <c r="K74" s="176">
        <f t="shared" si="28"/>
        <v>4.8949899257009761</v>
      </c>
      <c r="L74" s="176">
        <f t="shared" si="28"/>
        <v>4.8803890672535539</v>
      </c>
      <c r="M74" s="176">
        <f t="shared" si="28"/>
        <v>4.8655497630434272</v>
      </c>
      <c r="N74" s="176">
        <f t="shared" si="28"/>
        <v>4.8792765745521915</v>
      </c>
      <c r="O74" s="176">
        <f t="shared" si="28"/>
        <v>5.1425112569258555</v>
      </c>
      <c r="P74" s="176">
        <f t="shared" si="28"/>
        <v>4.8898468415405443</v>
      </c>
      <c r="Q74" s="176">
        <f t="shared" si="28"/>
        <v>5.26360313682315</v>
      </c>
      <c r="R74" s="176">
        <f t="shared" si="28"/>
        <v>5.6026527800204668</v>
      </c>
      <c r="S74" s="176">
        <f t="shared" si="28"/>
        <v>5.7878471096639954</v>
      </c>
      <c r="T74" s="176">
        <f t="shared" si="28"/>
        <v>6.0982281920945685</v>
      </c>
      <c r="U74" s="176">
        <f t="shared" si="28"/>
        <v>6.413804742116973</v>
      </c>
      <c r="V74" s="176">
        <f t="shared" si="28"/>
        <v>6.7341919102799679</v>
      </c>
      <c r="W74" s="176">
        <f t="shared" si="28"/>
        <v>7.0593896965835459</v>
      </c>
      <c r="X74" s="176">
        <f t="shared" si="28"/>
        <v>7.3893981010277088</v>
      </c>
      <c r="Y74" s="176">
        <f t="shared" si="28"/>
        <v>7.7236398494355853</v>
      </c>
      <c r="Z74" s="176">
        <f t="shared" si="28"/>
        <v>7.8745008343243468</v>
      </c>
      <c r="AA74" s="176">
        <f t="shared" si="28"/>
        <v>8.0255542439387302</v>
      </c>
      <c r="AB74" s="176">
        <f t="shared" si="28"/>
        <v>8.1765114411903017</v>
      </c>
      <c r="AC74" s="176">
        <f t="shared" si="28"/>
        <v>8.3274686384418732</v>
      </c>
      <c r="AD74" s="176">
        <f t="shared" si="28"/>
        <v>8.478329623330632</v>
      </c>
      <c r="AE74" s="15"/>
    </row>
    <row r="75" spans="2:31" x14ac:dyDescent="0.3">
      <c r="B75" s="12"/>
      <c r="C75" s="163"/>
      <c r="D75" s="164"/>
      <c r="E75" s="178">
        <f t="shared" ref="E75:AD75" si="29">E38*E77</f>
        <v>4.0672458767841082</v>
      </c>
      <c r="F75" s="178">
        <f t="shared" si="29"/>
        <v>4.2162448360550338</v>
      </c>
      <c r="G75" s="178">
        <f t="shared" si="29"/>
        <v>4.3482153428378556</v>
      </c>
      <c r="H75" s="178">
        <f t="shared" si="29"/>
        <v>4.9634533312331239</v>
      </c>
      <c r="I75" s="178">
        <f t="shared" si="29"/>
        <v>5.6248384258711592</v>
      </c>
      <c r="J75" s="178">
        <f t="shared" si="29"/>
        <v>5.2972109999999999</v>
      </c>
      <c r="K75" s="178">
        <f t="shared" si="29"/>
        <v>5.0569395353928259</v>
      </c>
      <c r="L75" s="178">
        <f t="shared" si="29"/>
        <v>5.0416139281535308</v>
      </c>
      <c r="M75" s="178">
        <f t="shared" si="29"/>
        <v>5.0260414213090483</v>
      </c>
      <c r="N75" s="178">
        <f t="shared" si="29"/>
        <v>5.0366308136102047</v>
      </c>
      <c r="O75" s="178">
        <f t="shared" si="29"/>
        <v>5.3048492968499996</v>
      </c>
      <c r="P75" s="178">
        <f t="shared" si="29"/>
        <v>5.0537885619000003</v>
      </c>
      <c r="Q75" s="178">
        <f t="shared" si="29"/>
        <v>5.5012364331726751</v>
      </c>
      <c r="R75" s="178">
        <f t="shared" si="29"/>
        <v>5.8564771716711714</v>
      </c>
      <c r="S75" s="178">
        <f t="shared" si="29"/>
        <v>6.0497179303502131</v>
      </c>
      <c r="T75" s="178">
        <f t="shared" si="29"/>
        <v>6.3741421875989079</v>
      </c>
      <c r="U75" s="178">
        <f t="shared" si="29"/>
        <v>6.7039969810817706</v>
      </c>
      <c r="V75" s="178">
        <f t="shared" si="29"/>
        <v>7.0388800488555354</v>
      </c>
      <c r="W75" s="178">
        <f t="shared" si="29"/>
        <v>7.3787913909201963</v>
      </c>
      <c r="X75" s="178">
        <f t="shared" si="29"/>
        <v>7.7237310072757532</v>
      </c>
      <c r="Y75" s="178">
        <f t="shared" si="29"/>
        <v>8.0730955050072968</v>
      </c>
      <c r="Z75" s="178">
        <f t="shared" si="29"/>
        <v>8.2307821867698383</v>
      </c>
      <c r="AA75" s="178">
        <f t="shared" si="29"/>
        <v>8.3886699995040139</v>
      </c>
      <c r="AB75" s="178">
        <f t="shared" si="29"/>
        <v>8.5464572467523716</v>
      </c>
      <c r="AC75" s="178">
        <f t="shared" si="29"/>
        <v>8.7042444940007311</v>
      </c>
      <c r="AD75" s="178">
        <f t="shared" si="29"/>
        <v>8.8619311757632691</v>
      </c>
      <c r="AE75" s="15"/>
    </row>
    <row r="76" spans="2:31" x14ac:dyDescent="0.3">
      <c r="B76" s="12"/>
      <c r="C76" s="163"/>
      <c r="D76" s="164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  <c r="X76" s="176"/>
      <c r="Y76" s="176"/>
      <c r="Z76" s="176"/>
      <c r="AA76" s="176"/>
      <c r="AB76" s="176"/>
      <c r="AC76" s="176"/>
      <c r="AD76" s="176"/>
      <c r="AE76" s="15"/>
    </row>
    <row r="77" spans="2:31" ht="15" thickBot="1" x14ac:dyDescent="0.35">
      <c r="B77" s="16"/>
      <c r="C77" s="159" t="s">
        <v>71</v>
      </c>
      <c r="D77" s="179" t="s">
        <v>70</v>
      </c>
      <c r="E77" s="180">
        <f>ProduccionResiduosSolidos!D12</f>
        <v>4.0672458767841082</v>
      </c>
      <c r="F77" s="180">
        <f>ProduccionResiduosSolidos!E12</f>
        <v>4.2162448360550338</v>
      </c>
      <c r="G77" s="180">
        <f>ProduccionResiduosSolidos!F12</f>
        <v>4.3482153428378556</v>
      </c>
      <c r="H77" s="180">
        <f>ProduccionResiduosSolidos!G12</f>
        <v>4.9634533312331239</v>
      </c>
      <c r="I77" s="180">
        <f>ProduccionResiduosSolidos!H12</f>
        <v>5.6248384258711592</v>
      </c>
      <c r="J77" s="180">
        <f>ProduccionResiduosSolidos!I12</f>
        <v>5.2972109999999999</v>
      </c>
      <c r="K77" s="180">
        <f>ProduccionResiduosSolidos!J12</f>
        <v>5.0569395353928259</v>
      </c>
      <c r="L77" s="180">
        <f>ProduccionResiduosSolidos!K12</f>
        <v>5.0416139281535308</v>
      </c>
      <c r="M77" s="180">
        <f>ProduccionResiduosSolidos!L12</f>
        <v>5.0260414213090483</v>
      </c>
      <c r="N77" s="180">
        <f>ProduccionResiduosSolidos!M12</f>
        <v>5.0366308136102047</v>
      </c>
      <c r="O77" s="180">
        <f>ProduccionResiduosSolidos!N12</f>
        <v>5.3048492968499996</v>
      </c>
      <c r="P77" s="180">
        <f>ProduccionResiduosSolidos!O12</f>
        <v>5.0537885619000003</v>
      </c>
      <c r="Q77" s="180">
        <f>ProduccionResiduosSolidos!P12</f>
        <v>5.5012364331726751</v>
      </c>
      <c r="R77" s="180">
        <f>ProduccionResiduosSolidos!Q12</f>
        <v>5.8564771716711723</v>
      </c>
      <c r="S77" s="180">
        <f>ProduccionResiduosSolidos!R12</f>
        <v>6.049717930350214</v>
      </c>
      <c r="T77" s="181">
        <f>ProduccionResiduosSolidos!S12</f>
        <v>6.3741421875989088</v>
      </c>
      <c r="U77" s="182">
        <f>ProduccionResiduosSolidos!T12</f>
        <v>6.7039969810817714</v>
      </c>
      <c r="V77" s="183">
        <f>ProduccionResiduosSolidos!U12</f>
        <v>7.0388800488555363</v>
      </c>
      <c r="W77" s="183">
        <f>ProduccionResiduosSolidos!V12</f>
        <v>7.3787913909201972</v>
      </c>
      <c r="X77" s="183">
        <f>ProduccionResiduosSolidos!W12</f>
        <v>7.7237310072757541</v>
      </c>
      <c r="Y77" s="183">
        <f>ProduccionResiduosSolidos!X12</f>
        <v>8.0730955050072986</v>
      </c>
      <c r="Z77" s="183">
        <f>ProduccionResiduosSolidos!Y12</f>
        <v>8.2307821867698401</v>
      </c>
      <c r="AA77" s="183">
        <f>ProduccionResiduosSolidos!Z12</f>
        <v>8.3886699995040157</v>
      </c>
      <c r="AB77" s="180">
        <f>ProduccionResiduosSolidos!AA12</f>
        <v>8.5464572467523734</v>
      </c>
      <c r="AC77" s="183">
        <f>ProduccionResiduosSolidos!AB12</f>
        <v>8.7042444940007329</v>
      </c>
      <c r="AD77" s="183">
        <f>ProduccionResiduosSolidos!AC12</f>
        <v>8.8619311757632708</v>
      </c>
      <c r="AE77" s="18"/>
    </row>
    <row r="81" spans="2:19" ht="100.8" x14ac:dyDescent="0.3">
      <c r="P81" s="393" t="s">
        <v>19</v>
      </c>
      <c r="Q81" s="393" t="s">
        <v>20</v>
      </c>
      <c r="R81" s="393" t="s">
        <v>21</v>
      </c>
      <c r="S81" s="393" t="s">
        <v>419</v>
      </c>
    </row>
    <row r="82" spans="2:19" ht="15" thickBot="1" x14ac:dyDescent="0.35">
      <c r="E82" t="s">
        <v>404</v>
      </c>
      <c r="F82" t="s">
        <v>405</v>
      </c>
      <c r="J82" t="s">
        <v>244</v>
      </c>
      <c r="K82" t="s">
        <v>244</v>
      </c>
      <c r="L82" t="s">
        <v>244</v>
      </c>
      <c r="M82" t="s">
        <v>244</v>
      </c>
      <c r="N82" t="s">
        <v>244</v>
      </c>
      <c r="O82" t="s">
        <v>244</v>
      </c>
      <c r="P82" s="400" t="s">
        <v>420</v>
      </c>
      <c r="Q82" s="400" t="s">
        <v>420</v>
      </c>
      <c r="R82" s="400" t="s">
        <v>420</v>
      </c>
      <c r="S82" s="400" t="s">
        <v>420</v>
      </c>
    </row>
    <row r="83" spans="2:19" ht="72" x14ac:dyDescent="0.3">
      <c r="B83" s="9" t="s">
        <v>230</v>
      </c>
      <c r="C83" s="156" t="s">
        <v>406</v>
      </c>
      <c r="D83" s="156" t="s">
        <v>407</v>
      </c>
      <c r="E83" s="156" t="s">
        <v>408</v>
      </c>
      <c r="F83" s="156" t="s">
        <v>409</v>
      </c>
      <c r="G83" s="156" t="s">
        <v>410</v>
      </c>
      <c r="H83" s="156" t="s">
        <v>411</v>
      </c>
      <c r="I83" s="156" t="s">
        <v>412</v>
      </c>
      <c r="J83" s="156" t="s">
        <v>413</v>
      </c>
      <c r="K83" s="156" t="s">
        <v>414</v>
      </c>
      <c r="L83" s="156" t="s">
        <v>415</v>
      </c>
      <c r="M83" s="156" t="s">
        <v>416</v>
      </c>
      <c r="N83" s="156" t="s">
        <v>417</v>
      </c>
      <c r="O83" s="156" t="s">
        <v>418</v>
      </c>
      <c r="P83" s="398" t="s">
        <v>421</v>
      </c>
      <c r="Q83" s="398" t="s">
        <v>422</v>
      </c>
      <c r="R83" s="398" t="s">
        <v>423</v>
      </c>
      <c r="S83" s="399" t="s">
        <v>424</v>
      </c>
    </row>
    <row r="84" spans="2:19" ht="42" x14ac:dyDescent="0.3">
      <c r="B84" s="396" t="s">
        <v>217</v>
      </c>
      <c r="C84" s="280">
        <v>2010</v>
      </c>
      <c r="D84" s="280">
        <v>14883661</v>
      </c>
      <c r="E84" s="280">
        <v>0.74868269227911144</v>
      </c>
      <c r="F84" s="280">
        <v>4067245.8767841081</v>
      </c>
      <c r="G84" s="280">
        <v>0.65893435384162513</v>
      </c>
      <c r="H84" s="280">
        <v>0</v>
      </c>
      <c r="I84" s="280">
        <v>0.34106564615837487</v>
      </c>
      <c r="J84" s="280">
        <v>0.91941818181818213</v>
      </c>
      <c r="K84" s="280">
        <v>8.0581818181817866E-2</v>
      </c>
      <c r="L84" s="280">
        <v>0.58742857142857208</v>
      </c>
      <c r="M84" s="280">
        <v>0.41257142857142792</v>
      </c>
      <c r="N84" s="280">
        <v>0.54139999999999999</v>
      </c>
      <c r="O84" s="280">
        <v>0.45860000000000001</v>
      </c>
      <c r="P84" s="212">
        <v>1.064E-2</v>
      </c>
      <c r="Q84" s="212">
        <v>1.6331388546789075E-2</v>
      </c>
      <c r="R84" s="212">
        <v>0.33186663209587564</v>
      </c>
      <c r="S84" s="250">
        <v>0.64116197935733532</v>
      </c>
    </row>
    <row r="85" spans="2:19" ht="42" x14ac:dyDescent="0.3">
      <c r="B85" s="396" t="s">
        <v>218</v>
      </c>
      <c r="C85" s="280">
        <v>2011</v>
      </c>
      <c r="D85" s="280">
        <v>15160587</v>
      </c>
      <c r="E85" s="280">
        <v>0.76193327575108227</v>
      </c>
      <c r="F85" s="280">
        <v>4216244.8360550338</v>
      </c>
      <c r="G85" s="280">
        <v>0.65014228240604466</v>
      </c>
      <c r="H85" s="280">
        <v>0</v>
      </c>
      <c r="I85" s="280">
        <v>0.34985771759395534</v>
      </c>
      <c r="J85" s="280">
        <v>0.91274545454545475</v>
      </c>
      <c r="K85" s="280">
        <v>8.7254545454545251E-2</v>
      </c>
      <c r="L85" s="280">
        <v>0.58471428571428596</v>
      </c>
      <c r="M85" s="280">
        <v>0.41528571428571404</v>
      </c>
      <c r="N85" s="280">
        <v>0.55159999999999998</v>
      </c>
      <c r="O85" s="280">
        <v>0.44840000000000002</v>
      </c>
      <c r="P85" s="212">
        <v>1.064E-2</v>
      </c>
      <c r="Q85" s="212">
        <v>1.8335774664961065E-2</v>
      </c>
      <c r="R85" s="212">
        <v>0.33972031920415535</v>
      </c>
      <c r="S85" s="250">
        <v>0.63130390613088361</v>
      </c>
    </row>
    <row r="86" spans="2:19" ht="42" x14ac:dyDescent="0.3">
      <c r="B86" s="396" t="s">
        <v>219</v>
      </c>
      <c r="C86" s="280">
        <v>2012</v>
      </c>
      <c r="D86" s="280">
        <v>15440550</v>
      </c>
      <c r="E86" s="280">
        <v>0.77153461162335368</v>
      </c>
      <c r="F86" s="280">
        <v>4348215.3428378552</v>
      </c>
      <c r="G86" s="280">
        <v>0.64135021097046419</v>
      </c>
      <c r="H86" s="280">
        <v>0</v>
      </c>
      <c r="I86" s="280">
        <v>0.35864978902953581</v>
      </c>
      <c r="J86" s="280">
        <v>0.90607272727272736</v>
      </c>
      <c r="K86" s="280">
        <v>9.3927272727272637E-2</v>
      </c>
      <c r="L86" s="280">
        <v>0.58199999999999985</v>
      </c>
      <c r="M86" s="280">
        <v>0.41800000000000015</v>
      </c>
      <c r="N86" s="280">
        <v>0.56400963581279795</v>
      </c>
      <c r="O86" s="280">
        <v>0.43599036418720249</v>
      </c>
      <c r="P86" s="212">
        <v>1.064E-2</v>
      </c>
      <c r="Q86" s="212">
        <v>2.0436365156147055E-2</v>
      </c>
      <c r="R86" s="212">
        <v>0.34750425722247891</v>
      </c>
      <c r="S86" s="250">
        <v>0.62141937762137411</v>
      </c>
    </row>
    <row r="87" spans="2:19" ht="42" x14ac:dyDescent="0.3">
      <c r="B87" s="396" t="s">
        <v>229</v>
      </c>
      <c r="C87" s="280">
        <v>2013</v>
      </c>
      <c r="D87" s="280">
        <v>15717514</v>
      </c>
      <c r="E87" s="280">
        <v>0.86518149609098638</v>
      </c>
      <c r="F87" s="280">
        <v>4963453.3312331233</v>
      </c>
      <c r="G87" s="280">
        <v>0.63255813953488371</v>
      </c>
      <c r="H87" s="280">
        <v>0</v>
      </c>
      <c r="I87" s="280">
        <v>0.36744186046511629</v>
      </c>
      <c r="J87" s="280">
        <v>0.89939999999999998</v>
      </c>
      <c r="K87" s="280">
        <v>0.10060000000000002</v>
      </c>
      <c r="L87" s="280">
        <v>0.57928571428571463</v>
      </c>
      <c r="M87" s="280">
        <v>0.42071428571428537</v>
      </c>
      <c r="N87" s="280">
        <v>0.55105481790639876</v>
      </c>
      <c r="O87" s="280">
        <v>0.44894518209360124</v>
      </c>
      <c r="P87" s="212">
        <v>1.064E-2</v>
      </c>
      <c r="Q87" s="212">
        <v>2.3599999999999999E-2</v>
      </c>
      <c r="R87" s="212">
        <v>0.35486065116279075</v>
      </c>
      <c r="S87" s="250">
        <v>0.61089934883720931</v>
      </c>
    </row>
    <row r="88" spans="2:19" ht="42" x14ac:dyDescent="0.3">
      <c r="B88" s="396" t="s">
        <v>229</v>
      </c>
      <c r="C88" s="280">
        <v>2014</v>
      </c>
      <c r="D88" s="280">
        <v>15994366</v>
      </c>
      <c r="E88" s="280">
        <v>0.96349653592167706</v>
      </c>
      <c r="F88" s="280">
        <v>5624838.4258711599</v>
      </c>
      <c r="G88" s="280">
        <v>0.49545454545454548</v>
      </c>
      <c r="H88" s="280">
        <v>0.13181818181818181</v>
      </c>
      <c r="I88" s="280">
        <v>0.38636363636363635</v>
      </c>
      <c r="J88" s="280">
        <v>0.9</v>
      </c>
      <c r="K88" s="280">
        <v>0.1</v>
      </c>
      <c r="L88" s="280">
        <v>0.57657142857142851</v>
      </c>
      <c r="M88" s="280">
        <v>0.42342857142857149</v>
      </c>
      <c r="N88" s="280">
        <v>0.53810000000000002</v>
      </c>
      <c r="O88" s="280">
        <v>0.46189999999999998</v>
      </c>
      <c r="P88" s="212">
        <v>1.064E-2</v>
      </c>
      <c r="Q88" s="212">
        <v>2.3599999999999999E-2</v>
      </c>
      <c r="R88" s="212">
        <v>0.36811479820627807</v>
      </c>
      <c r="S88" s="250">
        <v>0.59764520179372194</v>
      </c>
    </row>
    <row r="89" spans="2:19" ht="42" x14ac:dyDescent="0.3">
      <c r="B89" s="396" t="s">
        <v>220</v>
      </c>
      <c r="C89" s="280">
        <v>2015</v>
      </c>
      <c r="D89" s="280">
        <v>16269171</v>
      </c>
      <c r="E89" s="280">
        <v>0.89204956105723321</v>
      </c>
      <c r="F89" s="280">
        <v>5297211</v>
      </c>
      <c r="G89" s="280">
        <v>0.40723981900452488</v>
      </c>
      <c r="H89" s="280">
        <v>0.17194570135746606</v>
      </c>
      <c r="I89" s="280">
        <v>0.42081447963800905</v>
      </c>
      <c r="J89" s="280">
        <v>0.89</v>
      </c>
      <c r="K89" s="280">
        <v>0.11</v>
      </c>
      <c r="L89" s="280">
        <v>0.57385714285714329</v>
      </c>
      <c r="M89" s="280">
        <v>0.42614285714285671</v>
      </c>
      <c r="N89" s="280">
        <v>0.57999999999999996</v>
      </c>
      <c r="O89" s="280">
        <v>0.42</v>
      </c>
      <c r="P89" s="212">
        <v>1.064E-2</v>
      </c>
      <c r="Q89" s="212">
        <v>2.3599999999999996E-2</v>
      </c>
      <c r="R89" s="212">
        <v>0.40640579185520365</v>
      </c>
      <c r="S89" s="250">
        <v>0.55935420814479642</v>
      </c>
    </row>
    <row r="90" spans="2:19" ht="42" x14ac:dyDescent="0.3">
      <c r="B90" s="396" t="s">
        <v>221</v>
      </c>
      <c r="C90" s="280">
        <v>2016</v>
      </c>
      <c r="D90" s="280">
        <v>16532265</v>
      </c>
      <c r="E90" s="280">
        <v>0.83803573582264301</v>
      </c>
      <c r="F90" s="280">
        <v>5056939.5353928236</v>
      </c>
      <c r="G90" s="280">
        <v>0.3574660633484163</v>
      </c>
      <c r="H90" s="280">
        <v>0.20814479638009051</v>
      </c>
      <c r="I90" s="280">
        <v>0.43438914027149322</v>
      </c>
      <c r="J90" s="280">
        <v>0.90300000000000002</v>
      </c>
      <c r="K90" s="280">
        <v>9.7000000000000003E-2</v>
      </c>
      <c r="L90" s="280">
        <v>0.57114285714285717</v>
      </c>
      <c r="M90" s="280">
        <v>0.42885714285714283</v>
      </c>
      <c r="N90" s="280">
        <v>0.53</v>
      </c>
      <c r="O90" s="280">
        <v>0.47</v>
      </c>
      <c r="P90" s="212">
        <v>1.064E-2</v>
      </c>
      <c r="Q90" s="212">
        <v>2.3599999999999999E-2</v>
      </c>
      <c r="R90" s="212">
        <v>0.41951565610859731</v>
      </c>
      <c r="S90" s="250">
        <v>0.54624434389140275</v>
      </c>
    </row>
    <row r="91" spans="2:19" ht="42" x14ac:dyDescent="0.3">
      <c r="B91" s="396" t="s">
        <v>222</v>
      </c>
      <c r="C91" s="280">
        <v>2017</v>
      </c>
      <c r="D91" s="280">
        <v>16792803</v>
      </c>
      <c r="E91" s="280">
        <v>0.8225333733177701</v>
      </c>
      <c r="F91" s="280">
        <v>5041613.9281535307</v>
      </c>
      <c r="G91" s="280">
        <v>0.28799999999999998</v>
      </c>
      <c r="H91" s="280">
        <v>0.25600000000000001</v>
      </c>
      <c r="I91" s="280">
        <v>0.45700000000000002</v>
      </c>
      <c r="J91" s="280">
        <v>0.84299999999999997</v>
      </c>
      <c r="K91" s="280">
        <v>0.157</v>
      </c>
      <c r="L91" s="280">
        <v>0.56999999999999995</v>
      </c>
      <c r="M91" s="280">
        <v>0.43</v>
      </c>
      <c r="N91" s="280">
        <v>0.66500000000000004</v>
      </c>
      <c r="O91" s="280">
        <v>0.33500000000000002</v>
      </c>
      <c r="P91" s="212">
        <v>1.064E-2</v>
      </c>
      <c r="Q91" s="212">
        <v>2.3599999999999999E-2</v>
      </c>
      <c r="R91" s="212">
        <v>0.44091140859140859</v>
      </c>
      <c r="S91" s="250">
        <v>0.5248485914085913</v>
      </c>
    </row>
    <row r="92" spans="2:19" ht="42" x14ac:dyDescent="0.3">
      <c r="B92" s="396" t="s">
        <v>223</v>
      </c>
      <c r="C92" s="280">
        <v>2018</v>
      </c>
      <c r="D92" s="280">
        <v>17023408</v>
      </c>
      <c r="E92" s="280">
        <v>0.80888483062481498</v>
      </c>
      <c r="F92" s="280">
        <v>5026041.4213090483</v>
      </c>
      <c r="G92" s="280">
        <v>0.20399999999999999</v>
      </c>
      <c r="H92" s="280">
        <v>0.34699999999999998</v>
      </c>
      <c r="I92" s="280">
        <v>0.44900000000000001</v>
      </c>
      <c r="J92" s="280">
        <v>0.84699999999999998</v>
      </c>
      <c r="K92" s="280">
        <v>0.153</v>
      </c>
      <c r="L92" s="280">
        <v>0.56200000000000006</v>
      </c>
      <c r="M92" s="280">
        <v>0.438</v>
      </c>
      <c r="N92" s="280">
        <v>0.66900000000000004</v>
      </c>
      <c r="O92" s="280">
        <v>0.33100000000000002</v>
      </c>
      <c r="P92" s="212">
        <v>1.064E-2</v>
      </c>
      <c r="Q92" s="212">
        <v>2.3599999999999999E-2</v>
      </c>
      <c r="R92" s="212">
        <v>0.43362624000000011</v>
      </c>
      <c r="S92" s="250">
        <v>0.5321337599999999</v>
      </c>
    </row>
    <row r="93" spans="2:19" ht="42" x14ac:dyDescent="0.3">
      <c r="B93" s="396" t="s">
        <v>224</v>
      </c>
      <c r="C93" s="280">
        <v>2019</v>
      </c>
      <c r="D93" s="280">
        <v>17267986</v>
      </c>
      <c r="E93" s="280">
        <v>0.79910816064125356</v>
      </c>
      <c r="F93" s="280">
        <v>5036630.8136102045</v>
      </c>
      <c r="G93" s="280">
        <v>0.191</v>
      </c>
      <c r="H93" s="280">
        <v>0.32700000000000001</v>
      </c>
      <c r="I93" s="280">
        <v>0.48199999999999998</v>
      </c>
      <c r="J93" s="280">
        <v>0.85599999999999998</v>
      </c>
      <c r="K93" s="280">
        <v>0.14399999999999999</v>
      </c>
      <c r="L93" s="280">
        <v>0.56499999999999995</v>
      </c>
      <c r="M93" s="280">
        <v>0.434</v>
      </c>
      <c r="N93" s="280">
        <v>0.64500000000000002</v>
      </c>
      <c r="O93" s="280">
        <v>0.35499999999999998</v>
      </c>
      <c r="P93" s="212">
        <v>1.064E-2</v>
      </c>
      <c r="Q93" s="212">
        <v>2.3599999999999999E-2</v>
      </c>
      <c r="R93" s="212">
        <v>0.46549632000000002</v>
      </c>
      <c r="S93" s="250">
        <v>0.50026367999999999</v>
      </c>
    </row>
    <row r="94" spans="2:19" ht="42" x14ac:dyDescent="0.3">
      <c r="B94" s="396" t="s">
        <v>225</v>
      </c>
      <c r="C94" s="280">
        <v>2020</v>
      </c>
      <c r="D94" s="280">
        <v>17510643</v>
      </c>
      <c r="E94" s="280">
        <v>0.79451750732060533</v>
      </c>
      <c r="F94" s="280">
        <v>5078067.036198467</v>
      </c>
      <c r="G94" s="280">
        <v>0.182</v>
      </c>
      <c r="H94" s="280">
        <v>0.314</v>
      </c>
      <c r="I94" s="280">
        <v>0.505</v>
      </c>
      <c r="J94" s="280">
        <v>0.85599999999999998</v>
      </c>
      <c r="K94" s="280">
        <v>0.14399999999999999</v>
      </c>
      <c r="L94" s="280">
        <v>0.55700000000000005</v>
      </c>
      <c r="M94" s="280">
        <v>0.443</v>
      </c>
      <c r="N94" s="280">
        <v>0.60499999999999998</v>
      </c>
      <c r="O94" s="280">
        <v>0.39500000000000002</v>
      </c>
      <c r="P94" s="212">
        <v>1.064E-2</v>
      </c>
      <c r="Q94" s="212">
        <v>2.3599999999999999E-2</v>
      </c>
      <c r="R94" s="212">
        <v>0.48722157842157848</v>
      </c>
      <c r="S94" s="250">
        <v>0.47853842157842158</v>
      </c>
    </row>
    <row r="95" spans="2:19" ht="42" x14ac:dyDescent="0.3">
      <c r="B95" s="396" t="s">
        <v>226</v>
      </c>
      <c r="C95" s="280">
        <v>2021</v>
      </c>
      <c r="D95" s="280">
        <v>17751277</v>
      </c>
      <c r="E95" s="280">
        <v>0.81099793442896473</v>
      </c>
      <c r="F95" s="280">
        <v>5254630.8778738827</v>
      </c>
      <c r="G95" s="280">
        <v>0.186</v>
      </c>
      <c r="H95" s="280">
        <v>0.29899999999999999</v>
      </c>
      <c r="I95" s="280">
        <v>0.51600000000000001</v>
      </c>
      <c r="J95" s="280">
        <v>0.85599999999999998</v>
      </c>
      <c r="K95" s="280">
        <v>0.14399999999999999</v>
      </c>
      <c r="L95" s="280">
        <v>0.56599999999999995</v>
      </c>
      <c r="M95" s="280">
        <v>0.434</v>
      </c>
      <c r="N95" s="280">
        <v>0.60499999999999998</v>
      </c>
      <c r="O95" s="280">
        <v>0.39500000000000002</v>
      </c>
      <c r="P95" s="212">
        <v>1.064E-2</v>
      </c>
      <c r="Q95" s="212">
        <v>2.3599999999999999E-2</v>
      </c>
      <c r="R95" s="212">
        <v>0.49783432567432578</v>
      </c>
      <c r="S95" s="250">
        <v>0.46792567432567433</v>
      </c>
    </row>
    <row r="96" spans="2:19" ht="42" x14ac:dyDescent="0.3">
      <c r="B96" s="396" t="s">
        <v>227</v>
      </c>
      <c r="C96" s="280">
        <v>2022</v>
      </c>
      <c r="D96" s="280">
        <v>17989912</v>
      </c>
      <c r="E96" s="280">
        <v>0.83779624040569212</v>
      </c>
      <c r="F96" s="280">
        <v>5501236.4331726748</v>
      </c>
      <c r="G96" s="280">
        <v>0.17299999999999999</v>
      </c>
      <c r="H96" s="280">
        <v>0.28199999999999997</v>
      </c>
      <c r="I96" s="280">
        <v>0.54500000000000004</v>
      </c>
      <c r="J96" s="280">
        <v>0.83399999999999996</v>
      </c>
      <c r="K96" s="280">
        <v>0.16600000000000001</v>
      </c>
      <c r="L96" s="280">
        <v>0.54900000000000004</v>
      </c>
      <c r="M96" s="280">
        <v>0.45100000000000001</v>
      </c>
      <c r="N96" s="280">
        <v>0.504</v>
      </c>
      <c r="O96" s="280">
        <v>0.496</v>
      </c>
      <c r="P96" s="212">
        <v>1.064E-2</v>
      </c>
      <c r="Q96" s="212">
        <v>3.5046692328650909E-2</v>
      </c>
      <c r="R96" s="212">
        <v>0.5201007526808854</v>
      </c>
      <c r="S96" s="250">
        <v>0.43421255499046385</v>
      </c>
    </row>
    <row r="97" spans="2:19" ht="42.6" thickBot="1" x14ac:dyDescent="0.35">
      <c r="B97" s="397" t="s">
        <v>228</v>
      </c>
      <c r="C97" s="339">
        <v>2023</v>
      </c>
      <c r="D97" s="339">
        <v>18226512</v>
      </c>
      <c r="E97" s="339">
        <v>0.88031889678537523</v>
      </c>
      <c r="F97" s="339">
        <v>5856477.1716711726</v>
      </c>
      <c r="G97" s="339">
        <v>0.17199999999999999</v>
      </c>
      <c r="H97" s="339">
        <v>0.27200000000000002</v>
      </c>
      <c r="I97" s="339">
        <v>0.55200000000000005</v>
      </c>
      <c r="J97" s="339">
        <v>0.84199999999999997</v>
      </c>
      <c r="K97" s="339">
        <v>0.158</v>
      </c>
      <c r="L97" s="339">
        <v>0.55300000000000005</v>
      </c>
      <c r="M97" s="339">
        <v>0.44700000000000001</v>
      </c>
      <c r="N97" s="339">
        <v>0.504</v>
      </c>
      <c r="O97" s="339">
        <v>0.496</v>
      </c>
      <c r="P97" s="247">
        <v>1.064E-2</v>
      </c>
      <c r="Q97" s="247">
        <v>3.5175404328316062E-2</v>
      </c>
      <c r="R97" s="247">
        <v>0.5288251976011743</v>
      </c>
      <c r="S97" s="253">
        <v>0.42535939807050965</v>
      </c>
    </row>
    <row r="99" spans="2:19" ht="81" customHeight="1" x14ac:dyDescent="0.3">
      <c r="B99" s="394" t="s">
        <v>425</v>
      </c>
      <c r="C99" s="394"/>
      <c r="D99" s="394"/>
      <c r="E99" s="394"/>
      <c r="F99" s="394"/>
      <c r="G99" s="394"/>
      <c r="H99" s="394"/>
      <c r="I99" s="394"/>
      <c r="J99" s="394"/>
      <c r="K99" s="394"/>
      <c r="L99" s="394"/>
      <c r="M99" s="394"/>
      <c r="N99" s="394"/>
      <c r="O99" s="394"/>
      <c r="P99" s="394"/>
      <c r="Q99" s="394"/>
      <c r="R99" s="394"/>
      <c r="S99" s="394"/>
    </row>
    <row r="100" spans="2:19" ht="48.6" customHeight="1" x14ac:dyDescent="0.3">
      <c r="B100" s="394" t="s">
        <v>426</v>
      </c>
      <c r="C100" s="395"/>
      <c r="D100" s="395"/>
      <c r="E100" s="395"/>
      <c r="F100" s="395"/>
      <c r="G100" s="395"/>
      <c r="H100" s="395"/>
      <c r="I100" s="395"/>
      <c r="J100" s="395"/>
      <c r="K100" s="395"/>
      <c r="L100" s="395"/>
      <c r="M100" s="395"/>
      <c r="N100" s="395"/>
      <c r="O100" s="395"/>
      <c r="P100" s="395"/>
      <c r="Q100" s="395"/>
      <c r="R100" s="395"/>
      <c r="S100" s="395"/>
    </row>
  </sheetData>
  <mergeCells count="2">
    <mergeCell ref="B99:S99"/>
    <mergeCell ref="B100:S100"/>
  </mergeCells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57102-B286-4DC0-AFAB-382FF6620C75}">
  <dimension ref="B1:AE40"/>
  <sheetViews>
    <sheetView zoomScale="55" zoomScaleNormal="55" workbookViewId="0">
      <pane ySplit="1" topLeftCell="A2" activePane="bottomLeft" state="frozen"/>
      <selection pane="bottomLeft" activeCell="D33" sqref="D33"/>
    </sheetView>
  </sheetViews>
  <sheetFormatPr baseColWidth="10" defaultColWidth="11.44140625" defaultRowHeight="14.4" x14ac:dyDescent="0.3"/>
  <cols>
    <col min="2" max="2" width="20.77734375" bestFit="1" customWidth="1"/>
    <col min="3" max="3" width="31.44140625" customWidth="1"/>
    <col min="4" max="4" width="65.5546875" bestFit="1" customWidth="1"/>
    <col min="5" max="5" width="12.5546875" customWidth="1"/>
    <col min="6" max="12" width="13.6640625" customWidth="1"/>
    <col min="13" max="15" width="11.44140625" customWidth="1"/>
    <col min="16" max="16" width="13.77734375" customWidth="1"/>
    <col min="17" max="19" width="11.44140625" customWidth="1"/>
    <col min="20" max="20" width="13" customWidth="1"/>
    <col min="23" max="23" width="16" bestFit="1" customWidth="1"/>
    <col min="31" max="31" width="11.44140625" customWidth="1"/>
  </cols>
  <sheetData>
    <row r="1" spans="2:31" ht="20.399999999999999" thickBot="1" x14ac:dyDescent="0.35">
      <c r="B1" s="1"/>
      <c r="C1" s="2"/>
      <c r="D1" s="2" t="s">
        <v>12</v>
      </c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63"/>
      <c r="D4" s="164" t="s">
        <v>81</v>
      </c>
      <c r="E4" s="164"/>
      <c r="F4" s="164"/>
      <c r="G4" s="164"/>
      <c r="H4" s="164"/>
      <c r="I4" s="164"/>
      <c r="J4" s="164"/>
      <c r="K4" s="164"/>
      <c r="L4" s="164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5"/>
    </row>
    <row r="5" spans="2:31" x14ac:dyDescent="0.3">
      <c r="B5" s="12"/>
      <c r="C5" s="163"/>
      <c r="D5" s="164"/>
      <c r="E5" s="164"/>
      <c r="F5" s="164"/>
      <c r="G5" s="164"/>
      <c r="H5" s="164"/>
      <c r="I5" s="164"/>
      <c r="J5" s="164"/>
      <c r="K5" s="164"/>
      <c r="L5" s="164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5"/>
    </row>
    <row r="6" spans="2:31" x14ac:dyDescent="0.3">
      <c r="B6" s="12"/>
      <c r="C6" s="164" t="s">
        <v>69</v>
      </c>
      <c r="D6" s="165" t="s">
        <v>284</v>
      </c>
      <c r="E6" s="165"/>
      <c r="F6" s="165"/>
      <c r="G6" s="165"/>
      <c r="H6" s="165"/>
      <c r="I6" s="165"/>
      <c r="J6" s="165"/>
      <c r="K6" s="165"/>
      <c r="L6" s="165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5"/>
    </row>
    <row r="7" spans="2:31" x14ac:dyDescent="0.3">
      <c r="B7" s="1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5"/>
    </row>
    <row r="8" spans="2:31" x14ac:dyDescent="0.3">
      <c r="B8" s="12"/>
      <c r="C8" s="164" t="s">
        <v>195</v>
      </c>
      <c r="D8" s="164"/>
      <c r="E8" s="164"/>
      <c r="F8" s="164"/>
      <c r="G8" s="164"/>
      <c r="H8" s="164"/>
      <c r="I8" s="164"/>
      <c r="J8" s="164"/>
      <c r="K8" s="164"/>
      <c r="L8" s="164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5"/>
    </row>
    <row r="9" spans="2:31" x14ac:dyDescent="0.3">
      <c r="B9" s="12"/>
      <c r="C9" s="166" t="s">
        <v>56</v>
      </c>
      <c r="D9" s="163" t="s">
        <v>19</v>
      </c>
      <c r="E9" s="212">
        <v>8.4026137500211352E-3</v>
      </c>
      <c r="F9" s="212">
        <v>8.3393745910932699E-3</v>
      </c>
      <c r="G9" s="212">
        <v>8.2482141338445173E-3</v>
      </c>
      <c r="H9" s="212">
        <v>8.4640955884404696E-3</v>
      </c>
      <c r="I9" s="212">
        <v>8.6310534055473974E-3</v>
      </c>
      <c r="J9" s="212">
        <v>8.5256798417129315E-3</v>
      </c>
      <c r="K9" s="212">
        <v>8.4252216895984739E-3</v>
      </c>
      <c r="L9" s="212">
        <v>8.3788193220548333E-3</v>
      </c>
      <c r="M9" s="212">
        <v>8.3320206127193552E-3</v>
      </c>
      <c r="N9" s="212">
        <v>7.6419640988582855E-3</v>
      </c>
      <c r="O9" s="212">
        <v>7.0018193618694748E-3</v>
      </c>
      <c r="P9" s="212">
        <v>8.8393706526220788E-3</v>
      </c>
      <c r="Q9" s="212">
        <v>8.1496507546215506E-3</v>
      </c>
      <c r="R9" s="212">
        <v>8.1653932553403686E-3</v>
      </c>
      <c r="S9" s="212">
        <v>8.111046990755353E-3</v>
      </c>
      <c r="T9" s="212">
        <v>8.111046990755353E-3</v>
      </c>
      <c r="U9" s="212">
        <v>8.111046990755353E-3</v>
      </c>
      <c r="V9" s="212">
        <v>8.111046990755353E-3</v>
      </c>
      <c r="W9" s="212">
        <v>8.111046990755353E-3</v>
      </c>
      <c r="X9" s="212">
        <v>8.111046990755353E-3</v>
      </c>
      <c r="Y9" s="212">
        <v>8.111046990755353E-3</v>
      </c>
      <c r="Z9" s="212">
        <v>8.1110469907553547E-3</v>
      </c>
      <c r="AA9" s="212">
        <v>8.111046990755353E-3</v>
      </c>
      <c r="AB9" s="212">
        <v>8.111046990755353E-3</v>
      </c>
      <c r="AC9" s="212">
        <v>8.111046990755353E-3</v>
      </c>
      <c r="AD9" s="212">
        <v>8.111046990755353E-3</v>
      </c>
      <c r="AE9" s="167"/>
    </row>
    <row r="10" spans="2:31" x14ac:dyDescent="0.3">
      <c r="B10" s="12"/>
      <c r="C10" s="166" t="s">
        <v>141</v>
      </c>
      <c r="D10" s="163" t="s">
        <v>142</v>
      </c>
      <c r="E10" s="267">
        <v>0</v>
      </c>
      <c r="F10" s="267">
        <v>0</v>
      </c>
      <c r="G10" s="267">
        <v>0</v>
      </c>
      <c r="H10" s="267">
        <v>0</v>
      </c>
      <c r="I10" s="267">
        <v>0</v>
      </c>
      <c r="J10" s="267">
        <v>0</v>
      </c>
      <c r="K10" s="267">
        <v>0</v>
      </c>
      <c r="L10" s="267">
        <v>0</v>
      </c>
      <c r="M10" s="267">
        <v>0</v>
      </c>
      <c r="N10" s="267">
        <v>0</v>
      </c>
      <c r="O10" s="267">
        <v>0</v>
      </c>
      <c r="P10" s="267">
        <v>0</v>
      </c>
      <c r="Q10" s="267">
        <v>0</v>
      </c>
      <c r="R10" s="267">
        <v>0</v>
      </c>
      <c r="S10" s="267">
        <v>0</v>
      </c>
      <c r="T10" s="267">
        <v>0</v>
      </c>
      <c r="U10" s="267">
        <v>0</v>
      </c>
      <c r="V10" s="267">
        <v>0</v>
      </c>
      <c r="W10" s="267">
        <v>0</v>
      </c>
      <c r="X10" s="267">
        <v>0</v>
      </c>
      <c r="Y10" s="267">
        <v>0</v>
      </c>
      <c r="Z10" s="267">
        <v>0</v>
      </c>
      <c r="AA10" s="267">
        <v>0</v>
      </c>
      <c r="AB10" s="267">
        <v>0</v>
      </c>
      <c r="AC10" s="267">
        <v>0</v>
      </c>
      <c r="AD10" s="267">
        <v>0</v>
      </c>
      <c r="AE10" s="167"/>
    </row>
    <row r="11" spans="2:31" x14ac:dyDescent="0.3">
      <c r="B11" s="12"/>
      <c r="C11" s="166" t="s">
        <v>57</v>
      </c>
      <c r="D11" s="163" t="s">
        <v>20</v>
      </c>
      <c r="E11" s="268">
        <v>1.6299999999999999E-2</v>
      </c>
      <c r="F11" s="268">
        <v>1.8357762914472747E-2</v>
      </c>
      <c r="G11" s="268">
        <v>2.0445241709213007E-2</v>
      </c>
      <c r="H11" s="268">
        <v>2.3632517376851014E-2</v>
      </c>
      <c r="I11" s="268">
        <v>2.3574171526098708E-2</v>
      </c>
      <c r="J11" s="268">
        <v>2.3616250094389488E-2</v>
      </c>
      <c r="K11" s="268">
        <v>2.3591528406731399E-2</v>
      </c>
      <c r="L11" s="268">
        <v>2.3603617899079658E-2</v>
      </c>
      <c r="M11" s="268">
        <v>2.3597294070831675E-2</v>
      </c>
      <c r="N11" s="268">
        <v>2.3607195330183062E-2</v>
      </c>
      <c r="O11" s="268">
        <v>2.3601266777258333E-2</v>
      </c>
      <c r="P11" s="268">
        <v>2.3605999445961458E-2</v>
      </c>
      <c r="Q11" s="268">
        <v>3.5046898858430889E-2</v>
      </c>
      <c r="R11" s="268">
        <v>3.5174592333304874E-2</v>
      </c>
      <c r="S11" s="268">
        <v>3.5175297948658611E-2</v>
      </c>
      <c r="T11" s="268">
        <v>3.517359313471706E-2</v>
      </c>
      <c r="U11" s="268">
        <v>3.6800572817996029E-2</v>
      </c>
      <c r="V11" s="268">
        <v>3.8247872355540405E-2</v>
      </c>
      <c r="W11" s="268">
        <v>3.9618319576031118E-2</v>
      </c>
      <c r="X11" s="212">
        <v>4.0880014502887627E-2</v>
      </c>
      <c r="Y11" s="212">
        <v>4.1973809730292258E-2</v>
      </c>
      <c r="Z11" s="212">
        <v>4.3151741988795858E-2</v>
      </c>
      <c r="AA11" s="212">
        <v>4.4272479044200945E-2</v>
      </c>
      <c r="AB11" s="212">
        <v>4.5340698953676178E-2</v>
      </c>
      <c r="AC11" s="212">
        <v>4.6358757484169753E-2</v>
      </c>
      <c r="AD11" s="212">
        <v>4.7318576379090427E-2</v>
      </c>
      <c r="AE11" s="167"/>
    </row>
    <row r="12" spans="2:31" x14ac:dyDescent="0.3">
      <c r="B12" s="12"/>
      <c r="C12" s="166" t="s">
        <v>58</v>
      </c>
      <c r="D12" s="163" t="s">
        <v>21</v>
      </c>
      <c r="E12" s="212">
        <v>0.33187087167455104</v>
      </c>
      <c r="F12" s="212">
        <v>0.33971005685541988</v>
      </c>
      <c r="G12" s="212">
        <v>0.34749784812903084</v>
      </c>
      <c r="H12" s="212">
        <v>0.35485412970026103</v>
      </c>
      <c r="I12" s="212">
        <v>0.3681175110969192</v>
      </c>
      <c r="J12" s="212">
        <v>0.40640176360746239</v>
      </c>
      <c r="K12" s="212">
        <v>0.41952313451705608</v>
      </c>
      <c r="L12" s="212">
        <v>0.44091060464111448</v>
      </c>
      <c r="M12" s="212">
        <v>0.4336208214759264</v>
      </c>
      <c r="N12" s="212">
        <v>0.46548911115824809</v>
      </c>
      <c r="O12" s="212">
        <v>0.48721411443594376</v>
      </c>
      <c r="P12" s="212">
        <v>0.49782481439580933</v>
      </c>
      <c r="Q12" s="212">
        <v>0.52010133162662375</v>
      </c>
      <c r="R12" s="212">
        <v>0.52883332233808811</v>
      </c>
      <c r="S12" s="212">
        <v>0.52881820477400343</v>
      </c>
      <c r="T12" s="212">
        <v>0.50453205174951832</v>
      </c>
      <c r="U12" s="212">
        <v>0.48799289455902539</v>
      </c>
      <c r="V12" s="212">
        <v>0.4906187913104732</v>
      </c>
      <c r="W12" s="212">
        <v>0.49303859976046516</v>
      </c>
      <c r="X12" s="212">
        <v>0.51082420497831516</v>
      </c>
      <c r="Y12" s="212">
        <v>0.51327406332382086</v>
      </c>
      <c r="Z12" s="212">
        <v>0.51309813793294923</v>
      </c>
      <c r="AA12" s="212">
        <v>0.51302428218549434</v>
      </c>
      <c r="AB12" s="212">
        <v>0.51301267369610815</v>
      </c>
      <c r="AC12" s="212">
        <v>0.51305695930727846</v>
      </c>
      <c r="AD12" s="212">
        <v>0.5131652771946873</v>
      </c>
      <c r="AE12" s="167"/>
    </row>
    <row r="13" spans="2:31" x14ac:dyDescent="0.3">
      <c r="B13" s="12"/>
      <c r="C13" s="166" t="s">
        <v>59</v>
      </c>
      <c r="D13" s="163" t="s">
        <v>22</v>
      </c>
      <c r="E13" s="212">
        <v>0.64118912832544905</v>
      </c>
      <c r="F13" s="212">
        <v>0.63129218023010736</v>
      </c>
      <c r="G13" s="212">
        <v>0.62141691016175615</v>
      </c>
      <c r="H13" s="212">
        <v>0.61087335292288791</v>
      </c>
      <c r="I13" s="212">
        <v>0.59766831737698212</v>
      </c>
      <c r="J13" s="212">
        <v>0.55934198629814813</v>
      </c>
      <c r="K13" s="212">
        <v>0.54624533707621248</v>
      </c>
      <c r="L13" s="212">
        <v>0.52484577745980587</v>
      </c>
      <c r="M13" s="212">
        <v>0.53214188445324195</v>
      </c>
      <c r="N13" s="212">
        <v>0.50026369351156885</v>
      </c>
      <c r="O13" s="212">
        <v>0.47854461878679783</v>
      </c>
      <c r="P13" s="212">
        <v>0.46792918615822926</v>
      </c>
      <c r="Q13" s="212">
        <v>0.43421176951494528</v>
      </c>
      <c r="R13" s="212">
        <v>0.42535208532860697</v>
      </c>
      <c r="S13" s="212">
        <v>0.42536649727733794</v>
      </c>
      <c r="T13" s="212">
        <v>0.44965435511576463</v>
      </c>
      <c r="U13" s="212">
        <v>0.46456653262297859</v>
      </c>
      <c r="V13" s="212">
        <v>0.46049333633398637</v>
      </c>
      <c r="W13" s="212">
        <v>0.45670308066350368</v>
      </c>
      <c r="X13" s="212">
        <v>0.43765578051879722</v>
      </c>
      <c r="Y13" s="212">
        <v>0.4341121269458868</v>
      </c>
      <c r="Z13" s="212">
        <v>0.43311012007825483</v>
      </c>
      <c r="AA13" s="212">
        <v>0.43206323877030467</v>
      </c>
      <c r="AB13" s="212">
        <v>0.43100662735021561</v>
      </c>
      <c r="AC13" s="212">
        <v>0.42994428320855177</v>
      </c>
      <c r="AD13" s="212">
        <v>0.42887614642622224</v>
      </c>
      <c r="AE13" s="167"/>
    </row>
    <row r="14" spans="2:31" x14ac:dyDescent="0.3">
      <c r="B14" s="12"/>
      <c r="C14" s="166" t="s">
        <v>145</v>
      </c>
      <c r="D14" s="163" t="s">
        <v>146</v>
      </c>
      <c r="E14" s="212">
        <v>0</v>
      </c>
      <c r="F14" s="212">
        <v>0</v>
      </c>
      <c r="G14" s="212">
        <v>0</v>
      </c>
      <c r="H14" s="212">
        <v>0</v>
      </c>
      <c r="I14" s="212">
        <v>0</v>
      </c>
      <c r="J14" s="212">
        <v>0</v>
      </c>
      <c r="K14" s="212">
        <v>0</v>
      </c>
      <c r="L14" s="212">
        <v>0</v>
      </c>
      <c r="M14" s="212">
        <v>0</v>
      </c>
      <c r="N14" s="212">
        <v>0</v>
      </c>
      <c r="O14" s="212">
        <v>0</v>
      </c>
      <c r="P14" s="212">
        <v>0</v>
      </c>
      <c r="Q14" s="212">
        <v>0</v>
      </c>
      <c r="R14" s="212">
        <v>0</v>
      </c>
      <c r="S14" s="212">
        <v>0</v>
      </c>
      <c r="T14" s="212">
        <v>0</v>
      </c>
      <c r="U14" s="212">
        <v>0</v>
      </c>
      <c r="V14" s="212">
        <v>0</v>
      </c>
      <c r="W14" s="212">
        <v>0</v>
      </c>
      <c r="X14" s="212">
        <v>0</v>
      </c>
      <c r="Y14" s="212">
        <v>0</v>
      </c>
      <c r="Z14" s="212">
        <v>0</v>
      </c>
      <c r="AA14" s="212">
        <v>0</v>
      </c>
      <c r="AB14" s="212">
        <v>0</v>
      </c>
      <c r="AC14" s="212">
        <v>0</v>
      </c>
      <c r="AD14" s="212">
        <v>0</v>
      </c>
      <c r="AE14" s="167"/>
    </row>
    <row r="15" spans="2:31" x14ac:dyDescent="0.3">
      <c r="B15" s="12"/>
      <c r="C15" s="166" t="s">
        <v>147</v>
      </c>
      <c r="D15" s="163" t="s">
        <v>148</v>
      </c>
      <c r="E15" s="212">
        <v>2.2373862499788658E-3</v>
      </c>
      <c r="F15" s="212">
        <v>2.3006254089067298E-3</v>
      </c>
      <c r="G15" s="212">
        <v>2.3917858661554828E-3</v>
      </c>
      <c r="H15" s="212">
        <v>2.1759044115595302E-3</v>
      </c>
      <c r="I15" s="212">
        <v>2.0089465944526019E-3</v>
      </c>
      <c r="J15" s="212">
        <v>2.1143201582870686E-3</v>
      </c>
      <c r="K15" s="212">
        <v>2.2147783104015258E-3</v>
      </c>
      <c r="L15" s="212">
        <v>2.2611806779451677E-3</v>
      </c>
      <c r="M15" s="212">
        <v>2.307979387280645E-3</v>
      </c>
      <c r="N15" s="212">
        <v>2.9980359011417151E-3</v>
      </c>
      <c r="O15" s="212">
        <v>3.6381806381305254E-3</v>
      </c>
      <c r="P15" s="212">
        <v>1.8006293473779211E-3</v>
      </c>
      <c r="Q15" s="212">
        <v>2.4903492453784487E-3</v>
      </c>
      <c r="R15" s="212">
        <v>2.4746067446596316E-3</v>
      </c>
      <c r="S15" s="212">
        <v>2.5289530092446467E-3</v>
      </c>
      <c r="T15" s="212">
        <v>2.5289530092446472E-3</v>
      </c>
      <c r="U15" s="212">
        <v>2.5289530092446472E-3</v>
      </c>
      <c r="V15" s="212">
        <v>2.5289530092446467E-3</v>
      </c>
      <c r="W15" s="212">
        <v>2.5289530092446467E-3</v>
      </c>
      <c r="X15" s="212">
        <v>2.5289530092446463E-3</v>
      </c>
      <c r="Y15" s="212">
        <v>2.5289530092446467E-3</v>
      </c>
      <c r="Z15" s="212">
        <v>2.5289530092446459E-3</v>
      </c>
      <c r="AA15" s="212">
        <v>2.5289530092446467E-3</v>
      </c>
      <c r="AB15" s="212">
        <v>2.5289530092446467E-3</v>
      </c>
      <c r="AC15" s="212">
        <v>2.5289530092446467E-3</v>
      </c>
      <c r="AD15" s="212">
        <v>2.5289530092446467E-3</v>
      </c>
      <c r="AE15" s="167"/>
    </row>
    <row r="16" spans="2:31" ht="15" customHeight="1" x14ac:dyDescent="0.3">
      <c r="B16" s="12"/>
      <c r="C16" s="166" t="s">
        <v>149</v>
      </c>
      <c r="D16" s="163" t="s">
        <v>150</v>
      </c>
      <c r="E16" s="212">
        <v>0</v>
      </c>
      <c r="F16" s="212">
        <v>0</v>
      </c>
      <c r="G16" s="212">
        <v>0</v>
      </c>
      <c r="H16" s="212">
        <v>0</v>
      </c>
      <c r="I16" s="212">
        <v>0</v>
      </c>
      <c r="J16" s="212">
        <v>0</v>
      </c>
      <c r="K16" s="212">
        <v>0</v>
      </c>
      <c r="L16" s="212">
        <v>0</v>
      </c>
      <c r="M16" s="212">
        <v>0</v>
      </c>
      <c r="N16" s="212">
        <v>0</v>
      </c>
      <c r="O16" s="212">
        <v>0</v>
      </c>
      <c r="P16" s="212">
        <v>0</v>
      </c>
      <c r="Q16" s="212">
        <v>0</v>
      </c>
      <c r="R16" s="212">
        <v>0</v>
      </c>
      <c r="S16" s="212">
        <v>0</v>
      </c>
      <c r="T16" s="212">
        <v>0</v>
      </c>
      <c r="U16" s="212">
        <v>0</v>
      </c>
      <c r="V16" s="212">
        <v>0</v>
      </c>
      <c r="W16" s="212">
        <v>0</v>
      </c>
      <c r="X16" s="212">
        <v>0</v>
      </c>
      <c r="Y16" s="212">
        <v>0</v>
      </c>
      <c r="Z16" s="212">
        <v>0</v>
      </c>
      <c r="AA16" s="212">
        <v>0</v>
      </c>
      <c r="AB16" s="212">
        <v>0</v>
      </c>
      <c r="AC16" s="212">
        <v>0</v>
      </c>
      <c r="AD16" s="212">
        <v>0</v>
      </c>
      <c r="AE16" s="167"/>
    </row>
    <row r="17" spans="2:31" x14ac:dyDescent="0.3">
      <c r="B17" s="12"/>
      <c r="C17" s="166" t="s">
        <v>151</v>
      </c>
      <c r="D17" s="163" t="s">
        <v>152</v>
      </c>
      <c r="E17" s="212">
        <v>0</v>
      </c>
      <c r="F17" s="212">
        <v>0</v>
      </c>
      <c r="G17" s="212">
        <v>0</v>
      </c>
      <c r="H17" s="212">
        <v>0</v>
      </c>
      <c r="I17" s="212">
        <v>0</v>
      </c>
      <c r="J17" s="212">
        <v>0</v>
      </c>
      <c r="K17" s="212">
        <v>0</v>
      </c>
      <c r="L17" s="212">
        <v>0</v>
      </c>
      <c r="M17" s="212">
        <v>0</v>
      </c>
      <c r="N17" s="212">
        <v>0</v>
      </c>
      <c r="O17" s="212">
        <v>0</v>
      </c>
      <c r="P17" s="212">
        <v>0</v>
      </c>
      <c r="Q17" s="212">
        <v>0</v>
      </c>
      <c r="R17" s="212">
        <v>0</v>
      </c>
      <c r="S17" s="212">
        <v>0</v>
      </c>
      <c r="T17" s="212">
        <v>0</v>
      </c>
      <c r="U17" s="212">
        <v>0</v>
      </c>
      <c r="V17" s="212">
        <v>0</v>
      </c>
      <c r="W17" s="212">
        <v>0</v>
      </c>
      <c r="X17" s="212">
        <v>0</v>
      </c>
      <c r="Y17" s="212">
        <v>0</v>
      </c>
      <c r="Z17" s="212">
        <v>0</v>
      </c>
      <c r="AA17" s="212">
        <v>0</v>
      </c>
      <c r="AB17" s="212">
        <v>0</v>
      </c>
      <c r="AC17" s="212">
        <v>0</v>
      </c>
      <c r="AD17" s="212">
        <v>0</v>
      </c>
      <c r="AE17" s="167"/>
    </row>
    <row r="18" spans="2:31" x14ac:dyDescent="0.3">
      <c r="B18" s="12"/>
      <c r="C18" s="163"/>
      <c r="D18" s="163"/>
      <c r="E18" s="212">
        <v>1.0000000000000002</v>
      </c>
      <c r="F18" s="212">
        <v>1</v>
      </c>
      <c r="G18" s="212">
        <v>1</v>
      </c>
      <c r="H18" s="212">
        <v>1</v>
      </c>
      <c r="I18" s="212">
        <v>1</v>
      </c>
      <c r="J18" s="212">
        <v>1</v>
      </c>
      <c r="K18" s="212">
        <v>0.99999999999999989</v>
      </c>
      <c r="L18" s="212">
        <v>1</v>
      </c>
      <c r="M18" s="212">
        <v>1</v>
      </c>
      <c r="N18" s="212">
        <v>1</v>
      </c>
      <c r="O18" s="212">
        <v>0.99999999999999978</v>
      </c>
      <c r="P18" s="212">
        <v>1.0000000000000002</v>
      </c>
      <c r="Q18" s="212">
        <v>1</v>
      </c>
      <c r="R18" s="212">
        <v>0.99999999999999989</v>
      </c>
      <c r="S18" s="212">
        <v>0.99999999999999989</v>
      </c>
      <c r="T18" s="212">
        <v>0.99999999999999989</v>
      </c>
      <c r="U18" s="212">
        <v>0.99999999999999989</v>
      </c>
      <c r="V18" s="212">
        <v>0.99999999999999989</v>
      </c>
      <c r="W18" s="212">
        <v>0.99999999999999989</v>
      </c>
      <c r="X18" s="212">
        <v>0.99999999999999989</v>
      </c>
      <c r="Y18" s="212">
        <v>0.99999999999999989</v>
      </c>
      <c r="Z18" s="212">
        <v>0.99999999999999989</v>
      </c>
      <c r="AA18" s="212">
        <v>0.99999999999999989</v>
      </c>
      <c r="AB18" s="212">
        <v>0.99999999999999989</v>
      </c>
      <c r="AC18" s="212">
        <v>0.99999999999999989</v>
      </c>
      <c r="AD18" s="212">
        <v>0.99999999999999989</v>
      </c>
      <c r="AE18" s="167"/>
    </row>
    <row r="19" spans="2:31" ht="15" thickBot="1" x14ac:dyDescent="0.35">
      <c r="B19" s="16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99"/>
      <c r="N19" s="99"/>
      <c r="O19" s="99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168"/>
    </row>
    <row r="20" spans="2:31" x14ac:dyDescent="0.3"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</row>
    <row r="21" spans="2:31" ht="15" thickBot="1" x14ac:dyDescent="0.35"/>
    <row r="22" spans="2:31" x14ac:dyDescent="0.3">
      <c r="B22" s="9"/>
      <c r="C22" s="269" t="s">
        <v>194</v>
      </c>
      <c r="D22" s="269"/>
      <c r="E22" s="274"/>
      <c r="F22" s="274"/>
      <c r="G22" s="274"/>
      <c r="H22" s="274"/>
      <c r="I22" s="274"/>
      <c r="J22" s="274"/>
      <c r="K22" s="274"/>
      <c r="L22" s="274"/>
      <c r="M22" s="275"/>
      <c r="N22" s="275"/>
      <c r="O22" s="275"/>
      <c r="P22" s="275"/>
      <c r="Q22" s="275"/>
      <c r="R22" s="275"/>
      <c r="S22" s="275"/>
      <c r="T22" s="275"/>
      <c r="U22" s="275"/>
      <c r="V22" s="275"/>
      <c r="W22" s="275"/>
      <c r="X22" s="275"/>
      <c r="Y22" s="275"/>
      <c r="Z22" s="275"/>
      <c r="AA22" s="275"/>
      <c r="AB22" s="275"/>
      <c r="AC22" s="275"/>
      <c r="AD22" s="275"/>
      <c r="AE22" s="11"/>
    </row>
    <row r="23" spans="2:31" x14ac:dyDescent="0.3">
      <c r="B23" s="12"/>
      <c r="C23" s="166" t="s">
        <v>53</v>
      </c>
      <c r="D23" s="276" t="s">
        <v>24</v>
      </c>
      <c r="E23" s="271">
        <f t="shared" ref="E23:AD23" si="0">E10-E16</f>
        <v>0</v>
      </c>
      <c r="F23" s="271">
        <f t="shared" si="0"/>
        <v>0</v>
      </c>
      <c r="G23" s="271">
        <f t="shared" si="0"/>
        <v>0</v>
      </c>
      <c r="H23" s="271">
        <f t="shared" si="0"/>
        <v>0</v>
      </c>
      <c r="I23" s="271">
        <f t="shared" si="0"/>
        <v>0</v>
      </c>
      <c r="J23" s="271">
        <f t="shared" si="0"/>
        <v>0</v>
      </c>
      <c r="K23" s="271">
        <f t="shared" si="0"/>
        <v>0</v>
      </c>
      <c r="L23" s="271">
        <f t="shared" si="0"/>
        <v>0</v>
      </c>
      <c r="M23" s="271">
        <f t="shared" si="0"/>
        <v>0</v>
      </c>
      <c r="N23" s="271">
        <f t="shared" si="0"/>
        <v>0</v>
      </c>
      <c r="O23" s="271">
        <f t="shared" si="0"/>
        <v>0</v>
      </c>
      <c r="P23" s="271">
        <f t="shared" si="0"/>
        <v>0</v>
      </c>
      <c r="Q23" s="271">
        <f t="shared" si="0"/>
        <v>0</v>
      </c>
      <c r="R23" s="271">
        <f t="shared" si="0"/>
        <v>0</v>
      </c>
      <c r="S23" s="271">
        <f t="shared" si="0"/>
        <v>0</v>
      </c>
      <c r="T23" s="271">
        <f t="shared" si="0"/>
        <v>0</v>
      </c>
      <c r="U23" s="271">
        <f t="shared" si="0"/>
        <v>0</v>
      </c>
      <c r="V23" s="271">
        <f t="shared" si="0"/>
        <v>0</v>
      </c>
      <c r="W23" s="271">
        <f t="shared" si="0"/>
        <v>0</v>
      </c>
      <c r="X23" s="271">
        <f t="shared" si="0"/>
        <v>0</v>
      </c>
      <c r="Y23" s="271">
        <f t="shared" si="0"/>
        <v>0</v>
      </c>
      <c r="Z23" s="271">
        <f t="shared" si="0"/>
        <v>0</v>
      </c>
      <c r="AA23" s="271">
        <f t="shared" si="0"/>
        <v>0</v>
      </c>
      <c r="AB23" s="271">
        <f t="shared" si="0"/>
        <v>0</v>
      </c>
      <c r="AC23" s="271">
        <f t="shared" si="0"/>
        <v>0</v>
      </c>
      <c r="AD23" s="271">
        <f t="shared" si="0"/>
        <v>0</v>
      </c>
      <c r="AE23" s="15"/>
    </row>
    <row r="24" spans="2:31" x14ac:dyDescent="0.3">
      <c r="B24" s="12"/>
      <c r="C24" s="166" t="s">
        <v>54</v>
      </c>
      <c r="D24" s="276" t="s">
        <v>52</v>
      </c>
      <c r="E24" s="272">
        <f>E12</f>
        <v>0.33187087167455104</v>
      </c>
      <c r="F24" s="272">
        <f t="shared" ref="F24:AD24" si="1">F12</f>
        <v>0.33971005685541988</v>
      </c>
      <c r="G24" s="272">
        <f t="shared" si="1"/>
        <v>0.34749784812903084</v>
      </c>
      <c r="H24" s="272">
        <f t="shared" si="1"/>
        <v>0.35485412970026103</v>
      </c>
      <c r="I24" s="272">
        <f t="shared" si="1"/>
        <v>0.3681175110969192</v>
      </c>
      <c r="J24" s="272">
        <f t="shared" si="1"/>
        <v>0.40640176360746239</v>
      </c>
      <c r="K24" s="272">
        <f t="shared" si="1"/>
        <v>0.41952313451705608</v>
      </c>
      <c r="L24" s="272">
        <f t="shared" si="1"/>
        <v>0.44091060464111448</v>
      </c>
      <c r="M24" s="272">
        <f t="shared" si="1"/>
        <v>0.4336208214759264</v>
      </c>
      <c r="N24" s="272">
        <f t="shared" si="1"/>
        <v>0.46548911115824809</v>
      </c>
      <c r="O24" s="272">
        <f t="shared" si="1"/>
        <v>0.48721411443594376</v>
      </c>
      <c r="P24" s="272">
        <f t="shared" si="1"/>
        <v>0.49782481439580933</v>
      </c>
      <c r="Q24" s="272">
        <f t="shared" si="1"/>
        <v>0.52010133162662375</v>
      </c>
      <c r="R24" s="272">
        <f t="shared" si="1"/>
        <v>0.52883332233808811</v>
      </c>
      <c r="S24" s="272">
        <f t="shared" si="1"/>
        <v>0.52881820477400343</v>
      </c>
      <c r="T24" s="272">
        <f t="shared" si="1"/>
        <v>0.50453205174951832</v>
      </c>
      <c r="U24" s="272">
        <f t="shared" si="1"/>
        <v>0.48799289455902539</v>
      </c>
      <c r="V24" s="272">
        <f t="shared" si="1"/>
        <v>0.4906187913104732</v>
      </c>
      <c r="W24" s="272">
        <f t="shared" si="1"/>
        <v>0.49303859976046516</v>
      </c>
      <c r="X24" s="272">
        <f t="shared" si="1"/>
        <v>0.51082420497831516</v>
      </c>
      <c r="Y24" s="272">
        <f t="shared" si="1"/>
        <v>0.51327406332382086</v>
      </c>
      <c r="Z24" s="272">
        <f t="shared" si="1"/>
        <v>0.51309813793294923</v>
      </c>
      <c r="AA24" s="272">
        <f t="shared" si="1"/>
        <v>0.51302428218549434</v>
      </c>
      <c r="AB24" s="272">
        <f t="shared" si="1"/>
        <v>0.51301267369610815</v>
      </c>
      <c r="AC24" s="272">
        <f t="shared" si="1"/>
        <v>0.51305695930727846</v>
      </c>
      <c r="AD24" s="272">
        <f t="shared" si="1"/>
        <v>0.5131652771946873</v>
      </c>
      <c r="AE24" s="15"/>
    </row>
    <row r="25" spans="2:31" x14ac:dyDescent="0.3">
      <c r="B25" s="12"/>
      <c r="C25" s="166" t="s">
        <v>55</v>
      </c>
      <c r="D25" s="276" t="s">
        <v>25</v>
      </c>
      <c r="E25" s="272">
        <f>1-E24-E23</f>
        <v>0.66812912832544891</v>
      </c>
      <c r="F25" s="272">
        <f t="shared" ref="F25:AD25" si="2">1-F24-F23</f>
        <v>0.66028994314458012</v>
      </c>
      <c r="G25" s="272">
        <f t="shared" si="2"/>
        <v>0.65250215187096916</v>
      </c>
      <c r="H25" s="272">
        <f t="shared" si="2"/>
        <v>0.64514587029973902</v>
      </c>
      <c r="I25" s="272">
        <f t="shared" si="2"/>
        <v>0.63188248890308074</v>
      </c>
      <c r="J25" s="272">
        <f t="shared" si="2"/>
        <v>0.59359823639253761</v>
      </c>
      <c r="K25" s="272">
        <f t="shared" si="2"/>
        <v>0.58047686548294397</v>
      </c>
      <c r="L25" s="272">
        <f t="shared" si="2"/>
        <v>0.55908939535888558</v>
      </c>
      <c r="M25" s="272">
        <f t="shared" si="2"/>
        <v>0.5663791785240736</v>
      </c>
      <c r="N25" s="272">
        <f t="shared" si="2"/>
        <v>0.53451088884175191</v>
      </c>
      <c r="O25" s="272">
        <f t="shared" si="2"/>
        <v>0.51278588556405624</v>
      </c>
      <c r="P25" s="272">
        <f t="shared" si="2"/>
        <v>0.50217518560419072</v>
      </c>
      <c r="Q25" s="272">
        <f t="shared" si="2"/>
        <v>0.47989866837337625</v>
      </c>
      <c r="R25" s="272">
        <f t="shared" si="2"/>
        <v>0.47116667766191189</v>
      </c>
      <c r="S25" s="272">
        <f t="shared" si="2"/>
        <v>0.47118179522599657</v>
      </c>
      <c r="T25" s="272">
        <f t="shared" si="2"/>
        <v>0.49546794825048168</v>
      </c>
      <c r="U25" s="272">
        <f t="shared" si="2"/>
        <v>0.51200710544097461</v>
      </c>
      <c r="V25" s="272">
        <f t="shared" si="2"/>
        <v>0.50938120868952685</v>
      </c>
      <c r="W25" s="272">
        <f t="shared" si="2"/>
        <v>0.50696140023953484</v>
      </c>
      <c r="X25" s="272">
        <f t="shared" si="2"/>
        <v>0.48917579502168484</v>
      </c>
      <c r="Y25" s="272">
        <f t="shared" si="2"/>
        <v>0.48672593667617914</v>
      </c>
      <c r="Z25" s="272">
        <f t="shared" si="2"/>
        <v>0.48690186206705077</v>
      </c>
      <c r="AA25" s="272">
        <f t="shared" si="2"/>
        <v>0.48697571781450566</v>
      </c>
      <c r="AB25" s="272">
        <f t="shared" si="2"/>
        <v>0.48698732630389185</v>
      </c>
      <c r="AC25" s="272">
        <f t="shared" si="2"/>
        <v>0.48694304069272154</v>
      </c>
      <c r="AD25" s="272">
        <f t="shared" si="2"/>
        <v>0.4868347228053127</v>
      </c>
      <c r="AE25" s="15"/>
    </row>
    <row r="26" spans="2:31" ht="13.8" customHeight="1" x14ac:dyDescent="0.3">
      <c r="B26" s="12"/>
      <c r="C26" s="166" t="s">
        <v>139</v>
      </c>
      <c r="D26" s="276" t="s">
        <v>140</v>
      </c>
      <c r="E26" s="273">
        <v>0</v>
      </c>
      <c r="F26" s="273">
        <v>0</v>
      </c>
      <c r="G26" s="273">
        <v>0</v>
      </c>
      <c r="H26" s="273">
        <v>0</v>
      </c>
      <c r="I26" s="273">
        <v>0</v>
      </c>
      <c r="J26" s="273">
        <v>0</v>
      </c>
      <c r="K26" s="273">
        <v>0</v>
      </c>
      <c r="L26" s="273">
        <v>0</v>
      </c>
      <c r="M26" s="273">
        <v>0</v>
      </c>
      <c r="N26" s="273">
        <v>0</v>
      </c>
      <c r="O26" s="273">
        <v>0</v>
      </c>
      <c r="P26" s="273">
        <v>0</v>
      </c>
      <c r="Q26" s="273">
        <v>0</v>
      </c>
      <c r="R26" s="273">
        <v>0</v>
      </c>
      <c r="S26" s="273">
        <v>0</v>
      </c>
      <c r="T26" s="273">
        <v>0</v>
      </c>
      <c r="U26" s="273">
        <v>0</v>
      </c>
      <c r="V26" s="273">
        <v>0</v>
      </c>
      <c r="W26" s="273">
        <v>0</v>
      </c>
      <c r="X26" s="273">
        <v>0</v>
      </c>
      <c r="Y26" s="273">
        <v>0</v>
      </c>
      <c r="Z26" s="273">
        <v>0</v>
      </c>
      <c r="AA26" s="273">
        <v>0</v>
      </c>
      <c r="AB26" s="273">
        <v>0</v>
      </c>
      <c r="AC26" s="273">
        <v>0</v>
      </c>
      <c r="AD26" s="273">
        <v>0</v>
      </c>
      <c r="AE26" s="15"/>
    </row>
    <row r="27" spans="2:31" x14ac:dyDescent="0.3">
      <c r="B27" s="12"/>
      <c r="C27" s="163"/>
      <c r="D27" s="163"/>
      <c r="E27" s="270">
        <f t="shared" ref="E27:L27" si="3">E23+E24+E25</f>
        <v>1</v>
      </c>
      <c r="F27" s="270">
        <f t="shared" si="3"/>
        <v>1</v>
      </c>
      <c r="G27" s="270">
        <f t="shared" si="3"/>
        <v>1</v>
      </c>
      <c r="H27" s="270">
        <f t="shared" si="3"/>
        <v>1</v>
      </c>
      <c r="I27" s="270">
        <f t="shared" si="3"/>
        <v>1</v>
      </c>
      <c r="J27" s="270">
        <f t="shared" si="3"/>
        <v>1</v>
      </c>
      <c r="K27" s="270">
        <f t="shared" si="3"/>
        <v>1</v>
      </c>
      <c r="L27" s="270">
        <f t="shared" si="3"/>
        <v>1</v>
      </c>
      <c r="M27" s="270">
        <f>M23+M24+M25</f>
        <v>1</v>
      </c>
      <c r="N27" s="270">
        <f t="shared" ref="N27:AD27" si="4">N23+N24+N25</f>
        <v>1</v>
      </c>
      <c r="O27" s="270">
        <f t="shared" si="4"/>
        <v>1</v>
      </c>
      <c r="P27" s="270">
        <f t="shared" si="4"/>
        <v>1</v>
      </c>
      <c r="Q27" s="270">
        <f t="shared" si="4"/>
        <v>1</v>
      </c>
      <c r="R27" s="270">
        <f t="shared" si="4"/>
        <v>1</v>
      </c>
      <c r="S27" s="270">
        <f t="shared" si="4"/>
        <v>1</v>
      </c>
      <c r="T27" s="270">
        <f t="shared" si="4"/>
        <v>1</v>
      </c>
      <c r="U27" s="270">
        <f t="shared" si="4"/>
        <v>1</v>
      </c>
      <c r="V27" s="270">
        <f t="shared" si="4"/>
        <v>1</v>
      </c>
      <c r="W27" s="270">
        <f t="shared" si="4"/>
        <v>1</v>
      </c>
      <c r="X27" s="270">
        <f t="shared" si="4"/>
        <v>1</v>
      </c>
      <c r="Y27" s="270">
        <f t="shared" si="4"/>
        <v>1</v>
      </c>
      <c r="Z27" s="270">
        <f t="shared" si="4"/>
        <v>1</v>
      </c>
      <c r="AA27" s="270">
        <f t="shared" si="4"/>
        <v>1</v>
      </c>
      <c r="AB27" s="270">
        <f t="shared" si="4"/>
        <v>1</v>
      </c>
      <c r="AC27" s="270">
        <f t="shared" si="4"/>
        <v>1</v>
      </c>
      <c r="AD27" s="270">
        <f t="shared" si="4"/>
        <v>1</v>
      </c>
      <c r="AE27" s="15"/>
    </row>
    <row r="28" spans="2:31" x14ac:dyDescent="0.3">
      <c r="B28" s="12"/>
      <c r="C28" s="164" t="s">
        <v>193</v>
      </c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164"/>
      <c r="AC28" s="164"/>
      <c r="AD28" s="164"/>
      <c r="AE28" s="277"/>
    </row>
    <row r="29" spans="2:31" x14ac:dyDescent="0.3">
      <c r="B29" s="12"/>
      <c r="C29" s="166" t="s">
        <v>64</v>
      </c>
      <c r="D29" s="163" t="s">
        <v>27</v>
      </c>
      <c r="E29" s="169">
        <f>E23</f>
        <v>0</v>
      </c>
      <c r="F29" s="169">
        <f t="shared" ref="F29:AD29" si="5">F23</f>
        <v>0</v>
      </c>
      <c r="G29" s="169">
        <f t="shared" si="5"/>
        <v>0</v>
      </c>
      <c r="H29" s="169">
        <f t="shared" si="5"/>
        <v>0</v>
      </c>
      <c r="I29" s="169">
        <f t="shared" si="5"/>
        <v>0</v>
      </c>
      <c r="J29" s="169">
        <f t="shared" si="5"/>
        <v>0</v>
      </c>
      <c r="K29" s="169">
        <f t="shared" si="5"/>
        <v>0</v>
      </c>
      <c r="L29" s="169">
        <f t="shared" si="5"/>
        <v>0</v>
      </c>
      <c r="M29" s="169">
        <f t="shared" si="5"/>
        <v>0</v>
      </c>
      <c r="N29" s="169">
        <f t="shared" si="5"/>
        <v>0</v>
      </c>
      <c r="O29" s="169">
        <f t="shared" si="5"/>
        <v>0</v>
      </c>
      <c r="P29" s="169">
        <f t="shared" si="5"/>
        <v>0</v>
      </c>
      <c r="Q29" s="169">
        <f t="shared" si="5"/>
        <v>0</v>
      </c>
      <c r="R29" s="169">
        <f t="shared" si="5"/>
        <v>0</v>
      </c>
      <c r="S29" s="169">
        <f t="shared" si="5"/>
        <v>0</v>
      </c>
      <c r="T29" s="169">
        <f t="shared" si="5"/>
        <v>0</v>
      </c>
      <c r="U29" s="169">
        <f t="shared" si="5"/>
        <v>0</v>
      </c>
      <c r="V29" s="169">
        <f t="shared" si="5"/>
        <v>0</v>
      </c>
      <c r="W29" s="169">
        <f t="shared" si="5"/>
        <v>0</v>
      </c>
      <c r="X29" s="169">
        <f t="shared" si="5"/>
        <v>0</v>
      </c>
      <c r="Y29" s="169">
        <f t="shared" si="5"/>
        <v>0</v>
      </c>
      <c r="Z29" s="169">
        <f t="shared" si="5"/>
        <v>0</v>
      </c>
      <c r="AA29" s="169">
        <f t="shared" si="5"/>
        <v>0</v>
      </c>
      <c r="AB29" s="169">
        <f t="shared" si="5"/>
        <v>0</v>
      </c>
      <c r="AC29" s="169">
        <f t="shared" si="5"/>
        <v>0</v>
      </c>
      <c r="AD29" s="169">
        <f t="shared" si="5"/>
        <v>0</v>
      </c>
      <c r="AE29" s="15"/>
    </row>
    <row r="30" spans="2:31" x14ac:dyDescent="0.3">
      <c r="B30" s="12"/>
      <c r="C30" s="166" t="s">
        <v>65</v>
      </c>
      <c r="D30" s="163" t="s">
        <v>28</v>
      </c>
      <c r="E30" s="169">
        <f>E24</f>
        <v>0.33187087167455104</v>
      </c>
      <c r="F30" s="169">
        <f t="shared" ref="F30:AD30" si="6">F24</f>
        <v>0.33971005685541988</v>
      </c>
      <c r="G30" s="169">
        <f t="shared" si="6"/>
        <v>0.34749784812903084</v>
      </c>
      <c r="H30" s="169">
        <f t="shared" si="6"/>
        <v>0.35485412970026103</v>
      </c>
      <c r="I30" s="169">
        <f t="shared" si="6"/>
        <v>0.3681175110969192</v>
      </c>
      <c r="J30" s="169">
        <f t="shared" si="6"/>
        <v>0.40640176360746239</v>
      </c>
      <c r="K30" s="169">
        <f t="shared" si="6"/>
        <v>0.41952313451705608</v>
      </c>
      <c r="L30" s="169">
        <f t="shared" si="6"/>
        <v>0.44091060464111448</v>
      </c>
      <c r="M30" s="169">
        <f t="shared" si="6"/>
        <v>0.4336208214759264</v>
      </c>
      <c r="N30" s="169">
        <f t="shared" si="6"/>
        <v>0.46548911115824809</v>
      </c>
      <c r="O30" s="169">
        <f t="shared" si="6"/>
        <v>0.48721411443594376</v>
      </c>
      <c r="P30" s="169">
        <f t="shared" si="6"/>
        <v>0.49782481439580933</v>
      </c>
      <c r="Q30" s="169">
        <f t="shared" si="6"/>
        <v>0.52010133162662375</v>
      </c>
      <c r="R30" s="169">
        <f t="shared" si="6"/>
        <v>0.52883332233808811</v>
      </c>
      <c r="S30" s="169">
        <f t="shared" si="6"/>
        <v>0.52881820477400343</v>
      </c>
      <c r="T30" s="169">
        <f t="shared" si="6"/>
        <v>0.50453205174951832</v>
      </c>
      <c r="U30" s="169">
        <f t="shared" si="6"/>
        <v>0.48799289455902539</v>
      </c>
      <c r="V30" s="169">
        <f t="shared" si="6"/>
        <v>0.4906187913104732</v>
      </c>
      <c r="W30" s="169">
        <f t="shared" si="6"/>
        <v>0.49303859976046516</v>
      </c>
      <c r="X30" s="169">
        <f t="shared" si="6"/>
        <v>0.51082420497831516</v>
      </c>
      <c r="Y30" s="169">
        <f t="shared" si="6"/>
        <v>0.51327406332382086</v>
      </c>
      <c r="Z30" s="169">
        <f t="shared" si="6"/>
        <v>0.51309813793294923</v>
      </c>
      <c r="AA30" s="169">
        <f t="shared" si="6"/>
        <v>0.51302428218549434</v>
      </c>
      <c r="AB30" s="169">
        <f t="shared" si="6"/>
        <v>0.51301267369610815</v>
      </c>
      <c r="AC30" s="169">
        <f t="shared" si="6"/>
        <v>0.51305695930727846</v>
      </c>
      <c r="AD30" s="169">
        <f t="shared" si="6"/>
        <v>0.5131652771946873</v>
      </c>
      <c r="AE30" s="15"/>
    </row>
    <row r="31" spans="2:31" x14ac:dyDescent="0.3">
      <c r="B31" s="12"/>
      <c r="C31" s="166" t="s">
        <v>63</v>
      </c>
      <c r="D31" s="163" t="s">
        <v>29</v>
      </c>
      <c r="E31" s="169">
        <f t="shared" ref="E31:R31" si="7">1-E30-E29</f>
        <v>0.66812912832544891</v>
      </c>
      <c r="F31" s="169">
        <f t="shared" si="7"/>
        <v>0.66028994314458012</v>
      </c>
      <c r="G31" s="169">
        <f t="shared" si="7"/>
        <v>0.65250215187096916</v>
      </c>
      <c r="H31" s="169">
        <f t="shared" si="7"/>
        <v>0.64514587029973902</v>
      </c>
      <c r="I31" s="169">
        <f t="shared" si="7"/>
        <v>0.63188248890308074</v>
      </c>
      <c r="J31" s="169">
        <f t="shared" si="7"/>
        <v>0.59359823639253761</v>
      </c>
      <c r="K31" s="169">
        <f t="shared" si="7"/>
        <v>0.58047686548294397</v>
      </c>
      <c r="L31" s="169">
        <f t="shared" si="7"/>
        <v>0.55908939535888558</v>
      </c>
      <c r="M31" s="169">
        <f t="shared" si="7"/>
        <v>0.5663791785240736</v>
      </c>
      <c r="N31" s="169">
        <f t="shared" si="7"/>
        <v>0.53451088884175191</v>
      </c>
      <c r="O31" s="169">
        <f t="shared" si="7"/>
        <v>0.51278588556405624</v>
      </c>
      <c r="P31" s="169">
        <f t="shared" si="7"/>
        <v>0.50217518560419072</v>
      </c>
      <c r="Q31" s="169">
        <f t="shared" si="7"/>
        <v>0.47989866837337625</v>
      </c>
      <c r="R31" s="169">
        <f t="shared" si="7"/>
        <v>0.47116667766191189</v>
      </c>
      <c r="S31" s="169">
        <f>1-S30-S29</f>
        <v>0.47118179522599657</v>
      </c>
      <c r="T31" s="169">
        <f>1-T30-T29</f>
        <v>0.49546794825048168</v>
      </c>
      <c r="U31" s="169">
        <f t="shared" ref="U31:AD31" si="8">1-U30-U29</f>
        <v>0.51200710544097461</v>
      </c>
      <c r="V31" s="169">
        <f t="shared" si="8"/>
        <v>0.50938120868952685</v>
      </c>
      <c r="W31" s="169">
        <f t="shared" si="8"/>
        <v>0.50696140023953484</v>
      </c>
      <c r="X31" s="169">
        <f t="shared" si="8"/>
        <v>0.48917579502168484</v>
      </c>
      <c r="Y31" s="169">
        <f t="shared" si="8"/>
        <v>0.48672593667617914</v>
      </c>
      <c r="Z31" s="169">
        <f t="shared" si="8"/>
        <v>0.48690186206705077</v>
      </c>
      <c r="AA31" s="169">
        <f t="shared" si="8"/>
        <v>0.48697571781450566</v>
      </c>
      <c r="AB31" s="169">
        <f t="shared" si="8"/>
        <v>0.48698732630389185</v>
      </c>
      <c r="AC31" s="169">
        <f t="shared" si="8"/>
        <v>0.48694304069272154</v>
      </c>
      <c r="AD31" s="169">
        <f t="shared" si="8"/>
        <v>0.4868347228053127</v>
      </c>
      <c r="AE31" s="15"/>
    </row>
    <row r="32" spans="2:31" x14ac:dyDescent="0.3">
      <c r="B32" s="12"/>
      <c r="C32" s="166" t="s">
        <v>137</v>
      </c>
      <c r="D32" s="163" t="s">
        <v>138</v>
      </c>
      <c r="E32" s="169">
        <v>0</v>
      </c>
      <c r="F32" s="169">
        <v>0</v>
      </c>
      <c r="G32" s="169">
        <v>0</v>
      </c>
      <c r="H32" s="169">
        <v>0</v>
      </c>
      <c r="I32" s="169">
        <v>0</v>
      </c>
      <c r="J32" s="169">
        <v>0</v>
      </c>
      <c r="K32" s="169">
        <v>0</v>
      </c>
      <c r="L32" s="169">
        <v>0</v>
      </c>
      <c r="M32" s="169">
        <v>0</v>
      </c>
      <c r="N32" s="169">
        <v>0</v>
      </c>
      <c r="O32" s="169">
        <v>0</v>
      </c>
      <c r="P32" s="169">
        <v>0</v>
      </c>
      <c r="Q32" s="169">
        <v>0</v>
      </c>
      <c r="R32" s="169">
        <v>0</v>
      </c>
      <c r="S32" s="169">
        <v>0</v>
      </c>
      <c r="T32" s="169">
        <v>0</v>
      </c>
      <c r="U32" s="169">
        <v>0</v>
      </c>
      <c r="V32" s="169">
        <v>0</v>
      </c>
      <c r="W32" s="169">
        <v>0</v>
      </c>
      <c r="X32" s="169">
        <v>0</v>
      </c>
      <c r="Y32" s="169">
        <v>0</v>
      </c>
      <c r="Z32" s="169">
        <v>0</v>
      </c>
      <c r="AA32" s="169">
        <v>0</v>
      </c>
      <c r="AB32" s="169">
        <v>0</v>
      </c>
      <c r="AC32" s="169">
        <v>0</v>
      </c>
      <c r="AD32" s="169">
        <v>0</v>
      </c>
      <c r="AE32" s="15"/>
    </row>
    <row r="33" spans="2:31" x14ac:dyDescent="0.3">
      <c r="B33" s="12"/>
      <c r="C33" s="163"/>
      <c r="D33" s="163"/>
      <c r="E33" s="270">
        <f t="shared" ref="E33:L33" si="9">SUM(E29:E32)</f>
        <v>1</v>
      </c>
      <c r="F33" s="270">
        <f t="shared" si="9"/>
        <v>1</v>
      </c>
      <c r="G33" s="270">
        <f t="shared" si="9"/>
        <v>1</v>
      </c>
      <c r="H33" s="270">
        <f t="shared" si="9"/>
        <v>1</v>
      </c>
      <c r="I33" s="270">
        <f t="shared" si="9"/>
        <v>1</v>
      </c>
      <c r="J33" s="270">
        <f t="shared" si="9"/>
        <v>1</v>
      </c>
      <c r="K33" s="270">
        <f t="shared" si="9"/>
        <v>1</v>
      </c>
      <c r="L33" s="270">
        <f t="shared" si="9"/>
        <v>1</v>
      </c>
      <c r="M33" s="270">
        <f>SUM(M29:M32)</f>
        <v>1</v>
      </c>
      <c r="N33" s="270">
        <f t="shared" ref="N33:AD33" si="10">SUM(N29:N32)</f>
        <v>1</v>
      </c>
      <c r="O33" s="270">
        <f t="shared" si="10"/>
        <v>1</v>
      </c>
      <c r="P33" s="270">
        <f t="shared" si="10"/>
        <v>1</v>
      </c>
      <c r="Q33" s="270">
        <f t="shared" si="10"/>
        <v>1</v>
      </c>
      <c r="R33" s="270">
        <f t="shared" si="10"/>
        <v>1</v>
      </c>
      <c r="S33" s="270">
        <f t="shared" si="10"/>
        <v>1</v>
      </c>
      <c r="T33" s="270">
        <f t="shared" si="10"/>
        <v>1</v>
      </c>
      <c r="U33" s="270">
        <f t="shared" si="10"/>
        <v>1</v>
      </c>
      <c r="V33" s="270">
        <f t="shared" si="10"/>
        <v>1</v>
      </c>
      <c r="W33" s="270">
        <f t="shared" si="10"/>
        <v>1</v>
      </c>
      <c r="X33" s="270">
        <f t="shared" si="10"/>
        <v>1</v>
      </c>
      <c r="Y33" s="270">
        <f t="shared" si="10"/>
        <v>1</v>
      </c>
      <c r="Z33" s="270">
        <f t="shared" si="10"/>
        <v>1</v>
      </c>
      <c r="AA33" s="270">
        <f t="shared" si="10"/>
        <v>1</v>
      </c>
      <c r="AB33" s="270">
        <f t="shared" si="10"/>
        <v>1</v>
      </c>
      <c r="AC33" s="270">
        <f t="shared" si="10"/>
        <v>1</v>
      </c>
      <c r="AD33" s="270">
        <f t="shared" si="10"/>
        <v>1</v>
      </c>
      <c r="AE33" s="15"/>
    </row>
    <row r="34" spans="2:31" x14ac:dyDescent="0.3">
      <c r="B34" s="12"/>
      <c r="C34" s="164" t="s">
        <v>196</v>
      </c>
      <c r="D34" s="163"/>
      <c r="E34" s="163"/>
      <c r="F34" s="163"/>
      <c r="G34" s="163"/>
      <c r="H34" s="163"/>
      <c r="I34" s="163"/>
      <c r="J34" s="163"/>
      <c r="K34" s="163"/>
      <c r="L34" s="163"/>
      <c r="M34" s="210"/>
      <c r="N34" s="210"/>
      <c r="O34" s="210"/>
      <c r="P34" s="210"/>
      <c r="Q34" s="210"/>
      <c r="R34" s="210"/>
      <c r="S34" s="210"/>
      <c r="T34" s="210"/>
      <c r="U34" s="210"/>
      <c r="V34" s="210"/>
      <c r="W34" s="210"/>
      <c r="X34" s="210"/>
      <c r="Y34" s="210"/>
      <c r="Z34" s="210"/>
      <c r="AA34" s="210"/>
      <c r="AB34" s="210"/>
      <c r="AC34" s="210"/>
      <c r="AD34" s="210"/>
      <c r="AE34" s="15"/>
    </row>
    <row r="35" spans="2:31" x14ac:dyDescent="0.3">
      <c r="B35" s="12"/>
      <c r="C35" s="163"/>
      <c r="D35" s="164"/>
      <c r="E35" s="164"/>
      <c r="F35" s="164"/>
      <c r="G35" s="164"/>
      <c r="H35" s="164"/>
      <c r="I35" s="164"/>
      <c r="J35" s="164"/>
      <c r="K35" s="164"/>
      <c r="L35" s="164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5"/>
    </row>
    <row r="36" spans="2:31" x14ac:dyDescent="0.3">
      <c r="B36" s="12"/>
      <c r="C36" s="166" t="s">
        <v>60</v>
      </c>
      <c r="D36" s="163" t="s">
        <v>31</v>
      </c>
      <c r="E36" s="169">
        <f>E30</f>
        <v>0.33187087167455104</v>
      </c>
      <c r="F36" s="169">
        <f t="shared" ref="F36:AD36" si="11">F30</f>
        <v>0.33971005685541988</v>
      </c>
      <c r="G36" s="169">
        <f t="shared" si="11"/>
        <v>0.34749784812903084</v>
      </c>
      <c r="H36" s="169">
        <f t="shared" si="11"/>
        <v>0.35485412970026103</v>
      </c>
      <c r="I36" s="169">
        <f t="shared" si="11"/>
        <v>0.3681175110969192</v>
      </c>
      <c r="J36" s="169">
        <f t="shared" si="11"/>
        <v>0.40640176360746239</v>
      </c>
      <c r="K36" s="169">
        <f t="shared" si="11"/>
        <v>0.41952313451705608</v>
      </c>
      <c r="L36" s="169">
        <f t="shared" si="11"/>
        <v>0.44091060464111448</v>
      </c>
      <c r="M36" s="169">
        <f t="shared" si="11"/>
        <v>0.4336208214759264</v>
      </c>
      <c r="N36" s="169">
        <f t="shared" si="11"/>
        <v>0.46548911115824809</v>
      </c>
      <c r="O36" s="169">
        <f t="shared" si="11"/>
        <v>0.48721411443594376</v>
      </c>
      <c r="P36" s="169">
        <f t="shared" si="11"/>
        <v>0.49782481439580933</v>
      </c>
      <c r="Q36" s="169">
        <f t="shared" si="11"/>
        <v>0.52010133162662375</v>
      </c>
      <c r="R36" s="169">
        <f t="shared" si="11"/>
        <v>0.52883332233808811</v>
      </c>
      <c r="S36" s="169">
        <f t="shared" si="11"/>
        <v>0.52881820477400343</v>
      </c>
      <c r="T36" s="169">
        <f t="shared" si="11"/>
        <v>0.50453205174951832</v>
      </c>
      <c r="U36" s="169">
        <f t="shared" si="11"/>
        <v>0.48799289455902539</v>
      </c>
      <c r="V36" s="169">
        <f t="shared" si="11"/>
        <v>0.4906187913104732</v>
      </c>
      <c r="W36" s="169">
        <f t="shared" si="11"/>
        <v>0.49303859976046516</v>
      </c>
      <c r="X36" s="169">
        <f t="shared" si="11"/>
        <v>0.51082420497831516</v>
      </c>
      <c r="Y36" s="169">
        <f t="shared" si="11"/>
        <v>0.51327406332382086</v>
      </c>
      <c r="Z36" s="169">
        <f t="shared" si="11"/>
        <v>0.51309813793294923</v>
      </c>
      <c r="AA36" s="169">
        <f t="shared" si="11"/>
        <v>0.51302428218549434</v>
      </c>
      <c r="AB36" s="169">
        <f t="shared" si="11"/>
        <v>0.51301267369610815</v>
      </c>
      <c r="AC36" s="169">
        <f t="shared" si="11"/>
        <v>0.51305695930727846</v>
      </c>
      <c r="AD36" s="169">
        <f t="shared" si="11"/>
        <v>0.5131652771946873</v>
      </c>
      <c r="AE36" s="15"/>
    </row>
    <row r="37" spans="2:31" x14ac:dyDescent="0.3">
      <c r="B37" s="12"/>
      <c r="C37" s="166" t="s">
        <v>61</v>
      </c>
      <c r="D37" s="163" t="s">
        <v>32</v>
      </c>
      <c r="E37" s="169">
        <f>E29</f>
        <v>0</v>
      </c>
      <c r="F37" s="169">
        <f t="shared" ref="F37:AD37" si="12">F29</f>
        <v>0</v>
      </c>
      <c r="G37" s="169">
        <f t="shared" si="12"/>
        <v>0</v>
      </c>
      <c r="H37" s="169">
        <f t="shared" si="12"/>
        <v>0</v>
      </c>
      <c r="I37" s="169">
        <f t="shared" si="12"/>
        <v>0</v>
      </c>
      <c r="J37" s="169">
        <f t="shared" si="12"/>
        <v>0</v>
      </c>
      <c r="K37" s="169">
        <f t="shared" si="12"/>
        <v>0</v>
      </c>
      <c r="L37" s="169">
        <f t="shared" si="12"/>
        <v>0</v>
      </c>
      <c r="M37" s="169">
        <f t="shared" si="12"/>
        <v>0</v>
      </c>
      <c r="N37" s="169">
        <f t="shared" si="12"/>
        <v>0</v>
      </c>
      <c r="O37" s="169">
        <f t="shared" si="12"/>
        <v>0</v>
      </c>
      <c r="P37" s="169">
        <f t="shared" si="12"/>
        <v>0</v>
      </c>
      <c r="Q37" s="169">
        <f t="shared" si="12"/>
        <v>0</v>
      </c>
      <c r="R37" s="169">
        <f t="shared" si="12"/>
        <v>0</v>
      </c>
      <c r="S37" s="169">
        <f t="shared" si="12"/>
        <v>0</v>
      </c>
      <c r="T37" s="169">
        <f t="shared" si="12"/>
        <v>0</v>
      </c>
      <c r="U37" s="169">
        <f t="shared" si="12"/>
        <v>0</v>
      </c>
      <c r="V37" s="169">
        <f t="shared" si="12"/>
        <v>0</v>
      </c>
      <c r="W37" s="169">
        <f t="shared" si="12"/>
        <v>0</v>
      </c>
      <c r="X37" s="169">
        <f t="shared" si="12"/>
        <v>0</v>
      </c>
      <c r="Y37" s="169">
        <f t="shared" si="12"/>
        <v>0</v>
      </c>
      <c r="Z37" s="169">
        <f t="shared" si="12"/>
        <v>0</v>
      </c>
      <c r="AA37" s="169">
        <f t="shared" si="12"/>
        <v>0</v>
      </c>
      <c r="AB37" s="169">
        <f t="shared" si="12"/>
        <v>0</v>
      </c>
      <c r="AC37" s="169">
        <f t="shared" si="12"/>
        <v>0</v>
      </c>
      <c r="AD37" s="169">
        <f t="shared" si="12"/>
        <v>0</v>
      </c>
      <c r="AE37" s="15"/>
    </row>
    <row r="38" spans="2:31" x14ac:dyDescent="0.3">
      <c r="B38" s="12"/>
      <c r="C38" s="166" t="s">
        <v>62</v>
      </c>
      <c r="D38" s="163" t="s">
        <v>33</v>
      </c>
      <c r="E38" s="169">
        <f>E31</f>
        <v>0.66812912832544891</v>
      </c>
      <c r="F38" s="169">
        <f t="shared" ref="F38:AD38" si="13">F31</f>
        <v>0.66028994314458012</v>
      </c>
      <c r="G38" s="169">
        <f t="shared" si="13"/>
        <v>0.65250215187096916</v>
      </c>
      <c r="H38" s="169">
        <f t="shared" si="13"/>
        <v>0.64514587029973902</v>
      </c>
      <c r="I38" s="169">
        <f t="shared" si="13"/>
        <v>0.63188248890308074</v>
      </c>
      <c r="J38" s="169">
        <f t="shared" si="13"/>
        <v>0.59359823639253761</v>
      </c>
      <c r="K38" s="169">
        <f t="shared" si="13"/>
        <v>0.58047686548294397</v>
      </c>
      <c r="L38" s="169">
        <f t="shared" si="13"/>
        <v>0.55908939535888558</v>
      </c>
      <c r="M38" s="169">
        <f t="shared" si="13"/>
        <v>0.5663791785240736</v>
      </c>
      <c r="N38" s="169">
        <f t="shared" si="13"/>
        <v>0.53451088884175191</v>
      </c>
      <c r="O38" s="169">
        <f t="shared" si="13"/>
        <v>0.51278588556405624</v>
      </c>
      <c r="P38" s="169">
        <f t="shared" si="13"/>
        <v>0.50217518560419072</v>
      </c>
      <c r="Q38" s="169">
        <f t="shared" si="13"/>
        <v>0.47989866837337625</v>
      </c>
      <c r="R38" s="169">
        <f t="shared" si="13"/>
        <v>0.47116667766191189</v>
      </c>
      <c r="S38" s="169">
        <f t="shared" si="13"/>
        <v>0.47118179522599657</v>
      </c>
      <c r="T38" s="169">
        <f t="shared" si="13"/>
        <v>0.49546794825048168</v>
      </c>
      <c r="U38" s="169">
        <f t="shared" si="13"/>
        <v>0.51200710544097461</v>
      </c>
      <c r="V38" s="169">
        <f t="shared" si="13"/>
        <v>0.50938120868952685</v>
      </c>
      <c r="W38" s="169">
        <f t="shared" si="13"/>
        <v>0.50696140023953484</v>
      </c>
      <c r="X38" s="169">
        <f t="shared" si="13"/>
        <v>0.48917579502168484</v>
      </c>
      <c r="Y38" s="169">
        <f t="shared" si="13"/>
        <v>0.48672593667617914</v>
      </c>
      <c r="Z38" s="169">
        <f t="shared" si="13"/>
        <v>0.48690186206705077</v>
      </c>
      <c r="AA38" s="169">
        <f t="shared" si="13"/>
        <v>0.48697571781450566</v>
      </c>
      <c r="AB38" s="169">
        <f t="shared" si="13"/>
        <v>0.48698732630389185</v>
      </c>
      <c r="AC38" s="169">
        <f t="shared" si="13"/>
        <v>0.48694304069272154</v>
      </c>
      <c r="AD38" s="169">
        <f t="shared" si="13"/>
        <v>0.4868347228053127</v>
      </c>
      <c r="AE38" s="15"/>
    </row>
    <row r="39" spans="2:31" x14ac:dyDescent="0.3">
      <c r="B39" s="12"/>
      <c r="C39" s="163"/>
      <c r="D39" s="163"/>
      <c r="E39" s="210">
        <f t="shared" ref="E39:L39" si="14">SUM(E36:E38)</f>
        <v>1</v>
      </c>
      <c r="F39" s="210">
        <f t="shared" si="14"/>
        <v>1</v>
      </c>
      <c r="G39" s="210">
        <f t="shared" si="14"/>
        <v>1</v>
      </c>
      <c r="H39" s="210">
        <f t="shared" si="14"/>
        <v>1</v>
      </c>
      <c r="I39" s="210">
        <f t="shared" si="14"/>
        <v>1</v>
      </c>
      <c r="J39" s="210">
        <f t="shared" si="14"/>
        <v>1</v>
      </c>
      <c r="K39" s="210">
        <f t="shared" si="14"/>
        <v>1</v>
      </c>
      <c r="L39" s="210">
        <f t="shared" si="14"/>
        <v>1</v>
      </c>
      <c r="M39" s="210">
        <f>SUM(M36:M38)</f>
        <v>1</v>
      </c>
      <c r="N39" s="210">
        <f t="shared" ref="N39:AD39" si="15">SUM(N36:N38)</f>
        <v>1</v>
      </c>
      <c r="O39" s="210">
        <f t="shared" si="15"/>
        <v>1</v>
      </c>
      <c r="P39" s="210">
        <f t="shared" si="15"/>
        <v>1</v>
      </c>
      <c r="Q39" s="210">
        <f t="shared" si="15"/>
        <v>1</v>
      </c>
      <c r="R39" s="210">
        <f t="shared" si="15"/>
        <v>1</v>
      </c>
      <c r="S39" s="210">
        <f t="shared" si="15"/>
        <v>1</v>
      </c>
      <c r="T39" s="210">
        <f t="shared" si="15"/>
        <v>1</v>
      </c>
      <c r="U39" s="210">
        <f t="shared" si="15"/>
        <v>1</v>
      </c>
      <c r="V39" s="210">
        <f t="shared" si="15"/>
        <v>1</v>
      </c>
      <c r="W39" s="210">
        <f t="shared" si="15"/>
        <v>1</v>
      </c>
      <c r="X39" s="210">
        <f t="shared" si="15"/>
        <v>1</v>
      </c>
      <c r="Y39" s="210">
        <f t="shared" si="15"/>
        <v>1</v>
      </c>
      <c r="Z39" s="210">
        <f t="shared" si="15"/>
        <v>1</v>
      </c>
      <c r="AA39" s="210">
        <f t="shared" si="15"/>
        <v>1</v>
      </c>
      <c r="AB39" s="210">
        <f t="shared" si="15"/>
        <v>1</v>
      </c>
      <c r="AC39" s="210">
        <f t="shared" si="15"/>
        <v>1</v>
      </c>
      <c r="AD39" s="210">
        <f t="shared" si="15"/>
        <v>1</v>
      </c>
      <c r="AE39" s="15"/>
    </row>
    <row r="40" spans="2:31" ht="15" thickBot="1" x14ac:dyDescent="0.35">
      <c r="B40" s="16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287B4-2E5D-4A68-B359-FDF226739876}">
  <dimension ref="B1:BQ92"/>
  <sheetViews>
    <sheetView zoomScaleNormal="100" workbookViewId="0">
      <pane ySplit="1" topLeftCell="A29" activePane="bottomLeft" state="frozen"/>
      <selection pane="bottomLeft" activeCell="E52" sqref="E52"/>
    </sheetView>
  </sheetViews>
  <sheetFormatPr baseColWidth="10" defaultColWidth="11.44140625" defaultRowHeight="14.4" x14ac:dyDescent="0.3"/>
  <cols>
    <col min="2" max="2" width="20.77734375" bestFit="1" customWidth="1"/>
    <col min="3" max="3" width="31.44140625" customWidth="1"/>
    <col min="4" max="4" width="65.5546875" bestFit="1" customWidth="1"/>
    <col min="5" max="5" width="12.5546875" customWidth="1"/>
    <col min="6" max="12" width="13.6640625" customWidth="1"/>
    <col min="16" max="16" width="13.77734375" bestFit="1" customWidth="1"/>
    <col min="20" max="20" width="19.6640625" bestFit="1" customWidth="1"/>
    <col min="23" max="23" width="16" bestFit="1" customWidth="1"/>
  </cols>
  <sheetData>
    <row r="1" spans="2:66" ht="20.399999999999999" thickBot="1" x14ac:dyDescent="0.35">
      <c r="B1" s="1"/>
      <c r="C1" s="2"/>
      <c r="D1" s="2" t="s">
        <v>12</v>
      </c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3">
        <v>2036</v>
      </c>
      <c r="AF1" s="3">
        <v>2037</v>
      </c>
      <c r="AG1" s="3">
        <v>2038</v>
      </c>
      <c r="AH1" s="3">
        <v>2039</v>
      </c>
      <c r="AI1" s="3">
        <v>2040</v>
      </c>
      <c r="AJ1" s="3">
        <v>2041</v>
      </c>
      <c r="AK1" s="3">
        <v>2042</v>
      </c>
      <c r="AL1" s="3">
        <v>2043</v>
      </c>
      <c r="AM1" s="3">
        <v>2044</v>
      </c>
      <c r="AN1" s="3">
        <v>2045</v>
      </c>
      <c r="AO1" s="3">
        <v>2046</v>
      </c>
      <c r="AP1" s="3">
        <v>2047</v>
      </c>
      <c r="AQ1" s="3">
        <v>2048</v>
      </c>
      <c r="AR1" s="3">
        <v>2049</v>
      </c>
      <c r="AS1" s="3">
        <v>2050</v>
      </c>
      <c r="AT1" s="3">
        <v>2051</v>
      </c>
      <c r="AU1" s="3">
        <v>2052</v>
      </c>
      <c r="AV1" s="3">
        <v>2053</v>
      </c>
      <c r="AW1" s="3">
        <v>2054</v>
      </c>
      <c r="AX1" s="3">
        <v>2055</v>
      </c>
      <c r="AY1" s="3">
        <v>2056</v>
      </c>
      <c r="AZ1" s="3">
        <v>2057</v>
      </c>
      <c r="BA1" s="3">
        <v>2058</v>
      </c>
      <c r="BB1" s="3">
        <v>2059</v>
      </c>
      <c r="BC1" s="3">
        <v>2060</v>
      </c>
      <c r="BD1" s="3">
        <v>2061</v>
      </c>
      <c r="BE1" s="3">
        <v>2062</v>
      </c>
      <c r="BF1" s="3">
        <v>2063</v>
      </c>
      <c r="BG1" s="3">
        <v>2064</v>
      </c>
      <c r="BH1" s="3">
        <v>2065</v>
      </c>
      <c r="BI1" s="3">
        <v>2066</v>
      </c>
      <c r="BJ1" s="3">
        <v>2067</v>
      </c>
      <c r="BK1" s="3">
        <v>2068</v>
      </c>
      <c r="BL1" s="3">
        <v>2069</v>
      </c>
      <c r="BM1" s="3">
        <v>2070</v>
      </c>
      <c r="BN1" s="4"/>
    </row>
    <row r="2" spans="2:66" ht="15" thickBot="1" x14ac:dyDescent="0.35"/>
    <row r="3" spans="2:66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</row>
    <row r="4" spans="2:66" x14ac:dyDescent="0.3">
      <c r="B4" s="12"/>
      <c r="C4" s="14"/>
      <c r="D4" s="13" t="s">
        <v>81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</row>
    <row r="5" spans="2:66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 spans="2:66" x14ac:dyDescent="0.3">
      <c r="B6" s="12"/>
      <c r="C6" s="13" t="s">
        <v>69</v>
      </c>
      <c r="D6" s="24" t="s">
        <v>80</v>
      </c>
      <c r="E6" s="24"/>
      <c r="F6" s="24"/>
      <c r="G6" s="24"/>
      <c r="H6" s="24"/>
      <c r="I6" s="24"/>
      <c r="J6" s="24"/>
      <c r="K6" s="24"/>
      <c r="L6" s="2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2:66" x14ac:dyDescent="0.3"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</row>
    <row r="8" spans="2:66" x14ac:dyDescent="0.3">
      <c r="B8" s="14"/>
      <c r="C8" s="13" t="s">
        <v>195</v>
      </c>
      <c r="D8" s="13"/>
      <c r="E8" s="13"/>
      <c r="F8" s="13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</row>
    <row r="9" spans="2:66" x14ac:dyDescent="0.3">
      <c r="B9" s="12"/>
      <c r="C9" s="138" t="s">
        <v>56</v>
      </c>
      <c r="D9" s="14" t="s">
        <v>19</v>
      </c>
      <c r="E9" s="126">
        <f>E22-E16</f>
        <v>2.1916658840930414E-2</v>
      </c>
      <c r="F9" s="126">
        <f t="shared" ref="F9:BM9" si="0">F22-F16</f>
        <v>2.2847277136547911E-2</v>
      </c>
      <c r="G9" s="126">
        <f t="shared" si="0"/>
        <v>2.3548848093229997E-2</v>
      </c>
      <c r="H9" s="126">
        <f t="shared" si="0"/>
        <v>2.6068461389899992E-2</v>
      </c>
      <c r="I9" s="126">
        <f t="shared" si="0"/>
        <v>2.5705053405547393E-2</v>
      </c>
      <c r="J9" s="126">
        <f t="shared" si="0"/>
        <v>2.5605679841712928E-2</v>
      </c>
      <c r="K9" s="126">
        <f t="shared" si="0"/>
        <v>2.5139221689598475E-2</v>
      </c>
      <c r="L9" s="126">
        <f t="shared" si="0"/>
        <v>3.6360819322054837E-2</v>
      </c>
      <c r="M9" s="126">
        <f t="shared" si="0"/>
        <v>3.7907782601153295E-2</v>
      </c>
      <c r="N9" s="126">
        <f t="shared" si="0"/>
        <v>3.4601318667386506E-2</v>
      </c>
      <c r="O9" s="126">
        <f t="shared" si="0"/>
        <v>3.4477970107709165E-2</v>
      </c>
      <c r="P9" s="126">
        <f t="shared" si="0"/>
        <v>3.6748198080469974E-2</v>
      </c>
      <c r="Q9" s="126">
        <f t="shared" si="0"/>
        <v>3.749156917197452E-2</v>
      </c>
      <c r="R9" s="126">
        <f t="shared" si="0"/>
        <v>3.9571633657214389E-2</v>
      </c>
      <c r="S9" s="126">
        <f t="shared" si="0"/>
        <v>3.949880329262772E-2</v>
      </c>
      <c r="T9" s="126">
        <f t="shared" si="0"/>
        <v>3.7971906331224096E-2</v>
      </c>
      <c r="U9" s="126">
        <f t="shared" si="0"/>
        <v>3.6447768388909327E-2</v>
      </c>
      <c r="V9" s="126">
        <f t="shared" si="0"/>
        <v>3.4926286447063762E-2</v>
      </c>
      <c r="W9" s="126">
        <f t="shared" si="0"/>
        <v>3.340717310292024E-2</v>
      </c>
      <c r="X9" s="126">
        <f t="shared" si="0"/>
        <v>3.1890178242469286E-2</v>
      </c>
      <c r="Y9" s="126">
        <f t="shared" si="0"/>
        <v>3.0375351892318346E-2</v>
      </c>
      <c r="Z9" s="126">
        <f t="shared" si="0"/>
        <v>3.0996569691530217E-2</v>
      </c>
      <c r="AA9" s="126">
        <f t="shared" si="0"/>
        <v>3.1040242986472934E-2</v>
      </c>
      <c r="AB9" s="126">
        <f t="shared" si="0"/>
        <v>3.1084361091625864E-2</v>
      </c>
      <c r="AC9" s="126">
        <f t="shared" si="0"/>
        <v>3.1128825062448656E-2</v>
      </c>
      <c r="AD9" s="126">
        <f t="shared" si="0"/>
        <v>3.1173610060145983E-2</v>
      </c>
      <c r="AE9" s="126">
        <f t="shared" si="0"/>
        <v>3.1266262337963091E-2</v>
      </c>
      <c r="AF9" s="126">
        <f t="shared" si="0"/>
        <v>3.1357677203031432E-2</v>
      </c>
      <c r="AG9" s="126">
        <f t="shared" si="0"/>
        <v>3.144784699156624E-2</v>
      </c>
      <c r="AH9" s="126">
        <f t="shared" si="0"/>
        <v>3.1536764894356709E-2</v>
      </c>
      <c r="AI9" s="126">
        <f t="shared" si="0"/>
        <v>3.1624450081201315E-2</v>
      </c>
      <c r="AJ9" s="126">
        <f t="shared" si="0"/>
        <v>3.1710914552315714E-2</v>
      </c>
      <c r="AK9" s="126">
        <f t="shared" si="0"/>
        <v>3.1796172620636054E-2</v>
      </c>
      <c r="AL9" s="126">
        <f t="shared" si="0"/>
        <v>3.1880247907015921E-2</v>
      </c>
      <c r="AM9" s="126">
        <f t="shared" si="0"/>
        <v>3.196316516665991E-2</v>
      </c>
      <c r="AN9" s="126">
        <f t="shared" si="0"/>
        <v>3.2044950763659596E-2</v>
      </c>
      <c r="AO9" s="126">
        <f t="shared" si="0"/>
        <v>3.2125632880664015E-2</v>
      </c>
      <c r="AP9" s="126">
        <f t="shared" si="0"/>
        <v>3.220523895460202E-2</v>
      </c>
      <c r="AQ9" s="126">
        <f t="shared" si="0"/>
        <v>3.2283796305912257E-2</v>
      </c>
      <c r="AR9" s="126">
        <f t="shared" si="0"/>
        <v>3.2361333680702611E-2</v>
      </c>
      <c r="AS9" s="126">
        <f t="shared" si="0"/>
        <v>3.2438491692941336E-2</v>
      </c>
      <c r="AT9" s="126">
        <f t="shared" si="0"/>
        <v>3.2469202160731452E-2</v>
      </c>
      <c r="AU9" s="126">
        <f t="shared" si="0"/>
        <v>3.2498370228039239E-2</v>
      </c>
      <c r="AV9" s="126">
        <f t="shared" si="0"/>
        <v>3.2526045901669458E-2</v>
      </c>
      <c r="AW9" s="126">
        <f t="shared" si="0"/>
        <v>3.2552276256477622E-2</v>
      </c>
      <c r="AX9" s="126">
        <f t="shared" si="0"/>
        <v>3.2577105568039229E-2</v>
      </c>
      <c r="AY9" s="126">
        <f t="shared" si="0"/>
        <v>3.2600575436547714E-2</v>
      </c>
      <c r="AZ9" s="126">
        <f t="shared" si="0"/>
        <v>3.2622724902424134E-2</v>
      </c>
      <c r="BA9" s="126">
        <f t="shared" si="0"/>
        <v>3.2643590554086534E-2</v>
      </c>
      <c r="BB9" s="126">
        <f t="shared" si="0"/>
        <v>3.2663206628293757E-2</v>
      </c>
      <c r="BC9" s="126">
        <f t="shared" si="0"/>
        <v>3.2681605103447663E-2</v>
      </c>
      <c r="BD9" s="126">
        <f t="shared" si="0"/>
        <v>3.2698815786208507E-2</v>
      </c>
      <c r="BE9" s="126">
        <f t="shared" si="0"/>
        <v>3.2714866391751071E-2</v>
      </c>
      <c r="BF9" s="126">
        <f t="shared" si="0"/>
        <v>3.2729782617963214E-2</v>
      </c>
      <c r="BG9" s="126">
        <f t="shared" si="0"/>
        <v>3.2743588213864278E-2</v>
      </c>
      <c r="BH9" s="126">
        <f t="shared" si="0"/>
        <v>3.2756305042497935E-2</v>
      </c>
      <c r="BI9" s="126">
        <f t="shared" si="0"/>
        <v>3.2767953138532022E-2</v>
      </c>
      <c r="BJ9" s="126">
        <f t="shared" si="0"/>
        <v>3.277855076077766E-2</v>
      </c>
      <c r="BK9" s="126">
        <f t="shared" si="0"/>
        <v>3.2788114439819903E-2</v>
      </c>
      <c r="BL9" s="126">
        <f t="shared" si="0"/>
        <v>3.2796659020933719E-2</v>
      </c>
      <c r="BM9" s="126">
        <f t="shared" si="0"/>
        <v>3.2639379522583147E-2</v>
      </c>
      <c r="BN9" s="15"/>
    </row>
    <row r="10" spans="2:66" x14ac:dyDescent="0.3">
      <c r="B10" s="12"/>
      <c r="C10" s="138" t="s">
        <v>141</v>
      </c>
      <c r="D10" s="14" t="s">
        <v>142</v>
      </c>
      <c r="E10" s="21">
        <v>0</v>
      </c>
      <c r="F10" s="21">
        <v>0</v>
      </c>
      <c r="G10" s="21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0</v>
      </c>
      <c r="N10" s="21">
        <v>0</v>
      </c>
      <c r="O10" s="21">
        <v>0</v>
      </c>
      <c r="P10" s="21">
        <v>0</v>
      </c>
      <c r="Q10" s="21">
        <v>0</v>
      </c>
      <c r="R10" s="21">
        <v>0</v>
      </c>
      <c r="S10" s="21">
        <v>0</v>
      </c>
      <c r="T10" s="21">
        <v>0</v>
      </c>
      <c r="U10" s="21">
        <v>0</v>
      </c>
      <c r="V10" s="21">
        <v>0</v>
      </c>
      <c r="W10" s="21">
        <v>0</v>
      </c>
      <c r="X10" s="21">
        <v>0</v>
      </c>
      <c r="Y10" s="126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>
        <v>0</v>
      </c>
      <c r="AF10" s="21">
        <v>0</v>
      </c>
      <c r="AG10" s="21">
        <v>0</v>
      </c>
      <c r="AH10" s="21">
        <v>0</v>
      </c>
      <c r="AI10" s="21">
        <v>0</v>
      </c>
      <c r="AJ10" s="21">
        <v>0</v>
      </c>
      <c r="AK10" s="21">
        <v>0</v>
      </c>
      <c r="AL10" s="21">
        <v>0</v>
      </c>
      <c r="AM10" s="21">
        <v>0</v>
      </c>
      <c r="AN10" s="21">
        <v>0</v>
      </c>
      <c r="AO10" s="21">
        <v>0</v>
      </c>
      <c r="AP10" s="21">
        <v>0</v>
      </c>
      <c r="AQ10" s="21">
        <v>0</v>
      </c>
      <c r="AR10" s="21">
        <v>0</v>
      </c>
      <c r="AS10" s="21">
        <v>0</v>
      </c>
      <c r="AT10" s="21">
        <v>0</v>
      </c>
      <c r="AU10" s="21">
        <v>0</v>
      </c>
      <c r="AV10" s="21">
        <v>0</v>
      </c>
      <c r="AW10" s="21">
        <v>0</v>
      </c>
      <c r="AX10" s="21">
        <v>0</v>
      </c>
      <c r="AY10" s="21">
        <v>0</v>
      </c>
      <c r="AZ10" s="21">
        <v>0</v>
      </c>
      <c r="BA10" s="21">
        <v>0</v>
      </c>
      <c r="BB10" s="21">
        <v>0</v>
      </c>
      <c r="BC10" s="21">
        <v>0</v>
      </c>
      <c r="BD10" s="21">
        <v>0</v>
      </c>
      <c r="BE10" s="21">
        <v>0</v>
      </c>
      <c r="BF10" s="21">
        <v>0</v>
      </c>
      <c r="BG10" s="21">
        <v>0</v>
      </c>
      <c r="BH10" s="21">
        <v>0</v>
      </c>
      <c r="BI10" s="21">
        <v>0</v>
      </c>
      <c r="BJ10" s="21">
        <v>0</v>
      </c>
      <c r="BK10" s="21">
        <v>0</v>
      </c>
      <c r="BL10" s="21">
        <v>0</v>
      </c>
      <c r="BM10" s="21">
        <v>0</v>
      </c>
      <c r="BN10" s="15"/>
    </row>
    <row r="11" spans="2:66" x14ac:dyDescent="0.3">
      <c r="B11" s="12"/>
      <c r="C11" s="138" t="s">
        <v>57</v>
      </c>
      <c r="D11" s="14" t="s">
        <v>20</v>
      </c>
      <c r="E11" s="126">
        <v>2.3762538181818366E-2</v>
      </c>
      <c r="F11" s="126">
        <v>2.5779778181818272E-2</v>
      </c>
      <c r="G11" s="126">
        <v>2.7964623215663609E-2</v>
      </c>
      <c r="H11" s="126">
        <v>2.8890301226056282E-2</v>
      </c>
      <c r="I11" s="126">
        <v>2.6905000000000002E-2</v>
      </c>
      <c r="J11" s="126">
        <v>3.1899999999999998E-2</v>
      </c>
      <c r="K11" s="126">
        <v>2.5704999999999999E-2</v>
      </c>
      <c r="L11" s="126">
        <v>4.4744999999999993E-2</v>
      </c>
      <c r="M11" s="126">
        <v>4.2993000000000003E-2</v>
      </c>
      <c r="N11" s="126">
        <v>4.0679999999999994E-2</v>
      </c>
      <c r="O11" s="126">
        <v>4.0104000000000008E-2</v>
      </c>
      <c r="P11" s="126">
        <v>4.1883999999999991E-2</v>
      </c>
      <c r="Q11" s="126">
        <v>4.9484600000000011E-2</v>
      </c>
      <c r="R11" s="126">
        <v>4.3686999999999997E-2</v>
      </c>
      <c r="S11" s="126">
        <v>4.3686999999999997E-2</v>
      </c>
      <c r="T11" s="127">
        <f>T26</f>
        <v>4.2385520453392722E-2</v>
      </c>
      <c r="U11" s="127">
        <f t="shared" ref="U11:BM11" si="1">U26</f>
        <v>4.1084040906785635E-2</v>
      </c>
      <c r="V11" s="127">
        <f t="shared" si="1"/>
        <v>3.9782561360178548E-2</v>
      </c>
      <c r="W11" s="127">
        <f t="shared" si="1"/>
        <v>3.8481081813571461E-2</v>
      </c>
      <c r="X11" s="127">
        <f t="shared" si="1"/>
        <v>3.7179602266964373E-2</v>
      </c>
      <c r="Y11" s="128">
        <f t="shared" si="1"/>
        <v>3.5878122720357099E-2</v>
      </c>
      <c r="Z11" s="127">
        <f t="shared" si="1"/>
        <v>3.5924604132735925E-2</v>
      </c>
      <c r="AA11" s="127">
        <f t="shared" si="1"/>
        <v>3.5971085545114752E-2</v>
      </c>
      <c r="AB11" s="127">
        <f t="shared" si="1"/>
        <v>3.6017566957493578E-2</v>
      </c>
      <c r="AC11" s="127">
        <f t="shared" si="1"/>
        <v>3.6064048369872405E-2</v>
      </c>
      <c r="AD11" s="127">
        <f t="shared" si="1"/>
        <v>3.6110529782251231E-2</v>
      </c>
      <c r="AE11" s="127">
        <f t="shared" si="1"/>
        <v>3.6157011194630058E-2</v>
      </c>
      <c r="AF11" s="127">
        <f t="shared" si="1"/>
        <v>3.6203492607008884E-2</v>
      </c>
      <c r="AG11" s="127">
        <f t="shared" si="1"/>
        <v>3.6249974019387711E-2</v>
      </c>
      <c r="AH11" s="127">
        <f t="shared" si="1"/>
        <v>3.6296455431766537E-2</v>
      </c>
      <c r="AI11" s="127">
        <f t="shared" si="1"/>
        <v>3.6342936844145364E-2</v>
      </c>
      <c r="AJ11" s="127">
        <f t="shared" si="1"/>
        <v>3.6389418256524191E-2</v>
      </c>
      <c r="AK11" s="127">
        <f t="shared" si="1"/>
        <v>3.6435899668903017E-2</v>
      </c>
      <c r="AL11" s="127">
        <f t="shared" si="1"/>
        <v>3.6482381081281844E-2</v>
      </c>
      <c r="AM11" s="127">
        <f t="shared" si="1"/>
        <v>3.652886249366067E-2</v>
      </c>
      <c r="AN11" s="127">
        <f t="shared" si="1"/>
        <v>3.6575343906039497E-2</v>
      </c>
      <c r="AO11" s="127">
        <f t="shared" si="1"/>
        <v>3.6621825318418323E-2</v>
      </c>
      <c r="AP11" s="127">
        <f t="shared" si="1"/>
        <v>3.666830673079715E-2</v>
      </c>
      <c r="AQ11" s="127">
        <f t="shared" si="1"/>
        <v>3.6714788143175976E-2</v>
      </c>
      <c r="AR11" s="127">
        <f t="shared" si="1"/>
        <v>3.6761269555554803E-2</v>
      </c>
      <c r="AS11" s="127">
        <f t="shared" si="1"/>
        <v>3.6807750967933636E-2</v>
      </c>
      <c r="AT11" s="127">
        <f t="shared" si="1"/>
        <v>3.6807750967933636E-2</v>
      </c>
      <c r="AU11" s="127">
        <f t="shared" si="1"/>
        <v>3.6807750967933636E-2</v>
      </c>
      <c r="AV11" s="127">
        <f t="shared" si="1"/>
        <v>3.6807750967933636E-2</v>
      </c>
      <c r="AW11" s="127">
        <f t="shared" si="1"/>
        <v>3.6807750967933636E-2</v>
      </c>
      <c r="AX11" s="127">
        <f t="shared" si="1"/>
        <v>3.6807750967933636E-2</v>
      </c>
      <c r="AY11" s="127">
        <f t="shared" si="1"/>
        <v>3.6807750967933636E-2</v>
      </c>
      <c r="AZ11" s="127">
        <f t="shared" si="1"/>
        <v>3.6807750967933636E-2</v>
      </c>
      <c r="BA11" s="127">
        <f t="shared" si="1"/>
        <v>3.6807750967933636E-2</v>
      </c>
      <c r="BB11" s="127">
        <f t="shared" si="1"/>
        <v>3.6807750967933636E-2</v>
      </c>
      <c r="BC11" s="127">
        <f t="shared" si="1"/>
        <v>3.6807750967933636E-2</v>
      </c>
      <c r="BD11" s="127">
        <f t="shared" si="1"/>
        <v>3.6807750967933636E-2</v>
      </c>
      <c r="BE11" s="127">
        <f t="shared" si="1"/>
        <v>3.6807750967933636E-2</v>
      </c>
      <c r="BF11" s="127">
        <f t="shared" si="1"/>
        <v>3.6807750967933636E-2</v>
      </c>
      <c r="BG11" s="127">
        <f t="shared" si="1"/>
        <v>3.6807750967933636E-2</v>
      </c>
      <c r="BH11" s="127">
        <f t="shared" si="1"/>
        <v>3.6807750967933636E-2</v>
      </c>
      <c r="BI11" s="127">
        <f t="shared" si="1"/>
        <v>3.6807750967933636E-2</v>
      </c>
      <c r="BJ11" s="127">
        <f t="shared" si="1"/>
        <v>3.6807750967933636E-2</v>
      </c>
      <c r="BK11" s="127">
        <f t="shared" si="1"/>
        <v>3.6807750967933636E-2</v>
      </c>
      <c r="BL11" s="127">
        <f t="shared" si="1"/>
        <v>3.6807750967933636E-2</v>
      </c>
      <c r="BM11" s="127">
        <f t="shared" si="1"/>
        <v>3.6660559828734021E-2</v>
      </c>
      <c r="BN11" s="15"/>
    </row>
    <row r="12" spans="2:66" s="143" customFormat="1" x14ac:dyDescent="0.3">
      <c r="B12" s="139"/>
      <c r="C12" s="140" t="s">
        <v>143</v>
      </c>
      <c r="D12" s="140" t="s">
        <v>144</v>
      </c>
      <c r="E12" s="141">
        <v>0</v>
      </c>
      <c r="F12" s="141">
        <v>0</v>
      </c>
      <c r="G12" s="141">
        <v>0</v>
      </c>
      <c r="H12" s="141">
        <v>0</v>
      </c>
      <c r="I12" s="141">
        <v>0</v>
      </c>
      <c r="J12" s="141">
        <v>0</v>
      </c>
      <c r="K12" s="141">
        <v>7.3339099607251526E-3</v>
      </c>
      <c r="L12" s="141">
        <v>1.2651526123381183E-2</v>
      </c>
      <c r="M12" s="141">
        <v>1.2651526123381183E-2</v>
      </c>
      <c r="N12" s="141">
        <v>1.2651526123381183E-2</v>
      </c>
      <c r="O12" s="141">
        <v>1.2651526123381183E-2</v>
      </c>
      <c r="P12" s="141">
        <v>1.2651526123381183E-2</v>
      </c>
      <c r="Q12" s="141">
        <v>1.2651526123381183E-2</v>
      </c>
      <c r="R12" s="141">
        <v>1.2651526123381183E-2</v>
      </c>
      <c r="S12" s="141">
        <v>1.2651526123381201E-2</v>
      </c>
      <c r="T12" s="141">
        <v>1.2651526123381201E-2</v>
      </c>
      <c r="U12" s="141">
        <v>1.2651526123381201E-2</v>
      </c>
      <c r="V12" s="141">
        <v>1.2651526123381201E-2</v>
      </c>
      <c r="W12" s="141">
        <v>1.2651526123381201E-2</v>
      </c>
      <c r="X12" s="141">
        <v>1.2651526123381201E-2</v>
      </c>
      <c r="Y12" s="141">
        <v>1.2651526123381201E-2</v>
      </c>
      <c r="Z12" s="141">
        <v>1.2651526123381201E-2</v>
      </c>
      <c r="AA12" s="141">
        <v>1.2651526123381201E-2</v>
      </c>
      <c r="AB12" s="141">
        <v>1.2651526123381201E-2</v>
      </c>
      <c r="AC12" s="141">
        <v>1.2651526123381201E-2</v>
      </c>
      <c r="AD12" s="141">
        <v>1.2651526123381201E-2</v>
      </c>
      <c r="AE12" s="141">
        <v>1.2651526123381201E-2</v>
      </c>
      <c r="AF12" s="141">
        <v>1.2651526123381201E-2</v>
      </c>
      <c r="AG12" s="141">
        <v>1.2651526123381201E-2</v>
      </c>
      <c r="AH12" s="141">
        <v>1.2651526123381201E-2</v>
      </c>
      <c r="AI12" s="141">
        <v>1.2651526123381201E-2</v>
      </c>
      <c r="AJ12" s="141">
        <v>1.2651526123381201E-2</v>
      </c>
      <c r="AK12" s="141">
        <v>1.2651526123381201E-2</v>
      </c>
      <c r="AL12" s="141">
        <v>1.2651526123381201E-2</v>
      </c>
      <c r="AM12" s="141">
        <v>1.2651526123381201E-2</v>
      </c>
      <c r="AN12" s="141">
        <v>1.2651526123381201E-2</v>
      </c>
      <c r="AO12" s="141">
        <v>1.2651526123381201E-2</v>
      </c>
      <c r="AP12" s="141">
        <v>1.2651526123381201E-2</v>
      </c>
      <c r="AQ12" s="141">
        <v>1.2651526123381201E-2</v>
      </c>
      <c r="AR12" s="141">
        <v>1.2651526123381201E-2</v>
      </c>
      <c r="AS12" s="141">
        <v>1.2651526123381201E-2</v>
      </c>
      <c r="AT12" s="141">
        <v>1.2651526123381201E-2</v>
      </c>
      <c r="AU12" s="141">
        <v>1.2651526123381201E-2</v>
      </c>
      <c r="AV12" s="141">
        <v>1.2651526123381201E-2</v>
      </c>
      <c r="AW12" s="141">
        <v>1.2651526123381201E-2</v>
      </c>
      <c r="AX12" s="141">
        <v>1.2651526123381201E-2</v>
      </c>
      <c r="AY12" s="141">
        <v>1.2651526123381201E-2</v>
      </c>
      <c r="AZ12" s="141">
        <v>1.2651526123381201E-2</v>
      </c>
      <c r="BA12" s="141">
        <v>1.2651526123381201E-2</v>
      </c>
      <c r="BB12" s="141">
        <v>1.2651526123381201E-2</v>
      </c>
      <c r="BC12" s="141">
        <v>1.2651526123381201E-2</v>
      </c>
      <c r="BD12" s="141">
        <v>1.2651526123381201E-2</v>
      </c>
      <c r="BE12" s="141">
        <v>1.2651526123381201E-2</v>
      </c>
      <c r="BF12" s="141">
        <v>1.2651526123381201E-2</v>
      </c>
      <c r="BG12" s="141">
        <v>1.2651526123381201E-2</v>
      </c>
      <c r="BH12" s="141">
        <v>1.2651526123381201E-2</v>
      </c>
      <c r="BI12" s="141">
        <v>1.2651526123381201E-2</v>
      </c>
      <c r="BJ12" s="141">
        <v>1.2651526123381201E-2</v>
      </c>
      <c r="BK12" s="141">
        <v>1.2651526123381201E-2</v>
      </c>
      <c r="BL12" s="141">
        <v>1.2651526123381201E-2</v>
      </c>
      <c r="BM12" s="141">
        <v>1.2651526123381201E-2</v>
      </c>
      <c r="BN12" s="142"/>
    </row>
    <row r="13" spans="2:66" x14ac:dyDescent="0.3">
      <c r="B13" s="12"/>
      <c r="C13" s="138" t="s">
        <v>58</v>
      </c>
      <c r="D13" s="14" t="s">
        <v>21</v>
      </c>
      <c r="E13" s="126">
        <f t="shared" ref="E13:R13" si="2">E21-E12</f>
        <v>0.15345821609823171</v>
      </c>
      <c r="F13" s="126">
        <f t="shared" si="2"/>
        <v>0.17844800827512045</v>
      </c>
      <c r="G13" s="126">
        <f t="shared" si="2"/>
        <v>0.18257968721183263</v>
      </c>
      <c r="H13" s="126">
        <f t="shared" si="2"/>
        <v>0.25336909828776005</v>
      </c>
      <c r="I13" s="126">
        <f t="shared" si="2"/>
        <v>0.29152718061674004</v>
      </c>
      <c r="J13" s="126">
        <f t="shared" si="2"/>
        <v>0.3175844736842105</v>
      </c>
      <c r="K13" s="126">
        <f t="shared" si="2"/>
        <v>0.33372534851385111</v>
      </c>
      <c r="L13" s="126">
        <f t="shared" si="2"/>
        <v>0.29154911226947583</v>
      </c>
      <c r="M13" s="126">
        <f t="shared" si="2"/>
        <v>0.28603399061870027</v>
      </c>
      <c r="N13" s="126">
        <f t="shared" si="2"/>
        <v>0.28764255532458266</v>
      </c>
      <c r="O13" s="126">
        <f t="shared" si="2"/>
        <v>0.32096686301689037</v>
      </c>
      <c r="P13" s="126">
        <f t="shared" si="2"/>
        <v>0.40760755441960522</v>
      </c>
      <c r="Q13" s="126">
        <f t="shared" si="2"/>
        <v>0.44867541975897174</v>
      </c>
      <c r="R13" s="126">
        <f t="shared" si="2"/>
        <v>0.49881802800505937</v>
      </c>
      <c r="S13" s="126" t="s">
        <v>205</v>
      </c>
      <c r="T13" s="21">
        <f>1-T9-T11-T12-T14</f>
        <v>0.51217079895606243</v>
      </c>
      <c r="U13" s="21">
        <f t="shared" ref="U13:BM13" si="3">1-U9-U11-U12-U14</f>
        <v>0.51499641644498428</v>
      </c>
      <c r="V13" s="21">
        <f t="shared" si="3"/>
        <v>0.51781937793343691</v>
      </c>
      <c r="W13" s="21">
        <f t="shared" si="3"/>
        <v>0.52063997082418756</v>
      </c>
      <c r="X13" s="21">
        <f t="shared" si="3"/>
        <v>0.52345844523124552</v>
      </c>
      <c r="Y13" s="21">
        <f t="shared" si="3"/>
        <v>0.52627475112800381</v>
      </c>
      <c r="Z13" s="21">
        <f t="shared" si="3"/>
        <v>0.5256070519164131</v>
      </c>
      <c r="AA13" s="21">
        <f t="shared" si="3"/>
        <v>0.52551689720909156</v>
      </c>
      <c r="AB13" s="21">
        <f t="shared" si="3"/>
        <v>0.5254262976915598</v>
      </c>
      <c r="AC13" s="21">
        <f t="shared" si="3"/>
        <v>0.52533535230835815</v>
      </c>
      <c r="AD13" s="21">
        <f t="shared" si="3"/>
        <v>0.52524408589828198</v>
      </c>
      <c r="AE13" s="21">
        <f t="shared" si="3"/>
        <v>0.52510495220808595</v>
      </c>
      <c r="AF13" s="21">
        <f t="shared" si="3"/>
        <v>0.52496705593063897</v>
      </c>
      <c r="AG13" s="21">
        <f t="shared" si="3"/>
        <v>0.52483040472972531</v>
      </c>
      <c r="AH13" s="21">
        <f t="shared" si="3"/>
        <v>0.52469500541455594</v>
      </c>
      <c r="AI13" s="21">
        <f t="shared" si="3"/>
        <v>0.52456083881533255</v>
      </c>
      <c r="AJ13" s="21">
        <f t="shared" si="3"/>
        <v>0.52442789293183933</v>
      </c>
      <c r="AK13" s="21">
        <f t="shared" si="3"/>
        <v>0.52429615345114011</v>
      </c>
      <c r="AL13" s="21">
        <f t="shared" si="3"/>
        <v>0.52416559675238139</v>
      </c>
      <c r="AM13" s="21">
        <f t="shared" si="3"/>
        <v>0.52403619808035862</v>
      </c>
      <c r="AN13" s="21">
        <f t="shared" si="3"/>
        <v>0.52390793107098022</v>
      </c>
      <c r="AO13" s="21">
        <f t="shared" si="3"/>
        <v>0.52378076754159686</v>
      </c>
      <c r="AP13" s="21">
        <f t="shared" si="3"/>
        <v>0.52365468005528004</v>
      </c>
      <c r="AQ13" s="21">
        <f t="shared" si="3"/>
        <v>0.52352964129159096</v>
      </c>
      <c r="AR13" s="21">
        <f t="shared" si="3"/>
        <v>0.5234056225044218</v>
      </c>
      <c r="AS13" s="21">
        <f t="shared" si="3"/>
        <v>0.52328198307980422</v>
      </c>
      <c r="AT13" s="21">
        <f t="shared" si="3"/>
        <v>0.5232512726120141</v>
      </c>
      <c r="AU13" s="21">
        <f t="shared" si="3"/>
        <v>0.5232221045447063</v>
      </c>
      <c r="AV13" s="21">
        <f t="shared" si="3"/>
        <v>0.52319442887107614</v>
      </c>
      <c r="AW13" s="21">
        <f t="shared" si="3"/>
        <v>0.52316819851626795</v>
      </c>
      <c r="AX13" s="21">
        <f t="shared" si="3"/>
        <v>0.52314336920470628</v>
      </c>
      <c r="AY13" s="21">
        <f t="shared" si="3"/>
        <v>0.52311989933619785</v>
      </c>
      <c r="AZ13" s="21">
        <f t="shared" si="3"/>
        <v>0.52309774987032143</v>
      </c>
      <c r="BA13" s="21">
        <f t="shared" si="3"/>
        <v>0.52307688421865906</v>
      </c>
      <c r="BB13" s="21">
        <f t="shared" si="3"/>
        <v>0.52305726814445175</v>
      </c>
      <c r="BC13" s="21">
        <f t="shared" si="3"/>
        <v>0.52303886966929791</v>
      </c>
      <c r="BD13" s="21">
        <f t="shared" si="3"/>
        <v>0.52302165898653707</v>
      </c>
      <c r="BE13" s="21">
        <f t="shared" si="3"/>
        <v>0.52300560838099452</v>
      </c>
      <c r="BF13" s="21">
        <f t="shared" si="3"/>
        <v>0.52299069215478233</v>
      </c>
      <c r="BG13" s="21">
        <f t="shared" si="3"/>
        <v>0.5229768865588813</v>
      </c>
      <c r="BH13" s="21">
        <f t="shared" si="3"/>
        <v>0.52296416973024762</v>
      </c>
      <c r="BI13" s="21">
        <f t="shared" si="3"/>
        <v>0.52295252163421357</v>
      </c>
      <c r="BJ13" s="21">
        <f t="shared" si="3"/>
        <v>0.52294192401196793</v>
      </c>
      <c r="BK13" s="21">
        <f t="shared" si="3"/>
        <v>0.52293236033292567</v>
      </c>
      <c r="BL13" s="21">
        <f t="shared" si="3"/>
        <v>0.52292381575181179</v>
      </c>
      <c r="BM13" s="21">
        <f t="shared" si="3"/>
        <v>0.52322828638936203</v>
      </c>
      <c r="BN13" s="15"/>
    </row>
    <row r="14" spans="2:66" x14ac:dyDescent="0.3">
      <c r="B14" s="12"/>
      <c r="C14" s="138" t="s">
        <v>59</v>
      </c>
      <c r="D14" s="14" t="s">
        <v>22</v>
      </c>
      <c r="E14" s="126">
        <v>0.79862520062904074</v>
      </c>
      <c r="F14" s="126">
        <v>0.77062431099760664</v>
      </c>
      <c r="G14" s="126">
        <v>0.76351505561311839</v>
      </c>
      <c r="H14" s="126">
        <v>0.6894962346847241</v>
      </c>
      <c r="I14" s="126">
        <v>0.6538538193832597</v>
      </c>
      <c r="J14" s="126">
        <v>0.62279552631578949</v>
      </c>
      <c r="K14" s="126">
        <v>0.60588174152542373</v>
      </c>
      <c r="L14" s="126">
        <v>0.61243236160714276</v>
      </c>
      <c r="M14" s="126">
        <v>0.61811308325791847</v>
      </c>
      <c r="N14" s="126">
        <v>0.62144191855203612</v>
      </c>
      <c r="O14" s="126">
        <v>0.58800241085972849</v>
      </c>
      <c r="P14" s="126">
        <v>0.49931771945701353</v>
      </c>
      <c r="Q14" s="126">
        <v>0.44896997411764694</v>
      </c>
      <c r="R14" s="126">
        <v>0.40246784587155976</v>
      </c>
      <c r="S14" s="126">
        <v>0.39482024813593963</v>
      </c>
      <c r="T14" s="126">
        <v>0.39482024813593963</v>
      </c>
      <c r="U14" s="126">
        <v>0.39482024813593963</v>
      </c>
      <c r="V14" s="126">
        <v>0.39482024813593963</v>
      </c>
      <c r="W14" s="126">
        <v>0.39482024813593963</v>
      </c>
      <c r="X14" s="126">
        <v>0.39482024813593963</v>
      </c>
      <c r="Y14" s="126">
        <v>0.39482024813593963</v>
      </c>
      <c r="Z14" s="126">
        <v>0.39482024813593963</v>
      </c>
      <c r="AA14" s="126">
        <v>0.39482024813593963</v>
      </c>
      <c r="AB14" s="126">
        <v>0.39482024813593963</v>
      </c>
      <c r="AC14" s="126">
        <v>0.39482024813593963</v>
      </c>
      <c r="AD14" s="126">
        <v>0.39482024813593963</v>
      </c>
      <c r="AE14" s="126">
        <v>0.39482024813593963</v>
      </c>
      <c r="AF14" s="126">
        <v>0.39482024813593963</v>
      </c>
      <c r="AG14" s="126">
        <v>0.39482024813593963</v>
      </c>
      <c r="AH14" s="126">
        <v>0.39482024813593963</v>
      </c>
      <c r="AI14" s="126">
        <v>0.39482024813593963</v>
      </c>
      <c r="AJ14" s="126">
        <v>0.39482024813593963</v>
      </c>
      <c r="AK14" s="126">
        <v>0.39482024813593963</v>
      </c>
      <c r="AL14" s="126">
        <v>0.39482024813593963</v>
      </c>
      <c r="AM14" s="126">
        <v>0.39482024813593963</v>
      </c>
      <c r="AN14" s="126">
        <v>0.39482024813593963</v>
      </c>
      <c r="AO14" s="126">
        <v>0.39482024813593963</v>
      </c>
      <c r="AP14" s="126">
        <v>0.39482024813593963</v>
      </c>
      <c r="AQ14" s="126">
        <v>0.39482024813593963</v>
      </c>
      <c r="AR14" s="126">
        <v>0.39482024813593963</v>
      </c>
      <c r="AS14" s="126">
        <v>0.39482024813593963</v>
      </c>
      <c r="AT14" s="126">
        <v>0.39482024813593963</v>
      </c>
      <c r="AU14" s="126">
        <v>0.39482024813593963</v>
      </c>
      <c r="AV14" s="126">
        <v>0.39482024813593963</v>
      </c>
      <c r="AW14" s="126">
        <v>0.39482024813593963</v>
      </c>
      <c r="AX14" s="126">
        <v>0.39482024813593963</v>
      </c>
      <c r="AY14" s="126">
        <v>0.39482024813593963</v>
      </c>
      <c r="AZ14" s="126">
        <v>0.39482024813593963</v>
      </c>
      <c r="BA14" s="126">
        <v>0.39482024813593963</v>
      </c>
      <c r="BB14" s="126">
        <v>0.39482024813593963</v>
      </c>
      <c r="BC14" s="126">
        <v>0.39482024813593963</v>
      </c>
      <c r="BD14" s="126">
        <v>0.39482024813593963</v>
      </c>
      <c r="BE14" s="126">
        <v>0.39482024813593963</v>
      </c>
      <c r="BF14" s="126">
        <v>0.39482024813593963</v>
      </c>
      <c r="BG14" s="126">
        <v>0.39482024813593963</v>
      </c>
      <c r="BH14" s="126">
        <v>0.39482024813593963</v>
      </c>
      <c r="BI14" s="126">
        <v>0.39482024813593963</v>
      </c>
      <c r="BJ14" s="126">
        <v>0.39482024813593963</v>
      </c>
      <c r="BK14" s="126">
        <v>0.39482024813593963</v>
      </c>
      <c r="BL14" s="126">
        <v>0.39482024813593963</v>
      </c>
      <c r="BM14" s="126">
        <v>0.39482024813593963</v>
      </c>
      <c r="BN14" s="15"/>
    </row>
    <row r="15" spans="2:66" x14ac:dyDescent="0.3">
      <c r="B15" s="12"/>
      <c r="C15" s="14" t="s">
        <v>145</v>
      </c>
      <c r="D15" s="14" t="s">
        <v>146</v>
      </c>
      <c r="E15" s="21">
        <v>0</v>
      </c>
      <c r="F15" s="21">
        <v>0</v>
      </c>
      <c r="G15" s="21">
        <v>0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0</v>
      </c>
      <c r="Q15" s="21">
        <v>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0</v>
      </c>
      <c r="AC15" s="21">
        <v>0</v>
      </c>
      <c r="AD15" s="21">
        <v>0</v>
      </c>
      <c r="AE15" s="21">
        <v>0</v>
      </c>
      <c r="AF15" s="21">
        <v>0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0</v>
      </c>
      <c r="BM15" s="21">
        <v>0</v>
      </c>
      <c r="BN15" s="15"/>
    </row>
    <row r="16" spans="2:66" x14ac:dyDescent="0.3">
      <c r="B16" s="12"/>
      <c r="C16" s="14" t="s">
        <v>147</v>
      </c>
      <c r="D16" s="14" t="s">
        <v>148</v>
      </c>
      <c r="E16" s="133">
        <f>E45/E81</f>
        <v>2.2373862499788658E-3</v>
      </c>
      <c r="F16" s="133">
        <f t="shared" ref="F16:BM16" si="4">F45/F81</f>
        <v>2.3006254089067298E-3</v>
      </c>
      <c r="G16" s="133">
        <f t="shared" si="4"/>
        <v>2.3917858661554828E-3</v>
      </c>
      <c r="H16" s="133">
        <f t="shared" si="4"/>
        <v>2.1759044115595302E-3</v>
      </c>
      <c r="I16" s="133">
        <f t="shared" si="4"/>
        <v>2.0089465944526019E-3</v>
      </c>
      <c r="J16" s="133">
        <f>J45/J81</f>
        <v>2.1143201582870686E-3</v>
      </c>
      <c r="K16" s="133">
        <f t="shared" si="4"/>
        <v>2.2147783104015258E-3</v>
      </c>
      <c r="L16" s="133">
        <f t="shared" si="4"/>
        <v>2.2611806779451677E-3</v>
      </c>
      <c r="M16" s="133">
        <f t="shared" si="4"/>
        <v>2.3006173988467083E-3</v>
      </c>
      <c r="N16" s="133">
        <f t="shared" si="4"/>
        <v>2.9826813326134954E-3</v>
      </c>
      <c r="O16" s="133">
        <f t="shared" si="4"/>
        <v>3.7972298922908398E-3</v>
      </c>
      <c r="P16" s="133">
        <f t="shared" si="4"/>
        <v>1.7910019195300233E-3</v>
      </c>
      <c r="Q16" s="133">
        <f t="shared" si="4"/>
        <v>2.7269108280254771E-3</v>
      </c>
      <c r="R16" s="133">
        <f t="shared" si="4"/>
        <v>2.80396634278561E-3</v>
      </c>
      <c r="S16" s="133">
        <f t="shared" si="4"/>
        <v>2.8767967073722797E-3</v>
      </c>
      <c r="T16" s="133">
        <f t="shared" si="4"/>
        <v>2.9463539731894956E-3</v>
      </c>
      <c r="U16" s="133">
        <f t="shared" si="4"/>
        <v>3.013152219917672E-3</v>
      </c>
      <c r="V16" s="133">
        <f t="shared" si="4"/>
        <v>3.0772944661766497E-3</v>
      </c>
      <c r="W16" s="133">
        <f t="shared" si="4"/>
        <v>3.1390681147335808E-3</v>
      </c>
      <c r="X16" s="133">
        <f t="shared" si="4"/>
        <v>3.1987232795979391E-3</v>
      </c>
      <c r="Y16" s="133">
        <f t="shared" si="4"/>
        <v>3.2562099341622492E-3</v>
      </c>
      <c r="Z16" s="133">
        <f t="shared" si="4"/>
        <v>2.6870399812213373E-3</v>
      </c>
      <c r="AA16" s="133">
        <f t="shared" si="4"/>
        <v>2.6954145325495584E-3</v>
      </c>
      <c r="AB16" s="133">
        <f t="shared" si="4"/>
        <v>2.7033442736675833E-3</v>
      </c>
      <c r="AC16" s="133">
        <f t="shared" si="4"/>
        <v>2.7109281491157506E-3</v>
      </c>
      <c r="AD16" s="133">
        <f t="shared" si="4"/>
        <v>2.7181909976893631E-3</v>
      </c>
      <c r="AE16" s="133">
        <f t="shared" si="4"/>
        <v>2.6775865661432083E-3</v>
      </c>
      <c r="AF16" s="133">
        <f t="shared" si="4"/>
        <v>2.6382195473458113E-3</v>
      </c>
      <c r="AG16" s="133">
        <f t="shared" si="4"/>
        <v>2.6000976050819576E-3</v>
      </c>
      <c r="AH16" s="133">
        <f t="shared" si="4"/>
        <v>2.5632275485624433E-3</v>
      </c>
      <c r="AI16" s="133">
        <f t="shared" si="4"/>
        <v>2.5275902079887839E-3</v>
      </c>
      <c r="AJ16" s="133">
        <f t="shared" si="4"/>
        <v>2.493173583145341E-3</v>
      </c>
      <c r="AK16" s="133">
        <f t="shared" si="4"/>
        <v>2.459963361095943E-3</v>
      </c>
      <c r="AL16" s="133">
        <f t="shared" si="4"/>
        <v>2.4279359209870288E-3</v>
      </c>
      <c r="AM16" s="133">
        <f t="shared" si="4"/>
        <v>2.3970665076139971E-3</v>
      </c>
      <c r="AN16" s="133">
        <f t="shared" si="4"/>
        <v>2.3673287568852508E-3</v>
      </c>
      <c r="AO16" s="133">
        <f t="shared" si="4"/>
        <v>2.3386944861517852E-3</v>
      </c>
      <c r="AP16" s="133">
        <f t="shared" si="4"/>
        <v>2.311136258484722E-3</v>
      </c>
      <c r="AQ16" s="133">
        <f t="shared" si="4"/>
        <v>2.2846267534454394E-3</v>
      </c>
      <c r="AR16" s="133">
        <f t="shared" si="4"/>
        <v>2.2591372249260453E-3</v>
      </c>
      <c r="AS16" s="133">
        <f t="shared" si="4"/>
        <v>2.2340270589582606E-3</v>
      </c>
      <c r="AT16" s="133">
        <f t="shared" si="4"/>
        <v>2.2033165911681473E-3</v>
      </c>
      <c r="AU16" s="133">
        <f t="shared" si="4"/>
        <v>2.1741485238603586E-3</v>
      </c>
      <c r="AV16" s="133">
        <f t="shared" si="4"/>
        <v>2.1464728502301415E-3</v>
      </c>
      <c r="AW16" s="133">
        <f t="shared" si="4"/>
        <v>2.1202424954219778E-3</v>
      </c>
      <c r="AX16" s="133">
        <f t="shared" si="4"/>
        <v>2.0954131838603666E-3</v>
      </c>
      <c r="AY16" s="133">
        <f t="shared" si="4"/>
        <v>2.0719433153518823E-3</v>
      </c>
      <c r="AZ16" s="133">
        <f t="shared" si="4"/>
        <v>2.0497938494754629E-3</v>
      </c>
      <c r="BA16" s="133">
        <f t="shared" si="4"/>
        <v>2.028928197813063E-3</v>
      </c>
      <c r="BB16" s="133">
        <f t="shared" si="4"/>
        <v>2.009312123605837E-3</v>
      </c>
      <c r="BC16" s="133">
        <f t="shared" si="4"/>
        <v>1.9909136484519332E-3</v>
      </c>
      <c r="BD16" s="133">
        <f t="shared" si="4"/>
        <v>1.9737029656910891E-3</v>
      </c>
      <c r="BE16" s="133">
        <f t="shared" si="4"/>
        <v>1.9576523601485232E-3</v>
      </c>
      <c r="BF16" s="133">
        <f t="shared" si="4"/>
        <v>1.9427361339363848E-3</v>
      </c>
      <c r="BG16" s="133">
        <f t="shared" si="4"/>
        <v>1.9289305380353187E-3</v>
      </c>
      <c r="BH16" s="133">
        <f t="shared" si="4"/>
        <v>1.9162137094016656E-3</v>
      </c>
      <c r="BI16" s="133">
        <f t="shared" si="4"/>
        <v>1.9045656133675755E-3</v>
      </c>
      <c r="BJ16" s="133">
        <f t="shared" si="4"/>
        <v>1.8939679911219353E-3</v>
      </c>
      <c r="BK16" s="133">
        <f t="shared" si="4"/>
        <v>1.8844043120796964E-3</v>
      </c>
      <c r="BL16" s="133">
        <f t="shared" si="4"/>
        <v>1.8758597309658756E-3</v>
      </c>
      <c r="BM16" s="133">
        <f t="shared" si="4"/>
        <v>1.868321049458476E-3</v>
      </c>
      <c r="BN16" s="15"/>
    </row>
    <row r="17" spans="2:66" ht="15" customHeight="1" x14ac:dyDescent="0.3">
      <c r="B17" s="12"/>
      <c r="C17" s="14" t="s">
        <v>149</v>
      </c>
      <c r="D17" s="14" t="s">
        <v>150</v>
      </c>
      <c r="E17" s="21">
        <v>0</v>
      </c>
      <c r="F17" s="21">
        <v>0</v>
      </c>
      <c r="G17" s="21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1">
        <v>0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0</v>
      </c>
      <c r="AC17" s="21">
        <v>0</v>
      </c>
      <c r="AD17" s="21">
        <v>0</v>
      </c>
      <c r="AE17" s="21">
        <v>0</v>
      </c>
      <c r="AF17" s="21">
        <v>0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0</v>
      </c>
      <c r="BM17" s="21">
        <v>0</v>
      </c>
      <c r="BN17" s="15"/>
    </row>
    <row r="18" spans="2:66" x14ac:dyDescent="0.3">
      <c r="B18" s="12"/>
      <c r="C18" s="14" t="s">
        <v>151</v>
      </c>
      <c r="D18" s="14" t="s">
        <v>152</v>
      </c>
      <c r="E18" s="21">
        <v>0</v>
      </c>
      <c r="F18" s="21">
        <v>0</v>
      </c>
      <c r="G18" s="21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0</v>
      </c>
      <c r="BM18" s="21">
        <v>0</v>
      </c>
      <c r="BN18" s="15"/>
    </row>
    <row r="19" spans="2:66" x14ac:dyDescent="0.3">
      <c r="B19" s="12"/>
      <c r="C19" s="14"/>
      <c r="D19" s="14"/>
      <c r="E19" s="31">
        <f t="shared" ref="E19:AJ19" si="5">SUM(E9:E18)</f>
        <v>1.0000000000000002</v>
      </c>
      <c r="F19" s="31">
        <f t="shared" si="5"/>
        <v>1</v>
      </c>
      <c r="G19" s="31">
        <f t="shared" si="5"/>
        <v>1</v>
      </c>
      <c r="H19" s="31">
        <f t="shared" si="5"/>
        <v>1</v>
      </c>
      <c r="I19" s="31">
        <f t="shared" si="5"/>
        <v>0.99999999999999978</v>
      </c>
      <c r="J19" s="31">
        <f t="shared" si="5"/>
        <v>1</v>
      </c>
      <c r="K19" s="31">
        <f t="shared" si="5"/>
        <v>1</v>
      </c>
      <c r="L19" s="31">
        <f t="shared" si="5"/>
        <v>0.99999999999999978</v>
      </c>
      <c r="M19" s="31">
        <f t="shared" si="5"/>
        <v>0.99999999999999989</v>
      </c>
      <c r="N19" s="31">
        <f t="shared" si="5"/>
        <v>1</v>
      </c>
      <c r="O19" s="31">
        <f t="shared" si="5"/>
        <v>1</v>
      </c>
      <c r="P19" s="31">
        <f t="shared" si="5"/>
        <v>1</v>
      </c>
      <c r="Q19" s="31">
        <f t="shared" si="5"/>
        <v>0.99999999999999989</v>
      </c>
      <c r="R19" s="31">
        <f t="shared" si="5"/>
        <v>1.0000000000000004</v>
      </c>
      <c r="S19" s="31">
        <f t="shared" si="5"/>
        <v>0.49353437425932084</v>
      </c>
      <c r="T19" s="31">
        <f t="shared" si="5"/>
        <v>1.0029463539731895</v>
      </c>
      <c r="U19" s="31">
        <f t="shared" si="5"/>
        <v>1.0030131522199177</v>
      </c>
      <c r="V19" s="31">
        <f t="shared" si="5"/>
        <v>1.0030772944661766</v>
      </c>
      <c r="W19" s="31">
        <f t="shared" si="5"/>
        <v>1.0031390681147336</v>
      </c>
      <c r="X19" s="31">
        <f t="shared" si="5"/>
        <v>1.003198723279598</v>
      </c>
      <c r="Y19" s="31">
        <f t="shared" si="5"/>
        <v>1.0032562099341622</v>
      </c>
      <c r="Z19" s="31">
        <f t="shared" si="5"/>
        <v>1.0026870399812213</v>
      </c>
      <c r="AA19" s="31">
        <f t="shared" si="5"/>
        <v>1.0026954145325495</v>
      </c>
      <c r="AB19" s="31">
        <f t="shared" si="5"/>
        <v>1.0027033442736675</v>
      </c>
      <c r="AC19" s="31">
        <f t="shared" si="5"/>
        <v>1.0027109281491158</v>
      </c>
      <c r="AD19" s="31">
        <f t="shared" si="5"/>
        <v>1.0027181909976894</v>
      </c>
      <c r="AE19" s="31">
        <f t="shared" si="5"/>
        <v>1.002677586566143</v>
      </c>
      <c r="AF19" s="31">
        <f t="shared" si="5"/>
        <v>1.0026382195473458</v>
      </c>
      <c r="AG19" s="31">
        <f t="shared" si="5"/>
        <v>1.002600097605082</v>
      </c>
      <c r="AH19" s="31">
        <f t="shared" si="5"/>
        <v>1.0025632275485625</v>
      </c>
      <c r="AI19" s="31">
        <f t="shared" si="5"/>
        <v>1.0025275902079889</v>
      </c>
      <c r="AJ19" s="31">
        <f t="shared" si="5"/>
        <v>1.0024931735831453</v>
      </c>
      <c r="AK19" s="31">
        <f t="shared" ref="AK19:BM19" si="6">SUM(AK9:AK18)</f>
        <v>1.002459963361096</v>
      </c>
      <c r="AL19" s="31">
        <f t="shared" si="6"/>
        <v>1.0024279359209871</v>
      </c>
      <c r="AM19" s="31">
        <f t="shared" si="6"/>
        <v>1.0023970665076141</v>
      </c>
      <c r="AN19" s="31">
        <f t="shared" si="6"/>
        <v>1.0023673287568853</v>
      </c>
      <c r="AO19" s="31">
        <f t="shared" si="6"/>
        <v>1.0023386944861519</v>
      </c>
      <c r="AP19" s="31">
        <f t="shared" si="6"/>
        <v>1.0023111362584847</v>
      </c>
      <c r="AQ19" s="31">
        <f t="shared" si="6"/>
        <v>1.0022846267534455</v>
      </c>
      <c r="AR19" s="31">
        <f t="shared" si="6"/>
        <v>1.0022591372249261</v>
      </c>
      <c r="AS19" s="31">
        <f t="shared" si="6"/>
        <v>1.0022340270589583</v>
      </c>
      <c r="AT19" s="31">
        <f t="shared" si="6"/>
        <v>1.0022033165911681</v>
      </c>
      <c r="AU19" s="31">
        <f t="shared" si="6"/>
        <v>1.0021741485238604</v>
      </c>
      <c r="AV19" s="31">
        <f t="shared" si="6"/>
        <v>1.0021464728502301</v>
      </c>
      <c r="AW19" s="31">
        <f t="shared" si="6"/>
        <v>1.0021202424954221</v>
      </c>
      <c r="AX19" s="31">
        <f t="shared" si="6"/>
        <v>1.0020954131838604</v>
      </c>
      <c r="AY19" s="31">
        <f t="shared" si="6"/>
        <v>1.002071943315352</v>
      </c>
      <c r="AZ19" s="31">
        <f t="shared" si="6"/>
        <v>1.0020497938494755</v>
      </c>
      <c r="BA19" s="31">
        <f t="shared" si="6"/>
        <v>1.002028928197813</v>
      </c>
      <c r="BB19" s="31">
        <f t="shared" si="6"/>
        <v>1.0020093121236058</v>
      </c>
      <c r="BC19" s="31">
        <f t="shared" si="6"/>
        <v>1.0019909136484519</v>
      </c>
      <c r="BD19" s="31">
        <f t="shared" si="6"/>
        <v>1.001973702965691</v>
      </c>
      <c r="BE19" s="31">
        <f t="shared" si="6"/>
        <v>1.0019576523601486</v>
      </c>
      <c r="BF19" s="31">
        <f t="shared" si="6"/>
        <v>1.0019427361339364</v>
      </c>
      <c r="BG19" s="31">
        <f t="shared" si="6"/>
        <v>1.0019289305380352</v>
      </c>
      <c r="BH19" s="31">
        <f t="shared" si="6"/>
        <v>1.0019162137094018</v>
      </c>
      <c r="BI19" s="31">
        <f t="shared" si="6"/>
        <v>1.0019045656133676</v>
      </c>
      <c r="BJ19" s="31">
        <f t="shared" si="6"/>
        <v>1.0018939679911218</v>
      </c>
      <c r="BK19" s="31">
        <f t="shared" si="6"/>
        <v>1.0018844043120796</v>
      </c>
      <c r="BL19" s="31">
        <f t="shared" si="6"/>
        <v>1.0018758597309658</v>
      </c>
      <c r="BM19" s="31">
        <f t="shared" si="6"/>
        <v>1.0018683210494586</v>
      </c>
      <c r="BN19" s="15"/>
    </row>
    <row r="20" spans="2:66" x14ac:dyDescent="0.3">
      <c r="B20" s="14"/>
      <c r="C20" s="14"/>
      <c r="D20" s="14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14"/>
    </row>
    <row r="21" spans="2:66" x14ac:dyDescent="0.3">
      <c r="D21" s="14" t="s">
        <v>21</v>
      </c>
      <c r="E21" s="26">
        <v>0.15345821609823171</v>
      </c>
      <c r="F21" s="137">
        <v>0.17844800827512045</v>
      </c>
      <c r="G21" s="137">
        <v>0.18257968721183263</v>
      </c>
      <c r="H21" s="137">
        <v>0.25336909828776005</v>
      </c>
      <c r="I21" s="137">
        <v>0.29152718061674004</v>
      </c>
      <c r="J21" s="137">
        <v>0.3175844736842105</v>
      </c>
      <c r="K21" s="137">
        <v>0.34105925847457624</v>
      </c>
      <c r="L21" s="137">
        <v>0.30420063839285699</v>
      </c>
      <c r="M21" s="137">
        <v>0.29868551674208144</v>
      </c>
      <c r="N21" s="137">
        <v>0.30029408144796382</v>
      </c>
      <c r="O21" s="137">
        <v>0.33361838914027153</v>
      </c>
      <c r="P21" s="137">
        <v>0.42025908054298639</v>
      </c>
      <c r="Q21" s="137">
        <v>0.4613269458823529</v>
      </c>
      <c r="R21" s="137">
        <v>0.51146955412844053</v>
      </c>
      <c r="S21" s="137">
        <v>0.52365632910661464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</row>
    <row r="22" spans="2:66" x14ac:dyDescent="0.3">
      <c r="D22" s="14" t="s">
        <v>19</v>
      </c>
      <c r="E22" s="126">
        <v>2.4154045090909279E-2</v>
      </c>
      <c r="F22" s="126">
        <v>2.514790254545464E-2</v>
      </c>
      <c r="G22" s="126">
        <v>2.5940633959385478E-2</v>
      </c>
      <c r="H22" s="126">
        <v>2.8244365801459521E-2</v>
      </c>
      <c r="I22" s="126">
        <v>2.7713999999999996E-2</v>
      </c>
      <c r="J22" s="126">
        <v>2.7719999999999998E-2</v>
      </c>
      <c r="K22" s="126">
        <v>2.7354E-2</v>
      </c>
      <c r="L22" s="126">
        <v>3.8622000000000004E-2</v>
      </c>
      <c r="M22" s="126">
        <v>4.0208400000000005E-2</v>
      </c>
      <c r="N22" s="126">
        <v>3.7583999999999999E-2</v>
      </c>
      <c r="O22" s="126">
        <v>3.8275200000000002E-2</v>
      </c>
      <c r="P22" s="126">
        <v>3.8539199999999996E-2</v>
      </c>
      <c r="Q22" s="126">
        <v>4.0218479999999994E-2</v>
      </c>
      <c r="R22" s="126">
        <v>4.2375599999999999E-2</v>
      </c>
      <c r="S22" s="126">
        <v>4.2375599999999999E-2</v>
      </c>
      <c r="T22" s="25">
        <v>4.091826030441359E-2</v>
      </c>
      <c r="U22" s="25">
        <v>3.9460920608826999E-2</v>
      </c>
      <c r="V22" s="25">
        <v>3.8003580913240409E-2</v>
      </c>
      <c r="W22" s="25">
        <v>3.6546241217653819E-2</v>
      </c>
      <c r="X22" s="25">
        <v>3.5088901522067228E-2</v>
      </c>
      <c r="Y22" s="25">
        <v>3.3631561826480597E-2</v>
      </c>
      <c r="Z22" s="25">
        <v>3.3683609672751552E-2</v>
      </c>
      <c r="AA22" s="25">
        <v>3.3735657519022494E-2</v>
      </c>
      <c r="AB22" s="25">
        <v>3.3787705365293449E-2</v>
      </c>
      <c r="AC22" s="25">
        <v>3.3839753211564405E-2</v>
      </c>
      <c r="AD22" s="25">
        <v>3.3891801057835347E-2</v>
      </c>
      <c r="AE22" s="25">
        <v>3.3943848904106302E-2</v>
      </c>
      <c r="AF22" s="25">
        <v>3.3995896750377244E-2</v>
      </c>
      <c r="AG22" s="25">
        <v>3.40479445966482E-2</v>
      </c>
      <c r="AH22" s="25">
        <v>3.4099992442919155E-2</v>
      </c>
      <c r="AI22" s="25">
        <v>3.4152040289190097E-2</v>
      </c>
      <c r="AJ22" s="25">
        <v>3.4204088135461053E-2</v>
      </c>
      <c r="AK22" s="25">
        <v>3.4256135981731994E-2</v>
      </c>
      <c r="AL22" s="25">
        <v>3.430818382800295E-2</v>
      </c>
      <c r="AM22" s="25">
        <v>3.4360231674273906E-2</v>
      </c>
      <c r="AN22" s="25">
        <v>3.4412279520544847E-2</v>
      </c>
      <c r="AO22" s="25">
        <v>3.4464327366815803E-2</v>
      </c>
      <c r="AP22" s="25">
        <v>3.4516375213086745E-2</v>
      </c>
      <c r="AQ22" s="25">
        <v>3.45684230593577E-2</v>
      </c>
      <c r="AR22" s="25">
        <v>3.4620470905628656E-2</v>
      </c>
      <c r="AS22" s="25">
        <v>3.4672518751899598E-2</v>
      </c>
      <c r="AT22" s="25">
        <v>3.4672518751899598E-2</v>
      </c>
      <c r="AU22" s="25">
        <v>3.4672518751899598E-2</v>
      </c>
      <c r="AV22" s="25">
        <v>3.4672518751899598E-2</v>
      </c>
      <c r="AW22" s="25">
        <v>3.4672518751899598E-2</v>
      </c>
      <c r="AX22" s="25">
        <v>3.4672518751899598E-2</v>
      </c>
      <c r="AY22" s="25">
        <v>3.4672518751899598E-2</v>
      </c>
      <c r="AZ22" s="25">
        <v>3.4672518751899598E-2</v>
      </c>
      <c r="BA22" s="25">
        <v>3.4672518751899598E-2</v>
      </c>
      <c r="BB22" s="25">
        <v>3.4672518751899598E-2</v>
      </c>
      <c r="BC22" s="25">
        <v>3.4672518751899598E-2</v>
      </c>
      <c r="BD22" s="25">
        <v>3.4672518751899598E-2</v>
      </c>
      <c r="BE22" s="25">
        <v>3.4672518751899598E-2</v>
      </c>
      <c r="BF22" s="25">
        <v>3.4672518751899598E-2</v>
      </c>
      <c r="BG22" s="25">
        <v>3.4672518751899598E-2</v>
      </c>
      <c r="BH22" s="25">
        <v>3.4672518751899598E-2</v>
      </c>
      <c r="BI22" s="25">
        <v>3.4672518751899598E-2</v>
      </c>
      <c r="BJ22" s="25">
        <v>3.4672518751899598E-2</v>
      </c>
      <c r="BK22" s="25">
        <v>3.4672518751899598E-2</v>
      </c>
      <c r="BL22" s="25">
        <v>3.4672518751899598E-2</v>
      </c>
      <c r="BM22" s="25">
        <v>3.4507700572041625E-2</v>
      </c>
    </row>
    <row r="23" spans="2:66" x14ac:dyDescent="0.3">
      <c r="E23" s="126"/>
      <c r="F23" s="126"/>
      <c r="G23" s="126"/>
      <c r="H23" s="126"/>
      <c r="I23" s="126"/>
      <c r="J23" s="126"/>
      <c r="K23" s="126"/>
      <c r="L23" s="126"/>
      <c r="M23" s="126"/>
      <c r="N23" s="126"/>
      <c r="O23" s="126"/>
      <c r="P23" s="126"/>
      <c r="Q23" s="126"/>
      <c r="R23" s="126"/>
      <c r="S23" s="126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</row>
    <row r="24" spans="2:66" x14ac:dyDescent="0.3">
      <c r="B24" s="12"/>
      <c r="C24" s="13" t="s">
        <v>194</v>
      </c>
      <c r="D24" s="13"/>
      <c r="E24" s="129"/>
      <c r="F24" s="129"/>
      <c r="G24" s="129"/>
      <c r="H24" s="129"/>
      <c r="I24" s="129"/>
      <c r="J24" s="129"/>
      <c r="K24" s="129"/>
      <c r="L24" s="129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15"/>
    </row>
    <row r="25" spans="2:66" x14ac:dyDescent="0.3">
      <c r="B25" s="12"/>
      <c r="C25" s="14" t="s">
        <v>53</v>
      </c>
      <c r="D25" s="23" t="s">
        <v>24</v>
      </c>
      <c r="E25" s="126">
        <v>2.4154045090909279E-2</v>
      </c>
      <c r="F25" s="126">
        <v>2.514790254545464E-2</v>
      </c>
      <c r="G25" s="126">
        <v>2.5940633959385478E-2</v>
      </c>
      <c r="H25" s="126">
        <v>2.8244365801459521E-2</v>
      </c>
      <c r="I25" s="126">
        <v>2.7713999999999996E-2</v>
      </c>
      <c r="J25" s="126">
        <v>2.7719999999999998E-2</v>
      </c>
      <c r="K25" s="126">
        <v>2.7354E-2</v>
      </c>
      <c r="L25" s="126">
        <v>3.8622000000000004E-2</v>
      </c>
      <c r="M25" s="126">
        <v>4.0208400000000005E-2</v>
      </c>
      <c r="N25" s="126">
        <v>3.7583999999999999E-2</v>
      </c>
      <c r="O25" s="126">
        <v>3.8275200000000002E-2</v>
      </c>
      <c r="P25" s="126">
        <v>3.8539199999999996E-2</v>
      </c>
      <c r="Q25" s="126">
        <v>4.0218479999999994E-2</v>
      </c>
      <c r="R25" s="126">
        <v>4.2375599999999999E-2</v>
      </c>
      <c r="S25" s="126">
        <v>4.2375599999999999E-2</v>
      </c>
      <c r="T25" s="21">
        <f>$H$90+$H$89*T1</f>
        <v>4.091826030441359E-2</v>
      </c>
      <c r="U25" s="21">
        <f>$H$90+$H$89*U1</f>
        <v>3.9460920608826999E-2</v>
      </c>
      <c r="V25" s="21">
        <f>$H$90+$H$89*V1</f>
        <v>3.8003580913240409E-2</v>
      </c>
      <c r="W25" s="21">
        <f>$H$90+$H$89*W1</f>
        <v>3.6546241217653819E-2</v>
      </c>
      <c r="X25" s="21">
        <f>$H$90+$H$89*X1</f>
        <v>3.5088901522067228E-2</v>
      </c>
      <c r="Y25" s="91">
        <f>AVERAGE(E25:S25)</f>
        <v>3.3631561826480597E-2</v>
      </c>
      <c r="Z25" s="21">
        <f t="shared" ref="Z25:AR25" si="7">$I$90+$I$89*Z1</f>
        <v>3.3683609672751552E-2</v>
      </c>
      <c r="AA25" s="21">
        <f t="shared" si="7"/>
        <v>3.3735657519022494E-2</v>
      </c>
      <c r="AB25" s="21">
        <f t="shared" si="7"/>
        <v>3.3787705365293449E-2</v>
      </c>
      <c r="AC25" s="21">
        <f t="shared" si="7"/>
        <v>3.3839753211564405E-2</v>
      </c>
      <c r="AD25" s="21">
        <f t="shared" si="7"/>
        <v>3.3891801057835347E-2</v>
      </c>
      <c r="AE25" s="21">
        <f t="shared" si="7"/>
        <v>3.3943848904106302E-2</v>
      </c>
      <c r="AF25" s="21">
        <f t="shared" si="7"/>
        <v>3.3995896750377244E-2</v>
      </c>
      <c r="AG25" s="21">
        <f t="shared" si="7"/>
        <v>3.40479445966482E-2</v>
      </c>
      <c r="AH25" s="21">
        <f t="shared" si="7"/>
        <v>3.4099992442919155E-2</v>
      </c>
      <c r="AI25" s="21">
        <f t="shared" si="7"/>
        <v>3.4152040289190097E-2</v>
      </c>
      <c r="AJ25" s="21">
        <f t="shared" si="7"/>
        <v>3.4204088135461053E-2</v>
      </c>
      <c r="AK25" s="21">
        <f t="shared" si="7"/>
        <v>3.4256135981731994E-2</v>
      </c>
      <c r="AL25" s="21">
        <f t="shared" si="7"/>
        <v>3.430818382800295E-2</v>
      </c>
      <c r="AM25" s="21">
        <f t="shared" si="7"/>
        <v>3.4360231674273906E-2</v>
      </c>
      <c r="AN25" s="21">
        <f t="shared" si="7"/>
        <v>3.4412279520544847E-2</v>
      </c>
      <c r="AO25" s="21">
        <f t="shared" si="7"/>
        <v>3.4464327366815803E-2</v>
      </c>
      <c r="AP25" s="21">
        <f t="shared" si="7"/>
        <v>3.4516375213086745E-2</v>
      </c>
      <c r="AQ25" s="21">
        <f t="shared" si="7"/>
        <v>3.45684230593577E-2</v>
      </c>
      <c r="AR25" s="21">
        <f t="shared" si="7"/>
        <v>3.4620470905628656E-2</v>
      </c>
      <c r="AS25" s="130">
        <f>AVERAGE(E25:Y25)</f>
        <v>3.4672518751899598E-2</v>
      </c>
      <c r="AT25" s="126">
        <v>3.4672518751899598E-2</v>
      </c>
      <c r="AU25" s="126">
        <v>3.4672518751899598E-2</v>
      </c>
      <c r="AV25" s="126">
        <v>3.4672518751899598E-2</v>
      </c>
      <c r="AW25" s="126">
        <v>3.4672518751899598E-2</v>
      </c>
      <c r="AX25" s="126">
        <v>3.4672518751899598E-2</v>
      </c>
      <c r="AY25" s="126">
        <v>3.4672518751899598E-2</v>
      </c>
      <c r="AZ25" s="126">
        <v>3.4672518751899598E-2</v>
      </c>
      <c r="BA25" s="126">
        <v>3.4672518751899598E-2</v>
      </c>
      <c r="BB25" s="126">
        <v>3.4672518751899598E-2</v>
      </c>
      <c r="BC25" s="126">
        <v>3.4672518751899598E-2</v>
      </c>
      <c r="BD25" s="126">
        <v>3.4672518751899598E-2</v>
      </c>
      <c r="BE25" s="126">
        <v>3.4672518751899598E-2</v>
      </c>
      <c r="BF25" s="126">
        <v>3.4672518751899598E-2</v>
      </c>
      <c r="BG25" s="126">
        <v>3.4672518751899598E-2</v>
      </c>
      <c r="BH25" s="126">
        <v>3.4672518751899598E-2</v>
      </c>
      <c r="BI25" s="126">
        <v>3.4672518751899598E-2</v>
      </c>
      <c r="BJ25" s="126">
        <v>3.4672518751899598E-2</v>
      </c>
      <c r="BK25" s="126">
        <v>3.4672518751899598E-2</v>
      </c>
      <c r="BL25" s="126">
        <v>3.4672518751899598E-2</v>
      </c>
      <c r="BM25" s="21">
        <f>AVERAGE(E25:BL25)</f>
        <v>3.4507700572041625E-2</v>
      </c>
      <c r="BN25" s="15"/>
    </row>
    <row r="26" spans="2:66" x14ac:dyDescent="0.3">
      <c r="B26" s="12"/>
      <c r="C26" s="14" t="s">
        <v>54</v>
      </c>
      <c r="D26" s="23" t="s">
        <v>52</v>
      </c>
      <c r="E26" s="126">
        <v>2.3762538181818366E-2</v>
      </c>
      <c r="F26" s="126">
        <v>2.5779778181818272E-2</v>
      </c>
      <c r="G26" s="126">
        <v>2.7964623215663609E-2</v>
      </c>
      <c r="H26" s="126">
        <v>2.8890301226056282E-2</v>
      </c>
      <c r="I26" s="126">
        <v>2.6905000000000002E-2</v>
      </c>
      <c r="J26" s="126">
        <v>3.1899999999999998E-2</v>
      </c>
      <c r="K26" s="126">
        <v>2.5704999999999999E-2</v>
      </c>
      <c r="L26" s="126">
        <v>4.4744999999999993E-2</v>
      </c>
      <c r="M26" s="126">
        <v>4.2993000000000003E-2</v>
      </c>
      <c r="N26" s="126">
        <v>4.0679999999999994E-2</v>
      </c>
      <c r="O26" s="126">
        <v>4.0104000000000008E-2</v>
      </c>
      <c r="P26" s="126">
        <v>4.1883999999999991E-2</v>
      </c>
      <c r="Q26" s="126">
        <v>4.9484600000000011E-2</v>
      </c>
      <c r="R26" s="126">
        <v>4.3686999999999997E-2</v>
      </c>
      <c r="S26" s="126">
        <v>4.3686999999999997E-2</v>
      </c>
      <c r="T26" s="21">
        <f>$H$92+$H$91*T1</f>
        <v>4.2385520453392722E-2</v>
      </c>
      <c r="U26" s="21">
        <f>$H$92+$H$91*U1</f>
        <v>4.1084040906785635E-2</v>
      </c>
      <c r="V26" s="21">
        <f>$H$92+$H$91*V1</f>
        <v>3.9782561360178548E-2</v>
      </c>
      <c r="W26" s="21">
        <f>$H$92+$H$91*W1</f>
        <v>3.8481081813571461E-2</v>
      </c>
      <c r="X26" s="21">
        <f>$H$92+$H$91*X1</f>
        <v>3.7179602266964373E-2</v>
      </c>
      <c r="Y26" s="91">
        <f>AVERAGE(E26:S26)</f>
        <v>3.5878122720357099E-2</v>
      </c>
      <c r="Z26" s="21">
        <f t="shared" ref="Z26:AR26" si="8">$I$92+$I$91*Z1</f>
        <v>3.5924604132735925E-2</v>
      </c>
      <c r="AA26" s="21">
        <f t="shared" si="8"/>
        <v>3.5971085545114752E-2</v>
      </c>
      <c r="AB26" s="21">
        <f t="shared" si="8"/>
        <v>3.6017566957493578E-2</v>
      </c>
      <c r="AC26" s="21">
        <f t="shared" si="8"/>
        <v>3.6064048369872405E-2</v>
      </c>
      <c r="AD26" s="21">
        <f t="shared" si="8"/>
        <v>3.6110529782251231E-2</v>
      </c>
      <c r="AE26" s="21">
        <f t="shared" si="8"/>
        <v>3.6157011194630058E-2</v>
      </c>
      <c r="AF26" s="21">
        <f t="shared" si="8"/>
        <v>3.6203492607008884E-2</v>
      </c>
      <c r="AG26" s="21">
        <f t="shared" si="8"/>
        <v>3.6249974019387711E-2</v>
      </c>
      <c r="AH26" s="21">
        <f t="shared" si="8"/>
        <v>3.6296455431766537E-2</v>
      </c>
      <c r="AI26" s="21">
        <f t="shared" si="8"/>
        <v>3.6342936844145364E-2</v>
      </c>
      <c r="AJ26" s="21">
        <f t="shared" si="8"/>
        <v>3.6389418256524191E-2</v>
      </c>
      <c r="AK26" s="21">
        <f t="shared" si="8"/>
        <v>3.6435899668903017E-2</v>
      </c>
      <c r="AL26" s="21">
        <f t="shared" si="8"/>
        <v>3.6482381081281844E-2</v>
      </c>
      <c r="AM26" s="21">
        <f t="shared" si="8"/>
        <v>3.652886249366067E-2</v>
      </c>
      <c r="AN26" s="21">
        <f t="shared" si="8"/>
        <v>3.6575343906039497E-2</v>
      </c>
      <c r="AO26" s="21">
        <f t="shared" si="8"/>
        <v>3.6621825318418323E-2</v>
      </c>
      <c r="AP26" s="21">
        <f t="shared" si="8"/>
        <v>3.666830673079715E-2</v>
      </c>
      <c r="AQ26" s="21">
        <f t="shared" si="8"/>
        <v>3.6714788143175976E-2</v>
      </c>
      <c r="AR26" s="21">
        <f t="shared" si="8"/>
        <v>3.6761269555554803E-2</v>
      </c>
      <c r="AS26" s="130">
        <f>AVERAGE(E26:Y26)</f>
        <v>3.6807750967933636E-2</v>
      </c>
      <c r="AT26" s="126">
        <v>3.6807750967933636E-2</v>
      </c>
      <c r="AU26" s="126">
        <v>3.6807750967933636E-2</v>
      </c>
      <c r="AV26" s="126">
        <v>3.6807750967933636E-2</v>
      </c>
      <c r="AW26" s="126">
        <v>3.6807750967933636E-2</v>
      </c>
      <c r="AX26" s="126">
        <v>3.6807750967933636E-2</v>
      </c>
      <c r="AY26" s="126">
        <v>3.6807750967933636E-2</v>
      </c>
      <c r="AZ26" s="126">
        <v>3.6807750967933636E-2</v>
      </c>
      <c r="BA26" s="126">
        <v>3.6807750967933636E-2</v>
      </c>
      <c r="BB26" s="126">
        <v>3.6807750967933636E-2</v>
      </c>
      <c r="BC26" s="126">
        <v>3.6807750967933636E-2</v>
      </c>
      <c r="BD26" s="126">
        <v>3.6807750967933636E-2</v>
      </c>
      <c r="BE26" s="126">
        <v>3.6807750967933636E-2</v>
      </c>
      <c r="BF26" s="126">
        <v>3.6807750967933636E-2</v>
      </c>
      <c r="BG26" s="126">
        <v>3.6807750967933636E-2</v>
      </c>
      <c r="BH26" s="126">
        <v>3.6807750967933636E-2</v>
      </c>
      <c r="BI26" s="126">
        <v>3.6807750967933636E-2</v>
      </c>
      <c r="BJ26" s="126">
        <v>3.6807750967933636E-2</v>
      </c>
      <c r="BK26" s="126">
        <v>3.6807750967933636E-2</v>
      </c>
      <c r="BL26" s="126">
        <v>3.6807750967933636E-2</v>
      </c>
      <c r="BM26" s="21">
        <f>AVERAGE(E26:BL26)</f>
        <v>3.6660559828734021E-2</v>
      </c>
      <c r="BN26" s="15"/>
    </row>
    <row r="27" spans="2:66" x14ac:dyDescent="0.3">
      <c r="B27" s="12"/>
      <c r="C27" s="14" t="s">
        <v>55</v>
      </c>
      <c r="D27" s="23" t="s">
        <v>25</v>
      </c>
      <c r="E27" s="126">
        <v>0.95208341672727248</v>
      </c>
      <c r="F27" s="126">
        <v>0.94907231927272706</v>
      </c>
      <c r="G27" s="126">
        <v>0.94609474282495098</v>
      </c>
      <c r="H27" s="126">
        <v>0.9428653329724842</v>
      </c>
      <c r="I27" s="126">
        <v>0.9453809999999998</v>
      </c>
      <c r="J27" s="126">
        <v>0.94037999999999999</v>
      </c>
      <c r="K27" s="126">
        <v>0.94694100000000003</v>
      </c>
      <c r="L27" s="126">
        <v>0.91663300000000003</v>
      </c>
      <c r="M27" s="126">
        <v>0.91679860000000002</v>
      </c>
      <c r="N27" s="126">
        <v>0.92173599999999989</v>
      </c>
      <c r="O27" s="126">
        <v>0.92162080000000002</v>
      </c>
      <c r="P27" s="126">
        <v>0.91957679999999986</v>
      </c>
      <c r="Q27" s="126">
        <v>0.91029691999999984</v>
      </c>
      <c r="R27" s="126">
        <v>0.91393740000000023</v>
      </c>
      <c r="S27" s="126">
        <v>0.91847657724255427</v>
      </c>
      <c r="T27" s="21">
        <f>1-T26-T25</f>
        <v>0.91669621924219369</v>
      </c>
      <c r="U27" s="21">
        <f t="shared" ref="U27:BM27" si="9">1-U26-U25</f>
        <v>0.91945503848438737</v>
      </c>
      <c r="V27" s="21">
        <f t="shared" si="9"/>
        <v>0.92221385772658104</v>
      </c>
      <c r="W27" s="21">
        <f t="shared" si="9"/>
        <v>0.92497267696877472</v>
      </c>
      <c r="X27" s="21">
        <f t="shared" si="9"/>
        <v>0.9277314962109684</v>
      </c>
      <c r="Y27" s="21">
        <f t="shared" si="9"/>
        <v>0.9304903154531623</v>
      </c>
      <c r="Z27" s="21">
        <f t="shared" si="9"/>
        <v>0.93039178619451257</v>
      </c>
      <c r="AA27" s="21">
        <f t="shared" si="9"/>
        <v>0.93029325693586273</v>
      </c>
      <c r="AB27" s="21">
        <f t="shared" si="9"/>
        <v>0.93019472767721301</v>
      </c>
      <c r="AC27" s="21">
        <f t="shared" si="9"/>
        <v>0.93009619841856317</v>
      </c>
      <c r="AD27" s="21">
        <f t="shared" si="9"/>
        <v>0.92999766915991344</v>
      </c>
      <c r="AE27" s="21">
        <f t="shared" si="9"/>
        <v>0.9298991399012636</v>
      </c>
      <c r="AF27" s="21">
        <f t="shared" si="9"/>
        <v>0.92980061064261388</v>
      </c>
      <c r="AG27" s="21">
        <f t="shared" si="9"/>
        <v>0.92970208138396415</v>
      </c>
      <c r="AH27" s="21">
        <f t="shared" si="9"/>
        <v>0.92960355212531431</v>
      </c>
      <c r="AI27" s="21">
        <f t="shared" si="9"/>
        <v>0.92950502286666459</v>
      </c>
      <c r="AJ27" s="21">
        <f t="shared" si="9"/>
        <v>0.92940649360801475</v>
      </c>
      <c r="AK27" s="21">
        <f t="shared" si="9"/>
        <v>0.92930796434936491</v>
      </c>
      <c r="AL27" s="21">
        <f t="shared" si="9"/>
        <v>0.92920943509071519</v>
      </c>
      <c r="AM27" s="21">
        <f t="shared" si="9"/>
        <v>0.92911090583206535</v>
      </c>
      <c r="AN27" s="21">
        <f t="shared" si="9"/>
        <v>0.92901237657341573</v>
      </c>
      <c r="AO27" s="21">
        <f t="shared" si="9"/>
        <v>0.92891384731476589</v>
      </c>
      <c r="AP27" s="21">
        <f t="shared" si="9"/>
        <v>0.92881531805611617</v>
      </c>
      <c r="AQ27" s="21">
        <f t="shared" si="9"/>
        <v>0.92871678879746633</v>
      </c>
      <c r="AR27" s="21">
        <f t="shared" si="9"/>
        <v>0.92861825953881649</v>
      </c>
      <c r="AS27" s="21">
        <f t="shared" si="9"/>
        <v>0.92851973028016677</v>
      </c>
      <c r="AT27" s="21">
        <f>1-AT26-AT25</f>
        <v>0.92851973028016677</v>
      </c>
      <c r="AU27" s="21">
        <f t="shared" si="9"/>
        <v>0.92851973028016677</v>
      </c>
      <c r="AV27" s="21">
        <f t="shared" si="9"/>
        <v>0.92851973028016677</v>
      </c>
      <c r="AW27" s="21">
        <f t="shared" si="9"/>
        <v>0.92851973028016677</v>
      </c>
      <c r="AX27" s="21">
        <f t="shared" si="9"/>
        <v>0.92851973028016677</v>
      </c>
      <c r="AY27" s="21">
        <f t="shared" si="9"/>
        <v>0.92851973028016677</v>
      </c>
      <c r="AZ27" s="21">
        <f t="shared" si="9"/>
        <v>0.92851973028016677</v>
      </c>
      <c r="BA27" s="21">
        <f t="shared" si="9"/>
        <v>0.92851973028016677</v>
      </c>
      <c r="BB27" s="21">
        <f t="shared" si="9"/>
        <v>0.92851973028016677</v>
      </c>
      <c r="BC27" s="21">
        <f t="shared" si="9"/>
        <v>0.92851973028016677</v>
      </c>
      <c r="BD27" s="21">
        <f t="shared" si="9"/>
        <v>0.92851973028016677</v>
      </c>
      <c r="BE27" s="21">
        <f t="shared" si="9"/>
        <v>0.92851973028016677</v>
      </c>
      <c r="BF27" s="21">
        <f t="shared" si="9"/>
        <v>0.92851973028016677</v>
      </c>
      <c r="BG27" s="21">
        <f t="shared" si="9"/>
        <v>0.92851973028016677</v>
      </c>
      <c r="BH27" s="21">
        <f t="shared" si="9"/>
        <v>0.92851973028016677</v>
      </c>
      <c r="BI27" s="21">
        <f t="shared" si="9"/>
        <v>0.92851973028016677</v>
      </c>
      <c r="BJ27" s="21">
        <f t="shared" si="9"/>
        <v>0.92851973028016677</v>
      </c>
      <c r="BK27" s="21">
        <f t="shared" si="9"/>
        <v>0.92851973028016677</v>
      </c>
      <c r="BL27" s="21">
        <f t="shared" si="9"/>
        <v>0.92851973028016677</v>
      </c>
      <c r="BM27" s="21">
        <f t="shared" si="9"/>
        <v>0.92883173959922427</v>
      </c>
      <c r="BN27" s="15"/>
    </row>
    <row r="28" spans="2:66" ht="13.8" customHeight="1" x14ac:dyDescent="0.3">
      <c r="B28" s="12"/>
      <c r="C28" s="14" t="s">
        <v>139</v>
      </c>
      <c r="D28" s="23" t="s">
        <v>140</v>
      </c>
      <c r="E28" s="21">
        <v>2.2373862499788658E-3</v>
      </c>
      <c r="F28" s="21">
        <v>2.2373862499788658E-3</v>
      </c>
      <c r="G28" s="21">
        <v>2.2373862499788658E-3</v>
      </c>
      <c r="H28" s="21">
        <v>2.2373862499788658E-3</v>
      </c>
      <c r="I28" s="21">
        <v>2.2373862499788658E-3</v>
      </c>
      <c r="J28" s="21">
        <v>2.2373862499788658E-3</v>
      </c>
      <c r="K28" s="21">
        <v>2.2373862499788658E-3</v>
      </c>
      <c r="L28" s="21">
        <v>2.2373862499788658E-3</v>
      </c>
      <c r="M28" s="21">
        <v>2.2373862499788658E-3</v>
      </c>
      <c r="N28" s="21">
        <v>2.2373862499788658E-3</v>
      </c>
      <c r="O28" s="21">
        <v>2.2373862499788658E-3</v>
      </c>
      <c r="P28" s="21">
        <v>2.2373862499788658E-3</v>
      </c>
      <c r="Q28" s="21">
        <v>2.2373862499788658E-3</v>
      </c>
      <c r="R28" s="21">
        <v>2.2373862499788658E-3</v>
      </c>
      <c r="S28" s="21">
        <v>2.2373862499788658E-3</v>
      </c>
      <c r="T28" s="21">
        <v>2.2373862499788658E-3</v>
      </c>
      <c r="U28" s="21">
        <v>2.2373862499788658E-3</v>
      </c>
      <c r="V28" s="21">
        <v>2.2373862499788658E-3</v>
      </c>
      <c r="W28" s="21">
        <v>2.2373862499788658E-3</v>
      </c>
      <c r="X28" s="21">
        <v>2.2373862499788658E-3</v>
      </c>
      <c r="Y28" s="21">
        <v>2.2373862499788658E-3</v>
      </c>
      <c r="Z28" s="21">
        <v>2.2373862499788658E-3</v>
      </c>
      <c r="AA28" s="21">
        <v>2.2373862499788658E-3</v>
      </c>
      <c r="AB28" s="21">
        <v>2.2373862499788658E-3</v>
      </c>
      <c r="AC28" s="21">
        <v>2.2373862499788658E-3</v>
      </c>
      <c r="AD28" s="21">
        <v>2.2373862499788658E-3</v>
      </c>
      <c r="AE28" s="21">
        <v>2.2373862499788658E-3</v>
      </c>
      <c r="AF28" s="21">
        <v>2.2373862499788658E-3</v>
      </c>
      <c r="AG28" s="21">
        <v>2.2373862499788658E-3</v>
      </c>
      <c r="AH28" s="21">
        <v>2.2373862499788658E-3</v>
      </c>
      <c r="AI28" s="21">
        <v>2.2373862499788658E-3</v>
      </c>
      <c r="AJ28" s="21">
        <v>2.2373862499788658E-3</v>
      </c>
      <c r="AK28" s="21">
        <v>2.2373862499788658E-3</v>
      </c>
      <c r="AL28" s="21">
        <v>2.2373862499788658E-3</v>
      </c>
      <c r="AM28" s="21">
        <v>2.2373862499788658E-3</v>
      </c>
      <c r="AN28" s="21">
        <v>2.2373862499788658E-3</v>
      </c>
      <c r="AO28" s="21">
        <v>2.2373862499788658E-3</v>
      </c>
      <c r="AP28" s="21">
        <v>2.2373862499788658E-3</v>
      </c>
      <c r="AQ28" s="21">
        <v>2.2373862499788658E-3</v>
      </c>
      <c r="AR28" s="21">
        <v>2.2373862499788658E-3</v>
      </c>
      <c r="AS28" s="21">
        <v>2.2373862499788658E-3</v>
      </c>
      <c r="AT28" s="21">
        <v>2.2373862499788658E-3</v>
      </c>
      <c r="AU28" s="21">
        <v>2.2373862499788658E-3</v>
      </c>
      <c r="AV28" s="21">
        <v>2.2373862499788658E-3</v>
      </c>
      <c r="AW28" s="21">
        <v>2.2373862499788658E-3</v>
      </c>
      <c r="AX28" s="21">
        <v>2.2373862499788658E-3</v>
      </c>
      <c r="AY28" s="21">
        <v>2.2373862499788658E-3</v>
      </c>
      <c r="AZ28" s="21">
        <v>2.2373862499788658E-3</v>
      </c>
      <c r="BA28" s="21">
        <v>2.2373862499788658E-3</v>
      </c>
      <c r="BB28" s="21">
        <v>2.2373862499788658E-3</v>
      </c>
      <c r="BC28" s="21">
        <v>2.2373862499788658E-3</v>
      </c>
      <c r="BD28" s="21">
        <v>2.2373862499788658E-3</v>
      </c>
      <c r="BE28" s="21">
        <v>2.2373862499788658E-3</v>
      </c>
      <c r="BF28" s="21">
        <v>2.2373862499788658E-3</v>
      </c>
      <c r="BG28" s="21">
        <v>2.2373862499788658E-3</v>
      </c>
      <c r="BH28" s="21">
        <v>2.2373862499788658E-3</v>
      </c>
      <c r="BI28" s="21">
        <v>2.2373862499788658E-3</v>
      </c>
      <c r="BJ28" s="21">
        <v>2.2373862499788658E-3</v>
      </c>
      <c r="BK28" s="21">
        <v>2.2373862499788658E-3</v>
      </c>
      <c r="BL28" s="21">
        <v>2.2373862499788658E-3</v>
      </c>
      <c r="BM28" s="21">
        <v>2.2373862499788658E-3</v>
      </c>
      <c r="BN28" s="15"/>
    </row>
    <row r="29" spans="2:66" x14ac:dyDescent="0.3">
      <c r="B29" s="12"/>
      <c r="C29" s="14"/>
      <c r="D29" s="14"/>
      <c r="E29" s="31">
        <f t="shared" ref="E29:L29" si="10">E25+E26+E27</f>
        <v>1.0000000000000002</v>
      </c>
      <c r="F29" s="31">
        <f t="shared" si="10"/>
        <v>1</v>
      </c>
      <c r="G29" s="31">
        <f t="shared" si="10"/>
        <v>1</v>
      </c>
      <c r="H29" s="31">
        <f t="shared" si="10"/>
        <v>1</v>
      </c>
      <c r="I29" s="31">
        <f t="shared" si="10"/>
        <v>0.99999999999999978</v>
      </c>
      <c r="J29" s="31">
        <f t="shared" si="10"/>
        <v>1</v>
      </c>
      <c r="K29" s="31">
        <f t="shared" si="10"/>
        <v>1</v>
      </c>
      <c r="L29" s="31">
        <f t="shared" si="10"/>
        <v>1</v>
      </c>
      <c r="M29" s="31">
        <f>M25+M26+M27</f>
        <v>1</v>
      </c>
      <c r="N29" s="31">
        <f t="shared" ref="N29:BM29" si="11">N25+N26+N27</f>
        <v>0.99999999999999989</v>
      </c>
      <c r="O29" s="31">
        <f t="shared" si="11"/>
        <v>1</v>
      </c>
      <c r="P29" s="31">
        <f t="shared" si="11"/>
        <v>0.99999999999999989</v>
      </c>
      <c r="Q29" s="31">
        <f t="shared" si="11"/>
        <v>0.99999999999999989</v>
      </c>
      <c r="R29" s="31">
        <f t="shared" si="11"/>
        <v>1.0000000000000002</v>
      </c>
      <c r="S29" s="31">
        <f t="shared" si="11"/>
        <v>1.0045391772425543</v>
      </c>
      <c r="T29" s="31">
        <f t="shared" si="11"/>
        <v>1</v>
      </c>
      <c r="U29" s="31">
        <f t="shared" si="11"/>
        <v>1</v>
      </c>
      <c r="V29" s="31">
        <f t="shared" si="11"/>
        <v>1</v>
      </c>
      <c r="W29" s="31">
        <f t="shared" si="11"/>
        <v>1</v>
      </c>
      <c r="X29" s="31">
        <f t="shared" si="11"/>
        <v>1</v>
      </c>
      <c r="Y29" s="31">
        <f t="shared" si="11"/>
        <v>1</v>
      </c>
      <c r="Z29" s="31">
        <f t="shared" si="11"/>
        <v>1</v>
      </c>
      <c r="AA29" s="31">
        <f t="shared" si="11"/>
        <v>1</v>
      </c>
      <c r="AB29" s="31">
        <f t="shared" si="11"/>
        <v>1</v>
      </c>
      <c r="AC29" s="31">
        <f t="shared" si="11"/>
        <v>1</v>
      </c>
      <c r="AD29" s="31">
        <f t="shared" si="11"/>
        <v>1</v>
      </c>
      <c r="AE29" s="31">
        <f t="shared" si="11"/>
        <v>1</v>
      </c>
      <c r="AF29" s="31">
        <f t="shared" si="11"/>
        <v>1</v>
      </c>
      <c r="AG29" s="31">
        <f t="shared" si="11"/>
        <v>1</v>
      </c>
      <c r="AH29" s="31">
        <f t="shared" si="11"/>
        <v>1</v>
      </c>
      <c r="AI29" s="31">
        <f t="shared" si="11"/>
        <v>1</v>
      </c>
      <c r="AJ29" s="31">
        <f t="shared" si="11"/>
        <v>1</v>
      </c>
      <c r="AK29" s="31">
        <f t="shared" si="11"/>
        <v>0.99999999999999989</v>
      </c>
      <c r="AL29" s="31">
        <f t="shared" si="11"/>
        <v>1</v>
      </c>
      <c r="AM29" s="31">
        <f t="shared" si="11"/>
        <v>0.99999999999999989</v>
      </c>
      <c r="AN29" s="31">
        <f t="shared" si="11"/>
        <v>1</v>
      </c>
      <c r="AO29" s="31">
        <f t="shared" si="11"/>
        <v>1</v>
      </c>
      <c r="AP29" s="31">
        <f t="shared" si="11"/>
        <v>1</v>
      </c>
      <c r="AQ29" s="31">
        <f t="shared" si="11"/>
        <v>1</v>
      </c>
      <c r="AR29" s="31">
        <f t="shared" si="11"/>
        <v>1</v>
      </c>
      <c r="AS29" s="31">
        <f t="shared" si="11"/>
        <v>1</v>
      </c>
      <c r="AT29" s="31">
        <f>AT25+AT26+AT27</f>
        <v>1</v>
      </c>
      <c r="AU29" s="31">
        <f t="shared" si="11"/>
        <v>1</v>
      </c>
      <c r="AV29" s="31">
        <f t="shared" si="11"/>
        <v>1</v>
      </c>
      <c r="AW29" s="31">
        <f t="shared" si="11"/>
        <v>1</v>
      </c>
      <c r="AX29" s="31">
        <f t="shared" si="11"/>
        <v>1</v>
      </c>
      <c r="AY29" s="31">
        <f t="shared" si="11"/>
        <v>1</v>
      </c>
      <c r="AZ29" s="31">
        <f t="shared" si="11"/>
        <v>1</v>
      </c>
      <c r="BA29" s="31">
        <f t="shared" si="11"/>
        <v>1</v>
      </c>
      <c r="BB29" s="31">
        <f t="shared" si="11"/>
        <v>1</v>
      </c>
      <c r="BC29" s="31">
        <f t="shared" si="11"/>
        <v>1</v>
      </c>
      <c r="BD29" s="31">
        <f t="shared" si="11"/>
        <v>1</v>
      </c>
      <c r="BE29" s="31">
        <f t="shared" si="11"/>
        <v>1</v>
      </c>
      <c r="BF29" s="31">
        <f t="shared" si="11"/>
        <v>1</v>
      </c>
      <c r="BG29" s="31">
        <f t="shared" si="11"/>
        <v>1</v>
      </c>
      <c r="BH29" s="31">
        <f t="shared" si="11"/>
        <v>1</v>
      </c>
      <c r="BI29" s="31">
        <f t="shared" si="11"/>
        <v>1</v>
      </c>
      <c r="BJ29" s="31">
        <f t="shared" si="11"/>
        <v>1</v>
      </c>
      <c r="BK29" s="31">
        <f t="shared" si="11"/>
        <v>1</v>
      </c>
      <c r="BL29" s="31">
        <f t="shared" si="11"/>
        <v>1</v>
      </c>
      <c r="BM29" s="31">
        <f t="shared" si="11"/>
        <v>0.99999999999999989</v>
      </c>
      <c r="BN29" s="15"/>
    </row>
    <row r="30" spans="2:66" x14ac:dyDescent="0.3">
      <c r="B30" s="12"/>
      <c r="C30" s="13" t="s">
        <v>193</v>
      </c>
      <c r="D30" s="13"/>
      <c r="E30" s="13"/>
      <c r="F30" s="13"/>
      <c r="G30" s="13"/>
      <c r="H30" s="13"/>
      <c r="I30" s="13"/>
      <c r="J30" s="13"/>
      <c r="K30" s="13"/>
      <c r="L30" s="13"/>
      <c r="M30" s="4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15"/>
    </row>
    <row r="31" spans="2:66" x14ac:dyDescent="0.3">
      <c r="B31" s="12"/>
      <c r="C31" s="14" t="s">
        <v>64</v>
      </c>
      <c r="D31" s="14" t="s">
        <v>27</v>
      </c>
      <c r="E31" s="126">
        <v>4.7525076363636697E-2</v>
      </c>
      <c r="F31" s="126">
        <v>5.1559556363636502E-2</v>
      </c>
      <c r="G31" s="126">
        <v>5.5929246431327198E-2</v>
      </c>
      <c r="H31" s="126">
        <v>5.7780602452112598E-2</v>
      </c>
      <c r="I31" s="126">
        <v>5.3809999999999997E-2</v>
      </c>
      <c r="J31" s="126">
        <v>6.3799999999999996E-2</v>
      </c>
      <c r="K31" s="126">
        <v>5.1409999999999997E-2</v>
      </c>
      <c r="L31" s="126">
        <v>8.949E-2</v>
      </c>
      <c r="M31" s="126">
        <v>8.5986000000000007E-2</v>
      </c>
      <c r="N31" s="126">
        <v>8.1360000000000002E-2</v>
      </c>
      <c r="O31" s="126">
        <v>8.0208000000000002E-2</v>
      </c>
      <c r="P31" s="126">
        <v>8.3767999999999995E-2</v>
      </c>
      <c r="Q31" s="126">
        <v>9.8969199999999993E-2</v>
      </c>
      <c r="R31" s="126">
        <v>8.7373999999999993E-2</v>
      </c>
      <c r="S31" s="126">
        <v>8.7373999999999993E-2</v>
      </c>
      <c r="T31" s="21">
        <v>8.7373999999999993E-2</v>
      </c>
      <c r="U31" s="21">
        <v>8.7373999999999993E-2</v>
      </c>
      <c r="V31" s="21">
        <v>8.7373999999999993E-2</v>
      </c>
      <c r="W31" s="21">
        <v>8.7373999999999993E-2</v>
      </c>
      <c r="X31" s="21">
        <v>8.7373999999999993E-2</v>
      </c>
      <c r="Y31" s="21">
        <v>8.7373999999999993E-2</v>
      </c>
      <c r="Z31" s="21">
        <v>8.7373999999999993E-2</v>
      </c>
      <c r="AA31" s="21">
        <v>8.7373999999999993E-2</v>
      </c>
      <c r="AB31" s="21">
        <v>8.7373999999999993E-2</v>
      </c>
      <c r="AC31" s="21">
        <v>8.7373999999999993E-2</v>
      </c>
      <c r="AD31" s="21">
        <v>8.7373999999999993E-2</v>
      </c>
      <c r="AE31" s="21">
        <v>8.7373999999999993E-2</v>
      </c>
      <c r="AF31" s="21">
        <v>8.7373999999999993E-2</v>
      </c>
      <c r="AG31" s="21">
        <v>8.7373999999999993E-2</v>
      </c>
      <c r="AH31" s="21">
        <v>8.7373999999999993E-2</v>
      </c>
      <c r="AI31" s="21">
        <v>8.7373999999999993E-2</v>
      </c>
      <c r="AJ31" s="21">
        <v>8.7373999999999993E-2</v>
      </c>
      <c r="AK31" s="21">
        <v>8.7373999999999993E-2</v>
      </c>
      <c r="AL31" s="21">
        <v>8.7373999999999993E-2</v>
      </c>
      <c r="AM31" s="21">
        <v>8.7373999999999993E-2</v>
      </c>
      <c r="AN31" s="21">
        <v>8.7373999999999993E-2</v>
      </c>
      <c r="AO31" s="21">
        <v>8.7373999999999993E-2</v>
      </c>
      <c r="AP31" s="21">
        <v>8.7373999999999993E-2</v>
      </c>
      <c r="AQ31" s="21">
        <v>8.7373999999999993E-2</v>
      </c>
      <c r="AR31" s="21">
        <v>8.7373999999999993E-2</v>
      </c>
      <c r="AS31" s="21">
        <v>8.7373999999999993E-2</v>
      </c>
      <c r="AT31" s="21">
        <v>8.7373999999999993E-2</v>
      </c>
      <c r="AU31" s="21">
        <v>8.7373999999999993E-2</v>
      </c>
      <c r="AV31" s="21">
        <v>8.7373999999999993E-2</v>
      </c>
      <c r="AW31" s="21">
        <v>8.7373999999999993E-2</v>
      </c>
      <c r="AX31" s="21">
        <v>8.7373999999999993E-2</v>
      </c>
      <c r="AY31" s="21">
        <v>8.7373999999999993E-2</v>
      </c>
      <c r="AZ31" s="21">
        <v>8.7373999999999993E-2</v>
      </c>
      <c r="BA31" s="21">
        <v>8.7373999999999993E-2</v>
      </c>
      <c r="BB31" s="21">
        <v>8.7373999999999993E-2</v>
      </c>
      <c r="BC31" s="21">
        <v>8.7373999999999993E-2</v>
      </c>
      <c r="BD31" s="21">
        <v>8.7373999999999993E-2</v>
      </c>
      <c r="BE31" s="21">
        <v>8.7373999999999993E-2</v>
      </c>
      <c r="BF31" s="21">
        <v>8.7373999999999993E-2</v>
      </c>
      <c r="BG31" s="21">
        <v>8.7373999999999993E-2</v>
      </c>
      <c r="BH31" s="21">
        <v>8.7373999999999993E-2</v>
      </c>
      <c r="BI31" s="21">
        <v>8.7373999999999993E-2</v>
      </c>
      <c r="BJ31" s="21">
        <v>8.7373999999999993E-2</v>
      </c>
      <c r="BK31" s="21">
        <v>8.7373999999999993E-2</v>
      </c>
      <c r="BL31" s="21">
        <v>8.7373999999999993E-2</v>
      </c>
      <c r="BM31" s="21">
        <v>8.7373999999999993E-2</v>
      </c>
      <c r="BN31" s="15"/>
    </row>
    <row r="32" spans="2:66" x14ac:dyDescent="0.3">
      <c r="B32" s="12"/>
      <c r="C32" s="14" t="s">
        <v>65</v>
      </c>
      <c r="D32" s="14" t="s">
        <v>28</v>
      </c>
      <c r="E32" s="126">
        <v>4.0256741818182097E-2</v>
      </c>
      <c r="F32" s="126">
        <v>4.1913170909091101E-2</v>
      </c>
      <c r="G32" s="126">
        <v>4.3234389932309103E-2</v>
      </c>
      <c r="H32" s="126">
        <v>4.7073943002432499E-2</v>
      </c>
      <c r="I32" s="126">
        <v>4.6190000000000002E-2</v>
      </c>
      <c r="J32" s="126">
        <v>4.6199999999999998E-2</v>
      </c>
      <c r="K32" s="126">
        <v>4.5589999999999999E-2</v>
      </c>
      <c r="L32" s="126">
        <v>6.4369999999999997E-2</v>
      </c>
      <c r="M32" s="126">
        <v>6.7014000000000004E-2</v>
      </c>
      <c r="N32" s="126">
        <v>6.2640000000000001E-2</v>
      </c>
      <c r="O32" s="126">
        <v>6.3792000000000001E-2</v>
      </c>
      <c r="P32" s="126">
        <v>6.4231999999999997E-2</v>
      </c>
      <c r="Q32" s="126">
        <v>6.7030800000000001E-2</v>
      </c>
      <c r="R32" s="126">
        <v>7.0625999999999994E-2</v>
      </c>
      <c r="S32" s="126">
        <v>7.0625999999999994E-2</v>
      </c>
      <c r="T32" s="21">
        <v>7.0625999999999994E-2</v>
      </c>
      <c r="U32" s="21">
        <v>7.0625999999999994E-2</v>
      </c>
      <c r="V32" s="21">
        <v>7.0625999999999994E-2</v>
      </c>
      <c r="W32" s="21">
        <v>7.0625999999999994E-2</v>
      </c>
      <c r="X32" s="21">
        <v>7.0625999999999994E-2</v>
      </c>
      <c r="Y32" s="21">
        <v>7.0625999999999994E-2</v>
      </c>
      <c r="Z32" s="21">
        <v>7.0625999999999994E-2</v>
      </c>
      <c r="AA32" s="21">
        <v>7.0625999999999994E-2</v>
      </c>
      <c r="AB32" s="21">
        <v>7.0625999999999994E-2</v>
      </c>
      <c r="AC32" s="21">
        <v>7.0625999999999994E-2</v>
      </c>
      <c r="AD32" s="21">
        <v>7.0625999999999994E-2</v>
      </c>
      <c r="AE32" s="21">
        <v>7.0625999999999994E-2</v>
      </c>
      <c r="AF32" s="21">
        <v>7.0625999999999994E-2</v>
      </c>
      <c r="AG32" s="21">
        <v>7.0625999999999994E-2</v>
      </c>
      <c r="AH32" s="21">
        <v>7.0625999999999994E-2</v>
      </c>
      <c r="AI32" s="21">
        <v>7.0625999999999994E-2</v>
      </c>
      <c r="AJ32" s="21">
        <v>7.0625999999999994E-2</v>
      </c>
      <c r="AK32" s="21">
        <v>7.0625999999999994E-2</v>
      </c>
      <c r="AL32" s="21">
        <v>7.0625999999999994E-2</v>
      </c>
      <c r="AM32" s="21">
        <v>7.0625999999999994E-2</v>
      </c>
      <c r="AN32" s="21">
        <v>7.0625999999999994E-2</v>
      </c>
      <c r="AO32" s="21">
        <v>7.0625999999999994E-2</v>
      </c>
      <c r="AP32" s="21">
        <v>7.0625999999999994E-2</v>
      </c>
      <c r="AQ32" s="21">
        <v>7.0625999999999994E-2</v>
      </c>
      <c r="AR32" s="21">
        <v>7.0625999999999994E-2</v>
      </c>
      <c r="AS32" s="21">
        <v>7.0625999999999994E-2</v>
      </c>
      <c r="AT32" s="21">
        <v>7.0625999999999994E-2</v>
      </c>
      <c r="AU32" s="21">
        <v>7.0625999999999994E-2</v>
      </c>
      <c r="AV32" s="21">
        <v>7.0625999999999994E-2</v>
      </c>
      <c r="AW32" s="21">
        <v>7.0625999999999994E-2</v>
      </c>
      <c r="AX32" s="21">
        <v>7.0625999999999994E-2</v>
      </c>
      <c r="AY32" s="21">
        <v>7.0625999999999994E-2</v>
      </c>
      <c r="AZ32" s="21">
        <v>7.0625999999999994E-2</v>
      </c>
      <c r="BA32" s="21">
        <v>7.0625999999999994E-2</v>
      </c>
      <c r="BB32" s="21">
        <v>7.0625999999999994E-2</v>
      </c>
      <c r="BC32" s="21">
        <v>7.0625999999999994E-2</v>
      </c>
      <c r="BD32" s="21">
        <v>7.0625999999999994E-2</v>
      </c>
      <c r="BE32" s="21">
        <v>7.0625999999999994E-2</v>
      </c>
      <c r="BF32" s="21">
        <v>7.0625999999999994E-2</v>
      </c>
      <c r="BG32" s="21">
        <v>7.0625999999999994E-2</v>
      </c>
      <c r="BH32" s="21">
        <v>7.0625999999999994E-2</v>
      </c>
      <c r="BI32" s="21">
        <v>7.0625999999999994E-2</v>
      </c>
      <c r="BJ32" s="21">
        <v>7.0625999999999994E-2</v>
      </c>
      <c r="BK32" s="21">
        <v>7.0625999999999994E-2</v>
      </c>
      <c r="BL32" s="21">
        <v>7.0625999999999994E-2</v>
      </c>
      <c r="BM32" s="21">
        <v>7.0625999999999994E-2</v>
      </c>
      <c r="BN32" s="15"/>
    </row>
    <row r="33" spans="2:66" x14ac:dyDescent="0.3">
      <c r="B33" s="12"/>
      <c r="C33" s="14" t="s">
        <v>63</v>
      </c>
      <c r="D33" s="14" t="s">
        <v>29</v>
      </c>
      <c r="E33" s="126">
        <v>0.91221818181818115</v>
      </c>
      <c r="F33" s="126">
        <v>0.9065272727272724</v>
      </c>
      <c r="G33" s="126">
        <v>0.90083636363636366</v>
      </c>
      <c r="H33" s="126">
        <v>0.89514545454545491</v>
      </c>
      <c r="I33" s="126">
        <v>0.9</v>
      </c>
      <c r="J33" s="126">
        <v>0.89</v>
      </c>
      <c r="K33" s="126">
        <v>0.90300000000000002</v>
      </c>
      <c r="L33" s="126">
        <v>0.84299999999999997</v>
      </c>
      <c r="M33" s="126">
        <v>0.84699999999999998</v>
      </c>
      <c r="N33" s="126">
        <v>0.85599999999999998</v>
      </c>
      <c r="O33" s="126">
        <v>0.85599999999999998</v>
      </c>
      <c r="P33" s="126">
        <v>0.85</v>
      </c>
      <c r="Q33" s="126">
        <v>0.83399999999999996</v>
      </c>
      <c r="R33" s="126">
        <v>0.84199999999999997</v>
      </c>
      <c r="S33" s="126">
        <v>0.84</v>
      </c>
      <c r="T33" s="21">
        <v>0.84</v>
      </c>
      <c r="U33" s="21">
        <v>0.84</v>
      </c>
      <c r="V33" s="21">
        <v>0.84</v>
      </c>
      <c r="W33" s="21">
        <v>0.84</v>
      </c>
      <c r="X33" s="21">
        <v>0.84</v>
      </c>
      <c r="Y33" s="21">
        <v>0.84</v>
      </c>
      <c r="Z33" s="21">
        <v>0.84</v>
      </c>
      <c r="AA33" s="21">
        <v>0.84</v>
      </c>
      <c r="AB33" s="21">
        <v>0.84</v>
      </c>
      <c r="AC33" s="21">
        <v>0.84</v>
      </c>
      <c r="AD33" s="21">
        <v>0.84</v>
      </c>
      <c r="AE33" s="21">
        <v>0.84</v>
      </c>
      <c r="AF33" s="21">
        <v>0.84</v>
      </c>
      <c r="AG33" s="21">
        <v>0.84</v>
      </c>
      <c r="AH33" s="21">
        <v>0.84</v>
      </c>
      <c r="AI33" s="21">
        <v>0.84</v>
      </c>
      <c r="AJ33" s="21">
        <v>0.84</v>
      </c>
      <c r="AK33" s="21">
        <v>0.84</v>
      </c>
      <c r="AL33" s="21">
        <v>0.84</v>
      </c>
      <c r="AM33" s="21">
        <v>0.84</v>
      </c>
      <c r="AN33" s="21">
        <v>0.84</v>
      </c>
      <c r="AO33" s="21">
        <v>0.84</v>
      </c>
      <c r="AP33" s="21">
        <v>0.84</v>
      </c>
      <c r="AQ33" s="21">
        <v>0.84</v>
      </c>
      <c r="AR33" s="21">
        <v>0.84</v>
      </c>
      <c r="AS33" s="21">
        <v>0.84</v>
      </c>
      <c r="AT33" s="21">
        <v>0.84</v>
      </c>
      <c r="AU33" s="21">
        <v>0.84</v>
      </c>
      <c r="AV33" s="21">
        <v>0.84</v>
      </c>
      <c r="AW33" s="21">
        <v>0.84</v>
      </c>
      <c r="AX33" s="21">
        <v>0.84</v>
      </c>
      <c r="AY33" s="21">
        <v>0.84</v>
      </c>
      <c r="AZ33" s="21">
        <v>0.84</v>
      </c>
      <c r="BA33" s="21">
        <v>0.84</v>
      </c>
      <c r="BB33" s="21">
        <v>0.84</v>
      </c>
      <c r="BC33" s="21">
        <v>0.84</v>
      </c>
      <c r="BD33" s="21">
        <v>0.84</v>
      </c>
      <c r="BE33" s="21">
        <v>0.84</v>
      </c>
      <c r="BF33" s="21">
        <v>0.84</v>
      </c>
      <c r="BG33" s="21">
        <v>0.84</v>
      </c>
      <c r="BH33" s="21">
        <v>0.84</v>
      </c>
      <c r="BI33" s="21">
        <v>0.84</v>
      </c>
      <c r="BJ33" s="21">
        <v>0.84</v>
      </c>
      <c r="BK33" s="21">
        <v>0.84</v>
      </c>
      <c r="BL33" s="21">
        <v>0.84</v>
      </c>
      <c r="BM33" s="21">
        <v>0.84</v>
      </c>
      <c r="BN33" s="15"/>
    </row>
    <row r="34" spans="2:66" x14ac:dyDescent="0.3">
      <c r="B34" s="12"/>
      <c r="C34" s="14" t="s">
        <v>137</v>
      </c>
      <c r="D34" s="14" t="s">
        <v>138</v>
      </c>
      <c r="E34" s="21">
        <v>0</v>
      </c>
      <c r="F34" s="21">
        <v>0</v>
      </c>
      <c r="G34" s="21">
        <v>0</v>
      </c>
      <c r="H34" s="21">
        <v>0</v>
      </c>
      <c r="I34" s="21">
        <v>0</v>
      </c>
      <c r="J34" s="21">
        <v>0</v>
      </c>
      <c r="K34" s="21">
        <v>0</v>
      </c>
      <c r="L34" s="21">
        <v>0</v>
      </c>
      <c r="M34" s="21">
        <v>0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  <c r="T34" s="21">
        <v>0</v>
      </c>
      <c r="U34" s="21">
        <v>0</v>
      </c>
      <c r="V34" s="21">
        <v>0</v>
      </c>
      <c r="W34" s="21">
        <v>0</v>
      </c>
      <c r="X34" s="21">
        <v>0</v>
      </c>
      <c r="Y34" s="21">
        <v>0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</v>
      </c>
      <c r="AF34" s="21">
        <v>0</v>
      </c>
      <c r="AG34" s="21">
        <v>0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0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  <c r="BI34" s="21">
        <v>0</v>
      </c>
      <c r="BJ34" s="21">
        <v>0</v>
      </c>
      <c r="BK34" s="21">
        <v>0</v>
      </c>
      <c r="BL34" s="21">
        <v>0</v>
      </c>
      <c r="BM34" s="21">
        <v>0</v>
      </c>
      <c r="BN34" s="15"/>
    </row>
    <row r="35" spans="2:66" x14ac:dyDescent="0.3">
      <c r="B35" s="12"/>
      <c r="C35" s="14"/>
      <c r="D35" s="14"/>
      <c r="E35" s="31">
        <f t="shared" ref="E35:L35" si="12">SUM(E31:E34)</f>
        <v>1</v>
      </c>
      <c r="F35" s="31">
        <f t="shared" si="12"/>
        <v>1</v>
      </c>
      <c r="G35" s="31">
        <f t="shared" si="12"/>
        <v>1</v>
      </c>
      <c r="H35" s="31">
        <f t="shared" si="12"/>
        <v>1</v>
      </c>
      <c r="I35" s="31">
        <f t="shared" si="12"/>
        <v>1</v>
      </c>
      <c r="J35" s="31">
        <f t="shared" si="12"/>
        <v>1</v>
      </c>
      <c r="K35" s="31">
        <f t="shared" si="12"/>
        <v>1</v>
      </c>
      <c r="L35" s="31">
        <f t="shared" si="12"/>
        <v>0.99685999999999997</v>
      </c>
      <c r="M35" s="31">
        <f>SUM(M31:M34)</f>
        <v>1</v>
      </c>
      <c r="N35" s="31">
        <f t="shared" ref="N35:BM35" si="13">SUM(N31:N34)</f>
        <v>1</v>
      </c>
      <c r="O35" s="31">
        <f t="shared" si="13"/>
        <v>1</v>
      </c>
      <c r="P35" s="31">
        <f t="shared" si="13"/>
        <v>0.998</v>
      </c>
      <c r="Q35" s="31">
        <f t="shared" si="13"/>
        <v>1</v>
      </c>
      <c r="R35" s="31">
        <f t="shared" si="13"/>
        <v>1</v>
      </c>
      <c r="S35" s="31">
        <f t="shared" si="13"/>
        <v>0.998</v>
      </c>
      <c r="T35" s="31">
        <f t="shared" si="13"/>
        <v>0.998</v>
      </c>
      <c r="U35" s="31">
        <f t="shared" si="13"/>
        <v>0.998</v>
      </c>
      <c r="V35" s="31">
        <f t="shared" si="13"/>
        <v>0.998</v>
      </c>
      <c r="W35" s="31">
        <f t="shared" si="13"/>
        <v>0.998</v>
      </c>
      <c r="X35" s="31">
        <f t="shared" si="13"/>
        <v>0.998</v>
      </c>
      <c r="Y35" s="31">
        <f t="shared" si="13"/>
        <v>0.998</v>
      </c>
      <c r="Z35" s="31">
        <f t="shared" si="13"/>
        <v>0.998</v>
      </c>
      <c r="AA35" s="31">
        <f t="shared" si="13"/>
        <v>0.998</v>
      </c>
      <c r="AB35" s="31">
        <f t="shared" si="13"/>
        <v>0.998</v>
      </c>
      <c r="AC35" s="31">
        <f t="shared" si="13"/>
        <v>0.998</v>
      </c>
      <c r="AD35" s="31">
        <f t="shared" si="13"/>
        <v>0.998</v>
      </c>
      <c r="AE35" s="31">
        <f t="shared" si="13"/>
        <v>0.998</v>
      </c>
      <c r="AF35" s="31">
        <f t="shared" si="13"/>
        <v>0.998</v>
      </c>
      <c r="AG35" s="31">
        <f t="shared" si="13"/>
        <v>0.998</v>
      </c>
      <c r="AH35" s="31">
        <f t="shared" si="13"/>
        <v>0.998</v>
      </c>
      <c r="AI35" s="31">
        <f t="shared" si="13"/>
        <v>0.998</v>
      </c>
      <c r="AJ35" s="31">
        <f t="shared" si="13"/>
        <v>0.998</v>
      </c>
      <c r="AK35" s="31">
        <f t="shared" si="13"/>
        <v>0.998</v>
      </c>
      <c r="AL35" s="31">
        <f t="shared" si="13"/>
        <v>0.998</v>
      </c>
      <c r="AM35" s="31">
        <f t="shared" si="13"/>
        <v>0.998</v>
      </c>
      <c r="AN35" s="31">
        <f t="shared" si="13"/>
        <v>0.998</v>
      </c>
      <c r="AO35" s="31">
        <f t="shared" si="13"/>
        <v>0.998</v>
      </c>
      <c r="AP35" s="31">
        <f t="shared" si="13"/>
        <v>0.998</v>
      </c>
      <c r="AQ35" s="31">
        <f t="shared" si="13"/>
        <v>0.998</v>
      </c>
      <c r="AR35" s="31">
        <f t="shared" si="13"/>
        <v>0.998</v>
      </c>
      <c r="AS35" s="31">
        <f t="shared" si="13"/>
        <v>0.998</v>
      </c>
      <c r="AT35" s="31">
        <f t="shared" si="13"/>
        <v>0.998</v>
      </c>
      <c r="AU35" s="31">
        <f t="shared" si="13"/>
        <v>0.998</v>
      </c>
      <c r="AV35" s="31">
        <f t="shared" si="13"/>
        <v>0.998</v>
      </c>
      <c r="AW35" s="31">
        <f t="shared" si="13"/>
        <v>0.998</v>
      </c>
      <c r="AX35" s="31">
        <f t="shared" si="13"/>
        <v>0.998</v>
      </c>
      <c r="AY35" s="31">
        <f t="shared" si="13"/>
        <v>0.998</v>
      </c>
      <c r="AZ35" s="31">
        <f t="shared" si="13"/>
        <v>0.998</v>
      </c>
      <c r="BA35" s="31">
        <f t="shared" si="13"/>
        <v>0.998</v>
      </c>
      <c r="BB35" s="31">
        <f t="shared" si="13"/>
        <v>0.998</v>
      </c>
      <c r="BC35" s="31">
        <f t="shared" si="13"/>
        <v>0.998</v>
      </c>
      <c r="BD35" s="31">
        <f t="shared" si="13"/>
        <v>0.998</v>
      </c>
      <c r="BE35" s="31">
        <f t="shared" si="13"/>
        <v>0.998</v>
      </c>
      <c r="BF35" s="31">
        <f t="shared" si="13"/>
        <v>0.998</v>
      </c>
      <c r="BG35" s="31">
        <f t="shared" si="13"/>
        <v>0.998</v>
      </c>
      <c r="BH35" s="31">
        <f t="shared" si="13"/>
        <v>0.998</v>
      </c>
      <c r="BI35" s="31">
        <f t="shared" si="13"/>
        <v>0.998</v>
      </c>
      <c r="BJ35" s="31">
        <f t="shared" si="13"/>
        <v>0.998</v>
      </c>
      <c r="BK35" s="31">
        <f t="shared" si="13"/>
        <v>0.998</v>
      </c>
      <c r="BL35" s="31">
        <f t="shared" si="13"/>
        <v>0.998</v>
      </c>
      <c r="BM35" s="31">
        <f t="shared" si="13"/>
        <v>0.998</v>
      </c>
      <c r="BN35" s="15"/>
    </row>
    <row r="36" spans="2:66" x14ac:dyDescent="0.3">
      <c r="B36" s="12"/>
      <c r="C36" s="13" t="s">
        <v>196</v>
      </c>
      <c r="D36" s="14"/>
      <c r="E36" s="14"/>
      <c r="F36" s="14"/>
      <c r="G36" s="14"/>
      <c r="H36" s="14"/>
      <c r="I36" s="14"/>
      <c r="J36" s="14"/>
      <c r="K36" s="14"/>
      <c r="L36" s="14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15"/>
    </row>
    <row r="37" spans="2:66" x14ac:dyDescent="0.3">
      <c r="B37" s="12"/>
      <c r="C37" s="14"/>
      <c r="D37" s="13"/>
      <c r="E37" s="13"/>
      <c r="F37" s="13"/>
      <c r="G37" s="13"/>
      <c r="H37" s="13"/>
      <c r="I37" s="13"/>
      <c r="J37" s="13"/>
      <c r="K37" s="13"/>
      <c r="L37" s="13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15"/>
    </row>
    <row r="38" spans="2:66" x14ac:dyDescent="0.3">
      <c r="B38" s="12"/>
      <c r="C38" s="14" t="s">
        <v>60</v>
      </c>
      <c r="D38" s="14" t="s">
        <v>31</v>
      </c>
      <c r="E38" s="126">
        <f t="shared" ref="E38:L38" si="14">E32</f>
        <v>4.0256741818182097E-2</v>
      </c>
      <c r="F38" s="126">
        <f t="shared" si="14"/>
        <v>4.1913170909091101E-2</v>
      </c>
      <c r="G38" s="126">
        <f t="shared" si="14"/>
        <v>4.3234389932309103E-2</v>
      </c>
      <c r="H38" s="126">
        <f t="shared" si="14"/>
        <v>4.7073943002432499E-2</v>
      </c>
      <c r="I38" s="126">
        <f t="shared" si="14"/>
        <v>4.6190000000000002E-2</v>
      </c>
      <c r="J38" s="126">
        <f t="shared" si="14"/>
        <v>4.6199999999999998E-2</v>
      </c>
      <c r="K38" s="126">
        <f t="shared" si="14"/>
        <v>4.5589999999999999E-2</v>
      </c>
      <c r="L38" s="126">
        <f t="shared" si="14"/>
        <v>6.4369999999999997E-2</v>
      </c>
      <c r="M38" s="126">
        <f>M32</f>
        <v>6.7014000000000004E-2</v>
      </c>
      <c r="N38" s="126">
        <f>N32</f>
        <v>6.2640000000000001E-2</v>
      </c>
      <c r="O38" s="126">
        <f>O32</f>
        <v>6.3792000000000001E-2</v>
      </c>
      <c r="P38" s="126">
        <f>P32</f>
        <v>6.4231999999999997E-2</v>
      </c>
      <c r="Q38" s="126">
        <f t="shared" ref="Q38:S39" si="15">Q31</f>
        <v>9.8969199999999993E-2</v>
      </c>
      <c r="R38" s="126">
        <f t="shared" si="15"/>
        <v>8.7373999999999993E-2</v>
      </c>
      <c r="S38" s="126">
        <f t="shared" si="15"/>
        <v>8.7373999999999993E-2</v>
      </c>
      <c r="T38" s="21">
        <v>8.7373999999999993E-2</v>
      </c>
      <c r="U38" s="21">
        <v>8.7373999999999993E-2</v>
      </c>
      <c r="V38" s="21">
        <v>8.7373999999999993E-2</v>
      </c>
      <c r="W38" s="21">
        <v>8.7373999999999993E-2</v>
      </c>
      <c r="X38" s="21">
        <v>8.7373999999999993E-2</v>
      </c>
      <c r="Y38" s="21">
        <v>8.7373999999999993E-2</v>
      </c>
      <c r="Z38" s="21">
        <v>8.7373999999999993E-2</v>
      </c>
      <c r="AA38" s="21">
        <v>8.7373999999999993E-2</v>
      </c>
      <c r="AB38" s="21">
        <v>8.7373999999999993E-2</v>
      </c>
      <c r="AC38" s="21">
        <v>8.7373999999999993E-2</v>
      </c>
      <c r="AD38" s="21">
        <v>8.7373999999999993E-2</v>
      </c>
      <c r="AE38" s="21">
        <v>8.7373999999999993E-2</v>
      </c>
      <c r="AF38" s="21">
        <v>8.7373999999999993E-2</v>
      </c>
      <c r="AG38" s="21">
        <v>8.7373999999999993E-2</v>
      </c>
      <c r="AH38" s="21">
        <v>8.7373999999999993E-2</v>
      </c>
      <c r="AI38" s="21">
        <v>8.7373999999999993E-2</v>
      </c>
      <c r="AJ38" s="21">
        <v>8.7373999999999993E-2</v>
      </c>
      <c r="AK38" s="21">
        <v>8.7373999999999993E-2</v>
      </c>
      <c r="AL38" s="21">
        <v>8.7373999999999993E-2</v>
      </c>
      <c r="AM38" s="21">
        <v>8.7373999999999993E-2</v>
      </c>
      <c r="AN38" s="21">
        <v>8.7373999999999993E-2</v>
      </c>
      <c r="AO38" s="21">
        <v>8.7373999999999993E-2</v>
      </c>
      <c r="AP38" s="21">
        <v>8.7373999999999993E-2</v>
      </c>
      <c r="AQ38" s="21">
        <v>8.7373999999999993E-2</v>
      </c>
      <c r="AR38" s="21">
        <v>8.7373999999999993E-2</v>
      </c>
      <c r="AS38" s="21">
        <v>8.7373999999999993E-2</v>
      </c>
      <c r="AT38" s="21">
        <v>8.7373999999999993E-2</v>
      </c>
      <c r="AU38" s="21">
        <v>8.7373999999999993E-2</v>
      </c>
      <c r="AV38" s="21">
        <v>8.7373999999999993E-2</v>
      </c>
      <c r="AW38" s="21">
        <v>8.7373999999999993E-2</v>
      </c>
      <c r="AX38" s="21">
        <v>8.7373999999999993E-2</v>
      </c>
      <c r="AY38" s="21">
        <v>8.7373999999999993E-2</v>
      </c>
      <c r="AZ38" s="21">
        <v>8.7373999999999993E-2</v>
      </c>
      <c r="BA38" s="21">
        <v>8.7373999999999993E-2</v>
      </c>
      <c r="BB38" s="21">
        <v>8.7373999999999993E-2</v>
      </c>
      <c r="BC38" s="21">
        <v>8.7373999999999993E-2</v>
      </c>
      <c r="BD38" s="21">
        <v>8.7373999999999993E-2</v>
      </c>
      <c r="BE38" s="21">
        <v>8.7373999999999993E-2</v>
      </c>
      <c r="BF38" s="21">
        <v>8.7373999999999993E-2</v>
      </c>
      <c r="BG38" s="21">
        <v>8.7373999999999993E-2</v>
      </c>
      <c r="BH38" s="21">
        <v>8.7373999999999993E-2</v>
      </c>
      <c r="BI38" s="21">
        <v>8.7373999999999993E-2</v>
      </c>
      <c r="BJ38" s="21">
        <v>8.7373999999999993E-2</v>
      </c>
      <c r="BK38" s="21">
        <v>8.7373999999999993E-2</v>
      </c>
      <c r="BL38" s="21">
        <v>8.7373999999999993E-2</v>
      </c>
      <c r="BM38" s="21">
        <v>8.7373999999999993E-2</v>
      </c>
      <c r="BN38" s="15"/>
    </row>
    <row r="39" spans="2:66" x14ac:dyDescent="0.3">
      <c r="B39" s="12"/>
      <c r="C39" s="14" t="s">
        <v>61</v>
      </c>
      <c r="D39" s="14" t="s">
        <v>32</v>
      </c>
      <c r="E39" s="126">
        <f t="shared" ref="E39:L39" si="16">E31</f>
        <v>4.7525076363636697E-2</v>
      </c>
      <c r="F39" s="126">
        <f t="shared" si="16"/>
        <v>5.1559556363636502E-2</v>
      </c>
      <c r="G39" s="126">
        <f t="shared" si="16"/>
        <v>5.5929246431327198E-2</v>
      </c>
      <c r="H39" s="126">
        <f t="shared" si="16"/>
        <v>5.7780602452112598E-2</v>
      </c>
      <c r="I39" s="126">
        <f t="shared" si="16"/>
        <v>5.3809999999999997E-2</v>
      </c>
      <c r="J39" s="126">
        <f t="shared" si="16"/>
        <v>6.3799999999999996E-2</v>
      </c>
      <c r="K39" s="126">
        <f t="shared" si="16"/>
        <v>5.1409999999999997E-2</v>
      </c>
      <c r="L39" s="126">
        <f t="shared" si="16"/>
        <v>8.949E-2</v>
      </c>
      <c r="M39" s="126">
        <f>M31</f>
        <v>8.5986000000000007E-2</v>
      </c>
      <c r="N39" s="126">
        <f>N31</f>
        <v>8.1360000000000002E-2</v>
      </c>
      <c r="O39" s="126">
        <f>O31</f>
        <v>8.0208000000000002E-2</v>
      </c>
      <c r="P39" s="126">
        <f>P31</f>
        <v>8.3767999999999995E-2</v>
      </c>
      <c r="Q39" s="126">
        <f t="shared" si="15"/>
        <v>6.7030800000000001E-2</v>
      </c>
      <c r="R39" s="126">
        <f t="shared" si="15"/>
        <v>7.0625999999999994E-2</v>
      </c>
      <c r="S39" s="126">
        <f t="shared" si="15"/>
        <v>7.0625999999999994E-2</v>
      </c>
      <c r="T39" s="21">
        <v>7.0625999999999994E-2</v>
      </c>
      <c r="U39" s="21">
        <v>7.0625999999999994E-2</v>
      </c>
      <c r="V39" s="21">
        <v>7.0625999999999994E-2</v>
      </c>
      <c r="W39" s="21">
        <v>7.0625999999999994E-2</v>
      </c>
      <c r="X39" s="21">
        <v>7.0625999999999994E-2</v>
      </c>
      <c r="Y39" s="21">
        <v>7.0625999999999994E-2</v>
      </c>
      <c r="Z39" s="21">
        <v>7.0625999999999994E-2</v>
      </c>
      <c r="AA39" s="21">
        <v>7.0625999999999994E-2</v>
      </c>
      <c r="AB39" s="21">
        <v>7.0625999999999994E-2</v>
      </c>
      <c r="AC39" s="21">
        <v>7.0625999999999994E-2</v>
      </c>
      <c r="AD39" s="21">
        <v>7.0625999999999994E-2</v>
      </c>
      <c r="AE39" s="21">
        <v>7.0625999999999994E-2</v>
      </c>
      <c r="AF39" s="21">
        <v>7.0625999999999994E-2</v>
      </c>
      <c r="AG39" s="21">
        <v>7.0625999999999994E-2</v>
      </c>
      <c r="AH39" s="21">
        <v>7.0625999999999994E-2</v>
      </c>
      <c r="AI39" s="21">
        <v>7.0625999999999994E-2</v>
      </c>
      <c r="AJ39" s="21">
        <v>7.0625999999999994E-2</v>
      </c>
      <c r="AK39" s="21">
        <v>7.0625999999999994E-2</v>
      </c>
      <c r="AL39" s="21">
        <v>7.0625999999999994E-2</v>
      </c>
      <c r="AM39" s="21">
        <v>7.0625999999999994E-2</v>
      </c>
      <c r="AN39" s="21">
        <v>7.0625999999999994E-2</v>
      </c>
      <c r="AO39" s="21">
        <v>7.0625999999999994E-2</v>
      </c>
      <c r="AP39" s="21">
        <v>7.0625999999999994E-2</v>
      </c>
      <c r="AQ39" s="21">
        <v>7.0625999999999994E-2</v>
      </c>
      <c r="AR39" s="21">
        <v>7.0625999999999994E-2</v>
      </c>
      <c r="AS39" s="21">
        <v>7.0625999999999994E-2</v>
      </c>
      <c r="AT39" s="21">
        <v>7.0625999999999994E-2</v>
      </c>
      <c r="AU39" s="21">
        <v>7.0625999999999994E-2</v>
      </c>
      <c r="AV39" s="21">
        <v>7.0625999999999994E-2</v>
      </c>
      <c r="AW39" s="21">
        <v>7.0625999999999994E-2</v>
      </c>
      <c r="AX39" s="21">
        <v>7.0625999999999994E-2</v>
      </c>
      <c r="AY39" s="21">
        <v>7.0625999999999994E-2</v>
      </c>
      <c r="AZ39" s="21">
        <v>7.0625999999999994E-2</v>
      </c>
      <c r="BA39" s="21">
        <v>7.0625999999999994E-2</v>
      </c>
      <c r="BB39" s="21">
        <v>7.0625999999999994E-2</v>
      </c>
      <c r="BC39" s="21">
        <v>7.0625999999999994E-2</v>
      </c>
      <c r="BD39" s="21">
        <v>7.0625999999999994E-2</v>
      </c>
      <c r="BE39" s="21">
        <v>7.0625999999999994E-2</v>
      </c>
      <c r="BF39" s="21">
        <v>7.0625999999999994E-2</v>
      </c>
      <c r="BG39" s="21">
        <v>7.0625999999999994E-2</v>
      </c>
      <c r="BH39" s="21">
        <v>7.0625999999999994E-2</v>
      </c>
      <c r="BI39" s="21">
        <v>7.0625999999999994E-2</v>
      </c>
      <c r="BJ39" s="21">
        <v>7.0625999999999994E-2</v>
      </c>
      <c r="BK39" s="21">
        <v>7.0625999999999994E-2</v>
      </c>
      <c r="BL39" s="21">
        <v>7.0625999999999994E-2</v>
      </c>
      <c r="BM39" s="21">
        <v>7.0625999999999994E-2</v>
      </c>
      <c r="BN39" s="15"/>
    </row>
    <row r="40" spans="2:66" x14ac:dyDescent="0.3">
      <c r="B40" s="12"/>
      <c r="C40" s="14" t="s">
        <v>62</v>
      </c>
      <c r="D40" s="14" t="s">
        <v>33</v>
      </c>
      <c r="E40" s="126">
        <f t="shared" ref="E40:L40" si="17">E33</f>
        <v>0.91221818181818115</v>
      </c>
      <c r="F40" s="126">
        <f t="shared" si="17"/>
        <v>0.9065272727272724</v>
      </c>
      <c r="G40" s="126">
        <f t="shared" si="17"/>
        <v>0.90083636363636366</v>
      </c>
      <c r="H40" s="126">
        <f t="shared" si="17"/>
        <v>0.89514545454545491</v>
      </c>
      <c r="I40" s="126">
        <f t="shared" si="17"/>
        <v>0.9</v>
      </c>
      <c r="J40" s="126">
        <f t="shared" si="17"/>
        <v>0.89</v>
      </c>
      <c r="K40" s="126">
        <f t="shared" si="17"/>
        <v>0.90300000000000002</v>
      </c>
      <c r="L40" s="126">
        <f t="shared" si="17"/>
        <v>0.84299999999999997</v>
      </c>
      <c r="M40" s="126">
        <f>M33</f>
        <v>0.84699999999999998</v>
      </c>
      <c r="N40" s="126">
        <f t="shared" ref="N40:S40" si="18">N33</f>
        <v>0.85599999999999998</v>
      </c>
      <c r="O40" s="126">
        <f t="shared" si="18"/>
        <v>0.85599999999999998</v>
      </c>
      <c r="P40" s="126">
        <f t="shared" si="18"/>
        <v>0.85</v>
      </c>
      <c r="Q40" s="126">
        <f t="shared" si="18"/>
        <v>0.83399999999999996</v>
      </c>
      <c r="R40" s="126">
        <f t="shared" si="18"/>
        <v>0.84199999999999997</v>
      </c>
      <c r="S40" s="126">
        <f t="shared" si="18"/>
        <v>0.84</v>
      </c>
      <c r="T40" s="21">
        <v>0.84</v>
      </c>
      <c r="U40" s="21">
        <v>0.84</v>
      </c>
      <c r="V40" s="21">
        <v>0.84</v>
      </c>
      <c r="W40" s="21">
        <v>0.84</v>
      </c>
      <c r="X40" s="21">
        <v>0.84</v>
      </c>
      <c r="Y40" s="21">
        <v>0.84</v>
      </c>
      <c r="Z40" s="21">
        <v>0.84</v>
      </c>
      <c r="AA40" s="21">
        <v>0.84</v>
      </c>
      <c r="AB40" s="21">
        <v>0.84</v>
      </c>
      <c r="AC40" s="21">
        <v>0.84</v>
      </c>
      <c r="AD40" s="21">
        <v>0.84</v>
      </c>
      <c r="AE40" s="21">
        <v>0.84</v>
      </c>
      <c r="AF40" s="21">
        <v>0.84</v>
      </c>
      <c r="AG40" s="21">
        <v>0.84</v>
      </c>
      <c r="AH40" s="21">
        <v>0.84</v>
      </c>
      <c r="AI40" s="21">
        <v>0.84</v>
      </c>
      <c r="AJ40" s="21">
        <v>0.84</v>
      </c>
      <c r="AK40" s="21">
        <v>0.84</v>
      </c>
      <c r="AL40" s="21">
        <v>0.84</v>
      </c>
      <c r="AM40" s="21">
        <v>0.84</v>
      </c>
      <c r="AN40" s="21">
        <v>0.84</v>
      </c>
      <c r="AO40" s="21">
        <v>0.84</v>
      </c>
      <c r="AP40" s="21">
        <v>0.84</v>
      </c>
      <c r="AQ40" s="21">
        <v>0.84</v>
      </c>
      <c r="AR40" s="21">
        <v>0.84</v>
      </c>
      <c r="AS40" s="21">
        <v>0.84</v>
      </c>
      <c r="AT40" s="21">
        <v>0.84</v>
      </c>
      <c r="AU40" s="21">
        <v>0.84</v>
      </c>
      <c r="AV40" s="21">
        <v>0.84</v>
      </c>
      <c r="AW40" s="21">
        <v>0.84</v>
      </c>
      <c r="AX40" s="21">
        <v>0.84</v>
      </c>
      <c r="AY40" s="21">
        <v>0.84</v>
      </c>
      <c r="AZ40" s="21">
        <v>0.84</v>
      </c>
      <c r="BA40" s="21">
        <v>0.84</v>
      </c>
      <c r="BB40" s="21">
        <v>0.84</v>
      </c>
      <c r="BC40" s="21">
        <v>0.84</v>
      </c>
      <c r="BD40" s="21">
        <v>0.84</v>
      </c>
      <c r="BE40" s="21">
        <v>0.84</v>
      </c>
      <c r="BF40" s="21">
        <v>0.84</v>
      </c>
      <c r="BG40" s="21">
        <v>0.84</v>
      </c>
      <c r="BH40" s="21">
        <v>0.84</v>
      </c>
      <c r="BI40" s="21">
        <v>0.84</v>
      </c>
      <c r="BJ40" s="21">
        <v>0.84</v>
      </c>
      <c r="BK40" s="21">
        <v>0.84</v>
      </c>
      <c r="BL40" s="21">
        <v>0.84</v>
      </c>
      <c r="BM40" s="21">
        <v>0.84</v>
      </c>
      <c r="BN40" s="15"/>
    </row>
    <row r="41" spans="2:66" x14ac:dyDescent="0.3">
      <c r="B41" s="12"/>
      <c r="C41" s="14"/>
      <c r="D41" s="14"/>
      <c r="E41" s="31">
        <f t="shared" ref="E41:L41" si="19">SUM(E38:E40)</f>
        <v>1</v>
      </c>
      <c r="F41" s="31">
        <f t="shared" si="19"/>
        <v>1</v>
      </c>
      <c r="G41" s="31">
        <f t="shared" si="19"/>
        <v>1</v>
      </c>
      <c r="H41" s="31">
        <f t="shared" si="19"/>
        <v>1</v>
      </c>
      <c r="I41" s="31">
        <f t="shared" si="19"/>
        <v>1</v>
      </c>
      <c r="J41" s="31">
        <f t="shared" si="19"/>
        <v>1</v>
      </c>
      <c r="K41" s="31">
        <f t="shared" si="19"/>
        <v>1</v>
      </c>
      <c r="L41" s="31">
        <f t="shared" si="19"/>
        <v>0.99685999999999997</v>
      </c>
      <c r="M41" s="31">
        <f>SUM(M38:M40)</f>
        <v>1</v>
      </c>
      <c r="N41" s="31">
        <f t="shared" ref="N41:BM41" si="20">SUM(N38:N40)</f>
        <v>1</v>
      </c>
      <c r="O41" s="31">
        <f t="shared" si="20"/>
        <v>1</v>
      </c>
      <c r="P41" s="31">
        <f t="shared" si="20"/>
        <v>0.998</v>
      </c>
      <c r="Q41" s="31">
        <f t="shared" si="20"/>
        <v>1</v>
      </c>
      <c r="R41" s="31">
        <f t="shared" si="20"/>
        <v>1</v>
      </c>
      <c r="S41" s="31">
        <f t="shared" si="20"/>
        <v>0.998</v>
      </c>
      <c r="T41" s="31">
        <f t="shared" si="20"/>
        <v>0.998</v>
      </c>
      <c r="U41" s="31">
        <f t="shared" si="20"/>
        <v>0.998</v>
      </c>
      <c r="V41" s="31">
        <f t="shared" si="20"/>
        <v>0.998</v>
      </c>
      <c r="W41" s="31">
        <f t="shared" si="20"/>
        <v>0.998</v>
      </c>
      <c r="X41" s="31">
        <f t="shared" si="20"/>
        <v>0.998</v>
      </c>
      <c r="Y41" s="31">
        <f t="shared" si="20"/>
        <v>0.998</v>
      </c>
      <c r="Z41" s="31">
        <f t="shared" si="20"/>
        <v>0.998</v>
      </c>
      <c r="AA41" s="31">
        <f t="shared" si="20"/>
        <v>0.998</v>
      </c>
      <c r="AB41" s="31">
        <f t="shared" si="20"/>
        <v>0.998</v>
      </c>
      <c r="AC41" s="31">
        <f t="shared" si="20"/>
        <v>0.998</v>
      </c>
      <c r="AD41" s="31">
        <f t="shared" si="20"/>
        <v>0.998</v>
      </c>
      <c r="AE41" s="31">
        <f t="shared" si="20"/>
        <v>0.998</v>
      </c>
      <c r="AF41" s="31">
        <f t="shared" si="20"/>
        <v>0.998</v>
      </c>
      <c r="AG41" s="31">
        <f t="shared" si="20"/>
        <v>0.998</v>
      </c>
      <c r="AH41" s="31">
        <f t="shared" si="20"/>
        <v>0.998</v>
      </c>
      <c r="AI41" s="31">
        <f t="shared" si="20"/>
        <v>0.998</v>
      </c>
      <c r="AJ41" s="31">
        <f t="shared" si="20"/>
        <v>0.998</v>
      </c>
      <c r="AK41" s="31">
        <f t="shared" si="20"/>
        <v>0.998</v>
      </c>
      <c r="AL41" s="31">
        <f t="shared" si="20"/>
        <v>0.998</v>
      </c>
      <c r="AM41" s="31">
        <f t="shared" si="20"/>
        <v>0.998</v>
      </c>
      <c r="AN41" s="31">
        <f t="shared" si="20"/>
        <v>0.998</v>
      </c>
      <c r="AO41" s="31">
        <f t="shared" si="20"/>
        <v>0.998</v>
      </c>
      <c r="AP41" s="31">
        <f t="shared" si="20"/>
        <v>0.998</v>
      </c>
      <c r="AQ41" s="31">
        <f t="shared" si="20"/>
        <v>0.998</v>
      </c>
      <c r="AR41" s="31">
        <f t="shared" si="20"/>
        <v>0.998</v>
      </c>
      <c r="AS41" s="31">
        <f t="shared" si="20"/>
        <v>0.998</v>
      </c>
      <c r="AT41" s="31">
        <f t="shared" si="20"/>
        <v>0.998</v>
      </c>
      <c r="AU41" s="31">
        <f t="shared" si="20"/>
        <v>0.998</v>
      </c>
      <c r="AV41" s="31">
        <f t="shared" si="20"/>
        <v>0.998</v>
      </c>
      <c r="AW41" s="31">
        <f t="shared" si="20"/>
        <v>0.998</v>
      </c>
      <c r="AX41" s="31">
        <f t="shared" si="20"/>
        <v>0.998</v>
      </c>
      <c r="AY41" s="31">
        <f t="shared" si="20"/>
        <v>0.998</v>
      </c>
      <c r="AZ41" s="31">
        <f t="shared" si="20"/>
        <v>0.998</v>
      </c>
      <c r="BA41" s="31">
        <f t="shared" si="20"/>
        <v>0.998</v>
      </c>
      <c r="BB41" s="31">
        <f t="shared" si="20"/>
        <v>0.998</v>
      </c>
      <c r="BC41" s="31">
        <f t="shared" si="20"/>
        <v>0.998</v>
      </c>
      <c r="BD41" s="31">
        <f t="shared" si="20"/>
        <v>0.998</v>
      </c>
      <c r="BE41" s="31">
        <f t="shared" si="20"/>
        <v>0.998</v>
      </c>
      <c r="BF41" s="31">
        <f t="shared" si="20"/>
        <v>0.998</v>
      </c>
      <c r="BG41" s="31">
        <f t="shared" si="20"/>
        <v>0.998</v>
      </c>
      <c r="BH41" s="31">
        <f t="shared" si="20"/>
        <v>0.998</v>
      </c>
      <c r="BI41" s="31">
        <f t="shared" si="20"/>
        <v>0.998</v>
      </c>
      <c r="BJ41" s="31">
        <f t="shared" si="20"/>
        <v>0.998</v>
      </c>
      <c r="BK41" s="31">
        <f t="shared" si="20"/>
        <v>0.998</v>
      </c>
      <c r="BL41" s="31">
        <f t="shared" si="20"/>
        <v>0.998</v>
      </c>
      <c r="BM41" s="31">
        <f t="shared" si="20"/>
        <v>0.998</v>
      </c>
      <c r="BN41" s="15"/>
    </row>
    <row r="42" spans="2:66" ht="15" thickBot="1" x14ac:dyDescent="0.35">
      <c r="B42" s="16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8"/>
    </row>
    <row r="45" spans="2:66" x14ac:dyDescent="0.3">
      <c r="E45" s="62">
        <v>9.1000000000000004E-3</v>
      </c>
      <c r="F45" s="62">
        <v>9.7000000000000003E-3</v>
      </c>
      <c r="G45" s="62">
        <v>1.04E-2</v>
      </c>
      <c r="H45" s="62">
        <v>1.0800000000000001E-2</v>
      </c>
      <c r="I45" s="62">
        <v>1.1299999999999999E-2</v>
      </c>
      <c r="J45" s="62">
        <v>1.12E-2</v>
      </c>
      <c r="K45" s="62">
        <v>1.12E-2</v>
      </c>
      <c r="L45" s="62">
        <v>1.14E-2</v>
      </c>
      <c r="M45" s="62">
        <v>1.1599999999999999E-2</v>
      </c>
      <c r="N45" s="62">
        <v>1.5100000000000001E-2</v>
      </c>
      <c r="O45" s="62">
        <v>1.9300000000000001E-2</v>
      </c>
      <c r="P45" s="62">
        <v>9.1000000000000004E-3</v>
      </c>
      <c r="Q45" s="62">
        <v>1.37E-2</v>
      </c>
      <c r="R45" s="132">
        <v>1.4492477908962647E-2</v>
      </c>
      <c r="S45" s="132">
        <v>1.529945236504047E-2</v>
      </c>
      <c r="T45" s="132">
        <v>1.6119906066681518E-2</v>
      </c>
      <c r="U45" s="132">
        <v>1.6954093339273776E-2</v>
      </c>
      <c r="V45" s="132">
        <v>1.7800996881265314E-2</v>
      </c>
      <c r="W45" s="132">
        <v>1.8660616692656125E-2</v>
      </c>
      <c r="X45" s="132">
        <v>1.9532952773446202E-2</v>
      </c>
      <c r="Y45" s="132">
        <v>2.0416479171307639E-2</v>
      </c>
      <c r="Z45" s="132">
        <v>2.0815261379668815E-2</v>
      </c>
      <c r="AA45" s="132">
        <v>2.1214552238805969E-2</v>
      </c>
      <c r="AB45" s="132">
        <v>2.1613588772555134E-2</v>
      </c>
      <c r="AC45" s="132">
        <v>2.2012625306304302E-2</v>
      </c>
      <c r="AD45" s="132">
        <v>2.2411407514665475E-2</v>
      </c>
      <c r="AE45" s="132">
        <v>2.2411407514665475E-2</v>
      </c>
      <c r="AF45" s="132">
        <v>2.2411407514665499E-2</v>
      </c>
      <c r="AG45" s="132">
        <v>2.2411407514665499E-2</v>
      </c>
      <c r="AH45" s="132">
        <v>2.2411407514665499E-2</v>
      </c>
      <c r="AI45" s="132">
        <v>2.2411407514665499E-2</v>
      </c>
      <c r="AJ45" s="132">
        <v>2.2411407514665499E-2</v>
      </c>
      <c r="AK45" s="132">
        <v>2.2411407514665499E-2</v>
      </c>
      <c r="AL45" s="132">
        <v>2.2411407514665499E-2</v>
      </c>
      <c r="AM45" s="132">
        <v>2.2411407514665499E-2</v>
      </c>
      <c r="AN45" s="132">
        <v>2.2411407514665499E-2</v>
      </c>
      <c r="AO45" s="132">
        <v>2.2411407514665499E-2</v>
      </c>
      <c r="AP45" s="132">
        <v>2.2411407514665499E-2</v>
      </c>
      <c r="AQ45" s="132">
        <v>2.2411407514665499E-2</v>
      </c>
      <c r="AR45" s="132">
        <v>2.2411407514665499E-2</v>
      </c>
      <c r="AS45" s="132">
        <v>2.2411407514665499E-2</v>
      </c>
      <c r="AT45" s="132">
        <v>2.2411407514665499E-2</v>
      </c>
      <c r="AU45" s="132">
        <v>2.2411407514665499E-2</v>
      </c>
      <c r="AV45" s="132">
        <v>2.2411407514665499E-2</v>
      </c>
      <c r="AW45" s="132">
        <v>2.2411407514665499E-2</v>
      </c>
      <c r="AX45" s="132">
        <v>2.2411407514665499E-2</v>
      </c>
      <c r="AY45" s="132">
        <v>2.2411407514665499E-2</v>
      </c>
      <c r="AZ45" s="132">
        <v>2.2411407514665499E-2</v>
      </c>
      <c r="BA45" s="132">
        <v>2.2411407514665499E-2</v>
      </c>
      <c r="BB45" s="132">
        <v>2.2411407514665499E-2</v>
      </c>
      <c r="BC45" s="132">
        <v>2.2411407514665499E-2</v>
      </c>
      <c r="BD45" s="132">
        <v>2.2411407514665499E-2</v>
      </c>
      <c r="BE45" s="132">
        <v>2.2411407514665499E-2</v>
      </c>
      <c r="BF45" s="132">
        <v>2.2411407514665499E-2</v>
      </c>
      <c r="BG45" s="132">
        <v>2.2411407514665499E-2</v>
      </c>
      <c r="BH45" s="132">
        <v>2.2411407514665499E-2</v>
      </c>
      <c r="BI45" s="132">
        <v>2.2411407514665499E-2</v>
      </c>
      <c r="BJ45" s="132">
        <v>2.2411407514665499E-2</v>
      </c>
      <c r="BK45" s="132">
        <v>2.2411407514665499E-2</v>
      </c>
      <c r="BL45" s="132">
        <v>2.2411407514665499E-2</v>
      </c>
      <c r="BM45" s="132">
        <v>2.2411407514665499E-2</v>
      </c>
    </row>
    <row r="46" spans="2:66" x14ac:dyDescent="0.3">
      <c r="B46" s="9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1"/>
    </row>
    <row r="47" spans="2:66" x14ac:dyDescent="0.3">
      <c r="B47" s="12"/>
      <c r="C47" s="14"/>
      <c r="D47" s="13" t="s">
        <v>83</v>
      </c>
      <c r="E47" s="13"/>
      <c r="F47" s="13"/>
      <c r="G47" s="13"/>
      <c r="H47" s="13"/>
      <c r="I47" s="13"/>
      <c r="J47" s="13"/>
      <c r="K47" s="13"/>
      <c r="L47" s="13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5"/>
    </row>
    <row r="48" spans="2:66" x14ac:dyDescent="0.3">
      <c r="B48" s="12"/>
      <c r="C48" s="14"/>
      <c r="D48" s="13"/>
      <c r="E48" s="13"/>
      <c r="F48" s="13"/>
      <c r="G48" s="13"/>
      <c r="H48" s="13"/>
      <c r="I48" s="13"/>
      <c r="J48" s="13"/>
      <c r="K48" s="13"/>
      <c r="L48" s="13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5"/>
    </row>
    <row r="49" spans="2:69" x14ac:dyDescent="0.3">
      <c r="B49" s="12"/>
      <c r="C49" s="13" t="s">
        <v>69</v>
      </c>
      <c r="D49" s="24" t="s">
        <v>80</v>
      </c>
      <c r="E49" s="24"/>
      <c r="F49" s="24"/>
      <c r="G49" s="24"/>
      <c r="H49" s="24"/>
      <c r="I49" s="24"/>
      <c r="J49" s="24"/>
      <c r="K49" s="24"/>
      <c r="L49" s="2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5"/>
    </row>
    <row r="50" spans="2:69" x14ac:dyDescent="0.3">
      <c r="B50" s="12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5"/>
    </row>
    <row r="51" spans="2:69" x14ac:dyDescent="0.3">
      <c r="B51" s="12"/>
      <c r="C51" s="13" t="s">
        <v>195</v>
      </c>
      <c r="D51" s="13"/>
      <c r="E51" s="13"/>
      <c r="F51" s="13"/>
      <c r="G51" s="13"/>
      <c r="H51" s="13"/>
      <c r="I51" s="13"/>
      <c r="J51" s="13"/>
      <c r="K51" s="13"/>
      <c r="L51" s="13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5"/>
    </row>
    <row r="52" spans="2:69" x14ac:dyDescent="0.3">
      <c r="B52" s="12"/>
      <c r="C52" s="39" t="s">
        <v>56</v>
      </c>
      <c r="D52" s="14" t="s">
        <v>19</v>
      </c>
      <c r="E52" s="66">
        <f>E9*E81</f>
        <v>8.9140440303658197E-2</v>
      </c>
      <c r="F52" s="66">
        <f t="shared" ref="F52:AJ52" si="21">F9*$E$81</f>
        <v>9.2925493729368314E-2</v>
      </c>
      <c r="G52" s="66">
        <f t="shared" si="21"/>
        <v>9.5778955310205013E-2</v>
      </c>
      <c r="H52" s="66">
        <f>H9*$E$81</f>
        <v>0.10602684210217646</v>
      </c>
      <c r="I52" s="66">
        <f t="shared" si="21"/>
        <v>0.10454877247622793</v>
      </c>
      <c r="J52" s="66">
        <f t="shared" si="21"/>
        <v>0.10414459575846086</v>
      </c>
      <c r="K52" s="66">
        <f t="shared" si="21"/>
        <v>0.10224739576258102</v>
      </c>
      <c r="L52" s="66">
        <f t="shared" si="21"/>
        <v>0.14788839246411947</v>
      </c>
      <c r="M52" s="66">
        <f t="shared" si="21"/>
        <v>0.1541802724825691</v>
      </c>
      <c r="N52" s="66">
        <f t="shared" si="21"/>
        <v>0.14073207068122076</v>
      </c>
      <c r="O52" s="66">
        <f t="shared" si="21"/>
        <v>0.14023038176046584</v>
      </c>
      <c r="P52" s="66">
        <f t="shared" si="21"/>
        <v>0.14946395712203717</v>
      </c>
      <c r="Q52" s="66">
        <f t="shared" si="21"/>
        <v>0.15248743012887955</v>
      </c>
      <c r="R52" s="66">
        <f t="shared" si="21"/>
        <v>0.16094756382991646</v>
      </c>
      <c r="S52" s="66">
        <f t="shared" si="21"/>
        <v>0.16065134482984664</v>
      </c>
      <c r="T52" s="66">
        <f t="shared" si="21"/>
        <v>0.15444107945930358</v>
      </c>
      <c r="U52" s="66">
        <f t="shared" si="21"/>
        <v>0.14824203569777361</v>
      </c>
      <c r="V52" s="66">
        <f t="shared" si="21"/>
        <v>0.14205379454320077</v>
      </c>
      <c r="W52" s="66">
        <f t="shared" si="21"/>
        <v>0.1358751870578653</v>
      </c>
      <c r="X52" s="66">
        <f t="shared" si="21"/>
        <v>0.1297051959665935</v>
      </c>
      <c r="Y52" s="66">
        <f t="shared" si="21"/>
        <v>0.12354402473989815</v>
      </c>
      <c r="Z52" s="66">
        <f t="shared" si="21"/>
        <v>0.12607067027232752</v>
      </c>
      <c r="AA52" s="66">
        <f t="shared" si="21"/>
        <v>0.12624830030110887</v>
      </c>
      <c r="AB52" s="66">
        <f t="shared" si="21"/>
        <v>0.12642773948238364</v>
      </c>
      <c r="AC52" s="66">
        <f t="shared" si="21"/>
        <v>0.12660858538437811</v>
      </c>
      <c r="AD52" s="66">
        <f t="shared" si="21"/>
        <v>0.12679073698160434</v>
      </c>
      <c r="AE52" s="66">
        <f t="shared" si="21"/>
        <v>0.12716757657653063</v>
      </c>
      <c r="AF52" s="66">
        <f t="shared" si="21"/>
        <v>0.12753938330955661</v>
      </c>
      <c r="AG52" s="66">
        <f t="shared" si="21"/>
        <v>0.12790612601018531</v>
      </c>
      <c r="AH52" s="66">
        <f t="shared" si="21"/>
        <v>0.12826777698368214</v>
      </c>
      <c r="AI52" s="66">
        <f t="shared" si="21"/>
        <v>0.1286244141983309</v>
      </c>
      <c r="AJ52" s="66">
        <f t="shared" si="21"/>
        <v>0.12897608646195927</v>
      </c>
      <c r="AK52" s="66">
        <f t="shared" ref="AK52:BM52" si="22">AK9*$E$81</f>
        <v>0.12932285198879775</v>
      </c>
      <c r="AL52" s="66">
        <f t="shared" si="22"/>
        <v>0.1296648068506657</v>
      </c>
      <c r="AM52" s="66">
        <f t="shared" si="22"/>
        <v>0.13000205173306695</v>
      </c>
      <c r="AN52" s="66">
        <f t="shared" si="22"/>
        <v>0.13033469386524427</v>
      </c>
      <c r="AO52" s="66">
        <f t="shared" si="22"/>
        <v>0.13066284787296067</v>
      </c>
      <c r="AP52" s="66">
        <f t="shared" si="22"/>
        <v>0.130986625348952</v>
      </c>
      <c r="AQ52" s="66">
        <f t="shared" si="22"/>
        <v>0.13130613741215966</v>
      </c>
      <c r="AR52" s="66">
        <f t="shared" si="22"/>
        <v>0.13162150098007239</v>
      </c>
      <c r="AS52" s="66">
        <f t="shared" si="22"/>
        <v>0.13193532158721119</v>
      </c>
      <c r="AT52" s="66">
        <f t="shared" si="22"/>
        <v>0.13206022861070466</v>
      </c>
      <c r="AU52" s="66">
        <f t="shared" si="22"/>
        <v>0.132178862312196</v>
      </c>
      <c r="AV52" s="66">
        <f t="shared" si="22"/>
        <v>0.13229142608165576</v>
      </c>
      <c r="AW52" s="66">
        <f t="shared" si="22"/>
        <v>0.13239811138409582</v>
      </c>
      <c r="AX52" s="66">
        <f t="shared" si="22"/>
        <v>0.13249909829916817</v>
      </c>
      <c r="AY52" s="66">
        <f t="shared" si="22"/>
        <v>0.13259455602508796</v>
      </c>
      <c r="AZ52" s="66">
        <f t="shared" si="22"/>
        <v>0.1326846433488468</v>
      </c>
      <c r="BA52" s="66">
        <f t="shared" si="22"/>
        <v>0.13276950908453711</v>
      </c>
      <c r="BB52" s="66">
        <f t="shared" si="22"/>
        <v>0.13284929248147515</v>
      </c>
      <c r="BC52" s="66">
        <f t="shared" si="22"/>
        <v>0.13292412360368397</v>
      </c>
      <c r="BD52" s="66">
        <f t="shared" si="22"/>
        <v>0.13299412368217967</v>
      </c>
      <c r="BE52" s="66">
        <f t="shared" si="22"/>
        <v>0.13305940544139255</v>
      </c>
      <c r="BF52" s="66">
        <f t="shared" si="22"/>
        <v>0.13312007340095106</v>
      </c>
      <c r="BG52" s="66">
        <f t="shared" si="22"/>
        <v>0.13317622415395622</v>
      </c>
      <c r="BH52" s="66">
        <f t="shared" si="22"/>
        <v>0.13322794662278223</v>
      </c>
      <c r="BI52" s="66">
        <f t="shared" si="22"/>
        <v>0.13327532229334924</v>
      </c>
      <c r="BJ52" s="66">
        <f t="shared" si="22"/>
        <v>0.13331842542873154</v>
      </c>
      <c r="BK52" s="66">
        <f t="shared" si="22"/>
        <v>0.13335732326288299</v>
      </c>
      <c r="BL52" s="66">
        <f t="shared" si="22"/>
        <v>0.133392076175187</v>
      </c>
      <c r="BM52" s="66">
        <f t="shared" si="22"/>
        <v>0.13275238178401796</v>
      </c>
      <c r="BN52" s="15"/>
    </row>
    <row r="53" spans="2:69" x14ac:dyDescent="0.3">
      <c r="B53" s="12"/>
      <c r="C53" s="14" t="s">
        <v>141</v>
      </c>
      <c r="D53" s="14" t="s">
        <v>142</v>
      </c>
      <c r="E53" s="66">
        <f t="shared" ref="E53:AJ53" si="23">E10*$E$81</f>
        <v>0</v>
      </c>
      <c r="F53" s="66">
        <f t="shared" si="23"/>
        <v>0</v>
      </c>
      <c r="G53" s="66">
        <f t="shared" si="23"/>
        <v>0</v>
      </c>
      <c r="H53" s="66">
        <f t="shared" si="23"/>
        <v>0</v>
      </c>
      <c r="I53" s="66">
        <f t="shared" si="23"/>
        <v>0</v>
      </c>
      <c r="J53" s="66">
        <f t="shared" si="23"/>
        <v>0</v>
      </c>
      <c r="K53" s="66">
        <f t="shared" si="23"/>
        <v>0</v>
      </c>
      <c r="L53" s="66">
        <f t="shared" si="23"/>
        <v>0</v>
      </c>
      <c r="M53" s="66">
        <f t="shared" si="23"/>
        <v>0</v>
      </c>
      <c r="N53" s="66">
        <f t="shared" si="23"/>
        <v>0</v>
      </c>
      <c r="O53" s="66">
        <f t="shared" si="23"/>
        <v>0</v>
      </c>
      <c r="P53" s="66">
        <f t="shared" si="23"/>
        <v>0</v>
      </c>
      <c r="Q53" s="66">
        <f t="shared" si="23"/>
        <v>0</v>
      </c>
      <c r="R53" s="66">
        <f t="shared" si="23"/>
        <v>0</v>
      </c>
      <c r="S53" s="66">
        <f t="shared" si="23"/>
        <v>0</v>
      </c>
      <c r="T53" s="66">
        <f t="shared" si="23"/>
        <v>0</v>
      </c>
      <c r="U53" s="66">
        <f t="shared" si="23"/>
        <v>0</v>
      </c>
      <c r="V53" s="66">
        <f t="shared" si="23"/>
        <v>0</v>
      </c>
      <c r="W53" s="66">
        <f t="shared" si="23"/>
        <v>0</v>
      </c>
      <c r="X53" s="66">
        <f t="shared" si="23"/>
        <v>0</v>
      </c>
      <c r="Y53" s="66">
        <f t="shared" si="23"/>
        <v>0</v>
      </c>
      <c r="Z53" s="66">
        <f t="shared" si="23"/>
        <v>0</v>
      </c>
      <c r="AA53" s="66">
        <f t="shared" si="23"/>
        <v>0</v>
      </c>
      <c r="AB53" s="66">
        <f t="shared" si="23"/>
        <v>0</v>
      </c>
      <c r="AC53" s="66">
        <f t="shared" si="23"/>
        <v>0</v>
      </c>
      <c r="AD53" s="66">
        <f t="shared" si="23"/>
        <v>0</v>
      </c>
      <c r="AE53" s="66">
        <f t="shared" si="23"/>
        <v>0</v>
      </c>
      <c r="AF53" s="66">
        <f t="shared" si="23"/>
        <v>0</v>
      </c>
      <c r="AG53" s="66">
        <f t="shared" si="23"/>
        <v>0</v>
      </c>
      <c r="AH53" s="66">
        <f t="shared" si="23"/>
        <v>0</v>
      </c>
      <c r="AI53" s="66">
        <f t="shared" si="23"/>
        <v>0</v>
      </c>
      <c r="AJ53" s="66">
        <f t="shared" si="23"/>
        <v>0</v>
      </c>
      <c r="AK53" s="66">
        <f t="shared" ref="AK53:BM53" si="24">AK10*$E$81</f>
        <v>0</v>
      </c>
      <c r="AL53" s="66">
        <f t="shared" si="24"/>
        <v>0</v>
      </c>
      <c r="AM53" s="66">
        <f t="shared" si="24"/>
        <v>0</v>
      </c>
      <c r="AN53" s="66">
        <f t="shared" si="24"/>
        <v>0</v>
      </c>
      <c r="AO53" s="66">
        <f t="shared" si="24"/>
        <v>0</v>
      </c>
      <c r="AP53" s="66">
        <f t="shared" si="24"/>
        <v>0</v>
      </c>
      <c r="AQ53" s="66">
        <f t="shared" si="24"/>
        <v>0</v>
      </c>
      <c r="AR53" s="66">
        <f t="shared" si="24"/>
        <v>0</v>
      </c>
      <c r="AS53" s="66">
        <f t="shared" si="24"/>
        <v>0</v>
      </c>
      <c r="AT53" s="66">
        <f t="shared" si="24"/>
        <v>0</v>
      </c>
      <c r="AU53" s="66">
        <f t="shared" si="24"/>
        <v>0</v>
      </c>
      <c r="AV53" s="66">
        <f t="shared" si="24"/>
        <v>0</v>
      </c>
      <c r="AW53" s="66">
        <f t="shared" si="24"/>
        <v>0</v>
      </c>
      <c r="AX53" s="66">
        <f t="shared" si="24"/>
        <v>0</v>
      </c>
      <c r="AY53" s="66">
        <f t="shared" si="24"/>
        <v>0</v>
      </c>
      <c r="AZ53" s="66">
        <f t="shared" si="24"/>
        <v>0</v>
      </c>
      <c r="BA53" s="66">
        <f t="shared" si="24"/>
        <v>0</v>
      </c>
      <c r="BB53" s="66">
        <f t="shared" si="24"/>
        <v>0</v>
      </c>
      <c r="BC53" s="66">
        <f t="shared" si="24"/>
        <v>0</v>
      </c>
      <c r="BD53" s="66">
        <f t="shared" si="24"/>
        <v>0</v>
      </c>
      <c r="BE53" s="66">
        <f t="shared" si="24"/>
        <v>0</v>
      </c>
      <c r="BF53" s="66">
        <f t="shared" si="24"/>
        <v>0</v>
      </c>
      <c r="BG53" s="66">
        <f t="shared" si="24"/>
        <v>0</v>
      </c>
      <c r="BH53" s="66">
        <f t="shared" si="24"/>
        <v>0</v>
      </c>
      <c r="BI53" s="66">
        <f t="shared" si="24"/>
        <v>0</v>
      </c>
      <c r="BJ53" s="66">
        <f t="shared" si="24"/>
        <v>0</v>
      </c>
      <c r="BK53" s="66">
        <f t="shared" si="24"/>
        <v>0</v>
      </c>
      <c r="BL53" s="66">
        <f t="shared" si="24"/>
        <v>0</v>
      </c>
      <c r="BM53" s="66">
        <f t="shared" si="24"/>
        <v>0</v>
      </c>
      <c r="BN53" s="15"/>
    </row>
    <row r="54" spans="2:69" x14ac:dyDescent="0.3">
      <c r="B54" s="12"/>
      <c r="C54" s="39" t="s">
        <v>57</v>
      </c>
      <c r="D54" s="14" t="s">
        <v>20</v>
      </c>
      <c r="E54" s="66">
        <f t="shared" ref="E54:AJ54" si="25">E11*$E$81</f>
        <v>9.6648085441925685E-2</v>
      </c>
      <c r="F54" s="66">
        <f t="shared" si="25"/>
        <v>0.10485269651440927</v>
      </c>
      <c r="G54" s="66">
        <f t="shared" si="25"/>
        <v>0.11373899846972896</v>
      </c>
      <c r="H54" s="66">
        <f t="shared" si="25"/>
        <v>0.11750395854072827</v>
      </c>
      <c r="I54" s="66">
        <f t="shared" si="25"/>
        <v>0.10942925031487644</v>
      </c>
      <c r="J54" s="66">
        <f t="shared" si="25"/>
        <v>0.12974514346941304</v>
      </c>
      <c r="K54" s="66">
        <f t="shared" si="25"/>
        <v>0.1045485552627355</v>
      </c>
      <c r="L54" s="66">
        <f t="shared" si="25"/>
        <v>0.18198891675670489</v>
      </c>
      <c r="M54" s="66">
        <f t="shared" si="25"/>
        <v>0.17486310198057917</v>
      </c>
      <c r="N54" s="66">
        <f t="shared" si="25"/>
        <v>0.16545556226757749</v>
      </c>
      <c r="O54" s="66">
        <f t="shared" si="25"/>
        <v>0.16311282864254992</v>
      </c>
      <c r="P54" s="66">
        <f t="shared" si="25"/>
        <v>0.17035252630322556</v>
      </c>
      <c r="Q54" s="66">
        <f t="shared" si="25"/>
        <v>0.20126603531431092</v>
      </c>
      <c r="R54" s="66">
        <f t="shared" si="25"/>
        <v>0.17768577061906732</v>
      </c>
      <c r="S54" s="66">
        <f t="shared" si="25"/>
        <v>0.17768577061906732</v>
      </c>
      <c r="T54" s="66">
        <f t="shared" si="25"/>
        <v>0.17239233329941003</v>
      </c>
      <c r="U54" s="66">
        <f t="shared" si="25"/>
        <v>0.1670988959797535</v>
      </c>
      <c r="V54" s="66">
        <f t="shared" si="25"/>
        <v>0.16180545866009699</v>
      </c>
      <c r="W54" s="66">
        <f t="shared" si="25"/>
        <v>0.15651202134044045</v>
      </c>
      <c r="X54" s="66">
        <f t="shared" si="25"/>
        <v>0.15121858402078392</v>
      </c>
      <c r="Y54" s="66">
        <f t="shared" si="25"/>
        <v>0.14592514670112663</v>
      </c>
      <c r="Z54" s="66">
        <f t="shared" si="25"/>
        <v>0.14611419803397152</v>
      </c>
      <c r="AA54" s="66">
        <f t="shared" si="25"/>
        <v>0.14630324936681641</v>
      </c>
      <c r="AB54" s="66">
        <f t="shared" si="25"/>
        <v>0.14649230069966129</v>
      </c>
      <c r="AC54" s="66">
        <f t="shared" si="25"/>
        <v>0.14668135203250618</v>
      </c>
      <c r="AD54" s="66">
        <f t="shared" si="25"/>
        <v>0.14687040336535107</v>
      </c>
      <c r="AE54" s="66">
        <f t="shared" si="25"/>
        <v>0.14705945469819595</v>
      </c>
      <c r="AF54" s="66">
        <f t="shared" si="25"/>
        <v>0.14724850603104084</v>
      </c>
      <c r="AG54" s="66">
        <f t="shared" si="25"/>
        <v>0.14743755736388572</v>
      </c>
      <c r="AH54" s="66">
        <f t="shared" si="25"/>
        <v>0.14762660869673061</v>
      </c>
      <c r="AI54" s="66">
        <f t="shared" si="25"/>
        <v>0.14781566002957547</v>
      </c>
      <c r="AJ54" s="66">
        <f t="shared" si="25"/>
        <v>0.14800471136242035</v>
      </c>
      <c r="AK54" s="66">
        <f t="shared" ref="AK54:BM54" si="26">AK11*$E$81</f>
        <v>0.14819376269526524</v>
      </c>
      <c r="AL54" s="66">
        <f t="shared" si="26"/>
        <v>0.14838281402811013</v>
      </c>
      <c r="AM54" s="66">
        <f t="shared" si="26"/>
        <v>0.14857186536095501</v>
      </c>
      <c r="AN54" s="66">
        <f t="shared" si="26"/>
        <v>0.1487609166937999</v>
      </c>
      <c r="AO54" s="66">
        <f t="shared" si="26"/>
        <v>0.14894996802664479</v>
      </c>
      <c r="AP54" s="66">
        <f t="shared" si="26"/>
        <v>0.14913901935948967</v>
      </c>
      <c r="AQ54" s="66">
        <f t="shared" si="26"/>
        <v>0.14932807069233456</v>
      </c>
      <c r="AR54" s="66">
        <f t="shared" si="26"/>
        <v>0.14951712202517944</v>
      </c>
      <c r="AS54" s="66">
        <f t="shared" si="26"/>
        <v>0.14970617335802436</v>
      </c>
      <c r="AT54" s="66">
        <f t="shared" si="26"/>
        <v>0.14970617335802436</v>
      </c>
      <c r="AU54" s="66">
        <f t="shared" si="26"/>
        <v>0.14970617335802436</v>
      </c>
      <c r="AV54" s="66">
        <f t="shared" si="26"/>
        <v>0.14970617335802436</v>
      </c>
      <c r="AW54" s="66">
        <f t="shared" si="26"/>
        <v>0.14970617335802436</v>
      </c>
      <c r="AX54" s="66">
        <f t="shared" si="26"/>
        <v>0.14970617335802436</v>
      </c>
      <c r="AY54" s="66">
        <f t="shared" si="26"/>
        <v>0.14970617335802436</v>
      </c>
      <c r="AZ54" s="66">
        <f t="shared" si="26"/>
        <v>0.14970617335802436</v>
      </c>
      <c r="BA54" s="66">
        <f t="shared" si="26"/>
        <v>0.14970617335802436</v>
      </c>
      <c r="BB54" s="66">
        <f t="shared" si="26"/>
        <v>0.14970617335802436</v>
      </c>
      <c r="BC54" s="66">
        <f t="shared" si="26"/>
        <v>0.14970617335802436</v>
      </c>
      <c r="BD54" s="66">
        <f t="shared" si="26"/>
        <v>0.14970617335802436</v>
      </c>
      <c r="BE54" s="66">
        <f t="shared" si="26"/>
        <v>0.14970617335802436</v>
      </c>
      <c r="BF54" s="66">
        <f t="shared" si="26"/>
        <v>0.14970617335802436</v>
      </c>
      <c r="BG54" s="66">
        <f t="shared" si="26"/>
        <v>0.14970617335802436</v>
      </c>
      <c r="BH54" s="66">
        <f t="shared" si="26"/>
        <v>0.14970617335802436</v>
      </c>
      <c r="BI54" s="66">
        <f t="shared" si="26"/>
        <v>0.14970617335802436</v>
      </c>
      <c r="BJ54" s="66">
        <f t="shared" si="26"/>
        <v>0.14970617335802436</v>
      </c>
      <c r="BK54" s="66">
        <f t="shared" si="26"/>
        <v>0.14970617335802436</v>
      </c>
      <c r="BL54" s="66">
        <f t="shared" si="26"/>
        <v>0.14970617335802436</v>
      </c>
      <c r="BM54" s="66">
        <f t="shared" si="26"/>
        <v>0.14910751080401555</v>
      </c>
      <c r="BN54" s="15"/>
    </row>
    <row r="55" spans="2:69" x14ac:dyDescent="0.3">
      <c r="B55" s="12"/>
      <c r="C55" s="14" t="s">
        <v>143</v>
      </c>
      <c r="D55" s="14" t="s">
        <v>144</v>
      </c>
      <c r="E55" s="66">
        <f t="shared" ref="E55:AJ55" si="27">E12*$E$81</f>
        <v>0</v>
      </c>
      <c r="F55" s="66">
        <f t="shared" si="27"/>
        <v>0</v>
      </c>
      <c r="G55" s="66">
        <f t="shared" si="27"/>
        <v>0</v>
      </c>
      <c r="H55" s="66">
        <f t="shared" si="27"/>
        <v>0</v>
      </c>
      <c r="I55" s="66">
        <f t="shared" si="27"/>
        <v>0</v>
      </c>
      <c r="J55" s="66">
        <f t="shared" si="27"/>
        <v>0</v>
      </c>
      <c r="K55" s="66">
        <f t="shared" si="27"/>
        <v>2.9828815048465279E-2</v>
      </c>
      <c r="L55" s="66">
        <f t="shared" si="27"/>
        <v>5.1456867460348554E-2</v>
      </c>
      <c r="M55" s="66">
        <f t="shared" si="27"/>
        <v>5.1456867460348554E-2</v>
      </c>
      <c r="N55" s="66">
        <f t="shared" si="27"/>
        <v>5.1456867460348554E-2</v>
      </c>
      <c r="O55" s="66">
        <f t="shared" si="27"/>
        <v>5.1456867460348554E-2</v>
      </c>
      <c r="P55" s="66">
        <f t="shared" si="27"/>
        <v>5.1456867460348554E-2</v>
      </c>
      <c r="Q55" s="66">
        <f t="shared" si="27"/>
        <v>5.1456867460348554E-2</v>
      </c>
      <c r="R55" s="66">
        <f t="shared" si="27"/>
        <v>5.1456867460348554E-2</v>
      </c>
      <c r="S55" s="66">
        <f t="shared" si="27"/>
        <v>5.1456867460348624E-2</v>
      </c>
      <c r="T55" s="66">
        <f t="shared" si="27"/>
        <v>5.1456867460348624E-2</v>
      </c>
      <c r="U55" s="66">
        <f t="shared" si="27"/>
        <v>5.1456867460348624E-2</v>
      </c>
      <c r="V55" s="66">
        <f t="shared" si="27"/>
        <v>5.1456867460348624E-2</v>
      </c>
      <c r="W55" s="66">
        <f t="shared" si="27"/>
        <v>5.1456867460348624E-2</v>
      </c>
      <c r="X55" s="66">
        <f t="shared" si="27"/>
        <v>5.1456867460348624E-2</v>
      </c>
      <c r="Y55" s="66">
        <f t="shared" si="27"/>
        <v>5.1456867460348624E-2</v>
      </c>
      <c r="Z55" s="66">
        <f t="shared" si="27"/>
        <v>5.1456867460348624E-2</v>
      </c>
      <c r="AA55" s="66">
        <f t="shared" si="27"/>
        <v>5.1456867460348624E-2</v>
      </c>
      <c r="AB55" s="66">
        <f t="shared" si="27"/>
        <v>5.1456867460348624E-2</v>
      </c>
      <c r="AC55" s="66">
        <f t="shared" si="27"/>
        <v>5.1456867460348624E-2</v>
      </c>
      <c r="AD55" s="66">
        <f t="shared" si="27"/>
        <v>5.1456867460348624E-2</v>
      </c>
      <c r="AE55" s="66">
        <f t="shared" si="27"/>
        <v>5.1456867460348624E-2</v>
      </c>
      <c r="AF55" s="66">
        <f t="shared" si="27"/>
        <v>5.1456867460348624E-2</v>
      </c>
      <c r="AG55" s="66">
        <f t="shared" si="27"/>
        <v>5.1456867460348624E-2</v>
      </c>
      <c r="AH55" s="66">
        <f t="shared" si="27"/>
        <v>5.1456867460348624E-2</v>
      </c>
      <c r="AI55" s="66">
        <f t="shared" si="27"/>
        <v>5.1456867460348624E-2</v>
      </c>
      <c r="AJ55" s="66">
        <f t="shared" si="27"/>
        <v>5.1456867460348624E-2</v>
      </c>
      <c r="AK55" s="66">
        <f t="shared" ref="AK55:BM55" si="28">AK12*$E$81</f>
        <v>5.1456867460348624E-2</v>
      </c>
      <c r="AL55" s="66">
        <f t="shared" si="28"/>
        <v>5.1456867460348624E-2</v>
      </c>
      <c r="AM55" s="66">
        <f t="shared" si="28"/>
        <v>5.1456867460348624E-2</v>
      </c>
      <c r="AN55" s="66">
        <f t="shared" si="28"/>
        <v>5.1456867460348624E-2</v>
      </c>
      <c r="AO55" s="66">
        <f t="shared" si="28"/>
        <v>5.1456867460348624E-2</v>
      </c>
      <c r="AP55" s="66">
        <f t="shared" si="28"/>
        <v>5.1456867460348624E-2</v>
      </c>
      <c r="AQ55" s="66">
        <f t="shared" si="28"/>
        <v>5.1456867460348624E-2</v>
      </c>
      <c r="AR55" s="66">
        <f t="shared" si="28"/>
        <v>5.1456867460348624E-2</v>
      </c>
      <c r="AS55" s="66">
        <f t="shared" si="28"/>
        <v>5.1456867460348624E-2</v>
      </c>
      <c r="AT55" s="66">
        <f t="shared" si="28"/>
        <v>5.1456867460348624E-2</v>
      </c>
      <c r="AU55" s="66">
        <f t="shared" si="28"/>
        <v>5.1456867460348624E-2</v>
      </c>
      <c r="AV55" s="66">
        <f t="shared" si="28"/>
        <v>5.1456867460348624E-2</v>
      </c>
      <c r="AW55" s="66">
        <f t="shared" si="28"/>
        <v>5.1456867460348624E-2</v>
      </c>
      <c r="AX55" s="66">
        <f t="shared" si="28"/>
        <v>5.1456867460348624E-2</v>
      </c>
      <c r="AY55" s="66">
        <f t="shared" si="28"/>
        <v>5.1456867460348624E-2</v>
      </c>
      <c r="AZ55" s="66">
        <f t="shared" si="28"/>
        <v>5.1456867460348624E-2</v>
      </c>
      <c r="BA55" s="66">
        <f t="shared" si="28"/>
        <v>5.1456867460348624E-2</v>
      </c>
      <c r="BB55" s="66">
        <f t="shared" si="28"/>
        <v>5.1456867460348624E-2</v>
      </c>
      <c r="BC55" s="66">
        <f t="shared" si="28"/>
        <v>5.1456867460348624E-2</v>
      </c>
      <c r="BD55" s="66">
        <f t="shared" si="28"/>
        <v>5.1456867460348624E-2</v>
      </c>
      <c r="BE55" s="66">
        <f t="shared" si="28"/>
        <v>5.1456867460348624E-2</v>
      </c>
      <c r="BF55" s="66">
        <f t="shared" si="28"/>
        <v>5.1456867460348624E-2</v>
      </c>
      <c r="BG55" s="66">
        <f t="shared" si="28"/>
        <v>5.1456867460348624E-2</v>
      </c>
      <c r="BH55" s="66">
        <f t="shared" si="28"/>
        <v>5.1456867460348624E-2</v>
      </c>
      <c r="BI55" s="66">
        <f t="shared" si="28"/>
        <v>5.1456867460348624E-2</v>
      </c>
      <c r="BJ55" s="66">
        <f t="shared" si="28"/>
        <v>5.1456867460348624E-2</v>
      </c>
      <c r="BK55" s="66">
        <f t="shared" si="28"/>
        <v>5.1456867460348624E-2</v>
      </c>
      <c r="BL55" s="66">
        <f t="shared" si="28"/>
        <v>5.1456867460348624E-2</v>
      </c>
      <c r="BM55" s="66">
        <f t="shared" si="28"/>
        <v>5.1456867460348624E-2</v>
      </c>
      <c r="BN55" s="15"/>
    </row>
    <row r="56" spans="2:69" x14ac:dyDescent="0.3">
      <c r="B56" s="12"/>
      <c r="C56" s="39" t="s">
        <v>58</v>
      </c>
      <c r="D56" s="14" t="s">
        <v>21</v>
      </c>
      <c r="E56" s="66">
        <f t="shared" ref="E56:AJ56" si="29">E13*$E$81</f>
        <v>0.6241522966841776</v>
      </c>
      <c r="F56" s="66">
        <f t="shared" si="29"/>
        <v>0.72579192587732</v>
      </c>
      <c r="G56" s="66">
        <f t="shared" si="29"/>
        <v>0.74259647999685841</v>
      </c>
      <c r="H56" s="66">
        <f t="shared" si="29"/>
        <v>1.0305144203153995</v>
      </c>
      <c r="I56" s="66">
        <f t="shared" si="29"/>
        <v>1.185712723333932</v>
      </c>
      <c r="J56" s="66">
        <f t="shared" si="29"/>
        <v>1.2916941411227563</v>
      </c>
      <c r="K56" s="66">
        <f t="shared" si="29"/>
        <v>1.3573430477213004</v>
      </c>
      <c r="L56" s="66">
        <f t="shared" si="29"/>
        <v>1.1858019247580927</v>
      </c>
      <c r="M56" s="66">
        <f t="shared" si="29"/>
        <v>1.163370568964013</v>
      </c>
      <c r="N56" s="66">
        <f t="shared" si="29"/>
        <v>1.1699129971315536</v>
      </c>
      <c r="O56" s="66">
        <f t="shared" si="29"/>
        <v>1.305451150189777</v>
      </c>
      <c r="P56" s="66">
        <f t="shared" si="29"/>
        <v>1.6578401450591933</v>
      </c>
      <c r="Q56" s="66">
        <f t="shared" si="29"/>
        <v>1.8248732510290568</v>
      </c>
      <c r="R56" s="66">
        <f t="shared" si="29"/>
        <v>2.0288155676691577</v>
      </c>
      <c r="S56" s="66" t="e">
        <f t="shared" si="29"/>
        <v>#VALUE!</v>
      </c>
      <c r="T56" s="66">
        <f t="shared" si="29"/>
        <v>2.0831245702632675</v>
      </c>
      <c r="U56" s="66">
        <f t="shared" si="29"/>
        <v>2.094617051344454</v>
      </c>
      <c r="V56" s="66">
        <f t="shared" si="29"/>
        <v>2.1060987298186831</v>
      </c>
      <c r="W56" s="66">
        <f t="shared" si="29"/>
        <v>2.1175707746236752</v>
      </c>
      <c r="X56" s="66">
        <f t="shared" si="29"/>
        <v>2.1290342030346032</v>
      </c>
      <c r="Y56" s="66">
        <f t="shared" si="29"/>
        <v>2.1404888115809562</v>
      </c>
      <c r="Z56" s="66">
        <f t="shared" si="29"/>
        <v>2.137773114715682</v>
      </c>
      <c r="AA56" s="66">
        <f t="shared" si="29"/>
        <v>2.1374064333540557</v>
      </c>
      <c r="AB56" s="66">
        <f t="shared" si="29"/>
        <v>2.1370379428399358</v>
      </c>
      <c r="AC56" s="66">
        <f t="shared" si="29"/>
        <v>2.1366680456050964</v>
      </c>
      <c r="AD56" s="66">
        <f t="shared" si="29"/>
        <v>2.1362968426750255</v>
      </c>
      <c r="AE56" s="66">
        <f t="shared" si="29"/>
        <v>2.1357309517472536</v>
      </c>
      <c r="AF56" s="66">
        <f t="shared" si="29"/>
        <v>2.1351700936813836</v>
      </c>
      <c r="AG56" s="66">
        <f t="shared" si="29"/>
        <v>2.1346142996479101</v>
      </c>
      <c r="AH56" s="66">
        <f t="shared" si="29"/>
        <v>2.134063597341568</v>
      </c>
      <c r="AI56" s="66">
        <f t="shared" si="29"/>
        <v>2.1335179087940745</v>
      </c>
      <c r="AJ56" s="66">
        <f t="shared" si="29"/>
        <v>2.1329771851976012</v>
      </c>
      <c r="AK56" s="66">
        <f t="shared" ref="AK56:BM56" si="30">AK13*$E$81</f>
        <v>2.1324413683379175</v>
      </c>
      <c r="AL56" s="66">
        <f t="shared" si="30"/>
        <v>2.1319103621432047</v>
      </c>
      <c r="AM56" s="66">
        <f t="shared" si="30"/>
        <v>2.1313840659279588</v>
      </c>
      <c r="AN56" s="66">
        <f t="shared" si="30"/>
        <v>2.130862372462937</v>
      </c>
      <c r="AO56" s="66">
        <f t="shared" si="30"/>
        <v>2.1303451671223752</v>
      </c>
      <c r="AP56" s="66">
        <f t="shared" si="30"/>
        <v>2.1298323383135394</v>
      </c>
      <c r="AQ56" s="66">
        <f t="shared" si="30"/>
        <v>2.1293237749174865</v>
      </c>
      <c r="AR56" s="66">
        <f t="shared" si="30"/>
        <v>2.1288193600167289</v>
      </c>
      <c r="AS56" s="66">
        <f t="shared" si="30"/>
        <v>2.1283164880767451</v>
      </c>
      <c r="AT56" s="66">
        <f t="shared" si="30"/>
        <v>2.1281915810532519</v>
      </c>
      <c r="AU56" s="66">
        <f t="shared" si="30"/>
        <v>2.1280729473517601</v>
      </c>
      <c r="AV56" s="66">
        <f t="shared" si="30"/>
        <v>2.1279603835823009</v>
      </c>
      <c r="AW56" s="66">
        <f t="shared" si="30"/>
        <v>2.1278536982798606</v>
      </c>
      <c r="AX56" s="66">
        <f t="shared" si="30"/>
        <v>2.1277527113647881</v>
      </c>
      <c r="AY56" s="66">
        <f t="shared" si="30"/>
        <v>2.1276572536388683</v>
      </c>
      <c r="AZ56" s="66">
        <f t="shared" si="30"/>
        <v>2.1275671663151097</v>
      </c>
      <c r="BA56" s="66">
        <f t="shared" si="30"/>
        <v>2.1274823005794192</v>
      </c>
      <c r="BB56" s="66">
        <f t="shared" si="30"/>
        <v>2.1274025171824809</v>
      </c>
      <c r="BC56" s="66">
        <f t="shared" si="30"/>
        <v>2.1273276860602723</v>
      </c>
      <c r="BD56" s="66">
        <f t="shared" si="30"/>
        <v>2.1272576859817769</v>
      </c>
      <c r="BE56" s="66">
        <f t="shared" si="30"/>
        <v>2.1271924042225638</v>
      </c>
      <c r="BF56" s="66">
        <f t="shared" si="30"/>
        <v>2.1271317362630051</v>
      </c>
      <c r="BG56" s="66">
        <f t="shared" si="30"/>
        <v>2.1270755855100001</v>
      </c>
      <c r="BH56" s="66">
        <f t="shared" si="30"/>
        <v>2.127023863041174</v>
      </c>
      <c r="BI56" s="66">
        <f t="shared" si="30"/>
        <v>2.1269764873706074</v>
      </c>
      <c r="BJ56" s="66">
        <f t="shared" si="30"/>
        <v>2.1269333842352252</v>
      </c>
      <c r="BK56" s="66">
        <f t="shared" si="30"/>
        <v>2.1268944864010733</v>
      </c>
      <c r="BL56" s="66">
        <f t="shared" si="30"/>
        <v>2.1268597334887693</v>
      </c>
      <c r="BM56" s="66">
        <f t="shared" si="30"/>
        <v>2.128098090433947</v>
      </c>
      <c r="BN56" s="15"/>
    </row>
    <row r="57" spans="2:69" x14ac:dyDescent="0.3">
      <c r="B57" s="12"/>
      <c r="C57" s="14" t="s">
        <v>59</v>
      </c>
      <c r="D57" s="14" t="s">
        <v>22</v>
      </c>
      <c r="E57" s="66">
        <f>E14*E81</f>
        <v>3.2482050543543473</v>
      </c>
      <c r="F57" s="66">
        <f t="shared" ref="F57:BM57" si="31">F14*F81</f>
        <v>3.2491407717821272</v>
      </c>
      <c r="G57" s="66">
        <f t="shared" si="31"/>
        <v>3.31992787930466</v>
      </c>
      <c r="H57" s="66">
        <f t="shared" si="31"/>
        <v>3.4222823829185898</v>
      </c>
      <c r="I57" s="66">
        <f t="shared" si="31"/>
        <v>3.6778220881695796</v>
      </c>
      <c r="J57" s="66">
        <f t="shared" si="31"/>
        <v>3.2990793127507896</v>
      </c>
      <c r="K57" s="66">
        <f t="shared" si="31"/>
        <v>3.0639073324925725</v>
      </c>
      <c r="L57" s="66">
        <f t="shared" si="31"/>
        <v>3.0876475243305306</v>
      </c>
      <c r="M57" s="66">
        <f t="shared" si="31"/>
        <v>3.1166032950051608</v>
      </c>
      <c r="N57" s="66">
        <f t="shared" si="31"/>
        <v>3.1460863309569391</v>
      </c>
      <c r="O57" s="66">
        <f t="shared" si="31"/>
        <v>2.9886119227683445</v>
      </c>
      <c r="P57" s="66">
        <f t="shared" si="31"/>
        <v>2.5370108192017793</v>
      </c>
      <c r="Q57" s="66">
        <f t="shared" si="31"/>
        <v>2.2556251499670585</v>
      </c>
      <c r="R57" s="66">
        <f t="shared" si="31"/>
        <v>2.0801805914570255</v>
      </c>
      <c r="S57" s="66">
        <f t="shared" si="31"/>
        <v>2.0997429410390294</v>
      </c>
      <c r="T57" s="66">
        <f t="shared" si="31"/>
        <v>2.1601156449934482</v>
      </c>
      <c r="U57" s="66">
        <f t="shared" si="31"/>
        <v>2.2215337462489191</v>
      </c>
      <c r="V57" s="66">
        <f t="shared" si="31"/>
        <v>2.283887383211773</v>
      </c>
      <c r="W57" s="66">
        <f t="shared" si="31"/>
        <v>2.3470625815296944</v>
      </c>
      <c r="X57" s="66">
        <f t="shared" si="31"/>
        <v>2.4109635585010571</v>
      </c>
      <c r="Y57" s="66">
        <f t="shared" si="31"/>
        <v>2.4755281555738513</v>
      </c>
      <c r="Z57" s="66">
        <f t="shared" si="31"/>
        <v>3.0584906515606942</v>
      </c>
      <c r="AA57" s="66">
        <f t="shared" si="31"/>
        <v>3.1074755581641593</v>
      </c>
      <c r="AB57" s="66">
        <f t="shared" si="31"/>
        <v>3.1566391914675149</v>
      </c>
      <c r="AC57" s="66">
        <f t="shared" si="31"/>
        <v>3.2059242102721774</v>
      </c>
      <c r="AD57" s="66">
        <f t="shared" si="31"/>
        <v>3.2552817235939857</v>
      </c>
      <c r="AE57" s="66">
        <f t="shared" si="31"/>
        <v>3.3046466500469558</v>
      </c>
      <c r="AF57" s="66">
        <f t="shared" si="31"/>
        <v>3.3539579694638881</v>
      </c>
      <c r="AG57" s="66">
        <f t="shared" si="31"/>
        <v>3.4031328126764619</v>
      </c>
      <c r="AH57" s="66">
        <f t="shared" si="31"/>
        <v>3.452084260321898</v>
      </c>
      <c r="AI57" s="66">
        <f t="shared" si="31"/>
        <v>3.5007563520578251</v>
      </c>
      <c r="AJ57" s="66">
        <f t="shared" si="31"/>
        <v>3.549081995667875</v>
      </c>
      <c r="AK57" s="66">
        <f t="shared" si="31"/>
        <v>3.5969956365828928</v>
      </c>
      <c r="AL57" s="66">
        <f t="shared" si="31"/>
        <v>3.6444444021482751</v>
      </c>
      <c r="AM57" s="66">
        <f t="shared" si="31"/>
        <v>3.6913775433054345</v>
      </c>
      <c r="AN57" s="66">
        <f t="shared" si="31"/>
        <v>3.7377476407873491</v>
      </c>
      <c r="AO57" s="66">
        <f t="shared" si="31"/>
        <v>3.7835114968674937</v>
      </c>
      <c r="AP57" s="66">
        <f t="shared" si="31"/>
        <v>3.8286264790883981</v>
      </c>
      <c r="AQ57" s="66">
        <f t="shared" si="31"/>
        <v>3.8730516758028548</v>
      </c>
      <c r="AR57" s="66">
        <f t="shared" si="31"/>
        <v>3.9167507747589601</v>
      </c>
      <c r="AS57" s="66">
        <f t="shared" si="31"/>
        <v>3.9607745306997262</v>
      </c>
      <c r="AT57" s="66">
        <f t="shared" si="31"/>
        <v>4.0159809586531718</v>
      </c>
      <c r="AU57" s="66">
        <f t="shared" si="31"/>
        <v>4.0698587878921808</v>
      </c>
      <c r="AV57" s="66">
        <f t="shared" si="31"/>
        <v>4.1223337509566793</v>
      </c>
      <c r="AW57" s="66">
        <f t="shared" si="31"/>
        <v>4.1733327650594232</v>
      </c>
      <c r="AX57" s="66">
        <f t="shared" si="31"/>
        <v>4.2227841001336071</v>
      </c>
      <c r="AY57" s="66">
        <f t="shared" si="31"/>
        <v>4.2706175455930078</v>
      </c>
      <c r="AZ57" s="66">
        <f t="shared" si="31"/>
        <v>4.3167645752670198</v>
      </c>
      <c r="BA57" s="66">
        <f t="shared" si="31"/>
        <v>4.3611585099726407</v>
      </c>
      <c r="BB57" s="66">
        <f t="shared" si="31"/>
        <v>4.403734677187308</v>
      </c>
      <c r="BC57" s="66">
        <f t="shared" si="31"/>
        <v>4.4444305672906355</v>
      </c>
      <c r="BD57" s="66">
        <f t="shared" si="31"/>
        <v>4.483185985849504</v>
      </c>
      <c r="BE57" s="66">
        <f t="shared" si="31"/>
        <v>4.5199432014295828</v>
      </c>
      <c r="BF57" s="66">
        <f t="shared" si="31"/>
        <v>4.5546470884273154</v>
      </c>
      <c r="BG57" s="66">
        <f t="shared" si="31"/>
        <v>4.5872452644294643</v>
      </c>
      <c r="BH57" s="66">
        <f t="shared" si="31"/>
        <v>4.6176882216226369</v>
      </c>
      <c r="BI57" s="66">
        <f t="shared" si="31"/>
        <v>4.64592945179262</v>
      </c>
      <c r="BJ57" s="66">
        <f t="shared" si="31"/>
        <v>4.6719255644728692</v>
      </c>
      <c r="BK57" s="66">
        <f t="shared" si="31"/>
        <v>4.6956363978229261</v>
      </c>
      <c r="BL57" s="66">
        <f t="shared" si="31"/>
        <v>4.7170251218409787</v>
      </c>
      <c r="BM57" s="66">
        <f t="shared" si="31"/>
        <v>4.736058333539936</v>
      </c>
      <c r="BN57" s="15"/>
    </row>
    <row r="58" spans="2:69" x14ac:dyDescent="0.3">
      <c r="B58" s="12"/>
      <c r="C58" s="14" t="s">
        <v>145</v>
      </c>
      <c r="D58" s="14" t="s">
        <v>146</v>
      </c>
      <c r="E58" s="66">
        <f>E15*E81</f>
        <v>0</v>
      </c>
      <c r="F58" s="66">
        <f t="shared" ref="F58:BQ58" si="32">F15*F81</f>
        <v>0</v>
      </c>
      <c r="G58" s="66">
        <f t="shared" si="32"/>
        <v>0</v>
      </c>
      <c r="H58" s="66">
        <f t="shared" si="32"/>
        <v>0</v>
      </c>
      <c r="I58" s="66">
        <f t="shared" si="32"/>
        <v>0</v>
      </c>
      <c r="J58" s="66">
        <f t="shared" si="32"/>
        <v>0</v>
      </c>
      <c r="K58" s="66">
        <f t="shared" si="32"/>
        <v>0</v>
      </c>
      <c r="L58" s="66">
        <f t="shared" si="32"/>
        <v>0</v>
      </c>
      <c r="M58" s="66">
        <f t="shared" si="32"/>
        <v>0</v>
      </c>
      <c r="N58" s="66">
        <f t="shared" si="32"/>
        <v>0</v>
      </c>
      <c r="O58" s="66">
        <f t="shared" si="32"/>
        <v>0</v>
      </c>
      <c r="P58" s="66">
        <f t="shared" si="32"/>
        <v>0</v>
      </c>
      <c r="Q58" s="66">
        <f t="shared" si="32"/>
        <v>0</v>
      </c>
      <c r="R58" s="66">
        <f t="shared" si="32"/>
        <v>0</v>
      </c>
      <c r="S58" s="66">
        <f t="shared" si="32"/>
        <v>0</v>
      </c>
      <c r="T58" s="66">
        <f t="shared" si="32"/>
        <v>0</v>
      </c>
      <c r="U58" s="66">
        <f t="shared" si="32"/>
        <v>0</v>
      </c>
      <c r="V58" s="66">
        <f t="shared" si="32"/>
        <v>0</v>
      </c>
      <c r="W58" s="66">
        <f t="shared" si="32"/>
        <v>0</v>
      </c>
      <c r="X58" s="66">
        <f t="shared" si="32"/>
        <v>0</v>
      </c>
      <c r="Y58" s="66">
        <f t="shared" si="32"/>
        <v>0</v>
      </c>
      <c r="Z58" s="66">
        <f t="shared" si="32"/>
        <v>0</v>
      </c>
      <c r="AA58" s="66">
        <f t="shared" si="32"/>
        <v>0</v>
      </c>
      <c r="AB58" s="66">
        <f t="shared" si="32"/>
        <v>0</v>
      </c>
      <c r="AC58" s="66">
        <f t="shared" si="32"/>
        <v>0</v>
      </c>
      <c r="AD58" s="66">
        <f t="shared" si="32"/>
        <v>0</v>
      </c>
      <c r="AE58" s="66">
        <f t="shared" si="32"/>
        <v>0</v>
      </c>
      <c r="AF58" s="66">
        <f t="shared" si="32"/>
        <v>0</v>
      </c>
      <c r="AG58" s="66">
        <f t="shared" si="32"/>
        <v>0</v>
      </c>
      <c r="AH58" s="66">
        <f t="shared" si="32"/>
        <v>0</v>
      </c>
      <c r="AI58" s="66">
        <f t="shared" si="32"/>
        <v>0</v>
      </c>
      <c r="AJ58" s="66">
        <f t="shared" si="32"/>
        <v>0</v>
      </c>
      <c r="AK58" s="66">
        <f t="shared" si="32"/>
        <v>0</v>
      </c>
      <c r="AL58" s="66">
        <f t="shared" si="32"/>
        <v>0</v>
      </c>
      <c r="AM58" s="66">
        <f t="shared" si="32"/>
        <v>0</v>
      </c>
      <c r="AN58" s="66">
        <f t="shared" si="32"/>
        <v>0</v>
      </c>
      <c r="AO58" s="66">
        <f t="shared" si="32"/>
        <v>0</v>
      </c>
      <c r="AP58" s="66">
        <f t="shared" si="32"/>
        <v>0</v>
      </c>
      <c r="AQ58" s="66">
        <f t="shared" si="32"/>
        <v>0</v>
      </c>
      <c r="AR58" s="66">
        <f t="shared" si="32"/>
        <v>0</v>
      </c>
      <c r="AS58" s="66">
        <f t="shared" si="32"/>
        <v>0</v>
      </c>
      <c r="AT58" s="66">
        <f t="shared" si="32"/>
        <v>0</v>
      </c>
      <c r="AU58" s="66">
        <f t="shared" si="32"/>
        <v>0</v>
      </c>
      <c r="AV58" s="66">
        <f t="shared" si="32"/>
        <v>0</v>
      </c>
      <c r="AW58" s="66">
        <f t="shared" si="32"/>
        <v>0</v>
      </c>
      <c r="AX58" s="66">
        <f t="shared" si="32"/>
        <v>0</v>
      </c>
      <c r="AY58" s="66">
        <f t="shared" si="32"/>
        <v>0</v>
      </c>
      <c r="AZ58" s="66">
        <f t="shared" si="32"/>
        <v>0</v>
      </c>
      <c r="BA58" s="66">
        <f t="shared" si="32"/>
        <v>0</v>
      </c>
      <c r="BB58" s="66">
        <f t="shared" si="32"/>
        <v>0</v>
      </c>
      <c r="BC58" s="66">
        <f t="shared" si="32"/>
        <v>0</v>
      </c>
      <c r="BD58" s="66">
        <f t="shared" si="32"/>
        <v>0</v>
      </c>
      <c r="BE58" s="66">
        <f t="shared" si="32"/>
        <v>0</v>
      </c>
      <c r="BF58" s="66">
        <f t="shared" si="32"/>
        <v>0</v>
      </c>
      <c r="BG58" s="66">
        <f t="shared" si="32"/>
        <v>0</v>
      </c>
      <c r="BH58" s="66">
        <f t="shared" si="32"/>
        <v>0</v>
      </c>
      <c r="BI58" s="66">
        <f t="shared" si="32"/>
        <v>0</v>
      </c>
      <c r="BJ58" s="66">
        <f t="shared" si="32"/>
        <v>0</v>
      </c>
      <c r="BK58" s="66">
        <f t="shared" si="32"/>
        <v>0</v>
      </c>
      <c r="BL58" s="66">
        <f t="shared" si="32"/>
        <v>0</v>
      </c>
      <c r="BM58" s="66">
        <f t="shared" si="32"/>
        <v>0</v>
      </c>
      <c r="BN58" s="66">
        <f t="shared" si="32"/>
        <v>0</v>
      </c>
      <c r="BO58" s="66">
        <f t="shared" si="32"/>
        <v>0</v>
      </c>
      <c r="BP58" s="66">
        <f t="shared" si="32"/>
        <v>0</v>
      </c>
      <c r="BQ58" s="66">
        <f t="shared" si="32"/>
        <v>0</v>
      </c>
    </row>
    <row r="59" spans="2:69" ht="13.8" customHeight="1" x14ac:dyDescent="0.3">
      <c r="B59" s="12"/>
      <c r="C59" s="14" t="s">
        <v>147</v>
      </c>
      <c r="D59" s="14" t="s">
        <v>148</v>
      </c>
      <c r="E59" s="66">
        <v>9.1000000000000004E-3</v>
      </c>
      <c r="F59" s="66">
        <v>1.0091000000000001</v>
      </c>
      <c r="G59" s="66">
        <v>2.0091000000000001</v>
      </c>
      <c r="H59" s="66">
        <v>3.0091000000000001</v>
      </c>
      <c r="I59" s="66">
        <v>4.0091000000000001</v>
      </c>
      <c r="J59" s="66">
        <v>5.0091000000000001</v>
      </c>
      <c r="K59" s="66">
        <v>6.0091000000000001</v>
      </c>
      <c r="L59" s="66">
        <v>7.0091000000000001</v>
      </c>
      <c r="M59" s="66">
        <v>8.0091000000000001</v>
      </c>
      <c r="N59" s="66">
        <v>9.0091000000000001</v>
      </c>
      <c r="O59" s="66">
        <v>10.0091</v>
      </c>
      <c r="P59" s="66">
        <v>11.0091</v>
      </c>
      <c r="Q59" s="66">
        <v>12.0091</v>
      </c>
      <c r="R59" s="66">
        <v>13.0091</v>
      </c>
      <c r="S59" s="66">
        <v>14.0091</v>
      </c>
      <c r="T59" s="66">
        <v>15.0091</v>
      </c>
      <c r="U59" s="66">
        <v>16.0091</v>
      </c>
      <c r="V59" s="66">
        <v>17.0091</v>
      </c>
      <c r="W59" s="66">
        <v>18.0091</v>
      </c>
      <c r="X59" s="66">
        <v>19.0091</v>
      </c>
      <c r="Y59" s="66">
        <v>20.0091</v>
      </c>
      <c r="Z59" s="66">
        <v>21.0091</v>
      </c>
      <c r="AA59" s="66">
        <v>22.0091</v>
      </c>
      <c r="AB59" s="66">
        <v>23.0091</v>
      </c>
      <c r="AC59" s="66">
        <v>24.0091</v>
      </c>
      <c r="AD59" s="66">
        <v>25.0091</v>
      </c>
      <c r="AE59" s="66">
        <v>26.0091</v>
      </c>
      <c r="AF59" s="66">
        <v>27.0091</v>
      </c>
      <c r="AG59" s="66">
        <v>28.0091</v>
      </c>
      <c r="AH59" s="66">
        <v>29.0091</v>
      </c>
      <c r="AI59" s="66">
        <v>30.0091</v>
      </c>
      <c r="AJ59" s="66">
        <v>31.0091</v>
      </c>
      <c r="AK59" s="66">
        <v>32.009099999999997</v>
      </c>
      <c r="AL59" s="66">
        <v>33.009099999999997</v>
      </c>
      <c r="AM59" s="66">
        <v>34.009099999999997</v>
      </c>
      <c r="AN59" s="66">
        <v>35.009099999999997</v>
      </c>
      <c r="AO59" s="66">
        <v>36.009099999999997</v>
      </c>
      <c r="AP59" s="66">
        <v>37.009099999999997</v>
      </c>
      <c r="AQ59" s="66">
        <v>38.009099999999997</v>
      </c>
      <c r="AR59" s="66">
        <v>39.009099999999997</v>
      </c>
      <c r="AS59" s="66">
        <v>40.009099999999997</v>
      </c>
      <c r="AT59" s="66">
        <v>41.009099999999997</v>
      </c>
      <c r="AU59" s="66">
        <v>42.009099999999997</v>
      </c>
      <c r="AV59" s="66">
        <v>43.009099999999997</v>
      </c>
      <c r="AW59" s="66">
        <v>44.009099999999997</v>
      </c>
      <c r="AX59" s="66">
        <v>45.009099999999997</v>
      </c>
      <c r="AY59" s="66">
        <v>46.009099999999997</v>
      </c>
      <c r="AZ59" s="66">
        <v>47.009099999999997</v>
      </c>
      <c r="BA59" s="66">
        <v>48.009099999999997</v>
      </c>
      <c r="BB59" s="66">
        <v>49.009099999999997</v>
      </c>
      <c r="BC59" s="66">
        <v>50.009099999999997</v>
      </c>
      <c r="BD59" s="66">
        <v>51.009099999999997</v>
      </c>
      <c r="BE59" s="66">
        <v>52.009099999999997</v>
      </c>
      <c r="BF59" s="66">
        <v>53.009099999999997</v>
      </c>
      <c r="BG59" s="66">
        <v>54.009099999999997</v>
      </c>
      <c r="BH59" s="66">
        <v>55.009099999999997</v>
      </c>
      <c r="BI59" s="66">
        <v>56.009099999999997</v>
      </c>
      <c r="BJ59" s="66">
        <v>57.009099999999997</v>
      </c>
      <c r="BK59" s="66">
        <v>58.009099999999997</v>
      </c>
      <c r="BL59" s="66">
        <v>59.009099999999997</v>
      </c>
      <c r="BM59" s="66">
        <v>60.009099999999997</v>
      </c>
      <c r="BN59" s="66">
        <v>61.009099999999997</v>
      </c>
      <c r="BO59" s="66">
        <v>62.009099999999997</v>
      </c>
      <c r="BP59" s="66">
        <v>63.009099999999997</v>
      </c>
      <c r="BQ59" s="66">
        <v>64.009100000000004</v>
      </c>
    </row>
    <row r="60" spans="2:69" x14ac:dyDescent="0.3">
      <c r="B60" s="12"/>
      <c r="C60" s="14" t="s">
        <v>149</v>
      </c>
      <c r="D60" s="14" t="s">
        <v>150</v>
      </c>
      <c r="E60" s="66">
        <f>E17*E81</f>
        <v>0</v>
      </c>
      <c r="F60" s="66">
        <f t="shared" ref="F60:BQ60" si="33">F17*F81</f>
        <v>0</v>
      </c>
      <c r="G60" s="66">
        <f t="shared" si="33"/>
        <v>0</v>
      </c>
      <c r="H60" s="66">
        <f t="shared" si="33"/>
        <v>0</v>
      </c>
      <c r="I60" s="66">
        <f t="shared" si="33"/>
        <v>0</v>
      </c>
      <c r="J60" s="66">
        <f t="shared" si="33"/>
        <v>0</v>
      </c>
      <c r="K60" s="66">
        <f t="shared" si="33"/>
        <v>0</v>
      </c>
      <c r="L60" s="66">
        <f t="shared" si="33"/>
        <v>0</v>
      </c>
      <c r="M60" s="66">
        <f t="shared" si="33"/>
        <v>0</v>
      </c>
      <c r="N60" s="66">
        <f t="shared" si="33"/>
        <v>0</v>
      </c>
      <c r="O60" s="66">
        <f t="shared" si="33"/>
        <v>0</v>
      </c>
      <c r="P60" s="66">
        <f t="shared" si="33"/>
        <v>0</v>
      </c>
      <c r="Q60" s="66">
        <f t="shared" si="33"/>
        <v>0</v>
      </c>
      <c r="R60" s="66">
        <f t="shared" si="33"/>
        <v>0</v>
      </c>
      <c r="S60" s="66">
        <f t="shared" si="33"/>
        <v>0</v>
      </c>
      <c r="T60" s="66">
        <f t="shared" si="33"/>
        <v>0</v>
      </c>
      <c r="U60" s="66">
        <f t="shared" si="33"/>
        <v>0</v>
      </c>
      <c r="V60" s="66">
        <f t="shared" si="33"/>
        <v>0</v>
      </c>
      <c r="W60" s="66">
        <f t="shared" si="33"/>
        <v>0</v>
      </c>
      <c r="X60" s="66">
        <f t="shared" si="33"/>
        <v>0</v>
      </c>
      <c r="Y60" s="66">
        <f t="shared" si="33"/>
        <v>0</v>
      </c>
      <c r="Z60" s="66">
        <f t="shared" si="33"/>
        <v>0</v>
      </c>
      <c r="AA60" s="66">
        <f t="shared" si="33"/>
        <v>0</v>
      </c>
      <c r="AB60" s="66">
        <f t="shared" si="33"/>
        <v>0</v>
      </c>
      <c r="AC60" s="66">
        <f t="shared" si="33"/>
        <v>0</v>
      </c>
      <c r="AD60" s="66">
        <f t="shared" si="33"/>
        <v>0</v>
      </c>
      <c r="AE60" s="66">
        <f t="shared" si="33"/>
        <v>0</v>
      </c>
      <c r="AF60" s="66">
        <f t="shared" si="33"/>
        <v>0</v>
      </c>
      <c r="AG60" s="66">
        <f t="shared" si="33"/>
        <v>0</v>
      </c>
      <c r="AH60" s="66">
        <f t="shared" si="33"/>
        <v>0</v>
      </c>
      <c r="AI60" s="66">
        <f t="shared" si="33"/>
        <v>0</v>
      </c>
      <c r="AJ60" s="66">
        <f t="shared" si="33"/>
        <v>0</v>
      </c>
      <c r="AK60" s="66">
        <f t="shared" si="33"/>
        <v>0</v>
      </c>
      <c r="AL60" s="66">
        <f t="shared" si="33"/>
        <v>0</v>
      </c>
      <c r="AM60" s="66">
        <f t="shared" si="33"/>
        <v>0</v>
      </c>
      <c r="AN60" s="66">
        <f t="shared" si="33"/>
        <v>0</v>
      </c>
      <c r="AO60" s="66">
        <f t="shared" si="33"/>
        <v>0</v>
      </c>
      <c r="AP60" s="66">
        <f t="shared" si="33"/>
        <v>0</v>
      </c>
      <c r="AQ60" s="66">
        <f t="shared" si="33"/>
        <v>0</v>
      </c>
      <c r="AR60" s="66">
        <f t="shared" si="33"/>
        <v>0</v>
      </c>
      <c r="AS60" s="66">
        <f t="shared" si="33"/>
        <v>0</v>
      </c>
      <c r="AT60" s="66">
        <f t="shared" si="33"/>
        <v>0</v>
      </c>
      <c r="AU60" s="66">
        <f t="shared" si="33"/>
        <v>0</v>
      </c>
      <c r="AV60" s="66">
        <f t="shared" si="33"/>
        <v>0</v>
      </c>
      <c r="AW60" s="66">
        <f t="shared" si="33"/>
        <v>0</v>
      </c>
      <c r="AX60" s="66">
        <f t="shared" si="33"/>
        <v>0</v>
      </c>
      <c r="AY60" s="66">
        <f t="shared" si="33"/>
        <v>0</v>
      </c>
      <c r="AZ60" s="66">
        <f t="shared" si="33"/>
        <v>0</v>
      </c>
      <c r="BA60" s="66">
        <f t="shared" si="33"/>
        <v>0</v>
      </c>
      <c r="BB60" s="66">
        <f t="shared" si="33"/>
        <v>0</v>
      </c>
      <c r="BC60" s="66">
        <f t="shared" si="33"/>
        <v>0</v>
      </c>
      <c r="BD60" s="66">
        <f t="shared" si="33"/>
        <v>0</v>
      </c>
      <c r="BE60" s="66">
        <f t="shared" si="33"/>
        <v>0</v>
      </c>
      <c r="BF60" s="66">
        <f t="shared" si="33"/>
        <v>0</v>
      </c>
      <c r="BG60" s="66">
        <f t="shared" si="33"/>
        <v>0</v>
      </c>
      <c r="BH60" s="66">
        <f t="shared" si="33"/>
        <v>0</v>
      </c>
      <c r="BI60" s="66">
        <f t="shared" si="33"/>
        <v>0</v>
      </c>
      <c r="BJ60" s="66">
        <f t="shared" si="33"/>
        <v>0</v>
      </c>
      <c r="BK60" s="66">
        <f t="shared" si="33"/>
        <v>0</v>
      </c>
      <c r="BL60" s="66">
        <f t="shared" si="33"/>
        <v>0</v>
      </c>
      <c r="BM60" s="66">
        <f t="shared" si="33"/>
        <v>0</v>
      </c>
      <c r="BN60" s="66">
        <f t="shared" si="33"/>
        <v>0</v>
      </c>
      <c r="BO60" s="66">
        <f t="shared" si="33"/>
        <v>0</v>
      </c>
      <c r="BP60" s="66">
        <f t="shared" si="33"/>
        <v>0</v>
      </c>
      <c r="BQ60" s="66">
        <f t="shared" si="33"/>
        <v>0</v>
      </c>
    </row>
    <row r="61" spans="2:69" x14ac:dyDescent="0.3">
      <c r="B61" s="12"/>
      <c r="C61" s="14" t="s">
        <v>151</v>
      </c>
      <c r="D61" s="14" t="s">
        <v>152</v>
      </c>
      <c r="E61" s="66">
        <f>E18*E81</f>
        <v>0</v>
      </c>
      <c r="F61" s="66">
        <f t="shared" ref="F61:BQ61" si="34">F18*F81</f>
        <v>0</v>
      </c>
      <c r="G61" s="66">
        <f t="shared" si="34"/>
        <v>0</v>
      </c>
      <c r="H61" s="66">
        <f t="shared" si="34"/>
        <v>0</v>
      </c>
      <c r="I61" s="66">
        <f t="shared" si="34"/>
        <v>0</v>
      </c>
      <c r="J61" s="66">
        <f t="shared" si="34"/>
        <v>0</v>
      </c>
      <c r="K61" s="66">
        <f t="shared" si="34"/>
        <v>0</v>
      </c>
      <c r="L61" s="66">
        <f t="shared" si="34"/>
        <v>0</v>
      </c>
      <c r="M61" s="66">
        <f t="shared" si="34"/>
        <v>0</v>
      </c>
      <c r="N61" s="66">
        <f t="shared" si="34"/>
        <v>0</v>
      </c>
      <c r="O61" s="66">
        <f t="shared" si="34"/>
        <v>0</v>
      </c>
      <c r="P61" s="66">
        <f t="shared" si="34"/>
        <v>0</v>
      </c>
      <c r="Q61" s="66">
        <f t="shared" si="34"/>
        <v>0</v>
      </c>
      <c r="R61" s="66">
        <f t="shared" si="34"/>
        <v>0</v>
      </c>
      <c r="S61" s="66">
        <f t="shared" si="34"/>
        <v>0</v>
      </c>
      <c r="T61" s="66">
        <f t="shared" si="34"/>
        <v>0</v>
      </c>
      <c r="U61" s="66">
        <f t="shared" si="34"/>
        <v>0</v>
      </c>
      <c r="V61" s="66">
        <f t="shared" si="34"/>
        <v>0</v>
      </c>
      <c r="W61" s="66">
        <f t="shared" si="34"/>
        <v>0</v>
      </c>
      <c r="X61" s="66">
        <f t="shared" si="34"/>
        <v>0</v>
      </c>
      <c r="Y61" s="66">
        <f t="shared" si="34"/>
        <v>0</v>
      </c>
      <c r="Z61" s="66">
        <f t="shared" si="34"/>
        <v>0</v>
      </c>
      <c r="AA61" s="66">
        <f t="shared" si="34"/>
        <v>0</v>
      </c>
      <c r="AB61" s="66">
        <f t="shared" si="34"/>
        <v>0</v>
      </c>
      <c r="AC61" s="66">
        <f t="shared" si="34"/>
        <v>0</v>
      </c>
      <c r="AD61" s="66">
        <f t="shared" si="34"/>
        <v>0</v>
      </c>
      <c r="AE61" s="66">
        <f t="shared" si="34"/>
        <v>0</v>
      </c>
      <c r="AF61" s="66">
        <f t="shared" si="34"/>
        <v>0</v>
      </c>
      <c r="AG61" s="66">
        <f t="shared" si="34"/>
        <v>0</v>
      </c>
      <c r="AH61" s="66">
        <f t="shared" si="34"/>
        <v>0</v>
      </c>
      <c r="AI61" s="66">
        <f t="shared" si="34"/>
        <v>0</v>
      </c>
      <c r="AJ61" s="66">
        <f t="shared" si="34"/>
        <v>0</v>
      </c>
      <c r="AK61" s="66">
        <f t="shared" si="34"/>
        <v>0</v>
      </c>
      <c r="AL61" s="66">
        <f t="shared" si="34"/>
        <v>0</v>
      </c>
      <c r="AM61" s="66">
        <f t="shared" si="34"/>
        <v>0</v>
      </c>
      <c r="AN61" s="66">
        <f t="shared" si="34"/>
        <v>0</v>
      </c>
      <c r="AO61" s="66">
        <f t="shared" si="34"/>
        <v>0</v>
      </c>
      <c r="AP61" s="66">
        <f t="shared" si="34"/>
        <v>0</v>
      </c>
      <c r="AQ61" s="66">
        <f t="shared" si="34"/>
        <v>0</v>
      </c>
      <c r="AR61" s="66">
        <f t="shared" si="34"/>
        <v>0</v>
      </c>
      <c r="AS61" s="66">
        <f t="shared" si="34"/>
        <v>0</v>
      </c>
      <c r="AT61" s="66">
        <f t="shared" si="34"/>
        <v>0</v>
      </c>
      <c r="AU61" s="66">
        <f t="shared" si="34"/>
        <v>0</v>
      </c>
      <c r="AV61" s="66">
        <f t="shared" si="34"/>
        <v>0</v>
      </c>
      <c r="AW61" s="66">
        <f t="shared" si="34"/>
        <v>0</v>
      </c>
      <c r="AX61" s="66">
        <f t="shared" si="34"/>
        <v>0</v>
      </c>
      <c r="AY61" s="66">
        <f t="shared" si="34"/>
        <v>0</v>
      </c>
      <c r="AZ61" s="66">
        <f t="shared" si="34"/>
        <v>0</v>
      </c>
      <c r="BA61" s="66">
        <f t="shared" si="34"/>
        <v>0</v>
      </c>
      <c r="BB61" s="66">
        <f t="shared" si="34"/>
        <v>0</v>
      </c>
      <c r="BC61" s="66">
        <f t="shared" si="34"/>
        <v>0</v>
      </c>
      <c r="BD61" s="66">
        <f t="shared" si="34"/>
        <v>0</v>
      </c>
      <c r="BE61" s="66">
        <f t="shared" si="34"/>
        <v>0</v>
      </c>
      <c r="BF61" s="66">
        <f t="shared" si="34"/>
        <v>0</v>
      </c>
      <c r="BG61" s="66">
        <f t="shared" si="34"/>
        <v>0</v>
      </c>
      <c r="BH61" s="66">
        <f t="shared" si="34"/>
        <v>0</v>
      </c>
      <c r="BI61" s="66">
        <f t="shared" si="34"/>
        <v>0</v>
      </c>
      <c r="BJ61" s="66">
        <f t="shared" si="34"/>
        <v>0</v>
      </c>
      <c r="BK61" s="66">
        <f t="shared" si="34"/>
        <v>0</v>
      </c>
      <c r="BL61" s="66">
        <f t="shared" si="34"/>
        <v>0</v>
      </c>
      <c r="BM61" s="66">
        <f t="shared" si="34"/>
        <v>0</v>
      </c>
      <c r="BN61" s="66">
        <f t="shared" si="34"/>
        <v>0</v>
      </c>
      <c r="BO61" s="66">
        <f t="shared" si="34"/>
        <v>0</v>
      </c>
      <c r="BP61" s="66">
        <f t="shared" si="34"/>
        <v>0</v>
      </c>
      <c r="BQ61" s="66">
        <f t="shared" si="34"/>
        <v>0</v>
      </c>
    </row>
    <row r="62" spans="2:69" x14ac:dyDescent="0.3">
      <c r="B62" s="12"/>
      <c r="C62" s="14"/>
      <c r="D62" s="14"/>
      <c r="E62" s="134">
        <f>SUM(E52:E61)</f>
        <v>4.0672458767841091</v>
      </c>
      <c r="F62" s="134">
        <f t="shared" ref="F62:BI62" si="35">SUM(F52:F61)</f>
        <v>5.1818108879032252</v>
      </c>
      <c r="G62" s="134">
        <f t="shared" si="35"/>
        <v>6.2811423130814523</v>
      </c>
      <c r="H62" s="134">
        <f t="shared" si="35"/>
        <v>7.6854276038768941</v>
      </c>
      <c r="I62" s="134">
        <f t="shared" si="35"/>
        <v>9.0866128342946162</v>
      </c>
      <c r="J62" s="134">
        <f t="shared" si="35"/>
        <v>9.8337631931014187</v>
      </c>
      <c r="K62" s="134">
        <f t="shared" si="35"/>
        <v>10.666975146287655</v>
      </c>
      <c r="L62" s="134">
        <f t="shared" si="35"/>
        <v>11.663883625769795</v>
      </c>
      <c r="M62" s="134">
        <f t="shared" si="35"/>
        <v>12.669574105892671</v>
      </c>
      <c r="N62" s="134">
        <f t="shared" si="35"/>
        <v>13.682743828497639</v>
      </c>
      <c r="O62" s="134">
        <f t="shared" si="35"/>
        <v>14.657963150821486</v>
      </c>
      <c r="P62" s="134">
        <f t="shared" si="35"/>
        <v>15.575224315146585</v>
      </c>
      <c r="Q62" s="134">
        <f t="shared" si="35"/>
        <v>16.494808733899653</v>
      </c>
      <c r="R62" s="134">
        <f t="shared" si="35"/>
        <v>17.508186361035516</v>
      </c>
      <c r="S62" s="134" t="e">
        <f t="shared" si="35"/>
        <v>#VALUE!</v>
      </c>
      <c r="T62" s="134">
        <f t="shared" si="35"/>
        <v>19.630630495475778</v>
      </c>
      <c r="U62" s="134">
        <f t="shared" si="35"/>
        <v>20.692048596731247</v>
      </c>
      <c r="V62" s="134">
        <f t="shared" si="35"/>
        <v>21.754402233694101</v>
      </c>
      <c r="W62" s="134">
        <f t="shared" si="35"/>
        <v>22.817577432012023</v>
      </c>
      <c r="X62" s="134">
        <f t="shared" si="35"/>
        <v>23.881478408983387</v>
      </c>
      <c r="Y62" s="134">
        <f t="shared" si="35"/>
        <v>24.946043006056179</v>
      </c>
      <c r="Z62" s="134">
        <f t="shared" si="35"/>
        <v>26.529005502043024</v>
      </c>
      <c r="AA62" s="134">
        <f t="shared" si="35"/>
        <v>27.577990408646489</v>
      </c>
      <c r="AB62" s="134">
        <f t="shared" si="35"/>
        <v>28.627154041949844</v>
      </c>
      <c r="AC62" s="134">
        <f t="shared" si="35"/>
        <v>29.676439060754507</v>
      </c>
      <c r="AD62" s="134">
        <f t="shared" si="35"/>
        <v>30.725796574076316</v>
      </c>
      <c r="AE62" s="134">
        <f t="shared" si="35"/>
        <v>31.775161500529286</v>
      </c>
      <c r="AF62" s="134">
        <f t="shared" si="35"/>
        <v>32.824472819946216</v>
      </c>
      <c r="AG62" s="134">
        <f t="shared" si="35"/>
        <v>33.873647663158792</v>
      </c>
      <c r="AH62" s="134">
        <f t="shared" si="35"/>
        <v>34.922599110804228</v>
      </c>
      <c r="AI62" s="134">
        <f t="shared" si="35"/>
        <v>35.971271202540152</v>
      </c>
      <c r="AJ62" s="134">
        <f t="shared" si="35"/>
        <v>37.019596846150208</v>
      </c>
      <c r="AK62" s="134">
        <f t="shared" si="35"/>
        <v>38.067510487065221</v>
      </c>
      <c r="AL62" s="134">
        <f t="shared" si="35"/>
        <v>39.114959252630598</v>
      </c>
      <c r="AM62" s="134">
        <f t="shared" si="35"/>
        <v>40.16189239378776</v>
      </c>
      <c r="AN62" s="134">
        <f t="shared" si="35"/>
        <v>41.208262491269679</v>
      </c>
      <c r="AO62" s="134">
        <f t="shared" si="35"/>
        <v>42.254026347349821</v>
      </c>
      <c r="AP62" s="134">
        <f t="shared" si="35"/>
        <v>43.299141329570723</v>
      </c>
      <c r="AQ62" s="134">
        <f t="shared" si="35"/>
        <v>44.34356652628518</v>
      </c>
      <c r="AR62" s="134">
        <f t="shared" si="35"/>
        <v>45.387265625241284</v>
      </c>
      <c r="AS62" s="134">
        <f t="shared" si="35"/>
        <v>46.431289381182054</v>
      </c>
      <c r="AT62" s="134">
        <f t="shared" si="35"/>
        <v>47.486495809135498</v>
      </c>
      <c r="AU62" s="134">
        <f t="shared" si="35"/>
        <v>48.540373638374504</v>
      </c>
      <c r="AV62" s="134">
        <f t="shared" si="35"/>
        <v>49.592848601439002</v>
      </c>
      <c r="AW62" s="134">
        <f t="shared" si="35"/>
        <v>50.643847615541752</v>
      </c>
      <c r="AX62" s="134">
        <f t="shared" si="35"/>
        <v>51.693298950615933</v>
      </c>
      <c r="AY62" s="134">
        <f t="shared" si="35"/>
        <v>52.741132396075336</v>
      </c>
      <c r="AZ62" s="134">
        <f t="shared" si="35"/>
        <v>53.787279425749347</v>
      </c>
      <c r="BA62" s="134">
        <f t="shared" si="35"/>
        <v>54.831673360454964</v>
      </c>
      <c r="BB62" s="134">
        <f t="shared" si="35"/>
        <v>55.874249527669633</v>
      </c>
      <c r="BC62" s="134">
        <f t="shared" si="35"/>
        <v>56.914945417772962</v>
      </c>
      <c r="BD62" s="134">
        <f t="shared" si="35"/>
        <v>57.953700836331834</v>
      </c>
      <c r="BE62" s="134">
        <f t="shared" si="35"/>
        <v>58.990458051911908</v>
      </c>
      <c r="BF62" s="134">
        <f t="shared" si="35"/>
        <v>60.02516193890964</v>
      </c>
      <c r="BG62" s="134">
        <f t="shared" si="35"/>
        <v>61.057760114911787</v>
      </c>
      <c r="BH62" s="134">
        <f t="shared" si="35"/>
        <v>62.08820307210496</v>
      </c>
      <c r="BI62" s="134">
        <f t="shared" si="35"/>
        <v>63.116444302274942</v>
      </c>
      <c r="BJ62" s="134">
        <f>BJ19*BJ81</f>
        <v>11.85545590442276</v>
      </c>
      <c r="BK62" s="134">
        <f>BK19*BK81</f>
        <v>11.915510659623392</v>
      </c>
      <c r="BL62" s="134">
        <f>BL19*BL81</f>
        <v>11.969683980568899</v>
      </c>
      <c r="BM62" s="134">
        <f>BM19*BM81</f>
        <v>12.017891264234871</v>
      </c>
      <c r="BN62" s="15"/>
    </row>
    <row r="63" spans="2:69" x14ac:dyDescent="0.3">
      <c r="B63" s="12"/>
      <c r="C63" s="13" t="s">
        <v>194</v>
      </c>
      <c r="D63" s="1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43"/>
      <c r="AD63" s="43"/>
      <c r="AE63" s="43"/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/>
      <c r="AS63" s="43"/>
      <c r="AT63" s="43"/>
      <c r="AU63" s="43"/>
      <c r="AV63" s="43"/>
      <c r="AW63" s="43"/>
      <c r="AX63" s="43"/>
      <c r="AY63" s="43"/>
      <c r="AZ63" s="43"/>
      <c r="BA63" s="43"/>
      <c r="BB63" s="43"/>
      <c r="BC63" s="43"/>
      <c r="BD63" s="43"/>
      <c r="BE63" s="43"/>
      <c r="BF63" s="43"/>
      <c r="BG63" s="43"/>
      <c r="BH63" s="43"/>
      <c r="BI63" s="43"/>
      <c r="BJ63" s="43"/>
      <c r="BK63" s="43"/>
      <c r="BL63" s="43"/>
      <c r="BM63" s="43"/>
      <c r="BN63" s="15"/>
    </row>
    <row r="64" spans="2:69" x14ac:dyDescent="0.3">
      <c r="B64" s="12"/>
      <c r="C64" s="14" t="s">
        <v>53</v>
      </c>
      <c r="D64" s="23" t="s">
        <v>24</v>
      </c>
      <c r="E64" s="43">
        <f t="shared" ref="E64:AJ64" si="36">E25*$E$81</f>
        <v>9.8240440303658194E-2</v>
      </c>
      <c r="F64" s="43">
        <f t="shared" si="36"/>
        <v>0.10228270293776896</v>
      </c>
      <c r="G64" s="43">
        <f t="shared" si="36"/>
        <v>0.1055069365124764</v>
      </c>
      <c r="H64" s="43">
        <f t="shared" si="36"/>
        <v>0.1148767803483683</v>
      </c>
      <c r="I64" s="43">
        <f t="shared" si="36"/>
        <v>0.11271965222919475</v>
      </c>
      <c r="J64" s="43">
        <f t="shared" si="36"/>
        <v>0.11274405570445548</v>
      </c>
      <c r="K64" s="43">
        <f t="shared" si="36"/>
        <v>0.11125544371355249</v>
      </c>
      <c r="L64" s="43">
        <f t="shared" si="36"/>
        <v>0.15708517025315585</v>
      </c>
      <c r="M64" s="43">
        <f t="shared" si="36"/>
        <v>0.16353744911208615</v>
      </c>
      <c r="N64" s="43">
        <f t="shared" si="36"/>
        <v>0.15286336903305392</v>
      </c>
      <c r="O64" s="43">
        <f t="shared" si="36"/>
        <v>0.15567464938308712</v>
      </c>
      <c r="P64" s="43">
        <f t="shared" si="36"/>
        <v>0.15674840229455808</v>
      </c>
      <c r="Q64" s="43">
        <f t="shared" si="36"/>
        <v>0.16357844695052409</v>
      </c>
      <c r="R64" s="43">
        <f t="shared" si="36"/>
        <v>0.17235198437625265</v>
      </c>
      <c r="S64" s="43">
        <f t="shared" si="36"/>
        <v>0.17235198437625265</v>
      </c>
      <c r="T64" s="43">
        <f t="shared" si="36"/>
        <v>0.16642462550830503</v>
      </c>
      <c r="U64" s="43">
        <f t="shared" si="36"/>
        <v>0.16049726664035666</v>
      </c>
      <c r="V64" s="43">
        <f t="shared" si="36"/>
        <v>0.15456990777240828</v>
      </c>
      <c r="W64" s="43">
        <f t="shared" si="36"/>
        <v>0.14864254890445991</v>
      </c>
      <c r="X64" s="43">
        <f t="shared" si="36"/>
        <v>0.14271519003651156</v>
      </c>
      <c r="Y64" s="43">
        <f t="shared" si="36"/>
        <v>0.13678783116856302</v>
      </c>
      <c r="Z64" s="43">
        <f t="shared" si="36"/>
        <v>0.13699952255670406</v>
      </c>
      <c r="AA64" s="43">
        <f t="shared" si="36"/>
        <v>0.13721121394484503</v>
      </c>
      <c r="AB64" s="43">
        <f t="shared" si="36"/>
        <v>0.13742290533298607</v>
      </c>
      <c r="AC64" s="43">
        <f t="shared" si="36"/>
        <v>0.1376345967211271</v>
      </c>
      <c r="AD64" s="43">
        <f t="shared" si="36"/>
        <v>0.13784628810926808</v>
      </c>
      <c r="AE64" s="43">
        <f t="shared" si="36"/>
        <v>0.13805797949740914</v>
      </c>
      <c r="AF64" s="43">
        <f t="shared" si="36"/>
        <v>0.13826967088555012</v>
      </c>
      <c r="AG64" s="43">
        <f t="shared" si="36"/>
        <v>0.13848136227369115</v>
      </c>
      <c r="AH64" s="43">
        <f t="shared" si="36"/>
        <v>0.13869305366183218</v>
      </c>
      <c r="AI64" s="43">
        <f t="shared" si="36"/>
        <v>0.13890474504997316</v>
      </c>
      <c r="AJ64" s="43">
        <f t="shared" si="36"/>
        <v>0.13911643643811419</v>
      </c>
      <c r="AK64" s="43">
        <f t="shared" ref="AK64:BM64" si="37">AK25*$E$81</f>
        <v>0.13932812782625517</v>
      </c>
      <c r="AL64" s="43">
        <f t="shared" si="37"/>
        <v>0.13953981921439623</v>
      </c>
      <c r="AM64" s="43">
        <f t="shared" si="37"/>
        <v>0.13975151060253727</v>
      </c>
      <c r="AN64" s="43">
        <f t="shared" si="37"/>
        <v>0.13996320199067824</v>
      </c>
      <c r="AO64" s="43">
        <f t="shared" si="37"/>
        <v>0.14017489337881928</v>
      </c>
      <c r="AP64" s="43">
        <f t="shared" si="37"/>
        <v>0.14038658476696025</v>
      </c>
      <c r="AQ64" s="43">
        <f t="shared" si="37"/>
        <v>0.14059827615510129</v>
      </c>
      <c r="AR64" s="43">
        <f t="shared" si="37"/>
        <v>0.14080996754324232</v>
      </c>
      <c r="AS64" s="43">
        <f t="shared" si="37"/>
        <v>0.1410216589313833</v>
      </c>
      <c r="AT64" s="43">
        <f t="shared" si="37"/>
        <v>0.1410216589313833</v>
      </c>
      <c r="AU64" s="43">
        <f t="shared" si="37"/>
        <v>0.1410216589313833</v>
      </c>
      <c r="AV64" s="43">
        <f t="shared" si="37"/>
        <v>0.1410216589313833</v>
      </c>
      <c r="AW64" s="43">
        <f t="shared" si="37"/>
        <v>0.1410216589313833</v>
      </c>
      <c r="AX64" s="43">
        <f t="shared" si="37"/>
        <v>0.1410216589313833</v>
      </c>
      <c r="AY64" s="43">
        <f t="shared" si="37"/>
        <v>0.1410216589313833</v>
      </c>
      <c r="AZ64" s="43">
        <f t="shared" si="37"/>
        <v>0.1410216589313833</v>
      </c>
      <c r="BA64" s="43">
        <f t="shared" si="37"/>
        <v>0.1410216589313833</v>
      </c>
      <c r="BB64" s="43">
        <f t="shared" si="37"/>
        <v>0.1410216589313833</v>
      </c>
      <c r="BC64" s="43">
        <f t="shared" si="37"/>
        <v>0.1410216589313833</v>
      </c>
      <c r="BD64" s="43">
        <f t="shared" si="37"/>
        <v>0.1410216589313833</v>
      </c>
      <c r="BE64" s="43">
        <f t="shared" si="37"/>
        <v>0.1410216589313833</v>
      </c>
      <c r="BF64" s="43">
        <f t="shared" si="37"/>
        <v>0.1410216589313833</v>
      </c>
      <c r="BG64" s="43">
        <f t="shared" si="37"/>
        <v>0.1410216589313833</v>
      </c>
      <c r="BH64" s="43">
        <f t="shared" si="37"/>
        <v>0.1410216589313833</v>
      </c>
      <c r="BI64" s="43">
        <f t="shared" si="37"/>
        <v>0.1410216589313833</v>
      </c>
      <c r="BJ64" s="43">
        <f t="shared" si="37"/>
        <v>0.1410216589313833</v>
      </c>
      <c r="BK64" s="43">
        <f t="shared" si="37"/>
        <v>0.1410216589313833</v>
      </c>
      <c r="BL64" s="43">
        <f t="shared" si="37"/>
        <v>0.1410216589313833</v>
      </c>
      <c r="BM64" s="43">
        <f t="shared" si="37"/>
        <v>0.14035130286893691</v>
      </c>
      <c r="BN64" s="15"/>
    </row>
    <row r="65" spans="2:66" x14ac:dyDescent="0.3">
      <c r="B65" s="12"/>
      <c r="C65" s="14" t="s">
        <v>54</v>
      </c>
      <c r="D65" s="23" t="s">
        <v>52</v>
      </c>
      <c r="E65" s="43">
        <f t="shared" ref="E65:AJ65" si="38">E26*$E$81</f>
        <v>9.6648085441925685E-2</v>
      </c>
      <c r="F65" s="43">
        <f t="shared" si="38"/>
        <v>0.10485269651440927</v>
      </c>
      <c r="G65" s="43">
        <f t="shared" si="38"/>
        <v>0.11373899846972896</v>
      </c>
      <c r="H65" s="43">
        <f t="shared" si="38"/>
        <v>0.11750395854072827</v>
      </c>
      <c r="I65" s="43">
        <f t="shared" si="38"/>
        <v>0.10942925031487644</v>
      </c>
      <c r="J65" s="43">
        <f t="shared" si="38"/>
        <v>0.12974514346941304</v>
      </c>
      <c r="K65" s="43">
        <f t="shared" si="38"/>
        <v>0.1045485552627355</v>
      </c>
      <c r="L65" s="43">
        <f t="shared" si="38"/>
        <v>0.18198891675670489</v>
      </c>
      <c r="M65" s="43">
        <f t="shared" si="38"/>
        <v>0.17486310198057917</v>
      </c>
      <c r="N65" s="43">
        <f t="shared" si="38"/>
        <v>0.16545556226757749</v>
      </c>
      <c r="O65" s="43">
        <f t="shared" si="38"/>
        <v>0.16311282864254992</v>
      </c>
      <c r="P65" s="43">
        <f t="shared" si="38"/>
        <v>0.17035252630322556</v>
      </c>
      <c r="Q65" s="43">
        <f t="shared" si="38"/>
        <v>0.20126603531431092</v>
      </c>
      <c r="R65" s="43">
        <f t="shared" si="38"/>
        <v>0.17768577061906732</v>
      </c>
      <c r="S65" s="43">
        <f t="shared" si="38"/>
        <v>0.17768577061906732</v>
      </c>
      <c r="T65" s="43">
        <f t="shared" si="38"/>
        <v>0.17239233329941003</v>
      </c>
      <c r="U65" s="43">
        <f t="shared" si="38"/>
        <v>0.1670988959797535</v>
      </c>
      <c r="V65" s="43">
        <f t="shared" si="38"/>
        <v>0.16180545866009699</v>
      </c>
      <c r="W65" s="43">
        <f t="shared" si="38"/>
        <v>0.15651202134044045</v>
      </c>
      <c r="X65" s="43">
        <f t="shared" si="38"/>
        <v>0.15121858402078392</v>
      </c>
      <c r="Y65" s="43">
        <f t="shared" si="38"/>
        <v>0.14592514670112663</v>
      </c>
      <c r="Z65" s="43">
        <f t="shared" si="38"/>
        <v>0.14611419803397152</v>
      </c>
      <c r="AA65" s="43">
        <f t="shared" si="38"/>
        <v>0.14630324936681641</v>
      </c>
      <c r="AB65" s="43">
        <f t="shared" si="38"/>
        <v>0.14649230069966129</v>
      </c>
      <c r="AC65" s="43">
        <f t="shared" si="38"/>
        <v>0.14668135203250618</v>
      </c>
      <c r="AD65" s="43">
        <f t="shared" si="38"/>
        <v>0.14687040336535107</v>
      </c>
      <c r="AE65" s="43">
        <f t="shared" si="38"/>
        <v>0.14705945469819595</v>
      </c>
      <c r="AF65" s="43">
        <f t="shared" si="38"/>
        <v>0.14724850603104084</v>
      </c>
      <c r="AG65" s="43">
        <f t="shared" si="38"/>
        <v>0.14743755736388572</v>
      </c>
      <c r="AH65" s="43">
        <f t="shared" si="38"/>
        <v>0.14762660869673061</v>
      </c>
      <c r="AI65" s="43">
        <f t="shared" si="38"/>
        <v>0.14781566002957547</v>
      </c>
      <c r="AJ65" s="43">
        <f t="shared" si="38"/>
        <v>0.14800471136242035</v>
      </c>
      <c r="AK65" s="43">
        <f t="shared" ref="AK65:BM65" si="39">AK26*$E$81</f>
        <v>0.14819376269526524</v>
      </c>
      <c r="AL65" s="43">
        <f t="shared" si="39"/>
        <v>0.14838281402811013</v>
      </c>
      <c r="AM65" s="43">
        <f t="shared" si="39"/>
        <v>0.14857186536095501</v>
      </c>
      <c r="AN65" s="43">
        <f t="shared" si="39"/>
        <v>0.1487609166937999</v>
      </c>
      <c r="AO65" s="43">
        <f t="shared" si="39"/>
        <v>0.14894996802664479</v>
      </c>
      <c r="AP65" s="43">
        <f t="shared" si="39"/>
        <v>0.14913901935948967</v>
      </c>
      <c r="AQ65" s="43">
        <f t="shared" si="39"/>
        <v>0.14932807069233456</v>
      </c>
      <c r="AR65" s="43">
        <f t="shared" si="39"/>
        <v>0.14951712202517944</v>
      </c>
      <c r="AS65" s="43">
        <f t="shared" si="39"/>
        <v>0.14970617335802436</v>
      </c>
      <c r="AT65" s="43">
        <f t="shared" si="39"/>
        <v>0.14970617335802436</v>
      </c>
      <c r="AU65" s="43">
        <f t="shared" si="39"/>
        <v>0.14970617335802436</v>
      </c>
      <c r="AV65" s="43">
        <f t="shared" si="39"/>
        <v>0.14970617335802436</v>
      </c>
      <c r="AW65" s="43">
        <f t="shared" si="39"/>
        <v>0.14970617335802436</v>
      </c>
      <c r="AX65" s="43">
        <f t="shared" si="39"/>
        <v>0.14970617335802436</v>
      </c>
      <c r="AY65" s="43">
        <f t="shared" si="39"/>
        <v>0.14970617335802436</v>
      </c>
      <c r="AZ65" s="43">
        <f t="shared" si="39"/>
        <v>0.14970617335802436</v>
      </c>
      <c r="BA65" s="43">
        <f t="shared" si="39"/>
        <v>0.14970617335802436</v>
      </c>
      <c r="BB65" s="43">
        <f t="shared" si="39"/>
        <v>0.14970617335802436</v>
      </c>
      <c r="BC65" s="43">
        <f t="shared" si="39"/>
        <v>0.14970617335802436</v>
      </c>
      <c r="BD65" s="43">
        <f t="shared" si="39"/>
        <v>0.14970617335802436</v>
      </c>
      <c r="BE65" s="43">
        <f t="shared" si="39"/>
        <v>0.14970617335802436</v>
      </c>
      <c r="BF65" s="43">
        <f t="shared" si="39"/>
        <v>0.14970617335802436</v>
      </c>
      <c r="BG65" s="43">
        <f t="shared" si="39"/>
        <v>0.14970617335802436</v>
      </c>
      <c r="BH65" s="43">
        <f t="shared" si="39"/>
        <v>0.14970617335802436</v>
      </c>
      <c r="BI65" s="43">
        <f t="shared" si="39"/>
        <v>0.14970617335802436</v>
      </c>
      <c r="BJ65" s="43">
        <f t="shared" si="39"/>
        <v>0.14970617335802436</v>
      </c>
      <c r="BK65" s="43">
        <f t="shared" si="39"/>
        <v>0.14970617335802436</v>
      </c>
      <c r="BL65" s="43">
        <f t="shared" si="39"/>
        <v>0.14970617335802436</v>
      </c>
      <c r="BM65" s="43">
        <f t="shared" si="39"/>
        <v>0.14910751080401555</v>
      </c>
      <c r="BN65" s="15"/>
    </row>
    <row r="66" spans="2:66" x14ac:dyDescent="0.3">
      <c r="B66" s="12"/>
      <c r="C66" s="14" t="s">
        <v>55</v>
      </c>
      <c r="D66" s="23" t="s">
        <v>25</v>
      </c>
      <c r="E66" s="43">
        <f t="shared" ref="E66:AJ66" si="40">E27*$E$81</f>
        <v>3.872357351038525</v>
      </c>
      <c r="F66" s="43">
        <f t="shared" si="40"/>
        <v>3.8601104773319297</v>
      </c>
      <c r="G66" s="43">
        <f t="shared" si="40"/>
        <v>3.8479999418019033</v>
      </c>
      <c r="H66" s="43">
        <f t="shared" si="40"/>
        <v>3.8348651378950116</v>
      </c>
      <c r="I66" s="43">
        <f t="shared" si="40"/>
        <v>3.845096974240036</v>
      </c>
      <c r="J66" s="43">
        <f t="shared" si="40"/>
        <v>3.8247566776102397</v>
      </c>
      <c r="K66" s="43">
        <f t="shared" si="40"/>
        <v>3.8514418778078205</v>
      </c>
      <c r="L66" s="43">
        <f t="shared" si="40"/>
        <v>3.7281717897742475</v>
      </c>
      <c r="M66" s="43">
        <f t="shared" si="40"/>
        <v>3.7288453256914429</v>
      </c>
      <c r="N66" s="43">
        <f t="shared" si="40"/>
        <v>3.7489269454834764</v>
      </c>
      <c r="O66" s="43">
        <f t="shared" si="40"/>
        <v>3.7484583987584714</v>
      </c>
      <c r="P66" s="43">
        <f t="shared" si="40"/>
        <v>3.740144948186324</v>
      </c>
      <c r="Q66" s="43">
        <f t="shared" si="40"/>
        <v>3.7024013945192724</v>
      </c>
      <c r="R66" s="43">
        <f t="shared" si="40"/>
        <v>3.7172081217887891</v>
      </c>
      <c r="S66" s="43">
        <f t="shared" si="40"/>
        <v>3.7356700717125593</v>
      </c>
      <c r="T66" s="43">
        <f t="shared" si="40"/>
        <v>3.7284289179763932</v>
      </c>
      <c r="U66" s="43">
        <f t="shared" si="40"/>
        <v>3.7396497141639982</v>
      </c>
      <c r="V66" s="43">
        <f t="shared" si="40"/>
        <v>3.7508705103516031</v>
      </c>
      <c r="W66" s="43">
        <f t="shared" si="40"/>
        <v>3.7620913065392076</v>
      </c>
      <c r="X66" s="43">
        <f t="shared" si="40"/>
        <v>3.7733121027268126</v>
      </c>
      <c r="Y66" s="43">
        <f t="shared" si="40"/>
        <v>3.7845328989144185</v>
      </c>
      <c r="Z66" s="43">
        <f t="shared" si="40"/>
        <v>3.7841321561934329</v>
      </c>
      <c r="AA66" s="43">
        <f t="shared" si="40"/>
        <v>3.7837314134724465</v>
      </c>
      <c r="AB66" s="43">
        <f t="shared" si="40"/>
        <v>3.7833306707514609</v>
      </c>
      <c r="AC66" s="43">
        <f t="shared" si="40"/>
        <v>3.7829299280304749</v>
      </c>
      <c r="AD66" s="43">
        <f t="shared" si="40"/>
        <v>3.7825291853094893</v>
      </c>
      <c r="AE66" s="43">
        <f t="shared" si="40"/>
        <v>3.7821284425885029</v>
      </c>
      <c r="AF66" s="43">
        <f t="shared" si="40"/>
        <v>3.7817276998675173</v>
      </c>
      <c r="AG66" s="43">
        <f t="shared" si="40"/>
        <v>3.7813269571465318</v>
      </c>
      <c r="AH66" s="43">
        <f t="shared" si="40"/>
        <v>3.7809262144255453</v>
      </c>
      <c r="AI66" s="43">
        <f t="shared" si="40"/>
        <v>3.7805254717045598</v>
      </c>
      <c r="AJ66" s="43">
        <f t="shared" si="40"/>
        <v>3.7801247289835738</v>
      </c>
      <c r="AK66" s="43">
        <f t="shared" ref="AK66:BM66" si="41">AK27*$E$81</f>
        <v>3.7797239862625873</v>
      </c>
      <c r="AL66" s="43">
        <f t="shared" si="41"/>
        <v>3.7793232435416018</v>
      </c>
      <c r="AM66" s="43">
        <f t="shared" si="41"/>
        <v>3.7789225008206158</v>
      </c>
      <c r="AN66" s="43">
        <f t="shared" si="41"/>
        <v>3.7785217580996302</v>
      </c>
      <c r="AO66" s="43">
        <f t="shared" si="41"/>
        <v>3.7781210153786442</v>
      </c>
      <c r="AP66" s="43">
        <f t="shared" si="41"/>
        <v>3.7777202726576586</v>
      </c>
      <c r="AQ66" s="43">
        <f t="shared" si="41"/>
        <v>3.7773195299366722</v>
      </c>
      <c r="AR66" s="43">
        <f t="shared" si="41"/>
        <v>3.7769187872156862</v>
      </c>
      <c r="AS66" s="43">
        <f t="shared" si="41"/>
        <v>3.7765180444947006</v>
      </c>
      <c r="AT66" s="43">
        <f t="shared" si="41"/>
        <v>3.7765180444947006</v>
      </c>
      <c r="AU66" s="43">
        <f t="shared" si="41"/>
        <v>3.7765180444947006</v>
      </c>
      <c r="AV66" s="43">
        <f t="shared" si="41"/>
        <v>3.7765180444947006</v>
      </c>
      <c r="AW66" s="43">
        <f t="shared" si="41"/>
        <v>3.7765180444947006</v>
      </c>
      <c r="AX66" s="43">
        <f t="shared" si="41"/>
        <v>3.7765180444947006</v>
      </c>
      <c r="AY66" s="43">
        <f t="shared" si="41"/>
        <v>3.7765180444947006</v>
      </c>
      <c r="AZ66" s="43">
        <f t="shared" si="41"/>
        <v>3.7765180444947006</v>
      </c>
      <c r="BA66" s="43">
        <f t="shared" si="41"/>
        <v>3.7765180444947006</v>
      </c>
      <c r="BB66" s="43">
        <f t="shared" si="41"/>
        <v>3.7765180444947006</v>
      </c>
      <c r="BC66" s="43">
        <f t="shared" si="41"/>
        <v>3.7765180444947006</v>
      </c>
      <c r="BD66" s="43">
        <f t="shared" si="41"/>
        <v>3.7765180444947006</v>
      </c>
      <c r="BE66" s="43">
        <f t="shared" si="41"/>
        <v>3.7765180444947006</v>
      </c>
      <c r="BF66" s="43">
        <f t="shared" si="41"/>
        <v>3.7765180444947006</v>
      </c>
      <c r="BG66" s="43">
        <f t="shared" si="41"/>
        <v>3.7765180444947006</v>
      </c>
      <c r="BH66" s="43">
        <f t="shared" si="41"/>
        <v>3.7765180444947006</v>
      </c>
      <c r="BI66" s="43">
        <f t="shared" si="41"/>
        <v>3.7765180444947006</v>
      </c>
      <c r="BJ66" s="43">
        <f t="shared" si="41"/>
        <v>3.7765180444947006</v>
      </c>
      <c r="BK66" s="43">
        <f t="shared" si="41"/>
        <v>3.7765180444947006</v>
      </c>
      <c r="BL66" s="43">
        <f t="shared" si="41"/>
        <v>3.7765180444947006</v>
      </c>
      <c r="BM66" s="43">
        <f t="shared" si="41"/>
        <v>3.7777870631111554</v>
      </c>
      <c r="BN66" s="15"/>
    </row>
    <row r="67" spans="2:66" x14ac:dyDescent="0.3">
      <c r="B67" s="12"/>
      <c r="C67" s="14" t="s">
        <v>139</v>
      </c>
      <c r="D67" s="23" t="s">
        <v>140</v>
      </c>
      <c r="E67" s="43">
        <f t="shared" ref="E67:AJ67" si="42">E28*$E$81</f>
        <v>9.1000000000000004E-3</v>
      </c>
      <c r="F67" s="43">
        <f t="shared" si="42"/>
        <v>9.1000000000000004E-3</v>
      </c>
      <c r="G67" s="43">
        <f t="shared" si="42"/>
        <v>9.1000000000000004E-3</v>
      </c>
      <c r="H67" s="43">
        <f t="shared" si="42"/>
        <v>9.1000000000000004E-3</v>
      </c>
      <c r="I67" s="43">
        <f t="shared" si="42"/>
        <v>9.1000000000000004E-3</v>
      </c>
      <c r="J67" s="43">
        <f t="shared" si="42"/>
        <v>9.1000000000000004E-3</v>
      </c>
      <c r="K67" s="43">
        <f t="shared" si="42"/>
        <v>9.1000000000000004E-3</v>
      </c>
      <c r="L67" s="43">
        <f t="shared" si="42"/>
        <v>9.1000000000000004E-3</v>
      </c>
      <c r="M67" s="43">
        <f t="shared" si="42"/>
        <v>9.1000000000000004E-3</v>
      </c>
      <c r="N67" s="43">
        <f t="shared" si="42"/>
        <v>9.1000000000000004E-3</v>
      </c>
      <c r="O67" s="43">
        <f t="shared" si="42"/>
        <v>9.1000000000000004E-3</v>
      </c>
      <c r="P67" s="43">
        <f t="shared" si="42"/>
        <v>9.1000000000000004E-3</v>
      </c>
      <c r="Q67" s="43">
        <f t="shared" si="42"/>
        <v>9.1000000000000004E-3</v>
      </c>
      <c r="R67" s="43">
        <f t="shared" si="42"/>
        <v>9.1000000000000004E-3</v>
      </c>
      <c r="S67" s="43">
        <f t="shared" si="42"/>
        <v>9.1000000000000004E-3</v>
      </c>
      <c r="T67" s="43">
        <f t="shared" si="42"/>
        <v>9.1000000000000004E-3</v>
      </c>
      <c r="U67" s="43">
        <f t="shared" si="42"/>
        <v>9.1000000000000004E-3</v>
      </c>
      <c r="V67" s="43">
        <f t="shared" si="42"/>
        <v>9.1000000000000004E-3</v>
      </c>
      <c r="W67" s="43">
        <f t="shared" si="42"/>
        <v>9.1000000000000004E-3</v>
      </c>
      <c r="X67" s="43">
        <f t="shared" si="42"/>
        <v>9.1000000000000004E-3</v>
      </c>
      <c r="Y67" s="43">
        <f t="shared" si="42"/>
        <v>9.1000000000000004E-3</v>
      </c>
      <c r="Z67" s="43">
        <f t="shared" si="42"/>
        <v>9.1000000000000004E-3</v>
      </c>
      <c r="AA67" s="43">
        <f t="shared" si="42"/>
        <v>9.1000000000000004E-3</v>
      </c>
      <c r="AB67" s="43">
        <f t="shared" si="42"/>
        <v>9.1000000000000004E-3</v>
      </c>
      <c r="AC67" s="43">
        <f t="shared" si="42"/>
        <v>9.1000000000000004E-3</v>
      </c>
      <c r="AD67" s="43">
        <f t="shared" si="42"/>
        <v>9.1000000000000004E-3</v>
      </c>
      <c r="AE67" s="43">
        <f t="shared" si="42"/>
        <v>9.1000000000000004E-3</v>
      </c>
      <c r="AF67" s="43">
        <f t="shared" si="42"/>
        <v>9.1000000000000004E-3</v>
      </c>
      <c r="AG67" s="43">
        <f t="shared" si="42"/>
        <v>9.1000000000000004E-3</v>
      </c>
      <c r="AH67" s="43">
        <f t="shared" si="42"/>
        <v>9.1000000000000004E-3</v>
      </c>
      <c r="AI67" s="43">
        <f t="shared" si="42"/>
        <v>9.1000000000000004E-3</v>
      </c>
      <c r="AJ67" s="43">
        <f t="shared" si="42"/>
        <v>9.1000000000000004E-3</v>
      </c>
      <c r="AK67" s="43">
        <f t="shared" ref="AK67:BM67" si="43">AK28*$E$81</f>
        <v>9.1000000000000004E-3</v>
      </c>
      <c r="AL67" s="43">
        <f t="shared" si="43"/>
        <v>9.1000000000000004E-3</v>
      </c>
      <c r="AM67" s="43">
        <f t="shared" si="43"/>
        <v>9.1000000000000004E-3</v>
      </c>
      <c r="AN67" s="43">
        <f t="shared" si="43"/>
        <v>9.1000000000000004E-3</v>
      </c>
      <c r="AO67" s="43">
        <f t="shared" si="43"/>
        <v>9.1000000000000004E-3</v>
      </c>
      <c r="AP67" s="43">
        <f t="shared" si="43"/>
        <v>9.1000000000000004E-3</v>
      </c>
      <c r="AQ67" s="43">
        <f t="shared" si="43"/>
        <v>9.1000000000000004E-3</v>
      </c>
      <c r="AR67" s="43">
        <f t="shared" si="43"/>
        <v>9.1000000000000004E-3</v>
      </c>
      <c r="AS67" s="43">
        <f t="shared" si="43"/>
        <v>9.1000000000000004E-3</v>
      </c>
      <c r="AT67" s="43">
        <f t="shared" si="43"/>
        <v>9.1000000000000004E-3</v>
      </c>
      <c r="AU67" s="43">
        <f t="shared" si="43"/>
        <v>9.1000000000000004E-3</v>
      </c>
      <c r="AV67" s="43">
        <f t="shared" si="43"/>
        <v>9.1000000000000004E-3</v>
      </c>
      <c r="AW67" s="43">
        <f t="shared" si="43"/>
        <v>9.1000000000000004E-3</v>
      </c>
      <c r="AX67" s="43">
        <f t="shared" si="43"/>
        <v>9.1000000000000004E-3</v>
      </c>
      <c r="AY67" s="43">
        <f t="shared" si="43"/>
        <v>9.1000000000000004E-3</v>
      </c>
      <c r="AZ67" s="43">
        <f t="shared" si="43"/>
        <v>9.1000000000000004E-3</v>
      </c>
      <c r="BA67" s="43">
        <f t="shared" si="43"/>
        <v>9.1000000000000004E-3</v>
      </c>
      <c r="BB67" s="43">
        <f t="shared" si="43"/>
        <v>9.1000000000000004E-3</v>
      </c>
      <c r="BC67" s="43">
        <f t="shared" si="43"/>
        <v>9.1000000000000004E-3</v>
      </c>
      <c r="BD67" s="43">
        <f t="shared" si="43"/>
        <v>9.1000000000000004E-3</v>
      </c>
      <c r="BE67" s="43">
        <f t="shared" si="43"/>
        <v>9.1000000000000004E-3</v>
      </c>
      <c r="BF67" s="43">
        <f t="shared" si="43"/>
        <v>9.1000000000000004E-3</v>
      </c>
      <c r="BG67" s="43">
        <f t="shared" si="43"/>
        <v>9.1000000000000004E-3</v>
      </c>
      <c r="BH67" s="43">
        <f t="shared" si="43"/>
        <v>9.1000000000000004E-3</v>
      </c>
      <c r="BI67" s="43">
        <f t="shared" si="43"/>
        <v>9.1000000000000004E-3</v>
      </c>
      <c r="BJ67" s="43">
        <f t="shared" si="43"/>
        <v>9.1000000000000004E-3</v>
      </c>
      <c r="BK67" s="43">
        <f t="shared" si="43"/>
        <v>9.1000000000000004E-3</v>
      </c>
      <c r="BL67" s="43">
        <f t="shared" si="43"/>
        <v>9.1000000000000004E-3</v>
      </c>
      <c r="BM67" s="43">
        <f t="shared" si="43"/>
        <v>9.1000000000000004E-3</v>
      </c>
      <c r="BN67" s="15"/>
    </row>
    <row r="68" spans="2:66" x14ac:dyDescent="0.3">
      <c r="B68" s="12"/>
      <c r="C68" s="14"/>
      <c r="D68" s="14"/>
      <c r="E68" s="44">
        <f t="shared" ref="E68:AJ68" si="44">E29*E81</f>
        <v>4.0672458767841091</v>
      </c>
      <c r="F68" s="44">
        <f t="shared" si="44"/>
        <v>4.2162448360550338</v>
      </c>
      <c r="G68" s="44">
        <f t="shared" si="44"/>
        <v>4.3482153428378556</v>
      </c>
      <c r="H68" s="44">
        <f t="shared" si="44"/>
        <v>4.9634533312331239</v>
      </c>
      <c r="I68" s="44">
        <f t="shared" si="44"/>
        <v>5.6248384258711583</v>
      </c>
      <c r="J68" s="44">
        <f t="shared" si="44"/>
        <v>5.2972109999999999</v>
      </c>
      <c r="K68" s="44">
        <f t="shared" si="44"/>
        <v>5.0569395353928259</v>
      </c>
      <c r="L68" s="44">
        <f t="shared" si="44"/>
        <v>5.0416139281535308</v>
      </c>
      <c r="M68" s="44">
        <f t="shared" si="44"/>
        <v>5.042124781728174</v>
      </c>
      <c r="N68" s="44">
        <f t="shared" si="44"/>
        <v>5.0625589247138993</v>
      </c>
      <c r="O68" s="44">
        <f t="shared" si="44"/>
        <v>5.0826524986498667</v>
      </c>
      <c r="P68" s="44">
        <f t="shared" si="44"/>
        <v>5.0809549117557227</v>
      </c>
      <c r="Q68" s="44">
        <f t="shared" si="44"/>
        <v>5.024</v>
      </c>
      <c r="R68" s="44">
        <f t="shared" si="44"/>
        <v>5.1685634338124924</v>
      </c>
      <c r="S68" s="44">
        <f t="shared" si="44"/>
        <v>5.3423654343228328</v>
      </c>
      <c r="T68" s="44">
        <f t="shared" si="44"/>
        <v>5.4711369419171829</v>
      </c>
      <c r="U68" s="44">
        <f t="shared" si="44"/>
        <v>5.6266965960773829</v>
      </c>
      <c r="V68" s="44">
        <f t="shared" si="44"/>
        <v>5.784625773360573</v>
      </c>
      <c r="W68" s="44">
        <f t="shared" si="44"/>
        <v>5.9446357997363464</v>
      </c>
      <c r="X68" s="44">
        <f t="shared" si="44"/>
        <v>6.1064840769537838</v>
      </c>
      <c r="Y68" s="44">
        <f t="shared" si="44"/>
        <v>6.2700131699464112</v>
      </c>
      <c r="Z68" s="44">
        <f t="shared" si="44"/>
        <v>7.746539510069991</v>
      </c>
      <c r="AA68" s="44">
        <f t="shared" si="44"/>
        <v>7.8706083916299852</v>
      </c>
      <c r="AB68" s="44">
        <f t="shared" si="44"/>
        <v>7.9951299518475052</v>
      </c>
      <c r="AC68" s="44">
        <f t="shared" si="44"/>
        <v>8.1199589570399979</v>
      </c>
      <c r="AD68" s="44">
        <f t="shared" si="44"/>
        <v>8.2449715762124924</v>
      </c>
      <c r="AE68" s="44">
        <f t="shared" si="44"/>
        <v>8.3700029713499919</v>
      </c>
      <c r="AF68" s="44">
        <f t="shared" si="44"/>
        <v>8.494898590684981</v>
      </c>
      <c r="AG68" s="44">
        <f t="shared" si="44"/>
        <v>8.619448543339999</v>
      </c>
      <c r="AH68" s="44">
        <f t="shared" si="44"/>
        <v>8.7434326801124929</v>
      </c>
      <c r="AI68" s="44">
        <f t="shared" si="44"/>
        <v>8.8667092647499874</v>
      </c>
      <c r="AJ68" s="44">
        <f t="shared" si="44"/>
        <v>8.9891083662099796</v>
      </c>
      <c r="AK68" s="44">
        <f t="shared" ref="AK68:BM68" si="45">AK29*AK81</f>
        <v>9.1104639479999996</v>
      </c>
      <c r="AL68" s="44">
        <f t="shared" si="45"/>
        <v>9.2306420943574938</v>
      </c>
      <c r="AM68" s="44">
        <f t="shared" si="45"/>
        <v>9.3495142681599859</v>
      </c>
      <c r="AN68" s="44">
        <f t="shared" si="45"/>
        <v>9.4669603659749839</v>
      </c>
      <c r="AO68" s="44">
        <f t="shared" si="45"/>
        <v>9.5828709766800042</v>
      </c>
      <c r="AP68" s="44">
        <f t="shared" si="45"/>
        <v>9.6971381208649987</v>
      </c>
      <c r="AQ68" s="44">
        <f t="shared" si="45"/>
        <v>9.8096581775849891</v>
      </c>
      <c r="AR68" s="44">
        <f t="shared" si="45"/>
        <v>9.9203391752349859</v>
      </c>
      <c r="AS68" s="44">
        <f t="shared" si="45"/>
        <v>10.0318424635</v>
      </c>
      <c r="AT68" s="44">
        <f t="shared" si="45"/>
        <v>10.171669202918991</v>
      </c>
      <c r="AU68" s="44">
        <f t="shared" si="45"/>
        <v>10.308130869951983</v>
      </c>
      <c r="AV68" s="44">
        <f t="shared" si="45"/>
        <v>10.441039360112374</v>
      </c>
      <c r="AW68" s="44">
        <f t="shared" si="45"/>
        <v>10.570209569450736</v>
      </c>
      <c r="AX68" s="44">
        <f t="shared" si="45"/>
        <v>10.695459820185489</v>
      </c>
      <c r="AY68" s="44">
        <f t="shared" si="45"/>
        <v>10.816612283072679</v>
      </c>
      <c r="AZ68" s="44">
        <f t="shared" si="45"/>
        <v>10.933493395153139</v>
      </c>
      <c r="BA68" s="44">
        <f t="shared" si="45"/>
        <v>11.045934271514517</v>
      </c>
      <c r="BB68" s="44">
        <f t="shared" si="45"/>
        <v>11.153771109710332</v>
      </c>
      <c r="BC68" s="44">
        <f t="shared" si="45"/>
        <v>11.256845585488778</v>
      </c>
      <c r="BD68" s="44">
        <f t="shared" si="45"/>
        <v>11.3550052385001</v>
      </c>
      <c r="BE68" s="44">
        <f t="shared" si="45"/>
        <v>11.448103846673364</v>
      </c>
      <c r="BF68" s="44">
        <f t="shared" si="45"/>
        <v>11.536001787981036</v>
      </c>
      <c r="BG68" s="44">
        <f t="shared" si="45"/>
        <v>11.618566388342982</v>
      </c>
      <c r="BH68" s="44">
        <f t="shared" si="45"/>
        <v>11.695672254460293</v>
      </c>
      <c r="BI68" s="44">
        <f t="shared" si="45"/>
        <v>11.767201590413343</v>
      </c>
      <c r="BJ68" s="44">
        <f t="shared" si="45"/>
        <v>11.833044496908096</v>
      </c>
      <c r="BK68" s="44">
        <f t="shared" si="45"/>
        <v>11.893099252108728</v>
      </c>
      <c r="BL68" s="44">
        <f t="shared" si="45"/>
        <v>11.947272573054233</v>
      </c>
      <c r="BM68" s="44">
        <f t="shared" si="45"/>
        <v>11.995479856720202</v>
      </c>
      <c r="BN68" s="15"/>
    </row>
    <row r="69" spans="2:66" x14ac:dyDescent="0.3">
      <c r="B69" s="12"/>
      <c r="C69" s="13" t="s">
        <v>193</v>
      </c>
      <c r="D69" s="13"/>
      <c r="E69" s="44"/>
      <c r="F69" s="44"/>
      <c r="G69" s="44"/>
      <c r="H69" s="44"/>
      <c r="I69" s="44"/>
      <c r="J69" s="44"/>
      <c r="K69" s="44"/>
      <c r="L69" s="44"/>
      <c r="M69" s="44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  <c r="AU69" s="43"/>
      <c r="AV69" s="43"/>
      <c r="AW69" s="43"/>
      <c r="AX69" s="43"/>
      <c r="AY69" s="43"/>
      <c r="AZ69" s="43"/>
      <c r="BA69" s="43"/>
      <c r="BB69" s="43"/>
      <c r="BC69" s="43"/>
      <c r="BD69" s="43"/>
      <c r="BE69" s="43"/>
      <c r="BF69" s="43"/>
      <c r="BG69" s="43"/>
      <c r="BH69" s="43"/>
      <c r="BI69" s="43"/>
      <c r="BJ69" s="43"/>
      <c r="BK69" s="43"/>
      <c r="BL69" s="43"/>
      <c r="BM69" s="43"/>
      <c r="BN69" s="15"/>
    </row>
    <row r="70" spans="2:66" x14ac:dyDescent="0.3">
      <c r="B70" s="12"/>
      <c r="C70" s="14" t="s">
        <v>64</v>
      </c>
      <c r="D70" s="14" t="s">
        <v>27</v>
      </c>
      <c r="E70" s="43">
        <f t="shared" ref="E70:AJ70" si="46">E31*$E$81</f>
        <v>0.19329617088385123</v>
      </c>
      <c r="F70" s="43">
        <f t="shared" si="46"/>
        <v>0.20970539302881838</v>
      </c>
      <c r="G70" s="43">
        <f t="shared" si="46"/>
        <v>0.22747799693945783</v>
      </c>
      <c r="H70" s="43">
        <f t="shared" si="46"/>
        <v>0.23500791708145669</v>
      </c>
      <c r="I70" s="43">
        <f t="shared" si="46"/>
        <v>0.21885850062975284</v>
      </c>
      <c r="J70" s="43">
        <f t="shared" si="46"/>
        <v>0.25949028693882609</v>
      </c>
      <c r="K70" s="43">
        <f t="shared" si="46"/>
        <v>0.209097110525471</v>
      </c>
      <c r="L70" s="43">
        <f t="shared" si="46"/>
        <v>0.36397783351340984</v>
      </c>
      <c r="M70" s="43">
        <f t="shared" si="46"/>
        <v>0.34972620396115833</v>
      </c>
      <c r="N70" s="43">
        <f t="shared" si="46"/>
        <v>0.33091112453515503</v>
      </c>
      <c r="O70" s="43">
        <f t="shared" si="46"/>
        <v>0.32622565728509978</v>
      </c>
      <c r="P70" s="43">
        <f t="shared" si="46"/>
        <v>0.34070505260645118</v>
      </c>
      <c r="Q70" s="43">
        <f t="shared" si="46"/>
        <v>0.40253207062862173</v>
      </c>
      <c r="R70" s="43">
        <f t="shared" si="46"/>
        <v>0.35537154123813464</v>
      </c>
      <c r="S70" s="43">
        <f t="shared" si="46"/>
        <v>0.35537154123813464</v>
      </c>
      <c r="T70" s="43">
        <f t="shared" si="46"/>
        <v>0.35537154123813464</v>
      </c>
      <c r="U70" s="43">
        <f t="shared" si="46"/>
        <v>0.35537154123813464</v>
      </c>
      <c r="V70" s="43">
        <f t="shared" si="46"/>
        <v>0.35537154123813464</v>
      </c>
      <c r="W70" s="43">
        <f t="shared" si="46"/>
        <v>0.35537154123813464</v>
      </c>
      <c r="X70" s="43">
        <f t="shared" si="46"/>
        <v>0.35537154123813464</v>
      </c>
      <c r="Y70" s="43">
        <f t="shared" si="46"/>
        <v>0.35537154123813464</v>
      </c>
      <c r="Z70" s="43">
        <f t="shared" si="46"/>
        <v>0.35537154123813464</v>
      </c>
      <c r="AA70" s="43">
        <f t="shared" si="46"/>
        <v>0.35537154123813464</v>
      </c>
      <c r="AB70" s="43">
        <f t="shared" si="46"/>
        <v>0.35537154123813464</v>
      </c>
      <c r="AC70" s="43">
        <f t="shared" si="46"/>
        <v>0.35537154123813464</v>
      </c>
      <c r="AD70" s="43">
        <f t="shared" si="46"/>
        <v>0.35537154123813464</v>
      </c>
      <c r="AE70" s="43">
        <f t="shared" si="46"/>
        <v>0.35537154123813464</v>
      </c>
      <c r="AF70" s="43">
        <f t="shared" si="46"/>
        <v>0.35537154123813464</v>
      </c>
      <c r="AG70" s="43">
        <f t="shared" si="46"/>
        <v>0.35537154123813464</v>
      </c>
      <c r="AH70" s="43">
        <f t="shared" si="46"/>
        <v>0.35537154123813464</v>
      </c>
      <c r="AI70" s="43">
        <f t="shared" si="46"/>
        <v>0.35537154123813464</v>
      </c>
      <c r="AJ70" s="43">
        <f t="shared" si="46"/>
        <v>0.35537154123813464</v>
      </c>
      <c r="AK70" s="43">
        <f t="shared" ref="AK70:BM70" si="47">AK31*$E$81</f>
        <v>0.35537154123813464</v>
      </c>
      <c r="AL70" s="43">
        <f t="shared" si="47"/>
        <v>0.35537154123813464</v>
      </c>
      <c r="AM70" s="43">
        <f t="shared" si="47"/>
        <v>0.35537154123813464</v>
      </c>
      <c r="AN70" s="43">
        <f t="shared" si="47"/>
        <v>0.35537154123813464</v>
      </c>
      <c r="AO70" s="43">
        <f t="shared" si="47"/>
        <v>0.35537154123813464</v>
      </c>
      <c r="AP70" s="43">
        <f t="shared" si="47"/>
        <v>0.35537154123813464</v>
      </c>
      <c r="AQ70" s="43">
        <f t="shared" si="47"/>
        <v>0.35537154123813464</v>
      </c>
      <c r="AR70" s="43">
        <f t="shared" si="47"/>
        <v>0.35537154123813464</v>
      </c>
      <c r="AS70" s="43">
        <f t="shared" si="47"/>
        <v>0.35537154123813464</v>
      </c>
      <c r="AT70" s="43">
        <f t="shared" si="47"/>
        <v>0.35537154123813464</v>
      </c>
      <c r="AU70" s="43">
        <f t="shared" si="47"/>
        <v>0.35537154123813464</v>
      </c>
      <c r="AV70" s="43">
        <f t="shared" si="47"/>
        <v>0.35537154123813464</v>
      </c>
      <c r="AW70" s="43">
        <f t="shared" si="47"/>
        <v>0.35537154123813464</v>
      </c>
      <c r="AX70" s="43">
        <f t="shared" si="47"/>
        <v>0.35537154123813464</v>
      </c>
      <c r="AY70" s="43">
        <f t="shared" si="47"/>
        <v>0.35537154123813464</v>
      </c>
      <c r="AZ70" s="43">
        <f t="shared" si="47"/>
        <v>0.35537154123813464</v>
      </c>
      <c r="BA70" s="43">
        <f t="shared" si="47"/>
        <v>0.35537154123813464</v>
      </c>
      <c r="BB70" s="43">
        <f t="shared" si="47"/>
        <v>0.35537154123813464</v>
      </c>
      <c r="BC70" s="43">
        <f t="shared" si="47"/>
        <v>0.35537154123813464</v>
      </c>
      <c r="BD70" s="43">
        <f t="shared" si="47"/>
        <v>0.35537154123813464</v>
      </c>
      <c r="BE70" s="43">
        <f t="shared" si="47"/>
        <v>0.35537154123813464</v>
      </c>
      <c r="BF70" s="43">
        <f t="shared" si="47"/>
        <v>0.35537154123813464</v>
      </c>
      <c r="BG70" s="43">
        <f t="shared" si="47"/>
        <v>0.35537154123813464</v>
      </c>
      <c r="BH70" s="43">
        <f t="shared" si="47"/>
        <v>0.35537154123813464</v>
      </c>
      <c r="BI70" s="43">
        <f t="shared" si="47"/>
        <v>0.35537154123813464</v>
      </c>
      <c r="BJ70" s="43">
        <f t="shared" si="47"/>
        <v>0.35537154123813464</v>
      </c>
      <c r="BK70" s="43">
        <f t="shared" si="47"/>
        <v>0.35537154123813464</v>
      </c>
      <c r="BL70" s="43">
        <f t="shared" si="47"/>
        <v>0.35537154123813464</v>
      </c>
      <c r="BM70" s="43">
        <f t="shared" si="47"/>
        <v>0.35537154123813464</v>
      </c>
      <c r="BN70" s="15"/>
    </row>
    <row r="71" spans="2:66" x14ac:dyDescent="0.3">
      <c r="B71" s="12"/>
      <c r="C71" s="14" t="s">
        <v>65</v>
      </c>
      <c r="D71" s="14" t="s">
        <v>28</v>
      </c>
      <c r="E71" s="43">
        <f t="shared" ref="E71:AJ71" si="48">E32*$E$81</f>
        <v>0.16373406717276351</v>
      </c>
      <c r="F71" s="43">
        <f t="shared" si="48"/>
        <v>0.17047117156294841</v>
      </c>
      <c r="G71" s="43">
        <f t="shared" si="48"/>
        <v>0.17584489418746055</v>
      </c>
      <c r="H71" s="43">
        <f t="shared" si="48"/>
        <v>0.1914613005806137</v>
      </c>
      <c r="I71" s="43">
        <f t="shared" si="48"/>
        <v>0.18786608704865795</v>
      </c>
      <c r="J71" s="43">
        <f t="shared" si="48"/>
        <v>0.1879067595074258</v>
      </c>
      <c r="K71" s="43">
        <f t="shared" si="48"/>
        <v>0.18542573952258748</v>
      </c>
      <c r="L71" s="43">
        <f t="shared" si="48"/>
        <v>0.26180861708859304</v>
      </c>
      <c r="M71" s="43">
        <f t="shared" si="48"/>
        <v>0.27256241518681024</v>
      </c>
      <c r="N71" s="43">
        <f t="shared" si="48"/>
        <v>0.25477228172175653</v>
      </c>
      <c r="O71" s="43">
        <f t="shared" si="48"/>
        <v>0.25945774897181184</v>
      </c>
      <c r="P71" s="43">
        <f t="shared" si="48"/>
        <v>0.26124733715759685</v>
      </c>
      <c r="Q71" s="43">
        <f t="shared" si="48"/>
        <v>0.27263074491754019</v>
      </c>
      <c r="R71" s="43">
        <f t="shared" si="48"/>
        <v>0.28725330729375442</v>
      </c>
      <c r="S71" s="43">
        <f t="shared" si="48"/>
        <v>0.28725330729375442</v>
      </c>
      <c r="T71" s="43">
        <f t="shared" si="48"/>
        <v>0.28725330729375442</v>
      </c>
      <c r="U71" s="43">
        <f t="shared" si="48"/>
        <v>0.28725330729375442</v>
      </c>
      <c r="V71" s="43">
        <f t="shared" si="48"/>
        <v>0.28725330729375442</v>
      </c>
      <c r="W71" s="43">
        <f t="shared" si="48"/>
        <v>0.28725330729375442</v>
      </c>
      <c r="X71" s="43">
        <f t="shared" si="48"/>
        <v>0.28725330729375442</v>
      </c>
      <c r="Y71" s="43">
        <f t="shared" si="48"/>
        <v>0.28725330729375442</v>
      </c>
      <c r="Z71" s="43">
        <f t="shared" si="48"/>
        <v>0.28725330729375442</v>
      </c>
      <c r="AA71" s="43">
        <f t="shared" si="48"/>
        <v>0.28725330729375442</v>
      </c>
      <c r="AB71" s="43">
        <f t="shared" si="48"/>
        <v>0.28725330729375442</v>
      </c>
      <c r="AC71" s="43">
        <f t="shared" si="48"/>
        <v>0.28725330729375442</v>
      </c>
      <c r="AD71" s="43">
        <f t="shared" si="48"/>
        <v>0.28725330729375442</v>
      </c>
      <c r="AE71" s="43">
        <f t="shared" si="48"/>
        <v>0.28725330729375442</v>
      </c>
      <c r="AF71" s="43">
        <f t="shared" si="48"/>
        <v>0.28725330729375442</v>
      </c>
      <c r="AG71" s="43">
        <f t="shared" si="48"/>
        <v>0.28725330729375442</v>
      </c>
      <c r="AH71" s="43">
        <f t="shared" si="48"/>
        <v>0.28725330729375442</v>
      </c>
      <c r="AI71" s="43">
        <f t="shared" si="48"/>
        <v>0.28725330729375442</v>
      </c>
      <c r="AJ71" s="43">
        <f t="shared" si="48"/>
        <v>0.28725330729375442</v>
      </c>
      <c r="AK71" s="43">
        <f t="shared" ref="AK71:BM71" si="49">AK32*$E$81</f>
        <v>0.28725330729375442</v>
      </c>
      <c r="AL71" s="43">
        <f t="shared" si="49"/>
        <v>0.28725330729375442</v>
      </c>
      <c r="AM71" s="43">
        <f t="shared" si="49"/>
        <v>0.28725330729375442</v>
      </c>
      <c r="AN71" s="43">
        <f t="shared" si="49"/>
        <v>0.28725330729375442</v>
      </c>
      <c r="AO71" s="43">
        <f t="shared" si="49"/>
        <v>0.28725330729375442</v>
      </c>
      <c r="AP71" s="43">
        <f t="shared" si="49"/>
        <v>0.28725330729375442</v>
      </c>
      <c r="AQ71" s="43">
        <f t="shared" si="49"/>
        <v>0.28725330729375442</v>
      </c>
      <c r="AR71" s="43">
        <f t="shared" si="49"/>
        <v>0.28725330729375442</v>
      </c>
      <c r="AS71" s="43">
        <f t="shared" si="49"/>
        <v>0.28725330729375442</v>
      </c>
      <c r="AT71" s="43">
        <f t="shared" si="49"/>
        <v>0.28725330729375442</v>
      </c>
      <c r="AU71" s="43">
        <f t="shared" si="49"/>
        <v>0.28725330729375442</v>
      </c>
      <c r="AV71" s="43">
        <f t="shared" si="49"/>
        <v>0.28725330729375442</v>
      </c>
      <c r="AW71" s="43">
        <f t="shared" si="49"/>
        <v>0.28725330729375442</v>
      </c>
      <c r="AX71" s="43">
        <f t="shared" si="49"/>
        <v>0.28725330729375442</v>
      </c>
      <c r="AY71" s="43">
        <f t="shared" si="49"/>
        <v>0.28725330729375442</v>
      </c>
      <c r="AZ71" s="43">
        <f t="shared" si="49"/>
        <v>0.28725330729375442</v>
      </c>
      <c r="BA71" s="43">
        <f t="shared" si="49"/>
        <v>0.28725330729375442</v>
      </c>
      <c r="BB71" s="43">
        <f t="shared" si="49"/>
        <v>0.28725330729375442</v>
      </c>
      <c r="BC71" s="43">
        <f t="shared" si="49"/>
        <v>0.28725330729375442</v>
      </c>
      <c r="BD71" s="43">
        <f t="shared" si="49"/>
        <v>0.28725330729375442</v>
      </c>
      <c r="BE71" s="43">
        <f t="shared" si="49"/>
        <v>0.28725330729375442</v>
      </c>
      <c r="BF71" s="43">
        <f t="shared" si="49"/>
        <v>0.28725330729375442</v>
      </c>
      <c r="BG71" s="43">
        <f t="shared" si="49"/>
        <v>0.28725330729375442</v>
      </c>
      <c r="BH71" s="43">
        <f t="shared" si="49"/>
        <v>0.28725330729375442</v>
      </c>
      <c r="BI71" s="43">
        <f t="shared" si="49"/>
        <v>0.28725330729375442</v>
      </c>
      <c r="BJ71" s="43">
        <f t="shared" si="49"/>
        <v>0.28725330729375442</v>
      </c>
      <c r="BK71" s="43">
        <f t="shared" si="49"/>
        <v>0.28725330729375442</v>
      </c>
      <c r="BL71" s="43">
        <f t="shared" si="49"/>
        <v>0.28725330729375442</v>
      </c>
      <c r="BM71" s="43">
        <f t="shared" si="49"/>
        <v>0.28725330729375442</v>
      </c>
      <c r="BN71" s="15"/>
    </row>
    <row r="72" spans="2:66" x14ac:dyDescent="0.3">
      <c r="B72" s="12"/>
      <c r="C72" s="14" t="s">
        <v>63</v>
      </c>
      <c r="D72" s="14" t="s">
        <v>29</v>
      </c>
      <c r="E72" s="43">
        <f t="shared" ref="E72:AJ72" si="50">E33*$E$81</f>
        <v>3.7102156387274934</v>
      </c>
      <c r="F72" s="43">
        <f t="shared" si="50"/>
        <v>3.6870693121923415</v>
      </c>
      <c r="G72" s="43">
        <f t="shared" si="50"/>
        <v>3.6639229856571895</v>
      </c>
      <c r="H72" s="43">
        <f t="shared" si="50"/>
        <v>3.6407766591220376</v>
      </c>
      <c r="I72" s="43">
        <f t="shared" si="50"/>
        <v>3.6605212891056973</v>
      </c>
      <c r="J72" s="43">
        <f t="shared" si="50"/>
        <v>3.6198488303378564</v>
      </c>
      <c r="K72" s="43">
        <f t="shared" si="50"/>
        <v>3.6727230267360498</v>
      </c>
      <c r="L72" s="43">
        <f t="shared" si="50"/>
        <v>3.4286882741290032</v>
      </c>
      <c r="M72" s="43">
        <f t="shared" si="50"/>
        <v>3.4449572576361396</v>
      </c>
      <c r="N72" s="43">
        <f t="shared" si="50"/>
        <v>3.4815624705271966</v>
      </c>
      <c r="O72" s="43">
        <f t="shared" si="50"/>
        <v>3.4815624705271966</v>
      </c>
      <c r="P72" s="43">
        <f t="shared" si="50"/>
        <v>3.4571589952664921</v>
      </c>
      <c r="Q72" s="43">
        <f t="shared" si="50"/>
        <v>3.3920830612379462</v>
      </c>
      <c r="R72" s="43">
        <f t="shared" si="50"/>
        <v>3.4246210282522189</v>
      </c>
      <c r="S72" s="43">
        <f t="shared" si="50"/>
        <v>3.4164865364986508</v>
      </c>
      <c r="T72" s="43">
        <f t="shared" si="50"/>
        <v>3.4164865364986508</v>
      </c>
      <c r="U72" s="43">
        <f t="shared" si="50"/>
        <v>3.4164865364986508</v>
      </c>
      <c r="V72" s="43">
        <f t="shared" si="50"/>
        <v>3.4164865364986508</v>
      </c>
      <c r="W72" s="43">
        <f t="shared" si="50"/>
        <v>3.4164865364986508</v>
      </c>
      <c r="X72" s="43">
        <f t="shared" si="50"/>
        <v>3.4164865364986508</v>
      </c>
      <c r="Y72" s="43">
        <f t="shared" si="50"/>
        <v>3.4164865364986508</v>
      </c>
      <c r="Z72" s="43">
        <f t="shared" si="50"/>
        <v>3.4164865364986508</v>
      </c>
      <c r="AA72" s="43">
        <f t="shared" si="50"/>
        <v>3.4164865364986508</v>
      </c>
      <c r="AB72" s="43">
        <f t="shared" si="50"/>
        <v>3.4164865364986508</v>
      </c>
      <c r="AC72" s="43">
        <f t="shared" si="50"/>
        <v>3.4164865364986508</v>
      </c>
      <c r="AD72" s="43">
        <f t="shared" si="50"/>
        <v>3.4164865364986508</v>
      </c>
      <c r="AE72" s="43">
        <f t="shared" si="50"/>
        <v>3.4164865364986508</v>
      </c>
      <c r="AF72" s="43">
        <f t="shared" si="50"/>
        <v>3.4164865364986508</v>
      </c>
      <c r="AG72" s="43">
        <f t="shared" si="50"/>
        <v>3.4164865364986508</v>
      </c>
      <c r="AH72" s="43">
        <f t="shared" si="50"/>
        <v>3.4164865364986508</v>
      </c>
      <c r="AI72" s="43">
        <f t="shared" si="50"/>
        <v>3.4164865364986508</v>
      </c>
      <c r="AJ72" s="43">
        <f t="shared" si="50"/>
        <v>3.4164865364986508</v>
      </c>
      <c r="AK72" s="43">
        <f t="shared" ref="AK72:BM72" si="51">AK33*$E$81</f>
        <v>3.4164865364986508</v>
      </c>
      <c r="AL72" s="43">
        <f t="shared" si="51"/>
        <v>3.4164865364986508</v>
      </c>
      <c r="AM72" s="43">
        <f t="shared" si="51"/>
        <v>3.4164865364986508</v>
      </c>
      <c r="AN72" s="43">
        <f t="shared" si="51"/>
        <v>3.4164865364986508</v>
      </c>
      <c r="AO72" s="43">
        <f t="shared" si="51"/>
        <v>3.4164865364986508</v>
      </c>
      <c r="AP72" s="43">
        <f t="shared" si="51"/>
        <v>3.4164865364986508</v>
      </c>
      <c r="AQ72" s="43">
        <f t="shared" si="51"/>
        <v>3.4164865364986508</v>
      </c>
      <c r="AR72" s="43">
        <f t="shared" si="51"/>
        <v>3.4164865364986508</v>
      </c>
      <c r="AS72" s="43">
        <f t="shared" si="51"/>
        <v>3.4164865364986508</v>
      </c>
      <c r="AT72" s="43">
        <f t="shared" si="51"/>
        <v>3.4164865364986508</v>
      </c>
      <c r="AU72" s="43">
        <f t="shared" si="51"/>
        <v>3.4164865364986508</v>
      </c>
      <c r="AV72" s="43">
        <f t="shared" si="51"/>
        <v>3.4164865364986508</v>
      </c>
      <c r="AW72" s="43">
        <f t="shared" si="51"/>
        <v>3.4164865364986508</v>
      </c>
      <c r="AX72" s="43">
        <f t="shared" si="51"/>
        <v>3.4164865364986508</v>
      </c>
      <c r="AY72" s="43">
        <f t="shared" si="51"/>
        <v>3.4164865364986508</v>
      </c>
      <c r="AZ72" s="43">
        <f t="shared" si="51"/>
        <v>3.4164865364986508</v>
      </c>
      <c r="BA72" s="43">
        <f t="shared" si="51"/>
        <v>3.4164865364986508</v>
      </c>
      <c r="BB72" s="43">
        <f t="shared" si="51"/>
        <v>3.4164865364986508</v>
      </c>
      <c r="BC72" s="43">
        <f t="shared" si="51"/>
        <v>3.4164865364986508</v>
      </c>
      <c r="BD72" s="43">
        <f t="shared" si="51"/>
        <v>3.4164865364986508</v>
      </c>
      <c r="BE72" s="43">
        <f t="shared" si="51"/>
        <v>3.4164865364986508</v>
      </c>
      <c r="BF72" s="43">
        <f t="shared" si="51"/>
        <v>3.4164865364986508</v>
      </c>
      <c r="BG72" s="43">
        <f t="shared" si="51"/>
        <v>3.4164865364986508</v>
      </c>
      <c r="BH72" s="43">
        <f t="shared" si="51"/>
        <v>3.4164865364986508</v>
      </c>
      <c r="BI72" s="43">
        <f t="shared" si="51"/>
        <v>3.4164865364986508</v>
      </c>
      <c r="BJ72" s="43">
        <f t="shared" si="51"/>
        <v>3.4164865364986508</v>
      </c>
      <c r="BK72" s="43">
        <f t="shared" si="51"/>
        <v>3.4164865364986508</v>
      </c>
      <c r="BL72" s="43">
        <f t="shared" si="51"/>
        <v>3.4164865364986508</v>
      </c>
      <c r="BM72" s="43">
        <f t="shared" si="51"/>
        <v>3.4164865364986508</v>
      </c>
      <c r="BN72" s="15"/>
    </row>
    <row r="73" spans="2:66" x14ac:dyDescent="0.3">
      <c r="B73" s="12"/>
      <c r="C73" s="14" t="s">
        <v>137</v>
      </c>
      <c r="D73" s="14" t="s">
        <v>138</v>
      </c>
      <c r="E73" s="43">
        <f t="shared" ref="E73:AJ73" si="52">E34*$E$81</f>
        <v>0</v>
      </c>
      <c r="F73" s="43">
        <f t="shared" si="52"/>
        <v>0</v>
      </c>
      <c r="G73" s="43">
        <f t="shared" si="52"/>
        <v>0</v>
      </c>
      <c r="H73" s="43">
        <f t="shared" si="52"/>
        <v>0</v>
      </c>
      <c r="I73" s="43">
        <f t="shared" si="52"/>
        <v>0</v>
      </c>
      <c r="J73" s="43">
        <f t="shared" si="52"/>
        <v>0</v>
      </c>
      <c r="K73" s="43">
        <f t="shared" si="52"/>
        <v>0</v>
      </c>
      <c r="L73" s="43">
        <f t="shared" si="52"/>
        <v>0</v>
      </c>
      <c r="M73" s="43">
        <f t="shared" si="52"/>
        <v>0</v>
      </c>
      <c r="N73" s="43">
        <f t="shared" si="52"/>
        <v>0</v>
      </c>
      <c r="O73" s="43">
        <f t="shared" si="52"/>
        <v>0</v>
      </c>
      <c r="P73" s="43">
        <f t="shared" si="52"/>
        <v>0</v>
      </c>
      <c r="Q73" s="43">
        <f t="shared" si="52"/>
        <v>0</v>
      </c>
      <c r="R73" s="43">
        <f t="shared" si="52"/>
        <v>0</v>
      </c>
      <c r="S73" s="43">
        <f t="shared" si="52"/>
        <v>0</v>
      </c>
      <c r="T73" s="43">
        <f t="shared" si="52"/>
        <v>0</v>
      </c>
      <c r="U73" s="43">
        <f t="shared" si="52"/>
        <v>0</v>
      </c>
      <c r="V73" s="43">
        <f t="shared" si="52"/>
        <v>0</v>
      </c>
      <c r="W73" s="43">
        <f t="shared" si="52"/>
        <v>0</v>
      </c>
      <c r="X73" s="43">
        <f t="shared" si="52"/>
        <v>0</v>
      </c>
      <c r="Y73" s="43">
        <f t="shared" si="52"/>
        <v>0</v>
      </c>
      <c r="Z73" s="43">
        <f t="shared" si="52"/>
        <v>0</v>
      </c>
      <c r="AA73" s="43">
        <f t="shared" si="52"/>
        <v>0</v>
      </c>
      <c r="AB73" s="43">
        <f t="shared" si="52"/>
        <v>0</v>
      </c>
      <c r="AC73" s="43">
        <f t="shared" si="52"/>
        <v>0</v>
      </c>
      <c r="AD73" s="43">
        <f t="shared" si="52"/>
        <v>0</v>
      </c>
      <c r="AE73" s="43">
        <f t="shared" si="52"/>
        <v>0</v>
      </c>
      <c r="AF73" s="43">
        <f t="shared" si="52"/>
        <v>0</v>
      </c>
      <c r="AG73" s="43">
        <f t="shared" si="52"/>
        <v>0</v>
      </c>
      <c r="AH73" s="43">
        <f t="shared" si="52"/>
        <v>0</v>
      </c>
      <c r="AI73" s="43">
        <f t="shared" si="52"/>
        <v>0</v>
      </c>
      <c r="AJ73" s="43">
        <f t="shared" si="52"/>
        <v>0</v>
      </c>
      <c r="AK73" s="43">
        <f t="shared" ref="AK73:BM73" si="53">AK34*$E$81</f>
        <v>0</v>
      </c>
      <c r="AL73" s="43">
        <f t="shared" si="53"/>
        <v>0</v>
      </c>
      <c r="AM73" s="43">
        <f t="shared" si="53"/>
        <v>0</v>
      </c>
      <c r="AN73" s="43">
        <f t="shared" si="53"/>
        <v>0</v>
      </c>
      <c r="AO73" s="43">
        <f t="shared" si="53"/>
        <v>0</v>
      </c>
      <c r="AP73" s="43">
        <f t="shared" si="53"/>
        <v>0</v>
      </c>
      <c r="AQ73" s="43">
        <f t="shared" si="53"/>
        <v>0</v>
      </c>
      <c r="AR73" s="43">
        <f t="shared" si="53"/>
        <v>0</v>
      </c>
      <c r="AS73" s="43">
        <f t="shared" si="53"/>
        <v>0</v>
      </c>
      <c r="AT73" s="43">
        <f t="shared" si="53"/>
        <v>0</v>
      </c>
      <c r="AU73" s="43">
        <f t="shared" si="53"/>
        <v>0</v>
      </c>
      <c r="AV73" s="43">
        <f t="shared" si="53"/>
        <v>0</v>
      </c>
      <c r="AW73" s="43">
        <f t="shared" si="53"/>
        <v>0</v>
      </c>
      <c r="AX73" s="43">
        <f t="shared" si="53"/>
        <v>0</v>
      </c>
      <c r="AY73" s="43">
        <f t="shared" si="53"/>
        <v>0</v>
      </c>
      <c r="AZ73" s="43">
        <f t="shared" si="53"/>
        <v>0</v>
      </c>
      <c r="BA73" s="43">
        <f t="shared" si="53"/>
        <v>0</v>
      </c>
      <c r="BB73" s="43">
        <f t="shared" si="53"/>
        <v>0</v>
      </c>
      <c r="BC73" s="43">
        <f t="shared" si="53"/>
        <v>0</v>
      </c>
      <c r="BD73" s="43">
        <f t="shared" si="53"/>
        <v>0</v>
      </c>
      <c r="BE73" s="43">
        <f t="shared" si="53"/>
        <v>0</v>
      </c>
      <c r="BF73" s="43">
        <f t="shared" si="53"/>
        <v>0</v>
      </c>
      <c r="BG73" s="43">
        <f t="shared" si="53"/>
        <v>0</v>
      </c>
      <c r="BH73" s="43">
        <f t="shared" si="53"/>
        <v>0</v>
      </c>
      <c r="BI73" s="43">
        <f t="shared" si="53"/>
        <v>0</v>
      </c>
      <c r="BJ73" s="43">
        <f t="shared" si="53"/>
        <v>0</v>
      </c>
      <c r="BK73" s="43">
        <f t="shared" si="53"/>
        <v>0</v>
      </c>
      <c r="BL73" s="43">
        <f t="shared" si="53"/>
        <v>0</v>
      </c>
      <c r="BM73" s="43">
        <f t="shared" si="53"/>
        <v>0</v>
      </c>
      <c r="BN73" s="15"/>
    </row>
    <row r="74" spans="2:66" x14ac:dyDescent="0.3">
      <c r="B74" s="12"/>
      <c r="C74" s="14"/>
      <c r="D74" s="14"/>
      <c r="E74" s="44">
        <f t="shared" ref="E74:AJ74" si="54">E35*E81</f>
        <v>4.0672458767841082</v>
      </c>
      <c r="F74" s="44">
        <f t="shared" si="54"/>
        <v>4.2162448360550338</v>
      </c>
      <c r="G74" s="44">
        <f t="shared" si="54"/>
        <v>4.3482153428378556</v>
      </c>
      <c r="H74" s="44">
        <f t="shared" si="54"/>
        <v>4.9634533312331239</v>
      </c>
      <c r="I74" s="44">
        <f t="shared" si="54"/>
        <v>5.6248384258711592</v>
      </c>
      <c r="J74" s="44">
        <f t="shared" si="54"/>
        <v>5.2972109999999999</v>
      </c>
      <c r="K74" s="44">
        <f t="shared" si="54"/>
        <v>5.0569395353928259</v>
      </c>
      <c r="L74" s="44">
        <f t="shared" si="54"/>
        <v>5.0257832604191286</v>
      </c>
      <c r="M74" s="44">
        <f t="shared" si="54"/>
        <v>5.042124781728174</v>
      </c>
      <c r="N74" s="44">
        <f t="shared" si="54"/>
        <v>5.0625589247139002</v>
      </c>
      <c r="O74" s="44">
        <f t="shared" si="54"/>
        <v>5.0826524986498667</v>
      </c>
      <c r="P74" s="44">
        <f t="shared" si="54"/>
        <v>5.0707930019322118</v>
      </c>
      <c r="Q74" s="44">
        <f t="shared" si="54"/>
        <v>5.0240000000000009</v>
      </c>
      <c r="R74" s="44">
        <f t="shared" si="54"/>
        <v>5.1685634338124915</v>
      </c>
      <c r="S74" s="44">
        <f t="shared" si="54"/>
        <v>5.3075886179865828</v>
      </c>
      <c r="T74" s="44">
        <f t="shared" si="54"/>
        <v>5.4601946680333482</v>
      </c>
      <c r="U74" s="44">
        <f t="shared" si="54"/>
        <v>5.6154432028852286</v>
      </c>
      <c r="V74" s="44">
        <f t="shared" si="54"/>
        <v>5.7730565218138521</v>
      </c>
      <c r="W74" s="44">
        <f t="shared" si="54"/>
        <v>5.9327465281368736</v>
      </c>
      <c r="X74" s="44">
        <f t="shared" si="54"/>
        <v>6.0942711087998767</v>
      </c>
      <c r="Y74" s="44">
        <f t="shared" si="54"/>
        <v>6.2574731436065187</v>
      </c>
      <c r="Z74" s="44">
        <f t="shared" si="54"/>
        <v>7.731046431049851</v>
      </c>
      <c r="AA74" s="44">
        <f t="shared" si="54"/>
        <v>7.8548671748467251</v>
      </c>
      <c r="AB74" s="44">
        <f t="shared" si="54"/>
        <v>7.9791396919438098</v>
      </c>
      <c r="AC74" s="44">
        <f t="shared" si="54"/>
        <v>8.1037190391259184</v>
      </c>
      <c r="AD74" s="44">
        <f t="shared" si="54"/>
        <v>8.228481633060067</v>
      </c>
      <c r="AE74" s="44">
        <f t="shared" si="54"/>
        <v>8.3532629654072927</v>
      </c>
      <c r="AF74" s="44">
        <f t="shared" si="54"/>
        <v>8.4779087935036106</v>
      </c>
      <c r="AG74" s="44">
        <f t="shared" si="54"/>
        <v>8.6022096462533195</v>
      </c>
      <c r="AH74" s="44">
        <f t="shared" si="54"/>
        <v>8.7259458147522686</v>
      </c>
      <c r="AI74" s="44">
        <f t="shared" si="54"/>
        <v>8.8489758462204868</v>
      </c>
      <c r="AJ74" s="44">
        <f t="shared" si="54"/>
        <v>8.9711301494775597</v>
      </c>
      <c r="AK74" s="44">
        <f t="shared" ref="AK74:BM74" si="55">AK35*AK81</f>
        <v>9.0922430201040019</v>
      </c>
      <c r="AL74" s="44">
        <f t="shared" si="55"/>
        <v>9.2121808101687783</v>
      </c>
      <c r="AM74" s="44">
        <f t="shared" si="55"/>
        <v>9.3308152396236679</v>
      </c>
      <c r="AN74" s="44">
        <f t="shared" si="55"/>
        <v>9.448026445243034</v>
      </c>
      <c r="AO74" s="44">
        <f t="shared" si="55"/>
        <v>9.563705234726644</v>
      </c>
      <c r="AP74" s="44">
        <f t="shared" si="55"/>
        <v>9.6777438446232686</v>
      </c>
      <c r="AQ74" s="44">
        <f t="shared" si="55"/>
        <v>9.790038861229819</v>
      </c>
      <c r="AR74" s="44">
        <f t="shared" si="55"/>
        <v>9.9004984968845164</v>
      </c>
      <c r="AS74" s="44">
        <f t="shared" si="55"/>
        <v>10.011778778572999</v>
      </c>
      <c r="AT74" s="44">
        <f t="shared" si="55"/>
        <v>10.151325864513154</v>
      </c>
      <c r="AU74" s="44">
        <f t="shared" si="55"/>
        <v>10.287514608212078</v>
      </c>
      <c r="AV74" s="44">
        <f t="shared" si="55"/>
        <v>10.420157281392148</v>
      </c>
      <c r="AW74" s="44">
        <f t="shared" si="55"/>
        <v>10.549069150311833</v>
      </c>
      <c r="AX74" s="44">
        <f t="shared" si="55"/>
        <v>10.674068900545118</v>
      </c>
      <c r="AY74" s="44">
        <f t="shared" si="55"/>
        <v>10.794979058506534</v>
      </c>
      <c r="AZ74" s="44">
        <f t="shared" si="55"/>
        <v>10.911626408362833</v>
      </c>
      <c r="BA74" s="44">
        <f t="shared" si="55"/>
        <v>11.023842402971487</v>
      </c>
      <c r="BB74" s="44">
        <f t="shared" si="55"/>
        <v>11.131463567490911</v>
      </c>
      <c r="BC74" s="44">
        <f t="shared" si="55"/>
        <v>11.234331894317799</v>
      </c>
      <c r="BD74" s="44">
        <f t="shared" si="55"/>
        <v>11.332295228023099</v>
      </c>
      <c r="BE74" s="44">
        <f t="shared" si="55"/>
        <v>11.425207638980018</v>
      </c>
      <c r="BF74" s="44">
        <f t="shared" si="55"/>
        <v>11.512929784405074</v>
      </c>
      <c r="BG74" s="44">
        <f t="shared" si="55"/>
        <v>11.595329255566297</v>
      </c>
      <c r="BH74" s="44">
        <f t="shared" si="55"/>
        <v>11.672280909951372</v>
      </c>
      <c r="BI74" s="44">
        <f t="shared" si="55"/>
        <v>11.743667187232516</v>
      </c>
      <c r="BJ74" s="44">
        <f t="shared" si="55"/>
        <v>11.809378407914281</v>
      </c>
      <c r="BK74" s="44">
        <f t="shared" si="55"/>
        <v>11.869313053604511</v>
      </c>
      <c r="BL74" s="44">
        <f t="shared" si="55"/>
        <v>11.923378027908125</v>
      </c>
      <c r="BM74" s="44">
        <f t="shared" si="55"/>
        <v>11.971488897006763</v>
      </c>
      <c r="BN74" s="15"/>
    </row>
    <row r="75" spans="2:66" x14ac:dyDescent="0.3">
      <c r="B75" s="12"/>
      <c r="C75" s="13" t="s">
        <v>196</v>
      </c>
      <c r="D75" s="13"/>
      <c r="E75" s="44"/>
      <c r="F75" s="44"/>
      <c r="G75" s="44"/>
      <c r="H75" s="44"/>
      <c r="I75" s="44"/>
      <c r="J75" s="44"/>
      <c r="K75" s="44"/>
      <c r="L75" s="44"/>
      <c r="M75" s="44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  <c r="AW75" s="43"/>
      <c r="AX75" s="43"/>
      <c r="AY75" s="43"/>
      <c r="AZ75" s="43"/>
      <c r="BA75" s="43"/>
      <c r="BB75" s="43"/>
      <c r="BC75" s="43"/>
      <c r="BD75" s="43"/>
      <c r="BE75" s="43"/>
      <c r="BF75" s="43"/>
      <c r="BG75" s="43"/>
      <c r="BH75" s="43"/>
      <c r="BI75" s="43"/>
      <c r="BJ75" s="43"/>
      <c r="BK75" s="43"/>
      <c r="BL75" s="43"/>
      <c r="BM75" s="43"/>
      <c r="BN75" s="15"/>
    </row>
    <row r="76" spans="2:66" x14ac:dyDescent="0.3">
      <c r="B76" s="12"/>
      <c r="C76" s="14" t="s">
        <v>60</v>
      </c>
      <c r="D76" s="14" t="s">
        <v>31</v>
      </c>
      <c r="E76" s="43">
        <f t="shared" ref="E76:AJ76" si="56">E38*E81</f>
        <v>0.16373406717276351</v>
      </c>
      <c r="F76" s="43">
        <f t="shared" si="56"/>
        <v>0.17671619040814743</v>
      </c>
      <c r="G76" s="43">
        <f t="shared" si="56"/>
        <v>0.18799243764190096</v>
      </c>
      <c r="H76" s="43">
        <f t="shared" si="56"/>
        <v>0.23364931920970178</v>
      </c>
      <c r="I76" s="43">
        <f t="shared" si="56"/>
        <v>0.25981128689098887</v>
      </c>
      <c r="J76" s="43">
        <f t="shared" si="56"/>
        <v>0.2447311482</v>
      </c>
      <c r="K76" s="43">
        <f t="shared" si="56"/>
        <v>0.23054587341855892</v>
      </c>
      <c r="L76" s="43">
        <f t="shared" si="56"/>
        <v>0.32452868855524275</v>
      </c>
      <c r="M76" s="43">
        <f t="shared" si="56"/>
        <v>0.33789295012273185</v>
      </c>
      <c r="N76" s="43">
        <f t="shared" si="56"/>
        <v>0.31711869104407869</v>
      </c>
      <c r="O76" s="43">
        <f t="shared" si="56"/>
        <v>0.32423256819387231</v>
      </c>
      <c r="P76" s="43">
        <f t="shared" si="56"/>
        <v>0.32635989589189363</v>
      </c>
      <c r="Q76" s="43">
        <f t="shared" si="56"/>
        <v>0.49722126080000006</v>
      </c>
      <c r="R76" s="43">
        <f t="shared" si="56"/>
        <v>0.45159806146593262</v>
      </c>
      <c r="S76" s="43">
        <f t="shared" si="56"/>
        <v>0.46467459710216397</v>
      </c>
      <c r="T76" s="43">
        <f t="shared" si="56"/>
        <v>0.4780351191630719</v>
      </c>
      <c r="U76" s="43">
        <f t="shared" si="56"/>
        <v>0.49162698838566521</v>
      </c>
      <c r="V76" s="43">
        <f t="shared" si="56"/>
        <v>0.50542589232160662</v>
      </c>
      <c r="W76" s="43">
        <f t="shared" si="56"/>
        <v>0.51940660836616348</v>
      </c>
      <c r="X76" s="43">
        <f t="shared" si="56"/>
        <v>0.53354793973975989</v>
      </c>
      <c r="Y76" s="43">
        <f t="shared" si="56"/>
        <v>0.54783613071089765</v>
      </c>
      <c r="Z76" s="43">
        <f t="shared" si="56"/>
        <v>0.6768461431528553</v>
      </c>
      <c r="AA76" s="43">
        <f t="shared" si="56"/>
        <v>0.68768653761027831</v>
      </c>
      <c r="AB76" s="43">
        <f t="shared" si="56"/>
        <v>0.69856648441272384</v>
      </c>
      <c r="AC76" s="43">
        <f t="shared" si="56"/>
        <v>0.70947329391241276</v>
      </c>
      <c r="AD76" s="43">
        <f t="shared" si="56"/>
        <v>0.72039614649999029</v>
      </c>
      <c r="AE76" s="43">
        <f t="shared" si="56"/>
        <v>0.73132063961873417</v>
      </c>
      <c r="AF76" s="43">
        <f t="shared" si="56"/>
        <v>0.74223326946250945</v>
      </c>
      <c r="AG76" s="43">
        <f t="shared" si="56"/>
        <v>0.75311569702578907</v>
      </c>
      <c r="AH76" s="43">
        <f t="shared" si="56"/>
        <v>0.76394868699214891</v>
      </c>
      <c r="AI76" s="43">
        <f t="shared" si="56"/>
        <v>0.77471985529826537</v>
      </c>
      <c r="AJ76" s="43">
        <f t="shared" si="56"/>
        <v>0.78541435438923068</v>
      </c>
      <c r="AK76" s="43">
        <f t="shared" ref="AK76:BM76" si="57">AK38*AK81</f>
        <v>0.7960176769925521</v>
      </c>
      <c r="AL76" s="43">
        <f t="shared" si="57"/>
        <v>0.80651812235239162</v>
      </c>
      <c r="AM76" s="43">
        <f t="shared" si="57"/>
        <v>0.81690445966621072</v>
      </c>
      <c r="AN76" s="43">
        <f t="shared" si="57"/>
        <v>0.82716619501669819</v>
      </c>
      <c r="AO76" s="43">
        <f t="shared" si="57"/>
        <v>0.83729376871643857</v>
      </c>
      <c r="AP76" s="43">
        <f t="shared" si="57"/>
        <v>0.84727774617245832</v>
      </c>
      <c r="AQ76" s="43">
        <f t="shared" si="57"/>
        <v>0.85710907360831079</v>
      </c>
      <c r="AR76" s="43">
        <f t="shared" si="57"/>
        <v>0.8667797150969816</v>
      </c>
      <c r="AS76" s="43">
        <f t="shared" si="57"/>
        <v>0.87652220340584897</v>
      </c>
      <c r="AT76" s="43">
        <f t="shared" si="57"/>
        <v>0.8887394249358439</v>
      </c>
      <c r="AU76" s="43">
        <f t="shared" si="57"/>
        <v>0.90066262663118446</v>
      </c>
      <c r="AV76" s="43">
        <f t="shared" si="57"/>
        <v>0.91227537305045847</v>
      </c>
      <c r="AW76" s="43">
        <f t="shared" si="57"/>
        <v>0.92356149092118855</v>
      </c>
      <c r="AX76" s="43">
        <f t="shared" si="57"/>
        <v>0.93450510632888684</v>
      </c>
      <c r="AY76" s="43">
        <f t="shared" si="57"/>
        <v>0.94509068162119225</v>
      </c>
      <c r="AZ76" s="43">
        <f t="shared" si="57"/>
        <v>0.95530305190811027</v>
      </c>
      <c r="BA76" s="43">
        <f t="shared" si="57"/>
        <v>0.96512746103930924</v>
      </c>
      <c r="BB76" s="43">
        <f t="shared" si="57"/>
        <v>0.97454959693983045</v>
      </c>
      <c r="BC76" s="43">
        <f t="shared" si="57"/>
        <v>0.98355562618649639</v>
      </c>
      <c r="BD76" s="43">
        <f t="shared" si="57"/>
        <v>0.99213222770870768</v>
      </c>
      <c r="BE76" s="43">
        <f t="shared" si="57"/>
        <v>1.0002666254992385</v>
      </c>
      <c r="BF76" s="43">
        <f t="shared" si="57"/>
        <v>1.0079466202230549</v>
      </c>
      <c r="BG76" s="43">
        <f t="shared" si="57"/>
        <v>1.0151606196150798</v>
      </c>
      <c r="BH76" s="43">
        <f t="shared" si="57"/>
        <v>1.0218976675612135</v>
      </c>
      <c r="BI76" s="43">
        <f t="shared" si="57"/>
        <v>1.0281474717607753</v>
      </c>
      <c r="BJ76" s="43">
        <f t="shared" si="57"/>
        <v>1.0339004298728478</v>
      </c>
      <c r="BK76" s="43">
        <f t="shared" si="57"/>
        <v>1.0391476540537479</v>
      </c>
      <c r="BL76" s="43">
        <f t="shared" si="57"/>
        <v>1.0438809937980404</v>
      </c>
      <c r="BM76" s="43">
        <f t="shared" si="57"/>
        <v>1.0480930570010709</v>
      </c>
      <c r="BN76" s="15"/>
    </row>
    <row r="77" spans="2:66" x14ac:dyDescent="0.3">
      <c r="B77" s="12"/>
      <c r="C77" s="39" t="s">
        <v>61</v>
      </c>
      <c r="D77" s="14" t="s">
        <v>32</v>
      </c>
      <c r="E77" s="43">
        <f t="shared" ref="E77:AJ77" si="58">E39*E81</f>
        <v>0.19329617088385123</v>
      </c>
      <c r="F77" s="43">
        <f t="shared" si="58"/>
        <v>0.21738771326747086</v>
      </c>
      <c r="G77" s="43">
        <f t="shared" si="58"/>
        <v>0.2431924074460563</v>
      </c>
      <c r="H77" s="43">
        <f t="shared" si="58"/>
        <v>0.2867913237215951</v>
      </c>
      <c r="I77" s="43">
        <f t="shared" si="58"/>
        <v>0.30267255569612705</v>
      </c>
      <c r="J77" s="43">
        <f t="shared" si="58"/>
        <v>0.33796206179999999</v>
      </c>
      <c r="K77" s="43">
        <f t="shared" si="58"/>
        <v>0.25997726151454514</v>
      </c>
      <c r="L77" s="43">
        <f t="shared" si="58"/>
        <v>0.45117403043045945</v>
      </c>
      <c r="M77" s="43">
        <f t="shared" si="58"/>
        <v>0.43355214148167881</v>
      </c>
      <c r="N77" s="43">
        <f t="shared" si="58"/>
        <v>0.41188979411472293</v>
      </c>
      <c r="O77" s="43">
        <f t="shared" si="58"/>
        <v>0.40766939161170851</v>
      </c>
      <c r="P77" s="43">
        <f t="shared" si="58"/>
        <v>0.42562143104795341</v>
      </c>
      <c r="Q77" s="43">
        <f t="shared" si="58"/>
        <v>0.33676273920000005</v>
      </c>
      <c r="R77" s="43">
        <f t="shared" si="58"/>
        <v>0.36503496107644101</v>
      </c>
      <c r="S77" s="43">
        <f t="shared" si="58"/>
        <v>0.37560496366124285</v>
      </c>
      <c r="T77" s="43">
        <f t="shared" si="58"/>
        <v>0.38640451765984291</v>
      </c>
      <c r="U77" s="43">
        <f t="shared" si="58"/>
        <v>0.39739107379456123</v>
      </c>
      <c r="V77" s="43">
        <f t="shared" si="58"/>
        <v>0.40854497986936378</v>
      </c>
      <c r="W77" s="43">
        <f t="shared" si="58"/>
        <v>0.41984584799217917</v>
      </c>
      <c r="X77" s="43">
        <f t="shared" si="58"/>
        <v>0.43127654441893792</v>
      </c>
      <c r="Y77" s="43">
        <f t="shared" si="58"/>
        <v>0.44282595014063519</v>
      </c>
      <c r="Z77" s="43">
        <f t="shared" si="58"/>
        <v>0.54710709943820313</v>
      </c>
      <c r="AA77" s="43">
        <f t="shared" si="58"/>
        <v>0.5558695882672593</v>
      </c>
      <c r="AB77" s="43">
        <f t="shared" si="58"/>
        <v>0.5646640479791819</v>
      </c>
      <c r="AC77" s="43">
        <f t="shared" si="58"/>
        <v>0.57348022129990683</v>
      </c>
      <c r="AD77" s="43">
        <f t="shared" si="58"/>
        <v>0.5823093625415835</v>
      </c>
      <c r="AE77" s="43">
        <f t="shared" si="58"/>
        <v>0.59113982985456448</v>
      </c>
      <c r="AF77" s="43">
        <f t="shared" si="58"/>
        <v>0.59996070786571742</v>
      </c>
      <c r="AG77" s="43">
        <f t="shared" si="58"/>
        <v>0.60875717282193076</v>
      </c>
      <c r="AH77" s="43">
        <f t="shared" si="58"/>
        <v>0.61751367646562483</v>
      </c>
      <c r="AI77" s="43">
        <f t="shared" si="58"/>
        <v>0.62622020853223259</v>
      </c>
      <c r="AJ77" s="43">
        <f t="shared" si="58"/>
        <v>0.63486476747194598</v>
      </c>
      <c r="AK77" s="43">
        <f t="shared" ref="AK77:BM77" si="59">AK39*AK81</f>
        <v>0.64343562679144806</v>
      </c>
      <c r="AL77" s="43">
        <f t="shared" si="59"/>
        <v>0.65192332855609225</v>
      </c>
      <c r="AM77" s="43">
        <f t="shared" si="59"/>
        <v>0.6603187947030672</v>
      </c>
      <c r="AN77" s="43">
        <f t="shared" si="59"/>
        <v>0.66861354280734919</v>
      </c>
      <c r="AO77" s="43">
        <f t="shared" si="59"/>
        <v>0.67679984559900197</v>
      </c>
      <c r="AP77" s="43">
        <f t="shared" si="59"/>
        <v>0.68487007692421131</v>
      </c>
      <c r="AQ77" s="43">
        <f t="shared" si="59"/>
        <v>0.69281691845011739</v>
      </c>
      <c r="AR77" s="43">
        <f t="shared" si="59"/>
        <v>0.70063387459014603</v>
      </c>
      <c r="AS77" s="43">
        <f t="shared" si="59"/>
        <v>0.70850890582715098</v>
      </c>
      <c r="AT77" s="43">
        <f t="shared" si="59"/>
        <v>0.71838430912535667</v>
      </c>
      <c r="AU77" s="43">
        <f t="shared" si="59"/>
        <v>0.72802205082122862</v>
      </c>
      <c r="AV77" s="43">
        <f t="shared" si="59"/>
        <v>0.73740884584729649</v>
      </c>
      <c r="AW77" s="43">
        <f t="shared" si="59"/>
        <v>0.74653162105202764</v>
      </c>
      <c r="AX77" s="43">
        <f t="shared" si="59"/>
        <v>0.75537754526042022</v>
      </c>
      <c r="AY77" s="43">
        <f t="shared" si="59"/>
        <v>0.76393405910429102</v>
      </c>
      <c r="AZ77" s="43">
        <f t="shared" si="59"/>
        <v>0.77218890452608557</v>
      </c>
      <c r="BA77" s="43">
        <f t="shared" si="59"/>
        <v>0.78013015385998419</v>
      </c>
      <c r="BB77" s="43">
        <f t="shared" si="59"/>
        <v>0.78774623839440183</v>
      </c>
      <c r="BC77" s="43">
        <f t="shared" si="59"/>
        <v>0.79502597632073035</v>
      </c>
      <c r="BD77" s="43">
        <f t="shared" si="59"/>
        <v>0.80195859997430796</v>
      </c>
      <c r="BE77" s="43">
        <f t="shared" si="59"/>
        <v>0.80853378227515293</v>
      </c>
      <c r="BF77" s="43">
        <f t="shared" si="59"/>
        <v>0.81474166227794853</v>
      </c>
      <c r="BG77" s="43">
        <f t="shared" si="59"/>
        <v>0.82057286974311139</v>
      </c>
      <c r="BH77" s="43">
        <f t="shared" si="59"/>
        <v>0.82601854864351254</v>
      </c>
      <c r="BI77" s="43">
        <f t="shared" si="59"/>
        <v>0.83107037952453267</v>
      </c>
      <c r="BJ77" s="43">
        <f t="shared" si="59"/>
        <v>0.83572060063863118</v>
      </c>
      <c r="BK77" s="43">
        <f t="shared" si="59"/>
        <v>0.83996202777943096</v>
      </c>
      <c r="BL77" s="43">
        <f t="shared" si="59"/>
        <v>0.84378807274452816</v>
      </c>
      <c r="BM77" s="43">
        <f t="shared" si="59"/>
        <v>0.847192760360721</v>
      </c>
      <c r="BN77" s="15"/>
    </row>
    <row r="78" spans="2:66" x14ac:dyDescent="0.3">
      <c r="B78" s="12"/>
      <c r="C78" s="39" t="s">
        <v>62</v>
      </c>
      <c r="D78" s="14" t="s">
        <v>33</v>
      </c>
      <c r="E78" s="43">
        <f t="shared" ref="E78:AJ78" si="60">E40*E81</f>
        <v>3.7102156387274934</v>
      </c>
      <c r="F78" s="43">
        <f t="shared" si="60"/>
        <v>3.8221409323794155</v>
      </c>
      <c r="G78" s="43">
        <f t="shared" si="60"/>
        <v>3.9170304977498982</v>
      </c>
      <c r="H78" s="43">
        <f t="shared" si="60"/>
        <v>4.4430126883018275</v>
      </c>
      <c r="I78" s="43">
        <f t="shared" si="60"/>
        <v>5.0623545832840433</v>
      </c>
      <c r="J78" s="43">
        <f t="shared" si="60"/>
        <v>4.7145177900000004</v>
      </c>
      <c r="K78" s="43">
        <f t="shared" si="60"/>
        <v>4.5664164004597216</v>
      </c>
      <c r="L78" s="43">
        <f t="shared" si="60"/>
        <v>4.2500805414334266</v>
      </c>
      <c r="M78" s="43">
        <f t="shared" si="60"/>
        <v>4.2706796901237629</v>
      </c>
      <c r="N78" s="43">
        <f t="shared" si="60"/>
        <v>4.3335504395550988</v>
      </c>
      <c r="O78" s="43">
        <f t="shared" si="60"/>
        <v>4.3507505388442862</v>
      </c>
      <c r="P78" s="43">
        <f t="shared" si="60"/>
        <v>4.3188116749923653</v>
      </c>
      <c r="Q78" s="43">
        <f t="shared" si="60"/>
        <v>4.1900160000000009</v>
      </c>
      <c r="R78" s="43">
        <f t="shared" si="60"/>
        <v>4.3519304112701178</v>
      </c>
      <c r="S78" s="43">
        <f t="shared" si="60"/>
        <v>4.4673090572231757</v>
      </c>
      <c r="T78" s="43">
        <f t="shared" si="60"/>
        <v>4.5957550312104338</v>
      </c>
      <c r="U78" s="43">
        <f t="shared" si="60"/>
        <v>4.7264251407050013</v>
      </c>
      <c r="V78" s="43">
        <f t="shared" si="60"/>
        <v>4.8590856496228811</v>
      </c>
      <c r="W78" s="43">
        <f t="shared" si="60"/>
        <v>4.9934940717785308</v>
      </c>
      <c r="X78" s="43">
        <f t="shared" si="60"/>
        <v>5.1294466246411785</v>
      </c>
      <c r="Y78" s="43">
        <f t="shared" si="60"/>
        <v>5.2668110627549849</v>
      </c>
      <c r="Z78" s="43">
        <f t="shared" si="60"/>
        <v>6.5070931884587919</v>
      </c>
      <c r="AA78" s="43">
        <f t="shared" si="60"/>
        <v>6.6113110489691875</v>
      </c>
      <c r="AB78" s="43">
        <f t="shared" si="60"/>
        <v>6.715909159551904</v>
      </c>
      <c r="AC78" s="43">
        <f t="shared" si="60"/>
        <v>6.8207655239135976</v>
      </c>
      <c r="AD78" s="43">
        <f t="shared" si="60"/>
        <v>6.9257761240184932</v>
      </c>
      <c r="AE78" s="43">
        <f t="shared" si="60"/>
        <v>7.030802495933993</v>
      </c>
      <c r="AF78" s="43">
        <f t="shared" si="60"/>
        <v>7.1357148161753834</v>
      </c>
      <c r="AG78" s="43">
        <f t="shared" si="60"/>
        <v>7.2403367764055986</v>
      </c>
      <c r="AH78" s="43">
        <f t="shared" si="60"/>
        <v>7.3444834512944936</v>
      </c>
      <c r="AI78" s="43">
        <f t="shared" si="60"/>
        <v>7.4480357823899892</v>
      </c>
      <c r="AJ78" s="43">
        <f t="shared" si="60"/>
        <v>7.5508510276163827</v>
      </c>
      <c r="AK78" s="43">
        <f t="shared" ref="AK78:BM78" si="61">AK40*AK81</f>
        <v>7.6527897163200009</v>
      </c>
      <c r="AL78" s="43">
        <f t="shared" si="61"/>
        <v>7.7537393592602948</v>
      </c>
      <c r="AM78" s="43">
        <f t="shared" si="61"/>
        <v>7.853591985254389</v>
      </c>
      <c r="AN78" s="43">
        <f t="shared" si="61"/>
        <v>7.9522467074189862</v>
      </c>
      <c r="AO78" s="43">
        <f t="shared" si="61"/>
        <v>8.0496116204112038</v>
      </c>
      <c r="AP78" s="43">
        <f t="shared" si="61"/>
        <v>8.1455960215265986</v>
      </c>
      <c r="AQ78" s="43">
        <f t="shared" si="61"/>
        <v>8.2401128691713907</v>
      </c>
      <c r="AR78" s="43">
        <f t="shared" si="61"/>
        <v>8.3330849071973887</v>
      </c>
      <c r="AS78" s="43">
        <f t="shared" si="61"/>
        <v>8.4267476693399992</v>
      </c>
      <c r="AT78" s="43">
        <f t="shared" si="61"/>
        <v>8.5442021304519518</v>
      </c>
      <c r="AU78" s="43">
        <f t="shared" si="61"/>
        <v>8.6588299307596657</v>
      </c>
      <c r="AV78" s="43">
        <f t="shared" si="61"/>
        <v>8.7704730624943927</v>
      </c>
      <c r="AW78" s="43">
        <f t="shared" si="61"/>
        <v>8.8789760383386174</v>
      </c>
      <c r="AX78" s="43">
        <f t="shared" si="61"/>
        <v>8.98418624895581</v>
      </c>
      <c r="AY78" s="43">
        <f t="shared" si="61"/>
        <v>9.0859543177810504</v>
      </c>
      <c r="AZ78" s="43">
        <f t="shared" si="61"/>
        <v>9.184134451928637</v>
      </c>
      <c r="BA78" s="43">
        <f t="shared" si="61"/>
        <v>9.2785847880721928</v>
      </c>
      <c r="BB78" s="43">
        <f t="shared" si="61"/>
        <v>9.3691677321566793</v>
      </c>
      <c r="BC78" s="43">
        <f t="shared" si="61"/>
        <v>9.4557502918105723</v>
      </c>
      <c r="BD78" s="43">
        <f t="shared" si="61"/>
        <v>9.5382044003400832</v>
      </c>
      <c r="BE78" s="43">
        <f t="shared" si="61"/>
        <v>9.6164072312056259</v>
      </c>
      <c r="BF78" s="43">
        <f t="shared" si="61"/>
        <v>9.6902415019040689</v>
      </c>
      <c r="BG78" s="43">
        <f t="shared" si="61"/>
        <v>9.7595957662081041</v>
      </c>
      <c r="BH78" s="43">
        <f t="shared" si="61"/>
        <v>9.8243646937466451</v>
      </c>
      <c r="BI78" s="43">
        <f t="shared" si="61"/>
        <v>9.8844493359472079</v>
      </c>
      <c r="BJ78" s="43">
        <f t="shared" si="61"/>
        <v>9.9397573774028007</v>
      </c>
      <c r="BK78" s="43">
        <f t="shared" si="61"/>
        <v>9.9902033717713312</v>
      </c>
      <c r="BL78" s="43">
        <f t="shared" si="61"/>
        <v>10.035708961365556</v>
      </c>
      <c r="BM78" s="43">
        <f t="shared" si="61"/>
        <v>10.076203079644971</v>
      </c>
      <c r="BN78" s="15"/>
    </row>
    <row r="79" spans="2:66" x14ac:dyDescent="0.3">
      <c r="B79" s="12"/>
      <c r="C79" s="14"/>
      <c r="D79" s="14"/>
      <c r="E79" s="44">
        <f t="shared" ref="E79:AJ79" si="62">E41*E81</f>
        <v>4.0672458767841082</v>
      </c>
      <c r="F79" s="44">
        <f t="shared" si="62"/>
        <v>4.2162448360550338</v>
      </c>
      <c r="G79" s="44">
        <f t="shared" si="62"/>
        <v>4.3482153428378556</v>
      </c>
      <c r="H79" s="44">
        <f t="shared" si="62"/>
        <v>4.9634533312331239</v>
      </c>
      <c r="I79" s="44">
        <f t="shared" si="62"/>
        <v>5.6248384258711592</v>
      </c>
      <c r="J79" s="44">
        <f t="shared" si="62"/>
        <v>5.2972109999999999</v>
      </c>
      <c r="K79" s="44">
        <f t="shared" si="62"/>
        <v>5.0569395353928259</v>
      </c>
      <c r="L79" s="44">
        <f t="shared" si="62"/>
        <v>5.0257832604191286</v>
      </c>
      <c r="M79" s="44">
        <f t="shared" si="62"/>
        <v>5.042124781728174</v>
      </c>
      <c r="N79" s="44">
        <f t="shared" si="62"/>
        <v>5.0625589247139002</v>
      </c>
      <c r="O79" s="44">
        <f t="shared" si="62"/>
        <v>5.0826524986498667</v>
      </c>
      <c r="P79" s="44">
        <f t="shared" si="62"/>
        <v>5.0707930019322118</v>
      </c>
      <c r="Q79" s="44">
        <f t="shared" si="62"/>
        <v>5.0240000000000009</v>
      </c>
      <c r="R79" s="44">
        <f t="shared" si="62"/>
        <v>5.1685634338124915</v>
      </c>
      <c r="S79" s="44">
        <f t="shared" si="62"/>
        <v>5.3075886179865828</v>
      </c>
      <c r="T79" s="44">
        <f t="shared" si="62"/>
        <v>5.4601946680333482</v>
      </c>
      <c r="U79" s="44">
        <f t="shared" si="62"/>
        <v>5.6154432028852286</v>
      </c>
      <c r="V79" s="44">
        <f t="shared" si="62"/>
        <v>5.7730565218138521</v>
      </c>
      <c r="W79" s="44">
        <f t="shared" si="62"/>
        <v>5.9327465281368736</v>
      </c>
      <c r="X79" s="44">
        <f t="shared" si="62"/>
        <v>6.0942711087998767</v>
      </c>
      <c r="Y79" s="44">
        <f t="shared" si="62"/>
        <v>6.2574731436065187</v>
      </c>
      <c r="Z79" s="44">
        <f t="shared" si="62"/>
        <v>7.731046431049851</v>
      </c>
      <c r="AA79" s="44">
        <f t="shared" si="62"/>
        <v>7.8548671748467251</v>
      </c>
      <c r="AB79" s="44">
        <f t="shared" si="62"/>
        <v>7.9791396919438098</v>
      </c>
      <c r="AC79" s="44">
        <f t="shared" si="62"/>
        <v>8.1037190391259184</v>
      </c>
      <c r="AD79" s="44">
        <f t="shared" si="62"/>
        <v>8.228481633060067</v>
      </c>
      <c r="AE79" s="44">
        <f t="shared" si="62"/>
        <v>8.3532629654072927</v>
      </c>
      <c r="AF79" s="44">
        <f t="shared" si="62"/>
        <v>8.4779087935036106</v>
      </c>
      <c r="AG79" s="44">
        <f t="shared" si="62"/>
        <v>8.6022096462533195</v>
      </c>
      <c r="AH79" s="44">
        <f t="shared" si="62"/>
        <v>8.7259458147522686</v>
      </c>
      <c r="AI79" s="44">
        <f t="shared" si="62"/>
        <v>8.8489758462204868</v>
      </c>
      <c r="AJ79" s="44">
        <f t="shared" si="62"/>
        <v>8.9711301494775597</v>
      </c>
      <c r="AK79" s="44">
        <f t="shared" ref="AK79:BM79" si="63">AK41*AK81</f>
        <v>9.0922430201040019</v>
      </c>
      <c r="AL79" s="44">
        <f t="shared" si="63"/>
        <v>9.2121808101687783</v>
      </c>
      <c r="AM79" s="44">
        <f t="shared" si="63"/>
        <v>9.3308152396236679</v>
      </c>
      <c r="AN79" s="44">
        <f t="shared" si="63"/>
        <v>9.448026445243034</v>
      </c>
      <c r="AO79" s="44">
        <f t="shared" si="63"/>
        <v>9.563705234726644</v>
      </c>
      <c r="AP79" s="44">
        <f t="shared" si="63"/>
        <v>9.6777438446232686</v>
      </c>
      <c r="AQ79" s="44">
        <f t="shared" si="63"/>
        <v>9.790038861229819</v>
      </c>
      <c r="AR79" s="44">
        <f t="shared" si="63"/>
        <v>9.9004984968845164</v>
      </c>
      <c r="AS79" s="44">
        <f t="shared" si="63"/>
        <v>10.011778778572999</v>
      </c>
      <c r="AT79" s="44">
        <f t="shared" si="63"/>
        <v>10.151325864513154</v>
      </c>
      <c r="AU79" s="44">
        <f t="shared" si="63"/>
        <v>10.287514608212078</v>
      </c>
      <c r="AV79" s="44">
        <f t="shared" si="63"/>
        <v>10.420157281392148</v>
      </c>
      <c r="AW79" s="44">
        <f t="shared" si="63"/>
        <v>10.549069150311833</v>
      </c>
      <c r="AX79" s="44">
        <f t="shared" si="63"/>
        <v>10.674068900545118</v>
      </c>
      <c r="AY79" s="44">
        <f t="shared" si="63"/>
        <v>10.794979058506534</v>
      </c>
      <c r="AZ79" s="44">
        <f t="shared" si="63"/>
        <v>10.911626408362833</v>
      </c>
      <c r="BA79" s="44">
        <f t="shared" si="63"/>
        <v>11.023842402971487</v>
      </c>
      <c r="BB79" s="44">
        <f t="shared" si="63"/>
        <v>11.131463567490911</v>
      </c>
      <c r="BC79" s="44">
        <f t="shared" si="63"/>
        <v>11.234331894317799</v>
      </c>
      <c r="BD79" s="44">
        <f t="shared" si="63"/>
        <v>11.332295228023099</v>
      </c>
      <c r="BE79" s="44">
        <f t="shared" si="63"/>
        <v>11.425207638980018</v>
      </c>
      <c r="BF79" s="44">
        <f t="shared" si="63"/>
        <v>11.512929784405074</v>
      </c>
      <c r="BG79" s="44">
        <f t="shared" si="63"/>
        <v>11.595329255566297</v>
      </c>
      <c r="BH79" s="44">
        <f t="shared" si="63"/>
        <v>11.672280909951372</v>
      </c>
      <c r="BI79" s="44">
        <f t="shared" si="63"/>
        <v>11.743667187232516</v>
      </c>
      <c r="BJ79" s="44">
        <f t="shared" si="63"/>
        <v>11.809378407914281</v>
      </c>
      <c r="BK79" s="44">
        <f t="shared" si="63"/>
        <v>11.869313053604511</v>
      </c>
      <c r="BL79" s="44">
        <f t="shared" si="63"/>
        <v>11.923378027908125</v>
      </c>
      <c r="BM79" s="44">
        <f t="shared" si="63"/>
        <v>11.971488897006763</v>
      </c>
      <c r="BN79" s="15"/>
    </row>
    <row r="80" spans="2:66" x14ac:dyDescent="0.3">
      <c r="B80" s="12"/>
      <c r="C80" s="14"/>
      <c r="D80" s="14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3"/>
      <c r="AC80" s="43"/>
      <c r="AD80" s="43"/>
      <c r="AE80" s="43"/>
      <c r="AF80" s="43"/>
      <c r="AG80" s="43"/>
      <c r="AH80" s="43"/>
      <c r="AI80" s="43"/>
      <c r="AJ80" s="43"/>
      <c r="AK80" s="43"/>
      <c r="AL80" s="43"/>
      <c r="AM80" s="43"/>
      <c r="AN80" s="43"/>
      <c r="AO80" s="43"/>
      <c r="AP80" s="43"/>
      <c r="AQ80" s="43"/>
      <c r="AR80" s="43"/>
      <c r="AS80" s="43"/>
      <c r="AT80" s="43"/>
      <c r="AU80" s="43"/>
      <c r="AV80" s="43"/>
      <c r="AW80" s="43"/>
      <c r="AX80" s="43"/>
      <c r="AY80" s="43"/>
      <c r="AZ80" s="43"/>
      <c r="BA80" s="43"/>
      <c r="BB80" s="43"/>
      <c r="BC80" s="43"/>
      <c r="BD80" s="43"/>
      <c r="BE80" s="43"/>
      <c r="BF80" s="43"/>
      <c r="BG80" s="43"/>
      <c r="BH80" s="43"/>
      <c r="BI80" s="43"/>
      <c r="BJ80" s="43"/>
      <c r="BK80" s="43"/>
      <c r="BL80" s="43"/>
      <c r="BM80" s="43"/>
      <c r="BN80" s="15"/>
    </row>
    <row r="81" spans="2:66" x14ac:dyDescent="0.3">
      <c r="B81" s="12"/>
      <c r="C81" s="131" t="s">
        <v>71</v>
      </c>
      <c r="D81" s="13" t="s">
        <v>70</v>
      </c>
      <c r="E81" s="46">
        <v>4.0672458767841082</v>
      </c>
      <c r="F81" s="46">
        <v>4.2162448360550338</v>
      </c>
      <c r="G81" s="46">
        <v>4.3482153428378556</v>
      </c>
      <c r="H81" s="46">
        <v>4.9634533312331239</v>
      </c>
      <c r="I81" s="46">
        <v>5.6248384258711592</v>
      </c>
      <c r="J81" s="46">
        <v>5.2972109999999999</v>
      </c>
      <c r="K81" s="46">
        <v>5.0569395353928259</v>
      </c>
      <c r="L81" s="46">
        <v>5.0416139281535308</v>
      </c>
      <c r="M81" s="46">
        <v>5.042124781728174</v>
      </c>
      <c r="N81" s="46">
        <v>5.0625589247139002</v>
      </c>
      <c r="O81" s="46">
        <v>5.0826524986498667</v>
      </c>
      <c r="P81" s="46">
        <v>5.0809549117557236</v>
      </c>
      <c r="Q81" s="46">
        <v>5.0240000000000009</v>
      </c>
      <c r="R81" s="46">
        <v>5.1685634338124915</v>
      </c>
      <c r="S81" s="46">
        <v>5.3182250681228282</v>
      </c>
      <c r="T81" s="46">
        <v>5.4711369419171829</v>
      </c>
      <c r="U81" s="46">
        <v>5.6266965960773829</v>
      </c>
      <c r="V81" s="46">
        <v>5.784625773360573</v>
      </c>
      <c r="W81" s="46">
        <v>5.9446357997363464</v>
      </c>
      <c r="X81" s="46">
        <v>6.1064840769537838</v>
      </c>
      <c r="Y81" s="46">
        <v>6.2700131699464112</v>
      </c>
      <c r="Z81" s="46">
        <v>7.746539510069991</v>
      </c>
      <c r="AA81" s="46">
        <v>7.8706083916299852</v>
      </c>
      <c r="AB81" s="46">
        <v>7.9951299518475052</v>
      </c>
      <c r="AC81" s="46">
        <v>8.1199589570399979</v>
      </c>
      <c r="AD81" s="46">
        <v>8.2449715762124924</v>
      </c>
      <c r="AE81" s="46">
        <v>8.3700029713499919</v>
      </c>
      <c r="AF81" s="46">
        <v>8.494898590684981</v>
      </c>
      <c r="AG81" s="46">
        <v>8.619448543339999</v>
      </c>
      <c r="AH81" s="46">
        <v>8.7434326801124929</v>
      </c>
      <c r="AI81" s="46">
        <v>8.8667092647499874</v>
      </c>
      <c r="AJ81" s="46">
        <v>8.9891083662099796</v>
      </c>
      <c r="AK81" s="46">
        <v>9.1104639480000014</v>
      </c>
      <c r="AL81" s="46">
        <v>9.2306420943574938</v>
      </c>
      <c r="AM81" s="46">
        <v>9.3495142681599877</v>
      </c>
      <c r="AN81" s="46">
        <v>9.4669603659749839</v>
      </c>
      <c r="AO81" s="46">
        <v>9.5828709766800042</v>
      </c>
      <c r="AP81" s="46">
        <v>9.6971381208649987</v>
      </c>
      <c r="AQ81" s="46">
        <v>9.8096581775849891</v>
      </c>
      <c r="AR81" s="46">
        <v>9.9203391752349859</v>
      </c>
      <c r="AS81" s="46">
        <v>10.0318424635</v>
      </c>
      <c r="AT81" s="46">
        <v>10.171669202918991</v>
      </c>
      <c r="AU81" s="46">
        <v>10.308130869951983</v>
      </c>
      <c r="AV81" s="46">
        <v>10.441039360112374</v>
      </c>
      <c r="AW81" s="46">
        <v>10.570209569450736</v>
      </c>
      <c r="AX81" s="46">
        <v>10.695459820185489</v>
      </c>
      <c r="AY81" s="46">
        <v>10.816612283072679</v>
      </c>
      <c r="AZ81" s="46">
        <v>10.933493395153139</v>
      </c>
      <c r="BA81" s="46">
        <v>11.045934271514517</v>
      </c>
      <c r="BB81" s="46">
        <v>11.153771109710332</v>
      </c>
      <c r="BC81" s="46">
        <v>11.256845585488778</v>
      </c>
      <c r="BD81" s="46">
        <v>11.3550052385001</v>
      </c>
      <c r="BE81" s="46">
        <v>11.448103846673364</v>
      </c>
      <c r="BF81" s="46">
        <v>11.536001787981036</v>
      </c>
      <c r="BG81" s="46">
        <v>11.618566388342982</v>
      </c>
      <c r="BH81" s="46">
        <v>11.695672254460293</v>
      </c>
      <c r="BI81" s="46">
        <v>11.767201590413343</v>
      </c>
      <c r="BJ81" s="46">
        <v>11.833044496908096</v>
      </c>
      <c r="BK81" s="46">
        <v>11.893099252108728</v>
      </c>
      <c r="BL81" s="46">
        <v>11.947272573054233</v>
      </c>
      <c r="BM81" s="46">
        <v>11.995479856720204</v>
      </c>
      <c r="BN81" s="15"/>
    </row>
    <row r="82" spans="2:66" x14ac:dyDescent="0.3">
      <c r="B82" s="12"/>
      <c r="C82" s="14"/>
      <c r="D82" s="13"/>
      <c r="E82" s="13"/>
      <c r="F82" s="13"/>
      <c r="G82" s="13"/>
      <c r="H82" s="13"/>
      <c r="I82" s="13"/>
      <c r="J82" s="13"/>
      <c r="K82" s="13"/>
      <c r="L82" s="13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45"/>
      <c r="BE82" s="45"/>
      <c r="BF82" s="45"/>
      <c r="BG82" s="45"/>
      <c r="BH82" s="45"/>
      <c r="BI82" s="45"/>
      <c r="BJ82" s="45"/>
      <c r="BK82" s="45"/>
      <c r="BL82" s="45"/>
      <c r="BM82" s="45"/>
      <c r="BN82" s="15"/>
    </row>
    <row r="83" spans="2:66" ht="15" thickBot="1" x14ac:dyDescent="0.35">
      <c r="B83" s="16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52"/>
      <c r="AK83" s="52"/>
      <c r="AL83" s="52"/>
      <c r="AM83" s="52"/>
      <c r="AN83" s="52"/>
      <c r="AO83" s="52"/>
      <c r="AP83" s="52"/>
      <c r="AQ83" s="52"/>
      <c r="AR83" s="52"/>
      <c r="AS83" s="52"/>
      <c r="AT83" s="52"/>
      <c r="AU83" s="52"/>
      <c r="AV83" s="52"/>
      <c r="AW83" s="52"/>
      <c r="AX83" s="52"/>
      <c r="AY83" s="52"/>
      <c r="AZ83" s="52"/>
      <c r="BA83" s="52"/>
      <c r="BB83" s="52"/>
      <c r="BC83" s="52"/>
      <c r="BD83" s="52"/>
      <c r="BE83" s="52"/>
      <c r="BF83" s="52"/>
      <c r="BG83" s="52"/>
      <c r="BH83" s="52"/>
      <c r="BI83" s="52"/>
      <c r="BJ83" s="52"/>
      <c r="BK83" s="52"/>
      <c r="BL83" s="52"/>
      <c r="BM83" s="52"/>
      <c r="BN83" s="18"/>
    </row>
    <row r="86" spans="2:66" x14ac:dyDescent="0.3"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</row>
    <row r="88" spans="2:66" x14ac:dyDescent="0.3">
      <c r="G88" s="72"/>
      <c r="H88" s="72">
        <v>2030</v>
      </c>
      <c r="I88" s="72">
        <v>2050</v>
      </c>
      <c r="J88" s="72">
        <v>2070</v>
      </c>
    </row>
    <row r="89" spans="2:66" x14ac:dyDescent="0.3">
      <c r="E89" s="14" t="s">
        <v>53</v>
      </c>
      <c r="G89" s="102" t="s">
        <v>198</v>
      </c>
      <c r="H89" s="103">
        <f>(Y25-S25)/($Y$1-$S$1)</f>
        <v>-1.4573396955865671E-3</v>
      </c>
      <c r="I89" s="103">
        <f>(AS25-Y25)/($AS$1-$Y$1)</f>
        <v>5.204784627095005E-5</v>
      </c>
      <c r="J89" s="103">
        <f>(BM25-AS25)/($BM$1-$AS$1)</f>
        <v>-8.2409089928986441E-6</v>
      </c>
    </row>
    <row r="90" spans="2:66" x14ac:dyDescent="0.3">
      <c r="E90" s="14" t="s">
        <v>54</v>
      </c>
      <c r="G90" s="102" t="s">
        <v>199</v>
      </c>
      <c r="H90" s="104">
        <f>S25-H89*$S$1</f>
        <v>2.9920311438672118</v>
      </c>
      <c r="I90" s="104">
        <f>Y25-I89*$Y$1</f>
        <v>-7.2025566103548003E-2</v>
      </c>
      <c r="J90" s="104">
        <f>Y25-J89*$Y$1</f>
        <v>5.0360607082064843E-2</v>
      </c>
    </row>
    <row r="91" spans="2:66" x14ac:dyDescent="0.3">
      <c r="G91" s="105" t="s">
        <v>200</v>
      </c>
      <c r="H91" s="103">
        <f>(Y26-S26)/($Y$1-$S$1)</f>
        <v>-1.3014795466071497E-3</v>
      </c>
      <c r="I91" s="103">
        <f>(AS26-Y26)/($AS$1-$Y$1)</f>
        <v>4.6481412378826871E-5</v>
      </c>
      <c r="J91" s="103">
        <f>(BM26-AS26)/($BM$1-$AS$1)</f>
        <v>-7.3595569599807507E-6</v>
      </c>
      <c r="M91" t="s">
        <v>197</v>
      </c>
    </row>
    <row r="92" spans="2:66" x14ac:dyDescent="0.3">
      <c r="G92" s="105" t="s">
        <v>201</v>
      </c>
      <c r="H92" s="104">
        <f>S26-H91*$S$1</f>
        <v>2.6778816023328709</v>
      </c>
      <c r="I92" s="104">
        <f>Y26-I91*$Y$1</f>
        <v>-5.8479144408661456E-2</v>
      </c>
      <c r="J92" s="104">
        <f>AS26-J91*$AS$1</f>
        <v>5.1894842735894176E-2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9588-56F4-49B4-9818-1636795189F9}">
  <dimension ref="A1:AL11"/>
  <sheetViews>
    <sheetView topLeftCell="D1" zoomScale="85" zoomScaleNormal="85" workbookViewId="0">
      <selection activeCell="G8" sqref="G8:G10"/>
    </sheetView>
  </sheetViews>
  <sheetFormatPr baseColWidth="10" defaultRowHeight="14.4" x14ac:dyDescent="0.3"/>
  <cols>
    <col min="1" max="1" width="42" customWidth="1"/>
    <col min="2" max="2" width="30.33203125" customWidth="1"/>
    <col min="3" max="3" width="32.88671875" customWidth="1"/>
    <col min="4" max="4" width="23.44140625" customWidth="1"/>
    <col min="5" max="5" width="37.109375" customWidth="1"/>
    <col min="6" max="7" width="12" customWidth="1"/>
    <col min="8" max="8" width="7" customWidth="1"/>
    <col min="9" max="9" width="25.6640625" customWidth="1"/>
    <col min="10" max="10" width="24" customWidth="1"/>
    <col min="11" max="11" width="21.21875" bestFit="1" customWidth="1"/>
    <col min="12" max="12" width="21.21875" customWidth="1"/>
  </cols>
  <sheetData>
    <row r="1" spans="1:38" ht="15" thickBot="1" x14ac:dyDescent="0.35"/>
    <row r="2" spans="1:38" ht="43.2" customHeight="1" x14ac:dyDescent="0.3">
      <c r="A2" s="288" t="s">
        <v>234</v>
      </c>
      <c r="B2" s="289" t="s">
        <v>235</v>
      </c>
      <c r="C2" s="289" t="s">
        <v>236</v>
      </c>
      <c r="D2" s="289" t="s">
        <v>230</v>
      </c>
      <c r="E2" s="290" t="s">
        <v>237</v>
      </c>
      <c r="I2" s="297" t="s">
        <v>241</v>
      </c>
      <c r="J2" s="298"/>
      <c r="K2" s="299" t="s">
        <v>242</v>
      </c>
      <c r="L2" s="299" t="s">
        <v>236</v>
      </c>
      <c r="M2" s="299">
        <v>2010</v>
      </c>
      <c r="N2" s="299">
        <v>2011</v>
      </c>
      <c r="O2" s="299">
        <v>2012</v>
      </c>
      <c r="P2" s="299">
        <v>2013</v>
      </c>
      <c r="Q2" s="299">
        <v>2014</v>
      </c>
      <c r="R2" s="299">
        <v>2015</v>
      </c>
      <c r="S2" s="299">
        <v>2016</v>
      </c>
      <c r="T2" s="299">
        <v>2017</v>
      </c>
      <c r="U2" s="299">
        <v>2018</v>
      </c>
      <c r="V2" s="299">
        <v>2019</v>
      </c>
      <c r="W2" s="299">
        <v>2020</v>
      </c>
      <c r="X2" s="299">
        <v>2021</v>
      </c>
      <c r="Y2" s="299">
        <v>2022</v>
      </c>
      <c r="Z2" s="299">
        <v>2023</v>
      </c>
      <c r="AA2" s="299">
        <v>2024</v>
      </c>
      <c r="AB2" s="299">
        <v>2025</v>
      </c>
      <c r="AC2" s="299">
        <v>2026</v>
      </c>
      <c r="AD2" s="299">
        <v>2027</v>
      </c>
      <c r="AE2" s="299">
        <v>2028</v>
      </c>
      <c r="AF2" s="299">
        <v>2029</v>
      </c>
      <c r="AG2" s="299">
        <v>2030</v>
      </c>
      <c r="AH2" s="299">
        <v>2031</v>
      </c>
      <c r="AI2" s="299">
        <v>2032</v>
      </c>
      <c r="AJ2" s="299">
        <v>2033</v>
      </c>
      <c r="AK2" s="299">
        <v>2034</v>
      </c>
      <c r="AL2" s="300">
        <v>2035</v>
      </c>
    </row>
    <row r="3" spans="1:38" x14ac:dyDescent="0.3">
      <c r="A3" s="283" t="s">
        <v>71</v>
      </c>
      <c r="B3" s="172" t="s">
        <v>285</v>
      </c>
      <c r="C3" s="172" t="s">
        <v>291</v>
      </c>
      <c r="D3" s="172" t="s">
        <v>309</v>
      </c>
      <c r="E3" s="284" t="s">
        <v>292</v>
      </c>
      <c r="I3" s="301" t="s">
        <v>285</v>
      </c>
      <c r="J3" s="291"/>
      <c r="K3" s="291" t="s">
        <v>71</v>
      </c>
      <c r="L3" s="291" t="s">
        <v>83</v>
      </c>
      <c r="M3" s="291">
        <v>4.0672458767841082</v>
      </c>
      <c r="N3" s="291">
        <v>4.2162448360550338</v>
      </c>
      <c r="O3" s="291">
        <v>4.3482153428378556</v>
      </c>
      <c r="P3" s="291">
        <v>4.9634533312331239</v>
      </c>
      <c r="Q3" s="291">
        <v>5.6248384258711592</v>
      </c>
      <c r="R3" s="291">
        <v>5.2972109999999999</v>
      </c>
      <c r="S3" s="291">
        <v>5.0569395353928259</v>
      </c>
      <c r="T3" s="291">
        <v>5.0416139281535308</v>
      </c>
      <c r="U3" s="291">
        <v>5.0260414213090483</v>
      </c>
      <c r="V3" s="291">
        <v>5.0366308136102047</v>
      </c>
      <c r="W3" s="291">
        <v>5.3048492968499996</v>
      </c>
      <c r="X3" s="291">
        <v>5.0537885619000003</v>
      </c>
      <c r="Y3" s="291">
        <v>5.5012364331726751</v>
      </c>
      <c r="Z3" s="291">
        <v>5.8564771716711723</v>
      </c>
      <c r="AA3" s="291">
        <v>6.049717930350214</v>
      </c>
      <c r="AB3" s="291">
        <v>6.3741421875989088</v>
      </c>
      <c r="AC3" s="291">
        <v>6.7039969810817714</v>
      </c>
      <c r="AD3" s="291">
        <v>7.0388800488555363</v>
      </c>
      <c r="AE3" s="291">
        <v>7.3787913909201972</v>
      </c>
      <c r="AF3" s="291">
        <v>7.7237310072757541</v>
      </c>
      <c r="AG3" s="291">
        <v>8.0730955050072986</v>
      </c>
      <c r="AH3" s="291">
        <v>8.2307821867698401</v>
      </c>
      <c r="AI3" s="291">
        <v>8.3886699995040157</v>
      </c>
      <c r="AJ3" s="291">
        <v>8.5464572467523734</v>
      </c>
      <c r="AK3" s="291">
        <v>8.7042444940007329</v>
      </c>
      <c r="AL3" s="302">
        <v>8.8619311757632708</v>
      </c>
    </row>
    <row r="4" spans="1:38" ht="69.599999999999994" customHeight="1" x14ac:dyDescent="0.3">
      <c r="A4" s="283" t="s">
        <v>294</v>
      </c>
      <c r="B4" s="280" t="s">
        <v>295</v>
      </c>
      <c r="C4" s="172" t="s">
        <v>244</v>
      </c>
      <c r="D4" s="172" t="s">
        <v>310</v>
      </c>
      <c r="E4" s="284" t="s">
        <v>307</v>
      </c>
      <c r="I4" s="303" t="s">
        <v>286</v>
      </c>
      <c r="J4" s="292"/>
      <c r="K4" s="293" t="s">
        <v>58</v>
      </c>
      <c r="L4" s="293" t="s">
        <v>287</v>
      </c>
      <c r="M4" s="291">
        <v>0</v>
      </c>
      <c r="N4" s="291">
        <v>0</v>
      </c>
      <c r="O4" s="291">
        <v>0</v>
      </c>
      <c r="P4" s="291">
        <v>0</v>
      </c>
      <c r="Q4" s="291">
        <v>0</v>
      </c>
      <c r="R4" s="291">
        <v>0</v>
      </c>
      <c r="S4" s="291">
        <v>0</v>
      </c>
      <c r="T4" s="291">
        <v>0</v>
      </c>
      <c r="U4" s="291">
        <v>0</v>
      </c>
      <c r="V4" s="291">
        <v>0</v>
      </c>
      <c r="W4" s="291">
        <v>0</v>
      </c>
      <c r="X4" s="291">
        <v>0</v>
      </c>
      <c r="Y4" s="291">
        <v>0</v>
      </c>
      <c r="Z4" s="291">
        <v>0</v>
      </c>
      <c r="AA4" s="291">
        <v>0</v>
      </c>
      <c r="AB4" s="291">
        <v>0.21510699999999999</v>
      </c>
      <c r="AC4" s="291">
        <v>0.39860699999999999</v>
      </c>
      <c r="AD4" s="291">
        <v>0.411107</v>
      </c>
      <c r="AE4" s="291">
        <v>0.42360699999999996</v>
      </c>
      <c r="AF4" s="291">
        <v>0.22099999999999997</v>
      </c>
      <c r="AG4" s="291">
        <v>0.19599999999999998</v>
      </c>
      <c r="AH4" s="291">
        <v>0.20099999999999998</v>
      </c>
      <c r="AI4" s="291">
        <v>0.20599999999999999</v>
      </c>
      <c r="AJ4" s="291">
        <v>0.21099999999999999</v>
      </c>
      <c r="AK4" s="291">
        <v>0.21599999999999997</v>
      </c>
      <c r="AL4" s="302">
        <v>0.22099999999999997</v>
      </c>
    </row>
    <row r="5" spans="1:38" ht="49.2" customHeight="1" x14ac:dyDescent="0.3">
      <c r="A5" s="249" t="s">
        <v>297</v>
      </c>
      <c r="B5" s="280" t="s">
        <v>257</v>
      </c>
      <c r="C5" s="172" t="s">
        <v>258</v>
      </c>
      <c r="D5" s="172" t="s">
        <v>259</v>
      </c>
      <c r="E5" s="285" t="s">
        <v>260</v>
      </c>
      <c r="I5" s="303" t="s">
        <v>288</v>
      </c>
      <c r="J5" s="292"/>
      <c r="K5" s="291" t="s">
        <v>58</v>
      </c>
      <c r="L5" s="293" t="s">
        <v>287</v>
      </c>
      <c r="M5" s="291">
        <v>0</v>
      </c>
      <c r="N5" s="291">
        <v>0</v>
      </c>
      <c r="O5" s="291">
        <v>0</v>
      </c>
      <c r="P5" s="291">
        <v>0</v>
      </c>
      <c r="Q5" s="291">
        <v>0</v>
      </c>
      <c r="R5" s="291">
        <v>0</v>
      </c>
      <c r="S5" s="291">
        <v>0</v>
      </c>
      <c r="T5" s="291">
        <v>0</v>
      </c>
      <c r="U5" s="291">
        <v>0</v>
      </c>
      <c r="V5" s="291">
        <v>0</v>
      </c>
      <c r="W5" s="291">
        <v>0</v>
      </c>
      <c r="X5" s="291">
        <v>0</v>
      </c>
      <c r="Y5" s="291">
        <v>0</v>
      </c>
      <c r="Z5" s="291">
        <v>0</v>
      </c>
      <c r="AA5" s="291">
        <v>0</v>
      </c>
      <c r="AB5" s="291">
        <f>[1]RESIDUOS!P23</f>
        <v>0</v>
      </c>
      <c r="AC5" s="291">
        <f>[1]RESIDUOS!Q23</f>
        <v>0</v>
      </c>
      <c r="AD5" s="291">
        <f>[1]RESIDUOS!R23</f>
        <v>0</v>
      </c>
      <c r="AE5" s="291">
        <f>[1]RESIDUOS!S23</f>
        <v>0</v>
      </c>
      <c r="AF5" s="291">
        <v>1.2857142857142857E-2</v>
      </c>
      <c r="AG5" s="291">
        <v>2.5714285714285714E-2</v>
      </c>
      <c r="AH5" s="291">
        <v>3.8571428571428569E-2</v>
      </c>
      <c r="AI5" s="291">
        <v>5.1428571428571428E-2</v>
      </c>
      <c r="AJ5" s="291">
        <v>6.4285714285714279E-2</v>
      </c>
      <c r="AK5" s="291">
        <v>7.7142857142857138E-2</v>
      </c>
      <c r="AL5" s="302">
        <v>0.09</v>
      </c>
    </row>
    <row r="6" spans="1:38" x14ac:dyDescent="0.3">
      <c r="A6" s="283"/>
      <c r="B6" s="280" t="s">
        <v>299</v>
      </c>
      <c r="C6" s="172" t="s">
        <v>300</v>
      </c>
      <c r="D6" s="172" t="s">
        <v>311</v>
      </c>
      <c r="E6" s="285" t="s">
        <v>308</v>
      </c>
      <c r="I6" s="303" t="s">
        <v>289</v>
      </c>
      <c r="J6" s="292"/>
      <c r="K6" s="291" t="s">
        <v>290</v>
      </c>
      <c r="L6" s="293" t="s">
        <v>287</v>
      </c>
      <c r="M6" s="291">
        <f>M5+M4</f>
        <v>0</v>
      </c>
      <c r="N6" s="291">
        <f>N5+N4</f>
        <v>0</v>
      </c>
      <c r="O6" s="291">
        <f>O5+O4</f>
        <v>0</v>
      </c>
      <c r="P6" s="291">
        <f>P5+P4</f>
        <v>0</v>
      </c>
      <c r="Q6" s="291">
        <f>Q5+Q4</f>
        <v>0</v>
      </c>
      <c r="R6" s="291">
        <f>R5+R4</f>
        <v>0</v>
      </c>
      <c r="S6" s="291">
        <f>S5+S4</f>
        <v>0</v>
      </c>
      <c r="T6" s="291">
        <f>T5+T4</f>
        <v>0</v>
      </c>
      <c r="U6" s="291">
        <f>U5+U4</f>
        <v>0</v>
      </c>
      <c r="V6" s="291">
        <f>V5+V4</f>
        <v>0</v>
      </c>
      <c r="W6" s="291">
        <f>W5+W4</f>
        <v>0</v>
      </c>
      <c r="X6" s="291">
        <f>X5+X4</f>
        <v>0</v>
      </c>
      <c r="Y6" s="291">
        <f>Y5+Y4</f>
        <v>0</v>
      </c>
      <c r="Z6" s="291">
        <f>Z5+Z4</f>
        <v>0</v>
      </c>
      <c r="AA6" s="291">
        <f>AA5+AA4</f>
        <v>0</v>
      </c>
      <c r="AB6" s="291">
        <f>AB5+AB4</f>
        <v>0.21510699999999999</v>
      </c>
      <c r="AC6" s="291">
        <f>AC5+AC4</f>
        <v>0.39860699999999999</v>
      </c>
      <c r="AD6" s="291">
        <f>AD5+AD4</f>
        <v>0.411107</v>
      </c>
      <c r="AE6" s="291">
        <f>AE5+AE4</f>
        <v>0.42360699999999996</v>
      </c>
      <c r="AF6" s="291">
        <f>AF5+AF4</f>
        <v>0.23385714285714282</v>
      </c>
      <c r="AG6" s="291">
        <f>AG5+AG4</f>
        <v>0.2217142857142857</v>
      </c>
      <c r="AH6" s="291">
        <f>AH5+AH4</f>
        <v>0.23957142857142855</v>
      </c>
      <c r="AI6" s="291">
        <f>AI5+AI4</f>
        <v>0.2574285714285714</v>
      </c>
      <c r="AJ6" s="291">
        <f>AJ5+AJ4</f>
        <v>0.27528571428571424</v>
      </c>
      <c r="AK6" s="291">
        <f>AK5+AK4</f>
        <v>0.29314285714285709</v>
      </c>
      <c r="AL6" s="302">
        <f>AL5+AL4</f>
        <v>0.31099999999999994</v>
      </c>
    </row>
    <row r="7" spans="1:38" ht="29.4" thickBot="1" x14ac:dyDescent="0.35">
      <c r="A7" s="286"/>
      <c r="B7" s="252" t="s">
        <v>303</v>
      </c>
      <c r="C7" s="252" t="s">
        <v>244</v>
      </c>
      <c r="D7" s="252" t="s">
        <v>312</v>
      </c>
      <c r="E7" s="287" t="s">
        <v>304</v>
      </c>
      <c r="I7" s="303" t="s">
        <v>293</v>
      </c>
      <c r="J7" s="292"/>
      <c r="K7" s="291" t="s">
        <v>294</v>
      </c>
      <c r="L7" s="293" t="s">
        <v>287</v>
      </c>
      <c r="M7" s="294">
        <v>0.89238300000000004</v>
      </c>
      <c r="N7" s="291">
        <v>1.0327999999999999</v>
      </c>
      <c r="O7" s="294">
        <v>1.1733100000000001</v>
      </c>
      <c r="P7" s="291">
        <v>1.2297400000000001</v>
      </c>
      <c r="Q7" s="294">
        <v>1.2863599999999999</v>
      </c>
      <c r="R7" s="291">
        <v>1.72014</v>
      </c>
      <c r="S7" s="294">
        <v>2.1541600000000001</v>
      </c>
      <c r="T7" s="291">
        <v>2.4350299999999998</v>
      </c>
      <c r="U7" s="294">
        <v>2.7160700000000002</v>
      </c>
      <c r="V7" s="291">
        <v>2.8979900000000001</v>
      </c>
      <c r="W7" s="294">
        <v>3.0796899999999998</v>
      </c>
      <c r="X7" s="291">
        <v>3.2990200000000001</v>
      </c>
      <c r="Y7" s="294">
        <v>3.4497</v>
      </c>
      <c r="Z7" s="291">
        <v>3.8272499999999998</v>
      </c>
      <c r="AA7" s="294">
        <v>4.2379100000000003</v>
      </c>
      <c r="AB7" s="291">
        <v>4.68269</v>
      </c>
      <c r="AC7" s="294">
        <v>5.1631200000000002</v>
      </c>
      <c r="AD7" s="291">
        <v>5.6910100000000003</v>
      </c>
      <c r="AE7" s="294">
        <v>6.2594900000000004</v>
      </c>
      <c r="AF7" s="291">
        <v>6.8704400000000003</v>
      </c>
      <c r="AG7" s="294">
        <v>7.5369200000000003</v>
      </c>
      <c r="AH7" s="291">
        <v>8.0581899999999997</v>
      </c>
      <c r="AI7" s="294">
        <v>8.6180000000000003</v>
      </c>
      <c r="AJ7" s="291">
        <v>9.2053100000000008</v>
      </c>
      <c r="AK7" s="294">
        <v>9.8328600000000002</v>
      </c>
      <c r="AL7" s="302">
        <v>10.5021</v>
      </c>
    </row>
    <row r="8" spans="1:38" x14ac:dyDescent="0.3">
      <c r="I8" s="303" t="s">
        <v>296</v>
      </c>
      <c r="J8" s="292"/>
      <c r="K8" s="291" t="s">
        <v>294</v>
      </c>
      <c r="L8" s="293" t="s">
        <v>287</v>
      </c>
      <c r="M8" s="295">
        <f>M7-M6</f>
        <v>0.89238300000000004</v>
      </c>
      <c r="N8" s="295">
        <f>N7-N6</f>
        <v>1.0327999999999999</v>
      </c>
      <c r="O8" s="295">
        <f>O7-O6</f>
        <v>1.1733100000000001</v>
      </c>
      <c r="P8" s="295">
        <f>P7-P6</f>
        <v>1.2297400000000001</v>
      </c>
      <c r="Q8" s="295">
        <f>Q7-Q6</f>
        <v>1.2863599999999999</v>
      </c>
      <c r="R8" s="295">
        <f>R7-R6</f>
        <v>1.72014</v>
      </c>
      <c r="S8" s="295">
        <f>S7-S6</f>
        <v>2.1541600000000001</v>
      </c>
      <c r="T8" s="295">
        <f>T7-T6</f>
        <v>2.4350299999999998</v>
      </c>
      <c r="U8" s="295">
        <f>U7-U6</f>
        <v>2.7160700000000002</v>
      </c>
      <c r="V8" s="295">
        <f>V7-V6</f>
        <v>2.8979900000000001</v>
      </c>
      <c r="W8" s="295">
        <f>W7-W6</f>
        <v>3.0796899999999998</v>
      </c>
      <c r="X8" s="295">
        <f>X7-X6</f>
        <v>3.2990200000000001</v>
      </c>
      <c r="Y8" s="295">
        <f>Y7-Y6</f>
        <v>3.4497</v>
      </c>
      <c r="Z8" s="295">
        <f>Z7-Z6</f>
        <v>3.8272499999999998</v>
      </c>
      <c r="AA8" s="295">
        <f>AA7-AA6</f>
        <v>4.2379100000000003</v>
      </c>
      <c r="AB8" s="295">
        <f>AB7-AB6</f>
        <v>4.4675830000000003</v>
      </c>
      <c r="AC8" s="295">
        <f>AC7-AC6</f>
        <v>4.764513</v>
      </c>
      <c r="AD8" s="295">
        <f>AD7-AD6</f>
        <v>5.279903</v>
      </c>
      <c r="AE8" s="295">
        <f>AE7-AE6</f>
        <v>5.8358830000000008</v>
      </c>
      <c r="AF8" s="295">
        <f>AF7-AF6</f>
        <v>6.6365828571428578</v>
      </c>
      <c r="AG8" s="295">
        <f>AG7-AG6</f>
        <v>7.3152057142857148</v>
      </c>
      <c r="AH8" s="295">
        <f>AH7-AH6</f>
        <v>7.818618571428571</v>
      </c>
      <c r="AI8" s="295">
        <f>AI7-AI6</f>
        <v>8.3605714285714292</v>
      </c>
      <c r="AJ8" s="295">
        <f>AJ7-AJ6</f>
        <v>8.9300242857142873</v>
      </c>
      <c r="AK8" s="295">
        <f>AK7-AK6</f>
        <v>9.5397171428571426</v>
      </c>
      <c r="AL8" s="304">
        <f>AL7-AL6</f>
        <v>10.1911</v>
      </c>
    </row>
    <row r="9" spans="1:38" x14ac:dyDescent="0.3">
      <c r="I9" s="303" t="s">
        <v>298</v>
      </c>
      <c r="J9" s="292"/>
      <c r="K9" s="291"/>
      <c r="L9" s="291" t="s">
        <v>134</v>
      </c>
      <c r="M9" s="296">
        <v>0.66112217571496168</v>
      </c>
      <c r="N9" s="296">
        <v>0.72107759730975074</v>
      </c>
      <c r="O9" s="296">
        <v>0.77651456906312555</v>
      </c>
      <c r="P9" s="296">
        <v>0.69819943503614312</v>
      </c>
      <c r="Q9" s="296">
        <v>0.62124942271483063</v>
      </c>
      <c r="R9" s="296">
        <v>0.79902605068697596</v>
      </c>
      <c r="S9" s="296">
        <v>1.0153932721873917</v>
      </c>
      <c r="T9" s="296">
        <v>1.0954288788549293</v>
      </c>
      <c r="U9" s="296">
        <v>1.2462488407050467</v>
      </c>
      <c r="V9" s="296">
        <v>1.2360818744493951</v>
      </c>
      <c r="W9" s="296">
        <v>1.1915549932787455</v>
      </c>
      <c r="X9" s="296">
        <v>1.3112676283184133</v>
      </c>
      <c r="Y9" s="296">
        <v>1.2056827640063685</v>
      </c>
      <c r="Z9" s="296">
        <v>1.2357526893295872</v>
      </c>
      <c r="AA9" s="296">
        <v>1.3246776406662635</v>
      </c>
      <c r="AB9" s="296">
        <v>1.389191513298601</v>
      </c>
      <c r="AC9" s="296">
        <v>1.4563682678617098</v>
      </c>
      <c r="AD9" s="296">
        <v>1.5288969045720771</v>
      </c>
      <c r="AE9" s="296">
        <v>1.6041331829998837</v>
      </c>
      <c r="AF9" s="296">
        <v>1.6820771562382311</v>
      </c>
      <c r="AG9" s="296">
        <v>1.7653756591399554</v>
      </c>
      <c r="AH9" s="296">
        <v>1.8513497815158373</v>
      </c>
      <c r="AI9" s="296">
        <v>1.9426963765389296</v>
      </c>
      <c r="AJ9" s="296">
        <v>2.0367532655703338</v>
      </c>
      <c r="AK9" s="296">
        <v>2.1361848637424745</v>
      </c>
      <c r="AL9" s="305">
        <v>2.2409668266412179</v>
      </c>
    </row>
    <row r="10" spans="1:38" x14ac:dyDescent="0.3">
      <c r="I10" s="303" t="s">
        <v>302</v>
      </c>
      <c r="J10" s="292"/>
      <c r="K10" s="291" t="s">
        <v>294</v>
      </c>
      <c r="L10" s="291" t="s">
        <v>83</v>
      </c>
      <c r="M10" s="291">
        <f>M8/M9</f>
        <v>1.3498004344430656</v>
      </c>
      <c r="N10" s="291">
        <f>N8/N9</f>
        <v>1.432300772972626</v>
      </c>
      <c r="O10" s="291">
        <f>O8/O9</f>
        <v>1.510995474837791</v>
      </c>
      <c r="P10" s="291">
        <f>P8/P9</f>
        <v>1.7613019121625917</v>
      </c>
      <c r="Q10" s="291">
        <f>Q8/Q9</f>
        <v>2.0706015216540039</v>
      </c>
      <c r="R10" s="291">
        <f>R8/R9</f>
        <v>2.1527958926008495</v>
      </c>
      <c r="S10" s="291">
        <f>S8/S9</f>
        <v>2.1215031249512237</v>
      </c>
      <c r="T10" s="291">
        <f>T8/T9</f>
        <v>2.2229010454292375</v>
      </c>
      <c r="U10" s="291">
        <f>U8/U9</f>
        <v>2.1793962098800623</v>
      </c>
      <c r="V10" s="291">
        <f>V8/V9</f>
        <v>2.344496800659658</v>
      </c>
      <c r="W10" s="291">
        <f>W8/W9</f>
        <v>2.5845974523809114</v>
      </c>
      <c r="X10" s="291">
        <f>X8/X9</f>
        <v>2.5159013528235317</v>
      </c>
      <c r="Y10" s="291">
        <f>Y8/Y9</f>
        <v>2.8612003944860063</v>
      </c>
      <c r="Z10" s="291">
        <f>Z8/Z9</f>
        <v>3.0971002798920355</v>
      </c>
      <c r="AA10" s="291">
        <f>AA8/AA9</f>
        <v>3.1992009753169</v>
      </c>
      <c r="AB10" s="291">
        <f>AB8/AB9</f>
        <v>3.2159590360524408</v>
      </c>
      <c r="AC10" s="291">
        <f>AC8/AC9</f>
        <v>3.2715028919130615</v>
      </c>
      <c r="AD10" s="291">
        <f>AD8/AD9</f>
        <v>3.4534068217489078</v>
      </c>
      <c r="AE10" s="291">
        <f>AE8/AE9</f>
        <v>3.638028975303869</v>
      </c>
      <c r="AF10" s="291">
        <f>AF8/AF9</f>
        <v>3.945468751257998</v>
      </c>
      <c r="AG10" s="291">
        <f>AG8/AG9</f>
        <v>4.1437105334563693</v>
      </c>
      <c r="AH10" s="291">
        <f>AH8/AH9</f>
        <v>4.2231990137632929</v>
      </c>
      <c r="AI10" s="291">
        <f>AI8/AI9</f>
        <v>4.3035914049865385</v>
      </c>
      <c r="AJ10" s="291">
        <f>AJ8/AJ9</f>
        <v>4.3844408827859143</v>
      </c>
      <c r="AK10" s="291">
        <f>AK8/AK9</f>
        <v>4.4657732131591361</v>
      </c>
      <c r="AL10" s="302">
        <f>AL8/AL9</f>
        <v>4.5476353682908002</v>
      </c>
    </row>
    <row r="11" spans="1:38" ht="15" thickBot="1" x14ac:dyDescent="0.35">
      <c r="I11" s="306" t="s">
        <v>305</v>
      </c>
      <c r="J11" s="307"/>
      <c r="K11" s="308" t="s">
        <v>294</v>
      </c>
      <c r="L11" s="308" t="s">
        <v>83</v>
      </c>
      <c r="M11" s="247">
        <f>M10/M3</f>
        <v>0.33187087167455104</v>
      </c>
      <c r="N11" s="247">
        <f>N10/N3</f>
        <v>0.33971005685541988</v>
      </c>
      <c r="O11" s="247">
        <f>O10/O3</f>
        <v>0.34749784812903084</v>
      </c>
      <c r="P11" s="247">
        <f>P10/P3</f>
        <v>0.35485412970026103</v>
      </c>
      <c r="Q11" s="247">
        <f>Q10/Q3</f>
        <v>0.3681175110969192</v>
      </c>
      <c r="R11" s="247">
        <f>R10/R3</f>
        <v>0.40640176360746239</v>
      </c>
      <c r="S11" s="247">
        <f>S10/S3</f>
        <v>0.41952313451705608</v>
      </c>
      <c r="T11" s="247">
        <f>T10/T3</f>
        <v>0.44091060464111448</v>
      </c>
      <c r="U11" s="247">
        <f>U10/U3</f>
        <v>0.4336208214759264</v>
      </c>
      <c r="V11" s="247">
        <f>V10/V3</f>
        <v>0.46548911115824809</v>
      </c>
      <c r="W11" s="247">
        <f>W10/W3</f>
        <v>0.48721411443594376</v>
      </c>
      <c r="X11" s="247">
        <f>X10/X3</f>
        <v>0.49782481439580933</v>
      </c>
      <c r="Y11" s="247">
        <f>Y10/Y3</f>
        <v>0.52010133162662375</v>
      </c>
      <c r="Z11" s="247">
        <f>Z10/Z3</f>
        <v>0.52883332233808811</v>
      </c>
      <c r="AA11" s="247">
        <f>AA10/AA3</f>
        <v>0.52881820477400343</v>
      </c>
      <c r="AB11" s="247">
        <f>AB10/AB3</f>
        <v>0.50453205174951832</v>
      </c>
      <c r="AC11" s="247">
        <f>AC10/AC3</f>
        <v>0.48799289455902539</v>
      </c>
      <c r="AD11" s="247">
        <f>AD10/AD3</f>
        <v>0.4906187913104732</v>
      </c>
      <c r="AE11" s="247">
        <f>AE10/AE3</f>
        <v>0.49303859976046516</v>
      </c>
      <c r="AF11" s="247">
        <f>AF10/AF3</f>
        <v>0.51082420497831516</v>
      </c>
      <c r="AG11" s="247">
        <f>AG10/AG3</f>
        <v>0.51327406332382086</v>
      </c>
      <c r="AH11" s="247">
        <f>AH10/AH3</f>
        <v>0.51309813793294923</v>
      </c>
      <c r="AI11" s="247">
        <f>AI10/AI3</f>
        <v>0.51302428218549434</v>
      </c>
      <c r="AJ11" s="247">
        <f>AJ10/AJ3</f>
        <v>0.51301267369610815</v>
      </c>
      <c r="AK11" s="247">
        <f>AK10/AK3</f>
        <v>0.51305695930727846</v>
      </c>
      <c r="AL11" s="253">
        <f>AL10/AL3</f>
        <v>0.5131652771946873</v>
      </c>
    </row>
  </sheetData>
  <mergeCells count="9">
    <mergeCell ref="I9:J9"/>
    <mergeCell ref="I10:J10"/>
    <mergeCell ref="I11:J11"/>
    <mergeCell ref="I2:J2"/>
    <mergeCell ref="I4:J4"/>
    <mergeCell ref="I5:J5"/>
    <mergeCell ref="I6:J6"/>
    <mergeCell ref="I7:J7"/>
    <mergeCell ref="I8:J8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1225-486B-4D10-A33A-D8C75B23D0BE}">
  <dimension ref="A1:AK90"/>
  <sheetViews>
    <sheetView zoomScale="70" zoomScaleNormal="70" workbookViewId="0">
      <selection activeCell="G21" sqref="G21:J21"/>
    </sheetView>
  </sheetViews>
  <sheetFormatPr baseColWidth="10" defaultRowHeight="14.4" x14ac:dyDescent="0.3"/>
  <cols>
    <col min="1" max="1" width="26.6640625" customWidth="1"/>
    <col min="2" max="4" width="17.6640625" customWidth="1"/>
    <col min="5" max="5" width="34.21875" customWidth="1"/>
    <col min="6" max="6" width="17.6640625" customWidth="1"/>
    <col min="7" max="8" width="17.33203125" customWidth="1"/>
    <col min="9" max="10" width="37.44140625" customWidth="1"/>
    <col min="12" max="12" width="11.5546875" customWidth="1"/>
  </cols>
  <sheetData>
    <row r="1" spans="1:37" x14ac:dyDescent="0.3">
      <c r="C1" s="310" t="s">
        <v>319</v>
      </c>
      <c r="G1" s="346"/>
      <c r="H1" s="347"/>
      <c r="I1" s="347"/>
      <c r="J1" s="347"/>
      <c r="K1" s="343">
        <v>2010</v>
      </c>
      <c r="L1" s="343">
        <v>2011</v>
      </c>
      <c r="M1" s="343">
        <v>2012</v>
      </c>
      <c r="N1" s="343">
        <v>2013</v>
      </c>
      <c r="O1" s="343">
        <v>2014</v>
      </c>
      <c r="P1" s="343">
        <v>2015</v>
      </c>
      <c r="Q1" s="343">
        <v>2016</v>
      </c>
      <c r="R1" s="343">
        <v>2017</v>
      </c>
      <c r="S1" s="343">
        <v>2018</v>
      </c>
      <c r="T1" s="343">
        <v>2019</v>
      </c>
      <c r="U1" s="343">
        <v>2020</v>
      </c>
      <c r="V1" s="343">
        <v>2021</v>
      </c>
      <c r="W1" s="343">
        <v>2022</v>
      </c>
      <c r="X1" s="343">
        <v>2023</v>
      </c>
      <c r="Y1" s="343">
        <v>2024</v>
      </c>
      <c r="Z1" s="343">
        <v>2025</v>
      </c>
      <c r="AA1" s="343">
        <v>2026</v>
      </c>
      <c r="AB1" s="343">
        <v>2027</v>
      </c>
      <c r="AC1" s="343">
        <v>2028</v>
      </c>
      <c r="AD1" s="343">
        <v>2029</v>
      </c>
      <c r="AE1" s="343">
        <v>2030</v>
      </c>
      <c r="AF1" s="343">
        <v>2031</v>
      </c>
      <c r="AG1" s="343">
        <v>2032</v>
      </c>
      <c r="AH1" s="343">
        <v>2033</v>
      </c>
      <c r="AI1" s="343">
        <v>2034</v>
      </c>
      <c r="AJ1" s="344">
        <v>2035</v>
      </c>
    </row>
    <row r="2" spans="1:37" x14ac:dyDescent="0.3">
      <c r="C2" s="311"/>
      <c r="G2" s="348" t="s">
        <v>241</v>
      </c>
      <c r="H2" s="264"/>
      <c r="I2" s="164" t="s">
        <v>242</v>
      </c>
      <c r="J2" s="164" t="s">
        <v>236</v>
      </c>
      <c r="K2" s="164"/>
      <c r="L2" s="164"/>
      <c r="M2" s="164"/>
      <c r="N2" s="164"/>
      <c r="O2" s="164"/>
      <c r="P2" s="164"/>
      <c r="Q2" s="164"/>
      <c r="R2" s="164"/>
      <c r="S2" s="164"/>
      <c r="T2" s="164"/>
      <c r="U2" s="164"/>
      <c r="V2" s="164"/>
      <c r="W2" s="164"/>
      <c r="X2" s="164"/>
      <c r="Y2" s="164"/>
      <c r="Z2" s="164"/>
      <c r="AA2" s="164"/>
      <c r="AB2" s="164"/>
      <c r="AC2" s="164"/>
      <c r="AD2" s="164"/>
      <c r="AE2" s="164"/>
      <c r="AF2" s="164"/>
      <c r="AG2" s="164"/>
      <c r="AH2" s="164"/>
      <c r="AI2" s="164"/>
      <c r="AJ2" s="277"/>
    </row>
    <row r="3" spans="1:37" ht="51" customHeight="1" x14ac:dyDescent="0.3">
      <c r="A3" s="309"/>
      <c r="C3" s="311"/>
      <c r="G3" s="335" t="s">
        <v>318</v>
      </c>
      <c r="H3" s="333"/>
      <c r="I3" s="280" t="s">
        <v>71</v>
      </c>
      <c r="J3" s="280" t="s">
        <v>83</v>
      </c>
      <c r="K3" s="172">
        <v>4.0672458767841082</v>
      </c>
      <c r="L3" s="172">
        <v>4.2162448360550338</v>
      </c>
      <c r="M3" s="172">
        <v>4.3482153428378556</v>
      </c>
      <c r="N3" s="172">
        <v>4.9634533312331239</v>
      </c>
      <c r="O3" s="172">
        <v>5.6248384258711592</v>
      </c>
      <c r="P3" s="172">
        <v>5.2972109999999999</v>
      </c>
      <c r="Q3" s="172">
        <v>5.0569395353928259</v>
      </c>
      <c r="R3" s="172">
        <v>5.0416139281535308</v>
      </c>
      <c r="S3" s="172">
        <v>5.0260414213090483</v>
      </c>
      <c r="T3" s="172">
        <v>5.0366308136102047</v>
      </c>
      <c r="U3" s="172">
        <v>5.3048492968499996</v>
      </c>
      <c r="V3" s="172">
        <v>5.0537885619000003</v>
      </c>
      <c r="W3" s="172">
        <v>5.5012364331726751</v>
      </c>
      <c r="X3" s="172">
        <v>5.8564771716711723</v>
      </c>
      <c r="Y3" s="172">
        <v>6.049717930350214</v>
      </c>
      <c r="Z3" s="172">
        <v>6.3741421875989088</v>
      </c>
      <c r="AA3" s="172">
        <v>6.7039969810817714</v>
      </c>
      <c r="AB3" s="172">
        <v>7.0388800488555363</v>
      </c>
      <c r="AC3" s="172">
        <v>7.3787913909201972</v>
      </c>
      <c r="AD3" s="172">
        <v>7.7237310072757541</v>
      </c>
      <c r="AE3" s="172">
        <v>8.0730955050072986</v>
      </c>
      <c r="AF3" s="172">
        <v>8.2307821867698401</v>
      </c>
      <c r="AG3" s="172">
        <v>8.3886699995040157</v>
      </c>
      <c r="AH3" s="172">
        <v>8.5464572467523734</v>
      </c>
      <c r="AI3" s="172">
        <v>8.7042444940007329</v>
      </c>
      <c r="AJ3" s="284">
        <v>8.8619311757632708</v>
      </c>
    </row>
    <row r="4" spans="1:37" ht="46.8" customHeight="1" x14ac:dyDescent="0.3">
      <c r="G4" s="335" t="s">
        <v>320</v>
      </c>
      <c r="H4" s="333"/>
      <c r="I4" s="280" t="s">
        <v>71</v>
      </c>
      <c r="J4" s="280" t="s">
        <v>258</v>
      </c>
      <c r="K4" s="172">
        <v>0</v>
      </c>
      <c r="L4" s="172">
        <v>0</v>
      </c>
      <c r="M4" s="172">
        <v>0</v>
      </c>
      <c r="N4" s="172">
        <v>0</v>
      </c>
      <c r="O4" s="172">
        <v>0</v>
      </c>
      <c r="P4" s="172">
        <v>0</v>
      </c>
      <c r="Q4" s="172">
        <v>0</v>
      </c>
      <c r="R4" s="172">
        <v>0</v>
      </c>
      <c r="S4" s="172">
        <v>0</v>
      </c>
      <c r="T4" s="172">
        <v>0</v>
      </c>
      <c r="U4" s="172">
        <v>0</v>
      </c>
      <c r="V4" s="172">
        <v>0</v>
      </c>
      <c r="W4" s="172">
        <v>0</v>
      </c>
      <c r="X4" s="172">
        <v>0</v>
      </c>
      <c r="Y4" s="172">
        <v>0</v>
      </c>
      <c r="Z4" s="172">
        <v>0</v>
      </c>
      <c r="AA4" s="172">
        <f t="shared" ref="AA4:AI4" si="0">$B$11+$C$11+$D$11+Z4+$A$11</f>
        <v>0.4</v>
      </c>
      <c r="AB4" s="172">
        <f t="shared" si="0"/>
        <v>0.8</v>
      </c>
      <c r="AC4" s="172">
        <f t="shared" si="0"/>
        <v>1.2000000000000002</v>
      </c>
      <c r="AD4" s="172">
        <f t="shared" si="0"/>
        <v>1.6</v>
      </c>
      <c r="AE4" s="172">
        <f t="shared" si="0"/>
        <v>2</v>
      </c>
      <c r="AF4" s="172">
        <f t="shared" si="0"/>
        <v>2.4</v>
      </c>
      <c r="AG4" s="172">
        <f t="shared" si="0"/>
        <v>2.8</v>
      </c>
      <c r="AH4" s="172">
        <f t="shared" si="0"/>
        <v>3.1999999999999997</v>
      </c>
      <c r="AI4" s="172">
        <f t="shared" si="0"/>
        <v>3.5999999999999996</v>
      </c>
      <c r="AJ4" s="284">
        <f>$B$11+$C$11+$D$11+AI4+$A$11</f>
        <v>3.9999999999999996</v>
      </c>
    </row>
    <row r="5" spans="1:37" x14ac:dyDescent="0.3">
      <c r="G5" s="335" t="s">
        <v>320</v>
      </c>
      <c r="H5" s="333"/>
      <c r="I5" s="280" t="s">
        <v>71</v>
      </c>
      <c r="J5" s="280" t="s">
        <v>258</v>
      </c>
      <c r="K5" s="172">
        <f>(K4/28)*1000</f>
        <v>0</v>
      </c>
      <c r="L5" s="172">
        <f t="shared" ref="L5:Z5" si="1">(L4/28)*1000</f>
        <v>0</v>
      </c>
      <c r="M5" s="172">
        <f t="shared" si="1"/>
        <v>0</v>
      </c>
      <c r="N5" s="172">
        <f t="shared" si="1"/>
        <v>0</v>
      </c>
      <c r="O5" s="172">
        <f t="shared" si="1"/>
        <v>0</v>
      </c>
      <c r="P5" s="172">
        <f t="shared" si="1"/>
        <v>0</v>
      </c>
      <c r="Q5" s="172">
        <f t="shared" si="1"/>
        <v>0</v>
      </c>
      <c r="R5" s="172">
        <f t="shared" si="1"/>
        <v>0</v>
      </c>
      <c r="S5" s="172">
        <f t="shared" si="1"/>
        <v>0</v>
      </c>
      <c r="T5" s="172">
        <f t="shared" si="1"/>
        <v>0</v>
      </c>
      <c r="U5" s="172">
        <f t="shared" si="1"/>
        <v>0</v>
      </c>
      <c r="V5" s="172">
        <f t="shared" si="1"/>
        <v>0</v>
      </c>
      <c r="W5" s="172">
        <f t="shared" si="1"/>
        <v>0</v>
      </c>
      <c r="X5" s="172">
        <f t="shared" si="1"/>
        <v>0</v>
      </c>
      <c r="Y5" s="172">
        <f t="shared" si="1"/>
        <v>0</v>
      </c>
      <c r="Z5" s="172">
        <f t="shared" si="1"/>
        <v>0</v>
      </c>
      <c r="AA5" s="334">
        <f>$B$13+$C$13+$D$13+Z5+$A$13</f>
        <v>1.4285714285714287E-2</v>
      </c>
      <c r="AB5" s="334">
        <f>$B$13+$C$13+$D$13+AA5+$A$13</f>
        <v>2.8571428571428574E-2</v>
      </c>
      <c r="AC5" s="334">
        <f>$B$13+$C$13+$D$13+AB5+$A$13</f>
        <v>4.2857142857142858E-2</v>
      </c>
      <c r="AD5" s="334">
        <f>$B$13+$C$13+$D$13+AC5+$A$13</f>
        <v>5.7142857142857148E-2</v>
      </c>
      <c r="AE5" s="334">
        <f>$B$13+$C$13+$D$13+AD5+$A$13</f>
        <v>7.1428571428571438E-2</v>
      </c>
      <c r="AF5" s="334">
        <f>$B$13+$C$13+$D$13+AE5+$A$13</f>
        <v>8.5714285714285729E-2</v>
      </c>
      <c r="AG5" s="334">
        <f>$B$13+$C$13+$D$13+AF5+$A$13</f>
        <v>0.10000000000000002</v>
      </c>
      <c r="AH5" s="334">
        <f>$B$13+$C$13+$D$13+AG5+$A$13</f>
        <v>0.11428571428571431</v>
      </c>
      <c r="AI5" s="334">
        <f>$B$13+$C$13+$D$13+AH5+$A$13</f>
        <v>0.12857142857142859</v>
      </c>
      <c r="AJ5" s="336">
        <f>$B$13+$C$13+$D$13+AI5+$A$13</f>
        <v>0.14285714285714288</v>
      </c>
    </row>
    <row r="6" spans="1:37" ht="33" customHeight="1" x14ac:dyDescent="0.3">
      <c r="G6" s="335" t="s">
        <v>321</v>
      </c>
      <c r="H6" s="333"/>
      <c r="I6" s="280" t="s">
        <v>71</v>
      </c>
      <c r="J6" s="280" t="s">
        <v>83</v>
      </c>
      <c r="K6" s="172">
        <f>(((K5*12)/(16*(1-$B$15)*($B$14*$B$16*$B$17*$B$18))))/1000</f>
        <v>0</v>
      </c>
      <c r="L6" s="172">
        <f>(((L5*12)/(16*(1-$B$15)*($B$14*$B$16*$B$17*$B$18))))/1000</f>
        <v>0</v>
      </c>
      <c r="M6" s="172">
        <f>(((M5*12)/(16*(1-$B$15)*($B$14*$B$16*$B$17*$B$18))))/1000</f>
        <v>0</v>
      </c>
      <c r="N6" s="172">
        <f>(((N5*12)/(16*(1-$B$15)*($B$14*$B$16*$B$17*$B$18))))/1000</f>
        <v>0</v>
      </c>
      <c r="O6" s="172">
        <f>(((O5*12)/(16*(1-$B$15)*($B$14*$B$16*$B$17*$B$18))))/1000</f>
        <v>0</v>
      </c>
      <c r="P6" s="172">
        <f>(((P5*12)/(16*(1-$B$15)*($B$14*$B$16*$B$17*$B$18))))/1000</f>
        <v>0</v>
      </c>
      <c r="Q6" s="172">
        <f>(((Q5*12)/(16*(1-$B$15)*($B$14*$B$16*$B$17*$B$18))))/1000</f>
        <v>0</v>
      </c>
      <c r="R6" s="172">
        <f>(((R5*12)/(16*(1-$B$15)*($B$14*$B$16*$B$17*$B$18))))/1000</f>
        <v>0</v>
      </c>
      <c r="S6" s="172">
        <f>(((S5*12)/(16*(1-$B$15)*($B$14*$B$16*$B$17*$B$18))))/1000</f>
        <v>0</v>
      </c>
      <c r="T6" s="172">
        <f>(((T5*12)/(16*(1-$B$15)*($B$14*$B$16*$B$17*$B$18))))/1000</f>
        <v>0</v>
      </c>
      <c r="U6" s="172">
        <f>(((U5*12)/(16*(1-$B$15)*($B$14*$B$16*$B$17*$B$18))))/1000</f>
        <v>0</v>
      </c>
      <c r="V6" s="172">
        <f>(((V5*12)/(16*(1-$B$15)*($B$14*$B$16*$B$17*$B$18))))/1000</f>
        <v>0</v>
      </c>
      <c r="W6" s="172">
        <f>(((W5*12)/(16*(1-$B$15)*($B$14*$B$16*$B$17*$B$18))))/1000</f>
        <v>0</v>
      </c>
      <c r="X6" s="172">
        <f>(((X5*12)/(16*(1-$B$15)*($B$14*$B$16*$B$17*$B$18))))/1000</f>
        <v>0</v>
      </c>
      <c r="Y6" s="172">
        <f>(((Y5*12)/(16*(1-$B$15)*($B$14*$B$16*$B$17*$B$18))))/1000</f>
        <v>0</v>
      </c>
      <c r="Z6" s="172">
        <f>(((Z5*12)/(16*(1-$B$15)*($B$14*$B$16*$B$17*$B$18))))/1000</f>
        <v>0</v>
      </c>
      <c r="AA6" s="172">
        <f>(((AA5*12)/(16*(1-$B$15)*($B$14*$B$16*$B$17*$B$18))))/1000</f>
        <v>2.8571428571428574E-4</v>
      </c>
      <c r="AB6" s="172">
        <f>(((AB5*12)/(16*(1-$B$15)*($B$14*$B$16*$B$17*$B$18))))/1000</f>
        <v>5.7142857142857147E-4</v>
      </c>
      <c r="AC6" s="172">
        <f>(((AC5*12)/(16*(1-$B$15)*($B$14*$B$16*$B$17*$B$18))))/1000</f>
        <v>8.571428571428571E-4</v>
      </c>
      <c r="AD6" s="172">
        <f>(((AD5*12)/(16*(1-$B$15)*($B$14*$B$16*$B$17*$B$18))))/1000</f>
        <v>1.1428571428571429E-3</v>
      </c>
      <c r="AE6" s="172">
        <f>(((AE5*12)/(16*(1-$B$15)*($B$14*$B$16*$B$17*$B$18))))/1000</f>
        <v>1.4285714285714288E-3</v>
      </c>
      <c r="AF6" s="172">
        <f>(((AF5*12)/(16*(1-$B$15)*($B$14*$B$16*$B$17*$B$18))))/1000</f>
        <v>1.7142857142857146E-3</v>
      </c>
      <c r="AG6" s="172">
        <f>(((AG5*12)/(16*(1-$B$15)*($B$14*$B$16*$B$17*$B$18))))/1000</f>
        <v>2.0000000000000005E-3</v>
      </c>
      <c r="AH6" s="172">
        <f>(((AH5*12)/(16*(1-$B$15)*($B$14*$B$16*$B$17*$B$18))))/1000</f>
        <v>2.2857142857142859E-3</v>
      </c>
      <c r="AI6" s="172">
        <f>(((AI5*12)/(16*(1-$B$15)*($B$14*$B$16*$B$17*$B$18))))/1000</f>
        <v>2.5714285714285722E-3</v>
      </c>
      <c r="AJ6" s="284">
        <f>(((AJ5*12)/(16*(1-$B$15)*($B$14*$B$16*$B$17*$B$18))))/1000</f>
        <v>2.8571428571428576E-3</v>
      </c>
    </row>
    <row r="7" spans="1:37" ht="33" customHeight="1" x14ac:dyDescent="0.3">
      <c r="G7" s="335" t="s">
        <v>322</v>
      </c>
      <c r="H7" s="333"/>
      <c r="I7" s="280" t="s">
        <v>71</v>
      </c>
      <c r="J7" s="280" t="s">
        <v>83</v>
      </c>
      <c r="K7" s="172">
        <f>ROUND(K3-K6,4)</f>
        <v>4.0671999999999997</v>
      </c>
      <c r="L7" s="172">
        <f t="shared" ref="L7:AK7" si="2">ROUND(L3-L6,4)</f>
        <v>4.2161999999999997</v>
      </c>
      <c r="M7" s="172">
        <f t="shared" si="2"/>
        <v>4.3482000000000003</v>
      </c>
      <c r="N7" s="172">
        <f t="shared" si="2"/>
        <v>4.9634999999999998</v>
      </c>
      <c r="O7" s="172">
        <f t="shared" si="2"/>
        <v>5.6247999999999996</v>
      </c>
      <c r="P7" s="172">
        <f t="shared" si="2"/>
        <v>5.2972000000000001</v>
      </c>
      <c r="Q7" s="172">
        <f t="shared" si="2"/>
        <v>5.0568999999999997</v>
      </c>
      <c r="R7" s="172">
        <f t="shared" si="2"/>
        <v>5.0415999999999999</v>
      </c>
      <c r="S7" s="172">
        <f t="shared" si="2"/>
        <v>5.0259999999999998</v>
      </c>
      <c r="T7" s="172">
        <f t="shared" si="2"/>
        <v>5.0366</v>
      </c>
      <c r="U7" s="172">
        <f t="shared" si="2"/>
        <v>5.3048000000000002</v>
      </c>
      <c r="V7" s="172">
        <f t="shared" si="2"/>
        <v>5.0537999999999998</v>
      </c>
      <c r="W7" s="172">
        <f t="shared" si="2"/>
        <v>5.5011999999999999</v>
      </c>
      <c r="X7" s="172">
        <f t="shared" si="2"/>
        <v>5.8564999999999996</v>
      </c>
      <c r="Y7" s="172">
        <f t="shared" si="2"/>
        <v>6.0496999999999996</v>
      </c>
      <c r="Z7" s="172">
        <f t="shared" si="2"/>
        <v>6.3741000000000003</v>
      </c>
      <c r="AA7" s="172">
        <f t="shared" si="2"/>
        <v>6.7037000000000004</v>
      </c>
      <c r="AB7" s="172">
        <f t="shared" si="2"/>
        <v>7.0382999999999996</v>
      </c>
      <c r="AC7" s="172">
        <f t="shared" si="2"/>
        <v>7.3779000000000003</v>
      </c>
      <c r="AD7" s="172">
        <f t="shared" si="2"/>
        <v>7.7225999999999999</v>
      </c>
      <c r="AE7" s="172">
        <f t="shared" si="2"/>
        <v>8.0716999999999999</v>
      </c>
      <c r="AF7" s="172">
        <f t="shared" si="2"/>
        <v>8.2291000000000007</v>
      </c>
      <c r="AG7" s="172">
        <f t="shared" si="2"/>
        <v>8.3866999999999994</v>
      </c>
      <c r="AH7" s="172">
        <f t="shared" si="2"/>
        <v>8.5442</v>
      </c>
      <c r="AI7" s="172">
        <f t="shared" si="2"/>
        <v>8.7017000000000007</v>
      </c>
      <c r="AJ7" s="284">
        <f>ROUND(AJ3-AJ6,4)</f>
        <v>8.8590999999999998</v>
      </c>
    </row>
    <row r="8" spans="1:37" s="145" customFormat="1" ht="33" customHeight="1" thickBot="1" x14ac:dyDescent="0.35">
      <c r="E8"/>
      <c r="F8"/>
      <c r="G8" s="337" t="s">
        <v>322</v>
      </c>
      <c r="H8" s="338"/>
      <c r="I8" s="339" t="s">
        <v>71</v>
      </c>
      <c r="J8" s="340" t="s">
        <v>244</v>
      </c>
      <c r="K8" s="341">
        <f>ROUND(1-(K7/K3),4)</f>
        <v>0</v>
      </c>
      <c r="L8" s="341">
        <f t="shared" ref="L8:AK8" si="3">ROUND(1-(L7/L3),4)</f>
        <v>0</v>
      </c>
      <c r="M8" s="341">
        <f t="shared" si="3"/>
        <v>0</v>
      </c>
      <c r="N8" s="341">
        <f t="shared" si="3"/>
        <v>0</v>
      </c>
      <c r="O8" s="341">
        <f t="shared" si="3"/>
        <v>0</v>
      </c>
      <c r="P8" s="341">
        <f t="shared" si="3"/>
        <v>0</v>
      </c>
      <c r="Q8" s="341">
        <f t="shared" si="3"/>
        <v>0</v>
      </c>
      <c r="R8" s="341">
        <f t="shared" si="3"/>
        <v>0</v>
      </c>
      <c r="S8" s="341">
        <f t="shared" si="3"/>
        <v>0</v>
      </c>
      <c r="T8" s="341">
        <f t="shared" si="3"/>
        <v>0</v>
      </c>
      <c r="U8" s="341">
        <f t="shared" si="3"/>
        <v>0</v>
      </c>
      <c r="V8" s="341">
        <f t="shared" si="3"/>
        <v>0</v>
      </c>
      <c r="W8" s="341">
        <f t="shared" si="3"/>
        <v>0</v>
      </c>
      <c r="X8" s="341">
        <f t="shared" si="3"/>
        <v>0</v>
      </c>
      <c r="Y8" s="341">
        <f t="shared" si="3"/>
        <v>0</v>
      </c>
      <c r="Z8" s="341">
        <f t="shared" si="3"/>
        <v>0</v>
      </c>
      <c r="AA8" s="341">
        <f t="shared" si="3"/>
        <v>0</v>
      </c>
      <c r="AB8" s="341">
        <f t="shared" si="3"/>
        <v>1E-4</v>
      </c>
      <c r="AC8" s="341">
        <f t="shared" si="3"/>
        <v>1E-4</v>
      </c>
      <c r="AD8" s="341">
        <f t="shared" si="3"/>
        <v>1E-4</v>
      </c>
      <c r="AE8" s="341">
        <f t="shared" si="3"/>
        <v>2.0000000000000001E-4</v>
      </c>
      <c r="AF8" s="341">
        <f t="shared" si="3"/>
        <v>2.0000000000000001E-4</v>
      </c>
      <c r="AG8" s="341">
        <f t="shared" si="3"/>
        <v>2.0000000000000001E-4</v>
      </c>
      <c r="AH8" s="341">
        <f t="shared" si="3"/>
        <v>2.9999999999999997E-4</v>
      </c>
      <c r="AI8" s="341">
        <f t="shared" si="3"/>
        <v>2.9999999999999997E-4</v>
      </c>
      <c r="AJ8" s="342">
        <f>ROUND(1-(AJ7/AJ3),4)</f>
        <v>2.9999999999999997E-4</v>
      </c>
    </row>
    <row r="9" spans="1:37" x14ac:dyDescent="0.3">
      <c r="B9" s="94" t="s">
        <v>387</v>
      </c>
      <c r="C9" s="94"/>
      <c r="D9" s="94"/>
      <c r="E9" s="94"/>
      <c r="F9" s="94"/>
      <c r="G9" s="263"/>
      <c r="H9" s="67"/>
      <c r="I9" s="67"/>
      <c r="J9" s="67"/>
    </row>
    <row r="10" spans="1:37" x14ac:dyDescent="0.3">
      <c r="B10">
        <v>4</v>
      </c>
      <c r="C10" t="s">
        <v>323</v>
      </c>
      <c r="AK10" s="136"/>
    </row>
    <row r="11" spans="1:37" x14ac:dyDescent="0.3">
      <c r="B11">
        <f>B10/10</f>
        <v>0.4</v>
      </c>
    </row>
    <row r="12" spans="1:37" x14ac:dyDescent="0.3">
      <c r="A12" t="s">
        <v>324</v>
      </c>
    </row>
    <row r="13" spans="1:37" x14ac:dyDescent="0.3">
      <c r="A13">
        <f>A11/28</f>
        <v>0</v>
      </c>
      <c r="B13">
        <f>B11/28</f>
        <v>1.4285714285714287E-2</v>
      </c>
      <c r="C13">
        <f>C11/28</f>
        <v>0</v>
      </c>
      <c r="D13">
        <f>D11/28</f>
        <v>0</v>
      </c>
      <c r="E13" t="s">
        <v>325</v>
      </c>
    </row>
    <row r="14" spans="1:37" x14ac:dyDescent="0.3">
      <c r="A14" t="s">
        <v>326</v>
      </c>
      <c r="B14" s="27">
        <v>0.15</v>
      </c>
      <c r="D14" t="s">
        <v>327</v>
      </c>
      <c r="E14">
        <f>(((C13+B13+D13)*12)/(16*(1-$B$15)*($B$14*$B$16*$B$17*$B$18)))</f>
        <v>0.28571428571428575</v>
      </c>
      <c r="F14" s="27"/>
    </row>
    <row r="15" spans="1:37" x14ac:dyDescent="0.3">
      <c r="A15" t="s">
        <v>328</v>
      </c>
      <c r="B15">
        <v>0</v>
      </c>
    </row>
    <row r="16" spans="1:37" x14ac:dyDescent="0.3">
      <c r="A16" t="s">
        <v>329</v>
      </c>
      <c r="B16">
        <v>0.5</v>
      </c>
    </row>
    <row r="17" spans="1:36" x14ac:dyDescent="0.3">
      <c r="A17" t="s">
        <v>330</v>
      </c>
      <c r="B17">
        <v>1</v>
      </c>
    </row>
    <row r="18" spans="1:36" x14ac:dyDescent="0.3">
      <c r="A18" t="s">
        <v>331</v>
      </c>
      <c r="B18">
        <v>0.5</v>
      </c>
    </row>
    <row r="19" spans="1:36" x14ac:dyDescent="0.3">
      <c r="I19" t="s">
        <v>332</v>
      </c>
      <c r="K19">
        <v>4.0671999999999997</v>
      </c>
      <c r="L19">
        <v>4.2162000000000006</v>
      </c>
      <c r="M19">
        <v>4.3482000000000003</v>
      </c>
      <c r="N19">
        <v>4.9634</v>
      </c>
      <c r="O19">
        <v>5.6248000000000005</v>
      </c>
      <c r="P19">
        <v>5.2972000000000001</v>
      </c>
      <c r="Q19">
        <v>5.0569000000000006</v>
      </c>
      <c r="R19">
        <v>5.0416000000000007</v>
      </c>
      <c r="S19">
        <v>5.0421000000000005</v>
      </c>
      <c r="T19">
        <v>5.0625</v>
      </c>
      <c r="U19">
        <v>5.0825999999999993</v>
      </c>
      <c r="V19">
        <v>5.2141000000000002</v>
      </c>
      <c r="W19">
        <v>5.4172000000000002</v>
      </c>
      <c r="X19">
        <v>5.7306999999999997</v>
      </c>
      <c r="Y19">
        <v>6.0497999999999994</v>
      </c>
      <c r="Z19">
        <v>6.3742000000000001</v>
      </c>
      <c r="AA19">
        <v>6.7037000000000004</v>
      </c>
      <c r="AB19">
        <v>7.0384000000000002</v>
      </c>
      <c r="AC19">
        <v>7.3780999999999999</v>
      </c>
      <c r="AD19">
        <v>7.7229000000000001</v>
      </c>
      <c r="AE19">
        <v>8.0719999999999992</v>
      </c>
      <c r="AF19">
        <v>8.2295999999999996</v>
      </c>
      <c r="AG19">
        <v>8.3872999999999998</v>
      </c>
      <c r="AH19">
        <v>8.5449999999999999</v>
      </c>
      <c r="AI19">
        <v>8.7027000000000001</v>
      </c>
      <c r="AJ19">
        <v>8.8603000000000005</v>
      </c>
    </row>
    <row r="20" spans="1:36" ht="15" thickBot="1" x14ac:dyDescent="0.35"/>
    <row r="21" spans="1:36" x14ac:dyDescent="0.3">
      <c r="G21" s="391" t="s">
        <v>241</v>
      </c>
      <c r="H21" s="392"/>
      <c r="I21" s="269" t="s">
        <v>242</v>
      </c>
      <c r="J21" s="269" t="s">
        <v>236</v>
      </c>
      <c r="K21" s="226">
        <v>2010</v>
      </c>
      <c r="L21" s="227">
        <v>2011</v>
      </c>
      <c r="M21" s="227">
        <v>2012</v>
      </c>
      <c r="N21" s="227">
        <v>2013</v>
      </c>
      <c r="O21" s="227">
        <v>2014</v>
      </c>
      <c r="P21" s="226">
        <v>2015</v>
      </c>
      <c r="Q21" s="227">
        <v>2016</v>
      </c>
      <c r="R21" s="227">
        <v>2017</v>
      </c>
      <c r="S21" s="227">
        <v>2018</v>
      </c>
      <c r="T21" s="227">
        <v>2019</v>
      </c>
      <c r="U21" s="226">
        <v>2020</v>
      </c>
      <c r="V21" s="227">
        <v>2021</v>
      </c>
      <c r="W21" s="227">
        <v>2022</v>
      </c>
      <c r="X21" s="227">
        <v>2023</v>
      </c>
      <c r="Y21" s="227">
        <v>2024</v>
      </c>
      <c r="Z21" s="226">
        <v>2025</v>
      </c>
      <c r="AA21" s="226">
        <v>2026</v>
      </c>
      <c r="AB21" s="226">
        <v>2027</v>
      </c>
      <c r="AC21" s="227">
        <v>2028</v>
      </c>
      <c r="AD21" s="227">
        <v>2029</v>
      </c>
      <c r="AE21" s="226">
        <v>2030</v>
      </c>
      <c r="AF21" s="227">
        <v>2031</v>
      </c>
      <c r="AG21" s="227">
        <v>2032</v>
      </c>
      <c r="AH21" s="227">
        <v>2033</v>
      </c>
      <c r="AI21" s="227">
        <v>2034</v>
      </c>
      <c r="AJ21" s="350">
        <v>2035</v>
      </c>
    </row>
    <row r="22" spans="1:36" x14ac:dyDescent="0.3">
      <c r="G22" s="335" t="s">
        <v>333</v>
      </c>
      <c r="H22" s="333"/>
      <c r="I22" s="172" t="s">
        <v>71</v>
      </c>
      <c r="J22" s="172" t="s">
        <v>83</v>
      </c>
      <c r="K22" s="172">
        <v>4.0672458767841082</v>
      </c>
      <c r="L22" s="172">
        <v>4.2162448360550338</v>
      </c>
      <c r="M22" s="172">
        <v>4.3482153428378556</v>
      </c>
      <c r="N22" s="172">
        <v>4.9634533312331239</v>
      </c>
      <c r="O22" s="172">
        <v>5.6248384258711592</v>
      </c>
      <c r="P22" s="172">
        <v>5.2972109999999999</v>
      </c>
      <c r="Q22" s="172">
        <v>5.0569395353928259</v>
      </c>
      <c r="R22" s="172">
        <v>5.0416139281535308</v>
      </c>
      <c r="S22" s="172">
        <v>5.0260414213090483</v>
      </c>
      <c r="T22" s="172">
        <v>5.0366308136102047</v>
      </c>
      <c r="U22" s="172">
        <v>5.3048492968499996</v>
      </c>
      <c r="V22" s="172">
        <v>5.0537885619000003</v>
      </c>
      <c r="W22" s="172">
        <v>5.5012364331726751</v>
      </c>
      <c r="X22" s="172">
        <v>5.8564771716711723</v>
      </c>
      <c r="Y22" s="172">
        <v>6.049717930350214</v>
      </c>
      <c r="Z22" s="172">
        <v>6.3741421875989088</v>
      </c>
      <c r="AA22" s="172">
        <v>6.7039969810817714</v>
      </c>
      <c r="AB22" s="172">
        <v>7.0388800488555363</v>
      </c>
      <c r="AC22" s="172">
        <v>7.3787913909201972</v>
      </c>
      <c r="AD22" s="172">
        <v>7.7237310072757541</v>
      </c>
      <c r="AE22" s="172">
        <v>8.0730955050072986</v>
      </c>
      <c r="AF22" s="172">
        <v>8.2307821867698401</v>
      </c>
      <c r="AG22" s="172">
        <v>8.3886699995040157</v>
      </c>
      <c r="AH22" s="172">
        <v>8.5464572467523734</v>
      </c>
      <c r="AI22" s="172">
        <v>8.7042444940007329</v>
      </c>
      <c r="AJ22" s="284">
        <v>8.8619311757632708</v>
      </c>
    </row>
    <row r="23" spans="1:36" ht="35.4" customHeight="1" x14ac:dyDescent="0.3">
      <c r="G23" s="335" t="s">
        <v>334</v>
      </c>
      <c r="H23" s="333"/>
      <c r="I23" s="172" t="s">
        <v>57</v>
      </c>
      <c r="J23" s="172" t="s">
        <v>258</v>
      </c>
      <c r="K23" s="172">
        <v>0</v>
      </c>
      <c r="L23" s="172">
        <v>0</v>
      </c>
      <c r="M23" s="172">
        <v>0</v>
      </c>
      <c r="N23" s="172">
        <v>0</v>
      </c>
      <c r="O23" s="172">
        <v>0</v>
      </c>
      <c r="P23" s="172">
        <v>0</v>
      </c>
      <c r="Q23" s="172">
        <v>0</v>
      </c>
      <c r="R23" s="172">
        <v>0</v>
      </c>
      <c r="S23" s="172">
        <v>0</v>
      </c>
      <c r="T23" s="172">
        <v>0</v>
      </c>
      <c r="U23" s="172">
        <v>0</v>
      </c>
      <c r="V23" s="172">
        <v>0</v>
      </c>
      <c r="W23" s="172">
        <v>0</v>
      </c>
      <c r="X23" s="172">
        <v>0</v>
      </c>
      <c r="Y23" s="172">
        <v>0</v>
      </c>
      <c r="Z23" s="172">
        <f>[1]RESIDUOS!P19+[1]RESIDUOS!P22+[1]RESIDUOS!P27+[1]RESIDUOS!P28+[1]RESIDUOS!P29</f>
        <v>0</v>
      </c>
      <c r="AA23" s="172">
        <v>2.5578424499999998E-3</v>
      </c>
      <c r="AB23" s="172">
        <v>5.1156848999999996E-3</v>
      </c>
      <c r="AC23" s="172">
        <v>8.2985273500000012E-3</v>
      </c>
      <c r="AD23" s="172">
        <v>1.1481369799999998E-2</v>
      </c>
      <c r="AE23" s="172">
        <v>1.4664212249999999E-2</v>
      </c>
      <c r="AF23" s="172">
        <v>1.78470547E-2</v>
      </c>
      <c r="AG23" s="172">
        <v>2.1029897149999997E-2</v>
      </c>
      <c r="AH23" s="172">
        <v>2.4212739599999998E-2</v>
      </c>
      <c r="AI23" s="172">
        <v>2.7395582049999999E-2</v>
      </c>
      <c r="AJ23" s="284">
        <v>3.0578424499999996E-2</v>
      </c>
    </row>
    <row r="24" spans="1:36" ht="37.200000000000003" customHeight="1" x14ac:dyDescent="0.3">
      <c r="G24" s="335" t="s">
        <v>335</v>
      </c>
      <c r="H24" s="333"/>
      <c r="I24" s="172" t="s">
        <v>294</v>
      </c>
      <c r="J24" s="172" t="s">
        <v>258</v>
      </c>
      <c r="K24" s="349">
        <v>0.89238300000000004</v>
      </c>
      <c r="L24" s="172">
        <v>1.0327999999999999</v>
      </c>
      <c r="M24" s="349">
        <v>1.1733100000000001</v>
      </c>
      <c r="N24" s="172">
        <v>1.2297400000000001</v>
      </c>
      <c r="O24" s="349">
        <v>1.2863599999999999</v>
      </c>
      <c r="P24" s="172">
        <v>1.72014</v>
      </c>
      <c r="Q24" s="349">
        <v>2.1541600000000001</v>
      </c>
      <c r="R24" s="172">
        <v>2.4350299999999998</v>
      </c>
      <c r="S24" s="349">
        <v>2.7160700000000002</v>
      </c>
      <c r="T24" s="172">
        <v>2.8979900000000001</v>
      </c>
      <c r="U24" s="349">
        <v>3.0796899999999998</v>
      </c>
      <c r="V24" s="172">
        <v>3.2990200000000001</v>
      </c>
      <c r="W24" s="349">
        <v>3.4497</v>
      </c>
      <c r="X24" s="172">
        <v>3.8272499999999998</v>
      </c>
      <c r="Y24" s="349">
        <v>4.2379100000000003</v>
      </c>
      <c r="Z24" s="172">
        <v>4.68269</v>
      </c>
      <c r="AA24" s="172">
        <v>5.1631200000000002</v>
      </c>
      <c r="AB24" s="172">
        <v>5.6910100000000003</v>
      </c>
      <c r="AC24" s="349">
        <v>6.2594900000000004</v>
      </c>
      <c r="AD24" s="172">
        <v>6.8704400000000003</v>
      </c>
      <c r="AE24" s="349">
        <v>7.5369200000000003</v>
      </c>
      <c r="AF24" s="172">
        <v>8.0581899999999997</v>
      </c>
      <c r="AG24" s="349">
        <v>8.6180000000000003</v>
      </c>
      <c r="AH24" s="172">
        <v>9.2053100000000008</v>
      </c>
      <c r="AI24" s="349">
        <v>9.8328600000000002</v>
      </c>
      <c r="AJ24" s="284">
        <v>10.5021</v>
      </c>
    </row>
    <row r="25" spans="1:36" ht="32.4" customHeight="1" x14ac:dyDescent="0.3">
      <c r="G25" s="335" t="s">
        <v>336</v>
      </c>
      <c r="H25" s="333"/>
      <c r="I25" s="172" t="s">
        <v>294</v>
      </c>
      <c r="J25" s="172" t="s">
        <v>258</v>
      </c>
      <c r="K25" s="349">
        <f>ROUND(K24-K23,4)</f>
        <v>0.89239999999999997</v>
      </c>
      <c r="L25" s="349">
        <f t="shared" ref="L25:AK25" si="4">ROUND(L24-L23,4)</f>
        <v>1.0327999999999999</v>
      </c>
      <c r="M25" s="349">
        <f t="shared" si="4"/>
        <v>1.1733</v>
      </c>
      <c r="N25" s="349">
        <f t="shared" si="4"/>
        <v>1.2297</v>
      </c>
      <c r="O25" s="349">
        <f t="shared" si="4"/>
        <v>1.2864</v>
      </c>
      <c r="P25" s="349">
        <f t="shared" si="4"/>
        <v>1.7201</v>
      </c>
      <c r="Q25" s="349">
        <f t="shared" si="4"/>
        <v>2.1541999999999999</v>
      </c>
      <c r="R25" s="349">
        <f t="shared" si="4"/>
        <v>2.4350000000000001</v>
      </c>
      <c r="S25" s="349">
        <f t="shared" si="4"/>
        <v>2.7161</v>
      </c>
      <c r="T25" s="349">
        <f t="shared" si="4"/>
        <v>2.8980000000000001</v>
      </c>
      <c r="U25" s="349">
        <f t="shared" si="4"/>
        <v>3.0796999999999999</v>
      </c>
      <c r="V25" s="349">
        <f t="shared" si="4"/>
        <v>3.2989999999999999</v>
      </c>
      <c r="W25" s="349">
        <f t="shared" si="4"/>
        <v>3.4497</v>
      </c>
      <c r="X25" s="349">
        <f t="shared" si="4"/>
        <v>3.8273000000000001</v>
      </c>
      <c r="Y25" s="349">
        <f t="shared" si="4"/>
        <v>4.2378999999999998</v>
      </c>
      <c r="Z25" s="349">
        <f t="shared" si="4"/>
        <v>4.6826999999999996</v>
      </c>
      <c r="AA25" s="172">
        <f t="shared" si="4"/>
        <v>5.1605999999999996</v>
      </c>
      <c r="AB25" s="349">
        <f t="shared" si="4"/>
        <v>5.6859000000000002</v>
      </c>
      <c r="AC25" s="349">
        <f t="shared" si="4"/>
        <v>6.2511999999999999</v>
      </c>
      <c r="AD25" s="349">
        <f t="shared" si="4"/>
        <v>6.859</v>
      </c>
      <c r="AE25" s="349">
        <f t="shared" si="4"/>
        <v>7.5223000000000004</v>
      </c>
      <c r="AF25" s="349">
        <f t="shared" si="4"/>
        <v>8.0403000000000002</v>
      </c>
      <c r="AG25" s="349">
        <f t="shared" si="4"/>
        <v>8.5969999999999995</v>
      </c>
      <c r="AH25" s="349">
        <f t="shared" si="4"/>
        <v>9.1811000000000007</v>
      </c>
      <c r="AI25" s="349">
        <f t="shared" si="4"/>
        <v>9.8055000000000003</v>
      </c>
      <c r="AJ25" s="351">
        <f>ROUND(AJ24-AJ23,4)</f>
        <v>10.471500000000001</v>
      </c>
    </row>
    <row r="26" spans="1:36" ht="32.4" customHeight="1" x14ac:dyDescent="0.3">
      <c r="G26" s="335" t="s">
        <v>298</v>
      </c>
      <c r="H26" s="333"/>
      <c r="I26" s="172" t="s">
        <v>294</v>
      </c>
      <c r="J26" s="172" t="s">
        <v>134</v>
      </c>
      <c r="K26" s="184">
        <v>0.66112217571496168</v>
      </c>
      <c r="L26" s="184">
        <v>0.72107759730975074</v>
      </c>
      <c r="M26" s="184">
        <v>0.77651456906312555</v>
      </c>
      <c r="N26" s="184">
        <v>0.69819943503614312</v>
      </c>
      <c r="O26" s="184">
        <v>0.62124942271483063</v>
      </c>
      <c r="P26" s="184">
        <v>0.79902605068697596</v>
      </c>
      <c r="Q26" s="184">
        <v>1.0153932721873917</v>
      </c>
      <c r="R26" s="184">
        <v>1.0954288788549293</v>
      </c>
      <c r="S26" s="184">
        <v>1.2462488407050467</v>
      </c>
      <c r="T26" s="184">
        <v>1.2360818744493951</v>
      </c>
      <c r="U26" s="184">
        <v>1.1915549932787455</v>
      </c>
      <c r="V26" s="184">
        <v>1.3112676283184133</v>
      </c>
      <c r="W26" s="184">
        <v>1.2056827640063685</v>
      </c>
      <c r="X26" s="184">
        <v>1.2357526893295872</v>
      </c>
      <c r="Y26" s="184">
        <v>1.3246776406662635</v>
      </c>
      <c r="Z26" s="184">
        <v>1.389191513298601</v>
      </c>
      <c r="AA26" s="184">
        <v>1.4563682678617098</v>
      </c>
      <c r="AB26" s="184">
        <v>1.5288969045720771</v>
      </c>
      <c r="AC26" s="184">
        <v>1.6041331829998837</v>
      </c>
      <c r="AD26" s="184">
        <v>1.6820771562382311</v>
      </c>
      <c r="AE26" s="184">
        <v>1.7653756591399554</v>
      </c>
      <c r="AF26" s="184">
        <v>1.8513497815158373</v>
      </c>
      <c r="AG26" s="184">
        <v>1.9426963765389296</v>
      </c>
      <c r="AH26" s="184">
        <v>2.0367532655703338</v>
      </c>
      <c r="AI26" s="184">
        <v>2.1361848637424745</v>
      </c>
      <c r="AJ26" s="352">
        <v>2.2409668266412179</v>
      </c>
    </row>
    <row r="27" spans="1:36" ht="32.4" customHeight="1" x14ac:dyDescent="0.3">
      <c r="G27" s="335" t="s">
        <v>337</v>
      </c>
      <c r="H27" s="333"/>
      <c r="I27" s="172" t="s">
        <v>294</v>
      </c>
      <c r="J27" s="172" t="s">
        <v>83</v>
      </c>
      <c r="K27" s="184">
        <f>ROUND(K25/K26,4)</f>
        <v>1.3498000000000001</v>
      </c>
      <c r="L27" s="184">
        <f t="shared" ref="L27:AK27" si="5">ROUND(L25/L26,4)</f>
        <v>1.4322999999999999</v>
      </c>
      <c r="M27" s="184">
        <f t="shared" si="5"/>
        <v>1.5109999999999999</v>
      </c>
      <c r="N27" s="184">
        <f t="shared" si="5"/>
        <v>1.7612000000000001</v>
      </c>
      <c r="O27" s="184">
        <f t="shared" si="5"/>
        <v>2.0707</v>
      </c>
      <c r="P27" s="184">
        <f t="shared" si="5"/>
        <v>2.1526999999999998</v>
      </c>
      <c r="Q27" s="184">
        <f t="shared" si="5"/>
        <v>2.1215000000000002</v>
      </c>
      <c r="R27" s="184">
        <f t="shared" si="5"/>
        <v>2.2229000000000001</v>
      </c>
      <c r="S27" s="184">
        <f t="shared" si="5"/>
        <v>2.1793999999999998</v>
      </c>
      <c r="T27" s="184">
        <f t="shared" si="5"/>
        <v>2.3445</v>
      </c>
      <c r="U27" s="184">
        <f t="shared" si="5"/>
        <v>2.5846</v>
      </c>
      <c r="V27" s="184">
        <f t="shared" si="5"/>
        <v>2.5158999999999998</v>
      </c>
      <c r="W27" s="184">
        <f t="shared" si="5"/>
        <v>2.8612000000000002</v>
      </c>
      <c r="X27" s="184">
        <f t="shared" si="5"/>
        <v>3.0971000000000002</v>
      </c>
      <c r="Y27" s="184">
        <f t="shared" si="5"/>
        <v>3.1991999999999998</v>
      </c>
      <c r="Z27" s="184">
        <f t="shared" si="5"/>
        <v>3.3708</v>
      </c>
      <c r="AA27" s="184">
        <f t="shared" si="5"/>
        <v>3.5434999999999999</v>
      </c>
      <c r="AB27" s="184">
        <f t="shared" si="5"/>
        <v>3.7189999999999999</v>
      </c>
      <c r="AC27" s="184">
        <f t="shared" si="5"/>
        <v>3.8969</v>
      </c>
      <c r="AD27" s="184">
        <f t="shared" si="5"/>
        <v>4.0777000000000001</v>
      </c>
      <c r="AE27" s="184">
        <f t="shared" si="5"/>
        <v>4.2610000000000001</v>
      </c>
      <c r="AF27" s="184">
        <f t="shared" si="5"/>
        <v>4.3429000000000002</v>
      </c>
      <c r="AG27" s="184">
        <f t="shared" si="5"/>
        <v>4.4253</v>
      </c>
      <c r="AH27" s="184">
        <f t="shared" si="5"/>
        <v>4.5076999999999998</v>
      </c>
      <c r="AI27" s="184">
        <f t="shared" si="5"/>
        <v>4.5902000000000003</v>
      </c>
      <c r="AJ27" s="352">
        <f>ROUND(AJ25/AJ26,4)</f>
        <v>4.6727999999999996</v>
      </c>
    </row>
    <row r="28" spans="1:36" ht="32.4" customHeight="1" thickBot="1" x14ac:dyDescent="0.35">
      <c r="G28" s="335" t="s">
        <v>338</v>
      </c>
      <c r="H28" s="333"/>
      <c r="I28" s="172" t="s">
        <v>294</v>
      </c>
      <c r="J28" s="172" t="s">
        <v>83</v>
      </c>
      <c r="K28" s="184">
        <v>1.3497831910341789</v>
      </c>
      <c r="L28" s="184">
        <v>1.4323440415474877</v>
      </c>
      <c r="M28" s="184">
        <v>1.5110233429562554</v>
      </c>
      <c r="N28" s="184">
        <v>1.7613342811375092</v>
      </c>
      <c r="O28" s="184">
        <v>2.0705862620824806</v>
      </c>
      <c r="P28" s="184">
        <v>2.1528172310790947</v>
      </c>
      <c r="Q28" s="184">
        <v>2.1214653070918268</v>
      </c>
      <c r="R28" s="184">
        <v>2.2229050986362378</v>
      </c>
      <c r="S28" s="184">
        <v>2.179423443606499</v>
      </c>
      <c r="T28" s="184">
        <v>2.3445331089341561</v>
      </c>
      <c r="U28" s="184">
        <v>2.5846370476998577</v>
      </c>
      <c r="V28" s="184">
        <v>2.5159494208141071</v>
      </c>
      <c r="W28" s="184">
        <v>2.8611972095686178</v>
      </c>
      <c r="X28" s="184">
        <v>3.0970526975557742</v>
      </c>
      <c r="Y28" s="184">
        <v>3.1992432799488193</v>
      </c>
      <c r="Z28" s="184">
        <v>3.3708070018949745</v>
      </c>
      <c r="AA28" s="184">
        <v>3.5452425282382438</v>
      </c>
      <c r="AB28" s="184">
        <v>3.7223371327269925</v>
      </c>
      <c r="AC28" s="184">
        <v>3.902090815361217</v>
      </c>
      <c r="AD28" s="184">
        <v>4.0845035761409179</v>
      </c>
      <c r="AE28" s="184">
        <v>4.2692563256886364</v>
      </c>
      <c r="AF28" s="184">
        <v>4.3526450163307864</v>
      </c>
      <c r="AG28" s="184">
        <v>4.4361400700987534</v>
      </c>
      <c r="AH28" s="184">
        <v>4.5195819423038115</v>
      </c>
      <c r="AI28" s="184">
        <v>4.6030238145088713</v>
      </c>
      <c r="AJ28" s="352">
        <v>4.6864125051510186</v>
      </c>
    </row>
    <row r="29" spans="1:36" ht="60.6" customHeight="1" x14ac:dyDescent="0.3">
      <c r="A29" s="278" t="s">
        <v>234</v>
      </c>
      <c r="B29" s="269" t="s">
        <v>235</v>
      </c>
      <c r="C29" s="269" t="s">
        <v>236</v>
      </c>
      <c r="D29" s="269" t="s">
        <v>230</v>
      </c>
      <c r="E29" s="357" t="s">
        <v>237</v>
      </c>
      <c r="G29" s="335" t="s">
        <v>339</v>
      </c>
      <c r="H29" s="333"/>
      <c r="I29" s="172" t="s">
        <v>340</v>
      </c>
      <c r="J29" s="172" t="s">
        <v>83</v>
      </c>
      <c r="K29" s="184">
        <f>K28-K27</f>
        <v>-1.6808965821235589E-5</v>
      </c>
      <c r="L29" s="184">
        <f t="shared" ref="L29:AK29" si="6">L28-L27</f>
        <v>4.4041547487827515E-5</v>
      </c>
      <c r="M29" s="184">
        <f t="shared" si="6"/>
        <v>2.334295625550098E-5</v>
      </c>
      <c r="N29" s="184">
        <f t="shared" si="6"/>
        <v>1.3428113750912907E-4</v>
      </c>
      <c r="O29" s="184">
        <f t="shared" si="6"/>
        <v>-1.1373791751934093E-4</v>
      </c>
      <c r="P29" s="184">
        <f t="shared" si="6"/>
        <v>1.1723107909489272E-4</v>
      </c>
      <c r="Q29" s="184">
        <f t="shared" si="6"/>
        <v>-3.4692908173372672E-5</v>
      </c>
      <c r="R29" s="184">
        <f t="shared" si="6"/>
        <v>5.09863623765483E-6</v>
      </c>
      <c r="S29" s="184">
        <f t="shared" si="6"/>
        <v>2.3443606499196079E-5</v>
      </c>
      <c r="T29" s="184">
        <f t="shared" si="6"/>
        <v>3.3108934156089731E-5</v>
      </c>
      <c r="U29" s="184">
        <f t="shared" si="6"/>
        <v>3.704769985768408E-5</v>
      </c>
      <c r="V29" s="184">
        <f t="shared" si="6"/>
        <v>4.9420814107303812E-5</v>
      </c>
      <c r="W29" s="184">
        <f t="shared" si="6"/>
        <v>-2.7904313824045346E-6</v>
      </c>
      <c r="X29" s="184">
        <f t="shared" si="6"/>
        <v>-4.7302444226016149E-5</v>
      </c>
      <c r="Y29" s="184">
        <f t="shared" si="6"/>
        <v>4.3279948819474612E-5</v>
      </c>
      <c r="Z29" s="184">
        <f t="shared" si="6"/>
        <v>7.0018949744898862E-6</v>
      </c>
      <c r="AA29" s="184">
        <f>AA28-AA27</f>
        <v>1.7425282382439455E-3</v>
      </c>
      <c r="AB29" s="184">
        <f t="shared" si="6"/>
        <v>3.3371327269926532E-3</v>
      </c>
      <c r="AC29" s="184">
        <f t="shared" si="6"/>
        <v>5.190815361217016E-3</v>
      </c>
      <c r="AD29" s="184">
        <f t="shared" si="6"/>
        <v>6.8035761409177553E-3</v>
      </c>
      <c r="AE29" s="184">
        <f t="shared" si="6"/>
        <v>8.2563256886363234E-3</v>
      </c>
      <c r="AF29" s="184">
        <f t="shared" si="6"/>
        <v>9.7450163307861715E-3</v>
      </c>
      <c r="AG29" s="184">
        <f t="shared" si="6"/>
        <v>1.0840070098753429E-2</v>
      </c>
      <c r="AH29" s="184">
        <f t="shared" si="6"/>
        <v>1.1881942303811677E-2</v>
      </c>
      <c r="AI29" s="184">
        <f t="shared" si="6"/>
        <v>1.2823814508871045E-2</v>
      </c>
      <c r="AJ29" s="352">
        <f>AJ28-AJ27</f>
        <v>1.3612505151018972E-2</v>
      </c>
    </row>
    <row r="30" spans="1:36" ht="60.6" customHeight="1" x14ac:dyDescent="0.3">
      <c r="A30" s="283" t="s">
        <v>71</v>
      </c>
      <c r="B30" s="172" t="s">
        <v>285</v>
      </c>
      <c r="C30" s="172" t="s">
        <v>291</v>
      </c>
      <c r="D30" s="172" t="s">
        <v>309</v>
      </c>
      <c r="E30" s="284" t="s">
        <v>292</v>
      </c>
      <c r="G30" s="335" t="s">
        <v>341</v>
      </c>
      <c r="H30" s="333"/>
      <c r="I30" s="172" t="s">
        <v>57</v>
      </c>
      <c r="J30" s="172" t="s">
        <v>83</v>
      </c>
      <c r="K30" s="184">
        <v>6.6423772729087074E-2</v>
      </c>
      <c r="L30" s="184">
        <v>7.7308115246210798E-2</v>
      </c>
      <c r="M30" s="184">
        <v>8.886171652379557E-2</v>
      </c>
      <c r="N30" s="184">
        <v>0.11713749861710172</v>
      </c>
      <c r="O30" s="184">
        <v>0.13274618685055936</v>
      </c>
      <c r="P30" s="184">
        <v>0.12501417959999997</v>
      </c>
      <c r="Q30" s="184">
        <v>0.11934377303527069</v>
      </c>
      <c r="R30" s="184">
        <v>0.11898208870442332</v>
      </c>
      <c r="S30" s="184">
        <v>0.11861457754289353</v>
      </c>
      <c r="T30" s="184">
        <v>0.11886448720120082</v>
      </c>
      <c r="U30" s="184">
        <v>0.12519444340565999</v>
      </c>
      <c r="V30" s="184">
        <v>0.11926941006084001</v>
      </c>
      <c r="W30" s="184">
        <v>0.1928001407005677</v>
      </c>
      <c r="X30" s="184">
        <v>0.20600395245308636</v>
      </c>
      <c r="Y30" s="184">
        <v>0.2128012742723322</v>
      </c>
      <c r="Z30" s="184">
        <v>0.22421302869496867</v>
      </c>
      <c r="AA30" s="184">
        <v>0.23581580442536157</v>
      </c>
      <c r="AB30" s="184">
        <v>0.24759545173701061</v>
      </c>
      <c r="AC30" s="184">
        <v>0.25955197062991558</v>
      </c>
      <c r="AD30" s="184">
        <v>0.27168536110407654</v>
      </c>
      <c r="AE30" s="184">
        <v>0.28397439856974266</v>
      </c>
      <c r="AF30" s="184">
        <v>0.28952109135793058</v>
      </c>
      <c r="AG30" s="184">
        <v>0.29507485900936864</v>
      </c>
      <c r="AH30" s="184">
        <v>0.30062508922918163</v>
      </c>
      <c r="AI30" s="184">
        <v>0.30617531944899462</v>
      </c>
      <c r="AJ30" s="352">
        <v>0.31172201223718243</v>
      </c>
    </row>
    <row r="31" spans="1:36" ht="60.6" customHeight="1" x14ac:dyDescent="0.3">
      <c r="A31" s="283" t="s">
        <v>294</v>
      </c>
      <c r="B31" s="280" t="s">
        <v>295</v>
      </c>
      <c r="C31" s="172" t="s">
        <v>244</v>
      </c>
      <c r="D31" s="172" t="s">
        <v>309</v>
      </c>
      <c r="E31" s="284" t="s">
        <v>252</v>
      </c>
      <c r="G31" s="335" t="s">
        <v>342</v>
      </c>
      <c r="H31" s="333"/>
      <c r="I31" s="172" t="s">
        <v>57</v>
      </c>
      <c r="J31" s="172" t="s">
        <v>83</v>
      </c>
      <c r="K31" s="184">
        <f>ROUND(K30+K29,4)</f>
        <v>6.6400000000000001E-2</v>
      </c>
      <c r="L31" s="184">
        <f t="shared" ref="L31:AK31" si="7">ROUND(L30+L29,4)</f>
        <v>7.7399999999999997E-2</v>
      </c>
      <c r="M31" s="184">
        <f t="shared" si="7"/>
        <v>8.8900000000000007E-2</v>
      </c>
      <c r="N31" s="184">
        <f t="shared" si="7"/>
        <v>0.1173</v>
      </c>
      <c r="O31" s="184">
        <f t="shared" si="7"/>
        <v>0.1326</v>
      </c>
      <c r="P31" s="184">
        <f t="shared" si="7"/>
        <v>0.12509999999999999</v>
      </c>
      <c r="Q31" s="184">
        <f t="shared" si="7"/>
        <v>0.1193</v>
      </c>
      <c r="R31" s="184">
        <f t="shared" si="7"/>
        <v>0.11899999999999999</v>
      </c>
      <c r="S31" s="184">
        <f t="shared" si="7"/>
        <v>0.1186</v>
      </c>
      <c r="T31" s="184">
        <f t="shared" si="7"/>
        <v>0.11890000000000001</v>
      </c>
      <c r="U31" s="184">
        <f t="shared" si="7"/>
        <v>0.12520000000000001</v>
      </c>
      <c r="V31" s="184">
        <f t="shared" si="7"/>
        <v>0.1193</v>
      </c>
      <c r="W31" s="184">
        <f t="shared" si="7"/>
        <v>0.1928</v>
      </c>
      <c r="X31" s="184">
        <f t="shared" si="7"/>
        <v>0.20599999999999999</v>
      </c>
      <c r="Y31" s="184">
        <f t="shared" si="7"/>
        <v>0.21279999999999999</v>
      </c>
      <c r="Z31" s="184">
        <f t="shared" si="7"/>
        <v>0.22420000000000001</v>
      </c>
      <c r="AA31" s="184">
        <f t="shared" si="7"/>
        <v>0.23760000000000001</v>
      </c>
      <c r="AB31" s="184">
        <f t="shared" si="7"/>
        <v>0.25090000000000001</v>
      </c>
      <c r="AC31" s="184">
        <f t="shared" si="7"/>
        <v>0.26469999999999999</v>
      </c>
      <c r="AD31" s="184">
        <f t="shared" si="7"/>
        <v>0.27850000000000003</v>
      </c>
      <c r="AE31" s="184">
        <f t="shared" si="7"/>
        <v>0.29220000000000002</v>
      </c>
      <c r="AF31" s="184">
        <f t="shared" si="7"/>
        <v>0.29930000000000001</v>
      </c>
      <c r="AG31" s="184">
        <f t="shared" si="7"/>
        <v>0.30590000000000001</v>
      </c>
      <c r="AH31" s="184">
        <f t="shared" si="7"/>
        <v>0.3125</v>
      </c>
      <c r="AI31" s="184">
        <f t="shared" si="7"/>
        <v>0.31900000000000001</v>
      </c>
      <c r="AJ31" s="352">
        <f>ROUND(AJ30+AJ29,4)</f>
        <v>0.32529999999999998</v>
      </c>
    </row>
    <row r="32" spans="1:36" ht="60.6" customHeight="1" x14ac:dyDescent="0.3">
      <c r="A32" s="283"/>
      <c r="B32" s="280" t="s">
        <v>343</v>
      </c>
      <c r="C32" s="172" t="s">
        <v>300</v>
      </c>
      <c r="D32" s="172" t="s">
        <v>309</v>
      </c>
      <c r="E32" s="285" t="s">
        <v>344</v>
      </c>
      <c r="G32" s="335" t="s">
        <v>345</v>
      </c>
      <c r="H32" s="333"/>
      <c r="I32" s="172" t="s">
        <v>57</v>
      </c>
      <c r="J32" s="172" t="s">
        <v>83</v>
      </c>
      <c r="K32" s="184">
        <v>0</v>
      </c>
      <c r="L32" s="184">
        <v>0</v>
      </c>
      <c r="M32" s="184">
        <v>0</v>
      </c>
      <c r="N32" s="184">
        <v>0</v>
      </c>
      <c r="O32" s="184">
        <v>0</v>
      </c>
      <c r="P32" s="184">
        <v>0</v>
      </c>
      <c r="Q32" s="184">
        <v>0</v>
      </c>
      <c r="R32" s="184">
        <v>0</v>
      </c>
      <c r="S32" s="184">
        <v>0</v>
      </c>
      <c r="T32" s="184">
        <v>0</v>
      </c>
      <c r="U32" s="184">
        <v>0</v>
      </c>
      <c r="V32" s="184">
        <v>0</v>
      </c>
      <c r="W32" s="184">
        <v>0</v>
      </c>
      <c r="X32" s="184">
        <v>0</v>
      </c>
      <c r="Y32" s="184">
        <v>0</v>
      </c>
      <c r="Z32" s="184">
        <v>0</v>
      </c>
      <c r="AA32" s="184">
        <v>9.5899999999999996E-3</v>
      </c>
      <c r="AB32" s="184">
        <v>1.9179999999999999E-2</v>
      </c>
      <c r="AC32" s="184">
        <v>2.8769999999999997E-2</v>
      </c>
      <c r="AD32" s="184">
        <v>3.8359999999999998E-2</v>
      </c>
      <c r="AE32" s="184">
        <v>4.795E-2</v>
      </c>
      <c r="AF32" s="184">
        <v>5.7540000000000001E-2</v>
      </c>
      <c r="AG32" s="184">
        <v>6.7129999999999995E-2</v>
      </c>
      <c r="AH32" s="184">
        <v>7.6719999999999997E-2</v>
      </c>
      <c r="AI32" s="184">
        <v>8.6309999999999998E-2</v>
      </c>
      <c r="AJ32" s="352">
        <v>9.5899999999999999E-2</v>
      </c>
    </row>
    <row r="33" spans="1:37" ht="60.6" customHeight="1" x14ac:dyDescent="0.3">
      <c r="A33" s="249" t="s">
        <v>57</v>
      </c>
      <c r="B33" s="280" t="s">
        <v>257</v>
      </c>
      <c r="C33" s="172" t="s">
        <v>258</v>
      </c>
      <c r="D33" s="172" t="s">
        <v>259</v>
      </c>
      <c r="E33" s="285" t="s">
        <v>260</v>
      </c>
      <c r="G33" s="335" t="s">
        <v>346</v>
      </c>
      <c r="H33" s="333"/>
      <c r="I33" s="172" t="s">
        <v>57</v>
      </c>
      <c r="J33" s="172" t="s">
        <v>83</v>
      </c>
      <c r="K33" s="184">
        <f>ROUND(K31+K32,4)</f>
        <v>6.6400000000000001E-2</v>
      </c>
      <c r="L33" s="184">
        <f t="shared" ref="L33:AK33" si="8">ROUND(L31+L32,4)</f>
        <v>7.7399999999999997E-2</v>
      </c>
      <c r="M33" s="184">
        <f t="shared" si="8"/>
        <v>8.8900000000000007E-2</v>
      </c>
      <c r="N33" s="184">
        <f t="shared" si="8"/>
        <v>0.1173</v>
      </c>
      <c r="O33" s="184">
        <f t="shared" si="8"/>
        <v>0.1326</v>
      </c>
      <c r="P33" s="184">
        <f t="shared" si="8"/>
        <v>0.12509999999999999</v>
      </c>
      <c r="Q33" s="184">
        <f t="shared" si="8"/>
        <v>0.1193</v>
      </c>
      <c r="R33" s="184">
        <f t="shared" si="8"/>
        <v>0.11899999999999999</v>
      </c>
      <c r="S33" s="184">
        <f t="shared" si="8"/>
        <v>0.1186</v>
      </c>
      <c r="T33" s="184">
        <f t="shared" si="8"/>
        <v>0.11890000000000001</v>
      </c>
      <c r="U33" s="184">
        <f t="shared" si="8"/>
        <v>0.12520000000000001</v>
      </c>
      <c r="V33" s="184">
        <f t="shared" si="8"/>
        <v>0.1193</v>
      </c>
      <c r="W33" s="184">
        <f>ROUND(W31+W32,4)</f>
        <v>0.1928</v>
      </c>
      <c r="X33" s="184">
        <f t="shared" si="8"/>
        <v>0.20599999999999999</v>
      </c>
      <c r="Y33" s="184">
        <f t="shared" si="8"/>
        <v>0.21279999999999999</v>
      </c>
      <c r="Z33" s="184">
        <f t="shared" si="8"/>
        <v>0.22420000000000001</v>
      </c>
      <c r="AA33" s="184">
        <f t="shared" si="8"/>
        <v>0.2472</v>
      </c>
      <c r="AB33" s="184">
        <f t="shared" si="8"/>
        <v>0.27010000000000001</v>
      </c>
      <c r="AC33" s="184">
        <f t="shared" si="8"/>
        <v>0.29349999999999998</v>
      </c>
      <c r="AD33" s="184">
        <f t="shared" si="8"/>
        <v>0.31690000000000002</v>
      </c>
      <c r="AE33" s="184">
        <f t="shared" si="8"/>
        <v>0.3402</v>
      </c>
      <c r="AF33" s="184">
        <f t="shared" si="8"/>
        <v>0.35680000000000001</v>
      </c>
      <c r="AG33" s="184">
        <f t="shared" si="8"/>
        <v>0.373</v>
      </c>
      <c r="AH33" s="184">
        <f t="shared" si="8"/>
        <v>0.38919999999999999</v>
      </c>
      <c r="AI33" s="184">
        <f t="shared" si="8"/>
        <v>0.40529999999999999</v>
      </c>
      <c r="AJ33" s="352">
        <f>ROUND(AJ31+AJ32,4)</f>
        <v>0.42120000000000002</v>
      </c>
    </row>
    <row r="34" spans="1:37" ht="28.8" x14ac:dyDescent="0.3">
      <c r="A34" s="283"/>
      <c r="B34" s="280" t="s">
        <v>347</v>
      </c>
      <c r="C34" s="172" t="s">
        <v>300</v>
      </c>
      <c r="D34" s="172" t="s">
        <v>309</v>
      </c>
      <c r="E34" s="285" t="s">
        <v>301</v>
      </c>
      <c r="G34" s="335" t="s">
        <v>348</v>
      </c>
      <c r="H34" s="333"/>
      <c r="I34" s="172" t="s">
        <v>57</v>
      </c>
      <c r="J34" s="172" t="s">
        <v>244</v>
      </c>
      <c r="K34" s="268">
        <f>ROUND(K33/K22,4)</f>
        <v>1.6299999999999999E-2</v>
      </c>
      <c r="L34" s="268">
        <f t="shared" ref="L34:AK34" si="9">L33/L22</f>
        <v>1.8357567695812461E-2</v>
      </c>
      <c r="M34" s="268">
        <f t="shared" si="9"/>
        <v>2.0445169567425234E-2</v>
      </c>
      <c r="N34" s="268">
        <f t="shared" si="9"/>
        <v>2.3632739581104897E-2</v>
      </c>
      <c r="O34" s="268">
        <f t="shared" si="9"/>
        <v>2.3574010480036729E-2</v>
      </c>
      <c r="P34" s="268">
        <f t="shared" si="9"/>
        <v>2.3616201053724306E-2</v>
      </c>
      <c r="Q34" s="268">
        <f t="shared" si="9"/>
        <v>2.3591343967044823E-2</v>
      </c>
      <c r="R34" s="268">
        <f t="shared" si="9"/>
        <v>2.3603552690831135E-2</v>
      </c>
      <c r="S34" s="268">
        <f t="shared" si="9"/>
        <v>2.3597099597541766E-2</v>
      </c>
      <c r="T34" s="268">
        <f t="shared" si="9"/>
        <v>2.3607050903692049E-2</v>
      </c>
      <c r="U34" s="268">
        <f t="shared" si="9"/>
        <v>2.360104745564465E-2</v>
      </c>
      <c r="V34" s="268">
        <f t="shared" si="9"/>
        <v>2.360605287276769E-2</v>
      </c>
      <c r="W34" s="268">
        <f t="shared" si="9"/>
        <v>3.5046666752479187E-2</v>
      </c>
      <c r="X34" s="268">
        <f t="shared" si="9"/>
        <v>3.5174729442549325E-2</v>
      </c>
      <c r="Y34" s="268">
        <f t="shared" si="9"/>
        <v>3.51751936949697E-2</v>
      </c>
      <c r="Z34" s="268">
        <f t="shared" si="9"/>
        <v>3.5173360336421121E-2</v>
      </c>
      <c r="AA34" s="268">
        <f t="shared" si="9"/>
        <v>3.6873524957958925E-2</v>
      </c>
      <c r="AB34" s="268">
        <f t="shared" si="9"/>
        <v>3.8372581735345246E-2</v>
      </c>
      <c r="AC34" s="268">
        <f t="shared" si="9"/>
        <v>3.977616176561919E-2</v>
      </c>
      <c r="AD34" s="268">
        <f t="shared" si="9"/>
        <v>4.1029393657220872E-2</v>
      </c>
      <c r="AE34" s="268">
        <f t="shared" si="9"/>
        <v>4.2139969704185043E-2</v>
      </c>
      <c r="AF34" s="268">
        <f t="shared" si="9"/>
        <v>4.3349464474168729E-2</v>
      </c>
      <c r="AG34" s="268">
        <f t="shared" si="9"/>
        <v>4.4464736367273217E-2</v>
      </c>
      <c r="AH34" s="268">
        <f t="shared" si="9"/>
        <v>4.5539337384258811E-2</v>
      </c>
      <c r="AI34" s="268">
        <f t="shared" si="9"/>
        <v>4.656348983295986E-2</v>
      </c>
      <c r="AJ34" s="353">
        <f>AJ33/AJ22</f>
        <v>4.7529143664752325E-2</v>
      </c>
    </row>
    <row r="35" spans="1:37" ht="90.6" customHeight="1" thickBot="1" x14ac:dyDescent="0.35">
      <c r="A35" s="251" t="s">
        <v>57</v>
      </c>
      <c r="B35" s="339" t="s">
        <v>341</v>
      </c>
      <c r="C35" s="252" t="s">
        <v>291</v>
      </c>
      <c r="D35" s="252" t="s">
        <v>309</v>
      </c>
      <c r="E35" s="287" t="s">
        <v>349</v>
      </c>
      <c r="G35" s="337" t="s">
        <v>350</v>
      </c>
      <c r="H35" s="338"/>
      <c r="I35" s="252" t="s">
        <v>57</v>
      </c>
      <c r="J35" s="252"/>
      <c r="K35" s="354">
        <v>1.6331388546789075E-2</v>
      </c>
      <c r="L35" s="354">
        <v>1.8335774664961065E-2</v>
      </c>
      <c r="M35" s="354">
        <v>2.0436365156147055E-2</v>
      </c>
      <c r="N35" s="354">
        <v>2.3599999999999999E-2</v>
      </c>
      <c r="O35" s="354">
        <v>2.3599999999999999E-2</v>
      </c>
      <c r="P35" s="354">
        <v>2.3599999999999996E-2</v>
      </c>
      <c r="Q35" s="354">
        <v>2.3599999999999999E-2</v>
      </c>
      <c r="R35" s="354">
        <v>2.3599999999999999E-2</v>
      </c>
      <c r="S35" s="355">
        <v>2.3599999999999999E-2</v>
      </c>
      <c r="T35" s="354">
        <v>2.3599999999999999E-2</v>
      </c>
      <c r="U35" s="354">
        <v>2.3599999999999999E-2</v>
      </c>
      <c r="V35" s="354">
        <v>2.3599999999999999E-2</v>
      </c>
      <c r="W35" s="354">
        <v>3.5046692328650909E-2</v>
      </c>
      <c r="X35" s="354">
        <v>3.5175404328316062E-2</v>
      </c>
      <c r="Y35" s="354">
        <v>3.5175404328316062E-2</v>
      </c>
      <c r="Z35" s="354">
        <v>3.5175404328316062E-2</v>
      </c>
      <c r="AA35" s="354">
        <v>3.5175404328316062E-2</v>
      </c>
      <c r="AB35" s="354">
        <v>3.5175404328316062E-2</v>
      </c>
      <c r="AC35" s="354">
        <v>3.5175404328316062E-2</v>
      </c>
      <c r="AD35" s="354">
        <v>3.5175404328316062E-2</v>
      </c>
      <c r="AE35" s="354">
        <v>3.5175404328316062E-2</v>
      </c>
      <c r="AF35" s="354">
        <v>3.5175404328316062E-2</v>
      </c>
      <c r="AG35" s="354">
        <v>3.5175404328316062E-2</v>
      </c>
      <c r="AH35" s="354">
        <v>3.5175404328316062E-2</v>
      </c>
      <c r="AI35" s="354">
        <v>3.5175404328316062E-2</v>
      </c>
      <c r="AJ35" s="356">
        <v>3.5175404328316062E-2</v>
      </c>
    </row>
    <row r="36" spans="1:37" x14ac:dyDescent="0.3">
      <c r="G36" s="263"/>
      <c r="H36" s="263"/>
      <c r="K36" s="314">
        <f>ROUND(K34-K35,4)</f>
        <v>0</v>
      </c>
      <c r="L36" s="314">
        <f t="shared" ref="L36:AK36" si="10">ROUND(L34-L35,4)</f>
        <v>0</v>
      </c>
      <c r="M36" s="314">
        <f t="shared" si="10"/>
        <v>0</v>
      </c>
      <c r="N36" s="314">
        <f t="shared" si="10"/>
        <v>0</v>
      </c>
      <c r="O36" s="314">
        <f t="shared" si="10"/>
        <v>0</v>
      </c>
      <c r="P36" s="314">
        <f t="shared" si="10"/>
        <v>0</v>
      </c>
      <c r="Q36" s="314">
        <f t="shared" si="10"/>
        <v>0</v>
      </c>
      <c r="R36" s="314">
        <f t="shared" si="10"/>
        <v>0</v>
      </c>
      <c r="S36" s="314">
        <f t="shared" si="10"/>
        <v>0</v>
      </c>
      <c r="T36" s="314">
        <f t="shared" si="10"/>
        <v>0</v>
      </c>
      <c r="U36" s="314">
        <f t="shared" si="10"/>
        <v>0</v>
      </c>
      <c r="V36" s="314">
        <f t="shared" si="10"/>
        <v>0</v>
      </c>
      <c r="W36" s="314">
        <f t="shared" si="10"/>
        <v>0</v>
      </c>
      <c r="X36" s="314">
        <f t="shared" si="10"/>
        <v>0</v>
      </c>
      <c r="Y36" s="314">
        <f t="shared" si="10"/>
        <v>0</v>
      </c>
      <c r="Z36" s="314">
        <f t="shared" si="10"/>
        <v>0</v>
      </c>
      <c r="AA36" s="315">
        <f t="shared" si="10"/>
        <v>1.6999999999999999E-3</v>
      </c>
      <c r="AB36" s="314">
        <f t="shared" si="10"/>
        <v>3.2000000000000002E-3</v>
      </c>
      <c r="AC36" s="314">
        <f t="shared" si="10"/>
        <v>4.5999999999999999E-3</v>
      </c>
      <c r="AD36" s="314">
        <f t="shared" si="10"/>
        <v>5.8999999999999999E-3</v>
      </c>
      <c r="AE36" s="314">
        <f t="shared" si="10"/>
        <v>7.0000000000000001E-3</v>
      </c>
      <c r="AF36" s="314">
        <f t="shared" si="10"/>
        <v>8.2000000000000007E-3</v>
      </c>
      <c r="AG36" s="314">
        <f t="shared" si="10"/>
        <v>9.2999999999999992E-3</v>
      </c>
      <c r="AH36" s="314">
        <f t="shared" si="10"/>
        <v>1.04E-2</v>
      </c>
      <c r="AI36" s="314">
        <f t="shared" si="10"/>
        <v>1.14E-2</v>
      </c>
      <c r="AJ36" s="314">
        <f>ROUND(AJ34-AJ35,4)</f>
        <v>1.24E-2</v>
      </c>
    </row>
    <row r="37" spans="1:37" x14ac:dyDescent="0.3">
      <c r="G37" s="263"/>
      <c r="H37" s="263"/>
      <c r="I37" s="263"/>
      <c r="J37" s="263"/>
      <c r="K37" s="263"/>
      <c r="L37" s="263"/>
      <c r="M37" s="263"/>
      <c r="N37" s="263"/>
      <c r="O37" s="263"/>
      <c r="P37" s="263"/>
      <c r="Q37" s="263"/>
      <c r="R37" s="263"/>
      <c r="S37" s="263"/>
      <c r="T37" s="263"/>
      <c r="U37" s="263"/>
      <c r="V37" s="263"/>
      <c r="W37" s="263"/>
      <c r="X37" s="263"/>
      <c r="Y37" s="263"/>
      <c r="Z37" s="263"/>
      <c r="AA37" s="263"/>
      <c r="AB37" s="263"/>
      <c r="AC37" s="263"/>
      <c r="AD37" s="263"/>
      <c r="AE37" s="263"/>
      <c r="AF37" s="263"/>
      <c r="AG37" s="263"/>
      <c r="AH37" s="263"/>
      <c r="AI37" s="263"/>
      <c r="AJ37" s="263"/>
      <c r="AK37" s="263"/>
    </row>
    <row r="38" spans="1:37" x14ac:dyDescent="0.3">
      <c r="G38" s="263"/>
      <c r="H38" s="263"/>
      <c r="K38" s="316"/>
      <c r="L38" s="316"/>
      <c r="M38" s="316"/>
      <c r="N38" s="316"/>
      <c r="O38" s="316"/>
      <c r="P38" s="316"/>
      <c r="Q38" s="316"/>
      <c r="R38" s="316"/>
      <c r="S38" s="317"/>
      <c r="T38" s="316"/>
      <c r="U38" s="316"/>
      <c r="V38" s="316"/>
      <c r="W38" s="316"/>
      <c r="X38" s="316"/>
      <c r="Y38" s="316"/>
      <c r="Z38" s="316"/>
      <c r="AA38" s="318"/>
      <c r="AB38" s="316"/>
      <c r="AC38" s="316"/>
      <c r="AD38" s="316"/>
      <c r="AE38" s="316"/>
      <c r="AF38" s="316"/>
      <c r="AG38" s="316"/>
      <c r="AH38" s="316"/>
      <c r="AI38" s="316"/>
      <c r="AJ38" s="316"/>
      <c r="AK38" s="316"/>
    </row>
    <row r="39" spans="1:37" x14ac:dyDescent="0.3">
      <c r="G39" s="263"/>
      <c r="H39" s="263"/>
      <c r="K39" s="316"/>
      <c r="L39" s="316"/>
      <c r="M39" s="316"/>
      <c r="N39" s="316"/>
      <c r="O39" s="316"/>
      <c r="P39" s="316"/>
      <c r="Q39" s="316"/>
      <c r="R39" s="316"/>
      <c r="S39" s="317"/>
      <c r="T39" s="316"/>
      <c r="U39" s="316"/>
      <c r="V39" s="316"/>
      <c r="W39" s="316"/>
      <c r="X39" s="316"/>
      <c r="Y39" s="316"/>
      <c r="Z39" s="316"/>
      <c r="AA39" s="318"/>
      <c r="AB39" s="316"/>
      <c r="AC39" s="316"/>
      <c r="AD39" s="316"/>
      <c r="AE39" s="316"/>
      <c r="AF39" s="316"/>
      <c r="AG39" s="316"/>
      <c r="AH39" s="316"/>
      <c r="AI39" s="316"/>
      <c r="AJ39" s="316"/>
      <c r="AK39" s="316"/>
    </row>
    <row r="40" spans="1:37" x14ac:dyDescent="0.3">
      <c r="G40" s="263"/>
      <c r="H40" s="263"/>
      <c r="K40" s="316"/>
      <c r="L40" s="316"/>
      <c r="M40" s="316"/>
      <c r="N40" s="316"/>
      <c r="O40" s="316"/>
      <c r="P40" s="316"/>
      <c r="Q40" s="316"/>
      <c r="R40" s="316"/>
      <c r="S40" s="317"/>
      <c r="T40" s="316"/>
      <c r="U40" s="316"/>
      <c r="V40" s="316"/>
      <c r="W40" s="316"/>
      <c r="X40" s="316"/>
      <c r="Y40" s="316"/>
      <c r="Z40" s="316"/>
      <c r="AA40" s="318"/>
      <c r="AB40" s="316"/>
      <c r="AC40" s="316"/>
      <c r="AD40" s="316"/>
      <c r="AE40" s="316"/>
      <c r="AF40" s="316"/>
      <c r="AG40" s="316"/>
      <c r="AH40" s="316"/>
      <c r="AI40" s="316"/>
      <c r="AJ40" s="316"/>
      <c r="AK40" s="316"/>
    </row>
    <row r="41" spans="1:37" x14ac:dyDescent="0.3">
      <c r="G41" s="263"/>
      <c r="H41" s="263"/>
      <c r="K41" s="316"/>
      <c r="L41" s="316"/>
      <c r="M41" s="316"/>
      <c r="N41" s="316"/>
      <c r="O41" s="316"/>
      <c r="P41" s="316"/>
      <c r="Q41" s="316"/>
      <c r="R41" s="316"/>
      <c r="S41" s="317"/>
      <c r="T41" s="316"/>
      <c r="U41" s="316"/>
      <c r="V41" s="316"/>
      <c r="W41" s="316"/>
      <c r="X41" s="316"/>
      <c r="Y41" s="316"/>
      <c r="Z41" s="316"/>
      <c r="AA41" s="318"/>
      <c r="AB41" s="316"/>
      <c r="AC41" s="316"/>
      <c r="AD41" s="316"/>
      <c r="AE41" s="316"/>
      <c r="AF41" s="316"/>
      <c r="AG41" s="316"/>
      <c r="AH41" s="316"/>
      <c r="AI41" s="316"/>
      <c r="AJ41" s="316"/>
      <c r="AK41" s="316"/>
    </row>
    <row r="42" spans="1:37" x14ac:dyDescent="0.3">
      <c r="G42" s="263"/>
      <c r="H42" s="263"/>
      <c r="K42" s="316"/>
      <c r="L42" s="316"/>
      <c r="M42" s="316"/>
      <c r="N42" s="316"/>
      <c r="O42" s="316"/>
      <c r="P42" s="316"/>
      <c r="Q42" s="316"/>
      <c r="R42" s="316"/>
      <c r="S42" s="317"/>
      <c r="T42" s="316"/>
      <c r="U42" s="316"/>
      <c r="V42" s="316"/>
      <c r="W42" s="316"/>
      <c r="X42" s="316"/>
      <c r="Y42" s="316"/>
      <c r="Z42" s="316"/>
      <c r="AA42" s="318"/>
      <c r="AB42" s="316"/>
      <c r="AC42" s="316"/>
      <c r="AD42" s="316"/>
      <c r="AE42" s="316"/>
      <c r="AF42" s="316"/>
      <c r="AG42" s="316"/>
      <c r="AH42" s="316"/>
      <c r="AI42" s="316"/>
      <c r="AJ42" s="316"/>
      <c r="AK42" s="316"/>
    </row>
    <row r="43" spans="1:37" x14ac:dyDescent="0.3">
      <c r="G43" s="263"/>
      <c r="H43" s="263"/>
      <c r="K43" s="316"/>
      <c r="L43" s="316"/>
      <c r="M43" s="316"/>
      <c r="N43" s="316"/>
      <c r="O43" s="316"/>
      <c r="P43" s="316"/>
      <c r="Q43" s="316"/>
      <c r="R43" s="316"/>
      <c r="S43" s="317"/>
      <c r="T43" s="316"/>
      <c r="U43" s="316"/>
      <c r="V43" s="316"/>
      <c r="W43" s="316"/>
      <c r="X43" s="316"/>
      <c r="Y43" s="316"/>
      <c r="Z43" s="316"/>
      <c r="AA43" s="318"/>
      <c r="AB43" s="316"/>
      <c r="AC43" s="316"/>
      <c r="AD43" s="316"/>
      <c r="AE43" s="316"/>
      <c r="AF43" s="316"/>
      <c r="AG43" s="316"/>
      <c r="AH43" s="316"/>
      <c r="AI43" s="316"/>
      <c r="AJ43" s="316"/>
      <c r="AK43" s="316"/>
    </row>
    <row r="46" spans="1:37" hidden="1" x14ac:dyDescent="0.3">
      <c r="G46" s="319" t="s">
        <v>351</v>
      </c>
      <c r="H46" s="319"/>
      <c r="I46" s="72" t="s">
        <v>57</v>
      </c>
      <c r="K46" s="320">
        <v>1.05287E-3</v>
      </c>
      <c r="L46" s="321">
        <v>1.22547E-3</v>
      </c>
      <c r="M46" s="320">
        <v>1.3985499999999999E-3</v>
      </c>
      <c r="N46" s="321">
        <v>4.2499399999999998E-3</v>
      </c>
      <c r="O46" s="320">
        <v>7.1213200000000004E-3</v>
      </c>
      <c r="P46" s="321">
        <v>6.1656000000000002E-3</v>
      </c>
      <c r="Q46" s="320">
        <v>5.2068899999999996E-3</v>
      </c>
      <c r="R46" s="321">
        <v>5.8416300000000004E-3</v>
      </c>
      <c r="S46" s="320">
        <v>6.4719E-3</v>
      </c>
      <c r="T46" s="321">
        <v>6.76197E-3</v>
      </c>
      <c r="U46" s="320">
        <v>7.0475099999999999E-3</v>
      </c>
      <c r="V46" s="321">
        <v>7.37464E-3</v>
      </c>
      <c r="W46" s="320">
        <v>6.4535499999999997E-3</v>
      </c>
      <c r="X46" s="321">
        <v>6.8172700000000003E-3</v>
      </c>
      <c r="Y46" s="320">
        <v>7.2003600000000003E-3</v>
      </c>
      <c r="Z46" s="321">
        <v>7.5829599999999997E-3</v>
      </c>
      <c r="AA46" s="321">
        <v>7.9850100000000007E-3</v>
      </c>
      <c r="AB46" s="321">
        <v>8.3686999999999998E-3</v>
      </c>
      <c r="AC46" s="320">
        <v>8.7914800000000008E-3</v>
      </c>
      <c r="AD46" s="321">
        <v>9.1924999999999993E-3</v>
      </c>
      <c r="AE46" s="320">
        <v>9.61417E-3</v>
      </c>
      <c r="AF46" s="321">
        <v>9.8040899999999997E-3</v>
      </c>
      <c r="AG46" s="320">
        <v>9.9780000000000008E-3</v>
      </c>
      <c r="AH46" s="321">
        <v>1.0167799999999999E-2</v>
      </c>
      <c r="AI46" s="320">
        <v>1.0361E-2</v>
      </c>
      <c r="AJ46" s="320"/>
      <c r="AK46" s="321">
        <v>1.05509E-2</v>
      </c>
    </row>
    <row r="47" spans="1:37" hidden="1" x14ac:dyDescent="0.3">
      <c r="G47" s="319" t="s">
        <v>352</v>
      </c>
      <c r="H47" s="319"/>
      <c r="I47" s="72" t="s">
        <v>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1.7430699213901533E-3</v>
      </c>
      <c r="AB47">
        <v>1.7430699213901533E-3</v>
      </c>
      <c r="AC47">
        <v>1.8223003723624328E-3</v>
      </c>
      <c r="AD47">
        <v>1.8223003723624328E-3</v>
      </c>
      <c r="AE47">
        <v>1.8223003723624328E-3</v>
      </c>
      <c r="AF47">
        <v>1.8223003723624328E-3</v>
      </c>
      <c r="AG47">
        <v>1.8223003723624328E-3</v>
      </c>
      <c r="AH47">
        <v>1.8223003723624328E-3</v>
      </c>
      <c r="AI47">
        <v>1.8223003723624328E-3</v>
      </c>
      <c r="AK47">
        <v>1.8223003723624328E-3</v>
      </c>
    </row>
    <row r="48" spans="1:37" hidden="1" x14ac:dyDescent="0.3">
      <c r="G48" s="319" t="s">
        <v>353</v>
      </c>
      <c r="H48" s="319"/>
      <c r="I48" s="72" t="s">
        <v>57</v>
      </c>
      <c r="K48">
        <f>K46+K47</f>
        <v>1.05287E-3</v>
      </c>
      <c r="L48">
        <f t="shared" ref="L48:AK48" si="11">L46+L47</f>
        <v>1.22547E-3</v>
      </c>
      <c r="M48">
        <f t="shared" si="11"/>
        <v>1.3985499999999999E-3</v>
      </c>
      <c r="N48">
        <f t="shared" si="11"/>
        <v>4.2499399999999998E-3</v>
      </c>
      <c r="O48">
        <f t="shared" si="11"/>
        <v>7.1213200000000004E-3</v>
      </c>
      <c r="P48">
        <f t="shared" si="11"/>
        <v>6.1656000000000002E-3</v>
      </c>
      <c r="Q48">
        <f t="shared" si="11"/>
        <v>5.2068899999999996E-3</v>
      </c>
      <c r="R48">
        <f t="shared" si="11"/>
        <v>5.8416300000000004E-3</v>
      </c>
      <c r="S48">
        <f t="shared" si="11"/>
        <v>6.4719E-3</v>
      </c>
      <c r="T48">
        <f t="shared" si="11"/>
        <v>6.76197E-3</v>
      </c>
      <c r="U48">
        <f t="shared" si="11"/>
        <v>7.0475099999999999E-3</v>
      </c>
      <c r="V48">
        <f t="shared" si="11"/>
        <v>7.37464E-3</v>
      </c>
      <c r="W48">
        <f t="shared" si="11"/>
        <v>6.4535499999999997E-3</v>
      </c>
      <c r="X48">
        <f t="shared" si="11"/>
        <v>6.8172700000000003E-3</v>
      </c>
      <c r="Y48">
        <f t="shared" si="11"/>
        <v>7.2003600000000003E-3</v>
      </c>
      <c r="Z48">
        <f t="shared" si="11"/>
        <v>7.5829599999999997E-3</v>
      </c>
      <c r="AA48">
        <f t="shared" si="11"/>
        <v>9.728079921390154E-3</v>
      </c>
      <c r="AB48">
        <f t="shared" si="11"/>
        <v>1.0111769921390153E-2</v>
      </c>
      <c r="AC48">
        <f t="shared" si="11"/>
        <v>1.0613780372362434E-2</v>
      </c>
      <c r="AD48">
        <f t="shared" si="11"/>
        <v>1.1014800372362432E-2</v>
      </c>
      <c r="AE48">
        <f t="shared" si="11"/>
        <v>1.1436470372362433E-2</v>
      </c>
      <c r="AF48">
        <f t="shared" si="11"/>
        <v>1.1626390372362433E-2</v>
      </c>
      <c r="AG48">
        <f t="shared" si="11"/>
        <v>1.1800300372362434E-2</v>
      </c>
      <c r="AH48">
        <f t="shared" si="11"/>
        <v>1.1990100372362433E-2</v>
      </c>
      <c r="AI48">
        <f t="shared" si="11"/>
        <v>1.2183300372362434E-2</v>
      </c>
      <c r="AK48">
        <f t="shared" si="11"/>
        <v>1.2373200372362433E-2</v>
      </c>
    </row>
    <row r="49" spans="1:37" hidden="1" x14ac:dyDescent="0.3">
      <c r="G49" s="319" t="s">
        <v>354</v>
      </c>
      <c r="H49" s="319"/>
      <c r="I49" s="72" t="s">
        <v>57</v>
      </c>
      <c r="J49" s="322"/>
      <c r="K49" s="323">
        <v>1.5856521795227389E-2</v>
      </c>
      <c r="L49" s="324">
        <v>1.5853445606540926E-2</v>
      </c>
      <c r="M49" s="324">
        <v>1.5731746523551051E-2</v>
      </c>
      <c r="N49" s="324">
        <v>3.629324554638666E-2</v>
      </c>
      <c r="O49" s="324">
        <v>5.3664818319939425E-2</v>
      </c>
      <c r="P49" s="324">
        <v>4.9324804751988326E-2</v>
      </c>
      <c r="Q49" s="324">
        <v>4.3645343762180183E-2</v>
      </c>
      <c r="R49" s="324">
        <v>4.9089321456691336E-2</v>
      </c>
      <c r="S49" s="324">
        <v>5.4569178039346258E-2</v>
      </c>
      <c r="T49" s="324">
        <v>5.6871065186673411E-2</v>
      </c>
      <c r="U49" s="324">
        <v>5.6290038186162808E-2</v>
      </c>
      <c r="V49" s="324">
        <v>6.1815934163161522E-2</v>
      </c>
      <c r="W49" s="324">
        <v>3.3472745281979965E-2</v>
      </c>
      <c r="X49" s="324">
        <v>3.3093539802604217E-2</v>
      </c>
      <c r="Y49" s="324">
        <v>3.3836263549744047E-2</v>
      </c>
      <c r="Z49" s="324">
        <v>3.3822298570868783E-2</v>
      </c>
      <c r="AA49" s="325">
        <v>3.3863506389910009E-2</v>
      </c>
      <c r="AB49" s="324">
        <v>3.3799288077750532E-2</v>
      </c>
      <c r="AC49" s="324">
        <v>3.3865472023454926E-2</v>
      </c>
      <c r="AD49" s="324">
        <v>3.3833254624560917E-2</v>
      </c>
      <c r="AE49" s="324">
        <v>3.3852699568757152E-2</v>
      </c>
      <c r="AF49" s="324">
        <v>3.3865581101580174E-2</v>
      </c>
      <c r="AG49" s="324">
        <v>3.3812267278532281E-2</v>
      </c>
      <c r="AH49" s="324">
        <v>3.3825021145350673E-2</v>
      </c>
      <c r="AI49" s="324">
        <v>3.3837312617635354E-2</v>
      </c>
      <c r="AJ49" s="345"/>
      <c r="AK49" s="326">
        <v>3.3849550515449266E-2</v>
      </c>
    </row>
    <row r="50" spans="1:37" hidden="1" x14ac:dyDescent="0.3">
      <c r="G50" s="319" t="s">
        <v>355</v>
      </c>
      <c r="H50" s="319"/>
      <c r="I50" s="72" t="s">
        <v>57</v>
      </c>
      <c r="K50">
        <f>K48/K49</f>
        <v>6.6399807826512142E-2</v>
      </c>
      <c r="L50">
        <f t="shared" ref="L50:AK50" si="12">L48/L49</f>
        <v>7.7299915136075342E-2</v>
      </c>
      <c r="M50">
        <f t="shared" si="12"/>
        <v>8.8899855963628385E-2</v>
      </c>
      <c r="N50">
        <f t="shared" si="12"/>
        <v>0.11710002607973213</v>
      </c>
      <c r="O50">
        <f t="shared" si="12"/>
        <v>0.13269997407880982</v>
      </c>
      <c r="P50">
        <f t="shared" si="12"/>
        <v>0.12499998795740716</v>
      </c>
      <c r="Q50">
        <f t="shared" si="12"/>
        <v>0.11930001120788294</v>
      </c>
      <c r="R50">
        <f t="shared" si="12"/>
        <v>0.11900001521010495</v>
      </c>
      <c r="S50">
        <f t="shared" si="12"/>
        <v>0.11859991725243757</v>
      </c>
      <c r="T50">
        <f t="shared" si="12"/>
        <v>0.11890000614204306</v>
      </c>
      <c r="U50">
        <f t="shared" si="12"/>
        <v>0.12519995059680766</v>
      </c>
      <c r="V50">
        <f t="shared" si="12"/>
        <v>0.11929998470191898</v>
      </c>
      <c r="W50">
        <f t="shared" si="12"/>
        <v>0.19280014070056767</v>
      </c>
      <c r="X50">
        <f t="shared" si="12"/>
        <v>0.20600002419395255</v>
      </c>
      <c r="Y50">
        <f t="shared" si="12"/>
        <v>0.21280009210870646</v>
      </c>
      <c r="Z50">
        <f t="shared" si="12"/>
        <v>0.22420001952591179</v>
      </c>
      <c r="AA50">
        <f t="shared" si="12"/>
        <v>0.28727326135041759</v>
      </c>
      <c r="AB50">
        <f t="shared" si="12"/>
        <v>0.29917109195109204</v>
      </c>
      <c r="AC50">
        <f t="shared" si="12"/>
        <v>0.313410082251664</v>
      </c>
      <c r="AD50">
        <f t="shared" si="12"/>
        <v>0.32556135951420845</v>
      </c>
      <c r="AE50">
        <f t="shared" si="12"/>
        <v>0.33783038038470692</v>
      </c>
      <c r="AF50">
        <f t="shared" si="12"/>
        <v>0.34330993280431099</v>
      </c>
      <c r="AG50">
        <f t="shared" si="12"/>
        <v>0.348994649638729</v>
      </c>
      <c r="AH50">
        <f t="shared" si="12"/>
        <v>0.35447429052119012</v>
      </c>
      <c r="AI50">
        <f t="shared" si="12"/>
        <v>0.36005520030608851</v>
      </c>
      <c r="AK50">
        <f t="shared" si="12"/>
        <v>0.36553514548783106</v>
      </c>
    </row>
    <row r="51" spans="1:37" hidden="1" x14ac:dyDescent="0.3">
      <c r="G51" s="312" t="s">
        <v>345</v>
      </c>
      <c r="H51" s="313"/>
      <c r="I51" s="72" t="s">
        <v>57</v>
      </c>
      <c r="K51" s="327">
        <v>0</v>
      </c>
      <c r="L51" s="327">
        <v>0</v>
      </c>
      <c r="M51" s="327">
        <v>0</v>
      </c>
      <c r="N51" s="327">
        <v>0</v>
      </c>
      <c r="O51" s="327">
        <v>0</v>
      </c>
      <c r="P51" s="327">
        <v>0</v>
      </c>
      <c r="Q51" s="327">
        <v>0</v>
      </c>
      <c r="R51" s="327">
        <v>0</v>
      </c>
      <c r="S51" s="327">
        <v>0</v>
      </c>
      <c r="T51" s="327">
        <v>0</v>
      </c>
      <c r="U51" s="327">
        <v>0</v>
      </c>
      <c r="V51" s="327">
        <v>0</v>
      </c>
      <c r="W51" s="327">
        <v>0</v>
      </c>
      <c r="X51" s="327">
        <v>0</v>
      </c>
      <c r="Y51" s="327">
        <v>0</v>
      </c>
      <c r="Z51" s="327">
        <v>0</v>
      </c>
      <c r="AA51" s="160">
        <v>9.5899999999999999E-2</v>
      </c>
      <c r="AB51" s="327">
        <v>9.5899999999999999E-2</v>
      </c>
      <c r="AC51" s="327">
        <v>9.5899999999999999E-2</v>
      </c>
      <c r="AD51" s="327">
        <v>9.5899999999999999E-2</v>
      </c>
      <c r="AE51" s="327">
        <v>9.5899999999999999E-2</v>
      </c>
      <c r="AF51" s="327">
        <v>9.5899999999999999E-2</v>
      </c>
      <c r="AG51" s="327">
        <v>9.5899999999999999E-2</v>
      </c>
      <c r="AH51" s="327">
        <v>9.5899999999999999E-2</v>
      </c>
      <c r="AI51" s="327">
        <v>9.5899999999999999E-2</v>
      </c>
      <c r="AJ51" s="327"/>
      <c r="AK51" s="327">
        <v>9.5899999999999999E-2</v>
      </c>
    </row>
    <row r="52" spans="1:37" hidden="1" x14ac:dyDescent="0.3">
      <c r="G52" s="312" t="s">
        <v>356</v>
      </c>
      <c r="H52" s="313"/>
      <c r="I52" s="72" t="s">
        <v>57</v>
      </c>
      <c r="K52" s="328">
        <f>K50/K22</f>
        <v>1.6325496377173336E-2</v>
      </c>
      <c r="L52" s="328">
        <f t="shared" ref="L52:AK52" si="13">L50/L22</f>
        <v>1.8333829780246273E-2</v>
      </c>
      <c r="M52" s="328">
        <f t="shared" si="13"/>
        <v>2.044513644202544E-2</v>
      </c>
      <c r="N52" s="328">
        <f t="shared" si="13"/>
        <v>2.3592450309317146E-2</v>
      </c>
      <c r="O52" s="328">
        <f t="shared" si="13"/>
        <v>2.3591784160139254E-2</v>
      </c>
      <c r="P52" s="328">
        <f t="shared" si="13"/>
        <v>2.3597320921784532E-2</v>
      </c>
      <c r="Q52" s="328">
        <f t="shared" si="13"/>
        <v>2.3591346183381972E-2</v>
      </c>
      <c r="R52" s="328">
        <f t="shared" si="13"/>
        <v>2.3603555707743015E-2</v>
      </c>
      <c r="S52" s="328">
        <f t="shared" si="13"/>
        <v>2.3597083133777248E-2</v>
      </c>
      <c r="T52" s="328">
        <f t="shared" si="13"/>
        <v>2.3607052123166591E-2</v>
      </c>
      <c r="U52" s="328">
        <f t="shared" si="13"/>
        <v>2.3601038142808495E-2</v>
      </c>
      <c r="V52" s="328">
        <f t="shared" si="13"/>
        <v>2.3606049845715644E-2</v>
      </c>
      <c r="W52" s="328">
        <f t="shared" si="13"/>
        <v>3.5046692328650909E-2</v>
      </c>
      <c r="X52" s="328">
        <f t="shared" si="13"/>
        <v>3.5174733573693676E-2</v>
      </c>
      <c r="Y52" s="328">
        <f t="shared" si="13"/>
        <v>3.5175208920259132E-2</v>
      </c>
      <c r="Z52" s="328">
        <f t="shared" si="13"/>
        <v>3.5173363399721436E-2</v>
      </c>
      <c r="AA52" s="329">
        <f t="shared" si="13"/>
        <v>4.2851042767633012E-2</v>
      </c>
      <c r="AB52" s="328">
        <f t="shared" si="13"/>
        <v>4.2502655234156861E-2</v>
      </c>
      <c r="AC52" s="328">
        <f t="shared" si="13"/>
        <v>4.2474446782344813E-2</v>
      </c>
      <c r="AD52" s="328">
        <f t="shared" si="13"/>
        <v>4.2150789457521196E-2</v>
      </c>
      <c r="AE52" s="328">
        <f t="shared" si="13"/>
        <v>4.1846449131583946E-2</v>
      </c>
      <c r="AF52" s="328">
        <f t="shared" si="13"/>
        <v>4.1710486927493649E-2</v>
      </c>
      <c r="AG52" s="328">
        <f t="shared" si="13"/>
        <v>4.1603096755428871E-2</v>
      </c>
      <c r="AH52" s="328">
        <f t="shared" si="13"/>
        <v>4.1476167292112676E-2</v>
      </c>
      <c r="AI52" s="328">
        <f t="shared" si="13"/>
        <v>4.1365474114870168E-2</v>
      </c>
      <c r="AJ52" s="328"/>
      <c r="AK52" s="328">
        <f>AK50/AJ22</f>
        <v>4.1247797826228075E-2</v>
      </c>
    </row>
    <row r="53" spans="1:37" hidden="1" x14ac:dyDescent="0.3">
      <c r="A53" s="330" t="s">
        <v>334</v>
      </c>
      <c r="K53">
        <v>1.6325496377173336E-2</v>
      </c>
      <c r="L53">
        <v>1.8333829780246273E-2</v>
      </c>
      <c r="M53">
        <v>2.044513644202544E-2</v>
      </c>
      <c r="N53">
        <v>2.3592450309317146E-2</v>
      </c>
      <c r="O53">
        <v>2.3591784160139254E-2</v>
      </c>
      <c r="P53">
        <v>2.3597320921784532E-2</v>
      </c>
      <c r="Q53">
        <v>2.3591346183381972E-2</v>
      </c>
      <c r="R53">
        <v>2.3603555707743015E-2</v>
      </c>
      <c r="S53">
        <v>2.3597083133777248E-2</v>
      </c>
      <c r="T53">
        <v>2.3607052123166591E-2</v>
      </c>
      <c r="U53">
        <v>2.3601038142808495E-2</v>
      </c>
      <c r="V53">
        <v>2.3606049845715644E-2</v>
      </c>
      <c r="W53">
        <v>3.5046692328650909E-2</v>
      </c>
      <c r="X53">
        <v>3.5174733573693676E-2</v>
      </c>
      <c r="Y53">
        <v>3.5175208920259132E-2</v>
      </c>
      <c r="Z53">
        <v>3.5173363399721436E-2</v>
      </c>
      <c r="AA53">
        <v>4.2860414479048051E-2</v>
      </c>
      <c r="AB53">
        <v>4.2511508414295754E-2</v>
      </c>
      <c r="AC53">
        <v>4.2482886445912769E-2</v>
      </c>
      <c r="AD53">
        <v>4.2158790698580563E-2</v>
      </c>
      <c r="AE53">
        <v>4.1854048784118664E-2</v>
      </c>
      <c r="AF53">
        <v>4.1717916739999909E-2</v>
      </c>
      <c r="AG53">
        <v>4.1610367933760863E-2</v>
      </c>
      <c r="AH53">
        <v>4.1483282430300195E-2</v>
      </c>
      <c r="AI53">
        <v>4.1372441605936477E-2</v>
      </c>
      <c r="AK53">
        <v>4.1254621850896268E-2</v>
      </c>
    </row>
    <row r="54" spans="1:37" hidden="1" x14ac:dyDescent="0.3">
      <c r="A54" t="s">
        <v>357</v>
      </c>
    </row>
    <row r="55" spans="1:37" hidden="1" x14ac:dyDescent="0.3">
      <c r="A55" t="s">
        <v>358</v>
      </c>
    </row>
    <row r="56" spans="1:37" hidden="1" x14ac:dyDescent="0.3">
      <c r="A56" t="s">
        <v>359</v>
      </c>
      <c r="B56">
        <f>((B66*B60))-B63</f>
        <v>4.0000000000000001E-3</v>
      </c>
      <c r="G56" t="s">
        <v>360</v>
      </c>
    </row>
    <row r="57" spans="1:37" hidden="1" x14ac:dyDescent="0.3">
      <c r="A57" t="s">
        <v>359</v>
      </c>
      <c r="B57">
        <f>((B66*B61))-B63</f>
        <v>2.9999999999999997E-4</v>
      </c>
      <c r="G57" t="s">
        <v>361</v>
      </c>
    </row>
    <row r="58" spans="1:37" hidden="1" x14ac:dyDescent="0.3">
      <c r="A58" t="s">
        <v>359</v>
      </c>
      <c r="B58" s="146">
        <f>B56*B64+B57*B65</f>
        <v>0.1915</v>
      </c>
      <c r="C58" s="146"/>
      <c r="D58" s="146"/>
      <c r="E58" s="146"/>
      <c r="F58" s="146"/>
      <c r="G58" s="146" t="s">
        <v>362</v>
      </c>
    </row>
    <row r="59" spans="1:37" hidden="1" x14ac:dyDescent="0.3">
      <c r="A59" t="s">
        <v>363</v>
      </c>
    </row>
    <row r="60" spans="1:37" ht="28.8" hidden="1" x14ac:dyDescent="0.3">
      <c r="A60" s="68" t="s">
        <v>364</v>
      </c>
      <c r="B60" s="68">
        <f>4/1000</f>
        <v>4.0000000000000001E-3</v>
      </c>
      <c r="C60" s="68"/>
      <c r="D60" s="68"/>
      <c r="E60" s="68"/>
      <c r="F60" s="68"/>
      <c r="G60" s="216" t="s">
        <v>365</v>
      </c>
    </row>
    <row r="61" spans="1:37" ht="28.8" hidden="1" x14ac:dyDescent="0.3">
      <c r="A61" s="68" t="s">
        <v>366</v>
      </c>
      <c r="B61" s="68">
        <f>0.3/1000</f>
        <v>2.9999999999999997E-4</v>
      </c>
      <c r="C61" s="68"/>
      <c r="D61" s="68"/>
      <c r="E61" s="68"/>
      <c r="F61" s="68"/>
      <c r="G61" s="216" t="s">
        <v>367</v>
      </c>
    </row>
    <row r="62" spans="1:37" hidden="1" x14ac:dyDescent="0.3">
      <c r="A62" s="68"/>
      <c r="B62" s="68"/>
      <c r="C62" s="68"/>
      <c r="D62" s="68"/>
      <c r="E62" s="68"/>
      <c r="F62" s="68"/>
      <c r="G62" s="68"/>
    </row>
    <row r="63" spans="1:37" hidden="1" x14ac:dyDescent="0.3">
      <c r="A63" s="68" t="s">
        <v>368</v>
      </c>
      <c r="B63" s="68">
        <v>0</v>
      </c>
      <c r="C63" s="68"/>
      <c r="D63" s="68"/>
      <c r="E63" s="68"/>
      <c r="F63" s="68"/>
      <c r="G63" s="68"/>
    </row>
    <row r="64" spans="1:37" hidden="1" x14ac:dyDescent="0.3">
      <c r="A64" s="68" t="s">
        <v>369</v>
      </c>
      <c r="B64" s="68">
        <v>28</v>
      </c>
      <c r="C64" s="68"/>
      <c r="D64" s="68"/>
      <c r="E64" s="68"/>
      <c r="F64" s="68"/>
      <c r="G64" s="68"/>
    </row>
    <row r="65" spans="1:7" hidden="1" x14ac:dyDescent="0.3">
      <c r="A65" s="68" t="s">
        <v>370</v>
      </c>
      <c r="B65" s="68">
        <v>265</v>
      </c>
      <c r="C65" s="68"/>
      <c r="D65" s="68"/>
      <c r="E65" s="68"/>
      <c r="F65" s="68"/>
      <c r="G65" s="68"/>
    </row>
    <row r="66" spans="1:7" hidden="1" x14ac:dyDescent="0.3">
      <c r="A66" s="68" t="s">
        <v>371</v>
      </c>
      <c r="B66" s="68">
        <v>1</v>
      </c>
      <c r="C66" s="68"/>
      <c r="D66" s="68"/>
      <c r="E66" s="68"/>
      <c r="F66" s="68"/>
      <c r="G66" t="s">
        <v>372</v>
      </c>
    </row>
    <row r="67" spans="1:7" hidden="1" x14ac:dyDescent="0.3"/>
    <row r="68" spans="1:7" hidden="1" x14ac:dyDescent="0.3">
      <c r="A68" t="s">
        <v>373</v>
      </c>
    </row>
    <row r="69" spans="1:7" hidden="1" x14ac:dyDescent="0.3">
      <c r="A69" t="s">
        <v>374</v>
      </c>
    </row>
    <row r="70" spans="1:7" hidden="1" x14ac:dyDescent="0.3">
      <c r="B70" t="s">
        <v>375</v>
      </c>
      <c r="G70" t="s">
        <v>376</v>
      </c>
    </row>
    <row r="71" spans="1:7" hidden="1" x14ac:dyDescent="0.3">
      <c r="A71" t="s">
        <v>377</v>
      </c>
      <c r="B71">
        <f>16*(B72*B74*B73*B76*B75)/12</f>
        <v>4.9999999999999996E-2</v>
      </c>
      <c r="G71">
        <f>B71*B64</f>
        <v>1.4</v>
      </c>
    </row>
    <row r="72" spans="1:7" hidden="1" x14ac:dyDescent="0.3">
      <c r="A72" t="s">
        <v>378</v>
      </c>
      <c r="B72">
        <v>1</v>
      </c>
    </row>
    <row r="73" spans="1:7" hidden="1" x14ac:dyDescent="0.3">
      <c r="A73" t="s">
        <v>329</v>
      </c>
      <c r="B73">
        <v>0.5</v>
      </c>
    </row>
    <row r="74" spans="1:7" hidden="1" x14ac:dyDescent="0.3">
      <c r="A74" t="s">
        <v>379</v>
      </c>
      <c r="B74">
        <v>0.15</v>
      </c>
    </row>
    <row r="75" spans="1:7" hidden="1" x14ac:dyDescent="0.3">
      <c r="A75" t="s">
        <v>331</v>
      </c>
      <c r="B75">
        <v>0.5</v>
      </c>
    </row>
    <row r="76" spans="1:7" hidden="1" x14ac:dyDescent="0.3">
      <c r="A76" t="s">
        <v>380</v>
      </c>
      <c r="B76">
        <v>1</v>
      </c>
    </row>
    <row r="77" spans="1:7" hidden="1" x14ac:dyDescent="0.3"/>
    <row r="78" spans="1:7" hidden="1" x14ac:dyDescent="0.3">
      <c r="A78" t="s">
        <v>381</v>
      </c>
      <c r="B78">
        <f>11/(G71-B58)</f>
        <v>9.1021928009929667</v>
      </c>
      <c r="G78" t="s">
        <v>382</v>
      </c>
    </row>
    <row r="79" spans="1:7" hidden="1" x14ac:dyDescent="0.3">
      <c r="A79" t="s">
        <v>383</v>
      </c>
      <c r="B79">
        <f>G84/(G71-B58)</f>
        <v>9.5159288374017379</v>
      </c>
    </row>
    <row r="80" spans="1:7" hidden="1" x14ac:dyDescent="0.3">
      <c r="A80" t="s">
        <v>384</v>
      </c>
      <c r="B80" s="331">
        <f>(B78*B60*B64)+(B78*B61*B65)</f>
        <v>1.7430699213901533</v>
      </c>
      <c r="C80" s="331"/>
      <c r="D80" s="331"/>
      <c r="E80" s="331"/>
      <c r="F80" s="331"/>
      <c r="G80" t="s">
        <v>385</v>
      </c>
    </row>
    <row r="81" spans="1:37" hidden="1" x14ac:dyDescent="0.3">
      <c r="A81" t="s">
        <v>384</v>
      </c>
      <c r="B81">
        <f>B80/1000</f>
        <v>1.7430699213901533E-3</v>
      </c>
      <c r="G81" t="s">
        <v>258</v>
      </c>
    </row>
    <row r="82" spans="1:37" hidden="1" x14ac:dyDescent="0.3">
      <c r="A82" t="s">
        <v>384</v>
      </c>
      <c r="B82" s="331">
        <f>(B79*B60*B64)+(B79*B61*B65)</f>
        <v>1.8223003723624327</v>
      </c>
      <c r="C82" s="331"/>
      <c r="D82" s="331"/>
      <c r="E82" s="331"/>
      <c r="F82" s="331"/>
    </row>
    <row r="83" spans="1:37" hidden="1" x14ac:dyDescent="0.3">
      <c r="A83" t="s">
        <v>386</v>
      </c>
      <c r="B83">
        <f>B82/1000</f>
        <v>1.8223003723624328E-3</v>
      </c>
      <c r="G83" t="s">
        <v>258</v>
      </c>
    </row>
    <row r="84" spans="1:37" hidden="1" x14ac:dyDescent="0.3">
      <c r="A84">
        <v>2028</v>
      </c>
      <c r="B84">
        <v>1.15E-2</v>
      </c>
      <c r="G84">
        <f>B84*1000</f>
        <v>11.5</v>
      </c>
    </row>
    <row r="85" spans="1:37" hidden="1" x14ac:dyDescent="0.3"/>
    <row r="86" spans="1:37" hidden="1" x14ac:dyDescent="0.3"/>
    <row r="87" spans="1:37" hidden="1" x14ac:dyDescent="0.3"/>
    <row r="88" spans="1:37" hidden="1" x14ac:dyDescent="0.3">
      <c r="K88" s="226">
        <v>2010</v>
      </c>
      <c r="L88" s="226">
        <v>2011</v>
      </c>
      <c r="M88" s="226">
        <v>2012</v>
      </c>
      <c r="N88" s="226">
        <v>2013</v>
      </c>
      <c r="O88" s="226">
        <v>2014</v>
      </c>
      <c r="P88" s="226">
        <v>2015</v>
      </c>
      <c r="Q88" s="226">
        <v>2016</v>
      </c>
      <c r="R88" s="226">
        <v>2017</v>
      </c>
      <c r="S88" s="226">
        <v>2018</v>
      </c>
      <c r="T88" s="226">
        <v>2019</v>
      </c>
      <c r="U88" s="226">
        <v>2020</v>
      </c>
      <c r="V88" s="226">
        <v>2021</v>
      </c>
      <c r="W88" s="226">
        <v>2022</v>
      </c>
      <c r="X88" s="226">
        <v>2023</v>
      </c>
      <c r="Y88" s="226">
        <v>2024</v>
      </c>
      <c r="Z88" s="226">
        <v>2025</v>
      </c>
      <c r="AA88" s="332">
        <v>2026</v>
      </c>
      <c r="AB88" s="226">
        <v>2027</v>
      </c>
      <c r="AC88" s="226">
        <v>2028</v>
      </c>
      <c r="AD88" s="226">
        <v>2029</v>
      </c>
      <c r="AE88" s="226">
        <v>2030</v>
      </c>
      <c r="AF88" s="226">
        <v>2031</v>
      </c>
      <c r="AG88" s="226">
        <v>2032</v>
      </c>
      <c r="AH88" s="226">
        <v>2033</v>
      </c>
      <c r="AI88" s="226">
        <v>2034</v>
      </c>
      <c r="AJ88" s="226"/>
      <c r="AK88" s="226">
        <v>2035</v>
      </c>
    </row>
    <row r="89" spans="1:37" hidden="1" x14ac:dyDescent="0.3">
      <c r="G89" t="s">
        <v>333</v>
      </c>
      <c r="I89" t="s">
        <v>71</v>
      </c>
      <c r="K89">
        <v>4.0672458767841082</v>
      </c>
      <c r="L89">
        <v>4.2162448360550338</v>
      </c>
      <c r="M89">
        <v>4.3482153428378556</v>
      </c>
      <c r="N89">
        <v>4.9634533312331239</v>
      </c>
      <c r="O89">
        <v>5.6248384258711592</v>
      </c>
      <c r="P89">
        <v>5.2972109999999999</v>
      </c>
      <c r="Q89">
        <v>5.0569395353928259</v>
      </c>
      <c r="R89">
        <v>5.0416139281535308</v>
      </c>
      <c r="S89">
        <v>5.0260414213090483</v>
      </c>
      <c r="T89">
        <v>5.0366308136102047</v>
      </c>
      <c r="U89">
        <v>5.3048492968499996</v>
      </c>
      <c r="V89">
        <v>5.0537885619000003</v>
      </c>
      <c r="W89">
        <v>5.5012364331726751</v>
      </c>
      <c r="X89">
        <v>5.8564771716711723</v>
      </c>
      <c r="Y89">
        <v>6.049717930350214</v>
      </c>
      <c r="Z89">
        <v>6.3741421875989088</v>
      </c>
      <c r="AA89">
        <v>6.702531108065898</v>
      </c>
      <c r="AB89">
        <v>7.0374141758396629</v>
      </c>
      <c r="AC89">
        <v>7.3773255179043238</v>
      </c>
      <c r="AD89">
        <v>7.7222651342598807</v>
      </c>
      <c r="AE89">
        <v>8.071629631991426</v>
      </c>
      <c r="AF89">
        <v>8.2293163137539675</v>
      </c>
      <c r="AG89">
        <v>8.3872041264881432</v>
      </c>
      <c r="AH89">
        <v>8.5449913737365009</v>
      </c>
      <c r="AI89">
        <v>8.7027786209848603</v>
      </c>
      <c r="AK89">
        <v>8.8604653027473983</v>
      </c>
    </row>
    <row r="90" spans="1:37" hidden="1" x14ac:dyDescent="0.3"/>
  </sheetData>
  <mergeCells count="31">
    <mergeCell ref="G47:H47"/>
    <mergeCell ref="G48:H48"/>
    <mergeCell ref="G49:H49"/>
    <mergeCell ref="G50:H50"/>
    <mergeCell ref="G51:H51"/>
    <mergeCell ref="G52:H52"/>
    <mergeCell ref="G31:H31"/>
    <mergeCell ref="G32:H32"/>
    <mergeCell ref="G33:H33"/>
    <mergeCell ref="G34:H34"/>
    <mergeCell ref="G35:H35"/>
    <mergeCell ref="G46:H46"/>
    <mergeCell ref="G25:H25"/>
    <mergeCell ref="G26:H26"/>
    <mergeCell ref="G27:H27"/>
    <mergeCell ref="G28:H28"/>
    <mergeCell ref="G29:H29"/>
    <mergeCell ref="G30:H30"/>
    <mergeCell ref="G7:H7"/>
    <mergeCell ref="G8:H8"/>
    <mergeCell ref="G21:H21"/>
    <mergeCell ref="G22:H22"/>
    <mergeCell ref="G23:H23"/>
    <mergeCell ref="G24:H24"/>
    <mergeCell ref="G1:J1"/>
    <mergeCell ref="G2:H2"/>
    <mergeCell ref="G3:H3"/>
    <mergeCell ref="C1:C3"/>
    <mergeCell ref="G4:H4"/>
    <mergeCell ref="G5:H5"/>
    <mergeCell ref="G6:H6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ECDD9-A1F3-4E7F-A4A2-38432D287DCD}">
  <dimension ref="A2:I17"/>
  <sheetViews>
    <sheetView zoomScale="55" zoomScaleNormal="55" workbookViewId="0">
      <selection activeCell="B18" sqref="B18"/>
    </sheetView>
  </sheetViews>
  <sheetFormatPr baseColWidth="10" defaultRowHeight="14.4" x14ac:dyDescent="0.3"/>
  <cols>
    <col min="1" max="1" width="11.5546875" customWidth="1"/>
    <col min="2" max="2" width="76.21875" customWidth="1"/>
    <col min="3" max="3" width="17.6640625" style="94" customWidth="1"/>
    <col min="4" max="4" width="30.33203125" style="94" customWidth="1"/>
    <col min="5" max="5" width="30.33203125" customWidth="1"/>
    <col min="6" max="6" width="20.88671875" customWidth="1"/>
    <col min="7" max="7" width="23.33203125" customWidth="1"/>
    <col min="11" max="11" width="20.44140625" customWidth="1"/>
  </cols>
  <sheetData>
    <row r="2" spans="1:8" ht="15" thickBot="1" x14ac:dyDescent="0.35"/>
    <row r="3" spans="1:8" s="382" customFormat="1" ht="77.400000000000006" customHeight="1" x14ac:dyDescent="0.3">
      <c r="A3" s="377" t="s">
        <v>270</v>
      </c>
      <c r="B3" s="375" t="s">
        <v>271</v>
      </c>
      <c r="C3" s="375" t="s">
        <v>272</v>
      </c>
      <c r="D3" s="375" t="s">
        <v>273</v>
      </c>
      <c r="E3" s="375" t="s">
        <v>274</v>
      </c>
      <c r="F3" s="376" t="s">
        <v>275</v>
      </c>
    </row>
    <row r="4" spans="1:8" s="382" customFormat="1" ht="19.95" customHeight="1" x14ac:dyDescent="0.3">
      <c r="A4" s="372">
        <v>1</v>
      </c>
      <c r="B4" s="368" t="s">
        <v>388</v>
      </c>
      <c r="C4" s="369" t="s">
        <v>389</v>
      </c>
      <c r="D4" s="378">
        <v>30</v>
      </c>
      <c r="E4" s="367">
        <f>D4/1000</f>
        <v>0.03</v>
      </c>
      <c r="F4" s="383" t="s">
        <v>58</v>
      </c>
    </row>
    <row r="5" spans="1:8" s="382" customFormat="1" ht="19.95" customHeight="1" x14ac:dyDescent="0.3">
      <c r="A5" s="372">
        <v>2</v>
      </c>
      <c r="B5" s="379" t="s">
        <v>390</v>
      </c>
      <c r="C5" s="387" t="s">
        <v>277</v>
      </c>
      <c r="D5" s="380">
        <v>1710</v>
      </c>
      <c r="E5" s="367">
        <f t="shared" ref="E5:E16" si="0">D5/1000</f>
        <v>1.71</v>
      </c>
      <c r="F5" s="383" t="s">
        <v>58</v>
      </c>
    </row>
    <row r="6" spans="1:8" s="382" customFormat="1" ht="19.95" customHeight="1" x14ac:dyDescent="0.3">
      <c r="A6" s="372">
        <v>3</v>
      </c>
      <c r="B6" s="368" t="s">
        <v>395</v>
      </c>
      <c r="C6" s="369" t="s">
        <v>277</v>
      </c>
      <c r="D6" s="370">
        <v>11</v>
      </c>
      <c r="E6" s="367">
        <f t="shared" si="0"/>
        <v>1.0999999999999999E-2</v>
      </c>
      <c r="F6" s="373" t="s">
        <v>57</v>
      </c>
    </row>
    <row r="7" spans="1:8" s="382" customFormat="1" ht="19.95" customHeight="1" x14ac:dyDescent="0.3">
      <c r="A7" s="372">
        <v>4</v>
      </c>
      <c r="B7" s="368" t="s">
        <v>402</v>
      </c>
      <c r="C7" s="369" t="s">
        <v>277</v>
      </c>
      <c r="D7" s="381">
        <v>6.97</v>
      </c>
      <c r="E7" s="367">
        <f t="shared" si="0"/>
        <v>6.9699999999999996E-3</v>
      </c>
      <c r="F7" s="373" t="s">
        <v>57</v>
      </c>
    </row>
    <row r="8" spans="1:8" s="382" customFormat="1" ht="19.95" customHeight="1" x14ac:dyDescent="0.3">
      <c r="A8" s="372">
        <v>5</v>
      </c>
      <c r="B8" s="368" t="s">
        <v>388</v>
      </c>
      <c r="C8" s="369" t="s">
        <v>391</v>
      </c>
      <c r="D8" s="370">
        <f>215.107*4</f>
        <v>860.428</v>
      </c>
      <c r="E8" s="367">
        <f t="shared" si="0"/>
        <v>0.86042799999999997</v>
      </c>
      <c r="F8" s="383" t="s">
        <v>58</v>
      </c>
      <c r="G8" s="382">
        <v>215</v>
      </c>
      <c r="H8" s="382" t="s">
        <v>401</v>
      </c>
    </row>
    <row r="9" spans="1:8" s="382" customFormat="1" ht="19.95" customHeight="1" x14ac:dyDescent="0.3">
      <c r="A9" s="372">
        <v>6</v>
      </c>
      <c r="B9" s="368" t="s">
        <v>396</v>
      </c>
      <c r="C9" s="369" t="s">
        <v>394</v>
      </c>
      <c r="D9" s="370">
        <v>5</v>
      </c>
      <c r="E9" s="367">
        <f t="shared" si="0"/>
        <v>5.0000000000000001E-3</v>
      </c>
      <c r="F9" s="373" t="s">
        <v>57</v>
      </c>
    </row>
    <row r="10" spans="1:8" s="382" customFormat="1" ht="19.95" customHeight="1" x14ac:dyDescent="0.3">
      <c r="A10" s="372">
        <v>7</v>
      </c>
      <c r="B10" s="368" t="s">
        <v>397</v>
      </c>
      <c r="C10" s="369" t="s">
        <v>392</v>
      </c>
      <c r="D10" s="370">
        <v>90</v>
      </c>
      <c r="E10" s="367">
        <f t="shared" si="0"/>
        <v>0.09</v>
      </c>
      <c r="F10" s="383" t="s">
        <v>58</v>
      </c>
    </row>
    <row r="11" spans="1:8" s="382" customFormat="1" ht="19.95" customHeight="1" x14ac:dyDescent="0.3">
      <c r="A11" s="372">
        <v>8</v>
      </c>
      <c r="B11" s="379" t="s">
        <v>390</v>
      </c>
      <c r="C11" s="388" t="s">
        <v>277</v>
      </c>
      <c r="D11" s="370">
        <v>50</v>
      </c>
      <c r="E11" s="367">
        <f t="shared" si="0"/>
        <v>0.05</v>
      </c>
      <c r="F11" s="383" t="s">
        <v>87</v>
      </c>
    </row>
    <row r="12" spans="1:8" s="382" customFormat="1" ht="19.95" customHeight="1" x14ac:dyDescent="0.3">
      <c r="A12" s="372">
        <v>9</v>
      </c>
      <c r="B12" s="368" t="s">
        <v>398</v>
      </c>
      <c r="C12" s="388" t="s">
        <v>277</v>
      </c>
      <c r="D12" s="370">
        <v>4</v>
      </c>
      <c r="E12" s="367">
        <f t="shared" si="0"/>
        <v>4.0000000000000001E-3</v>
      </c>
      <c r="F12" s="373" t="s">
        <v>71</v>
      </c>
    </row>
    <row r="13" spans="1:8" s="382" customFormat="1" ht="19.95" customHeight="1" x14ac:dyDescent="0.3">
      <c r="A13" s="372">
        <v>10</v>
      </c>
      <c r="B13" s="367" t="s">
        <v>399</v>
      </c>
      <c r="C13" s="369" t="s">
        <v>277</v>
      </c>
      <c r="D13" s="380">
        <v>0.02</v>
      </c>
      <c r="E13" s="367">
        <f t="shared" si="0"/>
        <v>2.0000000000000002E-5</v>
      </c>
      <c r="F13" s="373" t="s">
        <v>57</v>
      </c>
    </row>
    <row r="14" spans="1:8" s="382" customFormat="1" ht="19.95" customHeight="1" x14ac:dyDescent="0.3">
      <c r="A14" s="372">
        <v>11</v>
      </c>
      <c r="B14" s="371" t="s">
        <v>400</v>
      </c>
      <c r="C14" s="369" t="s">
        <v>277</v>
      </c>
      <c r="D14" s="370">
        <v>7.5</v>
      </c>
      <c r="E14" s="367">
        <f t="shared" si="0"/>
        <v>7.4999999999999997E-3</v>
      </c>
      <c r="F14" s="373" t="s">
        <v>57</v>
      </c>
    </row>
    <row r="15" spans="1:8" s="382" customFormat="1" ht="19.95" customHeight="1" x14ac:dyDescent="0.3">
      <c r="A15" s="372">
        <v>12</v>
      </c>
      <c r="B15" s="368" t="s">
        <v>403</v>
      </c>
      <c r="C15" s="369" t="s">
        <v>277</v>
      </c>
      <c r="D15" s="389">
        <v>0.10842449999999999</v>
      </c>
      <c r="E15" s="367">
        <f t="shared" si="0"/>
        <v>1.084245E-4</v>
      </c>
      <c r="F15" s="373" t="s">
        <v>57</v>
      </c>
    </row>
    <row r="16" spans="1:8" s="382" customFormat="1" ht="19.95" customHeight="1" thickBot="1" x14ac:dyDescent="0.35">
      <c r="A16" s="384">
        <v>13</v>
      </c>
      <c r="B16" s="385" t="s">
        <v>393</v>
      </c>
      <c r="C16" s="374" t="s">
        <v>394</v>
      </c>
      <c r="D16" s="390">
        <v>2.4500000000000002</v>
      </c>
      <c r="E16" s="385">
        <f t="shared" si="0"/>
        <v>2.4500000000000004E-3</v>
      </c>
      <c r="F16" s="386" t="s">
        <v>57</v>
      </c>
    </row>
    <row r="17" spans="1:6" x14ac:dyDescent="0.3">
      <c r="A17" s="67"/>
      <c r="B17" s="67"/>
      <c r="C17" s="263"/>
      <c r="D17" s="263"/>
      <c r="E17" s="67"/>
      <c r="F17" s="67"/>
    </row>
  </sheetData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B926E-12BE-4CC9-8D39-B8117CB82533}">
  <dimension ref="B1:AD13"/>
  <sheetViews>
    <sheetView workbookViewId="0">
      <selection activeCell="Z20" sqref="Z20"/>
    </sheetView>
  </sheetViews>
  <sheetFormatPr baseColWidth="10" defaultRowHeight="14.4" x14ac:dyDescent="0.3"/>
  <cols>
    <col min="2" max="2" width="10.6640625" customWidth="1"/>
    <col min="3" max="3" width="25.88671875" customWidth="1"/>
  </cols>
  <sheetData>
    <row r="1" spans="2:30" ht="20.399999999999999" thickBot="1" x14ac:dyDescent="0.35">
      <c r="B1" s="1"/>
      <c r="C1" s="2"/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  <c r="Q1" s="3">
        <v>2023</v>
      </c>
      <c r="R1" s="3">
        <v>2024</v>
      </c>
      <c r="S1" s="3">
        <v>2025</v>
      </c>
      <c r="T1" s="3">
        <v>2026</v>
      </c>
      <c r="U1" s="3">
        <v>2027</v>
      </c>
      <c r="V1" s="3">
        <v>2028</v>
      </c>
      <c r="W1" s="3">
        <v>2029</v>
      </c>
      <c r="X1" s="3">
        <v>2030</v>
      </c>
      <c r="Y1" s="3">
        <v>2031</v>
      </c>
      <c r="Z1" s="3">
        <v>2032</v>
      </c>
      <c r="AA1" s="3">
        <v>2033</v>
      </c>
      <c r="AB1" s="3">
        <v>2034</v>
      </c>
      <c r="AC1" s="3">
        <v>2035</v>
      </c>
      <c r="AD1" s="4"/>
    </row>
    <row r="2" spans="2:30" ht="15" thickBot="1" x14ac:dyDescent="0.35"/>
    <row r="3" spans="2:30" x14ac:dyDescent="0.3">
      <c r="B3" s="9"/>
      <c r="C3" s="10" t="s">
        <v>313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2:30" x14ac:dyDescent="0.3">
      <c r="B4" s="12"/>
      <c r="C4" s="164" t="s">
        <v>207</v>
      </c>
      <c r="D4" s="164" t="s">
        <v>208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5"/>
    </row>
    <row r="5" spans="2:30" x14ac:dyDescent="0.3">
      <c r="B5" s="12"/>
      <c r="C5" s="163" t="s">
        <v>306</v>
      </c>
      <c r="D5" s="163"/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5"/>
    </row>
    <row r="6" spans="2:30" x14ac:dyDescent="0.3">
      <c r="B6" s="12"/>
      <c r="C6" s="172" t="s">
        <v>317</v>
      </c>
      <c r="D6" s="172">
        <v>0</v>
      </c>
      <c r="E6" s="172">
        <v>0</v>
      </c>
      <c r="F6" s="172">
        <v>0</v>
      </c>
      <c r="G6" s="172">
        <v>0</v>
      </c>
      <c r="H6" s="172">
        <v>0</v>
      </c>
      <c r="I6" s="172">
        <v>0</v>
      </c>
      <c r="J6" s="172">
        <v>0</v>
      </c>
      <c r="K6" s="172">
        <v>0</v>
      </c>
      <c r="L6" s="172">
        <v>0</v>
      </c>
      <c r="M6" s="172">
        <v>0</v>
      </c>
      <c r="N6" s="172">
        <v>0</v>
      </c>
      <c r="O6" s="172">
        <v>6.0000000000000001E-3</v>
      </c>
      <c r="P6" s="172">
        <v>1.2E-2</v>
      </c>
      <c r="Q6" s="172">
        <v>1.7999999999999999E-2</v>
      </c>
      <c r="R6" s="172">
        <v>2.4E-2</v>
      </c>
      <c r="S6" s="172">
        <f>[1]RESIDUOS!P17</f>
        <v>0</v>
      </c>
      <c r="T6" s="172">
        <f>[1]RESIDUOS!Q17</f>
        <v>7.4999999999999997E-3</v>
      </c>
      <c r="U6" s="172">
        <f>[1]RESIDUOS!R17</f>
        <v>1.4999999999999999E-2</v>
      </c>
      <c r="V6" s="172">
        <f>[1]RESIDUOS!S17</f>
        <v>2.2499999999999999E-2</v>
      </c>
      <c r="W6" s="172">
        <f>[1]RESIDUOS!T17</f>
        <v>0.03</v>
      </c>
      <c r="X6" s="172">
        <f>[1]RESIDUOS!U17</f>
        <v>0</v>
      </c>
      <c r="Y6" s="172">
        <f>[1]RESIDUOS!V17</f>
        <v>0</v>
      </c>
      <c r="Z6" s="172">
        <f>[1]RESIDUOS!W17</f>
        <v>0</v>
      </c>
      <c r="AA6" s="172">
        <f>[1]RESIDUOS!X17</f>
        <v>0</v>
      </c>
      <c r="AB6" s="172">
        <f>[1]RESIDUOS!Y17</f>
        <v>0</v>
      </c>
      <c r="AC6" s="172">
        <f>[1]RESIDUOS!Z17</f>
        <v>0</v>
      </c>
      <c r="AD6" s="15"/>
    </row>
    <row r="7" spans="2:30" x14ac:dyDescent="0.3">
      <c r="B7" s="12"/>
      <c r="C7" s="172" t="s">
        <v>317</v>
      </c>
      <c r="D7" s="172">
        <v>0</v>
      </c>
      <c r="E7" s="172">
        <v>0</v>
      </c>
      <c r="F7" s="172">
        <v>0</v>
      </c>
      <c r="G7" s="172">
        <v>0</v>
      </c>
      <c r="H7" s="172">
        <v>0</v>
      </c>
      <c r="I7" s="172">
        <v>0</v>
      </c>
      <c r="J7" s="172">
        <v>0</v>
      </c>
      <c r="K7" s="172">
        <v>0</v>
      </c>
      <c r="L7" s="172">
        <v>0</v>
      </c>
      <c r="M7" s="172">
        <v>0.21510699999999999</v>
      </c>
      <c r="N7" s="172">
        <v>0.21510699999999999</v>
      </c>
      <c r="O7" s="172">
        <v>0.21510699999999999</v>
      </c>
      <c r="P7" s="172">
        <v>0.21510699999999999</v>
      </c>
      <c r="Q7" s="172">
        <v>0.21510699999999999</v>
      </c>
      <c r="R7" s="172">
        <v>0.21510699999999999</v>
      </c>
      <c r="S7" s="172">
        <v>0.21510699999999999</v>
      </c>
      <c r="T7" s="172">
        <v>0.21510699999999999</v>
      </c>
      <c r="U7" s="172">
        <v>0.21510699999999999</v>
      </c>
      <c r="V7" s="172">
        <v>0.21510699999999999</v>
      </c>
      <c r="W7" s="172">
        <v>0</v>
      </c>
      <c r="X7" s="172">
        <v>0</v>
      </c>
      <c r="Y7" s="172">
        <v>0</v>
      </c>
      <c r="Z7" s="172">
        <v>0</v>
      </c>
      <c r="AA7" s="172">
        <v>0</v>
      </c>
      <c r="AB7" s="172">
        <v>0</v>
      </c>
      <c r="AC7" s="172">
        <v>0</v>
      </c>
      <c r="AD7" s="15"/>
    </row>
    <row r="8" spans="2:30" x14ac:dyDescent="0.3">
      <c r="B8" s="12"/>
      <c r="C8" s="172" t="s">
        <v>314</v>
      </c>
      <c r="D8" s="172">
        <v>0</v>
      </c>
      <c r="E8" s="172">
        <v>0</v>
      </c>
      <c r="F8" s="172">
        <v>0</v>
      </c>
      <c r="G8" s="172">
        <v>0</v>
      </c>
      <c r="H8" s="172">
        <v>0</v>
      </c>
      <c r="I8" s="172">
        <v>0</v>
      </c>
      <c r="J8" s="172">
        <v>0</v>
      </c>
      <c r="K8" s="172">
        <v>0</v>
      </c>
      <c r="L8" s="172">
        <v>0</v>
      </c>
      <c r="M8" s="172">
        <v>0</v>
      </c>
      <c r="N8" s="172">
        <v>0</v>
      </c>
      <c r="O8" s="172">
        <v>0</v>
      </c>
      <c r="P8" s="172">
        <v>0</v>
      </c>
      <c r="Q8" s="172">
        <v>0</v>
      </c>
      <c r="R8" s="172">
        <v>0</v>
      </c>
      <c r="S8" s="172">
        <f>[1]RESIDUOS!P23</f>
        <v>0</v>
      </c>
      <c r="T8" s="172">
        <f>[1]RESIDUOS!Q23</f>
        <v>0</v>
      </c>
      <c r="U8" s="172">
        <f>[1]RESIDUOS!R23</f>
        <v>0</v>
      </c>
      <c r="V8" s="172">
        <f>[1]RESIDUOS!S23</f>
        <v>0</v>
      </c>
      <c r="W8" s="172">
        <f>[1]RESIDUOS!T23</f>
        <v>1.2857142857142857E-2</v>
      </c>
      <c r="X8" s="172">
        <f>[1]RESIDUOS!U23</f>
        <v>2.5714285714285714E-2</v>
      </c>
      <c r="Y8" s="172">
        <f>[1]RESIDUOS!V23</f>
        <v>3.8571428571428569E-2</v>
      </c>
      <c r="Z8" s="172">
        <f>[1]RESIDUOS!W23</f>
        <v>5.1428571428571428E-2</v>
      </c>
      <c r="AA8" s="172">
        <f>[1]RESIDUOS!X23</f>
        <v>6.4285714285714279E-2</v>
      </c>
      <c r="AB8" s="172">
        <f>[1]RESIDUOS!Y23</f>
        <v>7.7142857142857138E-2</v>
      </c>
      <c r="AC8" s="172">
        <f>[1]RESIDUOS!Z23</f>
        <v>0.09</v>
      </c>
      <c r="AD8" s="15"/>
    </row>
    <row r="9" spans="2:30" x14ac:dyDescent="0.3">
      <c r="B9" s="12"/>
      <c r="C9" s="172" t="s">
        <v>315</v>
      </c>
      <c r="D9" s="172">
        <v>0</v>
      </c>
      <c r="E9" s="172">
        <v>0</v>
      </c>
      <c r="F9" s="172">
        <v>0</v>
      </c>
      <c r="G9" s="172">
        <v>0</v>
      </c>
      <c r="H9" s="172">
        <v>0</v>
      </c>
      <c r="I9" s="172">
        <v>0</v>
      </c>
      <c r="J9" s="172">
        <v>0</v>
      </c>
      <c r="K9" s="172">
        <v>0</v>
      </c>
      <c r="L9" s="172">
        <v>0</v>
      </c>
      <c r="M9" s="172">
        <v>0</v>
      </c>
      <c r="N9" s="172">
        <v>0</v>
      </c>
      <c r="O9" s="172">
        <v>0</v>
      </c>
      <c r="P9" s="172">
        <v>0</v>
      </c>
      <c r="Q9" s="172">
        <v>0</v>
      </c>
      <c r="R9" s="172">
        <v>0</v>
      </c>
      <c r="S9" s="172">
        <f>[1]RESIDUOS!P18</f>
        <v>0</v>
      </c>
      <c r="T9" s="172">
        <f>[1]RESIDUOS!Q18</f>
        <v>0.17099999999999999</v>
      </c>
      <c r="U9" s="172">
        <f>[1]RESIDUOS!R18</f>
        <v>0.17099999999999999</v>
      </c>
      <c r="V9" s="172">
        <f>[1]RESIDUOS!S18</f>
        <v>0.17099999999999999</v>
      </c>
      <c r="W9" s="172">
        <f>[1]RESIDUOS!T18</f>
        <v>0.17099999999999999</v>
      </c>
      <c r="X9" s="172">
        <f>[1]RESIDUOS!U18</f>
        <v>0.17099999999999999</v>
      </c>
      <c r="Y9" s="172">
        <f>[1]RESIDUOS!V18</f>
        <v>0.17099999999999999</v>
      </c>
      <c r="Z9" s="172">
        <f>[1]RESIDUOS!W18</f>
        <v>0.17099999999999999</v>
      </c>
      <c r="AA9" s="172">
        <f>[1]RESIDUOS!X18</f>
        <v>0.17099999999999999</v>
      </c>
      <c r="AB9" s="172">
        <f>[1]RESIDUOS!Y18</f>
        <v>0.17099999999999999</v>
      </c>
      <c r="AC9" s="172">
        <f>[1]RESIDUOS!Z18</f>
        <v>0.17099999999999999</v>
      </c>
      <c r="AD9" s="15"/>
    </row>
    <row r="10" spans="2:30" x14ac:dyDescent="0.3">
      <c r="B10" s="12"/>
      <c r="C10" s="172" t="s">
        <v>316</v>
      </c>
      <c r="D10" s="172">
        <v>0</v>
      </c>
      <c r="E10" s="172">
        <v>0</v>
      </c>
      <c r="F10" s="172">
        <v>0</v>
      </c>
      <c r="G10" s="172">
        <v>0</v>
      </c>
      <c r="H10" s="172">
        <v>0</v>
      </c>
      <c r="I10" s="172">
        <v>0</v>
      </c>
      <c r="J10" s="172">
        <v>0</v>
      </c>
      <c r="K10" s="172">
        <v>0</v>
      </c>
      <c r="L10" s="172">
        <v>0</v>
      </c>
      <c r="M10" s="172">
        <v>0</v>
      </c>
      <c r="N10" s="172">
        <v>0</v>
      </c>
      <c r="O10" s="172">
        <v>0</v>
      </c>
      <c r="P10" s="172">
        <v>0</v>
      </c>
      <c r="Q10" s="172">
        <v>0</v>
      </c>
      <c r="R10" s="172">
        <v>0</v>
      </c>
      <c r="S10" s="172">
        <f>[1]RESIDUOS!P24</f>
        <v>0</v>
      </c>
      <c r="T10" s="172">
        <f>[1]RESIDUOS!Q24</f>
        <v>5.0000000000000001E-3</v>
      </c>
      <c r="U10" s="172">
        <f>[1]RESIDUOS!R24</f>
        <v>0.01</v>
      </c>
      <c r="V10" s="172">
        <f>[1]RESIDUOS!S24</f>
        <v>1.4999999999999999E-2</v>
      </c>
      <c r="W10" s="172">
        <f>[1]RESIDUOS!T24</f>
        <v>0.02</v>
      </c>
      <c r="X10" s="172">
        <f>[1]RESIDUOS!U24</f>
        <v>2.5000000000000001E-2</v>
      </c>
      <c r="Y10" s="172">
        <f>[1]RESIDUOS!V24</f>
        <v>3.0000000000000002E-2</v>
      </c>
      <c r="Z10" s="172">
        <f>[1]RESIDUOS!W24</f>
        <v>3.5000000000000003E-2</v>
      </c>
      <c r="AA10" s="172">
        <f>[1]RESIDUOS!X24</f>
        <v>0.04</v>
      </c>
      <c r="AB10" s="172">
        <f>[1]RESIDUOS!Y24</f>
        <v>4.4999999999999998E-2</v>
      </c>
      <c r="AC10" s="172">
        <f>[1]RESIDUOS!Z24</f>
        <v>4.9999999999999996E-2</v>
      </c>
      <c r="AD10" s="15"/>
    </row>
    <row r="11" spans="2:30" x14ac:dyDescent="0.3">
      <c r="B11" s="12"/>
      <c r="C11" s="172"/>
      <c r="D11" s="279">
        <f>SUM(D6:D10)</f>
        <v>0</v>
      </c>
      <c r="E11" s="279">
        <f t="shared" ref="E11:S11" si="0">SUM(E6:E10)</f>
        <v>0</v>
      </c>
      <c r="F11" s="279">
        <f t="shared" si="0"/>
        <v>0</v>
      </c>
      <c r="G11" s="279">
        <f t="shared" si="0"/>
        <v>0</v>
      </c>
      <c r="H11" s="279">
        <f t="shared" si="0"/>
        <v>0</v>
      </c>
      <c r="I11" s="279">
        <f t="shared" si="0"/>
        <v>0</v>
      </c>
      <c r="J11" s="279">
        <f t="shared" si="0"/>
        <v>0</v>
      </c>
      <c r="K11" s="279">
        <f t="shared" si="0"/>
        <v>0</v>
      </c>
      <c r="L11" s="279">
        <f t="shared" si="0"/>
        <v>0</v>
      </c>
      <c r="M11" s="279">
        <f t="shared" si="0"/>
        <v>0.21510699999999999</v>
      </c>
      <c r="N11" s="279">
        <f t="shared" si="0"/>
        <v>0.21510699999999999</v>
      </c>
      <c r="O11" s="279">
        <f t="shared" si="0"/>
        <v>0.221107</v>
      </c>
      <c r="P11" s="279">
        <f t="shared" si="0"/>
        <v>0.227107</v>
      </c>
      <c r="Q11" s="279">
        <f t="shared" si="0"/>
        <v>0.23310699999999998</v>
      </c>
      <c r="R11" s="279">
        <f t="shared" si="0"/>
        <v>0.23910699999999999</v>
      </c>
      <c r="S11" s="279">
        <f t="shared" si="0"/>
        <v>0.21510699999999999</v>
      </c>
      <c r="T11" s="279">
        <f>SUM(T6:T10)</f>
        <v>0.39860699999999999</v>
      </c>
      <c r="U11" s="279">
        <f t="shared" ref="U11" si="1">SUM(U6:U10)</f>
        <v>0.411107</v>
      </c>
      <c r="V11" s="279">
        <f t="shared" ref="V11" si="2">SUM(V6:V10)</f>
        <v>0.42360699999999996</v>
      </c>
      <c r="W11" s="279">
        <f t="shared" ref="W11" si="3">SUM(W6:W10)</f>
        <v>0.23385714285714285</v>
      </c>
      <c r="X11" s="279">
        <f t="shared" ref="X11" si="4">SUM(X6:X10)</f>
        <v>0.2217142857142857</v>
      </c>
      <c r="Y11" s="279">
        <f t="shared" ref="Y11" si="5">SUM(Y6:Y10)</f>
        <v>0.23957142857142855</v>
      </c>
      <c r="Z11" s="279">
        <f t="shared" ref="Z11" si="6">SUM(Z6:Z10)</f>
        <v>0.25742857142857145</v>
      </c>
      <c r="AA11" s="279">
        <f t="shared" ref="AA11" si="7">SUM(AA6:AA10)</f>
        <v>0.27528571428571424</v>
      </c>
      <c r="AB11" s="279">
        <f t="shared" ref="AB11" si="8">SUM(AB6:AB10)</f>
        <v>0.29314285714285709</v>
      </c>
      <c r="AC11" s="279">
        <f t="shared" ref="AC11" si="9">SUM(AC6:AC10)</f>
        <v>0.311</v>
      </c>
      <c r="AD11" s="15"/>
    </row>
    <row r="12" spans="2:30" x14ac:dyDescent="0.3">
      <c r="B12" s="12"/>
      <c r="C12" s="163"/>
      <c r="D12" s="163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5"/>
    </row>
    <row r="13" spans="2:30" ht="15" thickBot="1" x14ac:dyDescent="0.35">
      <c r="B13" s="16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8"/>
    </row>
  </sheetData>
  <phoneticPr fontId="7" type="noConversion"/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BE235-8971-478B-B6D5-1237DC130B30}">
  <dimension ref="B1:AD17"/>
  <sheetViews>
    <sheetView zoomScale="55" zoomScaleNormal="55" workbookViewId="0">
      <pane ySplit="1" topLeftCell="A2" activePane="bottomLeft" state="frozen"/>
      <selection activeCell="H1" sqref="H1"/>
      <selection pane="bottomLeft" activeCell="C4" sqref="C4:C5"/>
    </sheetView>
  </sheetViews>
  <sheetFormatPr baseColWidth="10" defaultColWidth="11.44140625" defaultRowHeight="14.4" x14ac:dyDescent="0.3"/>
  <cols>
    <col min="3" max="3" width="57.109375" customWidth="1"/>
    <col min="4" max="11" width="14.44140625" customWidth="1"/>
    <col min="12" max="18" width="12.5546875" bestFit="1" customWidth="1"/>
    <col min="29" max="29" width="11.44140625" style="173"/>
  </cols>
  <sheetData>
    <row r="1" spans="2:30" ht="20.399999999999999" thickBot="1" x14ac:dyDescent="0.35">
      <c r="B1" s="1"/>
      <c r="C1" s="2" t="s">
        <v>12</v>
      </c>
      <c r="D1" s="3">
        <v>2010</v>
      </c>
      <c r="E1" s="3">
        <v>2011</v>
      </c>
      <c r="F1" s="3">
        <v>2012</v>
      </c>
      <c r="G1" s="3">
        <v>2013</v>
      </c>
      <c r="H1" s="3">
        <v>2014</v>
      </c>
      <c r="I1" s="3">
        <v>2015</v>
      </c>
      <c r="J1" s="3">
        <v>2016</v>
      </c>
      <c r="K1" s="3">
        <v>2017</v>
      </c>
      <c r="L1" s="3">
        <v>2018</v>
      </c>
      <c r="M1" s="3">
        <v>2019</v>
      </c>
      <c r="N1" s="3">
        <v>2020</v>
      </c>
      <c r="O1" s="3">
        <v>2021</v>
      </c>
      <c r="P1" s="3">
        <v>2022</v>
      </c>
      <c r="Q1" s="3">
        <v>2023</v>
      </c>
      <c r="R1" s="3">
        <v>2024</v>
      </c>
      <c r="S1" s="3">
        <v>2025</v>
      </c>
      <c r="T1" s="3">
        <v>2026</v>
      </c>
      <c r="U1" s="3">
        <v>2027</v>
      </c>
      <c r="V1" s="3">
        <v>2028</v>
      </c>
      <c r="W1" s="3">
        <v>2029</v>
      </c>
      <c r="X1" s="3">
        <v>2030</v>
      </c>
      <c r="Y1" s="3">
        <v>2031</v>
      </c>
      <c r="Z1" s="3">
        <v>2032</v>
      </c>
      <c r="AA1" s="3">
        <v>2033</v>
      </c>
      <c r="AB1" s="3">
        <v>2034</v>
      </c>
      <c r="AC1" s="3">
        <v>2035</v>
      </c>
    </row>
    <row r="2" spans="2:30" ht="15" thickBot="1" x14ac:dyDescent="0.35"/>
    <row r="3" spans="2:30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1"/>
    </row>
    <row r="4" spans="2:30" x14ac:dyDescent="0.3">
      <c r="B4" s="12"/>
      <c r="C4" s="164" t="s">
        <v>15</v>
      </c>
      <c r="D4" s="164"/>
      <c r="E4" s="164"/>
      <c r="F4" s="164"/>
      <c r="G4" s="164"/>
      <c r="H4" s="164"/>
      <c r="I4" s="164"/>
      <c r="J4" s="164"/>
      <c r="K4" s="164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5"/>
    </row>
    <row r="5" spans="2:30" x14ac:dyDescent="0.3">
      <c r="B5" s="12"/>
      <c r="C5" s="164" t="s">
        <v>216</v>
      </c>
      <c r="D5" s="164"/>
      <c r="E5" s="164"/>
      <c r="F5" s="164"/>
      <c r="G5" s="164"/>
      <c r="H5" s="164"/>
      <c r="I5" s="164"/>
      <c r="J5" s="164"/>
      <c r="K5" s="164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5"/>
    </row>
    <row r="6" spans="2:30" x14ac:dyDescent="0.3">
      <c r="B6" s="12"/>
      <c r="C6" s="163" t="s">
        <v>210</v>
      </c>
      <c r="D6" s="188">
        <v>14883661</v>
      </c>
      <c r="E6" s="188">
        <v>15160587</v>
      </c>
      <c r="F6" s="188">
        <v>15440550</v>
      </c>
      <c r="G6" s="188">
        <v>15717514</v>
      </c>
      <c r="H6" s="188">
        <v>15994366</v>
      </c>
      <c r="I6" s="188">
        <v>16269171</v>
      </c>
      <c r="J6" s="188">
        <v>16532265</v>
      </c>
      <c r="K6" s="188">
        <v>16792803</v>
      </c>
      <c r="L6" s="188">
        <v>17023408</v>
      </c>
      <c r="M6" s="188">
        <v>17267986</v>
      </c>
      <c r="N6" s="188">
        <v>17510643</v>
      </c>
      <c r="O6" s="188">
        <v>17751277</v>
      </c>
      <c r="P6" s="188">
        <v>17989912</v>
      </c>
      <c r="Q6" s="188">
        <v>18226512</v>
      </c>
      <c r="R6" s="188">
        <v>18460936</v>
      </c>
      <c r="S6" s="188">
        <v>18693140</v>
      </c>
      <c r="T6" s="188">
        <v>18922864</v>
      </c>
      <c r="U6" s="188">
        <v>19150021</v>
      </c>
      <c r="V6" s="188">
        <v>19374448</v>
      </c>
      <c r="W6" s="188">
        <v>19596113</v>
      </c>
      <c r="X6" s="188">
        <v>19814767</v>
      </c>
      <c r="Y6" s="188">
        <v>20030293</v>
      </c>
      <c r="Z6" s="188">
        <v>20242540</v>
      </c>
      <c r="AA6" s="188">
        <v>20451333</v>
      </c>
      <c r="AB6" s="188">
        <v>20656586</v>
      </c>
      <c r="AC6" s="188">
        <v>20858149</v>
      </c>
      <c r="AD6" s="15"/>
    </row>
    <row r="7" spans="2:30" x14ac:dyDescent="0.3">
      <c r="B7" s="12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5"/>
    </row>
    <row r="8" spans="2:30" x14ac:dyDescent="0.3">
      <c r="B8" s="12"/>
      <c r="C8" s="164" t="s">
        <v>153</v>
      </c>
      <c r="D8" s="189">
        <v>3.2042000000000002</v>
      </c>
      <c r="E8" s="189">
        <v>3.7105000000000001</v>
      </c>
      <c r="F8" s="189">
        <v>4.2168999999999999</v>
      </c>
      <c r="G8" s="189">
        <v>4.5907999999999998</v>
      </c>
      <c r="H8" s="189">
        <v>4.9647000000000006</v>
      </c>
      <c r="I8" s="189">
        <v>5.1417999999999999</v>
      </c>
      <c r="J8" s="189">
        <v>5.3186</v>
      </c>
      <c r="K8" s="189">
        <v>5.3310999999999993</v>
      </c>
      <c r="L8" s="190">
        <v>4.0447617408000003</v>
      </c>
      <c r="M8" s="190">
        <v>4.0075541908799996</v>
      </c>
      <c r="N8" s="190">
        <v>4.0575661959599998</v>
      </c>
      <c r="O8" s="190">
        <v>4.1197163661599996</v>
      </c>
      <c r="P8" s="190">
        <v>4.4630366236468983</v>
      </c>
      <c r="Q8" s="190">
        <v>4.8134584090924522</v>
      </c>
      <c r="R8" s="190">
        <v>5.1708445152000087</v>
      </c>
      <c r="S8" s="190">
        <v>5.1532093184358896</v>
      </c>
      <c r="T8" s="190">
        <v>5.3459067179827402</v>
      </c>
      <c r="U8" s="190">
        <v>6.28337282140971</v>
      </c>
      <c r="V8" s="190">
        <v>6.6671083223834717</v>
      </c>
      <c r="W8" s="190">
        <v>7.0570333009241297</v>
      </c>
      <c r="X8" s="190">
        <v>7.4529214790317555</v>
      </c>
      <c r="Y8" s="190">
        <v>7.8545823990537924</v>
      </c>
      <c r="Z8" s="190">
        <v>8.2618042359724537</v>
      </c>
      <c r="AA8" s="190">
        <v>8.6743553179282813</v>
      </c>
      <c r="AB8" s="190">
        <v>9.0920319427034944</v>
      </c>
      <c r="AC8" s="190">
        <v>9.5145957081186356</v>
      </c>
      <c r="AD8" s="15"/>
    </row>
    <row r="9" spans="2:30" x14ac:dyDescent="0.3">
      <c r="B9" s="12"/>
      <c r="C9" s="163"/>
      <c r="D9" s="163"/>
      <c r="E9" s="163"/>
      <c r="F9" s="163"/>
      <c r="G9" s="163"/>
      <c r="H9" s="163"/>
      <c r="I9" s="163"/>
      <c r="J9" s="163"/>
      <c r="K9" s="163"/>
      <c r="L9" s="163"/>
      <c r="M9" s="163"/>
      <c r="N9" s="163"/>
      <c r="O9" s="163"/>
      <c r="P9" s="163"/>
      <c r="Q9" s="163"/>
      <c r="R9" s="163"/>
      <c r="S9" s="163"/>
      <c r="T9" s="163"/>
      <c r="U9" s="163"/>
      <c r="V9" s="163"/>
      <c r="W9" s="163"/>
      <c r="X9" s="163"/>
      <c r="Y9" s="163"/>
      <c r="Z9" s="163"/>
      <c r="AA9" s="163"/>
      <c r="AB9" s="163"/>
      <c r="AC9" s="163"/>
      <c r="AD9" s="15"/>
    </row>
    <row r="10" spans="2:30" x14ac:dyDescent="0.3">
      <c r="B10" s="12"/>
      <c r="C10" s="163"/>
      <c r="D10" s="163"/>
      <c r="E10" s="163"/>
      <c r="F10" s="163"/>
      <c r="G10" s="163"/>
      <c r="H10" s="163"/>
      <c r="I10" s="163"/>
      <c r="J10" s="163"/>
      <c r="K10" s="163"/>
      <c r="L10" s="163"/>
      <c r="M10" s="163"/>
      <c r="N10" s="163"/>
      <c r="O10" s="163"/>
      <c r="P10" s="163"/>
      <c r="Q10" s="163"/>
      <c r="R10" s="163"/>
      <c r="S10" s="163"/>
      <c r="T10" s="163"/>
      <c r="U10" s="163"/>
      <c r="V10" s="163"/>
      <c r="W10" s="163"/>
      <c r="X10" s="163"/>
      <c r="Y10" s="163"/>
      <c r="Z10" s="163"/>
      <c r="AA10" s="163"/>
      <c r="AB10" s="163"/>
      <c r="AC10" s="163"/>
      <c r="AD10" s="15"/>
    </row>
    <row r="11" spans="2:30" ht="46.8" customHeight="1" x14ac:dyDescent="0.3">
      <c r="B11" s="12"/>
      <c r="C11" s="164"/>
      <c r="D11" s="164"/>
      <c r="E11" s="164"/>
      <c r="F11" s="164"/>
      <c r="G11" s="164"/>
      <c r="H11" s="164"/>
      <c r="I11" s="164"/>
      <c r="J11" s="164"/>
      <c r="K11" s="164"/>
      <c r="L11" s="163"/>
      <c r="M11" s="163"/>
      <c r="N11" s="163"/>
      <c r="O11" s="163"/>
      <c r="P11" s="163"/>
      <c r="Q11" s="163"/>
      <c r="R11" s="163"/>
      <c r="S11" s="163"/>
      <c r="T11" s="163"/>
      <c r="U11" s="163"/>
      <c r="V11" s="163"/>
      <c r="W11" s="163"/>
      <c r="X11" s="163"/>
      <c r="Y11" s="163"/>
      <c r="Z11" s="163"/>
      <c r="AA11" s="163"/>
      <c r="AB11" s="163"/>
      <c r="AC11" s="163"/>
      <c r="AD11" s="15"/>
    </row>
    <row r="12" spans="2:30" x14ac:dyDescent="0.3">
      <c r="B12" s="12"/>
      <c r="C12" s="164" t="s">
        <v>16</v>
      </c>
      <c r="D12" s="164"/>
      <c r="E12" s="164"/>
      <c r="F12" s="164"/>
      <c r="G12" s="164"/>
      <c r="H12" s="164"/>
      <c r="I12" s="164"/>
      <c r="J12" s="164"/>
      <c r="K12" s="164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5"/>
    </row>
    <row r="13" spans="2:30" x14ac:dyDescent="0.3">
      <c r="B13" s="12"/>
      <c r="C13" s="163" t="s">
        <v>80</v>
      </c>
      <c r="D13" s="192">
        <f>(D8*1000000000)/D6</f>
        <v>215.28305435067352</v>
      </c>
      <c r="E13" s="192">
        <f t="shared" ref="E13:AC13" si="0">(E8*1000000000)/E6</f>
        <v>244.74646001503768</v>
      </c>
      <c r="F13" s="192">
        <f t="shared" si="0"/>
        <v>273.10555647305307</v>
      </c>
      <c r="G13" s="192">
        <f t="shared" si="0"/>
        <v>292.08181395607471</v>
      </c>
      <c r="H13" s="192">
        <f t="shared" si="0"/>
        <v>310.40305067421872</v>
      </c>
      <c r="I13" s="192">
        <f t="shared" si="0"/>
        <v>316.04560551978955</v>
      </c>
      <c r="J13" s="192">
        <f t="shared" si="0"/>
        <v>321.7103040629944</v>
      </c>
      <c r="K13" s="192">
        <f t="shared" si="0"/>
        <v>317.46337999677593</v>
      </c>
      <c r="L13" s="192">
        <f t="shared" si="0"/>
        <v>237.60000000000002</v>
      </c>
      <c r="M13" s="192">
        <f t="shared" si="0"/>
        <v>232.07999999999998</v>
      </c>
      <c r="N13" s="192">
        <f t="shared" si="0"/>
        <v>231.71999999999997</v>
      </c>
      <c r="O13" s="192">
        <f t="shared" si="0"/>
        <v>232.07999999999996</v>
      </c>
      <c r="P13" s="192">
        <f t="shared" si="0"/>
        <v>248.08551724137939</v>
      </c>
      <c r="Q13" s="192">
        <f t="shared" si="0"/>
        <v>264.09103448276073</v>
      </c>
      <c r="R13" s="192">
        <f t="shared" si="0"/>
        <v>280.09655172413841</v>
      </c>
      <c r="S13" s="192">
        <f t="shared" si="0"/>
        <v>275.67382036596791</v>
      </c>
      <c r="T13" s="192">
        <f t="shared" si="0"/>
        <v>282.51044440116152</v>
      </c>
      <c r="U13" s="192">
        <f t="shared" si="0"/>
        <v>328.11310344827871</v>
      </c>
      <c r="V13" s="192">
        <f t="shared" si="0"/>
        <v>344.11862068965638</v>
      </c>
      <c r="W13" s="192">
        <f t="shared" si="0"/>
        <v>360.12413793103406</v>
      </c>
      <c r="X13" s="192">
        <f t="shared" si="0"/>
        <v>376.12965517241537</v>
      </c>
      <c r="Y13" s="192">
        <f t="shared" si="0"/>
        <v>392.13517241379304</v>
      </c>
      <c r="Z13" s="192">
        <f t="shared" si="0"/>
        <v>408.14068965517441</v>
      </c>
      <c r="AA13" s="192">
        <f t="shared" si="0"/>
        <v>424.14620689655203</v>
      </c>
      <c r="AB13" s="192">
        <f t="shared" si="0"/>
        <v>440.15172413793329</v>
      </c>
      <c r="AC13" s="192">
        <f t="shared" si="0"/>
        <v>456.15724137931102</v>
      </c>
      <c r="AD13" s="15"/>
    </row>
    <row r="14" spans="2:30" x14ac:dyDescent="0.3">
      <c r="B14" s="12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5"/>
    </row>
    <row r="15" spans="2:30" x14ac:dyDescent="0.3">
      <c r="B15" s="12"/>
      <c r="C15" s="164" t="s">
        <v>79</v>
      </c>
      <c r="D15" s="193">
        <v>3.2042000000000002</v>
      </c>
      <c r="E15" s="193">
        <v>3.7105000000000001</v>
      </c>
      <c r="F15" s="193">
        <v>4.2168999999999999</v>
      </c>
      <c r="G15" s="193">
        <v>4.5907999999999998</v>
      </c>
      <c r="H15" s="193">
        <v>4.9647000000000006</v>
      </c>
      <c r="I15" s="193">
        <v>5.1417999999999999</v>
      </c>
      <c r="J15" s="193">
        <v>5.3186</v>
      </c>
      <c r="K15" s="193">
        <v>5.3310999999999993</v>
      </c>
      <c r="L15" s="194">
        <v>4.0447617408000003</v>
      </c>
      <c r="M15" s="194">
        <v>4.0075541908799996</v>
      </c>
      <c r="N15" s="194">
        <v>4.0575661959599998</v>
      </c>
      <c r="O15" s="194">
        <v>4.1197163661599996</v>
      </c>
      <c r="P15" s="194">
        <v>4.4630366236468983</v>
      </c>
      <c r="Q15" s="194">
        <v>4.8134584090924522</v>
      </c>
      <c r="R15" s="194">
        <v>5.1708445152000104</v>
      </c>
      <c r="S15" s="194">
        <v>5.1532093184358896</v>
      </c>
      <c r="T15" s="194">
        <v>5.3459067179827402</v>
      </c>
      <c r="U15" s="194">
        <v>6.28337282140971</v>
      </c>
      <c r="V15" s="194">
        <v>6.6671083223834717</v>
      </c>
      <c r="W15" s="194">
        <v>7.0570333009241297</v>
      </c>
      <c r="X15" s="194">
        <v>7.4529214790317555</v>
      </c>
      <c r="Y15" s="194">
        <v>7.8545823990537924</v>
      </c>
      <c r="Z15" s="194">
        <v>8.2618042359724537</v>
      </c>
      <c r="AA15" s="194">
        <v>8.6743553179282813</v>
      </c>
      <c r="AB15" s="194">
        <v>9.0920319427034944</v>
      </c>
      <c r="AC15" s="194">
        <v>9.5145957081186356</v>
      </c>
      <c r="AD15" s="15"/>
    </row>
    <row r="16" spans="2:30" x14ac:dyDescent="0.3">
      <c r="B16" s="12"/>
      <c r="C16" s="195"/>
      <c r="D16" s="195"/>
      <c r="E16" s="195"/>
      <c r="F16" s="195"/>
      <c r="G16" s="195"/>
      <c r="H16" s="195"/>
      <c r="I16" s="195"/>
      <c r="J16" s="195"/>
      <c r="K16" s="195"/>
      <c r="L16" s="195"/>
      <c r="M16" s="195"/>
      <c r="N16" s="195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  <c r="AA16" s="195"/>
      <c r="AB16" s="195"/>
      <c r="AC16" s="195"/>
      <c r="AD16" s="15"/>
    </row>
    <row r="17" spans="2:30" ht="15" thickBot="1" x14ac:dyDescent="0.35">
      <c r="B17" s="16"/>
      <c r="C17" s="51"/>
      <c r="D17" s="51"/>
      <c r="E17" s="51"/>
      <c r="F17" s="51"/>
      <c r="G17" s="51"/>
      <c r="H17" s="51"/>
      <c r="I17" s="51"/>
      <c r="J17" s="51"/>
      <c r="K17" s="51"/>
      <c r="L17" s="49"/>
      <c r="M17" s="49"/>
      <c r="N17" s="49"/>
      <c r="O17" s="49"/>
      <c r="P17" s="49"/>
      <c r="Q17" s="49"/>
      <c r="R17" s="49"/>
      <c r="S17" s="49"/>
      <c r="T17" s="49"/>
      <c r="U17" s="17"/>
      <c r="V17" s="17"/>
      <c r="W17" s="17"/>
      <c r="X17" s="17"/>
      <c r="Y17" s="17"/>
      <c r="Z17" s="17"/>
      <c r="AA17" s="17"/>
      <c r="AB17" s="51"/>
      <c r="AC17" s="51"/>
      <c r="AD17" s="18"/>
    </row>
  </sheetData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918EF-8547-40A1-9733-43C53A555952}">
  <dimension ref="B1:AE82"/>
  <sheetViews>
    <sheetView zoomScale="55" zoomScaleNormal="55" workbookViewId="0">
      <pane ySplit="1" topLeftCell="A26" activePane="bottomLeft" state="frozen"/>
      <selection pane="bottomLeft" activeCell="J32" sqref="J32"/>
    </sheetView>
  </sheetViews>
  <sheetFormatPr baseColWidth="10" defaultColWidth="11.44140625" defaultRowHeight="18" x14ac:dyDescent="0.35"/>
  <cols>
    <col min="3" max="3" width="33.33203125" style="67" customWidth="1"/>
    <col min="4" max="4" width="70.77734375" style="149" customWidth="1"/>
    <col min="5" max="5" width="13" customWidth="1"/>
    <col min="6" max="6" width="13" style="94" customWidth="1"/>
    <col min="7" max="12" width="13" customWidth="1"/>
    <col min="16" max="16" width="13.21875" bestFit="1" customWidth="1"/>
    <col min="19" max="19" width="15.44140625" customWidth="1"/>
    <col min="20" max="20" width="14" customWidth="1"/>
    <col min="21" max="22" width="13.33203125" bestFit="1" customWidth="1"/>
    <col min="30" max="30" width="11.44140625" style="173"/>
  </cols>
  <sheetData>
    <row r="1" spans="2:31" ht="20.399999999999999" thickBot="1" x14ac:dyDescent="0.35">
      <c r="B1" s="1"/>
      <c r="C1" s="155"/>
      <c r="D1" s="148" t="s">
        <v>12</v>
      </c>
      <c r="E1" s="70">
        <v>2010</v>
      </c>
      <c r="F1" s="70">
        <v>2011</v>
      </c>
      <c r="G1" s="70">
        <v>2012</v>
      </c>
      <c r="H1" s="70">
        <v>2013</v>
      </c>
      <c r="I1" s="70">
        <v>2014</v>
      </c>
      <c r="J1" s="70">
        <v>2015</v>
      </c>
      <c r="K1" s="70">
        <v>2016</v>
      </c>
      <c r="L1" s="70">
        <v>2017</v>
      </c>
      <c r="M1" s="70">
        <v>2018</v>
      </c>
      <c r="N1" s="70">
        <v>2019</v>
      </c>
      <c r="O1" s="70">
        <v>2020</v>
      </c>
      <c r="P1" s="70">
        <v>2021</v>
      </c>
      <c r="Q1" s="70">
        <v>2022</v>
      </c>
      <c r="R1" s="70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186">
        <v>2035</v>
      </c>
      <c r="AE1" s="4"/>
    </row>
    <row r="2" spans="2:31" ht="18.600000000000001" thickBot="1" x14ac:dyDescent="0.4"/>
    <row r="3" spans="2:31" x14ac:dyDescent="0.35">
      <c r="B3" s="9"/>
      <c r="C3" s="156"/>
      <c r="D3" s="150"/>
      <c r="E3" s="10"/>
      <c r="F3" s="9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5">
      <c r="B4" s="12"/>
      <c r="C4" s="197"/>
      <c r="D4" s="198" t="s">
        <v>82</v>
      </c>
      <c r="E4" s="164"/>
      <c r="F4" s="199"/>
      <c r="G4" s="164"/>
      <c r="H4" s="164"/>
      <c r="I4" s="164"/>
      <c r="J4" s="164"/>
      <c r="K4" s="164"/>
      <c r="L4" s="164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5"/>
    </row>
    <row r="5" spans="2:31" x14ac:dyDescent="0.35">
      <c r="B5" s="12"/>
      <c r="C5" s="197"/>
      <c r="D5" s="198"/>
      <c r="E5" s="164"/>
      <c r="F5" s="199"/>
      <c r="G5" s="164"/>
      <c r="H5" s="164"/>
      <c r="I5" s="164"/>
      <c r="J5" s="164"/>
      <c r="K5" s="164"/>
      <c r="L5" s="164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5"/>
    </row>
    <row r="6" spans="2:31" x14ac:dyDescent="0.35">
      <c r="B6" s="12"/>
      <c r="C6" s="200" t="s">
        <v>74</v>
      </c>
      <c r="D6" s="201" t="s">
        <v>117</v>
      </c>
      <c r="E6" s="165"/>
      <c r="F6" s="202"/>
      <c r="G6" s="165"/>
      <c r="H6" s="165"/>
      <c r="I6" s="165"/>
      <c r="J6" s="165"/>
      <c r="K6" s="165"/>
      <c r="L6" s="165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5"/>
    </row>
    <row r="7" spans="2:31" x14ac:dyDescent="0.35">
      <c r="B7" s="12"/>
      <c r="C7" s="197"/>
      <c r="D7" s="203"/>
      <c r="E7" s="163"/>
      <c r="F7" s="170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5"/>
    </row>
    <row r="8" spans="2:31" x14ac:dyDescent="0.35">
      <c r="B8" s="12"/>
      <c r="C8" s="197"/>
      <c r="D8" s="198" t="s">
        <v>36</v>
      </c>
      <c r="E8" s="164"/>
      <c r="F8" s="199"/>
      <c r="G8" s="164"/>
      <c r="H8" s="164"/>
      <c r="I8" s="164"/>
      <c r="J8" s="164"/>
      <c r="K8" s="164"/>
      <c r="L8" s="164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5"/>
    </row>
    <row r="9" spans="2:31" x14ac:dyDescent="0.35">
      <c r="B9" s="12"/>
      <c r="C9" s="197"/>
      <c r="D9" s="203" t="s">
        <v>37</v>
      </c>
      <c r="E9" s="169">
        <v>0.65655339805825252</v>
      </c>
      <c r="F9" s="169">
        <v>0.69742450529856481</v>
      </c>
      <c r="G9" s="169">
        <v>0.69980012341229647</v>
      </c>
      <c r="H9" s="169">
        <v>0.70125269775734245</v>
      </c>
      <c r="I9" s="169">
        <v>0.70027942628498485</v>
      </c>
      <c r="J9" s="169">
        <v>0.69450317124735739</v>
      </c>
      <c r="K9" s="169">
        <v>0.69551616266944738</v>
      </c>
      <c r="L9" s="169">
        <v>0.75829875518672196</v>
      </c>
      <c r="M9" s="169">
        <v>0.71562499999999996</v>
      </c>
      <c r="N9" s="169">
        <v>0.77178423236514526</v>
      </c>
      <c r="O9" s="169">
        <v>0.76859504132231404</v>
      </c>
      <c r="P9" s="169">
        <v>0.76962809917355379</v>
      </c>
      <c r="Q9" s="169">
        <v>0.72970195272353544</v>
      </c>
      <c r="R9" s="169">
        <v>0.74717368961973274</v>
      </c>
      <c r="S9" s="169">
        <v>0.74717368961973274</v>
      </c>
      <c r="T9" s="169">
        <v>0.74717368961973274</v>
      </c>
      <c r="U9" s="169">
        <v>0.74717368961973274</v>
      </c>
      <c r="V9" s="169">
        <v>0.74717368961973274</v>
      </c>
      <c r="W9" s="169">
        <v>0.74717368961973274</v>
      </c>
      <c r="X9" s="169">
        <v>0.74717368961973274</v>
      </c>
      <c r="Y9" s="169">
        <v>0.74717368961973274</v>
      </c>
      <c r="Z9" s="169">
        <v>0.74717368961973274</v>
      </c>
      <c r="AA9" s="169">
        <v>0.74717368961973274</v>
      </c>
      <c r="AB9" s="169">
        <v>0.74717368961973274</v>
      </c>
      <c r="AC9" s="169">
        <v>0.74717368961973274</v>
      </c>
      <c r="AD9" s="169">
        <v>0.74717368961973274</v>
      </c>
      <c r="AE9" s="15"/>
    </row>
    <row r="10" spans="2:31" x14ac:dyDescent="0.35">
      <c r="B10" s="12"/>
      <c r="C10" s="197"/>
      <c r="D10" s="203" t="s">
        <v>38</v>
      </c>
      <c r="E10" s="169">
        <v>0.34344660194174753</v>
      </c>
      <c r="F10" s="169">
        <v>0.30257549470143524</v>
      </c>
      <c r="G10" s="169">
        <v>0.30019987658770353</v>
      </c>
      <c r="H10" s="169">
        <v>0.29874730224265761</v>
      </c>
      <c r="I10" s="169">
        <v>0.2997205737150152</v>
      </c>
      <c r="J10" s="169">
        <v>0.30549682875264272</v>
      </c>
      <c r="K10" s="169">
        <v>0.30448383733055262</v>
      </c>
      <c r="L10" s="169">
        <v>0.24170124481327804</v>
      </c>
      <c r="M10" s="169">
        <v>0.28437500000000004</v>
      </c>
      <c r="N10" s="169">
        <v>0.22821576763485479</v>
      </c>
      <c r="O10" s="169">
        <v>0.23140495867768596</v>
      </c>
      <c r="P10" s="169">
        <v>0.23037190082644629</v>
      </c>
      <c r="Q10" s="169">
        <v>0.2702980472764645</v>
      </c>
      <c r="R10" s="169">
        <v>0.25282631038026721</v>
      </c>
      <c r="S10" s="169">
        <v>0.25282631038026721</v>
      </c>
      <c r="T10" s="169">
        <v>0.25282631038026721</v>
      </c>
      <c r="U10" s="169">
        <v>0.25282631038026721</v>
      </c>
      <c r="V10" s="169">
        <v>0.25282631038026721</v>
      </c>
      <c r="W10" s="169">
        <v>0.25282631038026721</v>
      </c>
      <c r="X10" s="169">
        <v>0.25282631038026721</v>
      </c>
      <c r="Y10" s="169">
        <v>0.25282631038026721</v>
      </c>
      <c r="Z10" s="169">
        <v>0.25282631038026721</v>
      </c>
      <c r="AA10" s="169">
        <v>0.25282631038026721</v>
      </c>
      <c r="AB10" s="169">
        <v>0.25282631038026721</v>
      </c>
      <c r="AC10" s="169">
        <v>0.25282631038026721</v>
      </c>
      <c r="AD10" s="169">
        <v>0.25282631038026721</v>
      </c>
      <c r="AE10" s="15"/>
    </row>
    <row r="11" spans="2:31" x14ac:dyDescent="0.35">
      <c r="B11" s="12"/>
      <c r="C11" s="197"/>
      <c r="D11" s="203" t="s">
        <v>44</v>
      </c>
      <c r="E11" s="204">
        <v>0</v>
      </c>
      <c r="F11" s="204">
        <v>0</v>
      </c>
      <c r="G11" s="204">
        <v>0</v>
      </c>
      <c r="H11" s="204">
        <v>0</v>
      </c>
      <c r="I11" s="204">
        <v>0</v>
      </c>
      <c r="J11" s="204">
        <v>0</v>
      </c>
      <c r="K11" s="204">
        <v>0</v>
      </c>
      <c r="L11" s="204">
        <v>0</v>
      </c>
      <c r="M11" s="204">
        <v>0</v>
      </c>
      <c r="N11" s="204">
        <v>0</v>
      </c>
      <c r="O11" s="204">
        <v>0</v>
      </c>
      <c r="P11" s="204">
        <v>0</v>
      </c>
      <c r="Q11" s="205">
        <f>P11</f>
        <v>0</v>
      </c>
      <c r="R11" s="205">
        <f>Q11</f>
        <v>0</v>
      </c>
      <c r="S11" s="169">
        <f>R11</f>
        <v>0</v>
      </c>
      <c r="T11" s="169">
        <f t="shared" ref="T11:AD11" si="0">S11</f>
        <v>0</v>
      </c>
      <c r="U11" s="169">
        <f t="shared" si="0"/>
        <v>0</v>
      </c>
      <c r="V11" s="169">
        <f t="shared" si="0"/>
        <v>0</v>
      </c>
      <c r="W11" s="169">
        <f t="shared" si="0"/>
        <v>0</v>
      </c>
      <c r="X11" s="169">
        <f t="shared" si="0"/>
        <v>0</v>
      </c>
      <c r="Y11" s="206">
        <f t="shared" si="0"/>
        <v>0</v>
      </c>
      <c r="Z11" s="169">
        <f t="shared" si="0"/>
        <v>0</v>
      </c>
      <c r="AA11" s="169">
        <f t="shared" si="0"/>
        <v>0</v>
      </c>
      <c r="AB11" s="169">
        <f t="shared" si="0"/>
        <v>0</v>
      </c>
      <c r="AC11" s="169">
        <f t="shared" si="0"/>
        <v>0</v>
      </c>
      <c r="AD11" s="169">
        <f t="shared" si="0"/>
        <v>0</v>
      </c>
      <c r="AE11" s="15"/>
    </row>
    <row r="12" spans="2:31" x14ac:dyDescent="0.35">
      <c r="B12" s="12"/>
      <c r="C12" s="197" t="s">
        <v>77</v>
      </c>
      <c r="D12" s="198" t="s">
        <v>40</v>
      </c>
      <c r="E12" s="207">
        <f t="shared" ref="E12:L12" si="1">SUM(E9:E11)</f>
        <v>1</v>
      </c>
      <c r="F12" s="207">
        <f t="shared" si="1"/>
        <v>1</v>
      </c>
      <c r="G12" s="207">
        <f t="shared" si="1"/>
        <v>1</v>
      </c>
      <c r="H12" s="207">
        <f t="shared" si="1"/>
        <v>1</v>
      </c>
      <c r="I12" s="207">
        <f t="shared" si="1"/>
        <v>1</v>
      </c>
      <c r="J12" s="207">
        <f t="shared" si="1"/>
        <v>1</v>
      </c>
      <c r="K12" s="207">
        <f t="shared" si="1"/>
        <v>1</v>
      </c>
      <c r="L12" s="207">
        <f t="shared" si="1"/>
        <v>1</v>
      </c>
      <c r="M12" s="207">
        <f>SUM(M9:M11)</f>
        <v>1</v>
      </c>
      <c r="N12" s="207">
        <f t="shared" ref="N12:AD12" si="2">SUM(N9:N11)</f>
        <v>1</v>
      </c>
      <c r="O12" s="207">
        <f t="shared" si="2"/>
        <v>1</v>
      </c>
      <c r="P12" s="207">
        <f t="shared" si="2"/>
        <v>1</v>
      </c>
      <c r="Q12" s="207">
        <f t="shared" si="2"/>
        <v>1</v>
      </c>
      <c r="R12" s="207">
        <f t="shared" si="2"/>
        <v>1</v>
      </c>
      <c r="S12" s="207">
        <f t="shared" si="2"/>
        <v>1</v>
      </c>
      <c r="T12" s="207">
        <f t="shared" si="2"/>
        <v>1</v>
      </c>
      <c r="U12" s="207">
        <f t="shared" si="2"/>
        <v>1</v>
      </c>
      <c r="V12" s="207">
        <f t="shared" si="2"/>
        <v>1</v>
      </c>
      <c r="W12" s="207">
        <f t="shared" si="2"/>
        <v>1</v>
      </c>
      <c r="X12" s="207">
        <f t="shared" si="2"/>
        <v>1</v>
      </c>
      <c r="Y12" s="207">
        <f t="shared" si="2"/>
        <v>1</v>
      </c>
      <c r="Z12" s="207">
        <f t="shared" si="2"/>
        <v>1</v>
      </c>
      <c r="AA12" s="207">
        <f t="shared" si="2"/>
        <v>1</v>
      </c>
      <c r="AB12" s="207">
        <f t="shared" si="2"/>
        <v>1</v>
      </c>
      <c r="AC12" s="207">
        <f t="shared" si="2"/>
        <v>1</v>
      </c>
      <c r="AD12" s="207">
        <f t="shared" si="2"/>
        <v>1</v>
      </c>
      <c r="AE12" s="15"/>
    </row>
    <row r="13" spans="2:31" x14ac:dyDescent="0.35">
      <c r="B13" s="12"/>
      <c r="C13" s="197"/>
      <c r="D13" s="198"/>
      <c r="E13" s="208"/>
      <c r="F13" s="209"/>
      <c r="G13" s="208"/>
      <c r="H13" s="208"/>
      <c r="I13" s="208"/>
      <c r="J13" s="208"/>
      <c r="K13" s="208"/>
      <c r="L13" s="208"/>
      <c r="M13" s="207"/>
      <c r="N13" s="207"/>
      <c r="O13" s="207"/>
      <c r="P13" s="207"/>
      <c r="Q13" s="207"/>
      <c r="R13" s="207"/>
      <c r="S13" s="170"/>
      <c r="T13" s="21"/>
      <c r="U13" s="170"/>
      <c r="V13" s="170"/>
      <c r="W13" s="170"/>
      <c r="X13" s="170"/>
      <c r="Y13" s="170"/>
      <c r="Z13" s="170"/>
      <c r="AA13" s="170"/>
      <c r="AB13" s="170"/>
      <c r="AC13" s="170"/>
      <c r="AD13" s="170"/>
      <c r="AE13" s="15"/>
    </row>
    <row r="14" spans="2:31" x14ac:dyDescent="0.35">
      <c r="B14" s="12"/>
      <c r="C14" s="197"/>
      <c r="D14" s="198" t="s">
        <v>41</v>
      </c>
      <c r="E14" s="208"/>
      <c r="F14" s="209"/>
      <c r="G14" s="208"/>
      <c r="H14" s="208"/>
      <c r="I14" s="208"/>
      <c r="J14" s="208"/>
      <c r="K14" s="208"/>
      <c r="L14" s="208"/>
      <c r="M14" s="207"/>
      <c r="N14" s="207"/>
      <c r="O14" s="207"/>
      <c r="P14" s="207"/>
      <c r="Q14" s="207"/>
      <c r="R14" s="207"/>
      <c r="S14" s="170"/>
      <c r="T14" s="21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5"/>
    </row>
    <row r="15" spans="2:31" ht="36" x14ac:dyDescent="0.35">
      <c r="B15" s="12"/>
      <c r="C15" s="197"/>
      <c r="D15" s="203" t="s">
        <v>115</v>
      </c>
      <c r="E15" s="211">
        <v>0.34344660194174753</v>
      </c>
      <c r="F15" s="205">
        <v>0.30257549470143524</v>
      </c>
      <c r="G15" s="211">
        <v>0.30019987658770353</v>
      </c>
      <c r="H15" s="211">
        <v>0.29874730224265761</v>
      </c>
      <c r="I15" s="211">
        <v>0.2997205737150152</v>
      </c>
      <c r="J15" s="211">
        <v>0.30549682875264272</v>
      </c>
      <c r="K15" s="211">
        <v>0.30448383733055262</v>
      </c>
      <c r="L15" s="211">
        <v>0.24170124481327804</v>
      </c>
      <c r="M15" s="211">
        <v>0.28437500000000004</v>
      </c>
      <c r="N15" s="211">
        <v>0.22821576763485479</v>
      </c>
      <c r="O15" s="211">
        <v>0.23140495867768596</v>
      </c>
      <c r="P15" s="211">
        <v>0.23037190082644629</v>
      </c>
      <c r="Q15" s="211">
        <v>0.2702980472764645</v>
      </c>
      <c r="R15" s="211">
        <v>0.25282631038026721</v>
      </c>
      <c r="S15" s="169">
        <v>0.25282631038026721</v>
      </c>
      <c r="T15" s="169">
        <v>0.25282631038026721</v>
      </c>
      <c r="U15" s="169">
        <v>0.25282631038026721</v>
      </c>
      <c r="V15" s="169">
        <v>0.25282631038026721</v>
      </c>
      <c r="W15" s="169">
        <v>0.25282631038026721</v>
      </c>
      <c r="X15" s="169">
        <v>0.25282631038026721</v>
      </c>
      <c r="Y15" s="169">
        <v>0.25282631038026721</v>
      </c>
      <c r="Z15" s="169">
        <v>0.25282631038026721</v>
      </c>
      <c r="AA15" s="169">
        <v>0.25282631038026721</v>
      </c>
      <c r="AB15" s="169">
        <v>0.25282631038026721</v>
      </c>
      <c r="AC15" s="169">
        <v>0.25282631038026721</v>
      </c>
      <c r="AD15" s="169">
        <v>0.25282631038026721</v>
      </c>
      <c r="AE15" s="15"/>
    </row>
    <row r="16" spans="2:31" ht="36" x14ac:dyDescent="0.35">
      <c r="B16" s="12"/>
      <c r="C16" s="197"/>
      <c r="D16" s="203" t="s">
        <v>116</v>
      </c>
      <c r="E16" s="211">
        <v>0.65655339805825252</v>
      </c>
      <c r="F16" s="205">
        <v>0.69742450529856481</v>
      </c>
      <c r="G16" s="211">
        <v>0.69980012341229647</v>
      </c>
      <c r="H16" s="211">
        <v>0.70125269775734245</v>
      </c>
      <c r="I16" s="211">
        <v>0.70027942628498485</v>
      </c>
      <c r="J16" s="211">
        <v>0.69450317124735739</v>
      </c>
      <c r="K16" s="211">
        <v>0.69551616266944738</v>
      </c>
      <c r="L16" s="211">
        <v>0.75829875518672196</v>
      </c>
      <c r="M16" s="211">
        <v>0.71562499999999996</v>
      </c>
      <c r="N16" s="211">
        <v>0.77178423236514526</v>
      </c>
      <c r="O16" s="211">
        <v>0.76859504132231404</v>
      </c>
      <c r="P16" s="211">
        <v>0.76962809917355379</v>
      </c>
      <c r="Q16" s="211">
        <v>0.72970195272353544</v>
      </c>
      <c r="R16" s="211">
        <v>0.74717368961973296</v>
      </c>
      <c r="S16" s="169">
        <v>0.74717368961973296</v>
      </c>
      <c r="T16" s="169">
        <v>0.74717368961973296</v>
      </c>
      <c r="U16" s="169">
        <v>0.74717368961973296</v>
      </c>
      <c r="V16" s="169">
        <v>0.74717368961973296</v>
      </c>
      <c r="W16" s="169">
        <v>0.74717368961973296</v>
      </c>
      <c r="X16" s="169">
        <v>0.74717368961973296</v>
      </c>
      <c r="Y16" s="169">
        <v>0.74717368961973296</v>
      </c>
      <c r="Z16" s="169">
        <v>0.74717368961973296</v>
      </c>
      <c r="AA16" s="169">
        <v>0.74717368961973296</v>
      </c>
      <c r="AB16" s="169">
        <v>0.74717368961973296</v>
      </c>
      <c r="AC16" s="169">
        <v>0.74717368961973296</v>
      </c>
      <c r="AD16" s="169">
        <v>0.74717368961973296</v>
      </c>
      <c r="AE16" s="15"/>
    </row>
    <row r="17" spans="2:31" x14ac:dyDescent="0.35">
      <c r="B17" s="12"/>
      <c r="C17" s="197"/>
      <c r="D17" s="198"/>
      <c r="E17" s="207">
        <f>SUM(E15:E16)</f>
        <v>1</v>
      </c>
      <c r="F17" s="207">
        <f t="shared" ref="F17:L17" si="3">SUM(F15:F16)</f>
        <v>1</v>
      </c>
      <c r="G17" s="207">
        <f t="shared" si="3"/>
        <v>1</v>
      </c>
      <c r="H17" s="207">
        <f t="shared" si="3"/>
        <v>1</v>
      </c>
      <c r="I17" s="207">
        <f t="shared" si="3"/>
        <v>1</v>
      </c>
      <c r="J17" s="207">
        <f t="shared" si="3"/>
        <v>1</v>
      </c>
      <c r="K17" s="207">
        <f t="shared" si="3"/>
        <v>1</v>
      </c>
      <c r="L17" s="207">
        <f t="shared" si="3"/>
        <v>1</v>
      </c>
      <c r="M17" s="207">
        <f>SUM(M15:M16)</f>
        <v>1</v>
      </c>
      <c r="N17" s="207">
        <f t="shared" ref="N17:AD17" si="4">SUM(N15:N16)</f>
        <v>1</v>
      </c>
      <c r="O17" s="207">
        <f t="shared" si="4"/>
        <v>1</v>
      </c>
      <c r="P17" s="207">
        <f t="shared" si="4"/>
        <v>1</v>
      </c>
      <c r="Q17" s="207">
        <f t="shared" si="4"/>
        <v>1</v>
      </c>
      <c r="R17" s="207">
        <f t="shared" si="4"/>
        <v>1.0000000000000002</v>
      </c>
      <c r="S17" s="207">
        <f t="shared" si="4"/>
        <v>1.0000000000000002</v>
      </c>
      <c r="T17" s="207">
        <f t="shared" si="4"/>
        <v>1.0000000000000002</v>
      </c>
      <c r="U17" s="207">
        <f t="shared" si="4"/>
        <v>1.0000000000000002</v>
      </c>
      <c r="V17" s="207">
        <f t="shared" si="4"/>
        <v>1.0000000000000002</v>
      </c>
      <c r="W17" s="207">
        <f t="shared" si="4"/>
        <v>1.0000000000000002</v>
      </c>
      <c r="X17" s="207">
        <f t="shared" si="4"/>
        <v>1.0000000000000002</v>
      </c>
      <c r="Y17" s="207">
        <f t="shared" si="4"/>
        <v>1.0000000000000002</v>
      </c>
      <c r="Z17" s="207">
        <f t="shared" si="4"/>
        <v>1.0000000000000002</v>
      </c>
      <c r="AA17" s="207">
        <f t="shared" si="4"/>
        <v>1.0000000000000002</v>
      </c>
      <c r="AB17" s="207">
        <f t="shared" si="4"/>
        <v>1.0000000000000002</v>
      </c>
      <c r="AC17" s="207">
        <f t="shared" si="4"/>
        <v>1.0000000000000002</v>
      </c>
      <c r="AD17" s="207">
        <f t="shared" si="4"/>
        <v>1.0000000000000002</v>
      </c>
      <c r="AE17" s="15"/>
    </row>
    <row r="18" spans="2:31" x14ac:dyDescent="0.35">
      <c r="B18" s="12"/>
      <c r="C18" s="197"/>
      <c r="D18" s="198" t="s">
        <v>41</v>
      </c>
      <c r="E18" s="208"/>
      <c r="F18" s="209"/>
      <c r="G18" s="208"/>
      <c r="H18" s="208"/>
      <c r="I18" s="208"/>
      <c r="J18" s="208"/>
      <c r="K18" s="208"/>
      <c r="L18" s="208"/>
      <c r="M18" s="207"/>
      <c r="N18" s="207"/>
      <c r="O18" s="207"/>
      <c r="P18" s="207"/>
      <c r="Q18" s="207"/>
      <c r="R18" s="207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15"/>
    </row>
    <row r="19" spans="2:31" ht="14.4" x14ac:dyDescent="0.3">
      <c r="B19" s="12"/>
      <c r="C19" s="197"/>
      <c r="D19" s="197" t="s">
        <v>72</v>
      </c>
      <c r="E19" s="205">
        <f>E10*E15</f>
        <v>0.11795556838533318</v>
      </c>
      <c r="F19" s="205">
        <f t="shared" ref="F19:AD19" si="5">F10*F15</f>
        <v>9.1551929993818268E-2</v>
      </c>
      <c r="G19" s="205">
        <f t="shared" si="5"/>
        <v>9.0119965903272425E-2</v>
      </c>
      <c r="H19" s="205">
        <f t="shared" si="5"/>
        <v>8.9249950597265815E-2</v>
      </c>
      <c r="I19" s="205">
        <f t="shared" si="5"/>
        <v>8.9832422308057866E-2</v>
      </c>
      <c r="J19" s="205">
        <f t="shared" si="5"/>
        <v>9.332831237792151E-2</v>
      </c>
      <c r="K19" s="205">
        <f t="shared" si="5"/>
        <v>9.2710407195538427E-2</v>
      </c>
      <c r="L19" s="205">
        <f t="shared" si="5"/>
        <v>5.8419491744288163E-2</v>
      </c>
      <c r="M19" s="205">
        <f t="shared" si="5"/>
        <v>8.086914062500003E-2</v>
      </c>
      <c r="N19" s="205">
        <f t="shared" si="5"/>
        <v>5.2082436597166035E-2</v>
      </c>
      <c r="O19" s="205">
        <f t="shared" si="5"/>
        <v>5.3548254900621546E-2</v>
      </c>
      <c r="P19" s="205">
        <f t="shared" si="5"/>
        <v>5.3071212690390009E-2</v>
      </c>
      <c r="Q19" s="205">
        <f t="shared" si="5"/>
        <v>7.3061034361469837E-2</v>
      </c>
      <c r="R19" s="205">
        <f t="shared" si="5"/>
        <v>6.3921143220499202E-2</v>
      </c>
      <c r="S19" s="205">
        <f t="shared" si="5"/>
        <v>6.3921143220499202E-2</v>
      </c>
      <c r="T19" s="205">
        <f t="shared" si="5"/>
        <v>6.3921143220499202E-2</v>
      </c>
      <c r="U19" s="205">
        <f t="shared" si="5"/>
        <v>6.3921143220499202E-2</v>
      </c>
      <c r="V19" s="205">
        <f t="shared" si="5"/>
        <v>6.3921143220499202E-2</v>
      </c>
      <c r="W19" s="205">
        <f t="shared" si="5"/>
        <v>6.3921143220499202E-2</v>
      </c>
      <c r="X19" s="205">
        <f t="shared" si="5"/>
        <v>6.3921143220499202E-2</v>
      </c>
      <c r="Y19" s="205">
        <f t="shared" si="5"/>
        <v>6.3921143220499202E-2</v>
      </c>
      <c r="Z19" s="205">
        <f t="shared" si="5"/>
        <v>6.3921143220499202E-2</v>
      </c>
      <c r="AA19" s="205">
        <f t="shared" si="5"/>
        <v>6.3921143220499202E-2</v>
      </c>
      <c r="AB19" s="205">
        <f t="shared" si="5"/>
        <v>6.3921143220499202E-2</v>
      </c>
      <c r="AC19" s="205">
        <f t="shared" si="5"/>
        <v>6.3921143220499202E-2</v>
      </c>
      <c r="AD19" s="205">
        <f t="shared" si="5"/>
        <v>6.3921143220499202E-2</v>
      </c>
      <c r="AE19" s="15"/>
    </row>
    <row r="20" spans="2:31" ht="36" x14ac:dyDescent="0.35">
      <c r="B20" s="12"/>
      <c r="C20" s="197" t="s">
        <v>75</v>
      </c>
      <c r="D20" s="203" t="s">
        <v>73</v>
      </c>
      <c r="E20" s="205">
        <f>E16*E10</f>
        <v>0.22549103355641437</v>
      </c>
      <c r="F20" s="205">
        <f t="shared" ref="F20:AD20" si="6">F16*F10</f>
        <v>0.21102356470761699</v>
      </c>
      <c r="G20" s="205">
        <f t="shared" si="6"/>
        <v>0.2100799106844311</v>
      </c>
      <c r="H20" s="205">
        <f t="shared" si="6"/>
        <v>0.20949735164539182</v>
      </c>
      <c r="I20" s="205">
        <f t="shared" si="6"/>
        <v>0.20988815140695735</v>
      </c>
      <c r="J20" s="205">
        <f t="shared" si="6"/>
        <v>0.21216851637472126</v>
      </c>
      <c r="K20" s="205">
        <f t="shared" si="6"/>
        <v>0.21177343013501418</v>
      </c>
      <c r="L20" s="205">
        <f t="shared" si="6"/>
        <v>0.18328175306898986</v>
      </c>
      <c r="M20" s="205">
        <f t="shared" si="6"/>
        <v>0.20350585937500001</v>
      </c>
      <c r="N20" s="205">
        <f t="shared" si="6"/>
        <v>0.17613333103768877</v>
      </c>
      <c r="O20" s="205">
        <f t="shared" si="6"/>
        <v>0.17785670377706442</v>
      </c>
      <c r="P20" s="205">
        <f t="shared" si="6"/>
        <v>0.17730068813605632</v>
      </c>
      <c r="Q20" s="205">
        <f t="shared" si="6"/>
        <v>0.19723701291499465</v>
      </c>
      <c r="R20" s="205">
        <f t="shared" si="6"/>
        <v>0.18890516715976804</v>
      </c>
      <c r="S20" s="205">
        <f t="shared" si="6"/>
        <v>0.18890516715976804</v>
      </c>
      <c r="T20" s="205">
        <f t="shared" si="6"/>
        <v>0.18890516715976804</v>
      </c>
      <c r="U20" s="205">
        <f t="shared" si="6"/>
        <v>0.18890516715976804</v>
      </c>
      <c r="V20" s="205">
        <f t="shared" si="6"/>
        <v>0.18890516715976804</v>
      </c>
      <c r="W20" s="205">
        <f t="shared" si="6"/>
        <v>0.18890516715976804</v>
      </c>
      <c r="X20" s="205">
        <f t="shared" si="6"/>
        <v>0.18890516715976804</v>
      </c>
      <c r="Y20" s="205">
        <f t="shared" si="6"/>
        <v>0.18890516715976804</v>
      </c>
      <c r="Z20" s="205">
        <f t="shared" si="6"/>
        <v>0.18890516715976804</v>
      </c>
      <c r="AA20" s="205">
        <f t="shared" si="6"/>
        <v>0.18890516715976804</v>
      </c>
      <c r="AB20" s="205">
        <f t="shared" si="6"/>
        <v>0.18890516715976804</v>
      </c>
      <c r="AC20" s="205">
        <f t="shared" si="6"/>
        <v>0.18890516715976804</v>
      </c>
      <c r="AD20" s="205">
        <f t="shared" si="6"/>
        <v>0.18890516715976804</v>
      </c>
      <c r="AE20" s="15"/>
    </row>
    <row r="21" spans="2:31" x14ac:dyDescent="0.35">
      <c r="B21" s="12"/>
      <c r="C21" s="197"/>
      <c r="D21" s="198" t="s">
        <v>66</v>
      </c>
      <c r="E21" s="204">
        <f>E19+E20</f>
        <v>0.34344660194174753</v>
      </c>
      <c r="F21" s="204">
        <f t="shared" ref="F21:AD21" si="7">F19+F20</f>
        <v>0.30257549470143524</v>
      </c>
      <c r="G21" s="204">
        <f t="shared" si="7"/>
        <v>0.30019987658770353</v>
      </c>
      <c r="H21" s="204">
        <f t="shared" si="7"/>
        <v>0.29874730224265766</v>
      </c>
      <c r="I21" s="204">
        <f t="shared" si="7"/>
        <v>0.2997205737150152</v>
      </c>
      <c r="J21" s="204">
        <f t="shared" si="7"/>
        <v>0.30549682875264278</v>
      </c>
      <c r="K21" s="204">
        <f t="shared" si="7"/>
        <v>0.30448383733055262</v>
      </c>
      <c r="L21" s="204">
        <f t="shared" si="7"/>
        <v>0.24170124481327804</v>
      </c>
      <c r="M21" s="204">
        <f t="shared" si="7"/>
        <v>0.28437500000000004</v>
      </c>
      <c r="N21" s="204">
        <f t="shared" si="7"/>
        <v>0.22821576763485479</v>
      </c>
      <c r="O21" s="204">
        <f t="shared" si="7"/>
        <v>0.23140495867768596</v>
      </c>
      <c r="P21" s="204">
        <f t="shared" si="7"/>
        <v>0.23037190082644632</v>
      </c>
      <c r="Q21" s="204">
        <f t="shared" si="7"/>
        <v>0.2702980472764645</v>
      </c>
      <c r="R21" s="204">
        <f t="shared" si="7"/>
        <v>0.25282631038026726</v>
      </c>
      <c r="S21" s="204">
        <f t="shared" si="7"/>
        <v>0.25282631038026726</v>
      </c>
      <c r="T21" s="204">
        <f t="shared" si="7"/>
        <v>0.25282631038026726</v>
      </c>
      <c r="U21" s="204">
        <f t="shared" si="7"/>
        <v>0.25282631038026726</v>
      </c>
      <c r="V21" s="204">
        <f t="shared" si="7"/>
        <v>0.25282631038026726</v>
      </c>
      <c r="W21" s="204">
        <f t="shared" si="7"/>
        <v>0.25282631038026726</v>
      </c>
      <c r="X21" s="204">
        <f t="shared" si="7"/>
        <v>0.25282631038026726</v>
      </c>
      <c r="Y21" s="204">
        <f t="shared" si="7"/>
        <v>0.25282631038026726</v>
      </c>
      <c r="Z21" s="204">
        <f t="shared" si="7"/>
        <v>0.25282631038026726</v>
      </c>
      <c r="AA21" s="204">
        <f t="shared" si="7"/>
        <v>0.25282631038026726</v>
      </c>
      <c r="AB21" s="204">
        <f t="shared" si="7"/>
        <v>0.25282631038026726</v>
      </c>
      <c r="AC21" s="204">
        <f t="shared" si="7"/>
        <v>0.25282631038026726</v>
      </c>
      <c r="AD21" s="204">
        <f t="shared" si="7"/>
        <v>0.25282631038026726</v>
      </c>
      <c r="AE21" s="15"/>
    </row>
    <row r="22" spans="2:31" s="25" customFormat="1" ht="14.4" x14ac:dyDescent="0.3">
      <c r="B22" s="114"/>
      <c r="C22" s="197" t="s">
        <v>76</v>
      </c>
      <c r="D22" s="197" t="s">
        <v>172</v>
      </c>
      <c r="E22" s="169">
        <f>E9+E20</f>
        <v>0.88204443161466695</v>
      </c>
      <c r="F22" s="169">
        <f t="shared" ref="F22:AD22" si="8">F9+F20</f>
        <v>0.90844807000618177</v>
      </c>
      <c r="G22" s="169">
        <f t="shared" si="8"/>
        <v>0.90988003409672757</v>
      </c>
      <c r="H22" s="169">
        <f t="shared" si="8"/>
        <v>0.9107500494027343</v>
      </c>
      <c r="I22" s="169">
        <f t="shared" si="8"/>
        <v>0.91016757769194223</v>
      </c>
      <c r="J22" s="169">
        <f t="shared" si="8"/>
        <v>0.90667168762207861</v>
      </c>
      <c r="K22" s="169">
        <f t="shared" si="8"/>
        <v>0.90728959280446153</v>
      </c>
      <c r="L22" s="169">
        <f t="shared" si="8"/>
        <v>0.94158050825571182</v>
      </c>
      <c r="M22" s="169">
        <f t="shared" si="8"/>
        <v>0.91913085937499994</v>
      </c>
      <c r="N22" s="169">
        <f t="shared" si="8"/>
        <v>0.94791756340283406</v>
      </c>
      <c r="O22" s="169">
        <f t="shared" si="8"/>
        <v>0.94645174509937846</v>
      </c>
      <c r="P22" s="169">
        <f t="shared" si="8"/>
        <v>0.94692878730961016</v>
      </c>
      <c r="Q22" s="169">
        <f t="shared" si="8"/>
        <v>0.92693896563853007</v>
      </c>
      <c r="R22" s="169">
        <f t="shared" si="8"/>
        <v>0.93607885677950076</v>
      </c>
      <c r="S22" s="169">
        <f t="shared" si="8"/>
        <v>0.93607885677950076</v>
      </c>
      <c r="T22" s="169">
        <f t="shared" si="8"/>
        <v>0.93607885677950076</v>
      </c>
      <c r="U22" s="169">
        <f t="shared" si="8"/>
        <v>0.93607885677950076</v>
      </c>
      <c r="V22" s="169">
        <f t="shared" si="8"/>
        <v>0.93607885677950076</v>
      </c>
      <c r="W22" s="169">
        <f t="shared" si="8"/>
        <v>0.93607885677950076</v>
      </c>
      <c r="X22" s="169">
        <f t="shared" si="8"/>
        <v>0.93607885677950076</v>
      </c>
      <c r="Y22" s="169">
        <f t="shared" si="8"/>
        <v>0.93607885677950076</v>
      </c>
      <c r="Z22" s="169">
        <f t="shared" si="8"/>
        <v>0.93607885677950076</v>
      </c>
      <c r="AA22" s="169">
        <f t="shared" si="8"/>
        <v>0.93607885677950076</v>
      </c>
      <c r="AB22" s="169">
        <f t="shared" si="8"/>
        <v>0.93607885677950076</v>
      </c>
      <c r="AC22" s="169">
        <f t="shared" si="8"/>
        <v>0.93607885677950076</v>
      </c>
      <c r="AD22" s="169">
        <f t="shared" si="8"/>
        <v>0.93607885677950076</v>
      </c>
      <c r="AE22" s="116"/>
    </row>
    <row r="23" spans="2:31" ht="18.600000000000001" thickBot="1" x14ac:dyDescent="0.4">
      <c r="B23" s="16"/>
      <c r="C23" s="157"/>
      <c r="D23" s="154"/>
      <c r="E23" s="17"/>
      <c r="F23" s="99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8"/>
    </row>
    <row r="25" spans="2:31" ht="18.600000000000001" thickBot="1" x14ac:dyDescent="0.4"/>
    <row r="26" spans="2:31" x14ac:dyDescent="0.35">
      <c r="B26" s="9"/>
      <c r="C26" s="156"/>
      <c r="D26" s="150"/>
      <c r="E26" s="10"/>
      <c r="F26" s="95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4"/>
      <c r="AE26" s="11"/>
    </row>
    <row r="27" spans="2:31" x14ac:dyDescent="0.35">
      <c r="B27" s="12"/>
      <c r="C27" s="71"/>
      <c r="D27" s="151" t="s">
        <v>118</v>
      </c>
      <c r="E27" s="13"/>
      <c r="F27" s="96"/>
      <c r="G27" s="13"/>
      <c r="H27" s="13"/>
      <c r="I27" s="13"/>
      <c r="J27" s="13"/>
      <c r="K27" s="13"/>
      <c r="L27" s="13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5"/>
    </row>
    <row r="28" spans="2:31" x14ac:dyDescent="0.35">
      <c r="B28" s="12"/>
      <c r="C28" s="71"/>
      <c r="D28" s="151"/>
      <c r="E28" s="13"/>
      <c r="F28" s="96"/>
      <c r="G28" s="13"/>
      <c r="H28" s="13"/>
      <c r="I28" s="13"/>
      <c r="J28" s="13"/>
      <c r="K28" s="13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5"/>
    </row>
    <row r="29" spans="2:31" x14ac:dyDescent="0.35">
      <c r="B29" s="12"/>
      <c r="C29" s="147" t="s">
        <v>74</v>
      </c>
      <c r="D29" s="152" t="s">
        <v>117</v>
      </c>
      <c r="E29" s="24"/>
      <c r="F29" s="97"/>
      <c r="G29" s="24"/>
      <c r="H29" s="24"/>
      <c r="I29" s="24"/>
      <c r="J29" s="24"/>
      <c r="K29" s="24"/>
      <c r="L29" s="2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5"/>
    </row>
    <row r="30" spans="2:31" x14ac:dyDescent="0.35">
      <c r="B30" s="12"/>
      <c r="C30" s="71"/>
      <c r="D30" s="153"/>
      <c r="E30" s="14"/>
      <c r="F30" s="32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5"/>
    </row>
    <row r="31" spans="2:31" ht="14.4" x14ac:dyDescent="0.3">
      <c r="B31" s="12"/>
      <c r="C31" s="14"/>
      <c r="D31" s="13" t="s">
        <v>36</v>
      </c>
      <c r="E31" s="13"/>
      <c r="F31" s="96"/>
      <c r="G31" s="13"/>
      <c r="H31" s="13"/>
      <c r="I31" s="13"/>
      <c r="J31" s="13"/>
      <c r="K31" s="13"/>
      <c r="L31" s="1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5"/>
    </row>
    <row r="32" spans="2:31" ht="14.4" x14ac:dyDescent="0.3">
      <c r="B32" s="12"/>
      <c r="C32" s="14"/>
      <c r="D32" s="14" t="s">
        <v>120</v>
      </c>
      <c r="E32" s="196">
        <f t="shared" ref="E32:X32" si="9">E9*E47</f>
        <v>2.1037283980582528</v>
      </c>
      <c r="F32" s="196">
        <f t="shared" si="9"/>
        <v>2.587793626910325</v>
      </c>
      <c r="G32" s="196">
        <f t="shared" si="9"/>
        <v>2.9509871404173129</v>
      </c>
      <c r="H32" s="196">
        <f t="shared" si="9"/>
        <v>3.2193108848644076</v>
      </c>
      <c r="I32" s="196">
        <f t="shared" si="9"/>
        <v>3.4766772676770645</v>
      </c>
      <c r="J32" s="196">
        <f t="shared" si="9"/>
        <v>3.5709964059196619</v>
      </c>
      <c r="K32" s="196">
        <f t="shared" si="9"/>
        <v>3.6991722627737227</v>
      </c>
      <c r="L32" s="196">
        <f t="shared" si="9"/>
        <v>4.0425664937759329</v>
      </c>
      <c r="M32" s="196">
        <f t="shared" si="9"/>
        <v>2.8945326207600002</v>
      </c>
      <c r="N32" s="196">
        <f t="shared" si="9"/>
        <v>3.0929671348700412</v>
      </c>
      <c r="O32" s="196">
        <f t="shared" si="9"/>
        <v>3.1186252580519005</v>
      </c>
      <c r="P32" s="196">
        <f t="shared" si="9"/>
        <v>3.1706494760219006</v>
      </c>
      <c r="Q32" s="196">
        <f t="shared" si="9"/>
        <v>3.2566865393517963</v>
      </c>
      <c r="R32" s="196">
        <f t="shared" si="9"/>
        <v>3.5964894793527362</v>
      </c>
      <c r="S32" s="196">
        <f t="shared" si="9"/>
        <v>3.8635189748719498</v>
      </c>
      <c r="T32" s="196">
        <f t="shared" si="9"/>
        <v>3.8503424198385319</v>
      </c>
      <c r="U32" s="196">
        <f t="shared" si="9"/>
        <v>3.9943208468380802</v>
      </c>
      <c r="V32" s="196">
        <f t="shared" si="9"/>
        <v>4.6947708542290432</v>
      </c>
      <c r="W32" s="196">
        <f t="shared" si="9"/>
        <v>4.9814879243296852</v>
      </c>
      <c r="X32" s="196">
        <f t="shared" si="9"/>
        <v>5.2728296092208033</v>
      </c>
      <c r="Y32" s="196">
        <f>Y10*Y47</f>
        <v>1.8842946390974427</v>
      </c>
      <c r="Z32" s="196">
        <f t="shared" ref="Z32:AD32" si="10">Z9*Z47</f>
        <v>5.8687373115232342</v>
      </c>
      <c r="AA32" s="196">
        <f t="shared" si="10"/>
        <v>6.1730027539074754</v>
      </c>
      <c r="AB32" s="196">
        <f t="shared" si="10"/>
        <v>6.4812500679690235</v>
      </c>
      <c r="AC32" s="196">
        <f t="shared" si="10"/>
        <v>6.7933270527702367</v>
      </c>
      <c r="AD32" s="196">
        <f t="shared" si="10"/>
        <v>7.1090555804750748</v>
      </c>
      <c r="AE32" s="15"/>
    </row>
    <row r="33" spans="2:31" ht="14.4" x14ac:dyDescent="0.3">
      <c r="B33" s="12"/>
      <c r="C33" s="14"/>
      <c r="D33" s="14" t="s">
        <v>206</v>
      </c>
      <c r="E33" s="61">
        <f t="shared" ref="E33:AD33" si="11">E47*E10</f>
        <v>1.1004716019417475</v>
      </c>
      <c r="F33" s="61">
        <f t="shared" si="11"/>
        <v>1.1227063730896756</v>
      </c>
      <c r="G33" s="61">
        <f t="shared" si="11"/>
        <v>1.265912859582687</v>
      </c>
      <c r="H33" s="61">
        <f t="shared" si="11"/>
        <v>1.3714891151355926</v>
      </c>
      <c r="I33" s="61">
        <f t="shared" si="11"/>
        <v>1.4880227323229362</v>
      </c>
      <c r="J33" s="61">
        <f t="shared" si="11"/>
        <v>1.5708035940803384</v>
      </c>
      <c r="K33" s="61">
        <f t="shared" si="11"/>
        <v>1.6194277372262771</v>
      </c>
      <c r="L33" s="61">
        <f t="shared" si="11"/>
        <v>1.2885335062240664</v>
      </c>
      <c r="M33" s="61">
        <f t="shared" si="11"/>
        <v>1.1502291200400003</v>
      </c>
      <c r="N33" s="61">
        <f t="shared" si="11"/>
        <v>0.91458705600995849</v>
      </c>
      <c r="O33" s="61">
        <f t="shared" si="11"/>
        <v>0.93894093790809918</v>
      </c>
      <c r="P33" s="61">
        <f t="shared" si="11"/>
        <v>0.94906689013809908</v>
      </c>
      <c r="Q33" s="61">
        <f t="shared" si="11"/>
        <v>1.2063500842951018</v>
      </c>
      <c r="R33" s="61">
        <f t="shared" si="11"/>
        <v>1.2169689297397155</v>
      </c>
      <c r="S33" s="61">
        <f t="shared" si="11"/>
        <v>1.3073255403280601</v>
      </c>
      <c r="T33" s="61">
        <f t="shared" si="11"/>
        <v>1.3028668985973575</v>
      </c>
      <c r="U33" s="61">
        <f t="shared" si="11"/>
        <v>1.3515858711446598</v>
      </c>
      <c r="V33" s="61">
        <f t="shared" si="11"/>
        <v>1.5886019671806666</v>
      </c>
      <c r="W33" s="61">
        <f t="shared" si="11"/>
        <v>1.6856203980537863</v>
      </c>
      <c r="X33" s="61">
        <f t="shared" si="11"/>
        <v>1.7842036917033257</v>
      </c>
      <c r="Y33" s="61">
        <f t="shared" si="11"/>
        <v>1.8842946390974427</v>
      </c>
      <c r="Z33" s="61">
        <f t="shared" si="11"/>
        <v>1.985845087530558</v>
      </c>
      <c r="AA33" s="61">
        <f t="shared" si="11"/>
        <v>2.0888014820649778</v>
      </c>
      <c r="AB33" s="61">
        <f t="shared" si="11"/>
        <v>2.1931052499592569</v>
      </c>
      <c r="AC33" s="61">
        <f t="shared" si="11"/>
        <v>2.2987048899332576</v>
      </c>
      <c r="AD33" s="61">
        <f t="shared" si="11"/>
        <v>2.4055401276435604</v>
      </c>
      <c r="AE33" s="15"/>
    </row>
    <row r="34" spans="2:31" ht="14.4" x14ac:dyDescent="0.3">
      <c r="B34" s="12"/>
      <c r="C34" s="14" t="s">
        <v>77</v>
      </c>
      <c r="D34" s="14" t="s">
        <v>121</v>
      </c>
      <c r="E34" s="61">
        <f t="shared" ref="E34:AD34" si="12">E11*E47</f>
        <v>0</v>
      </c>
      <c r="F34" s="61">
        <f t="shared" si="12"/>
        <v>0</v>
      </c>
      <c r="G34" s="61">
        <f t="shared" si="12"/>
        <v>0</v>
      </c>
      <c r="H34" s="61">
        <f t="shared" si="12"/>
        <v>0</v>
      </c>
      <c r="I34" s="61">
        <f t="shared" si="12"/>
        <v>0</v>
      </c>
      <c r="J34" s="61">
        <f t="shared" si="12"/>
        <v>0</v>
      </c>
      <c r="K34" s="61">
        <f t="shared" si="12"/>
        <v>0</v>
      </c>
      <c r="L34" s="61">
        <f t="shared" si="12"/>
        <v>0</v>
      </c>
      <c r="M34" s="61">
        <f t="shared" si="12"/>
        <v>0</v>
      </c>
      <c r="N34" s="61">
        <f t="shared" si="12"/>
        <v>0</v>
      </c>
      <c r="O34" s="61">
        <f t="shared" si="12"/>
        <v>0</v>
      </c>
      <c r="P34" s="61">
        <f t="shared" si="12"/>
        <v>0</v>
      </c>
      <c r="Q34" s="61">
        <f t="shared" si="12"/>
        <v>0</v>
      </c>
      <c r="R34" s="61">
        <f t="shared" si="12"/>
        <v>0</v>
      </c>
      <c r="S34" s="61">
        <f t="shared" si="12"/>
        <v>0</v>
      </c>
      <c r="T34" s="61">
        <f t="shared" si="12"/>
        <v>0</v>
      </c>
      <c r="U34" s="61">
        <f t="shared" si="12"/>
        <v>0</v>
      </c>
      <c r="V34" s="61">
        <f t="shared" si="12"/>
        <v>0</v>
      </c>
      <c r="W34" s="61">
        <f t="shared" si="12"/>
        <v>0</v>
      </c>
      <c r="X34" s="61">
        <f t="shared" si="12"/>
        <v>0</v>
      </c>
      <c r="Y34" s="61">
        <f t="shared" si="12"/>
        <v>0</v>
      </c>
      <c r="Z34" s="61">
        <f t="shared" si="12"/>
        <v>0</v>
      </c>
      <c r="AA34" s="61">
        <f t="shared" si="12"/>
        <v>0</v>
      </c>
      <c r="AB34" s="61">
        <f t="shared" si="12"/>
        <v>0</v>
      </c>
      <c r="AC34" s="61">
        <f t="shared" si="12"/>
        <v>0</v>
      </c>
      <c r="AD34" s="61">
        <f t="shared" si="12"/>
        <v>0</v>
      </c>
      <c r="AE34" s="15"/>
    </row>
    <row r="35" spans="2:31" ht="14.4" x14ac:dyDescent="0.3">
      <c r="B35" s="12"/>
      <c r="C35" s="14"/>
      <c r="D35" s="13" t="s">
        <v>66</v>
      </c>
      <c r="E35" s="81">
        <f t="shared" ref="E35:L35" si="13">SUM(E32:E34)</f>
        <v>3.2042000000000002</v>
      </c>
      <c r="F35" s="81">
        <f t="shared" si="13"/>
        <v>3.7105000000000006</v>
      </c>
      <c r="G35" s="81">
        <f t="shared" si="13"/>
        <v>4.2168999999999999</v>
      </c>
      <c r="H35" s="81">
        <f t="shared" si="13"/>
        <v>4.5907999999999998</v>
      </c>
      <c r="I35" s="81">
        <f t="shared" si="13"/>
        <v>4.9647000000000006</v>
      </c>
      <c r="J35" s="81">
        <f t="shared" si="13"/>
        <v>5.1417999999999999</v>
      </c>
      <c r="K35" s="81">
        <f t="shared" si="13"/>
        <v>5.3186</v>
      </c>
      <c r="L35" s="81">
        <f t="shared" si="13"/>
        <v>5.3310999999999993</v>
      </c>
      <c r="M35" s="81">
        <f>SUM(M32:M34)</f>
        <v>4.0447617408000003</v>
      </c>
      <c r="N35" s="81">
        <f t="shared" ref="N35:AD35" si="14">SUM(N32:N34)</f>
        <v>4.0075541908799996</v>
      </c>
      <c r="O35" s="81">
        <f t="shared" si="14"/>
        <v>4.0575661959599998</v>
      </c>
      <c r="P35" s="81">
        <f t="shared" si="14"/>
        <v>4.1197163661599996</v>
      </c>
      <c r="Q35" s="81">
        <f t="shared" si="14"/>
        <v>4.4630366236468983</v>
      </c>
      <c r="R35" s="81">
        <f t="shared" si="14"/>
        <v>4.8134584090924513</v>
      </c>
      <c r="S35" s="81">
        <f t="shared" si="14"/>
        <v>5.1708445152000095</v>
      </c>
      <c r="T35" s="81">
        <f t="shared" si="14"/>
        <v>5.1532093184358896</v>
      </c>
      <c r="U35" s="81">
        <f t="shared" si="14"/>
        <v>5.3459067179827402</v>
      </c>
      <c r="V35" s="81">
        <f t="shared" si="14"/>
        <v>6.28337282140971</v>
      </c>
      <c r="W35" s="81">
        <f t="shared" si="14"/>
        <v>6.6671083223834717</v>
      </c>
      <c r="X35" s="81">
        <f t="shared" si="14"/>
        <v>7.0570333009241288</v>
      </c>
      <c r="Y35" s="81">
        <f t="shared" si="14"/>
        <v>3.7685892781948853</v>
      </c>
      <c r="Z35" s="81">
        <f t="shared" si="14"/>
        <v>7.8545823990537924</v>
      </c>
      <c r="AA35" s="81">
        <f t="shared" si="14"/>
        <v>8.2618042359724537</v>
      </c>
      <c r="AB35" s="81">
        <f t="shared" si="14"/>
        <v>8.6743553179282813</v>
      </c>
      <c r="AC35" s="81">
        <f t="shared" si="14"/>
        <v>9.0920319427034944</v>
      </c>
      <c r="AD35" s="81">
        <f t="shared" si="14"/>
        <v>9.5145957081186356</v>
      </c>
      <c r="AE35" s="15"/>
    </row>
    <row r="36" spans="2:31" ht="14.4" x14ac:dyDescent="0.3">
      <c r="B36" s="12"/>
      <c r="C36" s="14"/>
      <c r="D36" s="13"/>
      <c r="E36" s="13"/>
      <c r="F36" s="96"/>
      <c r="G36" s="13"/>
      <c r="H36" s="13"/>
      <c r="I36" s="13"/>
      <c r="J36" s="13"/>
      <c r="K36" s="13"/>
      <c r="L36" s="13"/>
      <c r="M36" s="48"/>
      <c r="N36" s="48"/>
      <c r="O36" s="48"/>
      <c r="P36" s="48"/>
      <c r="Q36" s="48"/>
      <c r="R36" s="48"/>
      <c r="S36" s="48"/>
      <c r="T36" s="64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15"/>
    </row>
    <row r="37" spans="2:31" ht="14.4" x14ac:dyDescent="0.3">
      <c r="B37" s="12"/>
      <c r="C37" s="14"/>
      <c r="D37" s="224" t="s">
        <v>41</v>
      </c>
      <c r="E37" s="13"/>
      <c r="F37" s="96"/>
      <c r="G37" s="13"/>
      <c r="H37" s="13"/>
      <c r="I37" s="13"/>
      <c r="J37" s="13"/>
      <c r="K37" s="13"/>
      <c r="L37" s="13"/>
      <c r="M37" s="48"/>
      <c r="N37" s="48"/>
      <c r="O37" s="48"/>
      <c r="P37" s="48"/>
      <c r="Q37" s="48"/>
      <c r="R37" s="48"/>
      <c r="S37" s="48"/>
      <c r="T37" s="64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15"/>
    </row>
    <row r="38" spans="2:31" ht="14.4" x14ac:dyDescent="0.3">
      <c r="B38" s="12"/>
      <c r="C38" s="14"/>
      <c r="D38" s="225" t="s">
        <v>122</v>
      </c>
      <c r="E38" s="213">
        <f t="shared" ref="E38:AD38" si="15">E15*E47</f>
        <v>1.1004716019417475</v>
      </c>
      <c r="F38" s="213">
        <f t="shared" si="15"/>
        <v>1.1227063730896756</v>
      </c>
      <c r="G38" s="213">
        <f t="shared" si="15"/>
        <v>1.265912859582687</v>
      </c>
      <c r="H38" s="213">
        <f t="shared" si="15"/>
        <v>1.3714891151355926</v>
      </c>
      <c r="I38" s="213">
        <f t="shared" si="15"/>
        <v>1.4880227323229362</v>
      </c>
      <c r="J38" s="213">
        <f t="shared" si="15"/>
        <v>1.5708035940803384</v>
      </c>
      <c r="K38" s="213">
        <f t="shared" si="15"/>
        <v>1.6194277372262771</v>
      </c>
      <c r="L38" s="213">
        <f t="shared" si="15"/>
        <v>1.2885335062240664</v>
      </c>
      <c r="M38" s="213">
        <f t="shared" si="15"/>
        <v>1.1502291200400003</v>
      </c>
      <c r="N38" s="213">
        <f t="shared" si="15"/>
        <v>0.91458705600995849</v>
      </c>
      <c r="O38" s="213">
        <f t="shared" si="15"/>
        <v>0.93894093790809918</v>
      </c>
      <c r="P38" s="213">
        <f t="shared" si="15"/>
        <v>0.94906689013809908</v>
      </c>
      <c r="Q38" s="213">
        <f t="shared" si="15"/>
        <v>1.2063500842951018</v>
      </c>
      <c r="R38" s="213">
        <f t="shared" si="15"/>
        <v>1.2169689297397155</v>
      </c>
      <c r="S38" s="213">
        <f t="shared" si="15"/>
        <v>1.3073255403280601</v>
      </c>
      <c r="T38" s="213">
        <f t="shared" si="15"/>
        <v>1.3028668985973575</v>
      </c>
      <c r="U38" s="213">
        <f t="shared" si="15"/>
        <v>1.3515858711446598</v>
      </c>
      <c r="V38" s="213">
        <f t="shared" si="15"/>
        <v>1.5886019671806666</v>
      </c>
      <c r="W38" s="213">
        <f t="shared" si="15"/>
        <v>1.6856203980537863</v>
      </c>
      <c r="X38" s="213">
        <f t="shared" si="15"/>
        <v>1.7842036917033257</v>
      </c>
      <c r="Y38" s="213">
        <f t="shared" si="15"/>
        <v>1.8842946390974427</v>
      </c>
      <c r="Z38" s="213">
        <f t="shared" si="15"/>
        <v>1.985845087530558</v>
      </c>
      <c r="AA38" s="213">
        <f t="shared" si="15"/>
        <v>2.0888014820649778</v>
      </c>
      <c r="AB38" s="213">
        <f t="shared" si="15"/>
        <v>2.1931052499592569</v>
      </c>
      <c r="AC38" s="213">
        <f t="shared" si="15"/>
        <v>2.2987048899332576</v>
      </c>
      <c r="AD38" s="213">
        <f t="shared" si="15"/>
        <v>2.4055401276435604</v>
      </c>
      <c r="AE38" s="15"/>
    </row>
    <row r="39" spans="2:31" ht="14.4" x14ac:dyDescent="0.3">
      <c r="B39" s="12"/>
      <c r="C39" s="14"/>
      <c r="D39" s="225" t="s">
        <v>123</v>
      </c>
      <c r="E39" s="213">
        <f t="shared" ref="E39:AD39" si="16">E16*E47</f>
        <v>2.1037283980582528</v>
      </c>
      <c r="F39" s="213">
        <f t="shared" si="16"/>
        <v>2.587793626910325</v>
      </c>
      <c r="G39" s="213">
        <f t="shared" si="16"/>
        <v>2.9509871404173129</v>
      </c>
      <c r="H39" s="213">
        <f t="shared" si="16"/>
        <v>3.2193108848644076</v>
      </c>
      <c r="I39" s="213">
        <f t="shared" si="16"/>
        <v>3.4766772676770645</v>
      </c>
      <c r="J39" s="213">
        <f t="shared" si="16"/>
        <v>3.5709964059196619</v>
      </c>
      <c r="K39" s="213">
        <f t="shared" si="16"/>
        <v>3.6991722627737227</v>
      </c>
      <c r="L39" s="213">
        <f t="shared" si="16"/>
        <v>4.0425664937759329</v>
      </c>
      <c r="M39" s="213">
        <f t="shared" si="16"/>
        <v>2.8945326207600002</v>
      </c>
      <c r="N39" s="213">
        <f t="shared" si="16"/>
        <v>3.0929671348700412</v>
      </c>
      <c r="O39" s="213">
        <f t="shared" si="16"/>
        <v>3.1186252580519005</v>
      </c>
      <c r="P39" s="213">
        <f t="shared" si="16"/>
        <v>3.1706494760219006</v>
      </c>
      <c r="Q39" s="213">
        <f t="shared" si="16"/>
        <v>3.2566865393517963</v>
      </c>
      <c r="R39" s="213">
        <f t="shared" si="16"/>
        <v>3.5964894793527376</v>
      </c>
      <c r="S39" s="213">
        <f t="shared" si="16"/>
        <v>3.8635189748719512</v>
      </c>
      <c r="T39" s="213">
        <f t="shared" si="16"/>
        <v>3.8503424198385332</v>
      </c>
      <c r="U39" s="213">
        <f t="shared" si="16"/>
        <v>3.9943208468380811</v>
      </c>
      <c r="V39" s="213">
        <f t="shared" si="16"/>
        <v>4.6947708542290441</v>
      </c>
      <c r="W39" s="213">
        <f t="shared" si="16"/>
        <v>4.981487924329687</v>
      </c>
      <c r="X39" s="213">
        <f t="shared" si="16"/>
        <v>5.2728296092208051</v>
      </c>
      <c r="Y39" s="213">
        <f t="shared" si="16"/>
        <v>5.5686268399343142</v>
      </c>
      <c r="Z39" s="213">
        <f t="shared" si="16"/>
        <v>5.868737311523236</v>
      </c>
      <c r="AA39" s="213">
        <f t="shared" si="16"/>
        <v>6.1730027539074772</v>
      </c>
      <c r="AB39" s="213">
        <f t="shared" si="16"/>
        <v>6.4812500679690253</v>
      </c>
      <c r="AC39" s="213">
        <f t="shared" si="16"/>
        <v>6.7933270527702385</v>
      </c>
      <c r="AD39" s="213">
        <f t="shared" si="16"/>
        <v>7.1090555804750766</v>
      </c>
      <c r="AE39" s="15"/>
    </row>
    <row r="40" spans="2:31" ht="14.4" x14ac:dyDescent="0.3">
      <c r="B40" s="12"/>
      <c r="C40" s="14"/>
      <c r="D40" s="13"/>
      <c r="E40" s="81">
        <f t="shared" ref="E40:L40" si="17">SUM(E38:E39)</f>
        <v>3.2042000000000002</v>
      </c>
      <c r="F40" s="81">
        <f t="shared" si="17"/>
        <v>3.7105000000000006</v>
      </c>
      <c r="G40" s="81">
        <f t="shared" si="17"/>
        <v>4.2168999999999999</v>
      </c>
      <c r="H40" s="81">
        <f t="shared" si="17"/>
        <v>4.5907999999999998</v>
      </c>
      <c r="I40" s="81">
        <f t="shared" si="17"/>
        <v>4.9647000000000006</v>
      </c>
      <c r="J40" s="81">
        <f t="shared" si="17"/>
        <v>5.1417999999999999</v>
      </c>
      <c r="K40" s="81">
        <f t="shared" si="17"/>
        <v>5.3186</v>
      </c>
      <c r="L40" s="81">
        <f t="shared" si="17"/>
        <v>5.3310999999999993</v>
      </c>
      <c r="M40" s="81">
        <f>SUM(M38:M39)</f>
        <v>4.0447617408000003</v>
      </c>
      <c r="N40" s="81">
        <f t="shared" ref="N40:AD40" si="18">SUM(N38:N39)</f>
        <v>4.0075541908799996</v>
      </c>
      <c r="O40" s="81">
        <f t="shared" si="18"/>
        <v>4.0575661959599998</v>
      </c>
      <c r="P40" s="81">
        <f t="shared" si="18"/>
        <v>4.1197163661599996</v>
      </c>
      <c r="Q40" s="81">
        <f t="shared" si="18"/>
        <v>4.4630366236468983</v>
      </c>
      <c r="R40" s="81">
        <f t="shared" si="18"/>
        <v>4.813458409092453</v>
      </c>
      <c r="S40" s="81">
        <f t="shared" si="18"/>
        <v>5.1708445152000113</v>
      </c>
      <c r="T40" s="81">
        <f t="shared" si="18"/>
        <v>5.1532093184358905</v>
      </c>
      <c r="U40" s="81">
        <f t="shared" si="18"/>
        <v>5.3459067179827411</v>
      </c>
      <c r="V40" s="81">
        <f t="shared" si="18"/>
        <v>6.2833728214097109</v>
      </c>
      <c r="W40" s="81">
        <f t="shared" si="18"/>
        <v>6.6671083223834735</v>
      </c>
      <c r="X40" s="81">
        <f t="shared" si="18"/>
        <v>7.0570333009241306</v>
      </c>
      <c r="Y40" s="81">
        <f t="shared" si="18"/>
        <v>7.4529214790317564</v>
      </c>
      <c r="Z40" s="81">
        <f t="shared" si="18"/>
        <v>7.8545823990537942</v>
      </c>
      <c r="AA40" s="81">
        <f t="shared" si="18"/>
        <v>8.2618042359724555</v>
      </c>
      <c r="AB40" s="81">
        <f t="shared" si="18"/>
        <v>8.6743553179282813</v>
      </c>
      <c r="AC40" s="81">
        <f t="shared" si="18"/>
        <v>9.0920319427034961</v>
      </c>
      <c r="AD40" s="81">
        <f t="shared" si="18"/>
        <v>9.5145957081186374</v>
      </c>
      <c r="AE40" s="15"/>
    </row>
    <row r="41" spans="2:31" ht="14.4" x14ac:dyDescent="0.3">
      <c r="B41" s="12"/>
      <c r="C41" s="14"/>
      <c r="D41" s="13" t="s">
        <v>41</v>
      </c>
      <c r="E41" s="13"/>
      <c r="F41" s="96"/>
      <c r="G41" s="13"/>
      <c r="H41" s="13"/>
      <c r="I41" s="13"/>
      <c r="J41" s="13"/>
      <c r="K41" s="13"/>
      <c r="L41" s="13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15"/>
    </row>
    <row r="42" spans="2:31" ht="14.4" x14ac:dyDescent="0.3">
      <c r="B42" s="12"/>
      <c r="C42" s="14" t="s">
        <v>75</v>
      </c>
      <c r="D42" s="14" t="s">
        <v>124</v>
      </c>
      <c r="E42" s="61">
        <f t="shared" ref="E42:AD42" si="19">E19*E47</f>
        <v>0.3779532322202846</v>
      </c>
      <c r="F42" s="61">
        <f t="shared" si="19"/>
        <v>0.33970343624206267</v>
      </c>
      <c r="G42" s="61">
        <f t="shared" si="19"/>
        <v>0.38002688421750946</v>
      </c>
      <c r="H42" s="61">
        <f t="shared" si="19"/>
        <v>0.40972867320192791</v>
      </c>
      <c r="I42" s="61">
        <f t="shared" si="19"/>
        <v>0.44599102703281496</v>
      </c>
      <c r="J42" s="61">
        <f t="shared" si="19"/>
        <v>0.47987551658479682</v>
      </c>
      <c r="K42" s="61">
        <f t="shared" si="19"/>
        <v>0.49308957171019069</v>
      </c>
      <c r="L42" s="61">
        <f t="shared" si="19"/>
        <v>0.31144015243797457</v>
      </c>
      <c r="M42" s="61">
        <f t="shared" si="19"/>
        <v>0.32709640601137513</v>
      </c>
      <c r="N42" s="61">
        <f t="shared" si="19"/>
        <v>0.20872318705621462</v>
      </c>
      <c r="O42" s="61">
        <f t="shared" si="19"/>
        <v>0.21727558893741139</v>
      </c>
      <c r="P42" s="61">
        <f t="shared" si="19"/>
        <v>0.21863834349255798</v>
      </c>
      <c r="Q42" s="61">
        <f t="shared" si="19"/>
        <v>0.32607407211676437</v>
      </c>
      <c r="R42" s="61">
        <f t="shared" si="19"/>
        <v>0.30768176435351485</v>
      </c>
      <c r="S42" s="61">
        <f t="shared" si="19"/>
        <v>0.33052629282703261</v>
      </c>
      <c r="T42" s="61">
        <f t="shared" si="19"/>
        <v>0.32939903088895156</v>
      </c>
      <c r="U42" s="61">
        <f t="shared" si="19"/>
        <v>0.34171646896360358</v>
      </c>
      <c r="V42" s="61">
        <f t="shared" si="19"/>
        <v>0.4016403740251222</v>
      </c>
      <c r="W42" s="61">
        <f t="shared" si="19"/>
        <v>0.42616918594165604</v>
      </c>
      <c r="X42" s="61">
        <f t="shared" si="19"/>
        <v>0.45109363634020355</v>
      </c>
      <c r="Y42" s="61">
        <f t="shared" si="19"/>
        <v>0.47639926127232357</v>
      </c>
      <c r="Z42" s="61">
        <f t="shared" si="19"/>
        <v>0.50207388646712969</v>
      </c>
      <c r="AA42" s="61">
        <f t="shared" si="19"/>
        <v>0.52810397182732216</v>
      </c>
      <c r="AB42" s="61">
        <f t="shared" si="19"/>
        <v>0.55447470862279258</v>
      </c>
      <c r="AC42" s="61">
        <f t="shared" si="19"/>
        <v>0.58117307597490364</v>
      </c>
      <c r="AD42" s="61">
        <f t="shared" si="19"/>
        <v>0.60818383494379835</v>
      </c>
      <c r="AE42" s="15"/>
    </row>
    <row r="43" spans="2:31" ht="14.4" x14ac:dyDescent="0.3">
      <c r="B43" s="12"/>
      <c r="C43" s="14"/>
      <c r="D43" s="14" t="s">
        <v>125</v>
      </c>
      <c r="E43" s="61">
        <f t="shared" ref="E43:AD43" si="20">E20*E47</f>
        <v>0.72251836972146299</v>
      </c>
      <c r="F43" s="61">
        <f t="shared" si="20"/>
        <v>0.78300293684761291</v>
      </c>
      <c r="G43" s="61">
        <f t="shared" si="20"/>
        <v>0.88588597536517755</v>
      </c>
      <c r="H43" s="61">
        <f t="shared" si="20"/>
        <v>0.96176044193366472</v>
      </c>
      <c r="I43" s="61">
        <f t="shared" si="20"/>
        <v>1.0420317052901213</v>
      </c>
      <c r="J43" s="61">
        <f t="shared" si="20"/>
        <v>1.0909280774955417</v>
      </c>
      <c r="K43" s="61">
        <f t="shared" si="20"/>
        <v>1.1263381655160865</v>
      </c>
      <c r="L43" s="61">
        <f t="shared" si="20"/>
        <v>0.97709335378609175</v>
      </c>
      <c r="M43" s="61">
        <f t="shared" si="20"/>
        <v>0.82313271402862509</v>
      </c>
      <c r="N43" s="61">
        <f t="shared" si="20"/>
        <v>0.70586386895374398</v>
      </c>
      <c r="O43" s="61">
        <f t="shared" si="20"/>
        <v>0.72166534897068779</v>
      </c>
      <c r="P43" s="61">
        <f t="shared" si="20"/>
        <v>0.73042854664554124</v>
      </c>
      <c r="Q43" s="61">
        <f t="shared" si="20"/>
        <v>0.8802760121783374</v>
      </c>
      <c r="R43" s="61">
        <f t="shared" si="20"/>
        <v>0.9092871653862008</v>
      </c>
      <c r="S43" s="61">
        <f t="shared" si="20"/>
        <v>0.97679924750102776</v>
      </c>
      <c r="T43" s="61">
        <f t="shared" si="20"/>
        <v>0.9734678677084061</v>
      </c>
      <c r="U43" s="61">
        <f t="shared" si="20"/>
        <v>1.0098694021810566</v>
      </c>
      <c r="V43" s="61">
        <f t="shared" si="20"/>
        <v>1.1869615931555446</v>
      </c>
      <c r="W43" s="61">
        <f t="shared" si="20"/>
        <v>1.2594512121121304</v>
      </c>
      <c r="X43" s="61">
        <f t="shared" si="20"/>
        <v>1.3331100553631223</v>
      </c>
      <c r="Y43" s="61">
        <f t="shared" si="20"/>
        <v>1.4078953778251195</v>
      </c>
      <c r="Z43" s="61">
        <f t="shared" si="20"/>
        <v>1.4837712010634285</v>
      </c>
      <c r="AA43" s="61">
        <f t="shared" si="20"/>
        <v>1.5606975102376561</v>
      </c>
      <c r="AB43" s="61">
        <f t="shared" si="20"/>
        <v>1.6386305413364648</v>
      </c>
      <c r="AC43" s="61">
        <f t="shared" si="20"/>
        <v>1.7175318139583542</v>
      </c>
      <c r="AD43" s="61">
        <f t="shared" si="20"/>
        <v>1.7973562926997624</v>
      </c>
      <c r="AE43" s="15"/>
    </row>
    <row r="44" spans="2:31" ht="14.4" x14ac:dyDescent="0.3">
      <c r="B44" s="12"/>
      <c r="C44" s="14"/>
      <c r="D44" s="13" t="s">
        <v>66</v>
      </c>
      <c r="E44" s="61">
        <f t="shared" ref="E44:AD44" si="21">E21*E47</f>
        <v>1.1004716019417475</v>
      </c>
      <c r="F44" s="61">
        <f t="shared" si="21"/>
        <v>1.1227063730896756</v>
      </c>
      <c r="G44" s="61">
        <f t="shared" si="21"/>
        <v>1.265912859582687</v>
      </c>
      <c r="H44" s="61">
        <f t="shared" si="21"/>
        <v>1.3714891151355928</v>
      </c>
      <c r="I44" s="61">
        <f t="shared" si="21"/>
        <v>1.4880227323229362</v>
      </c>
      <c r="J44" s="61">
        <f t="shared" si="21"/>
        <v>1.5708035940803386</v>
      </c>
      <c r="K44" s="61">
        <f t="shared" si="21"/>
        <v>1.6194277372262771</v>
      </c>
      <c r="L44" s="61">
        <f t="shared" si="21"/>
        <v>1.2885335062240664</v>
      </c>
      <c r="M44" s="61">
        <f t="shared" si="21"/>
        <v>1.1502291200400003</v>
      </c>
      <c r="N44" s="61">
        <f t="shared" si="21"/>
        <v>0.91458705600995849</v>
      </c>
      <c r="O44" s="61">
        <f t="shared" si="21"/>
        <v>0.93894093790809918</v>
      </c>
      <c r="P44" s="61">
        <f t="shared" si="21"/>
        <v>0.9490668901380992</v>
      </c>
      <c r="Q44" s="61">
        <f t="shared" si="21"/>
        <v>1.2063500842951018</v>
      </c>
      <c r="R44" s="61">
        <f t="shared" si="21"/>
        <v>1.2169689297397157</v>
      </c>
      <c r="S44" s="61">
        <f t="shared" si="21"/>
        <v>1.3073255403280604</v>
      </c>
      <c r="T44" s="61">
        <f t="shared" si="21"/>
        <v>1.3028668985973577</v>
      </c>
      <c r="U44" s="61">
        <f t="shared" si="21"/>
        <v>1.3515858711446602</v>
      </c>
      <c r="V44" s="61">
        <f t="shared" si="21"/>
        <v>1.588601967180667</v>
      </c>
      <c r="W44" s="61">
        <f t="shared" si="21"/>
        <v>1.6856203980537865</v>
      </c>
      <c r="X44" s="61">
        <f t="shared" si="21"/>
        <v>1.7842036917033259</v>
      </c>
      <c r="Y44" s="61">
        <f t="shared" si="21"/>
        <v>1.8842946390974431</v>
      </c>
      <c r="Z44" s="61">
        <f t="shared" si="21"/>
        <v>1.9858450875305584</v>
      </c>
      <c r="AA44" s="61">
        <f t="shared" si="21"/>
        <v>2.0888014820649783</v>
      </c>
      <c r="AB44" s="61">
        <f t="shared" si="21"/>
        <v>2.1931052499592574</v>
      </c>
      <c r="AC44" s="61">
        <f t="shared" si="21"/>
        <v>2.2987048899332581</v>
      </c>
      <c r="AD44" s="61">
        <f t="shared" si="21"/>
        <v>2.4055401276435608</v>
      </c>
      <c r="AE44" s="15"/>
    </row>
    <row r="45" spans="2:31" ht="14.4" x14ac:dyDescent="0.3">
      <c r="B45" s="12"/>
      <c r="C45" s="14" t="s">
        <v>76</v>
      </c>
      <c r="D45" s="14"/>
      <c r="E45" s="214">
        <f t="shared" ref="E45:L45" si="22">E22*E47</f>
        <v>2.8262467677797161</v>
      </c>
      <c r="F45" s="81">
        <f t="shared" si="22"/>
        <v>3.3707965637579376</v>
      </c>
      <c r="G45" s="81">
        <f t="shared" si="22"/>
        <v>3.8368731157824905</v>
      </c>
      <c r="H45" s="81">
        <f t="shared" si="22"/>
        <v>4.1810713267980724</v>
      </c>
      <c r="I45" s="81">
        <f t="shared" si="22"/>
        <v>4.5187089729671861</v>
      </c>
      <c r="J45" s="81">
        <f t="shared" si="22"/>
        <v>4.6619244834152038</v>
      </c>
      <c r="K45" s="81">
        <f t="shared" si="22"/>
        <v>4.8255104282898094</v>
      </c>
      <c r="L45" s="81">
        <f t="shared" si="22"/>
        <v>5.0196598475620249</v>
      </c>
      <c r="M45" s="81">
        <f>M22*M47</f>
        <v>3.717665334788625</v>
      </c>
      <c r="N45" s="81">
        <f>N22*N47</f>
        <v>3.7988310038237856</v>
      </c>
      <c r="O45" s="81">
        <f t="shared" ref="O45:AD45" si="23">O22*O47</f>
        <v>3.8402906070225886</v>
      </c>
      <c r="P45" s="81">
        <f t="shared" si="23"/>
        <v>3.9010780226674422</v>
      </c>
      <c r="Q45" s="81">
        <f t="shared" si="23"/>
        <v>4.1369625515301331</v>
      </c>
      <c r="R45" s="81">
        <f t="shared" si="23"/>
        <v>4.5057766447389369</v>
      </c>
      <c r="S45" s="81">
        <f t="shared" si="23"/>
        <v>4.8403182223729777</v>
      </c>
      <c r="T45" s="81">
        <f t="shared" si="23"/>
        <v>4.8238102875469382</v>
      </c>
      <c r="U45" s="81">
        <f t="shared" si="23"/>
        <v>5.0041902490191363</v>
      </c>
      <c r="V45" s="81">
        <f t="shared" si="23"/>
        <v>5.8817324473845876</v>
      </c>
      <c r="W45" s="81">
        <f t="shared" si="23"/>
        <v>6.2409391364418152</v>
      </c>
      <c r="X45" s="81">
        <f t="shared" si="23"/>
        <v>6.6059396645839259</v>
      </c>
      <c r="Y45" s="81">
        <f t="shared" si="23"/>
        <v>6.9765222177594319</v>
      </c>
      <c r="Z45" s="81">
        <f t="shared" si="23"/>
        <v>7.3525085125866623</v>
      </c>
      <c r="AA45" s="81">
        <f t="shared" si="23"/>
        <v>7.7337002641451313</v>
      </c>
      <c r="AB45" s="81">
        <f t="shared" si="23"/>
        <v>8.1198806093054881</v>
      </c>
      <c r="AC45" s="81">
        <f t="shared" si="23"/>
        <v>8.51085886672859</v>
      </c>
      <c r="AD45" s="81">
        <f t="shared" si="23"/>
        <v>8.9064118731748376</v>
      </c>
      <c r="AE45" s="15"/>
    </row>
    <row r="46" spans="2:31" ht="14.4" x14ac:dyDescent="0.3">
      <c r="B46" s="12"/>
      <c r="C46" s="14"/>
      <c r="D46" s="14"/>
      <c r="E46" s="14"/>
      <c r="F46" s="32"/>
      <c r="G46" s="14"/>
      <c r="H46" s="14"/>
      <c r="I46" s="14"/>
      <c r="J46" s="14"/>
      <c r="K46" s="14"/>
      <c r="L46" s="14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15"/>
    </row>
    <row r="47" spans="2:31" ht="14.4" x14ac:dyDescent="0.3">
      <c r="B47" s="12"/>
      <c r="C47" s="14" t="s">
        <v>71</v>
      </c>
      <c r="D47" s="13" t="s">
        <v>119</v>
      </c>
      <c r="E47" s="80">
        <v>3.2042000000000002</v>
      </c>
      <c r="F47" s="100">
        <v>3.7105000000000001</v>
      </c>
      <c r="G47" s="80">
        <v>4.2168999999999999</v>
      </c>
      <c r="H47" s="80">
        <v>4.5907999999999998</v>
      </c>
      <c r="I47" s="80">
        <v>4.9647000000000006</v>
      </c>
      <c r="J47" s="80">
        <v>5.1417999999999999</v>
      </c>
      <c r="K47" s="80">
        <v>5.3186</v>
      </c>
      <c r="L47" s="80">
        <v>5.3310999999999993</v>
      </c>
      <c r="M47" s="81">
        <v>4.0447617408000003</v>
      </c>
      <c r="N47" s="81">
        <v>4.0075541908799996</v>
      </c>
      <c r="O47" s="81">
        <v>4.0575661959599998</v>
      </c>
      <c r="P47" s="81">
        <v>4.1197163661599996</v>
      </c>
      <c r="Q47" s="81">
        <v>4.4630366236468983</v>
      </c>
      <c r="R47" s="81">
        <v>4.8134584090924522</v>
      </c>
      <c r="S47" s="81">
        <v>5.1708445152000104</v>
      </c>
      <c r="T47" s="81">
        <v>5.1532093184358896</v>
      </c>
      <c r="U47" s="81">
        <v>5.3459067179827402</v>
      </c>
      <c r="V47" s="81">
        <v>6.28337282140971</v>
      </c>
      <c r="W47" s="81">
        <v>6.6671083223834717</v>
      </c>
      <c r="X47" s="81">
        <v>7.0570333009241297</v>
      </c>
      <c r="Y47" s="81">
        <v>7.4529214790317555</v>
      </c>
      <c r="Z47" s="81">
        <v>7.8545823990537924</v>
      </c>
      <c r="AA47" s="81">
        <v>8.2618042359724537</v>
      </c>
      <c r="AB47" s="81">
        <v>8.6743553179282813</v>
      </c>
      <c r="AC47" s="81">
        <v>9.0920319427034944</v>
      </c>
      <c r="AD47" s="81">
        <v>9.5145957081186356</v>
      </c>
      <c r="AE47" s="15"/>
    </row>
    <row r="48" spans="2:31" ht="18.600000000000001" thickBot="1" x14ac:dyDescent="0.4">
      <c r="B48" s="16"/>
      <c r="C48" s="157"/>
      <c r="D48" s="154"/>
      <c r="E48" s="17"/>
      <c r="F48" s="99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8"/>
    </row>
    <row r="50" spans="3:30" ht="48.6" customHeight="1" x14ac:dyDescent="0.35">
      <c r="G50" t="s">
        <v>91</v>
      </c>
      <c r="I50" s="67" t="s">
        <v>159</v>
      </c>
      <c r="J50" t="s">
        <v>92</v>
      </c>
      <c r="M50" t="s">
        <v>77</v>
      </c>
    </row>
    <row r="51" spans="3:30" ht="107.4" customHeight="1" x14ac:dyDescent="0.3">
      <c r="D51" s="75" t="s">
        <v>230</v>
      </c>
      <c r="E51" s="75" t="s">
        <v>158</v>
      </c>
      <c r="F51" s="101" t="s">
        <v>156</v>
      </c>
      <c r="G51" s="75" t="s">
        <v>160</v>
      </c>
      <c r="H51" s="75" t="s">
        <v>157</v>
      </c>
      <c r="I51" s="75" t="s">
        <v>154</v>
      </c>
      <c r="J51" s="75" t="s">
        <v>38</v>
      </c>
      <c r="K51" s="75" t="s">
        <v>155</v>
      </c>
      <c r="L51" s="75" t="s">
        <v>185</v>
      </c>
      <c r="M51" s="75" t="s">
        <v>186</v>
      </c>
      <c r="N51" s="75" t="s">
        <v>163</v>
      </c>
      <c r="O51" s="75" t="s">
        <v>44</v>
      </c>
      <c r="P51" s="75" t="s">
        <v>169</v>
      </c>
      <c r="Q51" s="75" t="s">
        <v>170</v>
      </c>
    </row>
    <row r="52" spans="3:30" ht="28.8" x14ac:dyDescent="0.3">
      <c r="D52" s="215" t="s">
        <v>217</v>
      </c>
      <c r="E52" s="218">
        <v>2010</v>
      </c>
      <c r="F52" s="219">
        <v>3.2042000000000002</v>
      </c>
      <c r="G52" s="72">
        <v>0.58899999999999997</v>
      </c>
      <c r="H52" s="73">
        <v>0.18</v>
      </c>
      <c r="I52" s="69">
        <v>0.41099999999999998</v>
      </c>
      <c r="J52" s="73">
        <v>0.82400000000000007</v>
      </c>
      <c r="K52" s="73">
        <v>0.28299999999999997</v>
      </c>
      <c r="L52" s="73">
        <f>J52-K52</f>
        <v>0.54100000000000015</v>
      </c>
      <c r="M52" s="73">
        <f>I52-K52</f>
        <v>0.128</v>
      </c>
      <c r="N52" s="73">
        <f>L69/G69</f>
        <v>0.45899999999999991</v>
      </c>
      <c r="O52" s="72">
        <v>0</v>
      </c>
      <c r="P52" s="78">
        <f t="shared" ref="P52:P65" si="24">K52/J52</f>
        <v>0.34344660194174753</v>
      </c>
      <c r="Q52" s="78">
        <f t="shared" ref="Q52:Q64" si="25">L52/J52</f>
        <v>0.65655339805825252</v>
      </c>
      <c r="R52" s="74"/>
    </row>
    <row r="53" spans="3:30" ht="28.8" x14ac:dyDescent="0.3">
      <c r="D53" s="215" t="s">
        <v>218</v>
      </c>
      <c r="E53" s="218">
        <v>2011</v>
      </c>
      <c r="F53" s="219">
        <v>3.7105000000000001</v>
      </c>
      <c r="G53" s="72">
        <v>0.52100000000000002</v>
      </c>
      <c r="H53" s="73">
        <v>5.8244444444444987E-2</v>
      </c>
      <c r="I53" s="69">
        <v>0.47899999999999998</v>
      </c>
      <c r="J53" s="73">
        <v>0.94175555555555768</v>
      </c>
      <c r="K53" s="73">
        <v>0.28495215311004785</v>
      </c>
      <c r="L53" s="73">
        <f t="shared" ref="L53:L65" si="26">J53-K53</f>
        <v>0.65680340244550983</v>
      </c>
      <c r="M53" s="73">
        <f t="shared" ref="M53:M65" si="27">I53-K53</f>
        <v>0.19404784688995214</v>
      </c>
      <c r="N53" s="73">
        <f t="shared" ref="N53:N65" si="28">L70/G70</f>
        <v>0.34319659755449017</v>
      </c>
      <c r="O53" s="72">
        <v>0</v>
      </c>
      <c r="P53" s="78">
        <f t="shared" si="24"/>
        <v>0.30257549470143524</v>
      </c>
      <c r="Q53" s="78">
        <f t="shared" si="25"/>
        <v>0.69742450529856481</v>
      </c>
    </row>
    <row r="54" spans="3:30" ht="28.8" x14ac:dyDescent="0.3">
      <c r="D54" s="215" t="s">
        <v>219</v>
      </c>
      <c r="E54" s="218">
        <v>2012</v>
      </c>
      <c r="F54" s="219">
        <v>4.2168999999999999</v>
      </c>
      <c r="G54" s="72">
        <v>0.502</v>
      </c>
      <c r="H54" s="73">
        <v>5.5477777777777959E-2</v>
      </c>
      <c r="I54" s="69">
        <v>0.498</v>
      </c>
      <c r="J54" s="73">
        <v>0.94452222222222204</v>
      </c>
      <c r="K54" s="73">
        <v>0.28354545454545454</v>
      </c>
      <c r="L54" s="73">
        <f t="shared" si="26"/>
        <v>0.6609767676767675</v>
      </c>
      <c r="M54" s="73">
        <f t="shared" si="27"/>
        <v>0.21445454545454545</v>
      </c>
      <c r="N54" s="73">
        <f t="shared" si="28"/>
        <v>0.3390232323232325</v>
      </c>
      <c r="O54" s="72">
        <v>0</v>
      </c>
      <c r="P54" s="78">
        <f t="shared" si="24"/>
        <v>0.30019987658770353</v>
      </c>
      <c r="Q54" s="78">
        <f t="shared" si="25"/>
        <v>0.69980012341229647</v>
      </c>
    </row>
    <row r="55" spans="3:30" ht="28.8" x14ac:dyDescent="0.3">
      <c r="D55" s="215" t="s">
        <v>229</v>
      </c>
      <c r="E55" s="218">
        <v>2013</v>
      </c>
      <c r="F55" s="219">
        <v>4.5907999999999998</v>
      </c>
      <c r="G55" s="72">
        <v>0.502</v>
      </c>
      <c r="H55" s="73">
        <v>5.2711111111111819E-2</v>
      </c>
      <c r="I55" s="69">
        <v>0.498</v>
      </c>
      <c r="J55" s="73">
        <v>0.94728888888888818</v>
      </c>
      <c r="K55" s="73">
        <v>0.28299999999999997</v>
      </c>
      <c r="L55" s="73">
        <f t="shared" si="26"/>
        <v>0.66428888888888826</v>
      </c>
      <c r="M55" s="73">
        <f t="shared" si="27"/>
        <v>0.21500000000000002</v>
      </c>
      <c r="N55" s="73">
        <f t="shared" si="28"/>
        <v>0.33571111111111179</v>
      </c>
      <c r="O55" s="72">
        <v>0</v>
      </c>
      <c r="P55" s="78">
        <f t="shared" si="24"/>
        <v>0.29874730224265761</v>
      </c>
      <c r="Q55" s="78">
        <f t="shared" si="25"/>
        <v>0.70125269775734245</v>
      </c>
    </row>
    <row r="56" spans="3:30" ht="28.8" x14ac:dyDescent="0.3">
      <c r="D56" s="215" t="s">
        <v>229</v>
      </c>
      <c r="E56" s="218">
        <v>2014</v>
      </c>
      <c r="F56" s="219">
        <v>4.9647000000000006</v>
      </c>
      <c r="G56" s="72">
        <v>0.44100000000000006</v>
      </c>
      <c r="H56" s="73">
        <v>4.9944444444444791E-2</v>
      </c>
      <c r="I56" s="69">
        <f>I55+(((2014-2013)*(I57-I55))/(2015-2013))</f>
        <v>0.55899999999999994</v>
      </c>
      <c r="J56" s="73">
        <v>0.9500555555555561</v>
      </c>
      <c r="K56" s="73">
        <v>0.28475119617224876</v>
      </c>
      <c r="L56" s="73">
        <f t="shared" si="26"/>
        <v>0.66530435938330734</v>
      </c>
      <c r="M56" s="73">
        <f t="shared" si="27"/>
        <v>0.27424880382775119</v>
      </c>
      <c r="N56" s="73">
        <f t="shared" si="28"/>
        <v>0.33469564061669271</v>
      </c>
      <c r="O56" s="72">
        <v>0</v>
      </c>
      <c r="P56" s="78">
        <f t="shared" si="24"/>
        <v>0.2997205737150152</v>
      </c>
      <c r="Q56" s="78">
        <f t="shared" si="25"/>
        <v>0.70027942628498485</v>
      </c>
    </row>
    <row r="57" spans="3:30" s="68" customFormat="1" ht="25.05" customHeight="1" x14ac:dyDescent="0.3">
      <c r="C57" s="216"/>
      <c r="D57" s="217" t="s">
        <v>220</v>
      </c>
      <c r="E57" s="218">
        <v>2015</v>
      </c>
      <c r="F57" s="219">
        <v>5.1417999999999999</v>
      </c>
      <c r="G57" s="220">
        <v>0.38</v>
      </c>
      <c r="H57" s="221">
        <v>5.3999999999999992E-2</v>
      </c>
      <c r="I57" s="222">
        <v>0.62</v>
      </c>
      <c r="J57" s="221">
        <v>0.94599999999999995</v>
      </c>
      <c r="K57" s="221">
        <v>0.28899999999999998</v>
      </c>
      <c r="L57" s="221">
        <f t="shared" si="26"/>
        <v>0.65700000000000003</v>
      </c>
      <c r="M57" s="221">
        <f t="shared" si="27"/>
        <v>0.33100000000000002</v>
      </c>
      <c r="N57" s="221">
        <f t="shared" si="28"/>
        <v>0.34299999999999992</v>
      </c>
      <c r="O57" s="220">
        <v>0</v>
      </c>
      <c r="P57" s="223">
        <f t="shared" si="24"/>
        <v>0.30549682875264272</v>
      </c>
      <c r="Q57" s="223">
        <f t="shared" si="25"/>
        <v>0.69450317124735739</v>
      </c>
      <c r="AD57" s="187"/>
    </row>
    <row r="58" spans="3:30" s="68" customFormat="1" ht="25.05" customHeight="1" x14ac:dyDescent="0.3">
      <c r="C58" s="216"/>
      <c r="D58" s="217" t="s">
        <v>221</v>
      </c>
      <c r="E58" s="218">
        <v>2016</v>
      </c>
      <c r="F58" s="219">
        <v>5.3186</v>
      </c>
      <c r="G58" s="220">
        <v>0.36699999999999999</v>
      </c>
      <c r="H58" s="221">
        <v>4.0999999999999981E-2</v>
      </c>
      <c r="I58" s="222">
        <v>0.63300000000000001</v>
      </c>
      <c r="J58" s="221">
        <v>0.95900000000000007</v>
      </c>
      <c r="K58" s="221">
        <v>0.29199999999999998</v>
      </c>
      <c r="L58" s="221">
        <f t="shared" si="26"/>
        <v>0.66700000000000004</v>
      </c>
      <c r="M58" s="221">
        <f t="shared" si="27"/>
        <v>0.34100000000000003</v>
      </c>
      <c r="N58" s="221">
        <f t="shared" si="28"/>
        <v>0.33299999999999991</v>
      </c>
      <c r="O58" s="220">
        <v>0</v>
      </c>
      <c r="P58" s="223">
        <f t="shared" si="24"/>
        <v>0.30448383733055262</v>
      </c>
      <c r="Q58" s="223">
        <f t="shared" si="25"/>
        <v>0.69551616266944738</v>
      </c>
      <c r="AD58" s="187"/>
    </row>
    <row r="59" spans="3:30" s="68" customFormat="1" ht="25.05" customHeight="1" x14ac:dyDescent="0.3">
      <c r="C59" s="216"/>
      <c r="D59" s="217" t="s">
        <v>222</v>
      </c>
      <c r="E59" s="218">
        <v>2017</v>
      </c>
      <c r="F59" s="219">
        <v>5.3310999999999993</v>
      </c>
      <c r="G59" s="220">
        <v>0.26200000000000001</v>
      </c>
      <c r="H59" s="221">
        <v>3.6000000000000032E-2</v>
      </c>
      <c r="I59" s="222">
        <v>0.73799999999999999</v>
      </c>
      <c r="J59" s="221">
        <v>0.96399999999999997</v>
      </c>
      <c r="K59" s="221">
        <v>0.23300000000000001</v>
      </c>
      <c r="L59" s="221">
        <f t="shared" si="26"/>
        <v>0.73099999999999998</v>
      </c>
      <c r="M59" s="221">
        <f t="shared" si="27"/>
        <v>0.505</v>
      </c>
      <c r="N59" s="221">
        <f t="shared" si="28"/>
        <v>0.26899999999999996</v>
      </c>
      <c r="O59" s="220">
        <v>0</v>
      </c>
      <c r="P59" s="223">
        <f t="shared" si="24"/>
        <v>0.24170124481327804</v>
      </c>
      <c r="Q59" s="223">
        <f t="shared" si="25"/>
        <v>0.75829875518672196</v>
      </c>
      <c r="AD59" s="187"/>
    </row>
    <row r="60" spans="3:30" s="68" customFormat="1" ht="25.05" customHeight="1" x14ac:dyDescent="0.3">
      <c r="C60" s="216"/>
      <c r="D60" s="217" t="s">
        <v>223</v>
      </c>
      <c r="E60" s="218">
        <v>2018</v>
      </c>
      <c r="F60" s="219">
        <v>4.0447617408000003</v>
      </c>
      <c r="G60" s="220">
        <v>0.33499999999999996</v>
      </c>
      <c r="H60" s="221">
        <v>4.0000000000000036E-2</v>
      </c>
      <c r="I60" s="222">
        <v>0.66500000000000004</v>
      </c>
      <c r="J60" s="221">
        <v>0.96</v>
      </c>
      <c r="K60" s="221">
        <v>0.27300000000000002</v>
      </c>
      <c r="L60" s="221">
        <f t="shared" si="26"/>
        <v>0.68699999999999994</v>
      </c>
      <c r="M60" s="221">
        <f t="shared" si="27"/>
        <v>0.39200000000000002</v>
      </c>
      <c r="N60" s="221">
        <f t="shared" si="28"/>
        <v>0.31300000000000011</v>
      </c>
      <c r="O60" s="220">
        <v>0</v>
      </c>
      <c r="P60" s="223">
        <f t="shared" si="24"/>
        <v>0.28437500000000004</v>
      </c>
      <c r="Q60" s="223">
        <f t="shared" si="25"/>
        <v>0.71562499999999996</v>
      </c>
      <c r="AD60" s="187"/>
    </row>
    <row r="61" spans="3:30" s="68" customFormat="1" ht="25.05" customHeight="1" x14ac:dyDescent="0.3">
      <c r="C61" s="216"/>
      <c r="D61" s="217" t="s">
        <v>224</v>
      </c>
      <c r="E61" s="218">
        <v>2019</v>
      </c>
      <c r="F61" s="219">
        <v>4.0075541908799996</v>
      </c>
      <c r="G61" s="220">
        <v>0.29900000000000004</v>
      </c>
      <c r="H61" s="221">
        <v>3.6000000000000032E-2</v>
      </c>
      <c r="I61" s="222">
        <v>0.70099999999999996</v>
      </c>
      <c r="J61" s="221">
        <v>0.96399999999999997</v>
      </c>
      <c r="K61" s="221">
        <v>0.22</v>
      </c>
      <c r="L61" s="221">
        <f t="shared" si="26"/>
        <v>0.74399999999999999</v>
      </c>
      <c r="M61" s="221">
        <f t="shared" si="27"/>
        <v>0.48099999999999998</v>
      </c>
      <c r="N61" s="221">
        <f t="shared" si="28"/>
        <v>0.25600000000000001</v>
      </c>
      <c r="O61" s="220">
        <v>0</v>
      </c>
      <c r="P61" s="223">
        <f t="shared" si="24"/>
        <v>0.22821576763485479</v>
      </c>
      <c r="Q61" s="223">
        <f t="shared" si="25"/>
        <v>0.77178423236514526</v>
      </c>
      <c r="AD61" s="187"/>
    </row>
    <row r="62" spans="3:30" s="68" customFormat="1" ht="25.05" customHeight="1" x14ac:dyDescent="0.3">
      <c r="C62" s="216"/>
      <c r="D62" s="217" t="s">
        <v>225</v>
      </c>
      <c r="E62" s="218">
        <v>2020</v>
      </c>
      <c r="F62" s="219">
        <v>4.0575661959599998</v>
      </c>
      <c r="G62" s="220">
        <v>0.26200000000000001</v>
      </c>
      <c r="H62" s="221">
        <v>3.1999999999999973E-2</v>
      </c>
      <c r="I62" s="222">
        <v>0.73799999999999999</v>
      </c>
      <c r="J62" s="221">
        <v>0.96799999999999997</v>
      </c>
      <c r="K62" s="221">
        <v>0.224</v>
      </c>
      <c r="L62" s="221">
        <f t="shared" si="26"/>
        <v>0.74399999999999999</v>
      </c>
      <c r="M62" s="221">
        <f t="shared" si="27"/>
        <v>0.51400000000000001</v>
      </c>
      <c r="N62" s="221">
        <f t="shared" si="28"/>
        <v>0.25600000000000001</v>
      </c>
      <c r="O62" s="220">
        <v>0</v>
      </c>
      <c r="P62" s="223">
        <f t="shared" si="24"/>
        <v>0.23140495867768596</v>
      </c>
      <c r="Q62" s="223">
        <f t="shared" si="25"/>
        <v>0.76859504132231404</v>
      </c>
      <c r="AD62" s="187"/>
    </row>
    <row r="63" spans="3:30" s="68" customFormat="1" ht="25.05" customHeight="1" x14ac:dyDescent="0.3">
      <c r="C63" s="216"/>
      <c r="D63" s="217" t="s">
        <v>226</v>
      </c>
      <c r="E63" s="218">
        <v>2021</v>
      </c>
      <c r="F63" s="219">
        <v>4.1197163661599996</v>
      </c>
      <c r="G63" s="220">
        <v>0.25800000000000001</v>
      </c>
      <c r="H63" s="221">
        <v>3.2000000000000028E-2</v>
      </c>
      <c r="I63" s="222">
        <v>0.74199999999999999</v>
      </c>
      <c r="J63" s="221">
        <v>0.96799999999999997</v>
      </c>
      <c r="K63" s="221">
        <v>0.223</v>
      </c>
      <c r="L63" s="221">
        <f t="shared" si="26"/>
        <v>0.745</v>
      </c>
      <c r="M63" s="221">
        <f t="shared" si="27"/>
        <v>0.51900000000000002</v>
      </c>
      <c r="N63" s="221">
        <f t="shared" si="28"/>
        <v>0.25500000000000006</v>
      </c>
      <c r="O63" s="220">
        <v>0</v>
      </c>
      <c r="P63" s="223">
        <f t="shared" si="24"/>
        <v>0.23037190082644629</v>
      </c>
      <c r="Q63" s="223">
        <f t="shared" si="25"/>
        <v>0.76962809917355379</v>
      </c>
      <c r="AD63" s="187"/>
    </row>
    <row r="64" spans="3:30" s="68" customFormat="1" ht="25.05" customHeight="1" x14ac:dyDescent="0.3">
      <c r="C64" s="216"/>
      <c r="D64" s="217" t="s">
        <v>227</v>
      </c>
      <c r="E64" s="218">
        <v>2022</v>
      </c>
      <c r="F64" s="219">
        <v>4.4630366236468983</v>
      </c>
      <c r="G64" s="220">
        <v>0.247</v>
      </c>
      <c r="H64" s="221">
        <v>2.6999999999999913E-2</v>
      </c>
      <c r="I64" s="222">
        <v>0.753</v>
      </c>
      <c r="J64" s="221">
        <v>0.97300000000000009</v>
      </c>
      <c r="K64" s="221">
        <v>0.26300000000000001</v>
      </c>
      <c r="L64" s="221">
        <f t="shared" si="26"/>
        <v>0.71000000000000008</v>
      </c>
      <c r="M64" s="221">
        <f t="shared" si="27"/>
        <v>0.49</v>
      </c>
      <c r="N64" s="221">
        <f t="shared" si="28"/>
        <v>0.28999999999999987</v>
      </c>
      <c r="O64" s="220">
        <v>0</v>
      </c>
      <c r="P64" s="223">
        <f t="shared" si="24"/>
        <v>0.2702980472764645</v>
      </c>
      <c r="Q64" s="223">
        <f t="shared" si="25"/>
        <v>0.72970195272353544</v>
      </c>
      <c r="AD64" s="187"/>
    </row>
    <row r="65" spans="3:30" s="68" customFormat="1" ht="25.05" customHeight="1" x14ac:dyDescent="0.3">
      <c r="C65" s="216"/>
      <c r="D65" s="217" t="s">
        <v>228</v>
      </c>
      <c r="E65" s="218">
        <v>2023</v>
      </c>
      <c r="F65" s="219">
        <v>4.8134584090924522</v>
      </c>
      <c r="G65" s="220">
        <v>0.25600000000000001</v>
      </c>
      <c r="H65" s="221">
        <v>2.7000000000000024E-2</v>
      </c>
      <c r="I65" s="222">
        <v>0.74399999999999999</v>
      </c>
      <c r="J65" s="221">
        <v>0.97299999999999998</v>
      </c>
      <c r="K65" s="221">
        <v>0.246</v>
      </c>
      <c r="L65" s="221">
        <f t="shared" si="26"/>
        <v>0.72699999999999998</v>
      </c>
      <c r="M65" s="221">
        <f t="shared" si="27"/>
        <v>0.498</v>
      </c>
      <c r="N65" s="221">
        <f t="shared" si="28"/>
        <v>0.27299999999999996</v>
      </c>
      <c r="O65" s="220">
        <v>0</v>
      </c>
      <c r="P65" s="223">
        <f t="shared" si="24"/>
        <v>0.25282631038026721</v>
      </c>
      <c r="Q65" s="223">
        <f>L65/J65</f>
        <v>0.74717368961973274</v>
      </c>
      <c r="AD65" s="187"/>
    </row>
    <row r="68" spans="3:30" ht="69" customHeight="1" x14ac:dyDescent="0.35">
      <c r="E68" s="75" t="s">
        <v>158</v>
      </c>
      <c r="F68" s="101" t="s">
        <v>156</v>
      </c>
      <c r="G68" s="75" t="s">
        <v>164</v>
      </c>
      <c r="H68" s="75" t="s">
        <v>165</v>
      </c>
      <c r="I68" s="75" t="s">
        <v>167</v>
      </c>
      <c r="J68" s="75" t="s">
        <v>166</v>
      </c>
      <c r="K68" s="75" t="s">
        <v>187</v>
      </c>
      <c r="L68" s="75" t="s">
        <v>168</v>
      </c>
      <c r="M68" s="75" t="s">
        <v>175</v>
      </c>
      <c r="N68" s="75" t="s">
        <v>176</v>
      </c>
    </row>
    <row r="69" spans="3:30" x14ac:dyDescent="0.35">
      <c r="E69" s="76">
        <v>2010</v>
      </c>
      <c r="F69" s="83">
        <v>3.2042000000000002</v>
      </c>
      <c r="G69" s="82">
        <f t="shared" ref="G69:G82" si="29">F52*G52</f>
        <v>1.8872738</v>
      </c>
      <c r="H69" s="82">
        <f t="shared" ref="H69:H82" si="30">F52*I52</f>
        <v>1.3169261999999999</v>
      </c>
      <c r="I69" s="82">
        <f t="shared" ref="I69:I82" si="31">G69*L52</f>
        <v>1.0210151258000002</v>
      </c>
      <c r="J69" s="82">
        <f t="shared" ref="J69:J82" si="32">H69*K52</f>
        <v>0.37269011459999996</v>
      </c>
      <c r="K69" s="73">
        <f t="shared" ref="K69:K82" si="33">H69*M52</f>
        <v>0.1685665536</v>
      </c>
      <c r="L69" s="73">
        <f>G69-I69</f>
        <v>0.8662586741999998</v>
      </c>
      <c r="M69" s="72">
        <f t="shared" ref="M69:M82" si="34">P52*H69</f>
        <v>0.45229382839805815</v>
      </c>
      <c r="N69" s="72">
        <f t="shared" ref="N69:N82" si="35">G69*Q52</f>
        <v>1.2390960264563109</v>
      </c>
    </row>
    <row r="70" spans="3:30" x14ac:dyDescent="0.35">
      <c r="E70" s="76">
        <v>2011</v>
      </c>
      <c r="F70" s="83">
        <v>3.7105000000000001</v>
      </c>
      <c r="G70" s="82">
        <f t="shared" si="29"/>
        <v>1.9331705000000001</v>
      </c>
      <c r="H70" s="82">
        <f t="shared" si="30"/>
        <v>1.7773295</v>
      </c>
      <c r="I70" s="82">
        <f t="shared" si="31"/>
        <v>1.2697129619072876</v>
      </c>
      <c r="J70" s="82">
        <f t="shared" si="32"/>
        <v>0.50645386781100477</v>
      </c>
      <c r="K70" s="73">
        <f t="shared" si="33"/>
        <v>0.34488696268899521</v>
      </c>
      <c r="L70" s="73">
        <f t="shared" ref="L70:L82" si="36">G70-I70</f>
        <v>0.66345753809271257</v>
      </c>
      <c r="M70" s="72">
        <f t="shared" si="34"/>
        <v>0.53777635270995461</v>
      </c>
      <c r="N70" s="72">
        <f t="shared" si="35"/>
        <v>1.3482404796202794</v>
      </c>
    </row>
    <row r="71" spans="3:30" x14ac:dyDescent="0.35">
      <c r="E71" s="76">
        <v>2012</v>
      </c>
      <c r="F71" s="83">
        <v>4.2168999999999999</v>
      </c>
      <c r="G71" s="82">
        <f t="shared" si="29"/>
        <v>2.1168838000000001</v>
      </c>
      <c r="H71" s="82">
        <f t="shared" si="30"/>
        <v>2.1000161999999998</v>
      </c>
      <c r="I71" s="82">
        <f t="shared" si="31"/>
        <v>1.3992110116713128</v>
      </c>
      <c r="J71" s="82">
        <f t="shared" si="32"/>
        <v>0.59545004798181811</v>
      </c>
      <c r="K71" s="73">
        <f t="shared" si="33"/>
        <v>0.45035801961818178</v>
      </c>
      <c r="L71" s="73">
        <f t="shared" si="36"/>
        <v>0.71767278832868731</v>
      </c>
      <c r="M71" s="72">
        <f t="shared" si="34"/>
        <v>0.63042460407217804</v>
      </c>
      <c r="N71" s="72">
        <f t="shared" si="35"/>
        <v>1.4813955444894913</v>
      </c>
    </row>
    <row r="72" spans="3:30" x14ac:dyDescent="0.35">
      <c r="E72" s="76">
        <v>2013</v>
      </c>
      <c r="F72" s="83">
        <v>4.5907999999999998</v>
      </c>
      <c r="G72" s="82">
        <f t="shared" si="29"/>
        <v>2.3045815999999997</v>
      </c>
      <c r="H72" s="82">
        <f t="shared" si="30"/>
        <v>2.2862184000000001</v>
      </c>
      <c r="I72" s="82">
        <f t="shared" si="31"/>
        <v>1.5309079504177761</v>
      </c>
      <c r="J72" s="82">
        <f t="shared" si="32"/>
        <v>0.64699980719999994</v>
      </c>
      <c r="K72" s="73">
        <f t="shared" si="33"/>
        <v>0.49153695600000008</v>
      </c>
      <c r="L72" s="73">
        <f t="shared" si="36"/>
        <v>0.77367364958222362</v>
      </c>
      <c r="M72" s="72">
        <f t="shared" si="34"/>
        <v>0.68300157933752514</v>
      </c>
      <c r="N72" s="72">
        <f t="shared" si="35"/>
        <v>1.6160940642019324</v>
      </c>
    </row>
    <row r="73" spans="3:30" x14ac:dyDescent="0.35">
      <c r="E73" s="76">
        <v>2014</v>
      </c>
      <c r="F73" s="83">
        <v>4.9647000000000006</v>
      </c>
      <c r="G73" s="82">
        <f t="shared" si="29"/>
        <v>2.1894327000000007</v>
      </c>
      <c r="H73" s="82">
        <f t="shared" si="30"/>
        <v>2.7752672999999999</v>
      </c>
      <c r="I73" s="82">
        <f t="shared" si="31"/>
        <v>1.4566391198863653</v>
      </c>
      <c r="J73" s="82">
        <f t="shared" si="32"/>
        <v>0.79026068337272715</v>
      </c>
      <c r="K73" s="73">
        <f t="shared" si="33"/>
        <v>0.76111373732727272</v>
      </c>
      <c r="L73" s="73">
        <f t="shared" si="36"/>
        <v>0.73279358011363538</v>
      </c>
      <c r="M73" s="72">
        <f t="shared" si="34"/>
        <v>0.83180470736852119</v>
      </c>
      <c r="N73" s="72">
        <f t="shared" si="35"/>
        <v>1.5332146750455857</v>
      </c>
    </row>
    <row r="74" spans="3:30" x14ac:dyDescent="0.35">
      <c r="E74" s="76">
        <v>2015</v>
      </c>
      <c r="F74" s="83">
        <v>5.1417999999999999</v>
      </c>
      <c r="G74" s="82">
        <f t="shared" si="29"/>
        <v>1.953884</v>
      </c>
      <c r="H74" s="82">
        <f t="shared" si="30"/>
        <v>3.187916</v>
      </c>
      <c r="I74" s="82">
        <f t="shared" si="31"/>
        <v>1.2837017880000001</v>
      </c>
      <c r="J74" s="82">
        <f t="shared" si="32"/>
        <v>0.92130772399999994</v>
      </c>
      <c r="K74" s="73">
        <f t="shared" si="33"/>
        <v>1.0552001960000001</v>
      </c>
      <c r="L74" s="73">
        <f t="shared" si="36"/>
        <v>0.67018221199999983</v>
      </c>
      <c r="M74" s="72">
        <f t="shared" si="34"/>
        <v>0.97389822832980977</v>
      </c>
      <c r="N74" s="72">
        <f t="shared" si="35"/>
        <v>1.3569786342494716</v>
      </c>
    </row>
    <row r="75" spans="3:30" x14ac:dyDescent="0.35">
      <c r="E75" s="76">
        <v>2016</v>
      </c>
      <c r="F75" s="83">
        <v>5.3186</v>
      </c>
      <c r="G75" s="82">
        <f t="shared" si="29"/>
        <v>1.9519261999999999</v>
      </c>
      <c r="H75" s="82">
        <f t="shared" si="30"/>
        <v>3.3666738</v>
      </c>
      <c r="I75" s="82">
        <f t="shared" si="31"/>
        <v>1.3019347754000001</v>
      </c>
      <c r="J75" s="82">
        <f t="shared" si="32"/>
        <v>0.9830687495999999</v>
      </c>
      <c r="K75" s="73">
        <f t="shared" si="33"/>
        <v>1.1480357658</v>
      </c>
      <c r="L75" s="73">
        <f t="shared" si="36"/>
        <v>0.64999142459999981</v>
      </c>
      <c r="M75" s="72">
        <f t="shared" si="34"/>
        <v>1.0250977576642335</v>
      </c>
      <c r="N75" s="72">
        <f t="shared" si="35"/>
        <v>1.3575962204379561</v>
      </c>
    </row>
    <row r="76" spans="3:30" x14ac:dyDescent="0.35">
      <c r="E76" s="76">
        <v>2017</v>
      </c>
      <c r="F76" s="83">
        <v>5.3310999999999993</v>
      </c>
      <c r="G76" s="82">
        <f t="shared" si="29"/>
        <v>1.3967481999999998</v>
      </c>
      <c r="H76" s="82">
        <f t="shared" si="30"/>
        <v>3.9343517999999995</v>
      </c>
      <c r="I76" s="82">
        <f t="shared" si="31"/>
        <v>1.0210229341999999</v>
      </c>
      <c r="J76" s="82">
        <f t="shared" si="32"/>
        <v>0.91670396939999998</v>
      </c>
      <c r="K76" s="73">
        <f t="shared" si="33"/>
        <v>1.9868476589999997</v>
      </c>
      <c r="L76" s="73">
        <f t="shared" si="36"/>
        <v>0.37572526579999987</v>
      </c>
      <c r="M76" s="72">
        <f t="shared" si="34"/>
        <v>0.95093772759336104</v>
      </c>
      <c r="N76" s="72">
        <f t="shared" si="35"/>
        <v>1.0591524213692944</v>
      </c>
    </row>
    <row r="77" spans="3:30" x14ac:dyDescent="0.35">
      <c r="E77" s="76">
        <v>2018</v>
      </c>
      <c r="F77" s="83">
        <v>4.0447617408000003</v>
      </c>
      <c r="G77" s="82">
        <f t="shared" si="29"/>
        <v>1.3549951831680001</v>
      </c>
      <c r="H77" s="82">
        <f t="shared" si="30"/>
        <v>2.6897665576320002</v>
      </c>
      <c r="I77" s="82">
        <f t="shared" si="31"/>
        <v>0.93088169083641592</v>
      </c>
      <c r="J77" s="82">
        <f t="shared" si="32"/>
        <v>0.73430627023353612</v>
      </c>
      <c r="K77" s="73">
        <f t="shared" si="33"/>
        <v>1.0543884905917442</v>
      </c>
      <c r="L77" s="73">
        <f t="shared" si="36"/>
        <v>0.42411349233158413</v>
      </c>
      <c r="M77" s="72">
        <f t="shared" si="34"/>
        <v>0.76490236482660023</v>
      </c>
      <c r="N77" s="72">
        <f t="shared" si="35"/>
        <v>0.96966842795459995</v>
      </c>
    </row>
    <row r="78" spans="3:30" x14ac:dyDescent="0.35">
      <c r="E78" s="76">
        <v>2019</v>
      </c>
      <c r="F78" s="77">
        <v>4.0075541908799996</v>
      </c>
      <c r="G78" s="82">
        <f t="shared" si="29"/>
        <v>1.19825870307312</v>
      </c>
      <c r="H78" s="82">
        <f t="shared" si="30"/>
        <v>2.8092954878068794</v>
      </c>
      <c r="I78" s="82">
        <f t="shared" si="31"/>
        <v>0.89150447508640129</v>
      </c>
      <c r="J78" s="82">
        <f t="shared" si="32"/>
        <v>0.61804500731751344</v>
      </c>
      <c r="K78" s="73">
        <f t="shared" si="33"/>
        <v>1.351271129635109</v>
      </c>
      <c r="L78" s="73">
        <f t="shared" si="36"/>
        <v>0.3067542279867187</v>
      </c>
      <c r="M78" s="72">
        <f t="shared" si="34"/>
        <v>0.6411255262629808</v>
      </c>
      <c r="N78" s="72">
        <f t="shared" si="35"/>
        <v>0.92479717332614242</v>
      </c>
    </row>
    <row r="79" spans="3:30" x14ac:dyDescent="0.35">
      <c r="E79" s="76">
        <v>2020</v>
      </c>
      <c r="F79" s="77">
        <v>4.0575661959599998</v>
      </c>
      <c r="G79" s="82">
        <f t="shared" si="29"/>
        <v>1.06308234334152</v>
      </c>
      <c r="H79" s="82">
        <f t="shared" si="30"/>
        <v>2.9944838526184796</v>
      </c>
      <c r="I79" s="82">
        <f t="shared" si="31"/>
        <v>0.79093326344609083</v>
      </c>
      <c r="J79" s="82">
        <f t="shared" si="32"/>
        <v>0.6707643829865394</v>
      </c>
      <c r="K79" s="73">
        <f t="shared" si="33"/>
        <v>1.5391647002458986</v>
      </c>
      <c r="L79" s="73">
        <f t="shared" si="36"/>
        <v>0.27214907989542914</v>
      </c>
      <c r="M79" s="72">
        <f t="shared" si="34"/>
        <v>0.69293841217617713</v>
      </c>
      <c r="N79" s="72">
        <f t="shared" si="35"/>
        <v>0.81707981760959802</v>
      </c>
    </row>
    <row r="80" spans="3:30" x14ac:dyDescent="0.35">
      <c r="E80" s="76">
        <v>2021</v>
      </c>
      <c r="F80" s="77">
        <v>4.1197163661599996</v>
      </c>
      <c r="G80" s="82">
        <f t="shared" si="29"/>
        <v>1.06288682246928</v>
      </c>
      <c r="H80" s="82">
        <f t="shared" si="30"/>
        <v>3.0568295436907196</v>
      </c>
      <c r="I80" s="82">
        <f t="shared" si="31"/>
        <v>0.79185068273961356</v>
      </c>
      <c r="J80" s="82">
        <f t="shared" si="32"/>
        <v>0.68167298824303046</v>
      </c>
      <c r="K80" s="73">
        <f t="shared" si="33"/>
        <v>1.5864945331754836</v>
      </c>
      <c r="L80" s="73">
        <f t="shared" si="36"/>
        <v>0.27103613972966645</v>
      </c>
      <c r="M80" s="72">
        <f t="shared" si="34"/>
        <v>0.70420763248246954</v>
      </c>
      <c r="N80" s="72">
        <f t="shared" si="35"/>
        <v>0.81802756481365047</v>
      </c>
    </row>
    <row r="81" spans="5:14" x14ac:dyDescent="0.35">
      <c r="E81" s="76">
        <v>2022</v>
      </c>
      <c r="F81" s="77">
        <v>4.4630366236468983</v>
      </c>
      <c r="G81" s="82">
        <f t="shared" si="29"/>
        <v>1.1023700460407839</v>
      </c>
      <c r="H81" s="82">
        <f t="shared" si="30"/>
        <v>3.3606665776061146</v>
      </c>
      <c r="I81" s="82">
        <f t="shared" si="31"/>
        <v>0.78268273268895672</v>
      </c>
      <c r="J81" s="82">
        <f t="shared" si="32"/>
        <v>0.88385530991040817</v>
      </c>
      <c r="K81" s="73">
        <f t="shared" si="33"/>
        <v>1.6467266230269961</v>
      </c>
      <c r="L81" s="73">
        <f t="shared" si="36"/>
        <v>0.31968731335182721</v>
      </c>
      <c r="M81" s="72">
        <f t="shared" si="34"/>
        <v>0.90838161347421176</v>
      </c>
      <c r="N81" s="72">
        <f t="shared" si="35"/>
        <v>0.80440157521989375</v>
      </c>
    </row>
    <row r="82" spans="5:14" x14ac:dyDescent="0.35">
      <c r="E82" s="76">
        <v>2023</v>
      </c>
      <c r="F82" s="77">
        <v>4.8134584090924522</v>
      </c>
      <c r="G82" s="82">
        <f t="shared" si="29"/>
        <v>1.2322453527276678</v>
      </c>
      <c r="H82" s="82">
        <f t="shared" si="30"/>
        <v>3.5812130563647844</v>
      </c>
      <c r="I82" s="82">
        <f t="shared" si="31"/>
        <v>0.89584237143301448</v>
      </c>
      <c r="J82" s="82">
        <f t="shared" si="32"/>
        <v>0.880978411865737</v>
      </c>
      <c r="K82" s="73">
        <f t="shared" si="33"/>
        <v>1.7834441020696625</v>
      </c>
      <c r="L82" s="73">
        <f t="shared" si="36"/>
        <v>0.33640298129465329</v>
      </c>
      <c r="M82" s="72">
        <f t="shared" si="34"/>
        <v>0.90542488372634833</v>
      </c>
      <c r="N82" s="72">
        <f t="shared" si="35"/>
        <v>0.9207013067143005</v>
      </c>
    </row>
  </sheetData>
  <phoneticPr fontId="7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E3215-DCE5-4173-A2C3-426760CF6816}">
  <dimension ref="B1:BN84"/>
  <sheetViews>
    <sheetView topLeftCell="E1" zoomScale="55" zoomScaleNormal="55" workbookViewId="0">
      <pane ySplit="1" topLeftCell="A2" activePane="bottomLeft" state="frozen"/>
      <selection pane="bottomLeft" activeCell="O35" sqref="O35"/>
    </sheetView>
  </sheetViews>
  <sheetFormatPr baseColWidth="10" defaultColWidth="11.44140625" defaultRowHeight="14.4" x14ac:dyDescent="0.3"/>
  <cols>
    <col min="3" max="3" width="33.33203125" customWidth="1"/>
    <col min="4" max="4" width="70.77734375" customWidth="1"/>
    <col min="5" max="5" width="13" customWidth="1"/>
    <col min="6" max="6" width="13" style="94" customWidth="1"/>
    <col min="7" max="12" width="13" customWidth="1"/>
    <col min="16" max="16" width="13.21875" bestFit="1" customWidth="1"/>
    <col min="19" max="19" width="19.6640625" bestFit="1" customWidth="1"/>
    <col min="20" max="20" width="25.109375" customWidth="1"/>
    <col min="21" max="22" width="13.33203125" bestFit="1" customWidth="1"/>
  </cols>
  <sheetData>
    <row r="1" spans="2:66" ht="20.399999999999999" thickBot="1" x14ac:dyDescent="0.35">
      <c r="B1" s="1"/>
      <c r="C1" s="2"/>
      <c r="D1" s="2" t="s">
        <v>12</v>
      </c>
      <c r="E1" s="70">
        <v>2010</v>
      </c>
      <c r="F1" s="70">
        <v>2011</v>
      </c>
      <c r="G1" s="70">
        <v>2012</v>
      </c>
      <c r="H1" s="70">
        <v>2013</v>
      </c>
      <c r="I1" s="70">
        <v>2014</v>
      </c>
      <c r="J1" s="70">
        <v>2015</v>
      </c>
      <c r="K1" s="70">
        <v>2016</v>
      </c>
      <c r="L1" s="70">
        <v>2017</v>
      </c>
      <c r="M1" s="70">
        <v>2018</v>
      </c>
      <c r="N1" s="70">
        <v>2019</v>
      </c>
      <c r="O1" s="70">
        <v>2020</v>
      </c>
      <c r="P1" s="70">
        <v>2021</v>
      </c>
      <c r="Q1" s="70">
        <v>2022</v>
      </c>
      <c r="R1" s="70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3">
        <v>2036</v>
      </c>
      <c r="AF1" s="3">
        <v>2037</v>
      </c>
      <c r="AG1" s="3">
        <v>2038</v>
      </c>
      <c r="AH1" s="3">
        <v>2039</v>
      </c>
      <c r="AI1" s="3">
        <v>2040</v>
      </c>
      <c r="AJ1" s="3">
        <v>2041</v>
      </c>
      <c r="AK1" s="3">
        <v>2042</v>
      </c>
      <c r="AL1" s="3">
        <v>2043</v>
      </c>
      <c r="AM1" s="3">
        <v>2044</v>
      </c>
      <c r="AN1" s="3">
        <v>2045</v>
      </c>
      <c r="AO1" s="3">
        <v>2046</v>
      </c>
      <c r="AP1" s="3">
        <v>2047</v>
      </c>
      <c r="AQ1" s="3">
        <v>2048</v>
      </c>
      <c r="AR1" s="3">
        <v>2049</v>
      </c>
      <c r="AS1" s="3">
        <v>2050</v>
      </c>
      <c r="AT1" s="3">
        <v>2051</v>
      </c>
      <c r="AU1" s="3">
        <v>2052</v>
      </c>
      <c r="AV1" s="3">
        <v>2053</v>
      </c>
      <c r="AW1" s="3">
        <v>2054</v>
      </c>
      <c r="AX1" s="3">
        <v>2055</v>
      </c>
      <c r="AY1" s="3">
        <v>2056</v>
      </c>
      <c r="AZ1" s="3">
        <v>2057</v>
      </c>
      <c r="BA1" s="3">
        <v>2058</v>
      </c>
      <c r="BB1" s="3">
        <v>2059</v>
      </c>
      <c r="BC1" s="3">
        <v>2060</v>
      </c>
      <c r="BD1" s="3">
        <v>2061</v>
      </c>
      <c r="BE1" s="3">
        <v>2062</v>
      </c>
      <c r="BF1" s="3">
        <v>2063</v>
      </c>
      <c r="BG1" s="3">
        <v>2064</v>
      </c>
      <c r="BH1" s="3">
        <v>2065</v>
      </c>
      <c r="BI1" s="3">
        <v>2066</v>
      </c>
      <c r="BJ1" s="3">
        <v>2067</v>
      </c>
      <c r="BK1" s="3">
        <v>2068</v>
      </c>
      <c r="BL1" s="3">
        <v>2069</v>
      </c>
      <c r="BM1" s="3">
        <v>2070</v>
      </c>
      <c r="BN1" s="4"/>
    </row>
    <row r="2" spans="2:66" ht="15" thickBot="1" x14ac:dyDescent="0.35"/>
    <row r="3" spans="2:66" x14ac:dyDescent="0.3">
      <c r="B3" s="9"/>
      <c r="C3" s="10"/>
      <c r="D3" s="10"/>
      <c r="E3" s="10"/>
      <c r="F3" s="95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1"/>
    </row>
    <row r="4" spans="2:66" x14ac:dyDescent="0.3">
      <c r="B4" s="12"/>
      <c r="C4" s="14"/>
      <c r="D4" s="13" t="s">
        <v>82</v>
      </c>
      <c r="E4" s="13"/>
      <c r="F4" s="96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5"/>
    </row>
    <row r="5" spans="2:66" x14ac:dyDescent="0.3">
      <c r="B5" s="12"/>
      <c r="C5" s="14"/>
      <c r="D5" s="13"/>
      <c r="E5" s="13"/>
      <c r="F5" s="96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5"/>
    </row>
    <row r="6" spans="2:66" x14ac:dyDescent="0.3">
      <c r="B6" s="12"/>
      <c r="C6" s="13" t="s">
        <v>74</v>
      </c>
      <c r="D6" s="24" t="s">
        <v>117</v>
      </c>
      <c r="E6" s="24"/>
      <c r="F6" s="97"/>
      <c r="G6" s="24"/>
      <c r="H6" s="24"/>
      <c r="I6" s="24"/>
      <c r="J6" s="24"/>
      <c r="K6" s="24"/>
      <c r="L6" s="2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5"/>
    </row>
    <row r="7" spans="2:66" x14ac:dyDescent="0.3">
      <c r="B7" s="12"/>
      <c r="C7" s="14"/>
      <c r="D7" s="14"/>
      <c r="E7" s="14"/>
      <c r="F7" s="32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5"/>
    </row>
    <row r="8" spans="2:66" x14ac:dyDescent="0.3">
      <c r="B8" s="12"/>
      <c r="C8" s="14"/>
      <c r="D8" s="13" t="s">
        <v>36</v>
      </c>
      <c r="E8" s="13"/>
      <c r="F8" s="96"/>
      <c r="G8" s="13"/>
      <c r="H8" s="13"/>
      <c r="I8" s="13"/>
      <c r="J8" s="13"/>
      <c r="K8" s="13"/>
      <c r="L8" s="1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5"/>
    </row>
    <row r="9" spans="2:66" x14ac:dyDescent="0.3">
      <c r="B9" s="12"/>
      <c r="C9" s="14" t="s">
        <v>91</v>
      </c>
      <c r="D9" s="14" t="s">
        <v>161</v>
      </c>
      <c r="E9" s="84">
        <v>0.58899999999999997</v>
      </c>
      <c r="F9" s="84">
        <v>0.52100000000000002</v>
      </c>
      <c r="G9" s="84">
        <v>0.502</v>
      </c>
      <c r="H9" s="84">
        <v>0.502</v>
      </c>
      <c r="I9" s="84">
        <v>0.44100000000000006</v>
      </c>
      <c r="J9" s="84">
        <v>0.38</v>
      </c>
      <c r="K9" s="84">
        <v>0.36699999999999999</v>
      </c>
      <c r="L9" s="84">
        <v>0.26200000000000001</v>
      </c>
      <c r="M9" s="84">
        <v>0.33499999999999996</v>
      </c>
      <c r="N9" s="84">
        <v>0.29900000000000004</v>
      </c>
      <c r="O9" s="84">
        <v>0.26200000000000001</v>
      </c>
      <c r="P9" s="84">
        <v>0.25800000000000001</v>
      </c>
      <c r="Q9" s="84">
        <v>0.247</v>
      </c>
      <c r="R9" s="84">
        <v>0.25600000000000001</v>
      </c>
      <c r="S9" s="29">
        <v>0.25600000000000001</v>
      </c>
      <c r="T9" s="29">
        <v>0.25600000000000001</v>
      </c>
      <c r="U9" s="29">
        <v>0.25600000000000001</v>
      </c>
      <c r="V9" s="29">
        <v>0.25600000000000001</v>
      </c>
      <c r="W9" s="29">
        <v>0.25600000000000001</v>
      </c>
      <c r="X9" s="29">
        <v>0.25600000000000001</v>
      </c>
      <c r="Y9" s="29">
        <v>0.25600000000000001</v>
      </c>
      <c r="Z9" s="29">
        <v>0.25600000000000001</v>
      </c>
      <c r="AA9" s="29">
        <v>0.25600000000000001</v>
      </c>
      <c r="AB9" s="29">
        <v>0.25600000000000001</v>
      </c>
      <c r="AC9" s="29">
        <v>0.25600000000000001</v>
      </c>
      <c r="AD9" s="29">
        <v>0.25600000000000001</v>
      </c>
      <c r="AE9" s="29">
        <v>0.25600000000000001</v>
      </c>
      <c r="AF9" s="29">
        <v>0.25600000000000001</v>
      </c>
      <c r="AG9" s="29">
        <v>0.25600000000000001</v>
      </c>
      <c r="AH9" s="29">
        <v>0.25600000000000001</v>
      </c>
      <c r="AI9" s="29">
        <v>0.25600000000000001</v>
      </c>
      <c r="AJ9" s="29">
        <v>0.25600000000000001</v>
      </c>
      <c r="AK9" s="29">
        <v>0.25600000000000001</v>
      </c>
      <c r="AL9" s="29">
        <v>0.25600000000000001</v>
      </c>
      <c r="AM9" s="29">
        <v>0.25600000000000001</v>
      </c>
      <c r="AN9" s="29">
        <v>0.25600000000000001</v>
      </c>
      <c r="AO9" s="29">
        <v>0.25600000000000001</v>
      </c>
      <c r="AP9" s="29">
        <v>0.25600000000000001</v>
      </c>
      <c r="AQ9" s="29">
        <v>0.25600000000000001</v>
      </c>
      <c r="AR9" s="29">
        <v>0.25600000000000001</v>
      </c>
      <c r="AS9" s="29">
        <v>0.25600000000000001</v>
      </c>
      <c r="AT9" s="29">
        <v>0.25600000000000001</v>
      </c>
      <c r="AU9" s="29">
        <v>0.25600000000000001</v>
      </c>
      <c r="AV9" s="29">
        <v>0.25600000000000001</v>
      </c>
      <c r="AW9" s="29">
        <v>0.25600000000000001</v>
      </c>
      <c r="AX9" s="29">
        <v>0.25600000000000001</v>
      </c>
      <c r="AY9" s="29">
        <v>0.25600000000000001</v>
      </c>
      <c r="AZ9" s="29">
        <v>0.25600000000000001</v>
      </c>
      <c r="BA9" s="29">
        <v>0.25600000000000001</v>
      </c>
      <c r="BB9" s="29">
        <v>0.25600000000000001</v>
      </c>
      <c r="BC9" s="29">
        <v>0.25600000000000001</v>
      </c>
      <c r="BD9" s="29">
        <v>0.25600000000000001</v>
      </c>
      <c r="BE9" s="29">
        <v>0.25600000000000001</v>
      </c>
      <c r="BF9" s="29">
        <v>0.25600000000000001</v>
      </c>
      <c r="BG9" s="29">
        <v>0.25600000000000001</v>
      </c>
      <c r="BH9" s="29">
        <v>0.25600000000000001</v>
      </c>
      <c r="BI9" s="29">
        <v>0.25600000000000001</v>
      </c>
      <c r="BJ9" s="29">
        <v>0.25600000000000001</v>
      </c>
      <c r="BK9" s="29">
        <v>0.25600000000000001</v>
      </c>
      <c r="BL9" s="29">
        <v>0.25600000000000001</v>
      </c>
      <c r="BM9" s="29">
        <v>0.25600000000000001</v>
      </c>
      <c r="BN9" s="15"/>
    </row>
    <row r="10" spans="2:66" x14ac:dyDescent="0.3">
      <c r="B10" s="12"/>
      <c r="C10" s="14" t="s">
        <v>173</v>
      </c>
      <c r="D10" s="14" t="s">
        <v>162</v>
      </c>
      <c r="E10" s="84">
        <v>0.41099999999999998</v>
      </c>
      <c r="F10" s="84">
        <v>0.47899999999999998</v>
      </c>
      <c r="G10" s="84">
        <v>0.498</v>
      </c>
      <c r="H10" s="84">
        <v>0.498</v>
      </c>
      <c r="I10" s="84">
        <f>H10+(((2014-2013)*(J10-H10))/(2015-2013))</f>
        <v>0.55899999999999994</v>
      </c>
      <c r="J10" s="84">
        <v>0.62</v>
      </c>
      <c r="K10" s="84">
        <v>0.63300000000000001</v>
      </c>
      <c r="L10" s="84">
        <v>0.73799999999999999</v>
      </c>
      <c r="M10" s="84">
        <v>0.66500000000000004</v>
      </c>
      <c r="N10" s="84">
        <v>0.70099999999999996</v>
      </c>
      <c r="O10" s="84">
        <v>0.73799999999999999</v>
      </c>
      <c r="P10" s="84">
        <v>0.74199999999999999</v>
      </c>
      <c r="Q10" s="84">
        <v>0.753</v>
      </c>
      <c r="R10" s="84">
        <v>0.74399999999999999</v>
      </c>
      <c r="S10" s="29">
        <v>0.74399999999999999</v>
      </c>
      <c r="T10" s="29">
        <v>0.74399999999999999</v>
      </c>
      <c r="U10" s="29">
        <v>0.74399999999999999</v>
      </c>
      <c r="V10" s="29">
        <v>0.74399999999999999</v>
      </c>
      <c r="W10" s="29">
        <v>0.74399999999999999</v>
      </c>
      <c r="X10" s="29">
        <v>0.74399999999999999</v>
      </c>
      <c r="Y10" s="29">
        <v>0.74399999999999999</v>
      </c>
      <c r="Z10" s="29">
        <v>0.74399999999999999</v>
      </c>
      <c r="AA10" s="29">
        <v>0.74399999999999999</v>
      </c>
      <c r="AB10" s="29">
        <v>0.74399999999999999</v>
      </c>
      <c r="AC10" s="29">
        <v>0.74399999999999999</v>
      </c>
      <c r="AD10" s="29">
        <v>0.74399999999999999</v>
      </c>
      <c r="AE10" s="29">
        <v>0.74399999999999999</v>
      </c>
      <c r="AF10" s="29">
        <v>0.74399999999999999</v>
      </c>
      <c r="AG10" s="29">
        <v>0.74399999999999999</v>
      </c>
      <c r="AH10" s="29">
        <v>0.74399999999999999</v>
      </c>
      <c r="AI10" s="29">
        <v>0.74399999999999999</v>
      </c>
      <c r="AJ10" s="29">
        <v>0.74399999999999999</v>
      </c>
      <c r="AK10" s="29">
        <v>0.74399999999999999</v>
      </c>
      <c r="AL10" s="29">
        <v>0.74399999999999999</v>
      </c>
      <c r="AM10" s="29">
        <v>0.74399999999999999</v>
      </c>
      <c r="AN10" s="29">
        <v>0.74399999999999999</v>
      </c>
      <c r="AO10" s="29">
        <v>0.74399999999999999</v>
      </c>
      <c r="AP10" s="29">
        <v>0.74399999999999999</v>
      </c>
      <c r="AQ10" s="29">
        <v>0.74399999999999999</v>
      </c>
      <c r="AR10" s="29">
        <v>0.74399999999999999</v>
      </c>
      <c r="AS10" s="29">
        <v>0.74399999999999999</v>
      </c>
      <c r="AT10" s="29">
        <v>0.74399999999999999</v>
      </c>
      <c r="AU10" s="29">
        <v>0.74399999999999999</v>
      </c>
      <c r="AV10" s="29">
        <v>0.74399999999999999</v>
      </c>
      <c r="AW10" s="29">
        <v>0.74399999999999999</v>
      </c>
      <c r="AX10" s="29">
        <v>0.74399999999999999</v>
      </c>
      <c r="AY10" s="29">
        <v>0.74399999999999999</v>
      </c>
      <c r="AZ10" s="29">
        <v>0.74399999999999999</v>
      </c>
      <c r="BA10" s="29">
        <v>0.74399999999999999</v>
      </c>
      <c r="BB10" s="29">
        <v>0.74399999999999999</v>
      </c>
      <c r="BC10" s="29">
        <v>0.74399999999999999</v>
      </c>
      <c r="BD10" s="29">
        <v>0.74399999999999999</v>
      </c>
      <c r="BE10" s="29">
        <v>0.74399999999999999</v>
      </c>
      <c r="BF10" s="29">
        <v>0.74399999999999999</v>
      </c>
      <c r="BG10" s="29">
        <v>0.74399999999999999</v>
      </c>
      <c r="BH10" s="29">
        <v>0.74399999999999999</v>
      </c>
      <c r="BI10" s="29">
        <v>0.74399999999999999</v>
      </c>
      <c r="BJ10" s="29">
        <v>0.74399999999999999</v>
      </c>
      <c r="BK10" s="29">
        <v>0.74399999999999999</v>
      </c>
      <c r="BL10" s="29">
        <v>0.74399999999999999</v>
      </c>
      <c r="BM10" s="29">
        <v>0.74399999999999999</v>
      </c>
      <c r="BN10" s="15"/>
    </row>
    <row r="11" spans="2:66" x14ac:dyDescent="0.3">
      <c r="B11" s="12"/>
      <c r="C11" s="14" t="s">
        <v>77</v>
      </c>
      <c r="D11" s="14" t="s">
        <v>44</v>
      </c>
      <c r="E11" s="85">
        <v>0</v>
      </c>
      <c r="F11" s="85">
        <v>0</v>
      </c>
      <c r="G11" s="85">
        <v>0</v>
      </c>
      <c r="H11" s="85">
        <v>0</v>
      </c>
      <c r="I11" s="85">
        <v>0</v>
      </c>
      <c r="J11" s="85">
        <v>0</v>
      </c>
      <c r="K11" s="85">
        <v>0</v>
      </c>
      <c r="L11" s="85">
        <v>0</v>
      </c>
      <c r="M11" s="85">
        <v>0</v>
      </c>
      <c r="N11" s="85">
        <v>0</v>
      </c>
      <c r="O11" s="85">
        <v>0</v>
      </c>
      <c r="P11" s="85">
        <v>0</v>
      </c>
      <c r="Q11" s="84">
        <f t="shared" ref="Q11:AV11" si="0">P11</f>
        <v>0</v>
      </c>
      <c r="R11" s="84">
        <f t="shared" si="0"/>
        <v>0</v>
      </c>
      <c r="S11" s="29">
        <f t="shared" si="0"/>
        <v>0</v>
      </c>
      <c r="T11" s="29">
        <f t="shared" si="0"/>
        <v>0</v>
      </c>
      <c r="U11" s="29">
        <f t="shared" si="0"/>
        <v>0</v>
      </c>
      <c r="V11" s="29">
        <f t="shared" si="0"/>
        <v>0</v>
      </c>
      <c r="W11" s="29">
        <f t="shared" si="0"/>
        <v>0</v>
      </c>
      <c r="X11" s="29">
        <f t="shared" si="0"/>
        <v>0</v>
      </c>
      <c r="Y11" s="92">
        <f t="shared" si="0"/>
        <v>0</v>
      </c>
      <c r="Z11" s="29">
        <f t="shared" si="0"/>
        <v>0</v>
      </c>
      <c r="AA11" s="29">
        <f t="shared" si="0"/>
        <v>0</v>
      </c>
      <c r="AB11" s="29">
        <f t="shared" si="0"/>
        <v>0</v>
      </c>
      <c r="AC11" s="29">
        <f t="shared" si="0"/>
        <v>0</v>
      </c>
      <c r="AD11" s="29">
        <f t="shared" si="0"/>
        <v>0</v>
      </c>
      <c r="AE11" s="29">
        <f t="shared" si="0"/>
        <v>0</v>
      </c>
      <c r="AF11" s="29">
        <f t="shared" si="0"/>
        <v>0</v>
      </c>
      <c r="AG11" s="29">
        <f t="shared" si="0"/>
        <v>0</v>
      </c>
      <c r="AH11" s="29">
        <f t="shared" si="0"/>
        <v>0</v>
      </c>
      <c r="AI11" s="29">
        <f t="shared" si="0"/>
        <v>0</v>
      </c>
      <c r="AJ11" s="29">
        <f t="shared" si="0"/>
        <v>0</v>
      </c>
      <c r="AK11" s="29">
        <f t="shared" si="0"/>
        <v>0</v>
      </c>
      <c r="AL11" s="29">
        <f t="shared" si="0"/>
        <v>0</v>
      </c>
      <c r="AM11" s="29">
        <f t="shared" si="0"/>
        <v>0</v>
      </c>
      <c r="AN11" s="29">
        <f t="shared" si="0"/>
        <v>0</v>
      </c>
      <c r="AO11" s="29">
        <f t="shared" si="0"/>
        <v>0</v>
      </c>
      <c r="AP11" s="29">
        <f t="shared" si="0"/>
        <v>0</v>
      </c>
      <c r="AQ11" s="29">
        <f t="shared" si="0"/>
        <v>0</v>
      </c>
      <c r="AR11" s="29">
        <f t="shared" si="0"/>
        <v>0</v>
      </c>
      <c r="AS11" s="92">
        <f t="shared" si="0"/>
        <v>0</v>
      </c>
      <c r="AT11" s="29">
        <f t="shared" si="0"/>
        <v>0</v>
      </c>
      <c r="AU11" s="29">
        <f t="shared" si="0"/>
        <v>0</v>
      </c>
      <c r="AV11" s="29">
        <f t="shared" si="0"/>
        <v>0</v>
      </c>
      <c r="AW11" s="29">
        <f t="shared" ref="AW11:BM11" si="1">AV11</f>
        <v>0</v>
      </c>
      <c r="AX11" s="29">
        <f t="shared" si="1"/>
        <v>0</v>
      </c>
      <c r="AY11" s="29">
        <f t="shared" si="1"/>
        <v>0</v>
      </c>
      <c r="AZ11" s="29">
        <f t="shared" si="1"/>
        <v>0</v>
      </c>
      <c r="BA11" s="29">
        <f t="shared" si="1"/>
        <v>0</v>
      </c>
      <c r="BB11" s="29">
        <f t="shared" si="1"/>
        <v>0</v>
      </c>
      <c r="BC11" s="29">
        <f t="shared" si="1"/>
        <v>0</v>
      </c>
      <c r="BD11" s="29">
        <f t="shared" si="1"/>
        <v>0</v>
      </c>
      <c r="BE11" s="29">
        <f t="shared" si="1"/>
        <v>0</v>
      </c>
      <c r="BF11" s="29">
        <f t="shared" si="1"/>
        <v>0</v>
      </c>
      <c r="BG11" s="29">
        <f t="shared" si="1"/>
        <v>0</v>
      </c>
      <c r="BH11" s="29">
        <f t="shared" si="1"/>
        <v>0</v>
      </c>
      <c r="BI11" s="29">
        <f t="shared" si="1"/>
        <v>0</v>
      </c>
      <c r="BJ11" s="29">
        <f t="shared" si="1"/>
        <v>0</v>
      </c>
      <c r="BK11" s="29">
        <f t="shared" si="1"/>
        <v>0</v>
      </c>
      <c r="BL11" s="29">
        <f t="shared" si="1"/>
        <v>0</v>
      </c>
      <c r="BM11" s="92">
        <f t="shared" si="1"/>
        <v>0</v>
      </c>
      <c r="BN11" s="15"/>
    </row>
    <row r="12" spans="2:66" x14ac:dyDescent="0.3">
      <c r="B12" s="12"/>
      <c r="C12" s="14"/>
      <c r="D12" s="13" t="s">
        <v>40</v>
      </c>
      <c r="E12" s="47">
        <f t="shared" ref="E12:L12" si="2">SUM(E9:E11)</f>
        <v>1</v>
      </c>
      <c r="F12" s="47">
        <f t="shared" si="2"/>
        <v>1</v>
      </c>
      <c r="G12" s="47">
        <f t="shared" si="2"/>
        <v>1</v>
      </c>
      <c r="H12" s="47">
        <f t="shared" si="2"/>
        <v>1</v>
      </c>
      <c r="I12" s="47">
        <f t="shared" si="2"/>
        <v>1</v>
      </c>
      <c r="J12" s="47">
        <f t="shared" si="2"/>
        <v>1</v>
      </c>
      <c r="K12" s="47">
        <f t="shared" si="2"/>
        <v>1</v>
      </c>
      <c r="L12" s="47">
        <f t="shared" si="2"/>
        <v>1</v>
      </c>
      <c r="M12" s="47">
        <f>SUM(M9:M11)</f>
        <v>1</v>
      </c>
      <c r="N12" s="47">
        <f t="shared" ref="N12:BM12" si="3">SUM(N9:N11)</f>
        <v>1</v>
      </c>
      <c r="O12" s="47">
        <f t="shared" si="3"/>
        <v>1</v>
      </c>
      <c r="P12" s="47">
        <f t="shared" si="3"/>
        <v>1</v>
      </c>
      <c r="Q12" s="47">
        <f t="shared" si="3"/>
        <v>1</v>
      </c>
      <c r="R12" s="47">
        <f t="shared" si="3"/>
        <v>1</v>
      </c>
      <c r="S12" s="47">
        <f t="shared" si="3"/>
        <v>1</v>
      </c>
      <c r="T12" s="47">
        <f t="shared" si="3"/>
        <v>1</v>
      </c>
      <c r="U12" s="47">
        <f t="shared" si="3"/>
        <v>1</v>
      </c>
      <c r="V12" s="47">
        <f t="shared" si="3"/>
        <v>1</v>
      </c>
      <c r="W12" s="47">
        <f t="shared" si="3"/>
        <v>1</v>
      </c>
      <c r="X12" s="47">
        <f t="shared" si="3"/>
        <v>1</v>
      </c>
      <c r="Y12" s="47">
        <f t="shared" si="3"/>
        <v>1</v>
      </c>
      <c r="Z12" s="47">
        <f t="shared" si="3"/>
        <v>1</v>
      </c>
      <c r="AA12" s="47">
        <f t="shared" si="3"/>
        <v>1</v>
      </c>
      <c r="AB12" s="47">
        <f t="shared" si="3"/>
        <v>1</v>
      </c>
      <c r="AC12" s="47">
        <f t="shared" si="3"/>
        <v>1</v>
      </c>
      <c r="AD12" s="47">
        <f t="shared" si="3"/>
        <v>1</v>
      </c>
      <c r="AE12" s="47">
        <f t="shared" si="3"/>
        <v>1</v>
      </c>
      <c r="AF12" s="47">
        <f t="shared" si="3"/>
        <v>1</v>
      </c>
      <c r="AG12" s="47">
        <f t="shared" si="3"/>
        <v>1</v>
      </c>
      <c r="AH12" s="47">
        <f t="shared" si="3"/>
        <v>1</v>
      </c>
      <c r="AI12" s="47">
        <f t="shared" si="3"/>
        <v>1</v>
      </c>
      <c r="AJ12" s="47">
        <f t="shared" si="3"/>
        <v>1</v>
      </c>
      <c r="AK12" s="47">
        <f t="shared" si="3"/>
        <v>1</v>
      </c>
      <c r="AL12" s="47">
        <f t="shared" si="3"/>
        <v>1</v>
      </c>
      <c r="AM12" s="47">
        <f t="shared" si="3"/>
        <v>1</v>
      </c>
      <c r="AN12" s="47">
        <f t="shared" si="3"/>
        <v>1</v>
      </c>
      <c r="AO12" s="47">
        <f t="shared" si="3"/>
        <v>1</v>
      </c>
      <c r="AP12" s="47">
        <f t="shared" si="3"/>
        <v>1</v>
      </c>
      <c r="AQ12" s="47">
        <f t="shared" si="3"/>
        <v>1</v>
      </c>
      <c r="AR12" s="47">
        <f t="shared" si="3"/>
        <v>1</v>
      </c>
      <c r="AS12" s="47">
        <f t="shared" si="3"/>
        <v>1</v>
      </c>
      <c r="AT12" s="47">
        <f t="shared" si="3"/>
        <v>1</v>
      </c>
      <c r="AU12" s="47">
        <f t="shared" si="3"/>
        <v>1</v>
      </c>
      <c r="AV12" s="47">
        <f t="shared" si="3"/>
        <v>1</v>
      </c>
      <c r="AW12" s="47">
        <f t="shared" si="3"/>
        <v>1</v>
      </c>
      <c r="AX12" s="47">
        <f t="shared" si="3"/>
        <v>1</v>
      </c>
      <c r="AY12" s="47">
        <f t="shared" si="3"/>
        <v>1</v>
      </c>
      <c r="AZ12" s="47">
        <f t="shared" si="3"/>
        <v>1</v>
      </c>
      <c r="BA12" s="47">
        <f t="shared" si="3"/>
        <v>1</v>
      </c>
      <c r="BB12" s="47">
        <f t="shared" si="3"/>
        <v>1</v>
      </c>
      <c r="BC12" s="47">
        <f t="shared" si="3"/>
        <v>1</v>
      </c>
      <c r="BD12" s="47">
        <f t="shared" si="3"/>
        <v>1</v>
      </c>
      <c r="BE12" s="47">
        <f t="shared" si="3"/>
        <v>1</v>
      </c>
      <c r="BF12" s="47">
        <f t="shared" si="3"/>
        <v>1</v>
      </c>
      <c r="BG12" s="47">
        <f t="shared" si="3"/>
        <v>1</v>
      </c>
      <c r="BH12" s="47">
        <f t="shared" si="3"/>
        <v>1</v>
      </c>
      <c r="BI12" s="47">
        <f t="shared" si="3"/>
        <v>1</v>
      </c>
      <c r="BJ12" s="47">
        <f t="shared" si="3"/>
        <v>1</v>
      </c>
      <c r="BK12" s="47">
        <f t="shared" si="3"/>
        <v>1</v>
      </c>
      <c r="BL12" s="47">
        <f t="shared" si="3"/>
        <v>1</v>
      </c>
      <c r="BM12" s="47">
        <f t="shared" si="3"/>
        <v>1</v>
      </c>
      <c r="BN12" s="15"/>
    </row>
    <row r="13" spans="2:66" x14ac:dyDescent="0.3">
      <c r="B13" s="12"/>
      <c r="C13" s="14"/>
      <c r="D13" s="13"/>
      <c r="E13" s="86"/>
      <c r="F13" s="98"/>
      <c r="G13" s="86"/>
      <c r="H13" s="86"/>
      <c r="I13" s="86"/>
      <c r="J13" s="86"/>
      <c r="K13" s="86"/>
      <c r="L13" s="86"/>
      <c r="M13" s="47"/>
      <c r="N13" s="47"/>
      <c r="O13" s="47"/>
      <c r="P13" s="47"/>
      <c r="Q13" s="47"/>
      <c r="R13" s="47"/>
      <c r="S13" s="32"/>
      <c r="T13" s="33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3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3"/>
      <c r="BN13" s="15"/>
    </row>
    <row r="14" spans="2:66" x14ac:dyDescent="0.3">
      <c r="B14" s="12"/>
      <c r="C14" s="14"/>
      <c r="D14" s="13" t="s">
        <v>41</v>
      </c>
      <c r="E14" s="86"/>
      <c r="F14" s="98"/>
      <c r="G14" s="86"/>
      <c r="H14" s="86"/>
      <c r="I14" s="86"/>
      <c r="J14" s="86"/>
      <c r="K14" s="86"/>
      <c r="L14" s="86"/>
      <c r="M14" s="47"/>
      <c r="N14" s="47"/>
      <c r="O14" s="47"/>
      <c r="P14" s="47"/>
      <c r="Q14" s="47"/>
      <c r="R14" s="47"/>
      <c r="S14" s="32"/>
      <c r="T14" s="33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3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3"/>
      <c r="BN14" s="15"/>
    </row>
    <row r="15" spans="2:66" x14ac:dyDescent="0.3">
      <c r="B15" s="12"/>
      <c r="C15" s="14" t="s">
        <v>191</v>
      </c>
      <c r="D15" s="14" t="s">
        <v>115</v>
      </c>
      <c r="E15" s="87">
        <v>0.34344660194174753</v>
      </c>
      <c r="F15" s="84">
        <v>0.30257549470143524</v>
      </c>
      <c r="G15" s="87">
        <v>0.30019987658770353</v>
      </c>
      <c r="H15" s="87">
        <v>0.29874730224265761</v>
      </c>
      <c r="I15" s="87">
        <v>0.2997205737150152</v>
      </c>
      <c r="J15" s="87">
        <v>0.30549682875264272</v>
      </c>
      <c r="K15" s="87">
        <v>0.30448383733055262</v>
      </c>
      <c r="L15" s="87">
        <v>0.24170124481327804</v>
      </c>
      <c r="M15" s="87">
        <v>0.28437500000000004</v>
      </c>
      <c r="N15" s="87">
        <v>0.22821576763485479</v>
      </c>
      <c r="O15" s="87">
        <v>0.23140495867768596</v>
      </c>
      <c r="P15" s="87">
        <v>0.23037190082644629</v>
      </c>
      <c r="Q15" s="87">
        <v>0.2702980472764645</v>
      </c>
      <c r="R15" s="87">
        <v>0.25282631038026721</v>
      </c>
      <c r="S15" s="29">
        <v>0.25282631038026721</v>
      </c>
      <c r="T15" s="29">
        <v>0.25282631038026721</v>
      </c>
      <c r="U15" s="29">
        <v>0.25282631038026721</v>
      </c>
      <c r="V15" s="29">
        <v>0.25282631038026721</v>
      </c>
      <c r="W15" s="29">
        <v>0.25282631038026721</v>
      </c>
      <c r="X15" s="29">
        <v>0.25282631038026721</v>
      </c>
      <c r="Y15" s="29">
        <v>0.25282631038026721</v>
      </c>
      <c r="Z15" s="29">
        <v>0.25282631038026721</v>
      </c>
      <c r="AA15" s="29">
        <v>0.25282631038026721</v>
      </c>
      <c r="AB15" s="29">
        <v>0.25282631038026721</v>
      </c>
      <c r="AC15" s="29">
        <v>0.25282631038026721</v>
      </c>
      <c r="AD15" s="29">
        <v>0.25282631038026721</v>
      </c>
      <c r="AE15" s="29">
        <v>0.25282631038026721</v>
      </c>
      <c r="AF15" s="29">
        <v>0.25282631038026721</v>
      </c>
      <c r="AG15" s="29">
        <v>0.25282631038026721</v>
      </c>
      <c r="AH15" s="29">
        <v>0.25282631038026721</v>
      </c>
      <c r="AI15" s="29">
        <v>0.25282631038026721</v>
      </c>
      <c r="AJ15" s="29">
        <v>0.25282631038026721</v>
      </c>
      <c r="AK15" s="29">
        <v>0.25282631038026721</v>
      </c>
      <c r="AL15" s="29">
        <v>0.25282631038026721</v>
      </c>
      <c r="AM15" s="29">
        <v>0.25282631038026721</v>
      </c>
      <c r="AN15" s="29">
        <v>0.25282631038026721</v>
      </c>
      <c r="AO15" s="29">
        <v>0.25282631038026721</v>
      </c>
      <c r="AP15" s="29">
        <v>0.25282631038026721</v>
      </c>
      <c r="AQ15" s="29">
        <v>0.25282631038026721</v>
      </c>
      <c r="AR15" s="29">
        <v>0.25282631038026721</v>
      </c>
      <c r="AS15" s="29">
        <v>0.25282631038026721</v>
      </c>
      <c r="AT15" s="29">
        <v>0.25282631038026721</v>
      </c>
      <c r="AU15" s="29">
        <v>0.25282631038026721</v>
      </c>
      <c r="AV15" s="29">
        <v>0.25282631038026721</v>
      </c>
      <c r="AW15" s="29">
        <v>0.25282631038026721</v>
      </c>
      <c r="AX15" s="29">
        <v>0.25282631038026721</v>
      </c>
      <c r="AY15" s="29">
        <v>0.25282631038026721</v>
      </c>
      <c r="AZ15" s="29">
        <v>0.25282631038026721</v>
      </c>
      <c r="BA15" s="29">
        <v>0.25282631038026721</v>
      </c>
      <c r="BB15" s="29">
        <v>0.25282631038026721</v>
      </c>
      <c r="BC15" s="29">
        <v>0.25282631038026721</v>
      </c>
      <c r="BD15" s="29">
        <v>0.25282631038026721</v>
      </c>
      <c r="BE15" s="29">
        <v>0.25282631038026721</v>
      </c>
      <c r="BF15" s="29">
        <v>0.25282631038026721</v>
      </c>
      <c r="BG15" s="29">
        <v>0.25282631038026721</v>
      </c>
      <c r="BH15" s="29">
        <v>0.25282631038026721</v>
      </c>
      <c r="BI15" s="29">
        <v>0.25282631038026721</v>
      </c>
      <c r="BJ15" s="29">
        <v>0.25282631038026721</v>
      </c>
      <c r="BK15" s="29">
        <v>0.25282631038026721</v>
      </c>
      <c r="BL15" s="29">
        <v>0.25282631038026721</v>
      </c>
      <c r="BM15" s="29">
        <v>0.25282631038026721</v>
      </c>
      <c r="BN15" s="15"/>
    </row>
    <row r="16" spans="2:66" x14ac:dyDescent="0.3">
      <c r="B16" s="12"/>
      <c r="C16" s="14" t="s">
        <v>190</v>
      </c>
      <c r="D16" s="14" t="s">
        <v>116</v>
      </c>
      <c r="E16" s="87">
        <v>0.65655339805825252</v>
      </c>
      <c r="F16" s="84">
        <v>0.69742450529856481</v>
      </c>
      <c r="G16" s="87">
        <v>0.69980012341229647</v>
      </c>
      <c r="H16" s="87">
        <v>0.70125269775734245</v>
      </c>
      <c r="I16" s="87">
        <v>0.70027942628498485</v>
      </c>
      <c r="J16" s="87">
        <v>0.69450317124735739</v>
      </c>
      <c r="K16" s="87">
        <v>0.69551616266944738</v>
      </c>
      <c r="L16" s="87">
        <v>0.75829875518672196</v>
      </c>
      <c r="M16" s="87">
        <v>0.71562499999999996</v>
      </c>
      <c r="N16" s="87">
        <v>0.77178423236514526</v>
      </c>
      <c r="O16" s="87">
        <v>0.76859504132231404</v>
      </c>
      <c r="P16" s="87">
        <v>0.76962809917355379</v>
      </c>
      <c r="Q16" s="87">
        <v>0.72970195272353544</v>
      </c>
      <c r="R16" s="87">
        <v>0.74717368961973296</v>
      </c>
      <c r="S16" s="29">
        <v>0.74717368961973296</v>
      </c>
      <c r="T16" s="29">
        <v>0.74717368961973296</v>
      </c>
      <c r="U16" s="29">
        <v>0.74717368961973296</v>
      </c>
      <c r="V16" s="29">
        <v>0.74717368961973296</v>
      </c>
      <c r="W16" s="29">
        <v>0.74717368961973296</v>
      </c>
      <c r="X16" s="29">
        <v>0.74717368961973296</v>
      </c>
      <c r="Y16" s="29">
        <v>0.74717368961973296</v>
      </c>
      <c r="Z16" s="29">
        <v>0.74717368961973296</v>
      </c>
      <c r="AA16" s="29">
        <v>0.74717368961973296</v>
      </c>
      <c r="AB16" s="29">
        <v>0.74717368961973296</v>
      </c>
      <c r="AC16" s="29">
        <v>0.74717368961973296</v>
      </c>
      <c r="AD16" s="29">
        <v>0.74717368961973296</v>
      </c>
      <c r="AE16" s="29">
        <v>0.74717368961973296</v>
      </c>
      <c r="AF16" s="29">
        <v>0.74717368961973296</v>
      </c>
      <c r="AG16" s="29">
        <v>0.74717368961973296</v>
      </c>
      <c r="AH16" s="29">
        <v>0.74717368961973296</v>
      </c>
      <c r="AI16" s="29">
        <v>0.74717368961973296</v>
      </c>
      <c r="AJ16" s="29">
        <v>0.74717368961973296</v>
      </c>
      <c r="AK16" s="29">
        <v>0.74717368961973296</v>
      </c>
      <c r="AL16" s="29">
        <v>0.74717368961973296</v>
      </c>
      <c r="AM16" s="29">
        <v>0.74717368961973296</v>
      </c>
      <c r="AN16" s="29">
        <v>0.74717368961973296</v>
      </c>
      <c r="AO16" s="29">
        <v>0.74717368961973296</v>
      </c>
      <c r="AP16" s="29">
        <v>0.74717368961973296</v>
      </c>
      <c r="AQ16" s="29">
        <v>0.74717368961973296</v>
      </c>
      <c r="AR16" s="29">
        <v>0.74717368961973296</v>
      </c>
      <c r="AS16" s="29">
        <v>0.74717368961973296</v>
      </c>
      <c r="AT16" s="29">
        <v>0.74717368961973296</v>
      </c>
      <c r="AU16" s="29">
        <v>0.74717368961973296</v>
      </c>
      <c r="AV16" s="29">
        <v>0.74717368961973296</v>
      </c>
      <c r="AW16" s="29">
        <v>0.74717368961973296</v>
      </c>
      <c r="AX16" s="29">
        <v>0.74717368961973296</v>
      </c>
      <c r="AY16" s="29">
        <v>0.74717368961973296</v>
      </c>
      <c r="AZ16" s="29">
        <v>0.74717368961973296</v>
      </c>
      <c r="BA16" s="29">
        <v>0.74717368961973296</v>
      </c>
      <c r="BB16" s="29">
        <v>0.74717368961973296</v>
      </c>
      <c r="BC16" s="29">
        <v>0.74717368961973296</v>
      </c>
      <c r="BD16" s="29">
        <v>0.74717368961973296</v>
      </c>
      <c r="BE16" s="29">
        <v>0.74717368961973296</v>
      </c>
      <c r="BF16" s="29">
        <v>0.74717368961973296</v>
      </c>
      <c r="BG16" s="29">
        <v>0.74717368961973296</v>
      </c>
      <c r="BH16" s="29">
        <v>0.74717368961973296</v>
      </c>
      <c r="BI16" s="29">
        <v>0.74717368961973296</v>
      </c>
      <c r="BJ16" s="29">
        <v>0.74717368961973296</v>
      </c>
      <c r="BK16" s="29">
        <v>0.74717368961973296</v>
      </c>
      <c r="BL16" s="29">
        <v>0.74717368961973296</v>
      </c>
      <c r="BM16" s="29">
        <v>0.74717368961973296</v>
      </c>
      <c r="BN16" s="15"/>
    </row>
    <row r="17" spans="2:66" x14ac:dyDescent="0.3">
      <c r="B17" s="12"/>
      <c r="C17" s="14"/>
      <c r="D17" s="13"/>
      <c r="E17" s="47">
        <f t="shared" ref="E17:L17" si="4">SUM(E15:E16)</f>
        <v>1</v>
      </c>
      <c r="F17" s="47">
        <f t="shared" si="4"/>
        <v>1</v>
      </c>
      <c r="G17" s="47">
        <f t="shared" si="4"/>
        <v>1</v>
      </c>
      <c r="H17" s="47">
        <f t="shared" si="4"/>
        <v>1</v>
      </c>
      <c r="I17" s="47">
        <f t="shared" si="4"/>
        <v>1</v>
      </c>
      <c r="J17" s="47">
        <f t="shared" si="4"/>
        <v>1</v>
      </c>
      <c r="K17" s="47">
        <f t="shared" si="4"/>
        <v>1</v>
      </c>
      <c r="L17" s="47">
        <f t="shared" si="4"/>
        <v>1</v>
      </c>
      <c r="M17" s="47">
        <f>SUM(M15:M16)</f>
        <v>1</v>
      </c>
      <c r="N17" s="47">
        <f t="shared" ref="N17:BM17" si="5">SUM(N15:N16)</f>
        <v>1</v>
      </c>
      <c r="O17" s="47">
        <f t="shared" si="5"/>
        <v>1</v>
      </c>
      <c r="P17" s="47">
        <f t="shared" si="5"/>
        <v>1</v>
      </c>
      <c r="Q17" s="47">
        <f t="shared" si="5"/>
        <v>1</v>
      </c>
      <c r="R17" s="47">
        <f t="shared" si="5"/>
        <v>1.0000000000000002</v>
      </c>
      <c r="S17" s="47">
        <f t="shared" si="5"/>
        <v>1.0000000000000002</v>
      </c>
      <c r="T17" s="47">
        <f t="shared" si="5"/>
        <v>1.0000000000000002</v>
      </c>
      <c r="U17" s="47">
        <f t="shared" si="5"/>
        <v>1.0000000000000002</v>
      </c>
      <c r="V17" s="47">
        <f t="shared" si="5"/>
        <v>1.0000000000000002</v>
      </c>
      <c r="W17" s="47">
        <f t="shared" si="5"/>
        <v>1.0000000000000002</v>
      </c>
      <c r="X17" s="47">
        <f t="shared" si="5"/>
        <v>1.0000000000000002</v>
      </c>
      <c r="Y17" s="93">
        <f t="shared" si="5"/>
        <v>1.0000000000000002</v>
      </c>
      <c r="Z17" s="47">
        <f t="shared" si="5"/>
        <v>1.0000000000000002</v>
      </c>
      <c r="AA17" s="47">
        <f t="shared" si="5"/>
        <v>1.0000000000000002</v>
      </c>
      <c r="AB17" s="47">
        <f t="shared" si="5"/>
        <v>1.0000000000000002</v>
      </c>
      <c r="AC17" s="47">
        <f t="shared" si="5"/>
        <v>1.0000000000000002</v>
      </c>
      <c r="AD17" s="47">
        <f t="shared" si="5"/>
        <v>1.0000000000000002</v>
      </c>
      <c r="AE17" s="47">
        <f t="shared" si="5"/>
        <v>1.0000000000000002</v>
      </c>
      <c r="AF17" s="47">
        <f t="shared" si="5"/>
        <v>1.0000000000000002</v>
      </c>
      <c r="AG17" s="47">
        <f t="shared" si="5"/>
        <v>1.0000000000000002</v>
      </c>
      <c r="AH17" s="47">
        <f t="shared" si="5"/>
        <v>1.0000000000000002</v>
      </c>
      <c r="AI17" s="47">
        <f t="shared" si="5"/>
        <v>1.0000000000000002</v>
      </c>
      <c r="AJ17" s="47">
        <f t="shared" si="5"/>
        <v>1.0000000000000002</v>
      </c>
      <c r="AK17" s="47">
        <f t="shared" si="5"/>
        <v>1.0000000000000002</v>
      </c>
      <c r="AL17" s="47">
        <f t="shared" si="5"/>
        <v>1.0000000000000002</v>
      </c>
      <c r="AM17" s="47">
        <f t="shared" si="5"/>
        <v>1.0000000000000002</v>
      </c>
      <c r="AN17" s="47">
        <f t="shared" si="5"/>
        <v>1.0000000000000002</v>
      </c>
      <c r="AO17" s="47">
        <f t="shared" si="5"/>
        <v>1.0000000000000002</v>
      </c>
      <c r="AP17" s="47">
        <f t="shared" si="5"/>
        <v>1.0000000000000002</v>
      </c>
      <c r="AQ17" s="47">
        <f t="shared" si="5"/>
        <v>1.0000000000000002</v>
      </c>
      <c r="AR17" s="47">
        <f t="shared" si="5"/>
        <v>1.0000000000000002</v>
      </c>
      <c r="AS17" s="93">
        <f t="shared" si="5"/>
        <v>1.0000000000000002</v>
      </c>
      <c r="AT17" s="47">
        <f t="shared" si="5"/>
        <v>1.0000000000000002</v>
      </c>
      <c r="AU17" s="47">
        <f t="shared" si="5"/>
        <v>1.0000000000000002</v>
      </c>
      <c r="AV17" s="47">
        <f t="shared" si="5"/>
        <v>1.0000000000000002</v>
      </c>
      <c r="AW17" s="47">
        <f t="shared" si="5"/>
        <v>1.0000000000000002</v>
      </c>
      <c r="AX17" s="47">
        <f t="shared" si="5"/>
        <v>1.0000000000000002</v>
      </c>
      <c r="AY17" s="47">
        <f t="shared" si="5"/>
        <v>1.0000000000000002</v>
      </c>
      <c r="AZ17" s="47">
        <f t="shared" si="5"/>
        <v>1.0000000000000002</v>
      </c>
      <c r="BA17" s="47">
        <f t="shared" si="5"/>
        <v>1.0000000000000002</v>
      </c>
      <c r="BB17" s="47">
        <f t="shared" si="5"/>
        <v>1.0000000000000002</v>
      </c>
      <c r="BC17" s="47">
        <f t="shared" si="5"/>
        <v>1.0000000000000002</v>
      </c>
      <c r="BD17" s="47">
        <f t="shared" si="5"/>
        <v>1.0000000000000002</v>
      </c>
      <c r="BE17" s="47">
        <f t="shared" si="5"/>
        <v>1.0000000000000002</v>
      </c>
      <c r="BF17" s="47">
        <f t="shared" si="5"/>
        <v>1.0000000000000002</v>
      </c>
      <c r="BG17" s="47">
        <f t="shared" si="5"/>
        <v>1.0000000000000002</v>
      </c>
      <c r="BH17" s="47">
        <f t="shared" si="5"/>
        <v>1.0000000000000002</v>
      </c>
      <c r="BI17" s="47">
        <f t="shared" si="5"/>
        <v>1.0000000000000002</v>
      </c>
      <c r="BJ17" s="47">
        <f t="shared" si="5"/>
        <v>1.0000000000000002</v>
      </c>
      <c r="BK17" s="47">
        <f t="shared" si="5"/>
        <v>1.0000000000000002</v>
      </c>
      <c r="BL17" s="47">
        <f t="shared" si="5"/>
        <v>1.0000000000000002</v>
      </c>
      <c r="BM17" s="93">
        <f t="shared" si="5"/>
        <v>1.0000000000000002</v>
      </c>
      <c r="BN17" s="15"/>
    </row>
    <row r="18" spans="2:66" x14ac:dyDescent="0.3">
      <c r="B18" s="12"/>
      <c r="C18" s="14"/>
      <c r="D18" s="13" t="s">
        <v>41</v>
      </c>
      <c r="E18" s="86"/>
      <c r="F18" s="98"/>
      <c r="G18" s="86"/>
      <c r="H18" s="86"/>
      <c r="I18" s="86"/>
      <c r="J18" s="86"/>
      <c r="K18" s="86"/>
      <c r="L18" s="86"/>
      <c r="M18" s="47"/>
      <c r="N18" s="47"/>
      <c r="O18" s="47"/>
      <c r="P18" s="47"/>
      <c r="Q18" s="47"/>
      <c r="R18" s="47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15"/>
    </row>
    <row r="19" spans="2:66" x14ac:dyDescent="0.3">
      <c r="B19" s="12"/>
      <c r="C19" s="14" t="s">
        <v>75</v>
      </c>
      <c r="D19" s="14" t="s">
        <v>72</v>
      </c>
      <c r="E19" s="87">
        <v>0.28299999999999997</v>
      </c>
      <c r="F19" s="84">
        <v>0.28495215311004785</v>
      </c>
      <c r="G19" s="87">
        <v>0.28354545454545454</v>
      </c>
      <c r="H19" s="87">
        <v>0.28299999999999997</v>
      </c>
      <c r="I19" s="87">
        <v>0.28475119617224876</v>
      </c>
      <c r="J19" s="87">
        <v>0.28899999999999998</v>
      </c>
      <c r="K19" s="87">
        <v>0.29199999999999998</v>
      </c>
      <c r="L19" s="87">
        <v>0.23300000000000001</v>
      </c>
      <c r="M19" s="87">
        <v>0.27300000000000002</v>
      </c>
      <c r="N19" s="87">
        <v>0.22</v>
      </c>
      <c r="O19" s="87">
        <v>0.224</v>
      </c>
      <c r="P19" s="87">
        <v>0.223</v>
      </c>
      <c r="Q19" s="87">
        <v>0.26300000000000001</v>
      </c>
      <c r="R19" s="87">
        <v>0.246</v>
      </c>
      <c r="S19" s="29">
        <v>0.246</v>
      </c>
      <c r="T19" s="29">
        <v>0.246</v>
      </c>
      <c r="U19" s="29">
        <v>0.246</v>
      </c>
      <c r="V19" s="29">
        <v>0.246</v>
      </c>
      <c r="W19" s="29">
        <v>0.246</v>
      </c>
      <c r="X19" s="29">
        <v>0.246</v>
      </c>
      <c r="Y19" s="29">
        <v>0.246</v>
      </c>
      <c r="Z19" s="29">
        <v>0.246</v>
      </c>
      <c r="AA19" s="29">
        <v>0.246</v>
      </c>
      <c r="AB19" s="29">
        <v>0.246</v>
      </c>
      <c r="AC19" s="29">
        <v>0.246</v>
      </c>
      <c r="AD19" s="29">
        <v>0.246</v>
      </c>
      <c r="AE19" s="29">
        <v>0.246</v>
      </c>
      <c r="AF19" s="29">
        <v>0.246</v>
      </c>
      <c r="AG19" s="29">
        <v>0.246</v>
      </c>
      <c r="AH19" s="29">
        <v>0.246</v>
      </c>
      <c r="AI19" s="29">
        <v>0.246</v>
      </c>
      <c r="AJ19" s="29">
        <v>0.246</v>
      </c>
      <c r="AK19" s="29">
        <v>0.246</v>
      </c>
      <c r="AL19" s="29">
        <v>0.246</v>
      </c>
      <c r="AM19" s="29">
        <v>0.246</v>
      </c>
      <c r="AN19" s="29">
        <v>0.246</v>
      </c>
      <c r="AO19" s="29">
        <v>0.246</v>
      </c>
      <c r="AP19" s="29">
        <v>0.246</v>
      </c>
      <c r="AQ19" s="29">
        <v>0.246</v>
      </c>
      <c r="AR19" s="29">
        <v>0.246</v>
      </c>
      <c r="AS19" s="29">
        <v>0.246</v>
      </c>
      <c r="AT19" s="29">
        <v>0.246</v>
      </c>
      <c r="AU19" s="29">
        <v>0.246</v>
      </c>
      <c r="AV19" s="29">
        <v>0.246</v>
      </c>
      <c r="AW19" s="29">
        <v>0.246</v>
      </c>
      <c r="AX19" s="29">
        <v>0.246</v>
      </c>
      <c r="AY19" s="29">
        <v>0.246</v>
      </c>
      <c r="AZ19" s="29">
        <v>0.246</v>
      </c>
      <c r="BA19" s="29">
        <v>0.246</v>
      </c>
      <c r="BB19" s="29">
        <v>0.246</v>
      </c>
      <c r="BC19" s="29">
        <v>0.246</v>
      </c>
      <c r="BD19" s="29">
        <v>0.246</v>
      </c>
      <c r="BE19" s="29">
        <v>0.246</v>
      </c>
      <c r="BF19" s="29">
        <v>0.246</v>
      </c>
      <c r="BG19" s="29">
        <v>0.246</v>
      </c>
      <c r="BH19" s="29">
        <v>0.246</v>
      </c>
      <c r="BI19" s="29">
        <v>0.246</v>
      </c>
      <c r="BJ19" s="29">
        <v>0.246</v>
      </c>
      <c r="BK19" s="29">
        <v>0.246</v>
      </c>
      <c r="BL19" s="29">
        <v>0.246</v>
      </c>
      <c r="BM19" s="29">
        <v>0.246</v>
      </c>
      <c r="BN19" s="15"/>
    </row>
    <row r="20" spans="2:66" x14ac:dyDescent="0.3">
      <c r="B20" s="12"/>
      <c r="C20" s="14" t="s">
        <v>171</v>
      </c>
      <c r="D20" s="14" t="s">
        <v>73</v>
      </c>
      <c r="E20" s="87">
        <v>0.54100000000000015</v>
      </c>
      <c r="F20" s="84">
        <v>0.65680340244550983</v>
      </c>
      <c r="G20" s="87">
        <v>0.6609767676767675</v>
      </c>
      <c r="H20" s="87">
        <v>0.66428888888888826</v>
      </c>
      <c r="I20" s="87">
        <v>0.66530435938330734</v>
      </c>
      <c r="J20" s="87">
        <v>0.65700000000000003</v>
      </c>
      <c r="K20" s="87">
        <v>0.66700000000000004</v>
      </c>
      <c r="L20" s="87">
        <v>0.73099999999999998</v>
      </c>
      <c r="M20" s="87">
        <v>0.68699999999999994</v>
      </c>
      <c r="N20" s="87">
        <v>0.74399999999999999</v>
      </c>
      <c r="O20" s="87">
        <v>0.74399999999999999</v>
      </c>
      <c r="P20" s="87">
        <v>0.745</v>
      </c>
      <c r="Q20" s="87">
        <v>0.71000000000000008</v>
      </c>
      <c r="R20" s="87">
        <v>0.72699999999999998</v>
      </c>
      <c r="S20" s="29">
        <v>0.72699999999999998</v>
      </c>
      <c r="T20" s="29">
        <v>0.72699999999999998</v>
      </c>
      <c r="U20" s="29">
        <v>0.72699999999999998</v>
      </c>
      <c r="V20" s="29">
        <v>0.72699999999999998</v>
      </c>
      <c r="W20" s="29">
        <v>0.72699999999999998</v>
      </c>
      <c r="X20" s="29">
        <v>0.72699999999999998</v>
      </c>
      <c r="Y20" s="29">
        <v>0.72699999999999998</v>
      </c>
      <c r="Z20" s="29">
        <v>0.72699999999999998</v>
      </c>
      <c r="AA20" s="29">
        <v>0.72699999999999998</v>
      </c>
      <c r="AB20" s="29">
        <v>0.72699999999999998</v>
      </c>
      <c r="AC20" s="29">
        <v>0.72699999999999998</v>
      </c>
      <c r="AD20" s="29">
        <v>0.72699999999999998</v>
      </c>
      <c r="AE20" s="29">
        <v>0.72699999999999998</v>
      </c>
      <c r="AF20" s="29">
        <v>0.72699999999999998</v>
      </c>
      <c r="AG20" s="29">
        <v>0.72699999999999998</v>
      </c>
      <c r="AH20" s="29">
        <v>0.72699999999999998</v>
      </c>
      <c r="AI20" s="29">
        <v>0.72699999999999998</v>
      </c>
      <c r="AJ20" s="29">
        <v>0.72699999999999998</v>
      </c>
      <c r="AK20" s="29">
        <v>0.72699999999999998</v>
      </c>
      <c r="AL20" s="29">
        <v>0.72699999999999998</v>
      </c>
      <c r="AM20" s="29">
        <v>0.72699999999999998</v>
      </c>
      <c r="AN20" s="29">
        <v>0.72699999999999998</v>
      </c>
      <c r="AO20" s="29">
        <v>0.72699999999999998</v>
      </c>
      <c r="AP20" s="29">
        <v>0.72699999999999998</v>
      </c>
      <c r="AQ20" s="29">
        <v>0.72699999999999998</v>
      </c>
      <c r="AR20" s="29">
        <v>0.72699999999999998</v>
      </c>
      <c r="AS20" s="29">
        <v>0.72699999999999998</v>
      </c>
      <c r="AT20" s="29">
        <v>0.72699999999999998</v>
      </c>
      <c r="AU20" s="29">
        <v>0.72699999999999998</v>
      </c>
      <c r="AV20" s="29">
        <v>0.72699999999999998</v>
      </c>
      <c r="AW20" s="29">
        <v>0.72699999999999998</v>
      </c>
      <c r="AX20" s="29">
        <v>0.72699999999999998</v>
      </c>
      <c r="AY20" s="29">
        <v>0.72699999999999998</v>
      </c>
      <c r="AZ20" s="29">
        <v>0.72699999999999998</v>
      </c>
      <c r="BA20" s="29">
        <v>0.72699999999999998</v>
      </c>
      <c r="BB20" s="29">
        <v>0.72699999999999998</v>
      </c>
      <c r="BC20" s="29">
        <v>0.72699999999999998</v>
      </c>
      <c r="BD20" s="29">
        <v>0.72699999999999998</v>
      </c>
      <c r="BE20" s="29">
        <v>0.72699999999999998</v>
      </c>
      <c r="BF20" s="29">
        <v>0.72699999999999998</v>
      </c>
      <c r="BG20" s="29">
        <v>0.72699999999999998</v>
      </c>
      <c r="BH20" s="29">
        <v>0.72699999999999998</v>
      </c>
      <c r="BI20" s="29">
        <v>0.72699999999999998</v>
      </c>
      <c r="BJ20" s="29">
        <v>0.72699999999999998</v>
      </c>
      <c r="BK20" s="29">
        <v>0.72699999999999998</v>
      </c>
      <c r="BL20" s="29">
        <v>0.72699999999999998</v>
      </c>
      <c r="BM20" s="29">
        <v>0.72699999999999998</v>
      </c>
      <c r="BN20" s="15"/>
    </row>
    <row r="21" spans="2:66" x14ac:dyDescent="0.3">
      <c r="B21" s="12"/>
      <c r="C21" s="14"/>
      <c r="D21" s="13" t="s">
        <v>66</v>
      </c>
      <c r="E21" s="88">
        <f t="shared" ref="E21:L21" si="6">E19+E20</f>
        <v>0.82400000000000007</v>
      </c>
      <c r="F21" s="88">
        <f t="shared" si="6"/>
        <v>0.94175555555555768</v>
      </c>
      <c r="G21" s="88">
        <f t="shared" si="6"/>
        <v>0.94452222222222204</v>
      </c>
      <c r="H21" s="88">
        <f t="shared" si="6"/>
        <v>0.94728888888888818</v>
      </c>
      <c r="I21" s="88">
        <f t="shared" si="6"/>
        <v>0.9500555555555561</v>
      </c>
      <c r="J21" s="88">
        <f t="shared" si="6"/>
        <v>0.94599999999999995</v>
      </c>
      <c r="K21" s="88">
        <f t="shared" si="6"/>
        <v>0.95900000000000007</v>
      </c>
      <c r="L21" s="88">
        <f t="shared" si="6"/>
        <v>0.96399999999999997</v>
      </c>
      <c r="M21" s="88">
        <f t="shared" ref="M21:R21" si="7">M19+M20</f>
        <v>0.96</v>
      </c>
      <c r="N21" s="88">
        <f t="shared" si="7"/>
        <v>0.96399999999999997</v>
      </c>
      <c r="O21" s="88">
        <f t="shared" si="7"/>
        <v>0.96799999999999997</v>
      </c>
      <c r="P21" s="88">
        <f t="shared" si="7"/>
        <v>0.96799999999999997</v>
      </c>
      <c r="Q21" s="88">
        <f t="shared" si="7"/>
        <v>0.97300000000000009</v>
      </c>
      <c r="R21" s="88">
        <f t="shared" si="7"/>
        <v>0.97299999999999998</v>
      </c>
      <c r="S21" s="88">
        <f t="shared" ref="S21:BM21" si="8">S19+S20</f>
        <v>0.97299999999999998</v>
      </c>
      <c r="T21" s="88">
        <f t="shared" si="8"/>
        <v>0.97299999999999998</v>
      </c>
      <c r="U21" s="88">
        <f t="shared" si="8"/>
        <v>0.97299999999999998</v>
      </c>
      <c r="V21" s="88">
        <f t="shared" si="8"/>
        <v>0.97299999999999998</v>
      </c>
      <c r="W21" s="88">
        <f t="shared" si="8"/>
        <v>0.97299999999999998</v>
      </c>
      <c r="X21" s="88">
        <f t="shared" si="8"/>
        <v>0.97299999999999998</v>
      </c>
      <c r="Y21" s="88">
        <f t="shared" si="8"/>
        <v>0.97299999999999998</v>
      </c>
      <c r="Z21" s="88">
        <f t="shared" si="8"/>
        <v>0.97299999999999998</v>
      </c>
      <c r="AA21" s="88">
        <f t="shared" si="8"/>
        <v>0.97299999999999998</v>
      </c>
      <c r="AB21" s="88">
        <f t="shared" si="8"/>
        <v>0.97299999999999998</v>
      </c>
      <c r="AC21" s="88">
        <f t="shared" si="8"/>
        <v>0.97299999999999998</v>
      </c>
      <c r="AD21" s="88">
        <f t="shared" si="8"/>
        <v>0.97299999999999998</v>
      </c>
      <c r="AE21" s="88">
        <f t="shared" si="8"/>
        <v>0.97299999999999998</v>
      </c>
      <c r="AF21" s="88">
        <f t="shared" si="8"/>
        <v>0.97299999999999998</v>
      </c>
      <c r="AG21" s="88">
        <f t="shared" si="8"/>
        <v>0.97299999999999998</v>
      </c>
      <c r="AH21" s="88">
        <f t="shared" si="8"/>
        <v>0.97299999999999998</v>
      </c>
      <c r="AI21" s="88">
        <f t="shared" si="8"/>
        <v>0.97299999999999998</v>
      </c>
      <c r="AJ21" s="88">
        <f t="shared" si="8"/>
        <v>0.97299999999999998</v>
      </c>
      <c r="AK21" s="88">
        <f t="shared" si="8"/>
        <v>0.97299999999999998</v>
      </c>
      <c r="AL21" s="88">
        <f t="shared" si="8"/>
        <v>0.97299999999999998</v>
      </c>
      <c r="AM21" s="88">
        <f t="shared" si="8"/>
        <v>0.97299999999999998</v>
      </c>
      <c r="AN21" s="88">
        <f t="shared" si="8"/>
        <v>0.97299999999999998</v>
      </c>
      <c r="AO21" s="88">
        <f t="shared" si="8"/>
        <v>0.97299999999999998</v>
      </c>
      <c r="AP21" s="88">
        <f t="shared" si="8"/>
        <v>0.97299999999999998</v>
      </c>
      <c r="AQ21" s="88">
        <f t="shared" si="8"/>
        <v>0.97299999999999998</v>
      </c>
      <c r="AR21" s="88">
        <f t="shared" si="8"/>
        <v>0.97299999999999998</v>
      </c>
      <c r="AS21" s="88">
        <f t="shared" si="8"/>
        <v>0.97299999999999998</v>
      </c>
      <c r="AT21" s="88">
        <f t="shared" si="8"/>
        <v>0.97299999999999998</v>
      </c>
      <c r="AU21" s="88">
        <f t="shared" si="8"/>
        <v>0.97299999999999998</v>
      </c>
      <c r="AV21" s="88">
        <f t="shared" si="8"/>
        <v>0.97299999999999998</v>
      </c>
      <c r="AW21" s="88">
        <f t="shared" si="8"/>
        <v>0.97299999999999998</v>
      </c>
      <c r="AX21" s="88">
        <f t="shared" si="8"/>
        <v>0.97299999999999998</v>
      </c>
      <c r="AY21" s="88">
        <f t="shared" si="8"/>
        <v>0.97299999999999998</v>
      </c>
      <c r="AZ21" s="88">
        <f t="shared" si="8"/>
        <v>0.97299999999999998</v>
      </c>
      <c r="BA21" s="88">
        <f t="shared" si="8"/>
        <v>0.97299999999999998</v>
      </c>
      <c r="BB21" s="88">
        <f t="shared" si="8"/>
        <v>0.97299999999999998</v>
      </c>
      <c r="BC21" s="88">
        <f t="shared" si="8"/>
        <v>0.97299999999999998</v>
      </c>
      <c r="BD21" s="88">
        <f t="shared" si="8"/>
        <v>0.97299999999999998</v>
      </c>
      <c r="BE21" s="88">
        <f t="shared" si="8"/>
        <v>0.97299999999999998</v>
      </c>
      <c r="BF21" s="88">
        <f t="shared" si="8"/>
        <v>0.97299999999999998</v>
      </c>
      <c r="BG21" s="88">
        <f t="shared" si="8"/>
        <v>0.97299999999999998</v>
      </c>
      <c r="BH21" s="88">
        <f t="shared" si="8"/>
        <v>0.97299999999999998</v>
      </c>
      <c r="BI21" s="88">
        <f t="shared" si="8"/>
        <v>0.97299999999999998</v>
      </c>
      <c r="BJ21" s="88">
        <f t="shared" si="8"/>
        <v>0.97299999999999998</v>
      </c>
      <c r="BK21" s="88">
        <f t="shared" si="8"/>
        <v>0.97299999999999998</v>
      </c>
      <c r="BL21" s="88">
        <f t="shared" si="8"/>
        <v>0.97299999999999998</v>
      </c>
      <c r="BM21" s="88">
        <f t="shared" si="8"/>
        <v>0.97299999999999998</v>
      </c>
      <c r="BN21" s="15"/>
    </row>
    <row r="22" spans="2:66" x14ac:dyDescent="0.3">
      <c r="B22" s="12"/>
      <c r="C22" s="14"/>
      <c r="D22" s="13"/>
      <c r="E22" s="86"/>
      <c r="F22" s="98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6"/>
      <c r="BF22" s="86"/>
      <c r="BG22" s="86"/>
      <c r="BH22" s="86"/>
      <c r="BI22" s="86"/>
      <c r="BJ22" s="86"/>
      <c r="BK22" s="86"/>
      <c r="BL22" s="86"/>
      <c r="BM22" s="86"/>
      <c r="BN22" s="15"/>
    </row>
    <row r="23" spans="2:66" s="25" customFormat="1" x14ac:dyDescent="0.3">
      <c r="B23" s="114"/>
      <c r="C23" s="115" t="s">
        <v>76</v>
      </c>
      <c r="D23" s="115" t="s">
        <v>172</v>
      </c>
      <c r="E23" s="90">
        <v>0.45899999999999991</v>
      </c>
      <c r="F23" s="89">
        <v>0.34319659755449017</v>
      </c>
      <c r="G23" s="90">
        <v>0.3390232323232325</v>
      </c>
      <c r="H23" s="90">
        <v>0.33571111111111179</v>
      </c>
      <c r="I23" s="90">
        <v>0.33469564061669271</v>
      </c>
      <c r="J23" s="90">
        <v>0.34299999999999992</v>
      </c>
      <c r="K23" s="90">
        <v>0.33299999999999991</v>
      </c>
      <c r="L23" s="90">
        <v>0.26899999999999996</v>
      </c>
      <c r="M23" s="90">
        <v>0.31300000000000011</v>
      </c>
      <c r="N23" s="90">
        <v>0.25600000000000001</v>
      </c>
      <c r="O23" s="90">
        <v>0.25600000000000001</v>
      </c>
      <c r="P23" s="90">
        <v>0.25500000000000006</v>
      </c>
      <c r="Q23" s="90">
        <v>0.28999999999999987</v>
      </c>
      <c r="R23" s="90">
        <v>0.27300000000000002</v>
      </c>
      <c r="S23" s="88">
        <v>0.27300000000000002</v>
      </c>
      <c r="T23" s="88">
        <v>0.27300000000000002</v>
      </c>
      <c r="U23" s="88">
        <v>0.27300000000000002</v>
      </c>
      <c r="V23" s="88">
        <v>0.27300000000000002</v>
      </c>
      <c r="W23" s="88">
        <v>0.27300000000000002</v>
      </c>
      <c r="X23" s="88">
        <v>0.27300000000000002</v>
      </c>
      <c r="Y23" s="88">
        <v>0.27300000000000002</v>
      </c>
      <c r="Z23" s="88">
        <v>0.27300000000000002</v>
      </c>
      <c r="AA23" s="88">
        <v>0.27300000000000002</v>
      </c>
      <c r="AB23" s="88">
        <v>0.27300000000000002</v>
      </c>
      <c r="AC23" s="88">
        <v>0.27300000000000002</v>
      </c>
      <c r="AD23" s="88">
        <v>0.27300000000000002</v>
      </c>
      <c r="AE23" s="88">
        <v>0.27300000000000002</v>
      </c>
      <c r="AF23" s="88">
        <v>0.27300000000000002</v>
      </c>
      <c r="AG23" s="88">
        <v>0.27300000000000002</v>
      </c>
      <c r="AH23" s="88">
        <v>0.27300000000000002</v>
      </c>
      <c r="AI23" s="88">
        <v>0.27300000000000002</v>
      </c>
      <c r="AJ23" s="88">
        <v>0.27300000000000002</v>
      </c>
      <c r="AK23" s="88">
        <v>0.27300000000000002</v>
      </c>
      <c r="AL23" s="88">
        <v>0.27300000000000002</v>
      </c>
      <c r="AM23" s="88">
        <v>0.27300000000000002</v>
      </c>
      <c r="AN23" s="88">
        <v>0.27300000000000002</v>
      </c>
      <c r="AO23" s="88">
        <v>0.27300000000000002</v>
      </c>
      <c r="AP23" s="88">
        <v>0.27300000000000002</v>
      </c>
      <c r="AQ23" s="88">
        <v>0.27300000000000002</v>
      </c>
      <c r="AR23" s="88">
        <v>0.27300000000000002</v>
      </c>
      <c r="AS23" s="88">
        <v>0.27300000000000002</v>
      </c>
      <c r="AT23" s="88">
        <v>0.27300000000000002</v>
      </c>
      <c r="AU23" s="88">
        <v>0.27300000000000002</v>
      </c>
      <c r="AV23" s="88">
        <v>0.27300000000000002</v>
      </c>
      <c r="AW23" s="88">
        <v>0.27300000000000002</v>
      </c>
      <c r="AX23" s="88">
        <v>0.27300000000000002</v>
      </c>
      <c r="AY23" s="88">
        <v>0.27300000000000002</v>
      </c>
      <c r="AZ23" s="88">
        <v>0.27300000000000002</v>
      </c>
      <c r="BA23" s="88">
        <v>0.27300000000000002</v>
      </c>
      <c r="BB23" s="88">
        <v>0.27300000000000002</v>
      </c>
      <c r="BC23" s="88">
        <v>0.27300000000000002</v>
      </c>
      <c r="BD23" s="88">
        <v>0.27300000000000002</v>
      </c>
      <c r="BE23" s="88">
        <v>0.27300000000000002</v>
      </c>
      <c r="BF23" s="88">
        <v>0.27300000000000002</v>
      </c>
      <c r="BG23" s="88">
        <v>0.27300000000000002</v>
      </c>
      <c r="BH23" s="88">
        <v>0.27300000000000002</v>
      </c>
      <c r="BI23" s="88">
        <v>0.27300000000000002</v>
      </c>
      <c r="BJ23" s="88">
        <v>0.27300000000000002</v>
      </c>
      <c r="BK23" s="88">
        <v>0.27300000000000002</v>
      </c>
      <c r="BL23" s="88">
        <v>0.27300000000000002</v>
      </c>
      <c r="BM23" s="88">
        <v>0.27300000000000002</v>
      </c>
      <c r="BN23" s="116"/>
    </row>
    <row r="24" spans="2:66" ht="15" thickBot="1" x14ac:dyDescent="0.35">
      <c r="B24" s="16"/>
      <c r="C24" s="17"/>
      <c r="D24" s="17"/>
      <c r="E24" s="17"/>
      <c r="F24" s="99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8"/>
    </row>
    <row r="26" spans="2:66" ht="15" thickBot="1" x14ac:dyDescent="0.35"/>
    <row r="27" spans="2:66" x14ac:dyDescent="0.3">
      <c r="B27" s="9"/>
      <c r="C27" s="10"/>
      <c r="D27" s="10"/>
      <c r="E27" s="10"/>
      <c r="F27" s="95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1"/>
    </row>
    <row r="28" spans="2:66" x14ac:dyDescent="0.3">
      <c r="B28" s="12"/>
      <c r="C28" s="14"/>
      <c r="D28" s="13" t="s">
        <v>118</v>
      </c>
      <c r="E28" s="13"/>
      <c r="F28" s="96"/>
      <c r="G28" s="13"/>
      <c r="H28" s="13"/>
      <c r="I28" s="13"/>
      <c r="J28" s="13"/>
      <c r="K28" s="13"/>
      <c r="L28" s="1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5"/>
    </row>
    <row r="29" spans="2:66" x14ac:dyDescent="0.3">
      <c r="B29" s="12"/>
      <c r="C29" s="14"/>
      <c r="D29" s="13"/>
      <c r="E29" s="13"/>
      <c r="F29" s="96"/>
      <c r="G29" s="13"/>
      <c r="H29" s="13"/>
      <c r="I29" s="13"/>
      <c r="J29" s="13"/>
      <c r="K29" s="13"/>
      <c r="L29" s="13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5"/>
    </row>
    <row r="30" spans="2:66" x14ac:dyDescent="0.3">
      <c r="B30" s="12"/>
      <c r="C30" s="13" t="s">
        <v>74</v>
      </c>
      <c r="D30" s="24" t="s">
        <v>117</v>
      </c>
      <c r="E30" s="24"/>
      <c r="F30" s="97"/>
      <c r="G30" s="24"/>
      <c r="H30" s="24"/>
      <c r="I30" s="24"/>
      <c r="J30" s="24"/>
      <c r="K30" s="24"/>
      <c r="L30" s="2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5"/>
    </row>
    <row r="31" spans="2:66" x14ac:dyDescent="0.3">
      <c r="B31" s="12"/>
      <c r="C31" s="14"/>
      <c r="D31" s="14"/>
      <c r="E31" s="14"/>
      <c r="F31" s="32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5"/>
    </row>
    <row r="32" spans="2:66" x14ac:dyDescent="0.3">
      <c r="B32" s="12"/>
      <c r="C32" s="14"/>
      <c r="D32" s="13" t="s">
        <v>36</v>
      </c>
      <c r="E32" s="13"/>
      <c r="F32" s="96"/>
      <c r="G32" s="13"/>
      <c r="H32" s="13"/>
      <c r="I32" s="13"/>
      <c r="J32" s="13"/>
      <c r="K32" s="13"/>
      <c r="L32" s="1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5"/>
    </row>
    <row r="33" spans="2:66" x14ac:dyDescent="0.3">
      <c r="B33" s="12"/>
      <c r="C33" s="14" t="s">
        <v>91</v>
      </c>
      <c r="D33" s="14" t="s">
        <v>120</v>
      </c>
      <c r="E33" s="63">
        <f t="shared" ref="E33:X33" si="9">E9*E48</f>
        <v>1.8872738</v>
      </c>
      <c r="F33" s="63">
        <f t="shared" si="9"/>
        <v>1.9331705000000001</v>
      </c>
      <c r="G33" s="63">
        <f t="shared" si="9"/>
        <v>2.1168838000000001</v>
      </c>
      <c r="H33" s="63">
        <f t="shared" si="9"/>
        <v>2.3045815999999997</v>
      </c>
      <c r="I33" s="63">
        <f t="shared" si="9"/>
        <v>2.1894327000000007</v>
      </c>
      <c r="J33" s="63">
        <f t="shared" si="9"/>
        <v>1.953884</v>
      </c>
      <c r="K33" s="63">
        <f t="shared" si="9"/>
        <v>1.9519261999999999</v>
      </c>
      <c r="L33" s="63">
        <f t="shared" si="9"/>
        <v>1.3967481999999998</v>
      </c>
      <c r="M33" s="63">
        <f t="shared" si="9"/>
        <v>1.3549951831680001</v>
      </c>
      <c r="N33" s="63">
        <f t="shared" si="9"/>
        <v>1.19825870307312</v>
      </c>
      <c r="O33" s="63">
        <f t="shared" si="9"/>
        <v>1.06308234334152</v>
      </c>
      <c r="P33" s="63">
        <f t="shared" si="9"/>
        <v>1.06288682246928</v>
      </c>
      <c r="Q33" s="63">
        <f t="shared" si="9"/>
        <v>1.1023700460407839</v>
      </c>
      <c r="R33" s="63">
        <f t="shared" si="9"/>
        <v>1.2322453527276678</v>
      </c>
      <c r="S33" s="63">
        <f t="shared" si="9"/>
        <v>1.3237361958912026</v>
      </c>
      <c r="T33" s="63">
        <f t="shared" si="9"/>
        <v>1.3192215855195877</v>
      </c>
      <c r="U33" s="63">
        <f t="shared" si="9"/>
        <v>1.3685521198035815</v>
      </c>
      <c r="V33" s="63">
        <f t="shared" si="9"/>
        <v>1.6085434422808857</v>
      </c>
      <c r="W33" s="63">
        <f t="shared" si="9"/>
        <v>1.7067797305301688</v>
      </c>
      <c r="X33" s="63">
        <f t="shared" si="9"/>
        <v>1.8066005250365773</v>
      </c>
      <c r="Y33" s="63">
        <f>Y10*Y48</f>
        <v>5.5449735803996258</v>
      </c>
      <c r="Z33" s="63">
        <f t="shared" ref="Z33:BM33" si="10">Z9*Z48</f>
        <v>2.0107730941577708</v>
      </c>
      <c r="AA33" s="63">
        <f t="shared" si="10"/>
        <v>2.1150218844089483</v>
      </c>
      <c r="AB33" s="63">
        <f t="shared" si="10"/>
        <v>2.2206349613896399</v>
      </c>
      <c r="AC33" s="63">
        <f t="shared" si="10"/>
        <v>2.3275601773320944</v>
      </c>
      <c r="AD33" s="63">
        <f t="shared" si="10"/>
        <v>2.4357365012783707</v>
      </c>
      <c r="AE33" s="63">
        <f t="shared" si="10"/>
        <v>2.5451079379904589</v>
      </c>
      <c r="AF33" s="63">
        <f t="shared" si="10"/>
        <v>2.6556069272837353</v>
      </c>
      <c r="AG33" s="63">
        <f t="shared" si="10"/>
        <v>2.7671763041089292</v>
      </c>
      <c r="AH33" s="63">
        <f t="shared" si="10"/>
        <v>2.8797500816878423</v>
      </c>
      <c r="AI33" s="63">
        <f t="shared" si="10"/>
        <v>2.9932654405420127</v>
      </c>
      <c r="AJ33" s="63">
        <f t="shared" si="10"/>
        <v>3.1076671823801481</v>
      </c>
      <c r="AK33" s="63">
        <f t="shared" si="10"/>
        <v>3.2228942045395872</v>
      </c>
      <c r="AL33" s="63">
        <f t="shared" si="10"/>
        <v>3.338877525033678</v>
      </c>
      <c r="AM33" s="63">
        <f t="shared" si="10"/>
        <v>3.4555594686852444</v>
      </c>
      <c r="AN33" s="63">
        <f t="shared" si="10"/>
        <v>3.5728685909627731</v>
      </c>
      <c r="AO33" s="63">
        <f t="shared" si="10"/>
        <v>3.6907446414653844</v>
      </c>
      <c r="AP33" s="63">
        <f t="shared" si="10"/>
        <v>3.8091355564222846</v>
      </c>
      <c r="AQ33" s="63">
        <f t="shared" si="10"/>
        <v>3.9279634952410998</v>
      </c>
      <c r="AR33" s="63">
        <f t="shared" si="10"/>
        <v>4.0471777585893491</v>
      </c>
      <c r="AS33" s="63">
        <f t="shared" si="10"/>
        <v>4.16673006870528</v>
      </c>
      <c r="AT33" s="63">
        <f t="shared" si="10"/>
        <v>4.2852107193272682</v>
      </c>
      <c r="AU33" s="63">
        <f t="shared" si="10"/>
        <v>4.4036341677250164</v>
      </c>
      <c r="AV33" s="63">
        <f t="shared" si="10"/>
        <v>4.5219111390718165</v>
      </c>
      <c r="AW33" s="63">
        <f t="shared" si="10"/>
        <v>4.6399516287899454</v>
      </c>
      <c r="AX33" s="63">
        <f t="shared" si="10"/>
        <v>4.7576650155228135</v>
      </c>
      <c r="AY33" s="63">
        <f t="shared" si="10"/>
        <v>4.8749601760362751</v>
      </c>
      <c r="AZ33" s="63">
        <f t="shared" si="10"/>
        <v>4.9917456018480078</v>
      </c>
      <c r="BA33" s="63">
        <f t="shared" si="10"/>
        <v>5.1079295173769967</v>
      </c>
      <c r="BB33" s="63">
        <f t="shared" si="10"/>
        <v>5.2234199994019095</v>
      </c>
      <c r="BC33" s="63">
        <f t="shared" si="10"/>
        <v>5.3381250976119912</v>
      </c>
      <c r="BD33" s="63">
        <f t="shared" si="10"/>
        <v>5.4519529560302571</v>
      </c>
      <c r="BE33" s="63">
        <f t="shared" si="10"/>
        <v>5.5648119350863672</v>
      </c>
      <c r="BF33" s="63">
        <f t="shared" si="10"/>
        <v>5.6766107341122476</v>
      </c>
      <c r="BG33" s="63">
        <f t="shared" si="10"/>
        <v>5.7872585140328656</v>
      </c>
      <c r="BH33" s="63">
        <f t="shared" si="10"/>
        <v>5.8966650200216355</v>
      </c>
      <c r="BI33" s="63">
        <f t="shared" si="10"/>
        <v>6.0047407038900618</v>
      </c>
      <c r="BJ33" s="63">
        <f t="shared" si="10"/>
        <v>6.1113968459789838</v>
      </c>
      <c r="BK33" s="63">
        <f t="shared" si="10"/>
        <v>6.2165456763204414</v>
      </c>
      <c r="BL33" s="63">
        <f t="shared" si="10"/>
        <v>6.3201004948383899</v>
      </c>
      <c r="BM33" s="63">
        <f t="shared" si="10"/>
        <v>6.4219757903589576</v>
      </c>
      <c r="BN33" s="15"/>
    </row>
    <row r="34" spans="2:66" x14ac:dyDescent="0.3">
      <c r="B34" s="12"/>
      <c r="C34" s="14" t="s">
        <v>173</v>
      </c>
      <c r="D34" s="14" t="s">
        <v>174</v>
      </c>
      <c r="E34" s="62">
        <f t="shared" ref="E34:AJ34" si="11">E48*E10</f>
        <v>1.3169261999999999</v>
      </c>
      <c r="F34" s="62">
        <f t="shared" si="11"/>
        <v>1.7773295</v>
      </c>
      <c r="G34" s="62">
        <f t="shared" si="11"/>
        <v>2.1000161999999998</v>
      </c>
      <c r="H34" s="62">
        <f t="shared" si="11"/>
        <v>2.2862184000000001</v>
      </c>
      <c r="I34" s="62">
        <f t="shared" si="11"/>
        <v>2.7752672999999999</v>
      </c>
      <c r="J34" s="62">
        <f t="shared" si="11"/>
        <v>3.187916</v>
      </c>
      <c r="K34" s="62">
        <f t="shared" si="11"/>
        <v>3.3666738</v>
      </c>
      <c r="L34" s="62">
        <f t="shared" si="11"/>
        <v>3.9343517999999995</v>
      </c>
      <c r="M34" s="62">
        <f t="shared" si="11"/>
        <v>2.6897665576320002</v>
      </c>
      <c r="N34" s="62">
        <f t="shared" si="11"/>
        <v>2.8092954878068794</v>
      </c>
      <c r="O34" s="62">
        <f t="shared" si="11"/>
        <v>2.9944838526184796</v>
      </c>
      <c r="P34" s="62">
        <f t="shared" si="11"/>
        <v>3.0568295436907196</v>
      </c>
      <c r="Q34" s="62">
        <f t="shared" si="11"/>
        <v>3.3606665776061146</v>
      </c>
      <c r="R34" s="62">
        <f t="shared" si="11"/>
        <v>3.5812130563647844</v>
      </c>
      <c r="S34" s="62">
        <f t="shared" si="11"/>
        <v>3.8471083193088078</v>
      </c>
      <c r="T34" s="62">
        <f t="shared" si="11"/>
        <v>3.8339877329163019</v>
      </c>
      <c r="U34" s="62">
        <f t="shared" si="11"/>
        <v>3.9773545981791587</v>
      </c>
      <c r="V34" s="62">
        <f t="shared" si="11"/>
        <v>4.6748293791288242</v>
      </c>
      <c r="W34" s="62">
        <f t="shared" si="11"/>
        <v>4.9603285918533029</v>
      </c>
      <c r="X34" s="62">
        <f t="shared" si="11"/>
        <v>5.2504327758875524</v>
      </c>
      <c r="Y34" s="62">
        <f t="shared" si="11"/>
        <v>5.5449735803996258</v>
      </c>
      <c r="Z34" s="62">
        <f t="shared" si="11"/>
        <v>5.8438093048960216</v>
      </c>
      <c r="AA34" s="62">
        <f t="shared" si="11"/>
        <v>6.1467823515635054</v>
      </c>
      <c r="AB34" s="62">
        <f t="shared" si="11"/>
        <v>6.453720356538641</v>
      </c>
      <c r="AC34" s="62">
        <f t="shared" si="11"/>
        <v>6.7644717653713995</v>
      </c>
      <c r="AD34" s="62">
        <f t="shared" si="11"/>
        <v>7.0788592068402645</v>
      </c>
      <c r="AE34" s="62">
        <f t="shared" si="11"/>
        <v>7.3967199447847705</v>
      </c>
      <c r="AF34" s="62">
        <f t="shared" si="11"/>
        <v>7.7178576324183554</v>
      </c>
      <c r="AG34" s="62">
        <f t="shared" si="11"/>
        <v>8.042106133816576</v>
      </c>
      <c r="AH34" s="62">
        <f t="shared" si="11"/>
        <v>8.3692736749052923</v>
      </c>
      <c r="AI34" s="62">
        <f t="shared" si="11"/>
        <v>8.6991776865752239</v>
      </c>
      <c r="AJ34" s="62">
        <f t="shared" si="11"/>
        <v>9.0316577487923055</v>
      </c>
      <c r="AK34" s="62">
        <f t="shared" ref="AK34:BM34" si="12">AK48*AK10</f>
        <v>9.3665362819431746</v>
      </c>
      <c r="AL34" s="62">
        <f t="shared" si="12"/>
        <v>9.7036128071291259</v>
      </c>
      <c r="AM34" s="62">
        <f t="shared" si="12"/>
        <v>10.042719705866491</v>
      </c>
      <c r="AN34" s="62">
        <f t="shared" si="12"/>
        <v>10.383649342485558</v>
      </c>
      <c r="AO34" s="62">
        <f t="shared" si="12"/>
        <v>10.726226614258772</v>
      </c>
      <c r="AP34" s="62">
        <f t="shared" si="12"/>
        <v>11.070300210852265</v>
      </c>
      <c r="AQ34" s="62">
        <f t="shared" si="12"/>
        <v>11.415643908044446</v>
      </c>
      <c r="AR34" s="62">
        <f t="shared" si="12"/>
        <v>11.762110360900296</v>
      </c>
      <c r="AS34" s="62">
        <f t="shared" si="12"/>
        <v>12.10955926217472</v>
      </c>
      <c r="AT34" s="62">
        <f t="shared" si="12"/>
        <v>12.453893653044872</v>
      </c>
      <c r="AU34" s="62">
        <f t="shared" si="12"/>
        <v>12.79806179995083</v>
      </c>
      <c r="AV34" s="62">
        <f t="shared" si="12"/>
        <v>13.141804247927466</v>
      </c>
      <c r="AW34" s="62">
        <f t="shared" si="12"/>
        <v>13.484859421170778</v>
      </c>
      <c r="AX34" s="62">
        <f t="shared" si="12"/>
        <v>13.826963951363176</v>
      </c>
      <c r="AY34" s="62">
        <f t="shared" si="12"/>
        <v>14.167853011605423</v>
      </c>
      <c r="AZ34" s="62">
        <f t="shared" si="12"/>
        <v>14.507260655370773</v>
      </c>
      <c r="BA34" s="62">
        <f t="shared" si="12"/>
        <v>14.844920159876898</v>
      </c>
      <c r="BB34" s="62">
        <f t="shared" si="12"/>
        <v>15.180564373261799</v>
      </c>
      <c r="BC34" s="62">
        <f t="shared" si="12"/>
        <v>15.513926064934848</v>
      </c>
      <c r="BD34" s="62">
        <f t="shared" si="12"/>
        <v>15.844738278462934</v>
      </c>
      <c r="BE34" s="62">
        <f t="shared" si="12"/>
        <v>16.172734686344754</v>
      </c>
      <c r="BF34" s="62">
        <f t="shared" si="12"/>
        <v>16.49764994601372</v>
      </c>
      <c r="BG34" s="62">
        <f t="shared" si="12"/>
        <v>16.819220056408014</v>
      </c>
      <c r="BH34" s="62">
        <f t="shared" si="12"/>
        <v>17.137182714437877</v>
      </c>
      <c r="BI34" s="62">
        <f t="shared" si="12"/>
        <v>17.451277670680494</v>
      </c>
      <c r="BJ34" s="62">
        <f t="shared" si="12"/>
        <v>17.761247083626422</v>
      </c>
      <c r="BK34" s="62">
        <f t="shared" si="12"/>
        <v>18.066835871806283</v>
      </c>
      <c r="BL34" s="62">
        <f t="shared" si="12"/>
        <v>18.367792063124071</v>
      </c>
      <c r="BM34" s="62">
        <f t="shared" si="12"/>
        <v>18.663867140730719</v>
      </c>
      <c r="BN34" s="15"/>
    </row>
    <row r="35" spans="2:66" x14ac:dyDescent="0.3">
      <c r="B35" s="12"/>
      <c r="C35" s="14" t="s">
        <v>77</v>
      </c>
      <c r="D35" s="14" t="s">
        <v>121</v>
      </c>
      <c r="E35" s="62">
        <f t="shared" ref="E35:AJ35" si="13">E11*E48</f>
        <v>0</v>
      </c>
      <c r="F35" s="62">
        <f t="shared" si="13"/>
        <v>0</v>
      </c>
      <c r="G35" s="62">
        <f t="shared" si="13"/>
        <v>0</v>
      </c>
      <c r="H35" s="62">
        <f t="shared" si="13"/>
        <v>0</v>
      </c>
      <c r="I35" s="62">
        <f t="shared" si="13"/>
        <v>0</v>
      </c>
      <c r="J35" s="62">
        <f t="shared" si="13"/>
        <v>0</v>
      </c>
      <c r="K35" s="62">
        <f t="shared" si="13"/>
        <v>0</v>
      </c>
      <c r="L35" s="62">
        <f t="shared" si="13"/>
        <v>0</v>
      </c>
      <c r="M35" s="62">
        <f t="shared" si="13"/>
        <v>0</v>
      </c>
      <c r="N35" s="62">
        <f t="shared" si="13"/>
        <v>0</v>
      </c>
      <c r="O35" s="62">
        <f t="shared" si="13"/>
        <v>0</v>
      </c>
      <c r="P35" s="62">
        <f t="shared" si="13"/>
        <v>0</v>
      </c>
      <c r="Q35" s="62">
        <f t="shared" si="13"/>
        <v>0</v>
      </c>
      <c r="R35" s="62">
        <f t="shared" si="13"/>
        <v>0</v>
      </c>
      <c r="S35" s="62">
        <f t="shared" si="13"/>
        <v>0</v>
      </c>
      <c r="T35" s="62">
        <f t="shared" si="13"/>
        <v>0</v>
      </c>
      <c r="U35" s="62">
        <f t="shared" si="13"/>
        <v>0</v>
      </c>
      <c r="V35" s="62">
        <f t="shared" si="13"/>
        <v>0</v>
      </c>
      <c r="W35" s="62">
        <f t="shared" si="13"/>
        <v>0</v>
      </c>
      <c r="X35" s="62">
        <f t="shared" si="13"/>
        <v>0</v>
      </c>
      <c r="Y35" s="62">
        <f t="shared" si="13"/>
        <v>0</v>
      </c>
      <c r="Z35" s="62">
        <f t="shared" si="13"/>
        <v>0</v>
      </c>
      <c r="AA35" s="62">
        <f t="shared" si="13"/>
        <v>0</v>
      </c>
      <c r="AB35" s="62">
        <f t="shared" si="13"/>
        <v>0</v>
      </c>
      <c r="AC35" s="62">
        <f t="shared" si="13"/>
        <v>0</v>
      </c>
      <c r="AD35" s="62">
        <f t="shared" si="13"/>
        <v>0</v>
      </c>
      <c r="AE35" s="62">
        <f t="shared" si="13"/>
        <v>0</v>
      </c>
      <c r="AF35" s="62">
        <f t="shared" si="13"/>
        <v>0</v>
      </c>
      <c r="AG35" s="62">
        <f t="shared" si="13"/>
        <v>0</v>
      </c>
      <c r="AH35" s="62">
        <f t="shared" si="13"/>
        <v>0</v>
      </c>
      <c r="AI35" s="62">
        <f t="shared" si="13"/>
        <v>0</v>
      </c>
      <c r="AJ35" s="62">
        <f t="shared" si="13"/>
        <v>0</v>
      </c>
      <c r="AK35" s="62">
        <f t="shared" ref="AK35:BM35" si="14">AK11*AK48</f>
        <v>0</v>
      </c>
      <c r="AL35" s="62">
        <f t="shared" si="14"/>
        <v>0</v>
      </c>
      <c r="AM35" s="62">
        <f t="shared" si="14"/>
        <v>0</v>
      </c>
      <c r="AN35" s="62">
        <f t="shared" si="14"/>
        <v>0</v>
      </c>
      <c r="AO35" s="62">
        <f t="shared" si="14"/>
        <v>0</v>
      </c>
      <c r="AP35" s="62">
        <f t="shared" si="14"/>
        <v>0</v>
      </c>
      <c r="AQ35" s="62">
        <f t="shared" si="14"/>
        <v>0</v>
      </c>
      <c r="AR35" s="62">
        <f t="shared" si="14"/>
        <v>0</v>
      </c>
      <c r="AS35" s="62">
        <f t="shared" si="14"/>
        <v>0</v>
      </c>
      <c r="AT35" s="62">
        <f t="shared" si="14"/>
        <v>0</v>
      </c>
      <c r="AU35" s="62">
        <f t="shared" si="14"/>
        <v>0</v>
      </c>
      <c r="AV35" s="62">
        <f t="shared" si="14"/>
        <v>0</v>
      </c>
      <c r="AW35" s="62">
        <f t="shared" si="14"/>
        <v>0</v>
      </c>
      <c r="AX35" s="62">
        <f t="shared" si="14"/>
        <v>0</v>
      </c>
      <c r="AY35" s="62">
        <f t="shared" si="14"/>
        <v>0</v>
      </c>
      <c r="AZ35" s="62">
        <f t="shared" si="14"/>
        <v>0</v>
      </c>
      <c r="BA35" s="62">
        <f t="shared" si="14"/>
        <v>0</v>
      </c>
      <c r="BB35" s="62">
        <f t="shared" si="14"/>
        <v>0</v>
      </c>
      <c r="BC35" s="62">
        <f t="shared" si="14"/>
        <v>0</v>
      </c>
      <c r="BD35" s="62">
        <f t="shared" si="14"/>
        <v>0</v>
      </c>
      <c r="BE35" s="62">
        <f t="shared" si="14"/>
        <v>0</v>
      </c>
      <c r="BF35" s="62">
        <f t="shared" si="14"/>
        <v>0</v>
      </c>
      <c r="BG35" s="62">
        <f t="shared" si="14"/>
        <v>0</v>
      </c>
      <c r="BH35" s="62">
        <f t="shared" si="14"/>
        <v>0</v>
      </c>
      <c r="BI35" s="62">
        <f t="shared" si="14"/>
        <v>0</v>
      </c>
      <c r="BJ35" s="62">
        <f t="shared" si="14"/>
        <v>0</v>
      </c>
      <c r="BK35" s="62">
        <f t="shared" si="14"/>
        <v>0</v>
      </c>
      <c r="BL35" s="62">
        <f t="shared" si="14"/>
        <v>0</v>
      </c>
      <c r="BM35" s="62">
        <f t="shared" si="14"/>
        <v>0</v>
      </c>
      <c r="BN35" s="15"/>
    </row>
    <row r="36" spans="2:66" x14ac:dyDescent="0.3">
      <c r="B36" s="12"/>
      <c r="C36" s="14"/>
      <c r="D36" s="13" t="s">
        <v>66</v>
      </c>
      <c r="E36" s="48">
        <f t="shared" ref="E36:L36" si="15">SUM(E33:E35)</f>
        <v>3.2042000000000002</v>
      </c>
      <c r="F36" s="48">
        <f t="shared" si="15"/>
        <v>3.7105000000000001</v>
      </c>
      <c r="G36" s="48">
        <f t="shared" si="15"/>
        <v>4.2168999999999999</v>
      </c>
      <c r="H36" s="48">
        <f t="shared" si="15"/>
        <v>4.5907999999999998</v>
      </c>
      <c r="I36" s="48">
        <f t="shared" si="15"/>
        <v>4.9647000000000006</v>
      </c>
      <c r="J36" s="48">
        <f t="shared" si="15"/>
        <v>5.1417999999999999</v>
      </c>
      <c r="K36" s="48">
        <f t="shared" si="15"/>
        <v>5.3186</v>
      </c>
      <c r="L36" s="48">
        <f t="shared" si="15"/>
        <v>5.3310999999999993</v>
      </c>
      <c r="M36" s="48">
        <f>SUM(M33:M35)</f>
        <v>4.0447617408000003</v>
      </c>
      <c r="N36" s="48">
        <f t="shared" ref="N36:AS36" si="16">SUM(N33:N35)</f>
        <v>4.0075541908799996</v>
      </c>
      <c r="O36" s="48">
        <f t="shared" si="16"/>
        <v>4.0575661959599998</v>
      </c>
      <c r="P36" s="48">
        <f t="shared" si="16"/>
        <v>4.1197163661599996</v>
      </c>
      <c r="Q36" s="48">
        <f t="shared" si="16"/>
        <v>4.4630366236468983</v>
      </c>
      <c r="R36" s="48">
        <f t="shared" si="16"/>
        <v>4.8134584090924522</v>
      </c>
      <c r="S36" s="48">
        <f t="shared" si="16"/>
        <v>5.1708445152000104</v>
      </c>
      <c r="T36" s="48">
        <f t="shared" si="16"/>
        <v>5.1532093184358896</v>
      </c>
      <c r="U36" s="48">
        <f t="shared" si="16"/>
        <v>5.3459067179827402</v>
      </c>
      <c r="V36" s="48">
        <f t="shared" si="16"/>
        <v>6.28337282140971</v>
      </c>
      <c r="W36" s="48">
        <f t="shared" si="16"/>
        <v>6.6671083223834717</v>
      </c>
      <c r="X36" s="48">
        <f t="shared" si="16"/>
        <v>7.0570333009241297</v>
      </c>
      <c r="Y36" s="48">
        <f t="shared" si="16"/>
        <v>11.089947160799252</v>
      </c>
      <c r="Z36" s="48">
        <f t="shared" si="16"/>
        <v>7.8545823990537924</v>
      </c>
      <c r="AA36" s="48">
        <f t="shared" si="16"/>
        <v>8.2618042359724537</v>
      </c>
      <c r="AB36" s="48">
        <f t="shared" si="16"/>
        <v>8.6743553179282813</v>
      </c>
      <c r="AC36" s="48">
        <f t="shared" si="16"/>
        <v>9.0920319427034944</v>
      </c>
      <c r="AD36" s="48">
        <f t="shared" si="16"/>
        <v>9.5145957081186356</v>
      </c>
      <c r="AE36" s="48">
        <f t="shared" si="16"/>
        <v>9.9418278827752289</v>
      </c>
      <c r="AF36" s="48">
        <f t="shared" si="16"/>
        <v>10.373464559702091</v>
      </c>
      <c r="AG36" s="48">
        <f t="shared" si="16"/>
        <v>10.809282437925505</v>
      </c>
      <c r="AH36" s="48">
        <f t="shared" si="16"/>
        <v>11.249023756593134</v>
      </c>
      <c r="AI36" s="48">
        <f t="shared" si="16"/>
        <v>11.692443127117237</v>
      </c>
      <c r="AJ36" s="48">
        <f t="shared" si="16"/>
        <v>12.139324931172453</v>
      </c>
      <c r="AK36" s="48">
        <f t="shared" si="16"/>
        <v>12.589430486482762</v>
      </c>
      <c r="AL36" s="48">
        <f t="shared" si="16"/>
        <v>13.042490332162803</v>
      </c>
      <c r="AM36" s="48">
        <f t="shared" si="16"/>
        <v>13.498279174551735</v>
      </c>
      <c r="AN36" s="48">
        <f t="shared" si="16"/>
        <v>13.956517933448332</v>
      </c>
      <c r="AO36" s="48">
        <f t="shared" si="16"/>
        <v>14.416971255724157</v>
      </c>
      <c r="AP36" s="48">
        <f t="shared" si="16"/>
        <v>14.879435767274551</v>
      </c>
      <c r="AQ36" s="48">
        <f t="shared" si="16"/>
        <v>15.343607403285546</v>
      </c>
      <c r="AR36" s="48">
        <f t="shared" si="16"/>
        <v>15.809288119489645</v>
      </c>
      <c r="AS36" s="48">
        <f t="shared" si="16"/>
        <v>16.276289330880001</v>
      </c>
      <c r="AT36" s="48">
        <f>SUM(AT33:AT35)</f>
        <v>16.73910437237214</v>
      </c>
      <c r="AU36" s="48">
        <f t="shared" ref="AU36:BM36" si="17">SUM(AU33:AU35)</f>
        <v>17.201695967675846</v>
      </c>
      <c r="AV36" s="48">
        <f t="shared" si="17"/>
        <v>17.663715386999282</v>
      </c>
      <c r="AW36" s="48">
        <f t="shared" si="17"/>
        <v>18.124811049960723</v>
      </c>
      <c r="AX36" s="48">
        <f t="shared" si="17"/>
        <v>18.58462896688599</v>
      </c>
      <c r="AY36" s="48">
        <f t="shared" si="17"/>
        <v>19.042813187641698</v>
      </c>
      <c r="AZ36" s="48">
        <f t="shared" si="17"/>
        <v>19.499006257218781</v>
      </c>
      <c r="BA36" s="48">
        <f t="shared" si="17"/>
        <v>19.952849677253894</v>
      </c>
      <c r="BB36" s="48">
        <f t="shared" si="17"/>
        <v>20.403984372663707</v>
      </c>
      <c r="BC36" s="48">
        <f t="shared" si="17"/>
        <v>20.852051162546839</v>
      </c>
      <c r="BD36" s="48">
        <f t="shared" si="17"/>
        <v>21.296691234493192</v>
      </c>
      <c r="BE36" s="48">
        <f t="shared" si="17"/>
        <v>21.737546621431122</v>
      </c>
      <c r="BF36" s="48">
        <f t="shared" si="17"/>
        <v>22.174260680125968</v>
      </c>
      <c r="BG36" s="48">
        <f t="shared" si="17"/>
        <v>22.606478570440878</v>
      </c>
      <c r="BH36" s="48">
        <f t="shared" si="17"/>
        <v>23.033847734459513</v>
      </c>
      <c r="BI36" s="48">
        <f t="shared" si="17"/>
        <v>23.456018374570554</v>
      </c>
      <c r="BJ36" s="48">
        <f t="shared" si="17"/>
        <v>23.872643929605406</v>
      </c>
      <c r="BK36" s="48">
        <f t="shared" si="17"/>
        <v>24.283381548126727</v>
      </c>
      <c r="BL36" s="48">
        <f t="shared" si="17"/>
        <v>24.68789255796246</v>
      </c>
      <c r="BM36" s="48">
        <f t="shared" si="17"/>
        <v>25.085842931089676</v>
      </c>
      <c r="BN36" s="15"/>
    </row>
    <row r="37" spans="2:66" x14ac:dyDescent="0.3">
      <c r="B37" s="12"/>
      <c r="C37" s="14"/>
      <c r="D37" s="13"/>
      <c r="E37" s="13"/>
      <c r="F37" s="96"/>
      <c r="G37" s="13"/>
      <c r="H37" s="13"/>
      <c r="I37" s="13"/>
      <c r="J37" s="13"/>
      <c r="K37" s="13"/>
      <c r="L37" s="13"/>
      <c r="M37" s="48"/>
      <c r="N37" s="48"/>
      <c r="O37" s="48"/>
      <c r="P37" s="48"/>
      <c r="Q37" s="48"/>
      <c r="R37" s="48"/>
      <c r="S37" s="48"/>
      <c r="T37" s="64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64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64"/>
      <c r="BN37" s="15"/>
    </row>
    <row r="38" spans="2:66" x14ac:dyDescent="0.3">
      <c r="B38" s="12"/>
      <c r="C38" s="14"/>
      <c r="D38" s="13" t="s">
        <v>41</v>
      </c>
      <c r="E38" s="13"/>
      <c r="F38" s="96"/>
      <c r="G38" s="13"/>
      <c r="H38" s="13"/>
      <c r="I38" s="13"/>
      <c r="J38" s="13"/>
      <c r="K38" s="13"/>
      <c r="L38" s="13"/>
      <c r="M38" s="48"/>
      <c r="N38" s="48"/>
      <c r="O38" s="48"/>
      <c r="P38" s="48"/>
      <c r="Q38" s="48"/>
      <c r="R38" s="48"/>
      <c r="S38" s="48"/>
      <c r="T38" s="64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64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64"/>
      <c r="BN38" s="15"/>
    </row>
    <row r="39" spans="2:66" x14ac:dyDescent="0.3">
      <c r="B39" s="12"/>
      <c r="C39" s="14" t="s">
        <v>191</v>
      </c>
      <c r="D39" s="14" t="s">
        <v>122</v>
      </c>
      <c r="E39" s="65">
        <f t="shared" ref="E39:AJ39" si="18">E15*E48</f>
        <v>1.1004716019417475</v>
      </c>
      <c r="F39" s="65">
        <f t="shared" si="18"/>
        <v>1.1227063730896756</v>
      </c>
      <c r="G39" s="65">
        <f t="shared" si="18"/>
        <v>1.265912859582687</v>
      </c>
      <c r="H39" s="65">
        <f t="shared" si="18"/>
        <v>1.3714891151355926</v>
      </c>
      <c r="I39" s="65">
        <f t="shared" si="18"/>
        <v>1.4880227323229362</v>
      </c>
      <c r="J39" s="65">
        <f t="shared" si="18"/>
        <v>1.5708035940803384</v>
      </c>
      <c r="K39" s="65">
        <f t="shared" si="18"/>
        <v>1.6194277372262771</v>
      </c>
      <c r="L39" s="65">
        <f t="shared" si="18"/>
        <v>1.2885335062240664</v>
      </c>
      <c r="M39" s="65">
        <f t="shared" si="18"/>
        <v>1.1502291200400003</v>
      </c>
      <c r="N39" s="65">
        <f t="shared" si="18"/>
        <v>0.91458705600995849</v>
      </c>
      <c r="O39" s="65">
        <f t="shared" si="18"/>
        <v>0.93894093790809918</v>
      </c>
      <c r="P39" s="65">
        <f t="shared" si="18"/>
        <v>0.94906689013809908</v>
      </c>
      <c r="Q39" s="65">
        <f t="shared" si="18"/>
        <v>1.2063500842951018</v>
      </c>
      <c r="R39" s="65">
        <f t="shared" si="18"/>
        <v>1.2169689297397155</v>
      </c>
      <c r="S39" s="65">
        <f t="shared" si="18"/>
        <v>1.3073255403280601</v>
      </c>
      <c r="T39" s="65">
        <f t="shared" si="18"/>
        <v>1.3028668985973575</v>
      </c>
      <c r="U39" s="65">
        <f t="shared" si="18"/>
        <v>1.3515858711446598</v>
      </c>
      <c r="V39" s="65">
        <f t="shared" si="18"/>
        <v>1.5886019671806666</v>
      </c>
      <c r="W39" s="65">
        <f t="shared" si="18"/>
        <v>1.6856203980537863</v>
      </c>
      <c r="X39" s="65">
        <f t="shared" si="18"/>
        <v>1.7842036917033257</v>
      </c>
      <c r="Y39" s="65">
        <f t="shared" si="18"/>
        <v>1.8842946390974427</v>
      </c>
      <c r="Z39" s="65">
        <f t="shared" si="18"/>
        <v>1.985845087530558</v>
      </c>
      <c r="AA39" s="65">
        <f t="shared" si="18"/>
        <v>2.0888014820649778</v>
      </c>
      <c r="AB39" s="65">
        <f t="shared" si="18"/>
        <v>2.1931052499592569</v>
      </c>
      <c r="AC39" s="65">
        <f t="shared" si="18"/>
        <v>2.2987048899332576</v>
      </c>
      <c r="AD39" s="65">
        <f t="shared" si="18"/>
        <v>2.4055401276435604</v>
      </c>
      <c r="AE39" s="65">
        <f t="shared" si="18"/>
        <v>2.5135556620377248</v>
      </c>
      <c r="AF39" s="65">
        <f t="shared" si="18"/>
        <v>2.622684770489943</v>
      </c>
      <c r="AG39" s="65">
        <f t="shared" si="18"/>
        <v>2.7328709966389253</v>
      </c>
      <c r="AH39" s="65">
        <f t="shared" si="18"/>
        <v>2.8440491717594152</v>
      </c>
      <c r="AI39" s="65">
        <f t="shared" si="18"/>
        <v>2.9561572551601647</v>
      </c>
      <c r="AJ39" s="65">
        <f t="shared" si="18"/>
        <v>3.0691407328555225</v>
      </c>
      <c r="AK39" s="65">
        <f t="shared" ref="AK39:BM39" si="19">AK15*AK48</f>
        <v>3.1829392596862891</v>
      </c>
      <c r="AL39" s="65">
        <f t="shared" si="19"/>
        <v>3.2974847088510275</v>
      </c>
      <c r="AM39" s="65">
        <f t="shared" si="19"/>
        <v>3.4127201201847139</v>
      </c>
      <c r="AN39" s="65">
        <f t="shared" si="19"/>
        <v>3.5285749348697735</v>
      </c>
      <c r="AO39" s="65">
        <f t="shared" si="19"/>
        <v>3.6449896494431062</v>
      </c>
      <c r="AP39" s="65">
        <f t="shared" si="19"/>
        <v>3.7619128455802042</v>
      </c>
      <c r="AQ39" s="65">
        <f t="shared" si="19"/>
        <v>3.8792676476960373</v>
      </c>
      <c r="AR39" s="65">
        <f t="shared" si="19"/>
        <v>3.9970039849891599</v>
      </c>
      <c r="AS39" s="65">
        <f t="shared" si="19"/>
        <v>4.1150741782080988</v>
      </c>
      <c r="AT39" s="65">
        <f t="shared" si="19"/>
        <v>4.2320859975370464</v>
      </c>
      <c r="AU39" s="65">
        <f t="shared" si="19"/>
        <v>4.3490413237906047</v>
      </c>
      <c r="AV39" s="65">
        <f t="shared" si="19"/>
        <v>4.4658519889021822</v>
      </c>
      <c r="AW39" s="65">
        <f t="shared" si="19"/>
        <v>4.5824291041010667</v>
      </c>
      <c r="AX39" s="65">
        <f t="shared" si="19"/>
        <v>4.6986831714840225</v>
      </c>
      <c r="AY39" s="65">
        <f t="shared" si="19"/>
        <v>4.8145241974921458</v>
      </c>
      <c r="AZ39" s="65">
        <f t="shared" si="19"/>
        <v>4.9298618080943681</v>
      </c>
      <c r="BA39" s="65">
        <f t="shared" si="19"/>
        <v>5.0446053654722078</v>
      </c>
      <c r="BB39" s="65">
        <f t="shared" si="19"/>
        <v>5.1586640859971959</v>
      </c>
      <c r="BC39" s="65">
        <f t="shared" si="19"/>
        <v>5.2719471592872784</v>
      </c>
      <c r="BD39" s="65">
        <f t="shared" si="19"/>
        <v>5.3843638681246917</v>
      </c>
      <c r="BE39" s="65">
        <f t="shared" si="19"/>
        <v>5.4958237090154736</v>
      </c>
      <c r="BF39" s="65">
        <f t="shared" si="19"/>
        <v>5.6062365131664826</v>
      </c>
      <c r="BG39" s="65">
        <f t="shared" si="19"/>
        <v>5.7155125676551455</v>
      </c>
      <c r="BH39" s="65">
        <f t="shared" si="19"/>
        <v>5.8235627365642753</v>
      </c>
      <c r="BI39" s="65">
        <f t="shared" si="19"/>
        <v>5.9302985818544256</v>
      </c>
      <c r="BJ39" s="65">
        <f t="shared" si="19"/>
        <v>6.0356324837440178</v>
      </c>
      <c r="BK39" s="65">
        <f t="shared" si="19"/>
        <v>6.1394777603691404</v>
      </c>
      <c r="BL39" s="65">
        <f t="shared" si="19"/>
        <v>6.2417487864941057</v>
      </c>
      <c r="BM39" s="65">
        <f t="shared" si="19"/>
        <v>6.3423611110463103</v>
      </c>
      <c r="BN39" s="15"/>
    </row>
    <row r="40" spans="2:66" x14ac:dyDescent="0.3">
      <c r="B40" s="12"/>
      <c r="C40" s="14" t="s">
        <v>190</v>
      </c>
      <c r="D40" s="14" t="s">
        <v>123</v>
      </c>
      <c r="E40" s="65">
        <f t="shared" ref="E40:AJ40" si="20">E16*E48</f>
        <v>2.1037283980582528</v>
      </c>
      <c r="F40" s="65">
        <f t="shared" si="20"/>
        <v>2.587793626910325</v>
      </c>
      <c r="G40" s="65">
        <f t="shared" si="20"/>
        <v>2.9509871404173129</v>
      </c>
      <c r="H40" s="65">
        <f t="shared" si="20"/>
        <v>3.2193108848644076</v>
      </c>
      <c r="I40" s="65">
        <f t="shared" si="20"/>
        <v>3.4766772676770645</v>
      </c>
      <c r="J40" s="65">
        <f t="shared" si="20"/>
        <v>3.5709964059196619</v>
      </c>
      <c r="K40" s="65">
        <f t="shared" si="20"/>
        <v>3.6991722627737227</v>
      </c>
      <c r="L40" s="65">
        <f t="shared" si="20"/>
        <v>4.0425664937759329</v>
      </c>
      <c r="M40" s="65">
        <f t="shared" si="20"/>
        <v>2.8945326207600002</v>
      </c>
      <c r="N40" s="65">
        <f t="shared" si="20"/>
        <v>3.0929671348700412</v>
      </c>
      <c r="O40" s="65">
        <f t="shared" si="20"/>
        <v>3.1186252580519005</v>
      </c>
      <c r="P40" s="65">
        <f t="shared" si="20"/>
        <v>3.1706494760219006</v>
      </c>
      <c r="Q40" s="65">
        <f t="shared" si="20"/>
        <v>3.2566865393517963</v>
      </c>
      <c r="R40" s="65">
        <f t="shared" si="20"/>
        <v>3.5964894793527376</v>
      </c>
      <c r="S40" s="65">
        <f t="shared" si="20"/>
        <v>3.8635189748719512</v>
      </c>
      <c r="T40" s="65">
        <f t="shared" si="20"/>
        <v>3.8503424198385332</v>
      </c>
      <c r="U40" s="65">
        <f t="shared" si="20"/>
        <v>3.9943208468380811</v>
      </c>
      <c r="V40" s="65">
        <f t="shared" si="20"/>
        <v>4.6947708542290441</v>
      </c>
      <c r="W40" s="65">
        <f t="shared" si="20"/>
        <v>4.981487924329687</v>
      </c>
      <c r="X40" s="65">
        <f t="shared" si="20"/>
        <v>5.2728296092208051</v>
      </c>
      <c r="Y40" s="65">
        <f t="shared" si="20"/>
        <v>5.5686268399343142</v>
      </c>
      <c r="Z40" s="65">
        <f t="shared" si="20"/>
        <v>5.868737311523236</v>
      </c>
      <c r="AA40" s="65">
        <f t="shared" si="20"/>
        <v>6.1730027539074772</v>
      </c>
      <c r="AB40" s="65">
        <f t="shared" si="20"/>
        <v>6.4812500679690253</v>
      </c>
      <c r="AC40" s="65">
        <f t="shared" si="20"/>
        <v>6.7933270527702385</v>
      </c>
      <c r="AD40" s="65">
        <f t="shared" si="20"/>
        <v>7.1090555804750766</v>
      </c>
      <c r="AE40" s="65">
        <f t="shared" si="20"/>
        <v>7.4282722207375054</v>
      </c>
      <c r="AF40" s="65">
        <f t="shared" si="20"/>
        <v>7.7507797892121504</v>
      </c>
      <c r="AG40" s="65">
        <f t="shared" si="20"/>
        <v>8.0764114412865826</v>
      </c>
      <c r="AH40" s="65">
        <f t="shared" si="20"/>
        <v>8.4049745848337203</v>
      </c>
      <c r="AI40" s="65">
        <f t="shared" si="20"/>
        <v>8.7362858719570742</v>
      </c>
      <c r="AJ40" s="65">
        <f t="shared" si="20"/>
        <v>9.070184198316932</v>
      </c>
      <c r="AK40" s="65">
        <f t="shared" ref="AK40:BM40" si="21">AK16*AK48</f>
        <v>9.406491226796474</v>
      </c>
      <c r="AL40" s="65">
        <f t="shared" si="21"/>
        <v>9.7450056233117799</v>
      </c>
      <c r="AM40" s="65">
        <f t="shared" si="21"/>
        <v>10.085559054367023</v>
      </c>
      <c r="AN40" s="65">
        <f t="shared" si="21"/>
        <v>10.42794299857856</v>
      </c>
      <c r="AO40" s="65">
        <f t="shared" si="21"/>
        <v>10.771981606281052</v>
      </c>
      <c r="AP40" s="65">
        <f t="shared" si="21"/>
        <v>11.117522921694347</v>
      </c>
      <c r="AQ40" s="65">
        <f t="shared" si="21"/>
        <v>11.464339755589512</v>
      </c>
      <c r="AR40" s="65">
        <f t="shared" si="21"/>
        <v>11.812284134500487</v>
      </c>
      <c r="AS40" s="65">
        <f t="shared" si="21"/>
        <v>12.161215152671906</v>
      </c>
      <c r="AT40" s="65">
        <f t="shared" si="21"/>
        <v>12.507018374835097</v>
      </c>
      <c r="AU40" s="65">
        <f t="shared" si="21"/>
        <v>12.852654643885245</v>
      </c>
      <c r="AV40" s="65">
        <f t="shared" si="21"/>
        <v>13.197863398097104</v>
      </c>
      <c r="AW40" s="65">
        <f t="shared" si="21"/>
        <v>13.54238194585966</v>
      </c>
      <c r="AX40" s="65">
        <f t="shared" si="21"/>
        <v>13.885945795401971</v>
      </c>
      <c r="AY40" s="65">
        <f t="shared" si="21"/>
        <v>14.228288990149556</v>
      </c>
      <c r="AZ40" s="65">
        <f t="shared" si="21"/>
        <v>14.569144449124416</v>
      </c>
      <c r="BA40" s="65">
        <f t="shared" si="21"/>
        <v>14.90824431178169</v>
      </c>
      <c r="BB40" s="65">
        <f t="shared" si="21"/>
        <v>15.245320286666514</v>
      </c>
      <c r="BC40" s="65">
        <f t="shared" si="21"/>
        <v>15.580104003259564</v>
      </c>
      <c r="BD40" s="65">
        <f t="shared" si="21"/>
        <v>15.912327366368503</v>
      </c>
      <c r="BE40" s="65">
        <f t="shared" si="21"/>
        <v>16.241722912415653</v>
      </c>
      <c r="BF40" s="65">
        <f t="shared" si="21"/>
        <v>16.568024166959489</v>
      </c>
      <c r="BG40" s="65">
        <f t="shared" si="21"/>
        <v>16.890966002785738</v>
      </c>
      <c r="BH40" s="65">
        <f t="shared" si="21"/>
        <v>17.210284997895243</v>
      </c>
      <c r="BI40" s="65">
        <f t="shared" si="21"/>
        <v>17.525719792716131</v>
      </c>
      <c r="BJ40" s="65">
        <f t="shared" si="21"/>
        <v>17.837011445861393</v>
      </c>
      <c r="BK40" s="65">
        <f t="shared" si="21"/>
        <v>18.143903787757587</v>
      </c>
      <c r="BL40" s="65">
        <f t="shared" si="21"/>
        <v>18.446143771468357</v>
      </c>
      <c r="BM40" s="65">
        <f t="shared" si="21"/>
        <v>18.743481820043371</v>
      </c>
      <c r="BN40" s="15"/>
    </row>
    <row r="41" spans="2:66" x14ac:dyDescent="0.3">
      <c r="B41" s="12"/>
      <c r="C41" s="14"/>
      <c r="D41" s="13"/>
      <c r="E41" s="48">
        <f t="shared" ref="E41:L41" si="22">SUM(E39:E40)</f>
        <v>3.2042000000000002</v>
      </c>
      <c r="F41" s="48">
        <f t="shared" si="22"/>
        <v>3.7105000000000006</v>
      </c>
      <c r="G41" s="48">
        <f t="shared" si="22"/>
        <v>4.2168999999999999</v>
      </c>
      <c r="H41" s="48">
        <f t="shared" si="22"/>
        <v>4.5907999999999998</v>
      </c>
      <c r="I41" s="48">
        <f t="shared" si="22"/>
        <v>4.9647000000000006</v>
      </c>
      <c r="J41" s="48">
        <f t="shared" si="22"/>
        <v>5.1417999999999999</v>
      </c>
      <c r="K41" s="48">
        <f t="shared" si="22"/>
        <v>5.3186</v>
      </c>
      <c r="L41" s="48">
        <f t="shared" si="22"/>
        <v>5.3310999999999993</v>
      </c>
      <c r="M41" s="48">
        <f>SUM(M39:M40)</f>
        <v>4.0447617408000003</v>
      </c>
      <c r="N41" s="48">
        <f t="shared" ref="N41:BM41" si="23">SUM(N39:N40)</f>
        <v>4.0075541908799996</v>
      </c>
      <c r="O41" s="48">
        <f t="shared" si="23"/>
        <v>4.0575661959599998</v>
      </c>
      <c r="P41" s="48">
        <f t="shared" si="23"/>
        <v>4.1197163661599996</v>
      </c>
      <c r="Q41" s="48">
        <f t="shared" si="23"/>
        <v>4.4630366236468983</v>
      </c>
      <c r="R41" s="48">
        <f t="shared" si="23"/>
        <v>4.813458409092453</v>
      </c>
      <c r="S41" s="48">
        <f t="shared" si="23"/>
        <v>5.1708445152000113</v>
      </c>
      <c r="T41" s="48">
        <f t="shared" si="23"/>
        <v>5.1532093184358905</v>
      </c>
      <c r="U41" s="48">
        <f t="shared" si="23"/>
        <v>5.3459067179827411</v>
      </c>
      <c r="V41" s="48">
        <f t="shared" si="23"/>
        <v>6.2833728214097109</v>
      </c>
      <c r="W41" s="48">
        <f t="shared" si="23"/>
        <v>6.6671083223834735</v>
      </c>
      <c r="X41" s="48">
        <f t="shared" si="23"/>
        <v>7.0570333009241306</v>
      </c>
      <c r="Y41" s="48">
        <f t="shared" si="23"/>
        <v>7.4529214790317564</v>
      </c>
      <c r="Z41" s="48">
        <f t="shared" si="23"/>
        <v>7.8545823990537942</v>
      </c>
      <c r="AA41" s="48">
        <f t="shared" si="23"/>
        <v>8.2618042359724555</v>
      </c>
      <c r="AB41" s="48">
        <f t="shared" si="23"/>
        <v>8.6743553179282813</v>
      </c>
      <c r="AC41" s="48">
        <f t="shared" si="23"/>
        <v>9.0920319427034961</v>
      </c>
      <c r="AD41" s="48">
        <f t="shared" si="23"/>
        <v>9.5145957081186374</v>
      </c>
      <c r="AE41" s="48">
        <f t="shared" si="23"/>
        <v>9.9418278827752307</v>
      </c>
      <c r="AF41" s="48">
        <f t="shared" si="23"/>
        <v>10.373464559702093</v>
      </c>
      <c r="AG41" s="48">
        <f t="shared" si="23"/>
        <v>10.809282437925507</v>
      </c>
      <c r="AH41" s="48">
        <f t="shared" si="23"/>
        <v>11.249023756593136</v>
      </c>
      <c r="AI41" s="48">
        <f t="shared" si="23"/>
        <v>11.692443127117238</v>
      </c>
      <c r="AJ41" s="48">
        <f t="shared" si="23"/>
        <v>12.139324931172455</v>
      </c>
      <c r="AK41" s="48">
        <f t="shared" si="23"/>
        <v>12.589430486482764</v>
      </c>
      <c r="AL41" s="48">
        <f t="shared" si="23"/>
        <v>13.042490332162807</v>
      </c>
      <c r="AM41" s="48">
        <f t="shared" si="23"/>
        <v>13.498279174551737</v>
      </c>
      <c r="AN41" s="48">
        <f t="shared" si="23"/>
        <v>13.956517933448334</v>
      </c>
      <c r="AO41" s="48">
        <f t="shared" si="23"/>
        <v>14.416971255724158</v>
      </c>
      <c r="AP41" s="48">
        <f t="shared" si="23"/>
        <v>14.879435767274551</v>
      </c>
      <c r="AQ41" s="48">
        <f t="shared" si="23"/>
        <v>15.343607403285549</v>
      </c>
      <c r="AR41" s="48">
        <f t="shared" si="23"/>
        <v>15.809288119489647</v>
      </c>
      <c r="AS41" s="48">
        <f t="shared" si="23"/>
        <v>16.276289330880005</v>
      </c>
      <c r="AT41" s="48">
        <f t="shared" si="23"/>
        <v>16.739104372372143</v>
      </c>
      <c r="AU41" s="48">
        <f t="shared" si="23"/>
        <v>17.20169596767585</v>
      </c>
      <c r="AV41" s="48">
        <f t="shared" si="23"/>
        <v>17.663715386999286</v>
      </c>
      <c r="AW41" s="48">
        <f t="shared" si="23"/>
        <v>18.124811049960726</v>
      </c>
      <c r="AX41" s="48">
        <f t="shared" si="23"/>
        <v>18.584628966885994</v>
      </c>
      <c r="AY41" s="48">
        <f t="shared" si="23"/>
        <v>19.042813187641702</v>
      </c>
      <c r="AZ41" s="48">
        <f t="shared" si="23"/>
        <v>19.499006257218785</v>
      </c>
      <c r="BA41" s="48">
        <f t="shared" si="23"/>
        <v>19.952849677253898</v>
      </c>
      <c r="BB41" s="48">
        <f t="shared" si="23"/>
        <v>20.403984372663711</v>
      </c>
      <c r="BC41" s="48">
        <f t="shared" si="23"/>
        <v>20.852051162546843</v>
      </c>
      <c r="BD41" s="48">
        <f t="shared" si="23"/>
        <v>21.296691234493196</v>
      </c>
      <c r="BE41" s="48">
        <f t="shared" si="23"/>
        <v>21.737546621431129</v>
      </c>
      <c r="BF41" s="48">
        <f t="shared" si="23"/>
        <v>22.174260680125972</v>
      </c>
      <c r="BG41" s="48">
        <f t="shared" si="23"/>
        <v>22.606478570440885</v>
      </c>
      <c r="BH41" s="48">
        <f t="shared" si="23"/>
        <v>23.03384773445952</v>
      </c>
      <c r="BI41" s="48">
        <f t="shared" si="23"/>
        <v>23.456018374570558</v>
      </c>
      <c r="BJ41" s="48">
        <f t="shared" si="23"/>
        <v>23.87264392960541</v>
      </c>
      <c r="BK41" s="48">
        <f t="shared" si="23"/>
        <v>24.283381548126727</v>
      </c>
      <c r="BL41" s="48">
        <f t="shared" si="23"/>
        <v>24.687892557962464</v>
      </c>
      <c r="BM41" s="48">
        <f t="shared" si="23"/>
        <v>25.08584293108968</v>
      </c>
      <c r="BN41" s="15"/>
    </row>
    <row r="42" spans="2:66" x14ac:dyDescent="0.3">
      <c r="B42" s="12"/>
      <c r="C42" s="14"/>
      <c r="D42" s="13" t="s">
        <v>41</v>
      </c>
      <c r="E42" s="13"/>
      <c r="F42" s="96"/>
      <c r="G42" s="13"/>
      <c r="H42" s="13"/>
      <c r="I42" s="13"/>
      <c r="J42" s="13"/>
      <c r="K42" s="13"/>
      <c r="L42" s="13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15"/>
    </row>
    <row r="43" spans="2:66" x14ac:dyDescent="0.3">
      <c r="B43" s="12"/>
      <c r="C43" s="14" t="s">
        <v>75</v>
      </c>
      <c r="D43" s="14" t="s">
        <v>124</v>
      </c>
      <c r="E43" s="62">
        <f t="shared" ref="E43:AJ43" si="24">E19*E48</f>
        <v>0.90678859999999994</v>
      </c>
      <c r="F43" s="62">
        <f t="shared" si="24"/>
        <v>1.0573149641148325</v>
      </c>
      <c r="G43" s="62">
        <f t="shared" si="24"/>
        <v>1.1956828272727273</v>
      </c>
      <c r="H43" s="62">
        <f t="shared" si="24"/>
        <v>1.2991963999999998</v>
      </c>
      <c r="I43" s="62">
        <f t="shared" si="24"/>
        <v>1.4137042636363635</v>
      </c>
      <c r="J43" s="62">
        <f t="shared" si="24"/>
        <v>1.4859802</v>
      </c>
      <c r="K43" s="62">
        <f t="shared" si="24"/>
        <v>1.5530311999999999</v>
      </c>
      <c r="L43" s="62">
        <f t="shared" si="24"/>
        <v>1.2421462999999999</v>
      </c>
      <c r="M43" s="62">
        <f t="shared" si="24"/>
        <v>1.1042199552384002</v>
      </c>
      <c r="N43" s="62">
        <f t="shared" si="24"/>
        <v>0.88166192199359994</v>
      </c>
      <c r="O43" s="62">
        <f t="shared" si="24"/>
        <v>0.90889482789503995</v>
      </c>
      <c r="P43" s="62">
        <f t="shared" si="24"/>
        <v>0.91869674965367998</v>
      </c>
      <c r="Q43" s="62">
        <f t="shared" si="24"/>
        <v>1.1737786320191343</v>
      </c>
      <c r="R43" s="62">
        <f t="shared" si="24"/>
        <v>1.1841107686367431</v>
      </c>
      <c r="S43" s="62">
        <f t="shared" si="24"/>
        <v>1.2720277507392026</v>
      </c>
      <c r="T43" s="62">
        <f t="shared" si="24"/>
        <v>1.2676894923352289</v>
      </c>
      <c r="U43" s="62">
        <f t="shared" si="24"/>
        <v>1.3150930526237541</v>
      </c>
      <c r="V43" s="62">
        <f t="shared" si="24"/>
        <v>1.5457097140667886</v>
      </c>
      <c r="W43" s="62">
        <f t="shared" si="24"/>
        <v>1.640108647306334</v>
      </c>
      <c r="X43" s="62">
        <f t="shared" si="24"/>
        <v>1.736030192027336</v>
      </c>
      <c r="Y43" s="62">
        <f t="shared" si="24"/>
        <v>1.8334186838418118</v>
      </c>
      <c r="Z43" s="62">
        <f t="shared" si="24"/>
        <v>1.9322272701672329</v>
      </c>
      <c r="AA43" s="62">
        <f t="shared" si="24"/>
        <v>2.0324038420492236</v>
      </c>
      <c r="AB43" s="62">
        <f t="shared" si="24"/>
        <v>2.1338914082103573</v>
      </c>
      <c r="AC43" s="62">
        <f t="shared" si="24"/>
        <v>2.2366398579050597</v>
      </c>
      <c r="AD43" s="62">
        <f t="shared" si="24"/>
        <v>2.3405905441971844</v>
      </c>
      <c r="AE43" s="62">
        <f t="shared" si="24"/>
        <v>2.4456896591627064</v>
      </c>
      <c r="AF43" s="62">
        <f t="shared" si="24"/>
        <v>2.5518722816867143</v>
      </c>
      <c r="AG43" s="62">
        <f t="shared" si="24"/>
        <v>2.6590834797296741</v>
      </c>
      <c r="AH43" s="62">
        <f t="shared" si="24"/>
        <v>2.7672598441219112</v>
      </c>
      <c r="AI43" s="62">
        <f t="shared" si="24"/>
        <v>2.8763410092708401</v>
      </c>
      <c r="AJ43" s="62">
        <f t="shared" si="24"/>
        <v>2.9862739330684236</v>
      </c>
      <c r="AK43" s="62">
        <f t="shared" ref="AK43:BM43" si="25">AK19*AK48</f>
        <v>3.0969998996747594</v>
      </c>
      <c r="AL43" s="62">
        <f t="shared" si="25"/>
        <v>3.2084526217120497</v>
      </c>
      <c r="AM43" s="62">
        <f t="shared" si="25"/>
        <v>3.3205766769397269</v>
      </c>
      <c r="AN43" s="62">
        <f t="shared" si="25"/>
        <v>3.4333034116282897</v>
      </c>
      <c r="AO43" s="62">
        <f t="shared" si="25"/>
        <v>3.5465749289081425</v>
      </c>
      <c r="AP43" s="62">
        <f t="shared" si="25"/>
        <v>3.6603411987495389</v>
      </c>
      <c r="AQ43" s="62">
        <f t="shared" si="25"/>
        <v>3.7745274212082442</v>
      </c>
      <c r="AR43" s="62">
        <f t="shared" si="25"/>
        <v>3.8890848773944526</v>
      </c>
      <c r="AS43" s="62">
        <f t="shared" si="25"/>
        <v>4.0039671753964798</v>
      </c>
      <c r="AT43" s="62">
        <f t="shared" si="25"/>
        <v>4.1178196756035463</v>
      </c>
      <c r="AU43" s="62">
        <f t="shared" si="25"/>
        <v>4.2316172080482577</v>
      </c>
      <c r="AV43" s="62">
        <f t="shared" si="25"/>
        <v>4.345273985201823</v>
      </c>
      <c r="AW43" s="62">
        <f t="shared" si="25"/>
        <v>4.4587035182903376</v>
      </c>
      <c r="AX43" s="62">
        <f t="shared" si="25"/>
        <v>4.5718187258539533</v>
      </c>
      <c r="AY43" s="62">
        <f t="shared" si="25"/>
        <v>4.6845320441598579</v>
      </c>
      <c r="AZ43" s="62">
        <f t="shared" si="25"/>
        <v>4.7967555392758197</v>
      </c>
      <c r="BA43" s="62">
        <f t="shared" si="25"/>
        <v>4.9084010206044582</v>
      </c>
      <c r="BB43" s="62">
        <f t="shared" si="25"/>
        <v>5.0193801556752717</v>
      </c>
      <c r="BC43" s="62">
        <f t="shared" si="25"/>
        <v>5.129604585986522</v>
      </c>
      <c r="BD43" s="62">
        <f t="shared" si="25"/>
        <v>5.2389860436853253</v>
      </c>
      <c r="BE43" s="62">
        <f t="shared" si="25"/>
        <v>5.3474364688720559</v>
      </c>
      <c r="BF43" s="62">
        <f t="shared" si="25"/>
        <v>5.4548681273109878</v>
      </c>
      <c r="BG43" s="62">
        <f t="shared" si="25"/>
        <v>5.5611937283284565</v>
      </c>
      <c r="BH43" s="62">
        <f t="shared" si="25"/>
        <v>5.6663265426770399</v>
      </c>
      <c r="BI43" s="62">
        <f t="shared" si="25"/>
        <v>5.7701805201443559</v>
      </c>
      <c r="BJ43" s="62">
        <f t="shared" si="25"/>
        <v>5.8726704066829294</v>
      </c>
      <c r="BK43" s="62">
        <f t="shared" si="25"/>
        <v>5.9737118608391739</v>
      </c>
      <c r="BL43" s="62">
        <f t="shared" si="25"/>
        <v>6.0732215692587648</v>
      </c>
      <c r="BM43" s="62">
        <f t="shared" si="25"/>
        <v>6.1711173610480605</v>
      </c>
      <c r="BN43" s="15"/>
    </row>
    <row r="44" spans="2:66" x14ac:dyDescent="0.3">
      <c r="B44" s="12"/>
      <c r="C44" s="14" t="s">
        <v>136</v>
      </c>
      <c r="D44" s="14" t="s">
        <v>125</v>
      </c>
      <c r="E44" s="62">
        <f t="shared" ref="E44:AJ44" si="26">E20*E48</f>
        <v>1.7334722000000005</v>
      </c>
      <c r="F44" s="62">
        <f t="shared" si="26"/>
        <v>2.4370690247740643</v>
      </c>
      <c r="G44" s="62">
        <f t="shared" si="26"/>
        <v>2.7872729316161609</v>
      </c>
      <c r="H44" s="62">
        <f t="shared" si="26"/>
        <v>3.0496174311111082</v>
      </c>
      <c r="I44" s="62">
        <f t="shared" si="26"/>
        <v>3.3030365530303065</v>
      </c>
      <c r="J44" s="62">
        <f t="shared" si="26"/>
        <v>3.3781626</v>
      </c>
      <c r="K44" s="62">
        <f t="shared" si="26"/>
        <v>3.5475062000000004</v>
      </c>
      <c r="L44" s="62">
        <f t="shared" si="26"/>
        <v>3.8970340999999995</v>
      </c>
      <c r="M44" s="62">
        <f t="shared" si="26"/>
        <v>2.7787513159296</v>
      </c>
      <c r="N44" s="62">
        <f t="shared" si="26"/>
        <v>2.9816203180147198</v>
      </c>
      <c r="O44" s="62">
        <f t="shared" si="26"/>
        <v>3.0188292497942397</v>
      </c>
      <c r="P44" s="62">
        <f t="shared" si="26"/>
        <v>3.0691886927891998</v>
      </c>
      <c r="Q44" s="62">
        <f t="shared" si="26"/>
        <v>3.1687560027892983</v>
      </c>
      <c r="R44" s="62">
        <f t="shared" si="26"/>
        <v>3.4993842634102128</v>
      </c>
      <c r="S44" s="62">
        <f t="shared" si="26"/>
        <v>3.7592039625504077</v>
      </c>
      <c r="T44" s="62">
        <f t="shared" si="26"/>
        <v>3.7463831745028915</v>
      </c>
      <c r="U44" s="62">
        <f t="shared" si="26"/>
        <v>3.8864741839734522</v>
      </c>
      <c r="V44" s="62">
        <f t="shared" si="26"/>
        <v>4.5680120411648586</v>
      </c>
      <c r="W44" s="62">
        <f t="shared" si="26"/>
        <v>4.8469877503727838</v>
      </c>
      <c r="X44" s="62">
        <f t="shared" si="26"/>
        <v>5.1304632097718423</v>
      </c>
      <c r="Y44" s="62">
        <f t="shared" si="26"/>
        <v>5.4182739152560861</v>
      </c>
      <c r="Z44" s="62">
        <f t="shared" si="26"/>
        <v>5.7102814041121066</v>
      </c>
      <c r="AA44" s="62">
        <f t="shared" si="26"/>
        <v>6.0063316795519741</v>
      </c>
      <c r="AB44" s="62">
        <f t="shared" si="26"/>
        <v>6.3062563161338607</v>
      </c>
      <c r="AC44" s="62">
        <f t="shared" si="26"/>
        <v>6.6099072223454405</v>
      </c>
      <c r="AD44" s="62">
        <f t="shared" si="26"/>
        <v>6.9171110798022477</v>
      </c>
      <c r="AE44" s="62">
        <f t="shared" si="26"/>
        <v>7.2277088707775912</v>
      </c>
      <c r="AF44" s="62">
        <f t="shared" si="26"/>
        <v>7.5415087349034202</v>
      </c>
      <c r="AG44" s="62">
        <f t="shared" si="26"/>
        <v>7.8583483323718424</v>
      </c>
      <c r="AH44" s="62">
        <f t="shared" si="26"/>
        <v>8.1780402710432085</v>
      </c>
      <c r="AI44" s="62">
        <f t="shared" si="26"/>
        <v>8.5004061534142306</v>
      </c>
      <c r="AJ44" s="62">
        <f t="shared" si="26"/>
        <v>8.8252892249623738</v>
      </c>
      <c r="AK44" s="62">
        <f t="shared" ref="AK44:BM44" si="27">AK20*AK48</f>
        <v>9.1525159636729683</v>
      </c>
      <c r="AL44" s="62">
        <f t="shared" si="27"/>
        <v>9.4818904714823589</v>
      </c>
      <c r="AM44" s="62">
        <f t="shared" si="27"/>
        <v>9.8132489598991111</v>
      </c>
      <c r="AN44" s="62">
        <f t="shared" si="27"/>
        <v>10.146388537616938</v>
      </c>
      <c r="AO44" s="62">
        <f t="shared" si="27"/>
        <v>10.481138102911462</v>
      </c>
      <c r="AP44" s="62">
        <f t="shared" si="27"/>
        <v>10.817349802808597</v>
      </c>
      <c r="AQ44" s="62">
        <f t="shared" si="27"/>
        <v>11.154802582188591</v>
      </c>
      <c r="AR44" s="62">
        <f t="shared" si="27"/>
        <v>11.493352462868971</v>
      </c>
      <c r="AS44" s="62">
        <f t="shared" si="27"/>
        <v>11.83286234354976</v>
      </c>
      <c r="AT44" s="62">
        <f t="shared" si="27"/>
        <v>12.169328878714545</v>
      </c>
      <c r="AU44" s="62">
        <f t="shared" si="27"/>
        <v>12.50563296850034</v>
      </c>
      <c r="AV44" s="62">
        <f t="shared" si="27"/>
        <v>12.841521086348477</v>
      </c>
      <c r="AW44" s="62">
        <f t="shared" si="27"/>
        <v>13.176737633321444</v>
      </c>
      <c r="AX44" s="62">
        <f t="shared" si="27"/>
        <v>13.511025258926114</v>
      </c>
      <c r="AY44" s="62">
        <f t="shared" si="27"/>
        <v>13.844125187415514</v>
      </c>
      <c r="AZ44" s="62">
        <f t="shared" si="27"/>
        <v>14.175777548998054</v>
      </c>
      <c r="BA44" s="62">
        <f t="shared" si="27"/>
        <v>14.505721715363581</v>
      </c>
      <c r="BB44" s="62">
        <f t="shared" si="27"/>
        <v>14.833696638926515</v>
      </c>
      <c r="BC44" s="62">
        <f t="shared" si="27"/>
        <v>15.159441195171551</v>
      </c>
      <c r="BD44" s="62">
        <f t="shared" si="27"/>
        <v>15.48269452747655</v>
      </c>
      <c r="BE44" s="62">
        <f t="shared" si="27"/>
        <v>15.803196393780425</v>
      </c>
      <c r="BF44" s="62">
        <f t="shared" si="27"/>
        <v>16.120687514451578</v>
      </c>
      <c r="BG44" s="62">
        <f t="shared" si="27"/>
        <v>16.43490992071052</v>
      </c>
      <c r="BH44" s="62">
        <f t="shared" si="27"/>
        <v>16.745607302952067</v>
      </c>
      <c r="BI44" s="62">
        <f t="shared" si="27"/>
        <v>17.052525358312792</v>
      </c>
      <c r="BJ44" s="62">
        <f t="shared" si="27"/>
        <v>17.35541213682313</v>
      </c>
      <c r="BK44" s="62">
        <f t="shared" si="27"/>
        <v>17.654018385488126</v>
      </c>
      <c r="BL44" s="62">
        <f t="shared" si="27"/>
        <v>17.948097889638706</v>
      </c>
      <c r="BM44" s="62">
        <f t="shared" si="27"/>
        <v>18.237407810902194</v>
      </c>
      <c r="BN44" s="15"/>
    </row>
    <row r="45" spans="2:66" x14ac:dyDescent="0.3">
      <c r="B45" s="12"/>
      <c r="C45" s="14"/>
      <c r="D45" s="13" t="s">
        <v>66</v>
      </c>
      <c r="E45" s="62">
        <f t="shared" ref="E45:AJ45" si="28">E21*E48</f>
        <v>2.6402608000000005</v>
      </c>
      <c r="F45" s="62">
        <f t="shared" si="28"/>
        <v>3.494383988888897</v>
      </c>
      <c r="G45" s="62">
        <f t="shared" si="28"/>
        <v>3.9829557588888882</v>
      </c>
      <c r="H45" s="62">
        <f t="shared" si="28"/>
        <v>4.3488138311111078</v>
      </c>
      <c r="I45" s="62">
        <f t="shared" si="28"/>
        <v>4.71674081666667</v>
      </c>
      <c r="J45" s="62">
        <f t="shared" si="28"/>
        <v>4.8641427999999998</v>
      </c>
      <c r="K45" s="62">
        <f t="shared" si="28"/>
        <v>5.1005374000000003</v>
      </c>
      <c r="L45" s="62">
        <f t="shared" si="28"/>
        <v>5.139180399999999</v>
      </c>
      <c r="M45" s="62">
        <f t="shared" si="28"/>
        <v>3.882971271168</v>
      </c>
      <c r="N45" s="62">
        <f t="shared" si="28"/>
        <v>3.8632822400083193</v>
      </c>
      <c r="O45" s="62">
        <f t="shared" si="28"/>
        <v>3.9277240776892799</v>
      </c>
      <c r="P45" s="62">
        <f t="shared" si="28"/>
        <v>3.9878854424428796</v>
      </c>
      <c r="Q45" s="62">
        <f t="shared" si="28"/>
        <v>4.3425346348084322</v>
      </c>
      <c r="R45" s="62">
        <f t="shared" si="28"/>
        <v>4.6834950320469559</v>
      </c>
      <c r="S45" s="62">
        <f t="shared" si="28"/>
        <v>5.0312317132896096</v>
      </c>
      <c r="T45" s="62">
        <f t="shared" si="28"/>
        <v>5.0140726668381204</v>
      </c>
      <c r="U45" s="62">
        <f t="shared" si="28"/>
        <v>5.2015672365972057</v>
      </c>
      <c r="V45" s="62">
        <f t="shared" si="28"/>
        <v>6.1137217552316478</v>
      </c>
      <c r="W45" s="62">
        <f t="shared" si="28"/>
        <v>6.4870963976791183</v>
      </c>
      <c r="X45" s="62">
        <f t="shared" si="28"/>
        <v>6.8664934017991781</v>
      </c>
      <c r="Y45" s="62">
        <f t="shared" si="28"/>
        <v>7.2516925990978978</v>
      </c>
      <c r="Z45" s="62">
        <f t="shared" si="28"/>
        <v>7.6425086742793402</v>
      </c>
      <c r="AA45" s="62">
        <f t="shared" si="28"/>
        <v>8.0387355216011969</v>
      </c>
      <c r="AB45" s="62">
        <f t="shared" si="28"/>
        <v>8.440147724344218</v>
      </c>
      <c r="AC45" s="62">
        <f t="shared" si="28"/>
        <v>8.8465470802505006</v>
      </c>
      <c r="AD45" s="62">
        <f t="shared" si="28"/>
        <v>9.2577016239994325</v>
      </c>
      <c r="AE45" s="62">
        <f t="shared" si="28"/>
        <v>9.6733985299402967</v>
      </c>
      <c r="AF45" s="62">
        <f t="shared" si="28"/>
        <v>10.093381016590135</v>
      </c>
      <c r="AG45" s="62">
        <f t="shared" si="28"/>
        <v>10.517431812101517</v>
      </c>
      <c r="AH45" s="62">
        <f t="shared" si="28"/>
        <v>10.94530011516512</v>
      </c>
      <c r="AI45" s="62">
        <f t="shared" si="28"/>
        <v>11.376747162685071</v>
      </c>
      <c r="AJ45" s="62">
        <f t="shared" si="28"/>
        <v>11.811563158030797</v>
      </c>
      <c r="AK45" s="62">
        <f t="shared" ref="AK45:BM45" si="29">AK21*AK48</f>
        <v>12.249515863347726</v>
      </c>
      <c r="AL45" s="62">
        <f t="shared" si="29"/>
        <v>12.690343093194409</v>
      </c>
      <c r="AM45" s="62">
        <f t="shared" si="29"/>
        <v>13.133825636838838</v>
      </c>
      <c r="AN45" s="62">
        <f t="shared" si="29"/>
        <v>13.579691949245227</v>
      </c>
      <c r="AO45" s="62">
        <f t="shared" si="29"/>
        <v>14.027713031819603</v>
      </c>
      <c r="AP45" s="62">
        <f t="shared" si="29"/>
        <v>14.477691001558135</v>
      </c>
      <c r="AQ45" s="62">
        <f t="shared" si="29"/>
        <v>14.929330003396835</v>
      </c>
      <c r="AR45" s="62">
        <f t="shared" si="29"/>
        <v>15.382437340263424</v>
      </c>
      <c r="AS45" s="62">
        <f t="shared" si="29"/>
        <v>15.83682951894624</v>
      </c>
      <c r="AT45" s="62">
        <f t="shared" si="29"/>
        <v>16.28714855431809</v>
      </c>
      <c r="AU45" s="62">
        <f t="shared" si="29"/>
        <v>16.737250176548599</v>
      </c>
      <c r="AV45" s="62">
        <f t="shared" si="29"/>
        <v>17.1867950715503</v>
      </c>
      <c r="AW45" s="62">
        <f t="shared" si="29"/>
        <v>17.635441151611783</v>
      </c>
      <c r="AX45" s="62">
        <f t="shared" si="29"/>
        <v>18.082843984780069</v>
      </c>
      <c r="AY45" s="62">
        <f t="shared" si="29"/>
        <v>18.528657231575373</v>
      </c>
      <c r="AZ45" s="62">
        <f t="shared" si="29"/>
        <v>18.972533088273874</v>
      </c>
      <c r="BA45" s="62">
        <f t="shared" si="29"/>
        <v>19.414122735968039</v>
      </c>
      <c r="BB45" s="62">
        <f t="shared" si="29"/>
        <v>19.853076794601787</v>
      </c>
      <c r="BC45" s="62">
        <f t="shared" si="29"/>
        <v>20.289045781158073</v>
      </c>
      <c r="BD45" s="62">
        <f t="shared" si="29"/>
        <v>20.721680571161876</v>
      </c>
      <c r="BE45" s="62">
        <f t="shared" si="29"/>
        <v>21.150632862652483</v>
      </c>
      <c r="BF45" s="62">
        <f t="shared" si="29"/>
        <v>21.575555641762566</v>
      </c>
      <c r="BG45" s="62">
        <f t="shared" si="29"/>
        <v>21.996103649038975</v>
      </c>
      <c r="BH45" s="62">
        <f t="shared" si="29"/>
        <v>22.411933845629108</v>
      </c>
      <c r="BI45" s="62">
        <f t="shared" si="29"/>
        <v>22.82270587845715</v>
      </c>
      <c r="BJ45" s="62">
        <f t="shared" si="29"/>
        <v>23.228082543506058</v>
      </c>
      <c r="BK45" s="62">
        <f t="shared" si="29"/>
        <v>23.6277302463273</v>
      </c>
      <c r="BL45" s="62">
        <f t="shared" si="29"/>
        <v>24.021319458897473</v>
      </c>
      <c r="BM45" s="62">
        <f t="shared" si="29"/>
        <v>24.408525171950256</v>
      </c>
      <c r="BN45" s="15"/>
    </row>
    <row r="46" spans="2:66" x14ac:dyDescent="0.3">
      <c r="B46" s="12"/>
      <c r="C46" s="14"/>
      <c r="D46" s="14"/>
      <c r="E46" s="48">
        <f t="shared" ref="E46:L46" si="30">E23*E48</f>
        <v>1.4707277999999997</v>
      </c>
      <c r="F46" s="48">
        <f t="shared" si="30"/>
        <v>1.2734309752259358</v>
      </c>
      <c r="G46" s="48">
        <f t="shared" si="30"/>
        <v>1.429627068383839</v>
      </c>
      <c r="H46" s="48">
        <f t="shared" si="30"/>
        <v>1.541182568888892</v>
      </c>
      <c r="I46" s="48">
        <f t="shared" si="30"/>
        <v>1.6616634469696945</v>
      </c>
      <c r="J46" s="48">
        <f t="shared" si="30"/>
        <v>1.7636373999999995</v>
      </c>
      <c r="K46" s="48">
        <f t="shared" si="30"/>
        <v>1.7710937999999996</v>
      </c>
      <c r="L46" s="48">
        <f t="shared" si="30"/>
        <v>1.4340658999999996</v>
      </c>
      <c r="M46" s="48">
        <f>M23*M48</f>
        <v>1.2660104248704005</v>
      </c>
      <c r="N46" s="48">
        <f>N23*N48</f>
        <v>1.02593387286528</v>
      </c>
      <c r="O46" s="48">
        <f t="shared" ref="O46:BM46" si="31">O23*O48</f>
        <v>1.0387369461657601</v>
      </c>
      <c r="P46" s="48">
        <f t="shared" si="31"/>
        <v>1.0505276733708002</v>
      </c>
      <c r="Q46" s="48">
        <f t="shared" si="31"/>
        <v>1.2942806208575999</v>
      </c>
      <c r="R46" s="48">
        <f t="shared" si="31"/>
        <v>1.3140741456822396</v>
      </c>
      <c r="S46" s="48">
        <f t="shared" si="31"/>
        <v>1.411640552649603</v>
      </c>
      <c r="T46" s="48">
        <f t="shared" si="31"/>
        <v>1.4068261439329979</v>
      </c>
      <c r="U46" s="48">
        <f t="shared" si="31"/>
        <v>1.4594325340092882</v>
      </c>
      <c r="V46" s="48">
        <f t="shared" si="31"/>
        <v>1.7153607802448509</v>
      </c>
      <c r="W46" s="48">
        <f t="shared" si="31"/>
        <v>1.8201205720106879</v>
      </c>
      <c r="X46" s="48">
        <f t="shared" si="31"/>
        <v>1.9265700911522876</v>
      </c>
      <c r="Y46" s="48">
        <f t="shared" si="31"/>
        <v>2.0346475637756694</v>
      </c>
      <c r="Z46" s="48">
        <f t="shared" si="31"/>
        <v>2.1443009949416854</v>
      </c>
      <c r="AA46" s="48">
        <f t="shared" si="31"/>
        <v>2.2554725564204801</v>
      </c>
      <c r="AB46" s="48">
        <f t="shared" si="31"/>
        <v>2.368099001794421</v>
      </c>
      <c r="AC46" s="48">
        <f t="shared" si="31"/>
        <v>2.4821247203580543</v>
      </c>
      <c r="AD46" s="48">
        <f t="shared" si="31"/>
        <v>2.5974846283163879</v>
      </c>
      <c r="AE46" s="48">
        <f t="shared" si="31"/>
        <v>2.7141190119976377</v>
      </c>
      <c r="AF46" s="48">
        <f t="shared" si="31"/>
        <v>2.8319558247986709</v>
      </c>
      <c r="AG46" s="48">
        <f t="shared" si="31"/>
        <v>2.9509341055536633</v>
      </c>
      <c r="AH46" s="48">
        <f t="shared" si="31"/>
        <v>3.0709834855499261</v>
      </c>
      <c r="AI46" s="48">
        <f t="shared" si="31"/>
        <v>3.1920369737030057</v>
      </c>
      <c r="AJ46" s="48">
        <f t="shared" si="31"/>
        <v>3.3140357062100798</v>
      </c>
      <c r="AK46" s="48">
        <f t="shared" si="31"/>
        <v>3.4369145228097944</v>
      </c>
      <c r="AL46" s="48">
        <f t="shared" si="31"/>
        <v>3.5605998606804459</v>
      </c>
      <c r="AM46" s="48">
        <f t="shared" si="31"/>
        <v>3.6850302146526239</v>
      </c>
      <c r="AN46" s="48">
        <f t="shared" si="31"/>
        <v>3.8101293958313946</v>
      </c>
      <c r="AO46" s="48">
        <f t="shared" si="31"/>
        <v>3.9358331528126951</v>
      </c>
      <c r="AP46" s="48">
        <f t="shared" si="31"/>
        <v>4.0620859644659522</v>
      </c>
      <c r="AQ46" s="48">
        <f t="shared" si="31"/>
        <v>4.1888048210969542</v>
      </c>
      <c r="AR46" s="48">
        <f t="shared" si="31"/>
        <v>4.3159356566206739</v>
      </c>
      <c r="AS46" s="48">
        <f t="shared" si="31"/>
        <v>4.4434269873302403</v>
      </c>
      <c r="AT46" s="48">
        <f t="shared" si="31"/>
        <v>4.5697754936575947</v>
      </c>
      <c r="AU46" s="48">
        <f t="shared" si="31"/>
        <v>4.6960629991755063</v>
      </c>
      <c r="AV46" s="48">
        <f t="shared" si="31"/>
        <v>4.8221943006508043</v>
      </c>
      <c r="AW46" s="48">
        <f t="shared" si="31"/>
        <v>4.9480734166392777</v>
      </c>
      <c r="AX46" s="48">
        <f t="shared" si="31"/>
        <v>5.0736037079598759</v>
      </c>
      <c r="AY46" s="48">
        <f t="shared" si="31"/>
        <v>5.1986880002261842</v>
      </c>
      <c r="AZ46" s="48">
        <f t="shared" si="31"/>
        <v>5.3232287082207277</v>
      </c>
      <c r="BA46" s="48">
        <f t="shared" si="31"/>
        <v>5.4471279618903132</v>
      </c>
      <c r="BB46" s="48">
        <f t="shared" si="31"/>
        <v>5.5702877337371923</v>
      </c>
      <c r="BC46" s="48">
        <f t="shared" si="31"/>
        <v>5.6926099673752875</v>
      </c>
      <c r="BD46" s="48">
        <f t="shared" si="31"/>
        <v>5.8139967070166421</v>
      </c>
      <c r="BE46" s="48">
        <f t="shared" si="31"/>
        <v>5.9343502276506968</v>
      </c>
      <c r="BF46" s="48">
        <f t="shared" si="31"/>
        <v>6.0535731656743899</v>
      </c>
      <c r="BG46" s="48">
        <f t="shared" si="31"/>
        <v>6.1715686497303608</v>
      </c>
      <c r="BH46" s="48">
        <f t="shared" si="31"/>
        <v>6.2882404315074476</v>
      </c>
      <c r="BI46" s="48">
        <f t="shared" si="31"/>
        <v>6.4034930162577615</v>
      </c>
      <c r="BJ46" s="48">
        <f t="shared" si="31"/>
        <v>6.517231792782276</v>
      </c>
      <c r="BK46" s="48">
        <f t="shared" si="31"/>
        <v>6.6293631626385956</v>
      </c>
      <c r="BL46" s="48">
        <f t="shared" si="31"/>
        <v>6.7397946683237517</v>
      </c>
      <c r="BM46" s="48">
        <f t="shared" si="31"/>
        <v>6.8484351201874825</v>
      </c>
      <c r="BN46" s="15"/>
    </row>
    <row r="47" spans="2:66" x14ac:dyDescent="0.3">
      <c r="B47" s="12"/>
      <c r="C47" s="14"/>
      <c r="D47" s="14"/>
      <c r="E47" s="14"/>
      <c r="F47" s="32"/>
      <c r="G47" s="14"/>
      <c r="H47" s="14"/>
      <c r="I47" s="14"/>
      <c r="J47" s="14"/>
      <c r="K47" s="14"/>
      <c r="L47" s="14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15"/>
    </row>
    <row r="48" spans="2:66" x14ac:dyDescent="0.3">
      <c r="B48" s="12"/>
      <c r="C48" s="14" t="s">
        <v>128</v>
      </c>
      <c r="D48" s="13" t="s">
        <v>119</v>
      </c>
      <c r="E48" s="80">
        <v>3.2042000000000002</v>
      </c>
      <c r="F48" s="100">
        <v>3.7105000000000001</v>
      </c>
      <c r="G48" s="80">
        <v>4.2168999999999999</v>
      </c>
      <c r="H48" s="80">
        <v>4.5907999999999998</v>
      </c>
      <c r="I48" s="80">
        <v>4.9647000000000006</v>
      </c>
      <c r="J48" s="80">
        <v>5.1417999999999999</v>
      </c>
      <c r="K48" s="80">
        <v>5.3186</v>
      </c>
      <c r="L48" s="80">
        <v>5.3310999999999993</v>
      </c>
      <c r="M48" s="81">
        <v>4.0447617408000003</v>
      </c>
      <c r="N48" s="81">
        <v>4.0075541908799996</v>
      </c>
      <c r="O48" s="81">
        <v>4.0575661959599998</v>
      </c>
      <c r="P48" s="81">
        <v>4.1197163661599996</v>
      </c>
      <c r="Q48" s="81">
        <v>4.4630366236468983</v>
      </c>
      <c r="R48" s="81">
        <v>4.8134584090924522</v>
      </c>
      <c r="S48" s="81">
        <v>5.1708445152000104</v>
      </c>
      <c r="T48" s="81">
        <v>5.1532093184358896</v>
      </c>
      <c r="U48" s="81">
        <v>5.3459067179827402</v>
      </c>
      <c r="V48" s="81">
        <v>6.28337282140971</v>
      </c>
      <c r="W48" s="81">
        <v>6.6671083223834717</v>
      </c>
      <c r="X48" s="81">
        <v>7.0570333009241297</v>
      </c>
      <c r="Y48" s="81">
        <v>7.4529214790317555</v>
      </c>
      <c r="Z48" s="81">
        <v>7.8545823990537924</v>
      </c>
      <c r="AA48" s="81">
        <v>8.2618042359724537</v>
      </c>
      <c r="AB48" s="81">
        <v>8.6743553179282813</v>
      </c>
      <c r="AC48" s="81">
        <v>9.0920319427034944</v>
      </c>
      <c r="AD48" s="81">
        <v>9.5145957081186356</v>
      </c>
      <c r="AE48" s="81">
        <v>9.9418278827752289</v>
      </c>
      <c r="AF48" s="81">
        <v>10.373464559702091</v>
      </c>
      <c r="AG48" s="81">
        <v>10.809282437925505</v>
      </c>
      <c r="AH48" s="81">
        <v>11.249023756593134</v>
      </c>
      <c r="AI48" s="81">
        <v>11.692443127117237</v>
      </c>
      <c r="AJ48" s="81">
        <v>12.139324931172453</v>
      </c>
      <c r="AK48" s="81">
        <v>12.589430486482762</v>
      </c>
      <c r="AL48" s="81">
        <v>13.042490332162805</v>
      </c>
      <c r="AM48" s="81">
        <v>13.498279174551735</v>
      </c>
      <c r="AN48" s="81">
        <v>13.956517933448332</v>
      </c>
      <c r="AO48" s="81">
        <v>14.416971255724157</v>
      </c>
      <c r="AP48" s="81">
        <v>14.879435767274549</v>
      </c>
      <c r="AQ48" s="81">
        <v>15.343607403285546</v>
      </c>
      <c r="AR48" s="81">
        <v>15.809288119489645</v>
      </c>
      <c r="AS48" s="81">
        <v>16.276289330880001</v>
      </c>
      <c r="AT48" s="81">
        <v>16.73910437237214</v>
      </c>
      <c r="AU48" s="81">
        <v>17.201695967675846</v>
      </c>
      <c r="AV48" s="81">
        <v>17.663715386999282</v>
      </c>
      <c r="AW48" s="81">
        <v>18.124811049960723</v>
      </c>
      <c r="AX48" s="81">
        <v>18.58462896688599</v>
      </c>
      <c r="AY48" s="81">
        <v>19.042813187641698</v>
      </c>
      <c r="AZ48" s="81">
        <v>19.499006257218781</v>
      </c>
      <c r="BA48" s="81">
        <v>19.952849677253894</v>
      </c>
      <c r="BB48" s="81">
        <v>20.403984372663707</v>
      </c>
      <c r="BC48" s="81">
        <v>20.852051162546839</v>
      </c>
      <c r="BD48" s="81">
        <v>21.296691234493192</v>
      </c>
      <c r="BE48" s="81">
        <v>21.737546621431122</v>
      </c>
      <c r="BF48" s="81">
        <v>22.174260680125968</v>
      </c>
      <c r="BG48" s="81">
        <v>22.606478570440881</v>
      </c>
      <c r="BH48" s="81">
        <v>23.033847734459513</v>
      </c>
      <c r="BI48" s="81">
        <v>23.456018374570554</v>
      </c>
      <c r="BJ48" s="81">
        <v>23.872643929605406</v>
      </c>
      <c r="BK48" s="81">
        <v>24.283381548126723</v>
      </c>
      <c r="BL48" s="81">
        <v>24.68789255796246</v>
      </c>
      <c r="BM48" s="81">
        <v>25.085842931089676</v>
      </c>
      <c r="BN48" s="15"/>
    </row>
    <row r="49" spans="2:66" x14ac:dyDescent="0.3">
      <c r="B49" s="12"/>
      <c r="C49" s="14"/>
      <c r="D49" s="14"/>
      <c r="E49" s="14"/>
      <c r="F49" s="32"/>
      <c r="G49" s="14"/>
      <c r="H49" s="14"/>
      <c r="I49" s="14"/>
      <c r="J49" s="14"/>
      <c r="K49" s="14"/>
      <c r="L49" s="14"/>
      <c r="M49" s="31"/>
      <c r="N49" s="31"/>
      <c r="O49" s="31"/>
      <c r="P49" s="31"/>
      <c r="Q49" s="31"/>
      <c r="R49" s="31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15"/>
    </row>
    <row r="50" spans="2:66" ht="15" thickBot="1" x14ac:dyDescent="0.35">
      <c r="B50" s="16"/>
      <c r="C50" s="17"/>
      <c r="D50" s="17"/>
      <c r="E50" s="17"/>
      <c r="F50" s="99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8"/>
    </row>
    <row r="52" spans="2:66" ht="48.6" customHeight="1" x14ac:dyDescent="0.3">
      <c r="G52" t="s">
        <v>91</v>
      </c>
      <c r="I52" s="67" t="s">
        <v>159</v>
      </c>
      <c r="J52" t="s">
        <v>92</v>
      </c>
      <c r="M52" t="s">
        <v>77</v>
      </c>
      <c r="S52" s="72"/>
      <c r="T52" s="72">
        <v>2030</v>
      </c>
      <c r="U52" s="72">
        <v>2050</v>
      </c>
      <c r="V52" s="72">
        <v>2070</v>
      </c>
    </row>
    <row r="53" spans="2:66" ht="107.4" customHeight="1" x14ac:dyDescent="0.3">
      <c r="E53" s="75" t="s">
        <v>158</v>
      </c>
      <c r="F53" s="101" t="s">
        <v>156</v>
      </c>
      <c r="G53" s="75" t="s">
        <v>160</v>
      </c>
      <c r="H53" s="75" t="s">
        <v>157</v>
      </c>
      <c r="I53" s="75" t="s">
        <v>154</v>
      </c>
      <c r="J53" s="75" t="s">
        <v>38</v>
      </c>
      <c r="K53" s="75" t="s">
        <v>155</v>
      </c>
      <c r="L53" s="75" t="s">
        <v>185</v>
      </c>
      <c r="M53" s="75" t="s">
        <v>186</v>
      </c>
      <c r="N53" s="75" t="s">
        <v>163</v>
      </c>
      <c r="O53" s="75" t="s">
        <v>44</v>
      </c>
      <c r="P53" s="75" t="s">
        <v>169</v>
      </c>
      <c r="Q53" s="75" t="s">
        <v>170</v>
      </c>
      <c r="S53" s="102" t="s">
        <v>177</v>
      </c>
      <c r="T53" s="103">
        <f>(Y10-R10)/(Y1-R1)</f>
        <v>0</v>
      </c>
      <c r="U53" s="103">
        <f>(AS10-Y10)/($AS$1-$Y$1)</f>
        <v>0</v>
      </c>
      <c r="V53" s="103">
        <f>(BM16-AS16)/($BM$1-$AS$1)</f>
        <v>0</v>
      </c>
    </row>
    <row r="54" spans="2:66" ht="15.6" x14ac:dyDescent="0.3">
      <c r="E54" s="76">
        <v>2010</v>
      </c>
      <c r="F54" s="83">
        <v>3.2042000000000002</v>
      </c>
      <c r="G54" s="72">
        <v>0.58899999999999997</v>
      </c>
      <c r="H54" s="73">
        <v>0.18</v>
      </c>
      <c r="I54" s="69">
        <v>0.41099999999999998</v>
      </c>
      <c r="J54" s="73">
        <v>0.82400000000000007</v>
      </c>
      <c r="K54" s="73">
        <v>0.28299999999999997</v>
      </c>
      <c r="L54" s="73">
        <f>J54-K54</f>
        <v>0.54100000000000015</v>
      </c>
      <c r="M54" s="73">
        <f>I54-K54</f>
        <v>0.128</v>
      </c>
      <c r="N54" s="73">
        <f>L71/G71</f>
        <v>0.45899999999999991</v>
      </c>
      <c r="O54" s="72">
        <v>0</v>
      </c>
      <c r="P54" s="78">
        <f t="shared" ref="P54:P67" si="32">K54/J54</f>
        <v>0.34344660194174753</v>
      </c>
      <c r="Q54" s="78">
        <f t="shared" ref="Q54:Q67" si="33">L54/J54</f>
        <v>0.65655339805825252</v>
      </c>
      <c r="R54" s="74"/>
      <c r="S54" s="102" t="s">
        <v>178</v>
      </c>
      <c r="T54" s="104">
        <f>R10-T53*$R$1</f>
        <v>0.74399999999999999</v>
      </c>
      <c r="U54" s="104">
        <f>Y10-U53*$Y$1</f>
        <v>0.74399999999999999</v>
      </c>
      <c r="V54" s="104">
        <f>AS10-V53*$AS$1</f>
        <v>0.74399999999999999</v>
      </c>
    </row>
    <row r="55" spans="2:66" ht="28.8" x14ac:dyDescent="0.3">
      <c r="E55" s="76">
        <v>2011</v>
      </c>
      <c r="F55" s="83">
        <v>3.7105000000000001</v>
      </c>
      <c r="G55" s="72">
        <v>0.52100000000000002</v>
      </c>
      <c r="H55" s="73">
        <v>5.8244444444444987E-2</v>
      </c>
      <c r="I55" s="69">
        <v>0.47899999999999998</v>
      </c>
      <c r="J55" s="73">
        <v>0.94175555555555768</v>
      </c>
      <c r="K55" s="73">
        <v>0.28495215311004785</v>
      </c>
      <c r="L55" s="73">
        <f t="shared" ref="L55:L67" si="34">J55-K55</f>
        <v>0.65680340244550983</v>
      </c>
      <c r="M55" s="73">
        <f t="shared" ref="M55:M67" si="35">I55-K55</f>
        <v>0.19404784688995214</v>
      </c>
      <c r="N55" s="73">
        <f t="shared" ref="N55:N67" si="36">L72/G72</f>
        <v>0.34319659755449017</v>
      </c>
      <c r="O55" s="72">
        <v>0</v>
      </c>
      <c r="P55" s="78">
        <f t="shared" si="32"/>
        <v>0.30257549470143524</v>
      </c>
      <c r="Q55" s="78">
        <f t="shared" si="33"/>
        <v>0.69742450529856481</v>
      </c>
      <c r="S55" s="105" t="s">
        <v>179</v>
      </c>
      <c r="T55" s="106">
        <f>(Y16-R16)/($Y$1-$R$1)</f>
        <v>0</v>
      </c>
      <c r="U55" s="106">
        <f>(AS16-Y16)/($AS$1-$Y$1)</f>
        <v>0</v>
      </c>
      <c r="V55" s="106">
        <f>(BM16-AS16)/($BM$1-$AS$1)</f>
        <v>0</v>
      </c>
    </row>
    <row r="56" spans="2:66" ht="28.8" x14ac:dyDescent="0.3">
      <c r="E56" s="76">
        <v>2012</v>
      </c>
      <c r="F56" s="83">
        <v>4.2168999999999999</v>
      </c>
      <c r="G56" s="72">
        <v>0.502</v>
      </c>
      <c r="H56" s="73">
        <v>5.5477777777777959E-2</v>
      </c>
      <c r="I56" s="69">
        <v>0.498</v>
      </c>
      <c r="J56" s="73">
        <v>0.94452222222222204</v>
      </c>
      <c r="K56" s="73">
        <v>0.28354545454545454</v>
      </c>
      <c r="L56" s="73">
        <f t="shared" si="34"/>
        <v>0.6609767676767675</v>
      </c>
      <c r="M56" s="73">
        <f t="shared" si="35"/>
        <v>0.21445454545454545</v>
      </c>
      <c r="N56" s="73">
        <f t="shared" si="36"/>
        <v>0.3390232323232325</v>
      </c>
      <c r="O56" s="72">
        <v>0</v>
      </c>
      <c r="P56" s="78">
        <f t="shared" si="32"/>
        <v>0.30019987658770353</v>
      </c>
      <c r="Q56" s="78">
        <f t="shared" si="33"/>
        <v>0.69980012341229647</v>
      </c>
      <c r="S56" s="105" t="s">
        <v>180</v>
      </c>
      <c r="T56" s="107">
        <f>R16-T55*$R$1</f>
        <v>0.74717368961973296</v>
      </c>
      <c r="U56" s="107">
        <f>Y16-U55*$Y$1</f>
        <v>0.74717368961973296</v>
      </c>
      <c r="V56" s="107">
        <f>AS16-V55*$AS$1</f>
        <v>0.74717368961973296</v>
      </c>
    </row>
    <row r="57" spans="2:66" ht="15.6" x14ac:dyDescent="0.3">
      <c r="E57" s="76">
        <v>2013</v>
      </c>
      <c r="F57" s="83">
        <v>4.5907999999999998</v>
      </c>
      <c r="G57" s="72">
        <v>0.502</v>
      </c>
      <c r="H57" s="73">
        <v>5.2711111111111819E-2</v>
      </c>
      <c r="I57" s="69">
        <v>0.498</v>
      </c>
      <c r="J57" s="73">
        <v>0.94728888888888818</v>
      </c>
      <c r="K57" s="73">
        <v>0.28299999999999997</v>
      </c>
      <c r="L57" s="73">
        <f t="shared" si="34"/>
        <v>0.66428888888888826</v>
      </c>
      <c r="M57" s="73">
        <f t="shared" si="35"/>
        <v>0.21500000000000002</v>
      </c>
      <c r="N57" s="73">
        <f t="shared" si="36"/>
        <v>0.33571111111111179</v>
      </c>
      <c r="O57" s="72">
        <v>0</v>
      </c>
      <c r="P57" s="78">
        <f t="shared" si="32"/>
        <v>0.29874730224265761</v>
      </c>
      <c r="Q57" s="78">
        <f t="shared" si="33"/>
        <v>0.70125269775734245</v>
      </c>
      <c r="S57" s="108" t="s">
        <v>181</v>
      </c>
      <c r="T57" s="108">
        <f>(Y19-R19)/($Y$1-$R$1)</f>
        <v>0</v>
      </c>
      <c r="U57" s="108">
        <f>(AS19-Y19)/($AS$1-$Y$1)</f>
        <v>0</v>
      </c>
      <c r="V57" s="108">
        <f>(BM19-AS19)/($BM$1-$AS$1)</f>
        <v>0</v>
      </c>
    </row>
    <row r="58" spans="2:66" ht="15.6" x14ac:dyDescent="0.3">
      <c r="E58" s="76">
        <v>2014</v>
      </c>
      <c r="F58" s="83">
        <v>4.9647000000000006</v>
      </c>
      <c r="G58" s="72">
        <v>0.44100000000000006</v>
      </c>
      <c r="H58" s="73">
        <v>4.9944444444444791E-2</v>
      </c>
      <c r="I58" s="69">
        <f>I57+(((2014-2013)*(I59-I57))/(2015-2013))</f>
        <v>0.55899999999999994</v>
      </c>
      <c r="J58" s="73">
        <v>0.9500555555555561</v>
      </c>
      <c r="K58" s="73">
        <v>0.28475119617224876</v>
      </c>
      <c r="L58" s="73">
        <f t="shared" si="34"/>
        <v>0.66530435938330734</v>
      </c>
      <c r="M58" s="73">
        <f t="shared" si="35"/>
        <v>0.27424880382775119</v>
      </c>
      <c r="N58" s="73">
        <f t="shared" si="36"/>
        <v>0.33469564061669271</v>
      </c>
      <c r="O58" s="72">
        <v>0</v>
      </c>
      <c r="P58" s="78">
        <f t="shared" si="32"/>
        <v>0.2997205737150152</v>
      </c>
      <c r="Q58" s="78">
        <f t="shared" si="33"/>
        <v>0.70027942628498485</v>
      </c>
      <c r="S58" s="108" t="s">
        <v>184</v>
      </c>
      <c r="T58" s="110">
        <f>R19-T57*$R$1</f>
        <v>0.246</v>
      </c>
      <c r="U58" s="110">
        <f>Y19-U57*$Y$1</f>
        <v>0.246</v>
      </c>
      <c r="V58" s="110">
        <f>AS19-V57*$AS$1</f>
        <v>0.246</v>
      </c>
    </row>
    <row r="59" spans="2:66" ht="28.8" x14ac:dyDescent="0.3">
      <c r="E59" s="76">
        <v>2015</v>
      </c>
      <c r="F59" s="83">
        <v>5.1417999999999999</v>
      </c>
      <c r="G59" s="72">
        <v>0.38</v>
      </c>
      <c r="H59" s="73">
        <v>5.3999999999999992E-2</v>
      </c>
      <c r="I59" s="69">
        <v>0.62</v>
      </c>
      <c r="J59" s="73">
        <v>0.94599999999999995</v>
      </c>
      <c r="K59" s="73">
        <v>0.28899999999999998</v>
      </c>
      <c r="L59" s="73">
        <f t="shared" si="34"/>
        <v>0.65700000000000003</v>
      </c>
      <c r="M59" s="73">
        <f t="shared" si="35"/>
        <v>0.33100000000000002</v>
      </c>
      <c r="N59" s="73">
        <f t="shared" si="36"/>
        <v>0.34299999999999992</v>
      </c>
      <c r="O59" s="72">
        <v>0</v>
      </c>
      <c r="P59" s="78">
        <f t="shared" si="32"/>
        <v>0.30549682875264272</v>
      </c>
      <c r="Q59" s="78">
        <f t="shared" si="33"/>
        <v>0.69450317124735739</v>
      </c>
      <c r="S59" s="109" t="s">
        <v>183</v>
      </c>
      <c r="T59" s="109">
        <f>(Y20-R20)/($Y$1-$R$1)</f>
        <v>0</v>
      </c>
      <c r="U59" s="109">
        <f>(AS20-Y20)/($AS$1-$Y$1)</f>
        <v>0</v>
      </c>
      <c r="V59" s="109">
        <f>(BM20-AS20)/($BM$1-$AS$1)</f>
        <v>0</v>
      </c>
    </row>
    <row r="60" spans="2:66" ht="28.8" x14ac:dyDescent="0.3">
      <c r="E60" s="76">
        <v>2016</v>
      </c>
      <c r="F60" s="83">
        <v>5.3186</v>
      </c>
      <c r="G60" s="72">
        <v>0.36699999999999999</v>
      </c>
      <c r="H60" s="73">
        <v>4.0999999999999981E-2</v>
      </c>
      <c r="I60" s="69">
        <v>0.63300000000000001</v>
      </c>
      <c r="J60" s="73">
        <v>0.95900000000000007</v>
      </c>
      <c r="K60" s="73">
        <v>0.29199999999999998</v>
      </c>
      <c r="L60" s="73">
        <f t="shared" si="34"/>
        <v>0.66700000000000004</v>
      </c>
      <c r="M60" s="73">
        <f t="shared" si="35"/>
        <v>0.34100000000000003</v>
      </c>
      <c r="N60" s="73">
        <f t="shared" si="36"/>
        <v>0.33299999999999991</v>
      </c>
      <c r="O60" s="72">
        <v>0</v>
      </c>
      <c r="P60" s="78">
        <f t="shared" si="32"/>
        <v>0.30448383733055262</v>
      </c>
      <c r="Q60" s="78">
        <f t="shared" si="33"/>
        <v>0.69551616266944738</v>
      </c>
      <c r="S60" s="109" t="s">
        <v>182</v>
      </c>
      <c r="T60" s="109">
        <f>R20-T59*$R$1</f>
        <v>0.72699999999999998</v>
      </c>
      <c r="U60" s="109">
        <f>Y20-U59*$Y$1</f>
        <v>0.72699999999999998</v>
      </c>
      <c r="V60" s="109">
        <f>AS20-V59*$AS$1</f>
        <v>0.72699999999999998</v>
      </c>
    </row>
    <row r="61" spans="2:66" ht="15.6" x14ac:dyDescent="0.3">
      <c r="E61" s="76">
        <v>2017</v>
      </c>
      <c r="F61" s="83">
        <v>5.3310999999999993</v>
      </c>
      <c r="G61" s="72">
        <v>0.26200000000000001</v>
      </c>
      <c r="H61" s="73">
        <v>3.6000000000000032E-2</v>
      </c>
      <c r="I61" s="69">
        <v>0.73799999999999999</v>
      </c>
      <c r="J61" s="73">
        <v>0.96399999999999997</v>
      </c>
      <c r="K61" s="73">
        <v>0.23300000000000001</v>
      </c>
      <c r="L61" s="73">
        <f t="shared" si="34"/>
        <v>0.73099999999999998</v>
      </c>
      <c r="M61" s="73">
        <f t="shared" si="35"/>
        <v>0.505</v>
      </c>
      <c r="N61" s="73">
        <f t="shared" si="36"/>
        <v>0.26899999999999996</v>
      </c>
      <c r="O61" s="72">
        <v>0</v>
      </c>
      <c r="P61" s="78">
        <f t="shared" si="32"/>
        <v>0.24170124481327804</v>
      </c>
      <c r="Q61" s="78">
        <f t="shared" si="33"/>
        <v>0.75829875518672196</v>
      </c>
      <c r="S61" s="111" t="s">
        <v>188</v>
      </c>
      <c r="T61" s="109">
        <f>(Y23-R23)/($Y$1-$R$1)</f>
        <v>0</v>
      </c>
      <c r="U61" s="109">
        <f>(AS23-Y23)/($AS$1-$Y$1)</f>
        <v>0</v>
      </c>
      <c r="V61" s="109">
        <f>(BM23-AS23)/($BM$1-$AS$1)</f>
        <v>0</v>
      </c>
    </row>
    <row r="62" spans="2:66" ht="15.6" x14ac:dyDescent="0.3">
      <c r="E62" s="76">
        <v>2018</v>
      </c>
      <c r="F62" s="77">
        <v>4.0447617408000003</v>
      </c>
      <c r="G62" s="72">
        <v>0.33499999999999996</v>
      </c>
      <c r="H62" s="73">
        <v>4.0000000000000036E-2</v>
      </c>
      <c r="I62" s="69">
        <v>0.66500000000000004</v>
      </c>
      <c r="J62" s="73">
        <v>0.96</v>
      </c>
      <c r="K62" s="73">
        <v>0.27300000000000002</v>
      </c>
      <c r="L62" s="73">
        <f t="shared" si="34"/>
        <v>0.68699999999999994</v>
      </c>
      <c r="M62" s="73">
        <f t="shared" si="35"/>
        <v>0.39200000000000002</v>
      </c>
      <c r="N62" s="73">
        <f t="shared" si="36"/>
        <v>0.31300000000000011</v>
      </c>
      <c r="O62" s="72">
        <v>0</v>
      </c>
      <c r="P62" s="78">
        <f t="shared" si="32"/>
        <v>0.28437500000000004</v>
      </c>
      <c r="Q62" s="78">
        <f t="shared" si="33"/>
        <v>0.71562499999999996</v>
      </c>
      <c r="S62" s="111" t="s">
        <v>189</v>
      </c>
      <c r="T62" s="112">
        <f>R23-T61*$R$1</f>
        <v>0.27300000000000002</v>
      </c>
      <c r="U62" s="113">
        <f>Y23-U61*$Y$1</f>
        <v>0.27300000000000002</v>
      </c>
      <c r="V62" s="112">
        <f>AS23-V61*$AS$1</f>
        <v>0.27300000000000002</v>
      </c>
    </row>
    <row r="63" spans="2:66" ht="15.6" x14ac:dyDescent="0.3">
      <c r="E63" s="76">
        <v>2019</v>
      </c>
      <c r="F63" s="77">
        <v>4.0075541908799996</v>
      </c>
      <c r="G63" s="72">
        <v>0.29900000000000004</v>
      </c>
      <c r="H63" s="73">
        <v>3.6000000000000032E-2</v>
      </c>
      <c r="I63" s="69">
        <v>0.70099999999999996</v>
      </c>
      <c r="J63" s="73">
        <v>0.96399999999999997</v>
      </c>
      <c r="K63" s="73">
        <v>0.22</v>
      </c>
      <c r="L63" s="73">
        <f t="shared" si="34"/>
        <v>0.74399999999999999</v>
      </c>
      <c r="M63" s="73">
        <f t="shared" si="35"/>
        <v>0.48099999999999998</v>
      </c>
      <c r="N63" s="73">
        <f t="shared" si="36"/>
        <v>0.25600000000000001</v>
      </c>
      <c r="O63" s="72">
        <v>0</v>
      </c>
      <c r="P63" s="78">
        <f t="shared" si="32"/>
        <v>0.22821576763485479</v>
      </c>
      <c r="Q63" s="78">
        <f t="shared" si="33"/>
        <v>0.77178423236514526</v>
      </c>
    </row>
    <row r="64" spans="2:66" ht="15.6" x14ac:dyDescent="0.3">
      <c r="E64" s="76">
        <v>2020</v>
      </c>
      <c r="F64" s="77">
        <v>4.0575661959599998</v>
      </c>
      <c r="G64" s="72">
        <v>0.26200000000000001</v>
      </c>
      <c r="H64" s="73">
        <v>3.1999999999999973E-2</v>
      </c>
      <c r="I64" s="69">
        <v>0.73799999999999999</v>
      </c>
      <c r="J64" s="73">
        <v>0.96799999999999997</v>
      </c>
      <c r="K64" s="73">
        <v>0.224</v>
      </c>
      <c r="L64" s="73">
        <f t="shared" si="34"/>
        <v>0.74399999999999999</v>
      </c>
      <c r="M64" s="73">
        <f t="shared" si="35"/>
        <v>0.51400000000000001</v>
      </c>
      <c r="N64" s="73">
        <f t="shared" si="36"/>
        <v>0.25600000000000001</v>
      </c>
      <c r="O64" s="72">
        <v>0</v>
      </c>
      <c r="P64" s="78">
        <f t="shared" si="32"/>
        <v>0.23140495867768596</v>
      </c>
      <c r="Q64" s="78">
        <f t="shared" si="33"/>
        <v>0.76859504132231404</v>
      </c>
    </row>
    <row r="65" spans="5:17" ht="15.6" x14ac:dyDescent="0.3">
      <c r="E65" s="76">
        <v>2021</v>
      </c>
      <c r="F65" s="77">
        <v>4.1197163661599996</v>
      </c>
      <c r="G65" s="72">
        <v>0.25800000000000001</v>
      </c>
      <c r="H65" s="73">
        <v>3.2000000000000028E-2</v>
      </c>
      <c r="I65" s="69">
        <v>0.74199999999999999</v>
      </c>
      <c r="J65" s="73">
        <v>0.96799999999999997</v>
      </c>
      <c r="K65" s="73">
        <v>0.223</v>
      </c>
      <c r="L65" s="73">
        <f t="shared" si="34"/>
        <v>0.745</v>
      </c>
      <c r="M65" s="73">
        <f t="shared" si="35"/>
        <v>0.51900000000000002</v>
      </c>
      <c r="N65" s="73">
        <f t="shared" si="36"/>
        <v>0.25500000000000006</v>
      </c>
      <c r="O65" s="72">
        <v>0</v>
      </c>
      <c r="P65" s="78">
        <f t="shared" si="32"/>
        <v>0.23037190082644629</v>
      </c>
      <c r="Q65" s="78">
        <f t="shared" si="33"/>
        <v>0.76962809917355379</v>
      </c>
    </row>
    <row r="66" spans="5:17" ht="15.6" x14ac:dyDescent="0.3">
      <c r="E66" s="76">
        <v>2022</v>
      </c>
      <c r="F66" s="77">
        <v>4.4630366236468983</v>
      </c>
      <c r="G66" s="72">
        <v>0.247</v>
      </c>
      <c r="H66" s="73">
        <v>2.6999999999999913E-2</v>
      </c>
      <c r="I66" s="69">
        <v>0.753</v>
      </c>
      <c r="J66" s="73">
        <v>0.97300000000000009</v>
      </c>
      <c r="K66" s="73">
        <v>0.26300000000000001</v>
      </c>
      <c r="L66" s="73">
        <f t="shared" si="34"/>
        <v>0.71000000000000008</v>
      </c>
      <c r="M66" s="73">
        <f t="shared" si="35"/>
        <v>0.49</v>
      </c>
      <c r="N66" s="73">
        <f t="shared" si="36"/>
        <v>0.28999999999999987</v>
      </c>
      <c r="O66" s="72">
        <v>0</v>
      </c>
      <c r="P66" s="78">
        <f t="shared" si="32"/>
        <v>0.2702980472764645</v>
      </c>
      <c r="Q66" s="78">
        <f t="shared" si="33"/>
        <v>0.72970195272353544</v>
      </c>
    </row>
    <row r="67" spans="5:17" ht="15.6" x14ac:dyDescent="0.3">
      <c r="E67" s="76">
        <v>2023</v>
      </c>
      <c r="F67" s="77">
        <v>4.8134584090924522</v>
      </c>
      <c r="G67" s="72">
        <v>0.25600000000000001</v>
      </c>
      <c r="H67" s="73">
        <v>2.7000000000000024E-2</v>
      </c>
      <c r="I67" s="69">
        <v>0.74399999999999999</v>
      </c>
      <c r="J67" s="73">
        <v>0.97299999999999998</v>
      </c>
      <c r="K67" s="73">
        <v>0.246</v>
      </c>
      <c r="L67" s="73">
        <f t="shared" si="34"/>
        <v>0.72699999999999998</v>
      </c>
      <c r="M67" s="73">
        <f t="shared" si="35"/>
        <v>0.498</v>
      </c>
      <c r="N67" s="73">
        <f t="shared" si="36"/>
        <v>0.27299999999999996</v>
      </c>
      <c r="O67" s="72">
        <v>0</v>
      </c>
      <c r="P67" s="78">
        <f t="shared" si="32"/>
        <v>0.25282631038026721</v>
      </c>
      <c r="Q67" s="78">
        <f t="shared" si="33"/>
        <v>0.74717368961973274</v>
      </c>
    </row>
    <row r="70" spans="5:17" ht="69" customHeight="1" x14ac:dyDescent="0.3">
      <c r="E70" s="75" t="s">
        <v>158</v>
      </c>
      <c r="F70" s="101" t="s">
        <v>156</v>
      </c>
      <c r="G70" s="75" t="s">
        <v>164</v>
      </c>
      <c r="H70" s="75" t="s">
        <v>165</v>
      </c>
      <c r="I70" s="75" t="s">
        <v>167</v>
      </c>
      <c r="J70" s="75" t="s">
        <v>166</v>
      </c>
      <c r="K70" s="75" t="s">
        <v>187</v>
      </c>
      <c r="L70" s="75" t="s">
        <v>168</v>
      </c>
      <c r="M70" s="75" t="s">
        <v>175</v>
      </c>
      <c r="N70" s="75" t="s">
        <v>176</v>
      </c>
    </row>
    <row r="71" spans="5:17" ht="15.6" x14ac:dyDescent="0.3">
      <c r="E71" s="76">
        <v>2010</v>
      </c>
      <c r="F71" s="83">
        <v>3.2042000000000002</v>
      </c>
      <c r="G71" s="82">
        <f t="shared" ref="G71:G84" si="37">F54*G54</f>
        <v>1.8872738</v>
      </c>
      <c r="H71" s="82">
        <f t="shared" ref="H71:H84" si="38">F54*I54</f>
        <v>1.3169261999999999</v>
      </c>
      <c r="I71" s="82">
        <f t="shared" ref="I71:I84" si="39">G71*L54</f>
        <v>1.0210151258000002</v>
      </c>
      <c r="J71" s="82">
        <f t="shared" ref="J71:J84" si="40">H71*K54</f>
        <v>0.37269011459999996</v>
      </c>
      <c r="K71" s="73">
        <f t="shared" ref="K71:K84" si="41">H71*M54</f>
        <v>0.1685665536</v>
      </c>
      <c r="L71" s="73">
        <f>G71-I71</f>
        <v>0.8662586741999998</v>
      </c>
      <c r="M71" s="72">
        <f t="shared" ref="M71:M84" si="42">P54*H71</f>
        <v>0.45229382839805815</v>
      </c>
      <c r="N71" s="72">
        <f t="shared" ref="N71:N84" si="43">G71*Q54</f>
        <v>1.2390960264563109</v>
      </c>
    </row>
    <row r="72" spans="5:17" ht="15.6" x14ac:dyDescent="0.3">
      <c r="E72" s="76">
        <v>2011</v>
      </c>
      <c r="F72" s="83">
        <v>3.7105000000000001</v>
      </c>
      <c r="G72" s="82">
        <f t="shared" si="37"/>
        <v>1.9331705000000001</v>
      </c>
      <c r="H72" s="82">
        <f t="shared" si="38"/>
        <v>1.7773295</v>
      </c>
      <c r="I72" s="82">
        <f t="shared" si="39"/>
        <v>1.2697129619072876</v>
      </c>
      <c r="J72" s="82">
        <f t="shared" si="40"/>
        <v>0.50645386781100477</v>
      </c>
      <c r="K72" s="73">
        <f t="shared" si="41"/>
        <v>0.34488696268899521</v>
      </c>
      <c r="L72" s="73">
        <f t="shared" ref="L72:L84" si="44">G72-I72</f>
        <v>0.66345753809271257</v>
      </c>
      <c r="M72" s="72">
        <f t="shared" si="42"/>
        <v>0.53777635270995461</v>
      </c>
      <c r="N72" s="72">
        <f t="shared" si="43"/>
        <v>1.3482404796202794</v>
      </c>
    </row>
    <row r="73" spans="5:17" ht="15.6" x14ac:dyDescent="0.3">
      <c r="E73" s="76">
        <v>2012</v>
      </c>
      <c r="F73" s="83">
        <v>4.2168999999999999</v>
      </c>
      <c r="G73" s="82">
        <f t="shared" si="37"/>
        <v>2.1168838000000001</v>
      </c>
      <c r="H73" s="82">
        <f t="shared" si="38"/>
        <v>2.1000161999999998</v>
      </c>
      <c r="I73" s="82">
        <f t="shared" si="39"/>
        <v>1.3992110116713128</v>
      </c>
      <c r="J73" s="82">
        <f t="shared" si="40"/>
        <v>0.59545004798181811</v>
      </c>
      <c r="K73" s="73">
        <f t="shared" si="41"/>
        <v>0.45035801961818178</v>
      </c>
      <c r="L73" s="73">
        <f t="shared" si="44"/>
        <v>0.71767278832868731</v>
      </c>
      <c r="M73" s="72">
        <f t="shared" si="42"/>
        <v>0.63042460407217804</v>
      </c>
      <c r="N73" s="72">
        <f t="shared" si="43"/>
        <v>1.4813955444894913</v>
      </c>
    </row>
    <row r="74" spans="5:17" ht="15.6" x14ac:dyDescent="0.3">
      <c r="E74" s="76">
        <v>2013</v>
      </c>
      <c r="F74" s="83">
        <v>4.5907999999999998</v>
      </c>
      <c r="G74" s="82">
        <f t="shared" si="37"/>
        <v>2.3045815999999997</v>
      </c>
      <c r="H74" s="82">
        <f t="shared" si="38"/>
        <v>2.2862184000000001</v>
      </c>
      <c r="I74" s="82">
        <f t="shared" si="39"/>
        <v>1.5309079504177761</v>
      </c>
      <c r="J74" s="82">
        <f t="shared" si="40"/>
        <v>0.64699980719999994</v>
      </c>
      <c r="K74" s="73">
        <f t="shared" si="41"/>
        <v>0.49153695600000008</v>
      </c>
      <c r="L74" s="73">
        <f t="shared" si="44"/>
        <v>0.77367364958222362</v>
      </c>
      <c r="M74" s="72">
        <f t="shared" si="42"/>
        <v>0.68300157933752514</v>
      </c>
      <c r="N74" s="72">
        <f t="shared" si="43"/>
        <v>1.6160940642019324</v>
      </c>
    </row>
    <row r="75" spans="5:17" ht="15.6" x14ac:dyDescent="0.3">
      <c r="E75" s="76">
        <v>2014</v>
      </c>
      <c r="F75" s="83">
        <v>4.9647000000000006</v>
      </c>
      <c r="G75" s="82">
        <f t="shared" si="37"/>
        <v>2.1894327000000007</v>
      </c>
      <c r="H75" s="82">
        <f t="shared" si="38"/>
        <v>2.7752672999999999</v>
      </c>
      <c r="I75" s="82">
        <f t="shared" si="39"/>
        <v>1.4566391198863653</v>
      </c>
      <c r="J75" s="82">
        <f t="shared" si="40"/>
        <v>0.79026068337272715</v>
      </c>
      <c r="K75" s="73">
        <f t="shared" si="41"/>
        <v>0.76111373732727272</v>
      </c>
      <c r="L75" s="73">
        <f t="shared" si="44"/>
        <v>0.73279358011363538</v>
      </c>
      <c r="M75" s="72">
        <f t="shared" si="42"/>
        <v>0.83180470736852119</v>
      </c>
      <c r="N75" s="72">
        <f t="shared" si="43"/>
        <v>1.5332146750455857</v>
      </c>
    </row>
    <row r="76" spans="5:17" ht="15.6" x14ac:dyDescent="0.3">
      <c r="E76" s="76">
        <v>2015</v>
      </c>
      <c r="F76" s="83">
        <v>5.1417999999999999</v>
      </c>
      <c r="G76" s="82">
        <f t="shared" si="37"/>
        <v>1.953884</v>
      </c>
      <c r="H76" s="82">
        <f t="shared" si="38"/>
        <v>3.187916</v>
      </c>
      <c r="I76" s="82">
        <f t="shared" si="39"/>
        <v>1.2837017880000001</v>
      </c>
      <c r="J76" s="82">
        <f t="shared" si="40"/>
        <v>0.92130772399999994</v>
      </c>
      <c r="K76" s="73">
        <f t="shared" si="41"/>
        <v>1.0552001960000001</v>
      </c>
      <c r="L76" s="73">
        <f t="shared" si="44"/>
        <v>0.67018221199999983</v>
      </c>
      <c r="M76" s="72">
        <f t="shared" si="42"/>
        <v>0.97389822832980977</v>
      </c>
      <c r="N76" s="72">
        <f t="shared" si="43"/>
        <v>1.3569786342494716</v>
      </c>
    </row>
    <row r="77" spans="5:17" ht="15.6" x14ac:dyDescent="0.3">
      <c r="E77" s="76">
        <v>2016</v>
      </c>
      <c r="F77" s="83">
        <v>5.3186</v>
      </c>
      <c r="G77" s="82">
        <f t="shared" si="37"/>
        <v>1.9519261999999999</v>
      </c>
      <c r="H77" s="82">
        <f t="shared" si="38"/>
        <v>3.3666738</v>
      </c>
      <c r="I77" s="82">
        <f t="shared" si="39"/>
        <v>1.3019347754000001</v>
      </c>
      <c r="J77" s="82">
        <f t="shared" si="40"/>
        <v>0.9830687495999999</v>
      </c>
      <c r="K77" s="73">
        <f t="shared" si="41"/>
        <v>1.1480357658</v>
      </c>
      <c r="L77" s="73">
        <f t="shared" si="44"/>
        <v>0.64999142459999981</v>
      </c>
      <c r="M77" s="72">
        <f t="shared" si="42"/>
        <v>1.0250977576642335</v>
      </c>
      <c r="N77" s="72">
        <f t="shared" si="43"/>
        <v>1.3575962204379561</v>
      </c>
    </row>
    <row r="78" spans="5:17" ht="15.6" x14ac:dyDescent="0.3">
      <c r="E78" s="76">
        <v>2017</v>
      </c>
      <c r="F78" s="83">
        <v>5.3310999999999993</v>
      </c>
      <c r="G78" s="82">
        <f t="shared" si="37"/>
        <v>1.3967481999999998</v>
      </c>
      <c r="H78" s="82">
        <f t="shared" si="38"/>
        <v>3.9343517999999995</v>
      </c>
      <c r="I78" s="82">
        <f t="shared" si="39"/>
        <v>1.0210229341999999</v>
      </c>
      <c r="J78" s="82">
        <f t="shared" si="40"/>
        <v>0.91670396939999998</v>
      </c>
      <c r="K78" s="73">
        <f t="shared" si="41"/>
        <v>1.9868476589999997</v>
      </c>
      <c r="L78" s="73">
        <f t="shared" si="44"/>
        <v>0.37572526579999987</v>
      </c>
      <c r="M78" s="72">
        <f t="shared" si="42"/>
        <v>0.95093772759336104</v>
      </c>
      <c r="N78" s="72">
        <f t="shared" si="43"/>
        <v>1.0591524213692944</v>
      </c>
    </row>
    <row r="79" spans="5:17" ht="15.6" x14ac:dyDescent="0.3">
      <c r="E79" s="76">
        <v>2018</v>
      </c>
      <c r="F79" s="83">
        <v>4.0447617408000003</v>
      </c>
      <c r="G79" s="82">
        <f t="shared" si="37"/>
        <v>1.3549951831680001</v>
      </c>
      <c r="H79" s="82">
        <f t="shared" si="38"/>
        <v>2.6897665576320002</v>
      </c>
      <c r="I79" s="82">
        <f t="shared" si="39"/>
        <v>0.93088169083641592</v>
      </c>
      <c r="J79" s="82">
        <f t="shared" si="40"/>
        <v>0.73430627023353612</v>
      </c>
      <c r="K79" s="73">
        <f t="shared" si="41"/>
        <v>1.0543884905917442</v>
      </c>
      <c r="L79" s="73">
        <f t="shared" si="44"/>
        <v>0.42411349233158413</v>
      </c>
      <c r="M79" s="72">
        <f t="shared" si="42"/>
        <v>0.76490236482660023</v>
      </c>
      <c r="N79" s="72">
        <f t="shared" si="43"/>
        <v>0.96966842795459995</v>
      </c>
    </row>
    <row r="80" spans="5:17" ht="15.6" x14ac:dyDescent="0.3">
      <c r="E80" s="76">
        <v>2019</v>
      </c>
      <c r="F80" s="77">
        <v>4.0075541908799996</v>
      </c>
      <c r="G80" s="82">
        <f t="shared" si="37"/>
        <v>1.19825870307312</v>
      </c>
      <c r="H80" s="82">
        <f t="shared" si="38"/>
        <v>2.8092954878068794</v>
      </c>
      <c r="I80" s="82">
        <f t="shared" si="39"/>
        <v>0.89150447508640129</v>
      </c>
      <c r="J80" s="82">
        <f t="shared" si="40"/>
        <v>0.61804500731751344</v>
      </c>
      <c r="K80" s="73">
        <f t="shared" si="41"/>
        <v>1.351271129635109</v>
      </c>
      <c r="L80" s="73">
        <f t="shared" si="44"/>
        <v>0.3067542279867187</v>
      </c>
      <c r="M80" s="72">
        <f t="shared" si="42"/>
        <v>0.6411255262629808</v>
      </c>
      <c r="N80" s="72">
        <f t="shared" si="43"/>
        <v>0.92479717332614242</v>
      </c>
    </row>
    <row r="81" spans="5:14" ht="15.6" x14ac:dyDescent="0.3">
      <c r="E81" s="76">
        <v>2020</v>
      </c>
      <c r="F81" s="77">
        <v>4.0575661959599998</v>
      </c>
      <c r="G81" s="82">
        <f t="shared" si="37"/>
        <v>1.06308234334152</v>
      </c>
      <c r="H81" s="82">
        <f t="shared" si="38"/>
        <v>2.9944838526184796</v>
      </c>
      <c r="I81" s="82">
        <f t="shared" si="39"/>
        <v>0.79093326344609083</v>
      </c>
      <c r="J81" s="82">
        <f t="shared" si="40"/>
        <v>0.6707643829865394</v>
      </c>
      <c r="K81" s="73">
        <f t="shared" si="41"/>
        <v>1.5391647002458986</v>
      </c>
      <c r="L81" s="73">
        <f t="shared" si="44"/>
        <v>0.27214907989542914</v>
      </c>
      <c r="M81" s="72">
        <f t="shared" si="42"/>
        <v>0.69293841217617713</v>
      </c>
      <c r="N81" s="72">
        <f t="shared" si="43"/>
        <v>0.81707981760959802</v>
      </c>
    </row>
    <row r="82" spans="5:14" ht="15.6" x14ac:dyDescent="0.3">
      <c r="E82" s="76">
        <v>2021</v>
      </c>
      <c r="F82" s="77">
        <v>4.1197163661599996</v>
      </c>
      <c r="G82" s="82">
        <f t="shared" si="37"/>
        <v>1.06288682246928</v>
      </c>
      <c r="H82" s="82">
        <f t="shared" si="38"/>
        <v>3.0568295436907196</v>
      </c>
      <c r="I82" s="82">
        <f t="shared" si="39"/>
        <v>0.79185068273961356</v>
      </c>
      <c r="J82" s="82">
        <f t="shared" si="40"/>
        <v>0.68167298824303046</v>
      </c>
      <c r="K82" s="73">
        <f t="shared" si="41"/>
        <v>1.5864945331754836</v>
      </c>
      <c r="L82" s="73">
        <f t="shared" si="44"/>
        <v>0.27103613972966645</v>
      </c>
      <c r="M82" s="72">
        <f t="shared" si="42"/>
        <v>0.70420763248246954</v>
      </c>
      <c r="N82" s="72">
        <f t="shared" si="43"/>
        <v>0.81802756481365047</v>
      </c>
    </row>
    <row r="83" spans="5:14" ht="15.6" x14ac:dyDescent="0.3">
      <c r="E83" s="76">
        <v>2022</v>
      </c>
      <c r="F83" s="77">
        <v>4.4630366236468983</v>
      </c>
      <c r="G83" s="82">
        <f t="shared" si="37"/>
        <v>1.1023700460407839</v>
      </c>
      <c r="H83" s="82">
        <f t="shared" si="38"/>
        <v>3.3606665776061146</v>
      </c>
      <c r="I83" s="82">
        <f t="shared" si="39"/>
        <v>0.78268273268895672</v>
      </c>
      <c r="J83" s="82">
        <f t="shared" si="40"/>
        <v>0.88385530991040817</v>
      </c>
      <c r="K83" s="73">
        <f t="shared" si="41"/>
        <v>1.6467266230269961</v>
      </c>
      <c r="L83" s="73">
        <f t="shared" si="44"/>
        <v>0.31968731335182721</v>
      </c>
      <c r="M83" s="72">
        <f t="shared" si="42"/>
        <v>0.90838161347421176</v>
      </c>
      <c r="N83" s="72">
        <f t="shared" si="43"/>
        <v>0.80440157521989375</v>
      </c>
    </row>
    <row r="84" spans="5:14" ht="15.6" x14ac:dyDescent="0.3">
      <c r="E84" s="76">
        <v>2023</v>
      </c>
      <c r="F84" s="77">
        <v>4.8134584090924522</v>
      </c>
      <c r="G84" s="82">
        <f t="shared" si="37"/>
        <v>1.2322453527276678</v>
      </c>
      <c r="H84" s="82">
        <f t="shared" si="38"/>
        <v>3.5812130563647844</v>
      </c>
      <c r="I84" s="82">
        <f t="shared" si="39"/>
        <v>0.89584237143301448</v>
      </c>
      <c r="J84" s="82">
        <f t="shared" si="40"/>
        <v>0.880978411865737</v>
      </c>
      <c r="K84" s="73">
        <f t="shared" si="41"/>
        <v>1.7834441020696625</v>
      </c>
      <c r="L84" s="73">
        <f t="shared" si="44"/>
        <v>0.33640298129465329</v>
      </c>
      <c r="M84" s="72">
        <f t="shared" si="42"/>
        <v>0.90542488372634833</v>
      </c>
      <c r="N84" s="72">
        <f t="shared" si="43"/>
        <v>0.9207013067143005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17C68-7ADE-4AD5-8223-6D1FF5E89C22}">
  <dimension ref="B1:BP165"/>
  <sheetViews>
    <sheetView topLeftCell="C25" zoomScale="55" zoomScaleNormal="55" workbookViewId="0">
      <selection activeCell="L9" sqref="L9"/>
    </sheetView>
  </sheetViews>
  <sheetFormatPr baseColWidth="10" defaultColWidth="11.44140625" defaultRowHeight="14.4" x14ac:dyDescent="0.3"/>
  <cols>
    <col min="3" max="3" width="33.33203125" customWidth="1"/>
    <col min="4" max="4" width="70.77734375" bestFit="1" customWidth="1"/>
    <col min="8" max="8" width="13.21875" bestFit="1" customWidth="1"/>
    <col min="12" max="12" width="12.77734375" bestFit="1" customWidth="1"/>
  </cols>
  <sheetData>
    <row r="1" spans="2:58" ht="20.399999999999999" thickBot="1" x14ac:dyDescent="0.35">
      <c r="B1" s="1"/>
      <c r="C1" s="2"/>
      <c r="D1" s="2" t="s">
        <v>12</v>
      </c>
      <c r="E1" s="3">
        <v>2018</v>
      </c>
      <c r="F1" s="3">
        <v>2019</v>
      </c>
      <c r="G1" s="3">
        <v>2020</v>
      </c>
      <c r="H1" s="3">
        <v>2021</v>
      </c>
      <c r="I1" s="3">
        <v>2022</v>
      </c>
      <c r="J1" s="3">
        <v>2023</v>
      </c>
      <c r="K1" s="3">
        <v>2024</v>
      </c>
      <c r="L1" s="3">
        <v>2025</v>
      </c>
      <c r="M1" s="3">
        <v>2026</v>
      </c>
      <c r="N1" s="3">
        <v>2027</v>
      </c>
      <c r="O1" s="3">
        <v>2028</v>
      </c>
      <c r="P1" s="3">
        <v>2029</v>
      </c>
      <c r="Q1" s="3">
        <v>2030</v>
      </c>
      <c r="R1" s="3">
        <v>2031</v>
      </c>
      <c r="S1" s="3">
        <v>2032</v>
      </c>
      <c r="T1" s="3">
        <v>2033</v>
      </c>
      <c r="U1" s="3">
        <v>2034</v>
      </c>
      <c r="V1" s="3">
        <v>2035</v>
      </c>
      <c r="W1" s="3">
        <v>2036</v>
      </c>
      <c r="X1" s="3">
        <v>2037</v>
      </c>
      <c r="Y1" s="3">
        <v>2038</v>
      </c>
      <c r="Z1" s="3">
        <v>2039</v>
      </c>
      <c r="AA1" s="3">
        <v>2040</v>
      </c>
      <c r="AB1" s="3">
        <v>2041</v>
      </c>
      <c r="AC1" s="3">
        <v>2042</v>
      </c>
      <c r="AD1" s="3">
        <v>2043</v>
      </c>
      <c r="AE1" s="3">
        <v>2044</v>
      </c>
      <c r="AF1" s="3">
        <v>2045</v>
      </c>
      <c r="AG1" s="3">
        <v>2046</v>
      </c>
      <c r="AH1" s="3">
        <v>2047</v>
      </c>
      <c r="AI1" s="3">
        <v>2048</v>
      </c>
      <c r="AJ1" s="3">
        <v>2049</v>
      </c>
      <c r="AK1" s="3">
        <v>2050</v>
      </c>
      <c r="AL1" s="3">
        <v>2051</v>
      </c>
      <c r="AM1" s="3">
        <v>2052</v>
      </c>
      <c r="AN1" s="3">
        <v>2053</v>
      </c>
      <c r="AO1" s="3">
        <v>2054</v>
      </c>
      <c r="AP1" s="3">
        <v>2055</v>
      </c>
      <c r="AQ1" s="3">
        <v>2056</v>
      </c>
      <c r="AR1" s="3">
        <v>2057</v>
      </c>
      <c r="AS1" s="3">
        <v>2058</v>
      </c>
      <c r="AT1" s="3">
        <v>2059</v>
      </c>
      <c r="AU1" s="3">
        <v>2060</v>
      </c>
      <c r="AV1" s="3">
        <v>2061</v>
      </c>
      <c r="AW1" s="3">
        <v>2062</v>
      </c>
      <c r="AX1" s="3">
        <v>2063</v>
      </c>
      <c r="AY1" s="3">
        <v>2064</v>
      </c>
      <c r="AZ1" s="3">
        <v>2065</v>
      </c>
      <c r="BA1" s="3">
        <v>2066</v>
      </c>
      <c r="BB1" s="3">
        <v>2067</v>
      </c>
      <c r="BC1" s="3">
        <v>2068</v>
      </c>
      <c r="BD1" s="3">
        <v>2069</v>
      </c>
      <c r="BE1" s="3">
        <v>2070</v>
      </c>
      <c r="BF1" s="4"/>
    </row>
    <row r="2" spans="2:58" ht="15" thickBot="1" x14ac:dyDescent="0.35"/>
    <row r="3" spans="2:58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1"/>
    </row>
    <row r="4" spans="2:58" x14ac:dyDescent="0.3">
      <c r="B4" s="12"/>
      <c r="C4" s="14"/>
      <c r="D4" s="13" t="s">
        <v>82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5"/>
    </row>
    <row r="5" spans="2:58" x14ac:dyDescent="0.3">
      <c r="B5" s="12"/>
      <c r="C5" s="14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5"/>
    </row>
    <row r="6" spans="2:58" x14ac:dyDescent="0.3">
      <c r="B6" s="12"/>
      <c r="C6" s="13" t="s">
        <v>74</v>
      </c>
      <c r="D6" s="24" t="s">
        <v>17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5"/>
    </row>
    <row r="7" spans="2:58" x14ac:dyDescent="0.3">
      <c r="B7" s="12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5"/>
    </row>
    <row r="8" spans="2:58" x14ac:dyDescent="0.3">
      <c r="B8" s="12"/>
      <c r="C8" s="14"/>
      <c r="D8" s="13" t="s">
        <v>36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5"/>
    </row>
    <row r="9" spans="2:58" x14ac:dyDescent="0.3">
      <c r="B9" s="12"/>
      <c r="C9" s="14"/>
      <c r="D9" s="14" t="s">
        <v>37</v>
      </c>
      <c r="E9" s="118">
        <v>0.75</v>
      </c>
      <c r="F9" s="118">
        <v>0.75</v>
      </c>
      <c r="G9" s="118">
        <v>0.75</v>
      </c>
      <c r="H9" s="118">
        <v>0.75</v>
      </c>
      <c r="I9" s="118">
        <f t="shared" ref="I9:J11" si="0">H9</f>
        <v>0.75</v>
      </c>
      <c r="J9" s="118">
        <f t="shared" si="0"/>
        <v>0.75</v>
      </c>
      <c r="K9" s="118">
        <f>V67</f>
        <v>0.45299999999997453</v>
      </c>
      <c r="L9" s="29">
        <v>0.65</v>
      </c>
      <c r="M9" s="29">
        <f t="shared" ref="M9:V11" si="1">X67</f>
        <v>0.64499999999999957</v>
      </c>
      <c r="N9" s="29">
        <f t="shared" si="1"/>
        <v>0.64000000000000057</v>
      </c>
      <c r="O9" s="29">
        <f t="shared" si="1"/>
        <v>0.63499999999999979</v>
      </c>
      <c r="P9" s="29">
        <f t="shared" si="1"/>
        <v>0.63000000000000078</v>
      </c>
      <c r="Q9" s="29">
        <f t="shared" si="1"/>
        <v>0.625</v>
      </c>
      <c r="R9" s="29">
        <f t="shared" si="1"/>
        <v>0.62000000000000099</v>
      </c>
      <c r="S9" s="29">
        <f t="shared" si="1"/>
        <v>0.61500000000000021</v>
      </c>
      <c r="T9" s="29">
        <f t="shared" si="1"/>
        <v>0.60999999999999943</v>
      </c>
      <c r="U9" s="29">
        <f t="shared" si="1"/>
        <v>0.60500000000000043</v>
      </c>
      <c r="V9" s="29">
        <f t="shared" si="1"/>
        <v>0.59999999999999964</v>
      </c>
      <c r="W9" s="29">
        <f t="shared" ref="W9:AF11" si="2">AH67</f>
        <v>0.59500000000000064</v>
      </c>
      <c r="X9" s="29">
        <f t="shared" si="2"/>
        <v>0.58999999999999986</v>
      </c>
      <c r="Y9" s="29">
        <f t="shared" si="2"/>
        <v>0.58500000000000085</v>
      </c>
      <c r="Z9" s="29">
        <f t="shared" si="2"/>
        <v>0.58000000000000007</v>
      </c>
      <c r="AA9" s="29">
        <f t="shared" si="2"/>
        <v>0.57499999999999929</v>
      </c>
      <c r="AB9" s="29">
        <f t="shared" si="2"/>
        <v>0.57000000000000028</v>
      </c>
      <c r="AC9" s="29">
        <f t="shared" si="2"/>
        <v>0.5649999999999995</v>
      </c>
      <c r="AD9" s="29">
        <f t="shared" si="2"/>
        <v>0.5600000000000005</v>
      </c>
      <c r="AE9" s="29">
        <f t="shared" si="2"/>
        <v>0.55499999999999972</v>
      </c>
      <c r="AF9" s="29">
        <f t="shared" si="2"/>
        <v>0.55000000000000071</v>
      </c>
      <c r="AG9" s="29">
        <f t="shared" ref="AG9:AJ11" si="3">AR67</f>
        <v>0.54499999999999993</v>
      </c>
      <c r="AH9" s="29">
        <f t="shared" si="3"/>
        <v>0.54000000000000092</v>
      </c>
      <c r="AI9" s="29">
        <f t="shared" si="3"/>
        <v>0.53500000000000014</v>
      </c>
      <c r="AJ9" s="29">
        <f t="shared" si="3"/>
        <v>0.52999999999999936</v>
      </c>
      <c r="AK9" s="29">
        <v>0.52500000000000002</v>
      </c>
      <c r="AL9" s="29">
        <f t="shared" ref="AL9:AU11" si="4">AW67</f>
        <v>0.51874999999999893</v>
      </c>
      <c r="AM9" s="29">
        <f t="shared" si="4"/>
        <v>0.51249999999999929</v>
      </c>
      <c r="AN9" s="29">
        <f t="shared" si="4"/>
        <v>0.50624999999999964</v>
      </c>
      <c r="AO9" s="29">
        <f t="shared" si="4"/>
        <v>0.5</v>
      </c>
      <c r="AP9" s="29">
        <f t="shared" si="4"/>
        <v>0.49375000000000036</v>
      </c>
      <c r="AQ9" s="29">
        <f t="shared" si="4"/>
        <v>0.48749999999999893</v>
      </c>
      <c r="AR9" s="29">
        <f t="shared" si="4"/>
        <v>0.48124999999999929</v>
      </c>
      <c r="AS9" s="29">
        <f t="shared" si="4"/>
        <v>0.47499999999999964</v>
      </c>
      <c r="AT9" s="29">
        <f t="shared" si="4"/>
        <v>0.46875</v>
      </c>
      <c r="AU9" s="29">
        <f t="shared" si="4"/>
        <v>0.46250000000000036</v>
      </c>
      <c r="AV9" s="29">
        <f t="shared" ref="AV9:BD11" si="5">BG67</f>
        <v>0.45624999999999893</v>
      </c>
      <c r="AW9" s="29">
        <f t="shared" si="5"/>
        <v>0.44999999999999929</v>
      </c>
      <c r="AX9" s="29">
        <f t="shared" si="5"/>
        <v>0.44374999999999964</v>
      </c>
      <c r="AY9" s="29">
        <f t="shared" si="5"/>
        <v>0.4375</v>
      </c>
      <c r="AZ9" s="29">
        <f t="shared" si="5"/>
        <v>0.43125000000000036</v>
      </c>
      <c r="BA9" s="29">
        <f t="shared" si="5"/>
        <v>0.42499999999999893</v>
      </c>
      <c r="BB9" s="29">
        <f t="shared" si="5"/>
        <v>0.41874999999999929</v>
      </c>
      <c r="BC9" s="29">
        <f t="shared" si="5"/>
        <v>0.41249999999999964</v>
      </c>
      <c r="BD9" s="29">
        <f t="shared" si="5"/>
        <v>0.40625</v>
      </c>
      <c r="BE9" s="29">
        <v>0.4</v>
      </c>
      <c r="BF9" s="15"/>
    </row>
    <row r="10" spans="2:58" x14ac:dyDescent="0.3">
      <c r="B10" s="12"/>
      <c r="C10" s="14"/>
      <c r="D10" s="14" t="s">
        <v>38</v>
      </c>
      <c r="E10" s="119">
        <v>0.25</v>
      </c>
      <c r="F10" s="118">
        <v>0.25</v>
      </c>
      <c r="G10" s="118">
        <v>0.25</v>
      </c>
      <c r="H10" s="119">
        <v>0.25</v>
      </c>
      <c r="I10" s="118">
        <f t="shared" si="0"/>
        <v>0.25</v>
      </c>
      <c r="J10" s="118">
        <f t="shared" si="0"/>
        <v>0.25</v>
      </c>
      <c r="K10" s="119">
        <f>V68</f>
        <v>0.53700000000003456</v>
      </c>
      <c r="L10" s="29">
        <v>0.33</v>
      </c>
      <c r="M10" s="30">
        <f t="shared" si="1"/>
        <v>0.3338000000000001</v>
      </c>
      <c r="N10" s="30">
        <f t="shared" si="1"/>
        <v>0.33760000000000012</v>
      </c>
      <c r="O10" s="30">
        <f t="shared" si="1"/>
        <v>0.34140000000000015</v>
      </c>
      <c r="P10" s="30">
        <f t="shared" si="1"/>
        <v>0.34520000000000017</v>
      </c>
      <c r="Q10" s="30">
        <f t="shared" si="1"/>
        <v>0.3490000000000002</v>
      </c>
      <c r="R10" s="30">
        <f t="shared" si="1"/>
        <v>0.35280000000000022</v>
      </c>
      <c r="S10" s="30">
        <f t="shared" si="1"/>
        <v>0.35659999999999936</v>
      </c>
      <c r="T10" s="30">
        <f t="shared" si="1"/>
        <v>0.36039999999999939</v>
      </c>
      <c r="U10" s="30">
        <f t="shared" si="1"/>
        <v>0.36419999999999941</v>
      </c>
      <c r="V10" s="30">
        <f t="shared" si="1"/>
        <v>0.36799999999999944</v>
      </c>
      <c r="W10" s="30">
        <f t="shared" si="2"/>
        <v>0.37179999999999946</v>
      </c>
      <c r="X10" s="30">
        <f t="shared" si="2"/>
        <v>0.37559999999999949</v>
      </c>
      <c r="Y10" s="30">
        <f t="shared" si="2"/>
        <v>0.37939999999999952</v>
      </c>
      <c r="Z10" s="30">
        <f t="shared" si="2"/>
        <v>0.38319999999999954</v>
      </c>
      <c r="AA10" s="30">
        <f t="shared" si="2"/>
        <v>0.38699999999999957</v>
      </c>
      <c r="AB10" s="30">
        <f t="shared" si="2"/>
        <v>0.39079999999999959</v>
      </c>
      <c r="AC10" s="30">
        <f t="shared" si="2"/>
        <v>0.39459999999999962</v>
      </c>
      <c r="AD10" s="30">
        <f t="shared" si="2"/>
        <v>0.39839999999999964</v>
      </c>
      <c r="AE10" s="30">
        <f t="shared" si="2"/>
        <v>0.40219999999999967</v>
      </c>
      <c r="AF10" s="30">
        <f t="shared" si="2"/>
        <v>0.40599999999999969</v>
      </c>
      <c r="AG10" s="30">
        <f t="shared" si="3"/>
        <v>0.40979999999999972</v>
      </c>
      <c r="AH10" s="30">
        <f t="shared" si="3"/>
        <v>0.41359999999999975</v>
      </c>
      <c r="AI10" s="30">
        <f t="shared" si="3"/>
        <v>0.41739999999999977</v>
      </c>
      <c r="AJ10" s="30">
        <f t="shared" si="3"/>
        <v>0.4211999999999998</v>
      </c>
      <c r="AK10" s="29">
        <v>0.42499999999999999</v>
      </c>
      <c r="AL10" s="30">
        <f t="shared" si="4"/>
        <v>0.42625000000000002</v>
      </c>
      <c r="AM10" s="30">
        <f t="shared" si="4"/>
        <v>0.42749999999999977</v>
      </c>
      <c r="AN10" s="30">
        <f t="shared" si="4"/>
        <v>0.42874999999999996</v>
      </c>
      <c r="AO10" s="30">
        <f t="shared" si="4"/>
        <v>0.42999999999999972</v>
      </c>
      <c r="AP10" s="30">
        <f t="shared" si="4"/>
        <v>0.43124999999999991</v>
      </c>
      <c r="AQ10" s="30">
        <f t="shared" si="4"/>
        <v>0.43249999999999966</v>
      </c>
      <c r="AR10" s="30">
        <f t="shared" si="4"/>
        <v>0.43374999999999986</v>
      </c>
      <c r="AS10" s="30">
        <f t="shared" si="4"/>
        <v>0.43500000000000005</v>
      </c>
      <c r="AT10" s="30">
        <f t="shared" si="4"/>
        <v>0.4362499999999998</v>
      </c>
      <c r="AU10" s="30">
        <f t="shared" si="4"/>
        <v>0.4375</v>
      </c>
      <c r="AV10" s="30">
        <f t="shared" si="5"/>
        <v>0.43874999999999975</v>
      </c>
      <c r="AW10" s="30">
        <f t="shared" si="5"/>
        <v>0.43999999999999995</v>
      </c>
      <c r="AX10" s="30">
        <f t="shared" si="5"/>
        <v>0.4412499999999997</v>
      </c>
      <c r="AY10" s="30">
        <f t="shared" si="5"/>
        <v>0.44249999999999989</v>
      </c>
      <c r="AZ10" s="30">
        <f t="shared" si="5"/>
        <v>0.44375000000000009</v>
      </c>
      <c r="BA10" s="30">
        <f t="shared" si="5"/>
        <v>0.44499999999999984</v>
      </c>
      <c r="BB10" s="30">
        <f t="shared" si="5"/>
        <v>0.44625000000000004</v>
      </c>
      <c r="BC10" s="30">
        <f t="shared" si="5"/>
        <v>0.44749999999999979</v>
      </c>
      <c r="BD10" s="30">
        <f t="shared" si="5"/>
        <v>0.44874999999999998</v>
      </c>
      <c r="BE10" s="29">
        <v>0.45</v>
      </c>
      <c r="BF10" s="15"/>
    </row>
    <row r="11" spans="2:58" x14ac:dyDescent="0.3">
      <c r="B11" s="12"/>
      <c r="C11" s="14" t="s">
        <v>77</v>
      </c>
      <c r="D11" s="14" t="s">
        <v>44</v>
      </c>
      <c r="E11" s="119">
        <v>0</v>
      </c>
      <c r="F11" s="119">
        <v>0</v>
      </c>
      <c r="G11" s="119">
        <v>0</v>
      </c>
      <c r="H11" s="119">
        <v>0</v>
      </c>
      <c r="I11" s="118">
        <f t="shared" si="0"/>
        <v>0</v>
      </c>
      <c r="J11" s="118">
        <f t="shared" si="0"/>
        <v>0</v>
      </c>
      <c r="K11" s="119">
        <f>V69</f>
        <v>1.0000000000001563E-2</v>
      </c>
      <c r="L11" s="29">
        <v>0.02</v>
      </c>
      <c r="M11" s="30">
        <f t="shared" si="1"/>
        <v>2.1199999999999886E-2</v>
      </c>
      <c r="N11" s="30">
        <f t="shared" si="1"/>
        <v>2.2400000000000198E-2</v>
      </c>
      <c r="O11" s="30">
        <f t="shared" si="1"/>
        <v>2.3600000000000065E-2</v>
      </c>
      <c r="P11" s="30">
        <f t="shared" si="1"/>
        <v>2.4799999999999933E-2</v>
      </c>
      <c r="Q11" s="30">
        <f t="shared" si="1"/>
        <v>2.6000000000000245E-2</v>
      </c>
      <c r="R11" s="30">
        <f t="shared" si="1"/>
        <v>2.7200000000000113E-2</v>
      </c>
      <c r="S11" s="30">
        <f t="shared" si="1"/>
        <v>2.8399999999999981E-2</v>
      </c>
      <c r="T11" s="30">
        <f t="shared" si="1"/>
        <v>2.9600000000000293E-2</v>
      </c>
      <c r="U11" s="30">
        <f t="shared" si="1"/>
        <v>3.0800000000000161E-2</v>
      </c>
      <c r="V11" s="30">
        <f t="shared" si="1"/>
        <v>3.2000000000000028E-2</v>
      </c>
      <c r="W11" s="30">
        <f t="shared" si="2"/>
        <v>3.3199999999999896E-2</v>
      </c>
      <c r="X11" s="30">
        <f t="shared" si="2"/>
        <v>3.4400000000000208E-2</v>
      </c>
      <c r="Y11" s="30">
        <f t="shared" si="2"/>
        <v>3.5600000000000076E-2</v>
      </c>
      <c r="Z11" s="30">
        <f t="shared" si="2"/>
        <v>3.6799999999999944E-2</v>
      </c>
      <c r="AA11" s="30">
        <f t="shared" si="2"/>
        <v>3.8000000000000256E-2</v>
      </c>
      <c r="AB11" s="30">
        <f t="shared" si="2"/>
        <v>3.9200000000000124E-2</v>
      </c>
      <c r="AC11" s="30">
        <f t="shared" si="2"/>
        <v>4.0399999999999991E-2</v>
      </c>
      <c r="AD11" s="30">
        <f t="shared" si="2"/>
        <v>4.1600000000000303E-2</v>
      </c>
      <c r="AE11" s="30">
        <f t="shared" si="2"/>
        <v>4.2800000000000171E-2</v>
      </c>
      <c r="AF11" s="30">
        <f t="shared" si="2"/>
        <v>4.4000000000000039E-2</v>
      </c>
      <c r="AG11" s="30">
        <f t="shared" si="3"/>
        <v>4.5199999999999907E-2</v>
      </c>
      <c r="AH11" s="30">
        <f t="shared" si="3"/>
        <v>4.6400000000000219E-2</v>
      </c>
      <c r="AI11" s="30">
        <f t="shared" si="3"/>
        <v>4.7600000000000087E-2</v>
      </c>
      <c r="AJ11" s="30">
        <f t="shared" si="3"/>
        <v>4.8799999999999955E-2</v>
      </c>
      <c r="AK11" s="29">
        <v>0.05</v>
      </c>
      <c r="AL11" s="30">
        <f t="shared" si="4"/>
        <v>5.5000000000001492E-2</v>
      </c>
      <c r="AM11" s="30">
        <f t="shared" si="4"/>
        <v>6.0000000000000497E-2</v>
      </c>
      <c r="AN11" s="30">
        <f t="shared" si="4"/>
        <v>6.5000000000001279E-2</v>
      </c>
      <c r="AO11" s="30">
        <f t="shared" si="4"/>
        <v>7.0000000000000284E-2</v>
      </c>
      <c r="AP11" s="30">
        <f t="shared" si="4"/>
        <v>7.5000000000001066E-2</v>
      </c>
      <c r="AQ11" s="30">
        <f t="shared" si="4"/>
        <v>8.0000000000000071E-2</v>
      </c>
      <c r="AR11" s="30">
        <f t="shared" si="4"/>
        <v>8.5000000000000853E-2</v>
      </c>
      <c r="AS11" s="30">
        <f t="shared" si="4"/>
        <v>9.0000000000001634E-2</v>
      </c>
      <c r="AT11" s="30">
        <f t="shared" si="4"/>
        <v>9.5000000000000639E-2</v>
      </c>
      <c r="AU11" s="30">
        <f t="shared" si="4"/>
        <v>0.10000000000000142</v>
      </c>
      <c r="AV11" s="30">
        <f t="shared" si="5"/>
        <v>0.10500000000000043</v>
      </c>
      <c r="AW11" s="30">
        <f t="shared" si="5"/>
        <v>0.11000000000000121</v>
      </c>
      <c r="AX11" s="30">
        <f t="shared" si="5"/>
        <v>0.11500000000000021</v>
      </c>
      <c r="AY11" s="30">
        <f t="shared" si="5"/>
        <v>0.12000000000000099</v>
      </c>
      <c r="AZ11" s="30">
        <f t="shared" si="5"/>
        <v>0.12500000000000178</v>
      </c>
      <c r="BA11" s="30">
        <f t="shared" si="5"/>
        <v>0.13000000000000078</v>
      </c>
      <c r="BB11" s="30">
        <f t="shared" si="5"/>
        <v>0.13500000000000156</v>
      </c>
      <c r="BC11" s="30">
        <f t="shared" si="5"/>
        <v>0.14000000000000057</v>
      </c>
      <c r="BD11" s="30">
        <f t="shared" si="5"/>
        <v>0.14500000000000135</v>
      </c>
      <c r="BE11" s="29">
        <v>0.15</v>
      </c>
      <c r="BF11" s="15"/>
    </row>
    <row r="12" spans="2:58" x14ac:dyDescent="0.3">
      <c r="B12" s="12"/>
      <c r="C12" s="14"/>
      <c r="D12" s="13" t="s">
        <v>40</v>
      </c>
      <c r="E12" s="119">
        <f>SUM(E9:E11)</f>
        <v>1</v>
      </c>
      <c r="F12" s="119">
        <f t="shared" ref="F12:BE12" si="6">SUM(F9:F11)</f>
        <v>1</v>
      </c>
      <c r="G12" s="119">
        <f t="shared" si="6"/>
        <v>1</v>
      </c>
      <c r="H12" s="119">
        <f t="shared" si="6"/>
        <v>1</v>
      </c>
      <c r="I12" s="119">
        <f t="shared" si="6"/>
        <v>1</v>
      </c>
      <c r="J12" s="119">
        <f t="shared" si="6"/>
        <v>1</v>
      </c>
      <c r="K12" s="119">
        <f t="shared" si="6"/>
        <v>1.0000000000000107</v>
      </c>
      <c r="L12" s="31">
        <f t="shared" si="6"/>
        <v>1</v>
      </c>
      <c r="M12" s="31">
        <f t="shared" si="6"/>
        <v>0.99999999999999956</v>
      </c>
      <c r="N12" s="31">
        <f t="shared" si="6"/>
        <v>1.0000000000000009</v>
      </c>
      <c r="O12" s="31">
        <f t="shared" si="6"/>
        <v>1</v>
      </c>
      <c r="P12" s="31">
        <f t="shared" si="6"/>
        <v>1.0000000000000009</v>
      </c>
      <c r="Q12" s="31">
        <f t="shared" si="6"/>
        <v>1.0000000000000004</v>
      </c>
      <c r="R12" s="31">
        <f t="shared" si="6"/>
        <v>1.0000000000000013</v>
      </c>
      <c r="S12" s="31">
        <f t="shared" si="6"/>
        <v>0.99999999999999956</v>
      </c>
      <c r="T12" s="31">
        <f t="shared" si="6"/>
        <v>0.99999999999999911</v>
      </c>
      <c r="U12" s="31">
        <f t="shared" si="6"/>
        <v>1</v>
      </c>
      <c r="V12" s="31">
        <f t="shared" si="6"/>
        <v>0.99999999999999911</v>
      </c>
      <c r="W12" s="31">
        <f t="shared" si="6"/>
        <v>1</v>
      </c>
      <c r="X12" s="31">
        <f t="shared" si="6"/>
        <v>0.99999999999999956</v>
      </c>
      <c r="Y12" s="31">
        <f t="shared" si="6"/>
        <v>1.0000000000000004</v>
      </c>
      <c r="Z12" s="31">
        <f t="shared" si="6"/>
        <v>0.99999999999999956</v>
      </c>
      <c r="AA12" s="31">
        <f t="shared" si="6"/>
        <v>0.99999999999999911</v>
      </c>
      <c r="AB12" s="31">
        <f t="shared" si="6"/>
        <v>1</v>
      </c>
      <c r="AC12" s="31">
        <f t="shared" si="6"/>
        <v>0.99999999999999911</v>
      </c>
      <c r="AD12" s="31">
        <f t="shared" si="6"/>
        <v>1.0000000000000004</v>
      </c>
      <c r="AE12" s="31">
        <f t="shared" si="6"/>
        <v>0.99999999999999956</v>
      </c>
      <c r="AF12" s="31">
        <f t="shared" si="6"/>
        <v>1.0000000000000004</v>
      </c>
      <c r="AG12" s="31">
        <f t="shared" si="6"/>
        <v>0.99999999999999956</v>
      </c>
      <c r="AH12" s="31">
        <f t="shared" si="6"/>
        <v>1.0000000000000009</v>
      </c>
      <c r="AI12" s="31">
        <f t="shared" si="6"/>
        <v>1</v>
      </c>
      <c r="AJ12" s="31">
        <f t="shared" si="6"/>
        <v>0.99999999999999911</v>
      </c>
      <c r="AK12" s="31">
        <f t="shared" si="6"/>
        <v>1</v>
      </c>
      <c r="AL12" s="31">
        <f>SUM(AL9:AL11)</f>
        <v>1.0000000000000004</v>
      </c>
      <c r="AM12" s="31">
        <f t="shared" si="6"/>
        <v>0.99999999999999956</v>
      </c>
      <c r="AN12" s="31">
        <f t="shared" si="6"/>
        <v>1.0000000000000009</v>
      </c>
      <c r="AO12" s="31">
        <f t="shared" si="6"/>
        <v>1</v>
      </c>
      <c r="AP12" s="31">
        <f t="shared" si="6"/>
        <v>1.0000000000000013</v>
      </c>
      <c r="AQ12" s="31">
        <f t="shared" si="6"/>
        <v>0.99999999999999867</v>
      </c>
      <c r="AR12" s="31">
        <f t="shared" si="6"/>
        <v>1</v>
      </c>
      <c r="AS12" s="31">
        <f t="shared" si="6"/>
        <v>1.0000000000000013</v>
      </c>
      <c r="AT12" s="31">
        <f t="shared" si="6"/>
        <v>1.0000000000000004</v>
      </c>
      <c r="AU12" s="31">
        <f t="shared" si="6"/>
        <v>1.0000000000000018</v>
      </c>
      <c r="AV12" s="31">
        <f t="shared" si="6"/>
        <v>0.99999999999999911</v>
      </c>
      <c r="AW12" s="31">
        <f t="shared" si="6"/>
        <v>1.0000000000000004</v>
      </c>
      <c r="AX12" s="31">
        <f t="shared" si="6"/>
        <v>0.99999999999999956</v>
      </c>
      <c r="AY12" s="31">
        <f t="shared" si="6"/>
        <v>1.0000000000000009</v>
      </c>
      <c r="AZ12" s="31">
        <f t="shared" si="6"/>
        <v>1.0000000000000022</v>
      </c>
      <c r="BA12" s="31">
        <f t="shared" si="6"/>
        <v>0.99999999999999956</v>
      </c>
      <c r="BB12" s="31">
        <f t="shared" si="6"/>
        <v>1.0000000000000009</v>
      </c>
      <c r="BC12" s="31">
        <f t="shared" si="6"/>
        <v>1</v>
      </c>
      <c r="BD12" s="31">
        <f t="shared" si="6"/>
        <v>1.0000000000000013</v>
      </c>
      <c r="BE12" s="31">
        <f t="shared" si="6"/>
        <v>1</v>
      </c>
      <c r="BF12" s="15"/>
    </row>
    <row r="13" spans="2:58" x14ac:dyDescent="0.3">
      <c r="B13" s="12"/>
      <c r="C13" s="14"/>
      <c r="D13" s="13"/>
      <c r="E13" s="120"/>
      <c r="F13" s="120"/>
      <c r="G13" s="120"/>
      <c r="H13" s="120"/>
      <c r="I13" s="120"/>
      <c r="J13" s="120"/>
      <c r="K13" s="121"/>
      <c r="L13" s="33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3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3"/>
      <c r="BF13" s="15"/>
    </row>
    <row r="14" spans="2:58" x14ac:dyDescent="0.3">
      <c r="B14" s="12"/>
      <c r="C14" s="14"/>
      <c r="D14" s="13" t="s">
        <v>41</v>
      </c>
      <c r="E14" s="120"/>
      <c r="F14" s="120"/>
      <c r="G14" s="120"/>
      <c r="H14" s="120"/>
      <c r="I14" s="120"/>
      <c r="J14" s="120"/>
      <c r="K14" s="121"/>
      <c r="L14" s="33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3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3"/>
      <c r="BF14" s="15"/>
    </row>
    <row r="15" spans="2:58" x14ac:dyDescent="0.3">
      <c r="B15" s="12"/>
      <c r="C15" s="14"/>
      <c r="D15" s="14" t="s">
        <v>115</v>
      </c>
      <c r="E15" s="122">
        <v>0.25</v>
      </c>
      <c r="F15" s="118">
        <v>0.25</v>
      </c>
      <c r="G15" s="118">
        <v>0.25</v>
      </c>
      <c r="H15" s="119">
        <v>0.25</v>
      </c>
      <c r="I15" s="119">
        <f>H15</f>
        <v>0.25</v>
      </c>
      <c r="J15" s="119">
        <f>I15</f>
        <v>0.25</v>
      </c>
      <c r="K15" s="119">
        <f t="shared" ref="K15:BE15" si="7">J15</f>
        <v>0.25</v>
      </c>
      <c r="L15" s="30">
        <f t="shared" si="7"/>
        <v>0.25</v>
      </c>
      <c r="M15" s="30">
        <f t="shared" si="7"/>
        <v>0.25</v>
      </c>
      <c r="N15" s="30">
        <f t="shared" si="7"/>
        <v>0.25</v>
      </c>
      <c r="O15" s="30">
        <f t="shared" si="7"/>
        <v>0.25</v>
      </c>
      <c r="P15" s="30">
        <f t="shared" si="7"/>
        <v>0.25</v>
      </c>
      <c r="Q15" s="30">
        <f t="shared" si="7"/>
        <v>0.25</v>
      </c>
      <c r="R15" s="30">
        <f t="shared" si="7"/>
        <v>0.25</v>
      </c>
      <c r="S15" s="30">
        <f t="shared" si="7"/>
        <v>0.25</v>
      </c>
      <c r="T15" s="30">
        <f t="shared" si="7"/>
        <v>0.25</v>
      </c>
      <c r="U15" s="30">
        <f t="shared" si="7"/>
        <v>0.25</v>
      </c>
      <c r="V15" s="30">
        <f t="shared" si="7"/>
        <v>0.25</v>
      </c>
      <c r="W15" s="30">
        <f t="shared" si="7"/>
        <v>0.25</v>
      </c>
      <c r="X15" s="30">
        <f t="shared" si="7"/>
        <v>0.25</v>
      </c>
      <c r="Y15" s="30">
        <f t="shared" si="7"/>
        <v>0.25</v>
      </c>
      <c r="Z15" s="30">
        <f t="shared" si="7"/>
        <v>0.25</v>
      </c>
      <c r="AA15" s="30">
        <f t="shared" si="7"/>
        <v>0.25</v>
      </c>
      <c r="AB15" s="30">
        <f t="shared" si="7"/>
        <v>0.25</v>
      </c>
      <c r="AC15" s="30">
        <f t="shared" si="7"/>
        <v>0.25</v>
      </c>
      <c r="AD15" s="30">
        <f t="shared" si="7"/>
        <v>0.25</v>
      </c>
      <c r="AE15" s="30">
        <f t="shared" si="7"/>
        <v>0.25</v>
      </c>
      <c r="AF15" s="30">
        <f t="shared" si="7"/>
        <v>0.25</v>
      </c>
      <c r="AG15" s="30">
        <f t="shared" si="7"/>
        <v>0.25</v>
      </c>
      <c r="AH15" s="30">
        <f t="shared" si="7"/>
        <v>0.25</v>
      </c>
      <c r="AI15" s="30">
        <f t="shared" si="7"/>
        <v>0.25</v>
      </c>
      <c r="AJ15" s="30">
        <f t="shared" si="7"/>
        <v>0.25</v>
      </c>
      <c r="AK15" s="30">
        <f t="shared" si="7"/>
        <v>0.25</v>
      </c>
      <c r="AL15" s="30">
        <f t="shared" si="7"/>
        <v>0.25</v>
      </c>
      <c r="AM15" s="30">
        <f t="shared" si="7"/>
        <v>0.25</v>
      </c>
      <c r="AN15" s="30">
        <f t="shared" si="7"/>
        <v>0.25</v>
      </c>
      <c r="AO15" s="30">
        <f t="shared" si="7"/>
        <v>0.25</v>
      </c>
      <c r="AP15" s="30">
        <f t="shared" si="7"/>
        <v>0.25</v>
      </c>
      <c r="AQ15" s="30">
        <f t="shared" si="7"/>
        <v>0.25</v>
      </c>
      <c r="AR15" s="30">
        <f t="shared" si="7"/>
        <v>0.25</v>
      </c>
      <c r="AS15" s="30">
        <f t="shared" si="7"/>
        <v>0.25</v>
      </c>
      <c r="AT15" s="30">
        <f t="shared" si="7"/>
        <v>0.25</v>
      </c>
      <c r="AU15" s="30">
        <f t="shared" si="7"/>
        <v>0.25</v>
      </c>
      <c r="AV15" s="30">
        <f t="shared" si="7"/>
        <v>0.25</v>
      </c>
      <c r="AW15" s="30">
        <f t="shared" si="7"/>
        <v>0.25</v>
      </c>
      <c r="AX15" s="30">
        <f t="shared" si="7"/>
        <v>0.25</v>
      </c>
      <c r="AY15" s="30">
        <f t="shared" si="7"/>
        <v>0.25</v>
      </c>
      <c r="AZ15" s="30">
        <f t="shared" si="7"/>
        <v>0.25</v>
      </c>
      <c r="BA15" s="30">
        <f t="shared" si="7"/>
        <v>0.25</v>
      </c>
      <c r="BB15" s="30">
        <f t="shared" si="7"/>
        <v>0.25</v>
      </c>
      <c r="BC15" s="30">
        <f t="shared" si="7"/>
        <v>0.25</v>
      </c>
      <c r="BD15" s="30">
        <f t="shared" si="7"/>
        <v>0.25</v>
      </c>
      <c r="BE15" s="30">
        <f t="shared" si="7"/>
        <v>0.25</v>
      </c>
      <c r="BF15" s="15"/>
    </row>
    <row r="16" spans="2:58" x14ac:dyDescent="0.3">
      <c r="B16" s="12"/>
      <c r="C16" s="14"/>
      <c r="D16" s="14" t="s">
        <v>116</v>
      </c>
      <c r="E16" s="119">
        <v>0.75</v>
      </c>
      <c r="F16" s="119">
        <v>0.75</v>
      </c>
      <c r="G16" s="119">
        <v>0.75</v>
      </c>
      <c r="H16" s="119">
        <v>0.75</v>
      </c>
      <c r="I16" s="119">
        <f>H16</f>
        <v>0.75</v>
      </c>
      <c r="J16" s="119">
        <f>I16</f>
        <v>0.75</v>
      </c>
      <c r="K16" s="119">
        <f t="shared" ref="K16:BE16" si="8">J16</f>
        <v>0.75</v>
      </c>
      <c r="L16" s="30">
        <f t="shared" si="8"/>
        <v>0.75</v>
      </c>
      <c r="M16" s="30">
        <f t="shared" si="8"/>
        <v>0.75</v>
      </c>
      <c r="N16" s="30">
        <f t="shared" si="8"/>
        <v>0.75</v>
      </c>
      <c r="O16" s="30">
        <f t="shared" si="8"/>
        <v>0.75</v>
      </c>
      <c r="P16" s="30">
        <f t="shared" si="8"/>
        <v>0.75</v>
      </c>
      <c r="Q16" s="30">
        <f t="shared" si="8"/>
        <v>0.75</v>
      </c>
      <c r="R16" s="30">
        <f t="shared" si="8"/>
        <v>0.75</v>
      </c>
      <c r="S16" s="30">
        <f t="shared" si="8"/>
        <v>0.75</v>
      </c>
      <c r="T16" s="30">
        <f t="shared" si="8"/>
        <v>0.75</v>
      </c>
      <c r="U16" s="30">
        <f t="shared" si="8"/>
        <v>0.75</v>
      </c>
      <c r="V16" s="30">
        <f t="shared" si="8"/>
        <v>0.75</v>
      </c>
      <c r="W16" s="30">
        <f t="shared" si="8"/>
        <v>0.75</v>
      </c>
      <c r="X16" s="30">
        <f t="shared" si="8"/>
        <v>0.75</v>
      </c>
      <c r="Y16" s="30">
        <f t="shared" si="8"/>
        <v>0.75</v>
      </c>
      <c r="Z16" s="30">
        <f t="shared" si="8"/>
        <v>0.75</v>
      </c>
      <c r="AA16" s="30">
        <f t="shared" si="8"/>
        <v>0.75</v>
      </c>
      <c r="AB16" s="30">
        <f t="shared" si="8"/>
        <v>0.75</v>
      </c>
      <c r="AC16" s="30">
        <f t="shared" si="8"/>
        <v>0.75</v>
      </c>
      <c r="AD16" s="30">
        <f t="shared" si="8"/>
        <v>0.75</v>
      </c>
      <c r="AE16" s="30">
        <f t="shared" si="8"/>
        <v>0.75</v>
      </c>
      <c r="AF16" s="30">
        <f t="shared" si="8"/>
        <v>0.75</v>
      </c>
      <c r="AG16" s="30">
        <f t="shared" si="8"/>
        <v>0.75</v>
      </c>
      <c r="AH16" s="30">
        <f t="shared" si="8"/>
        <v>0.75</v>
      </c>
      <c r="AI16" s="30">
        <f t="shared" si="8"/>
        <v>0.75</v>
      </c>
      <c r="AJ16" s="30">
        <f t="shared" si="8"/>
        <v>0.75</v>
      </c>
      <c r="AK16" s="30">
        <f t="shared" si="8"/>
        <v>0.75</v>
      </c>
      <c r="AL16" s="30">
        <f t="shared" si="8"/>
        <v>0.75</v>
      </c>
      <c r="AM16" s="30">
        <f t="shared" si="8"/>
        <v>0.75</v>
      </c>
      <c r="AN16" s="30">
        <f t="shared" si="8"/>
        <v>0.75</v>
      </c>
      <c r="AO16" s="30">
        <f t="shared" si="8"/>
        <v>0.75</v>
      </c>
      <c r="AP16" s="30">
        <f t="shared" si="8"/>
        <v>0.75</v>
      </c>
      <c r="AQ16" s="30">
        <f t="shared" si="8"/>
        <v>0.75</v>
      </c>
      <c r="AR16" s="30">
        <f t="shared" si="8"/>
        <v>0.75</v>
      </c>
      <c r="AS16" s="30">
        <f t="shared" si="8"/>
        <v>0.75</v>
      </c>
      <c r="AT16" s="30">
        <f t="shared" si="8"/>
        <v>0.75</v>
      </c>
      <c r="AU16" s="30">
        <f t="shared" si="8"/>
        <v>0.75</v>
      </c>
      <c r="AV16" s="30">
        <f t="shared" si="8"/>
        <v>0.75</v>
      </c>
      <c r="AW16" s="30">
        <f t="shared" si="8"/>
        <v>0.75</v>
      </c>
      <c r="AX16" s="30">
        <f t="shared" si="8"/>
        <v>0.75</v>
      </c>
      <c r="AY16" s="30">
        <f t="shared" si="8"/>
        <v>0.75</v>
      </c>
      <c r="AZ16" s="30">
        <f t="shared" si="8"/>
        <v>0.75</v>
      </c>
      <c r="BA16" s="30">
        <f t="shared" si="8"/>
        <v>0.75</v>
      </c>
      <c r="BB16" s="30">
        <f t="shared" si="8"/>
        <v>0.75</v>
      </c>
      <c r="BC16" s="30">
        <f t="shared" si="8"/>
        <v>0.75</v>
      </c>
      <c r="BD16" s="30">
        <f t="shared" si="8"/>
        <v>0.75</v>
      </c>
      <c r="BE16" s="30">
        <f t="shared" si="8"/>
        <v>0.75</v>
      </c>
      <c r="BF16" s="15"/>
    </row>
    <row r="17" spans="2:58" x14ac:dyDescent="0.3">
      <c r="B17" s="12"/>
      <c r="C17" s="14"/>
      <c r="D17" s="13"/>
      <c r="E17" s="119">
        <f>SUM(E15:E16)</f>
        <v>1</v>
      </c>
      <c r="F17" s="119">
        <f t="shared" ref="F17:BE17" si="9">SUM(F15:F16)</f>
        <v>1</v>
      </c>
      <c r="G17" s="119">
        <f t="shared" si="9"/>
        <v>1</v>
      </c>
      <c r="H17" s="119">
        <f t="shared" si="9"/>
        <v>1</v>
      </c>
      <c r="I17" s="119">
        <f t="shared" si="9"/>
        <v>1</v>
      </c>
      <c r="J17" s="119">
        <f t="shared" si="9"/>
        <v>1</v>
      </c>
      <c r="K17" s="119">
        <f t="shared" si="9"/>
        <v>1</v>
      </c>
      <c r="L17" s="31">
        <f t="shared" si="9"/>
        <v>1</v>
      </c>
      <c r="M17" s="31">
        <f t="shared" si="9"/>
        <v>1</v>
      </c>
      <c r="N17" s="31">
        <f t="shared" si="9"/>
        <v>1</v>
      </c>
      <c r="O17" s="31">
        <f t="shared" si="9"/>
        <v>1</v>
      </c>
      <c r="P17" s="31">
        <f t="shared" si="9"/>
        <v>1</v>
      </c>
      <c r="Q17" s="31">
        <f t="shared" si="9"/>
        <v>1</v>
      </c>
      <c r="R17" s="31">
        <f t="shared" si="9"/>
        <v>1</v>
      </c>
      <c r="S17" s="31">
        <f t="shared" si="9"/>
        <v>1</v>
      </c>
      <c r="T17" s="31">
        <f t="shared" si="9"/>
        <v>1</v>
      </c>
      <c r="U17" s="31">
        <f t="shared" si="9"/>
        <v>1</v>
      </c>
      <c r="V17" s="31">
        <f t="shared" si="9"/>
        <v>1</v>
      </c>
      <c r="W17" s="31">
        <f t="shared" si="9"/>
        <v>1</v>
      </c>
      <c r="X17" s="31">
        <f t="shared" si="9"/>
        <v>1</v>
      </c>
      <c r="Y17" s="31">
        <f t="shared" si="9"/>
        <v>1</v>
      </c>
      <c r="Z17" s="31">
        <f t="shared" si="9"/>
        <v>1</v>
      </c>
      <c r="AA17" s="31">
        <f t="shared" si="9"/>
        <v>1</v>
      </c>
      <c r="AB17" s="31">
        <f t="shared" si="9"/>
        <v>1</v>
      </c>
      <c r="AC17" s="31">
        <f t="shared" si="9"/>
        <v>1</v>
      </c>
      <c r="AD17" s="31">
        <f t="shared" si="9"/>
        <v>1</v>
      </c>
      <c r="AE17" s="31">
        <f t="shared" si="9"/>
        <v>1</v>
      </c>
      <c r="AF17" s="31">
        <f t="shared" si="9"/>
        <v>1</v>
      </c>
      <c r="AG17" s="31">
        <f t="shared" si="9"/>
        <v>1</v>
      </c>
      <c r="AH17" s="31">
        <f t="shared" si="9"/>
        <v>1</v>
      </c>
      <c r="AI17" s="31">
        <f t="shared" si="9"/>
        <v>1</v>
      </c>
      <c r="AJ17" s="31">
        <f t="shared" si="9"/>
        <v>1</v>
      </c>
      <c r="AK17" s="31">
        <f t="shared" si="9"/>
        <v>1</v>
      </c>
      <c r="AL17" s="31">
        <f t="shared" si="9"/>
        <v>1</v>
      </c>
      <c r="AM17" s="31">
        <f t="shared" si="9"/>
        <v>1</v>
      </c>
      <c r="AN17" s="31">
        <f t="shared" si="9"/>
        <v>1</v>
      </c>
      <c r="AO17" s="31">
        <f t="shared" si="9"/>
        <v>1</v>
      </c>
      <c r="AP17" s="31">
        <f t="shared" si="9"/>
        <v>1</v>
      </c>
      <c r="AQ17" s="31">
        <f t="shared" si="9"/>
        <v>1</v>
      </c>
      <c r="AR17" s="31">
        <f t="shared" si="9"/>
        <v>1</v>
      </c>
      <c r="AS17" s="31">
        <f t="shared" si="9"/>
        <v>1</v>
      </c>
      <c r="AT17" s="31">
        <f t="shared" si="9"/>
        <v>1</v>
      </c>
      <c r="AU17" s="31">
        <f t="shared" si="9"/>
        <v>1</v>
      </c>
      <c r="AV17" s="31">
        <f t="shared" si="9"/>
        <v>1</v>
      </c>
      <c r="AW17" s="31">
        <f t="shared" si="9"/>
        <v>1</v>
      </c>
      <c r="AX17" s="31">
        <f t="shared" si="9"/>
        <v>1</v>
      </c>
      <c r="AY17" s="31">
        <f t="shared" si="9"/>
        <v>1</v>
      </c>
      <c r="AZ17" s="31">
        <f t="shared" si="9"/>
        <v>1</v>
      </c>
      <c r="BA17" s="31">
        <f t="shared" si="9"/>
        <v>1</v>
      </c>
      <c r="BB17" s="31">
        <f t="shared" si="9"/>
        <v>1</v>
      </c>
      <c r="BC17" s="31">
        <f t="shared" si="9"/>
        <v>1</v>
      </c>
      <c r="BD17" s="31">
        <f t="shared" si="9"/>
        <v>1</v>
      </c>
      <c r="BE17" s="31">
        <f t="shared" si="9"/>
        <v>1</v>
      </c>
      <c r="BF17" s="15"/>
    </row>
    <row r="18" spans="2:58" x14ac:dyDescent="0.3">
      <c r="B18" s="12"/>
      <c r="C18" s="14"/>
      <c r="D18" s="13" t="s">
        <v>41</v>
      </c>
      <c r="E18" s="120"/>
      <c r="F18" s="120"/>
      <c r="G18" s="120"/>
      <c r="H18" s="120"/>
      <c r="I18" s="120"/>
      <c r="J18" s="120"/>
      <c r="K18" s="119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15"/>
    </row>
    <row r="19" spans="2:58" x14ac:dyDescent="0.3">
      <c r="B19" s="12"/>
      <c r="C19" s="14" t="s">
        <v>75</v>
      </c>
      <c r="D19" s="14" t="s">
        <v>72</v>
      </c>
      <c r="E19" s="119">
        <f>E10*E15</f>
        <v>6.25E-2</v>
      </c>
      <c r="F19" s="119">
        <f>F10*F15</f>
        <v>6.25E-2</v>
      </c>
      <c r="G19" s="119">
        <f>G10*G15</f>
        <v>6.25E-2</v>
      </c>
      <c r="H19" s="119">
        <f>H10*H15</f>
        <v>6.25E-2</v>
      </c>
      <c r="I19" s="119">
        <f t="shared" ref="I19:BE19" si="10">I10*I15</f>
        <v>6.25E-2</v>
      </c>
      <c r="J19" s="119">
        <f t="shared" si="10"/>
        <v>6.25E-2</v>
      </c>
      <c r="K19" s="119">
        <f t="shared" si="10"/>
        <v>0.13425000000000864</v>
      </c>
      <c r="L19" s="30">
        <f t="shared" si="10"/>
        <v>8.2500000000000004E-2</v>
      </c>
      <c r="M19" s="30">
        <f t="shared" si="10"/>
        <v>8.3450000000000024E-2</v>
      </c>
      <c r="N19" s="30">
        <f t="shared" si="10"/>
        <v>8.4400000000000031E-2</v>
      </c>
      <c r="O19" s="30">
        <f t="shared" si="10"/>
        <v>8.5350000000000037E-2</v>
      </c>
      <c r="P19" s="30">
        <f t="shared" si="10"/>
        <v>8.6300000000000043E-2</v>
      </c>
      <c r="Q19" s="30">
        <f t="shared" si="10"/>
        <v>8.725000000000005E-2</v>
      </c>
      <c r="R19" s="30">
        <f t="shared" si="10"/>
        <v>8.8200000000000056E-2</v>
      </c>
      <c r="S19" s="30">
        <f t="shared" si="10"/>
        <v>8.914999999999984E-2</v>
      </c>
      <c r="T19" s="30">
        <f t="shared" si="10"/>
        <v>9.0099999999999847E-2</v>
      </c>
      <c r="U19" s="30">
        <f t="shared" si="10"/>
        <v>9.1049999999999853E-2</v>
      </c>
      <c r="V19" s="30">
        <f t="shared" si="10"/>
        <v>9.199999999999986E-2</v>
      </c>
      <c r="W19" s="30">
        <f t="shared" si="10"/>
        <v>9.2949999999999866E-2</v>
      </c>
      <c r="X19" s="30">
        <f t="shared" si="10"/>
        <v>9.3899999999999872E-2</v>
      </c>
      <c r="Y19" s="30">
        <f t="shared" si="10"/>
        <v>9.4849999999999879E-2</v>
      </c>
      <c r="Z19" s="30">
        <f t="shared" si="10"/>
        <v>9.5799999999999885E-2</v>
      </c>
      <c r="AA19" s="30">
        <f t="shared" si="10"/>
        <v>9.6749999999999892E-2</v>
      </c>
      <c r="AB19" s="30">
        <f t="shared" si="10"/>
        <v>9.7699999999999898E-2</v>
      </c>
      <c r="AC19" s="30">
        <f t="shared" si="10"/>
        <v>9.8649999999999904E-2</v>
      </c>
      <c r="AD19" s="30">
        <f t="shared" si="10"/>
        <v>9.9599999999999911E-2</v>
      </c>
      <c r="AE19" s="30">
        <f t="shared" si="10"/>
        <v>0.10054999999999992</v>
      </c>
      <c r="AF19" s="30">
        <f t="shared" si="10"/>
        <v>0.10149999999999992</v>
      </c>
      <c r="AG19" s="30">
        <f t="shared" si="10"/>
        <v>0.10244999999999993</v>
      </c>
      <c r="AH19" s="30">
        <f t="shared" si="10"/>
        <v>0.10339999999999994</v>
      </c>
      <c r="AI19" s="30">
        <f t="shared" si="10"/>
        <v>0.10434999999999994</v>
      </c>
      <c r="AJ19" s="30">
        <f t="shared" si="10"/>
        <v>0.10529999999999995</v>
      </c>
      <c r="AK19" s="30">
        <f t="shared" si="10"/>
        <v>0.10625</v>
      </c>
      <c r="AL19" s="30">
        <f t="shared" si="10"/>
        <v>0.1065625</v>
      </c>
      <c r="AM19" s="30">
        <f t="shared" si="10"/>
        <v>0.10687499999999994</v>
      </c>
      <c r="AN19" s="30">
        <f t="shared" si="10"/>
        <v>0.10718749999999999</v>
      </c>
      <c r="AO19" s="30">
        <f t="shared" si="10"/>
        <v>0.10749999999999993</v>
      </c>
      <c r="AP19" s="30">
        <f t="shared" si="10"/>
        <v>0.10781249999999998</v>
      </c>
      <c r="AQ19" s="30">
        <f t="shared" si="10"/>
        <v>0.10812499999999992</v>
      </c>
      <c r="AR19" s="30">
        <f t="shared" si="10"/>
        <v>0.10843749999999996</v>
      </c>
      <c r="AS19" s="30">
        <f t="shared" si="10"/>
        <v>0.10875000000000001</v>
      </c>
      <c r="AT19" s="30">
        <f t="shared" si="10"/>
        <v>0.10906249999999995</v>
      </c>
      <c r="AU19" s="30">
        <f t="shared" si="10"/>
        <v>0.109375</v>
      </c>
      <c r="AV19" s="30">
        <f t="shared" si="10"/>
        <v>0.10968749999999994</v>
      </c>
      <c r="AW19" s="30">
        <f t="shared" si="10"/>
        <v>0.10999999999999999</v>
      </c>
      <c r="AX19" s="30">
        <f t="shared" si="10"/>
        <v>0.11031249999999992</v>
      </c>
      <c r="AY19" s="30">
        <f t="shared" si="10"/>
        <v>0.11062499999999997</v>
      </c>
      <c r="AZ19" s="30">
        <f t="shared" si="10"/>
        <v>0.11093750000000002</v>
      </c>
      <c r="BA19" s="30">
        <f t="shared" si="10"/>
        <v>0.11124999999999996</v>
      </c>
      <c r="BB19" s="30">
        <f t="shared" si="10"/>
        <v>0.11156250000000001</v>
      </c>
      <c r="BC19" s="30">
        <f t="shared" si="10"/>
        <v>0.11187499999999995</v>
      </c>
      <c r="BD19" s="30">
        <f t="shared" si="10"/>
        <v>0.1121875</v>
      </c>
      <c r="BE19" s="30">
        <f t="shared" si="10"/>
        <v>0.1125</v>
      </c>
      <c r="BF19" s="15"/>
    </row>
    <row r="20" spans="2:58" x14ac:dyDescent="0.3">
      <c r="B20" s="12"/>
      <c r="C20" s="14"/>
      <c r="D20" s="14" t="s">
        <v>73</v>
      </c>
      <c r="E20" s="119">
        <f>E10*E16</f>
        <v>0.1875</v>
      </c>
      <c r="F20" s="119">
        <f>F10*F16</f>
        <v>0.1875</v>
      </c>
      <c r="G20" s="119">
        <f>G10*G16</f>
        <v>0.1875</v>
      </c>
      <c r="H20" s="119">
        <f>H10*H16</f>
        <v>0.1875</v>
      </c>
      <c r="I20" s="119">
        <f t="shared" ref="I20:BE20" si="11">I10*I16</f>
        <v>0.1875</v>
      </c>
      <c r="J20" s="119">
        <f t="shared" si="11"/>
        <v>0.1875</v>
      </c>
      <c r="K20" s="119">
        <f t="shared" si="11"/>
        <v>0.40275000000002592</v>
      </c>
      <c r="L20" s="30">
        <f t="shared" si="11"/>
        <v>0.2475</v>
      </c>
      <c r="M20" s="30">
        <f t="shared" si="11"/>
        <v>0.25035000000000007</v>
      </c>
      <c r="N20" s="30">
        <f t="shared" si="11"/>
        <v>0.25320000000000009</v>
      </c>
      <c r="O20" s="30">
        <f t="shared" si="11"/>
        <v>0.25605000000000011</v>
      </c>
      <c r="P20" s="30">
        <f t="shared" si="11"/>
        <v>0.25890000000000013</v>
      </c>
      <c r="Q20" s="30">
        <f t="shared" si="11"/>
        <v>0.26175000000000015</v>
      </c>
      <c r="R20" s="30">
        <f t="shared" si="11"/>
        <v>0.26460000000000017</v>
      </c>
      <c r="S20" s="30">
        <f t="shared" si="11"/>
        <v>0.26744999999999952</v>
      </c>
      <c r="T20" s="30">
        <f t="shared" si="11"/>
        <v>0.27029999999999954</v>
      </c>
      <c r="U20" s="30">
        <f t="shared" si="11"/>
        <v>0.27314999999999956</v>
      </c>
      <c r="V20" s="30">
        <f t="shared" si="11"/>
        <v>0.27599999999999958</v>
      </c>
      <c r="W20" s="30">
        <f t="shared" si="11"/>
        <v>0.2788499999999996</v>
      </c>
      <c r="X20" s="30">
        <f t="shared" si="11"/>
        <v>0.28169999999999962</v>
      </c>
      <c r="Y20" s="30">
        <f t="shared" si="11"/>
        <v>0.28454999999999964</v>
      </c>
      <c r="Z20" s="30">
        <f t="shared" si="11"/>
        <v>0.28739999999999966</v>
      </c>
      <c r="AA20" s="30">
        <f t="shared" si="11"/>
        <v>0.29024999999999967</v>
      </c>
      <c r="AB20" s="30">
        <f t="shared" si="11"/>
        <v>0.29309999999999969</v>
      </c>
      <c r="AC20" s="30">
        <f t="shared" si="11"/>
        <v>0.29594999999999971</v>
      </c>
      <c r="AD20" s="30">
        <f t="shared" si="11"/>
        <v>0.29879999999999973</v>
      </c>
      <c r="AE20" s="30">
        <f t="shared" si="11"/>
        <v>0.30164999999999975</v>
      </c>
      <c r="AF20" s="30">
        <f t="shared" si="11"/>
        <v>0.30449999999999977</v>
      </c>
      <c r="AG20" s="30">
        <f t="shared" si="11"/>
        <v>0.30734999999999979</v>
      </c>
      <c r="AH20" s="30">
        <f t="shared" si="11"/>
        <v>0.31019999999999981</v>
      </c>
      <c r="AI20" s="30">
        <f t="shared" si="11"/>
        <v>0.31304999999999983</v>
      </c>
      <c r="AJ20" s="30">
        <f t="shared" si="11"/>
        <v>0.31589999999999985</v>
      </c>
      <c r="AK20" s="30">
        <f t="shared" si="11"/>
        <v>0.31874999999999998</v>
      </c>
      <c r="AL20" s="30">
        <f t="shared" si="11"/>
        <v>0.31968750000000001</v>
      </c>
      <c r="AM20" s="30">
        <f t="shared" si="11"/>
        <v>0.32062499999999983</v>
      </c>
      <c r="AN20" s="30">
        <f t="shared" si="11"/>
        <v>0.32156249999999997</v>
      </c>
      <c r="AO20" s="30">
        <f t="shared" si="11"/>
        <v>0.32249999999999979</v>
      </c>
      <c r="AP20" s="30">
        <f t="shared" si="11"/>
        <v>0.32343749999999993</v>
      </c>
      <c r="AQ20" s="30">
        <f t="shared" si="11"/>
        <v>0.32437499999999975</v>
      </c>
      <c r="AR20" s="30">
        <f t="shared" si="11"/>
        <v>0.32531249999999989</v>
      </c>
      <c r="AS20" s="30">
        <f t="shared" si="11"/>
        <v>0.32625000000000004</v>
      </c>
      <c r="AT20" s="30">
        <f t="shared" si="11"/>
        <v>0.32718749999999985</v>
      </c>
      <c r="AU20" s="30">
        <f t="shared" si="11"/>
        <v>0.328125</v>
      </c>
      <c r="AV20" s="30">
        <f t="shared" si="11"/>
        <v>0.32906249999999981</v>
      </c>
      <c r="AW20" s="30">
        <f t="shared" si="11"/>
        <v>0.32999999999999996</v>
      </c>
      <c r="AX20" s="30">
        <f t="shared" si="11"/>
        <v>0.33093749999999977</v>
      </c>
      <c r="AY20" s="30">
        <f t="shared" si="11"/>
        <v>0.33187499999999992</v>
      </c>
      <c r="AZ20" s="30">
        <f t="shared" si="11"/>
        <v>0.33281250000000007</v>
      </c>
      <c r="BA20" s="30">
        <f t="shared" si="11"/>
        <v>0.33374999999999988</v>
      </c>
      <c r="BB20" s="30">
        <f t="shared" si="11"/>
        <v>0.33468750000000003</v>
      </c>
      <c r="BC20" s="30">
        <f t="shared" si="11"/>
        <v>0.33562499999999984</v>
      </c>
      <c r="BD20" s="30">
        <f t="shared" si="11"/>
        <v>0.33656249999999999</v>
      </c>
      <c r="BE20" s="30">
        <f t="shared" si="11"/>
        <v>0.33750000000000002</v>
      </c>
      <c r="BF20" s="15"/>
    </row>
    <row r="21" spans="2:58" x14ac:dyDescent="0.3">
      <c r="B21" s="12"/>
      <c r="C21" s="14"/>
      <c r="D21" s="13" t="s">
        <v>66</v>
      </c>
      <c r="E21" s="119">
        <f>SUM(E19+E20)</f>
        <v>0.25</v>
      </c>
      <c r="F21" s="119">
        <f t="shared" ref="F21:BE21" si="12">SUM(F19+F20)</f>
        <v>0.25</v>
      </c>
      <c r="G21" s="119">
        <f t="shared" si="12"/>
        <v>0.25</v>
      </c>
      <c r="H21" s="119">
        <f t="shared" si="12"/>
        <v>0.25</v>
      </c>
      <c r="I21" s="119">
        <f t="shared" si="12"/>
        <v>0.25</v>
      </c>
      <c r="J21" s="119">
        <f t="shared" si="12"/>
        <v>0.25</v>
      </c>
      <c r="K21" s="119">
        <f t="shared" si="12"/>
        <v>0.53700000000003456</v>
      </c>
      <c r="L21" s="30">
        <f t="shared" si="12"/>
        <v>0.33</v>
      </c>
      <c r="M21" s="30">
        <f t="shared" si="12"/>
        <v>0.3338000000000001</v>
      </c>
      <c r="N21" s="30">
        <f t="shared" si="12"/>
        <v>0.33760000000000012</v>
      </c>
      <c r="O21" s="30">
        <f t="shared" si="12"/>
        <v>0.34140000000000015</v>
      </c>
      <c r="P21" s="30">
        <f t="shared" si="12"/>
        <v>0.34520000000000017</v>
      </c>
      <c r="Q21" s="30">
        <f t="shared" si="12"/>
        <v>0.3490000000000002</v>
      </c>
      <c r="R21" s="30">
        <f t="shared" si="12"/>
        <v>0.35280000000000022</v>
      </c>
      <c r="S21" s="30">
        <f t="shared" si="12"/>
        <v>0.35659999999999936</v>
      </c>
      <c r="T21" s="30">
        <f t="shared" si="12"/>
        <v>0.36039999999999939</v>
      </c>
      <c r="U21" s="30">
        <f t="shared" si="12"/>
        <v>0.36419999999999941</v>
      </c>
      <c r="V21" s="30">
        <f t="shared" si="12"/>
        <v>0.36799999999999944</v>
      </c>
      <c r="W21" s="30">
        <f t="shared" si="12"/>
        <v>0.37179999999999946</v>
      </c>
      <c r="X21" s="30">
        <f t="shared" si="12"/>
        <v>0.37559999999999949</v>
      </c>
      <c r="Y21" s="30">
        <f t="shared" si="12"/>
        <v>0.37939999999999952</v>
      </c>
      <c r="Z21" s="30">
        <f t="shared" si="12"/>
        <v>0.38319999999999954</v>
      </c>
      <c r="AA21" s="30">
        <f t="shared" si="12"/>
        <v>0.38699999999999957</v>
      </c>
      <c r="AB21" s="30">
        <f t="shared" si="12"/>
        <v>0.39079999999999959</v>
      </c>
      <c r="AC21" s="30">
        <f t="shared" si="12"/>
        <v>0.39459999999999962</v>
      </c>
      <c r="AD21" s="30">
        <f t="shared" si="12"/>
        <v>0.39839999999999964</v>
      </c>
      <c r="AE21" s="30">
        <f t="shared" si="12"/>
        <v>0.40219999999999967</v>
      </c>
      <c r="AF21" s="30">
        <f t="shared" si="12"/>
        <v>0.40599999999999969</v>
      </c>
      <c r="AG21" s="30">
        <f t="shared" si="12"/>
        <v>0.40979999999999972</v>
      </c>
      <c r="AH21" s="30">
        <f t="shared" si="12"/>
        <v>0.41359999999999975</v>
      </c>
      <c r="AI21" s="30">
        <f t="shared" si="12"/>
        <v>0.41739999999999977</v>
      </c>
      <c r="AJ21" s="30">
        <f t="shared" si="12"/>
        <v>0.4211999999999998</v>
      </c>
      <c r="AK21" s="30">
        <f t="shared" si="12"/>
        <v>0.42499999999999999</v>
      </c>
      <c r="AL21" s="30">
        <f t="shared" si="12"/>
        <v>0.42625000000000002</v>
      </c>
      <c r="AM21" s="30">
        <f t="shared" si="12"/>
        <v>0.42749999999999977</v>
      </c>
      <c r="AN21" s="30">
        <f t="shared" si="12"/>
        <v>0.42874999999999996</v>
      </c>
      <c r="AO21" s="30">
        <f t="shared" si="12"/>
        <v>0.42999999999999972</v>
      </c>
      <c r="AP21" s="30">
        <f t="shared" si="12"/>
        <v>0.43124999999999991</v>
      </c>
      <c r="AQ21" s="30">
        <f t="shared" si="12"/>
        <v>0.43249999999999966</v>
      </c>
      <c r="AR21" s="30">
        <f t="shared" si="12"/>
        <v>0.43374999999999986</v>
      </c>
      <c r="AS21" s="30">
        <f t="shared" si="12"/>
        <v>0.43500000000000005</v>
      </c>
      <c r="AT21" s="30">
        <f t="shared" si="12"/>
        <v>0.4362499999999998</v>
      </c>
      <c r="AU21" s="30">
        <f t="shared" si="12"/>
        <v>0.4375</v>
      </c>
      <c r="AV21" s="30">
        <f t="shared" si="12"/>
        <v>0.43874999999999975</v>
      </c>
      <c r="AW21" s="30">
        <f t="shared" si="12"/>
        <v>0.43999999999999995</v>
      </c>
      <c r="AX21" s="30">
        <f t="shared" si="12"/>
        <v>0.4412499999999997</v>
      </c>
      <c r="AY21" s="30">
        <f t="shared" si="12"/>
        <v>0.44249999999999989</v>
      </c>
      <c r="AZ21" s="30">
        <f t="shared" si="12"/>
        <v>0.44375000000000009</v>
      </c>
      <c r="BA21" s="30">
        <f t="shared" si="12"/>
        <v>0.44499999999999984</v>
      </c>
      <c r="BB21" s="30">
        <f t="shared" si="12"/>
        <v>0.44625000000000004</v>
      </c>
      <c r="BC21" s="30">
        <f t="shared" si="12"/>
        <v>0.44749999999999979</v>
      </c>
      <c r="BD21" s="30">
        <f t="shared" si="12"/>
        <v>0.44874999999999998</v>
      </c>
      <c r="BE21" s="30">
        <f t="shared" si="12"/>
        <v>0.45</v>
      </c>
      <c r="BF21" s="15"/>
    </row>
    <row r="22" spans="2:58" x14ac:dyDescent="0.3">
      <c r="B22" s="12"/>
      <c r="C22" s="14" t="s">
        <v>76</v>
      </c>
      <c r="D22" s="14"/>
      <c r="E22" s="119">
        <f>E9+E20</f>
        <v>0.9375</v>
      </c>
      <c r="F22" s="119">
        <f t="shared" ref="F22:BE22" si="13">F9+F20</f>
        <v>0.9375</v>
      </c>
      <c r="G22" s="119">
        <f t="shared" si="13"/>
        <v>0.9375</v>
      </c>
      <c r="H22" s="119">
        <f t="shared" si="13"/>
        <v>0.9375</v>
      </c>
      <c r="I22" s="119">
        <f t="shared" si="13"/>
        <v>0.9375</v>
      </c>
      <c r="J22" s="119">
        <f t="shared" si="13"/>
        <v>0.9375</v>
      </c>
      <c r="K22" s="119">
        <f t="shared" si="13"/>
        <v>0.85575000000000045</v>
      </c>
      <c r="L22" s="31">
        <f t="shared" si="13"/>
        <v>0.89749999999999996</v>
      </c>
      <c r="M22" s="31">
        <f t="shared" si="13"/>
        <v>0.89534999999999965</v>
      </c>
      <c r="N22" s="31">
        <f t="shared" si="13"/>
        <v>0.89320000000000066</v>
      </c>
      <c r="O22" s="31">
        <f t="shared" si="13"/>
        <v>0.8910499999999999</v>
      </c>
      <c r="P22" s="31">
        <f t="shared" si="13"/>
        <v>0.88890000000000091</v>
      </c>
      <c r="Q22" s="31">
        <f t="shared" si="13"/>
        <v>0.88675000000000015</v>
      </c>
      <c r="R22" s="31">
        <f t="shared" si="13"/>
        <v>0.88460000000000116</v>
      </c>
      <c r="S22" s="31">
        <f t="shared" si="13"/>
        <v>0.88244999999999973</v>
      </c>
      <c r="T22" s="31">
        <f t="shared" si="13"/>
        <v>0.88029999999999897</v>
      </c>
      <c r="U22" s="31">
        <f t="shared" si="13"/>
        <v>0.87814999999999999</v>
      </c>
      <c r="V22" s="31">
        <f t="shared" si="13"/>
        <v>0.87599999999999922</v>
      </c>
      <c r="W22" s="31">
        <f t="shared" si="13"/>
        <v>0.87385000000000024</v>
      </c>
      <c r="X22" s="31">
        <f t="shared" si="13"/>
        <v>0.87169999999999948</v>
      </c>
      <c r="Y22" s="31">
        <f t="shared" si="13"/>
        <v>0.86955000000000049</v>
      </c>
      <c r="Z22" s="31">
        <f t="shared" si="13"/>
        <v>0.86739999999999973</v>
      </c>
      <c r="AA22" s="31">
        <f t="shared" si="13"/>
        <v>0.86524999999999896</v>
      </c>
      <c r="AB22" s="31">
        <f t="shared" si="13"/>
        <v>0.86309999999999998</v>
      </c>
      <c r="AC22" s="31">
        <f t="shared" si="13"/>
        <v>0.86094999999999922</v>
      </c>
      <c r="AD22" s="31">
        <f t="shared" si="13"/>
        <v>0.85880000000000023</v>
      </c>
      <c r="AE22" s="31">
        <f t="shared" si="13"/>
        <v>0.85664999999999947</v>
      </c>
      <c r="AF22" s="31">
        <f t="shared" si="13"/>
        <v>0.85450000000000048</v>
      </c>
      <c r="AG22" s="31">
        <f t="shared" si="13"/>
        <v>0.85234999999999972</v>
      </c>
      <c r="AH22" s="31">
        <f t="shared" si="13"/>
        <v>0.85020000000000073</v>
      </c>
      <c r="AI22" s="31">
        <f t="shared" si="13"/>
        <v>0.84804999999999997</v>
      </c>
      <c r="AJ22" s="31">
        <f t="shared" si="13"/>
        <v>0.84589999999999921</v>
      </c>
      <c r="AK22" s="31">
        <f t="shared" si="13"/>
        <v>0.84375</v>
      </c>
      <c r="AL22" s="31">
        <f t="shared" si="13"/>
        <v>0.83843749999999895</v>
      </c>
      <c r="AM22" s="31">
        <f t="shared" si="13"/>
        <v>0.83312499999999912</v>
      </c>
      <c r="AN22" s="31">
        <f t="shared" si="13"/>
        <v>0.82781249999999962</v>
      </c>
      <c r="AO22" s="31">
        <f t="shared" si="13"/>
        <v>0.82249999999999979</v>
      </c>
      <c r="AP22" s="31">
        <f t="shared" si="13"/>
        <v>0.81718750000000029</v>
      </c>
      <c r="AQ22" s="31">
        <f t="shared" si="13"/>
        <v>0.81187499999999868</v>
      </c>
      <c r="AR22" s="31">
        <f t="shared" si="13"/>
        <v>0.80656249999999918</v>
      </c>
      <c r="AS22" s="31">
        <f t="shared" si="13"/>
        <v>0.80124999999999968</v>
      </c>
      <c r="AT22" s="31">
        <f t="shared" si="13"/>
        <v>0.79593749999999985</v>
      </c>
      <c r="AU22" s="31">
        <f t="shared" si="13"/>
        <v>0.79062500000000036</v>
      </c>
      <c r="AV22" s="31">
        <f t="shared" si="13"/>
        <v>0.78531249999999875</v>
      </c>
      <c r="AW22" s="31">
        <f t="shared" si="13"/>
        <v>0.77999999999999925</v>
      </c>
      <c r="AX22" s="31">
        <f t="shared" si="13"/>
        <v>0.77468749999999942</v>
      </c>
      <c r="AY22" s="31">
        <f t="shared" si="13"/>
        <v>0.76937499999999992</v>
      </c>
      <c r="AZ22" s="31">
        <f t="shared" si="13"/>
        <v>0.76406250000000042</v>
      </c>
      <c r="BA22" s="31">
        <f t="shared" si="13"/>
        <v>0.75874999999999881</v>
      </c>
      <c r="BB22" s="31">
        <f t="shared" si="13"/>
        <v>0.75343749999999932</v>
      </c>
      <c r="BC22" s="31">
        <f t="shared" si="13"/>
        <v>0.74812499999999948</v>
      </c>
      <c r="BD22" s="31">
        <f t="shared" si="13"/>
        <v>0.74281249999999999</v>
      </c>
      <c r="BE22" s="31">
        <f t="shared" si="13"/>
        <v>0.73750000000000004</v>
      </c>
      <c r="BF22" s="15"/>
    </row>
    <row r="23" spans="2:58" x14ac:dyDescent="0.3">
      <c r="B23" s="12"/>
      <c r="C23" s="14"/>
      <c r="D23" s="24" t="s">
        <v>34</v>
      </c>
      <c r="E23" s="119"/>
      <c r="F23" s="119"/>
      <c r="G23" s="119"/>
      <c r="H23" s="119"/>
      <c r="I23" s="119"/>
      <c r="J23" s="119"/>
      <c r="K23" s="119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15"/>
    </row>
    <row r="24" spans="2:58" x14ac:dyDescent="0.3">
      <c r="B24" s="12"/>
      <c r="C24" s="14"/>
      <c r="D24" s="14"/>
      <c r="E24" s="121"/>
      <c r="F24" s="121"/>
      <c r="G24" s="121"/>
      <c r="H24" s="121"/>
      <c r="I24" s="121"/>
      <c r="J24" s="121"/>
      <c r="K24" s="121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15"/>
    </row>
    <row r="25" spans="2:58" x14ac:dyDescent="0.3">
      <c r="B25" s="12"/>
      <c r="C25" s="14"/>
      <c r="D25" s="13" t="s">
        <v>36</v>
      </c>
      <c r="E25" s="121"/>
      <c r="F25" s="121"/>
      <c r="G25" s="121"/>
      <c r="H25" s="121"/>
      <c r="I25" s="121"/>
      <c r="J25" s="121"/>
      <c r="K25" s="121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15"/>
    </row>
    <row r="26" spans="2:58" x14ac:dyDescent="0.3">
      <c r="B26" s="12"/>
      <c r="C26" s="14"/>
      <c r="D26" s="14" t="s">
        <v>37</v>
      </c>
      <c r="E26" s="118">
        <v>0.75</v>
      </c>
      <c r="F26" s="118">
        <v>0.75</v>
      </c>
      <c r="G26" s="118">
        <v>0.75</v>
      </c>
      <c r="H26" s="118">
        <v>0.75</v>
      </c>
      <c r="I26" s="119">
        <f t="shared" ref="I26:J28" si="14">H26</f>
        <v>0.75</v>
      </c>
      <c r="J26" s="119">
        <f t="shared" si="14"/>
        <v>0.75</v>
      </c>
      <c r="K26" s="119">
        <f>K101</f>
        <v>0.70000000000000284</v>
      </c>
      <c r="L26" s="29">
        <v>0.65</v>
      </c>
      <c r="M26" s="30">
        <f>M101</f>
        <v>0.63599999999999923</v>
      </c>
      <c r="N26" s="30">
        <f t="shared" ref="N26:AJ28" si="15">N101</f>
        <v>0.62199999999999989</v>
      </c>
      <c r="O26" s="30">
        <f t="shared" si="15"/>
        <v>0.60800000000000054</v>
      </c>
      <c r="P26" s="30">
        <f t="shared" si="15"/>
        <v>0.59400000000000119</v>
      </c>
      <c r="Q26" s="30">
        <f t="shared" si="15"/>
        <v>0.57999999999999829</v>
      </c>
      <c r="R26" s="30">
        <f t="shared" si="15"/>
        <v>0.56599999999999895</v>
      </c>
      <c r="S26" s="30">
        <f t="shared" si="15"/>
        <v>0.5519999999999996</v>
      </c>
      <c r="T26" s="30">
        <f t="shared" si="15"/>
        <v>0.53800000000000026</v>
      </c>
      <c r="U26" s="30">
        <f t="shared" si="15"/>
        <v>0.52400000000000091</v>
      </c>
      <c r="V26" s="30">
        <f t="shared" si="15"/>
        <v>0.50999999999999801</v>
      </c>
      <c r="W26" s="30">
        <f t="shared" si="15"/>
        <v>0.49599999999999866</v>
      </c>
      <c r="X26" s="30">
        <f t="shared" si="15"/>
        <v>0.48199999999999932</v>
      </c>
      <c r="Y26" s="30">
        <f t="shared" si="15"/>
        <v>0.46799999999999997</v>
      </c>
      <c r="Z26" s="30">
        <f t="shared" si="15"/>
        <v>0.45400000000000063</v>
      </c>
      <c r="AA26" s="30">
        <f t="shared" si="15"/>
        <v>0.43999999999999773</v>
      </c>
      <c r="AB26" s="30">
        <f t="shared" si="15"/>
        <v>0.42599999999999838</v>
      </c>
      <c r="AC26" s="30">
        <f t="shared" si="15"/>
        <v>0.41199999999999903</v>
      </c>
      <c r="AD26" s="30">
        <f t="shared" si="15"/>
        <v>0.39799999999999969</v>
      </c>
      <c r="AE26" s="30">
        <f t="shared" si="15"/>
        <v>0.38400000000000034</v>
      </c>
      <c r="AF26" s="30">
        <f t="shared" si="15"/>
        <v>0.37000000000000099</v>
      </c>
      <c r="AG26" s="30">
        <f t="shared" si="15"/>
        <v>0.3559999999999981</v>
      </c>
      <c r="AH26" s="30">
        <f t="shared" si="15"/>
        <v>0.34199999999999875</v>
      </c>
      <c r="AI26" s="30">
        <f t="shared" si="15"/>
        <v>0.3279999999999994</v>
      </c>
      <c r="AJ26" s="30">
        <f t="shared" si="15"/>
        <v>0.31400000000000006</v>
      </c>
      <c r="AK26" s="29">
        <v>0.3</v>
      </c>
      <c r="AL26" s="30">
        <f>AL101</f>
        <v>0.28999999999999915</v>
      </c>
      <c r="AM26" s="30">
        <f t="shared" ref="AM26:BD28" si="16">AM101</f>
        <v>0.28000000000000114</v>
      </c>
      <c r="AN26" s="30">
        <f t="shared" si="16"/>
        <v>0.26999999999999957</v>
      </c>
      <c r="AO26" s="30">
        <f t="shared" si="16"/>
        <v>0.26000000000000156</v>
      </c>
      <c r="AP26" s="30">
        <f t="shared" si="16"/>
        <v>0.25</v>
      </c>
      <c r="AQ26" s="30">
        <f t="shared" si="16"/>
        <v>0.24000000000000199</v>
      </c>
      <c r="AR26" s="30">
        <f t="shared" si="16"/>
        <v>0.23000000000000043</v>
      </c>
      <c r="AS26" s="30">
        <f t="shared" si="16"/>
        <v>0.21999999999999886</v>
      </c>
      <c r="AT26" s="30">
        <f t="shared" si="16"/>
        <v>0.21000000000000085</v>
      </c>
      <c r="AU26" s="30">
        <f t="shared" si="16"/>
        <v>0.19999999999999929</v>
      </c>
      <c r="AV26" s="30">
        <f t="shared" si="16"/>
        <v>0.19000000000000128</v>
      </c>
      <c r="AW26" s="30">
        <f t="shared" si="16"/>
        <v>0.17999999999999972</v>
      </c>
      <c r="AX26" s="30">
        <f t="shared" si="16"/>
        <v>0.17000000000000171</v>
      </c>
      <c r="AY26" s="30">
        <f t="shared" si="16"/>
        <v>0.16000000000000014</v>
      </c>
      <c r="AZ26" s="30">
        <f t="shared" si="16"/>
        <v>0.14999999999999858</v>
      </c>
      <c r="BA26" s="30">
        <f t="shared" si="16"/>
        <v>0.14000000000000057</v>
      </c>
      <c r="BB26" s="30">
        <f t="shared" si="16"/>
        <v>0.12999999999999901</v>
      </c>
      <c r="BC26" s="30">
        <f t="shared" si="16"/>
        <v>0.12000000000000099</v>
      </c>
      <c r="BD26" s="30">
        <f t="shared" si="16"/>
        <v>0.10999999999999943</v>
      </c>
      <c r="BE26" s="30">
        <v>0.1</v>
      </c>
      <c r="BF26" s="15"/>
    </row>
    <row r="27" spans="2:58" x14ac:dyDescent="0.3">
      <c r="B27" s="12"/>
      <c r="C27" s="14"/>
      <c r="D27" s="14" t="s">
        <v>38</v>
      </c>
      <c r="E27" s="119">
        <v>0.25</v>
      </c>
      <c r="F27" s="118">
        <v>0.25</v>
      </c>
      <c r="G27" s="118">
        <v>0.25</v>
      </c>
      <c r="H27" s="119">
        <v>0.25</v>
      </c>
      <c r="I27" s="119">
        <f t="shared" si="14"/>
        <v>0.25</v>
      </c>
      <c r="J27" s="119">
        <f t="shared" si="14"/>
        <v>0.25</v>
      </c>
      <c r="K27" s="119">
        <f>K102</f>
        <v>0.29000000000000625</v>
      </c>
      <c r="L27" s="29">
        <v>0.33</v>
      </c>
      <c r="M27" s="30">
        <f t="shared" ref="M27:AB28" si="17">M102</f>
        <v>0.33680000000000021</v>
      </c>
      <c r="N27" s="30">
        <f t="shared" si="17"/>
        <v>0.34360000000000035</v>
      </c>
      <c r="O27" s="30">
        <f t="shared" si="17"/>
        <v>0.35040000000000049</v>
      </c>
      <c r="P27" s="30">
        <f t="shared" si="17"/>
        <v>0.35719999999999885</v>
      </c>
      <c r="Q27" s="30">
        <f t="shared" si="17"/>
        <v>0.36399999999999899</v>
      </c>
      <c r="R27" s="30">
        <f t="shared" si="17"/>
        <v>0.37079999999999913</v>
      </c>
      <c r="S27" s="30">
        <f t="shared" si="17"/>
        <v>0.37759999999999927</v>
      </c>
      <c r="T27" s="30">
        <f t="shared" si="17"/>
        <v>0.38439999999999941</v>
      </c>
      <c r="U27" s="30">
        <f t="shared" si="17"/>
        <v>0.39119999999999955</v>
      </c>
      <c r="V27" s="30">
        <f t="shared" si="17"/>
        <v>0.39799999999999969</v>
      </c>
      <c r="W27" s="30">
        <f t="shared" si="17"/>
        <v>0.40479999999999983</v>
      </c>
      <c r="X27" s="30">
        <f t="shared" si="17"/>
        <v>0.41159999999999997</v>
      </c>
      <c r="Y27" s="30">
        <f t="shared" si="17"/>
        <v>0.41840000000000011</v>
      </c>
      <c r="Z27" s="30">
        <f t="shared" si="17"/>
        <v>0.42520000000000024</v>
      </c>
      <c r="AA27" s="30">
        <f t="shared" si="17"/>
        <v>0.43200000000000038</v>
      </c>
      <c r="AB27" s="30">
        <f t="shared" si="17"/>
        <v>0.43880000000000052</v>
      </c>
      <c r="AC27" s="30">
        <f t="shared" si="15"/>
        <v>0.44559999999999889</v>
      </c>
      <c r="AD27" s="30">
        <f t="shared" si="15"/>
        <v>0.45239999999999903</v>
      </c>
      <c r="AE27" s="30">
        <f t="shared" si="15"/>
        <v>0.45919999999999916</v>
      </c>
      <c r="AF27" s="30">
        <f t="shared" si="15"/>
        <v>0.4659999999999993</v>
      </c>
      <c r="AG27" s="30">
        <f t="shared" si="15"/>
        <v>0.47279999999999944</v>
      </c>
      <c r="AH27" s="30">
        <f t="shared" si="15"/>
        <v>0.47959999999999958</v>
      </c>
      <c r="AI27" s="30">
        <f t="shared" si="15"/>
        <v>0.48639999999999972</v>
      </c>
      <c r="AJ27" s="30">
        <f t="shared" si="15"/>
        <v>0.49319999999999986</v>
      </c>
      <c r="AK27" s="29">
        <v>0.5</v>
      </c>
      <c r="AL27" s="30">
        <f t="shared" ref="AL27:BA28" si="18">AL102</f>
        <v>0.5</v>
      </c>
      <c r="AM27" s="30">
        <f t="shared" si="18"/>
        <v>0.5</v>
      </c>
      <c r="AN27" s="30">
        <f t="shared" si="18"/>
        <v>0.5</v>
      </c>
      <c r="AO27" s="30">
        <f t="shared" si="18"/>
        <v>0.5</v>
      </c>
      <c r="AP27" s="30">
        <f t="shared" si="18"/>
        <v>0.5</v>
      </c>
      <c r="AQ27" s="30">
        <f t="shared" si="18"/>
        <v>0.5</v>
      </c>
      <c r="AR27" s="30">
        <f t="shared" si="18"/>
        <v>0.5</v>
      </c>
      <c r="AS27" s="30">
        <f t="shared" si="18"/>
        <v>0.5</v>
      </c>
      <c r="AT27" s="30">
        <f t="shared" si="18"/>
        <v>0.5</v>
      </c>
      <c r="AU27" s="30">
        <f t="shared" si="18"/>
        <v>0.5</v>
      </c>
      <c r="AV27" s="30">
        <f t="shared" si="18"/>
        <v>0.5</v>
      </c>
      <c r="AW27" s="30">
        <f t="shared" si="18"/>
        <v>0.5</v>
      </c>
      <c r="AX27" s="30">
        <f t="shared" si="18"/>
        <v>0.5</v>
      </c>
      <c r="AY27" s="30">
        <f t="shared" si="18"/>
        <v>0.5</v>
      </c>
      <c r="AZ27" s="30">
        <f t="shared" si="18"/>
        <v>0.5</v>
      </c>
      <c r="BA27" s="30">
        <f t="shared" si="18"/>
        <v>0.5</v>
      </c>
      <c r="BB27" s="30">
        <f t="shared" si="16"/>
        <v>0.5</v>
      </c>
      <c r="BC27" s="30">
        <f t="shared" si="16"/>
        <v>0.5</v>
      </c>
      <c r="BD27" s="30">
        <f t="shared" si="16"/>
        <v>0.5</v>
      </c>
      <c r="BE27" s="30">
        <v>0.5</v>
      </c>
      <c r="BF27" s="15"/>
    </row>
    <row r="28" spans="2:58" x14ac:dyDescent="0.3">
      <c r="B28" s="12"/>
      <c r="C28" s="14" t="s">
        <v>77</v>
      </c>
      <c r="D28" s="14" t="s">
        <v>39</v>
      </c>
      <c r="E28" s="119">
        <v>0</v>
      </c>
      <c r="F28" s="119">
        <v>0</v>
      </c>
      <c r="G28" s="119">
        <v>0</v>
      </c>
      <c r="H28" s="119">
        <v>0</v>
      </c>
      <c r="I28" s="119">
        <f t="shared" si="14"/>
        <v>0</v>
      </c>
      <c r="J28" s="119">
        <f t="shared" si="14"/>
        <v>0</v>
      </c>
      <c r="K28" s="119">
        <f>K103</f>
        <v>1.0000000000001563E-2</v>
      </c>
      <c r="L28" s="29">
        <v>0.02</v>
      </c>
      <c r="M28" s="30">
        <f t="shared" si="17"/>
        <v>2.7199999999998781E-2</v>
      </c>
      <c r="N28" s="30">
        <f t="shared" si="15"/>
        <v>3.4399999999999764E-2</v>
      </c>
      <c r="O28" s="30">
        <f t="shared" si="15"/>
        <v>4.1599999999998971E-2</v>
      </c>
      <c r="P28" s="30">
        <f t="shared" si="15"/>
        <v>4.8799999999999955E-2</v>
      </c>
      <c r="Q28" s="30">
        <f t="shared" si="15"/>
        <v>5.5999999999999162E-2</v>
      </c>
      <c r="R28" s="30">
        <f t="shared" si="15"/>
        <v>6.3199999999998369E-2</v>
      </c>
      <c r="S28" s="30">
        <f t="shared" si="15"/>
        <v>7.0399999999999352E-2</v>
      </c>
      <c r="T28" s="30">
        <f t="shared" si="15"/>
        <v>7.7599999999998559E-2</v>
      </c>
      <c r="U28" s="30">
        <f t="shared" si="15"/>
        <v>8.4799999999999542E-2</v>
      </c>
      <c r="V28" s="30">
        <f t="shared" si="15"/>
        <v>9.1999999999998749E-2</v>
      </c>
      <c r="W28" s="30">
        <f t="shared" si="15"/>
        <v>9.9199999999999733E-2</v>
      </c>
      <c r="X28" s="30">
        <f t="shared" si="15"/>
        <v>0.10639999999999894</v>
      </c>
      <c r="Y28" s="30">
        <f t="shared" si="15"/>
        <v>0.11359999999999992</v>
      </c>
      <c r="Z28" s="30">
        <f t="shared" si="15"/>
        <v>0.12079999999999913</v>
      </c>
      <c r="AA28" s="30">
        <f t="shared" si="15"/>
        <v>0.12799999999999834</v>
      </c>
      <c r="AB28" s="30">
        <f t="shared" si="15"/>
        <v>0.13519999999999932</v>
      </c>
      <c r="AC28" s="30">
        <f t="shared" si="15"/>
        <v>0.14239999999999853</v>
      </c>
      <c r="AD28" s="30">
        <f t="shared" si="15"/>
        <v>0.14959999999999951</v>
      </c>
      <c r="AE28" s="30">
        <f t="shared" si="15"/>
        <v>0.15679999999999872</v>
      </c>
      <c r="AF28" s="30">
        <f t="shared" si="15"/>
        <v>0.1639999999999997</v>
      </c>
      <c r="AG28" s="30">
        <f t="shared" si="15"/>
        <v>0.17119999999999891</v>
      </c>
      <c r="AH28" s="30">
        <f t="shared" si="15"/>
        <v>0.17839999999999989</v>
      </c>
      <c r="AI28" s="30">
        <f t="shared" si="15"/>
        <v>0.1855999999999991</v>
      </c>
      <c r="AJ28" s="30">
        <f t="shared" si="15"/>
        <v>0.19279999999999831</v>
      </c>
      <c r="AK28" s="29">
        <v>0.2</v>
      </c>
      <c r="AL28" s="30">
        <f t="shared" si="18"/>
        <v>0.21000000000000085</v>
      </c>
      <c r="AM28" s="30">
        <f t="shared" si="16"/>
        <v>0.21999999999999886</v>
      </c>
      <c r="AN28" s="30">
        <f t="shared" si="16"/>
        <v>0.23000000000000043</v>
      </c>
      <c r="AO28" s="30">
        <f t="shared" si="16"/>
        <v>0.23999999999999844</v>
      </c>
      <c r="AP28" s="30">
        <f t="shared" si="16"/>
        <v>0.25</v>
      </c>
      <c r="AQ28" s="30">
        <f t="shared" si="16"/>
        <v>0.25999999999999801</v>
      </c>
      <c r="AR28" s="30">
        <f t="shared" si="16"/>
        <v>0.26999999999999957</v>
      </c>
      <c r="AS28" s="30">
        <f t="shared" si="16"/>
        <v>0.28000000000000114</v>
      </c>
      <c r="AT28" s="30">
        <f t="shared" si="16"/>
        <v>0.28999999999999915</v>
      </c>
      <c r="AU28" s="30">
        <f t="shared" si="16"/>
        <v>0.30000000000000071</v>
      </c>
      <c r="AV28" s="30">
        <f t="shared" si="16"/>
        <v>0.30999999999999872</v>
      </c>
      <c r="AW28" s="30">
        <f t="shared" si="16"/>
        <v>0.32000000000000028</v>
      </c>
      <c r="AX28" s="30">
        <f t="shared" si="16"/>
        <v>0.32999999999999829</v>
      </c>
      <c r="AY28" s="30">
        <f t="shared" si="16"/>
        <v>0.33999999999999986</v>
      </c>
      <c r="AZ28" s="30">
        <f t="shared" si="16"/>
        <v>0.35000000000000142</v>
      </c>
      <c r="BA28" s="30">
        <f t="shared" si="16"/>
        <v>0.35999999999999943</v>
      </c>
      <c r="BB28" s="30">
        <f t="shared" si="16"/>
        <v>0.37000000000000099</v>
      </c>
      <c r="BC28" s="30">
        <f t="shared" si="16"/>
        <v>0.37999999999999901</v>
      </c>
      <c r="BD28" s="30">
        <f t="shared" si="16"/>
        <v>0.39000000000000057</v>
      </c>
      <c r="BE28" s="30">
        <v>0.4</v>
      </c>
      <c r="BF28" s="15"/>
    </row>
    <row r="29" spans="2:58" x14ac:dyDescent="0.3">
      <c r="B29" s="12"/>
      <c r="C29" s="14"/>
      <c r="D29" s="13" t="s">
        <v>40</v>
      </c>
      <c r="E29" s="119">
        <f>SUM(E26:E28)</f>
        <v>1</v>
      </c>
      <c r="F29" s="119">
        <f t="shared" ref="F29:BE29" si="19">SUM(F26:F28)</f>
        <v>1</v>
      </c>
      <c r="G29" s="119">
        <f t="shared" si="19"/>
        <v>1</v>
      </c>
      <c r="H29" s="119">
        <f t="shared" si="19"/>
        <v>1</v>
      </c>
      <c r="I29" s="119">
        <f t="shared" si="19"/>
        <v>1</v>
      </c>
      <c r="J29" s="119">
        <f t="shared" si="19"/>
        <v>1</v>
      </c>
      <c r="K29" s="119">
        <f t="shared" si="19"/>
        <v>1.0000000000000107</v>
      </c>
      <c r="L29" s="31">
        <f t="shared" si="19"/>
        <v>1</v>
      </c>
      <c r="M29" s="31">
        <f t="shared" si="19"/>
        <v>0.99999999999999822</v>
      </c>
      <c r="N29" s="31">
        <f t="shared" si="19"/>
        <v>1</v>
      </c>
      <c r="O29" s="31">
        <f t="shared" si="19"/>
        <v>1</v>
      </c>
      <c r="P29" s="31">
        <f t="shared" si="19"/>
        <v>1</v>
      </c>
      <c r="Q29" s="31">
        <f t="shared" si="19"/>
        <v>0.99999999999999645</v>
      </c>
      <c r="R29" s="31">
        <f t="shared" si="19"/>
        <v>0.99999999999999645</v>
      </c>
      <c r="S29" s="31">
        <f t="shared" si="19"/>
        <v>0.99999999999999822</v>
      </c>
      <c r="T29" s="31">
        <f t="shared" si="19"/>
        <v>0.99999999999999822</v>
      </c>
      <c r="U29" s="31">
        <f t="shared" si="19"/>
        <v>1</v>
      </c>
      <c r="V29" s="31">
        <f t="shared" si="19"/>
        <v>0.99999999999999645</v>
      </c>
      <c r="W29" s="31">
        <f t="shared" si="19"/>
        <v>0.99999999999999822</v>
      </c>
      <c r="X29" s="31">
        <f t="shared" si="19"/>
        <v>0.99999999999999822</v>
      </c>
      <c r="Y29" s="31">
        <f t="shared" si="19"/>
        <v>1</v>
      </c>
      <c r="Z29" s="31">
        <f t="shared" si="19"/>
        <v>1</v>
      </c>
      <c r="AA29" s="31">
        <f t="shared" si="19"/>
        <v>0.99999999999999645</v>
      </c>
      <c r="AB29" s="31">
        <f t="shared" si="19"/>
        <v>0.99999999999999822</v>
      </c>
      <c r="AC29" s="31">
        <f t="shared" si="19"/>
        <v>0.99999999999999645</v>
      </c>
      <c r="AD29" s="31">
        <f t="shared" si="19"/>
        <v>0.99999999999999822</v>
      </c>
      <c r="AE29" s="31">
        <f t="shared" si="19"/>
        <v>0.99999999999999822</v>
      </c>
      <c r="AF29" s="31">
        <f t="shared" si="19"/>
        <v>1</v>
      </c>
      <c r="AG29" s="31">
        <f t="shared" si="19"/>
        <v>0.99999999999999645</v>
      </c>
      <c r="AH29" s="31">
        <f t="shared" si="19"/>
        <v>0.99999999999999822</v>
      </c>
      <c r="AI29" s="31">
        <f t="shared" si="19"/>
        <v>0.99999999999999822</v>
      </c>
      <c r="AJ29" s="31">
        <f t="shared" si="19"/>
        <v>0.99999999999999822</v>
      </c>
      <c r="AK29" s="31">
        <f t="shared" si="19"/>
        <v>1</v>
      </c>
      <c r="AL29" s="31">
        <f t="shared" si="19"/>
        <v>1</v>
      </c>
      <c r="AM29" s="31">
        <f t="shared" si="19"/>
        <v>1</v>
      </c>
      <c r="AN29" s="31">
        <f t="shared" si="19"/>
        <v>1</v>
      </c>
      <c r="AO29" s="31">
        <f t="shared" si="19"/>
        <v>1</v>
      </c>
      <c r="AP29" s="31">
        <f t="shared" si="19"/>
        <v>1</v>
      </c>
      <c r="AQ29" s="31">
        <f t="shared" si="19"/>
        <v>1</v>
      </c>
      <c r="AR29" s="31">
        <f t="shared" si="19"/>
        <v>1</v>
      </c>
      <c r="AS29" s="31">
        <f t="shared" si="19"/>
        <v>1</v>
      </c>
      <c r="AT29" s="31">
        <f t="shared" si="19"/>
        <v>1</v>
      </c>
      <c r="AU29" s="31">
        <f t="shared" si="19"/>
        <v>1</v>
      </c>
      <c r="AV29" s="31">
        <f t="shared" si="19"/>
        <v>1</v>
      </c>
      <c r="AW29" s="31">
        <f t="shared" si="19"/>
        <v>1</v>
      </c>
      <c r="AX29" s="31">
        <f t="shared" si="19"/>
        <v>1</v>
      </c>
      <c r="AY29" s="31">
        <f t="shared" si="19"/>
        <v>1</v>
      </c>
      <c r="AZ29" s="31">
        <f t="shared" si="19"/>
        <v>1</v>
      </c>
      <c r="BA29" s="31">
        <f t="shared" si="19"/>
        <v>1</v>
      </c>
      <c r="BB29" s="31">
        <f t="shared" si="19"/>
        <v>1</v>
      </c>
      <c r="BC29" s="31">
        <f t="shared" si="19"/>
        <v>1</v>
      </c>
      <c r="BD29" s="31">
        <f t="shared" si="19"/>
        <v>1</v>
      </c>
      <c r="BE29" s="31">
        <f t="shared" si="19"/>
        <v>1</v>
      </c>
      <c r="BF29" s="15"/>
    </row>
    <row r="30" spans="2:58" x14ac:dyDescent="0.3">
      <c r="B30" s="12"/>
      <c r="C30" s="14"/>
      <c r="D30" s="13"/>
      <c r="E30" s="119"/>
      <c r="F30" s="119"/>
      <c r="G30" s="119"/>
      <c r="H30" s="119"/>
      <c r="I30" s="121"/>
      <c r="J30" s="121"/>
      <c r="K30" s="121"/>
      <c r="L30" s="33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3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15"/>
    </row>
    <row r="31" spans="2:58" x14ac:dyDescent="0.3">
      <c r="B31" s="12"/>
      <c r="C31" s="14"/>
      <c r="D31" s="13" t="s">
        <v>41</v>
      </c>
      <c r="E31" s="119"/>
      <c r="F31" s="119"/>
      <c r="G31" s="119"/>
      <c r="H31" s="119"/>
      <c r="I31" s="121"/>
      <c r="J31" s="121"/>
      <c r="K31" s="121"/>
      <c r="L31" s="33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3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15"/>
    </row>
    <row r="32" spans="2:58" x14ac:dyDescent="0.3">
      <c r="B32" s="12"/>
      <c r="C32" s="14"/>
      <c r="D32" s="14" t="s">
        <v>115</v>
      </c>
      <c r="E32" s="122">
        <v>0.25</v>
      </c>
      <c r="F32" s="118">
        <v>0.25</v>
      </c>
      <c r="G32" s="118">
        <v>0.25</v>
      </c>
      <c r="H32" s="119">
        <v>0.25</v>
      </c>
      <c r="I32" s="119">
        <f>H32</f>
        <v>0.25</v>
      </c>
      <c r="J32" s="119">
        <f>I32</f>
        <v>0.25</v>
      </c>
      <c r="K32" s="119">
        <f t="shared" ref="K32:BE32" si="20">J32</f>
        <v>0.25</v>
      </c>
      <c r="L32" s="30">
        <f t="shared" si="20"/>
        <v>0.25</v>
      </c>
      <c r="M32" s="30">
        <f t="shared" si="20"/>
        <v>0.25</v>
      </c>
      <c r="N32" s="30">
        <f t="shared" si="20"/>
        <v>0.25</v>
      </c>
      <c r="O32" s="30">
        <f t="shared" si="20"/>
        <v>0.25</v>
      </c>
      <c r="P32" s="30">
        <f t="shared" si="20"/>
        <v>0.25</v>
      </c>
      <c r="Q32" s="30">
        <f t="shared" si="20"/>
        <v>0.25</v>
      </c>
      <c r="R32" s="30">
        <f t="shared" si="20"/>
        <v>0.25</v>
      </c>
      <c r="S32" s="30">
        <f t="shared" si="20"/>
        <v>0.25</v>
      </c>
      <c r="T32" s="30">
        <f t="shared" si="20"/>
        <v>0.25</v>
      </c>
      <c r="U32" s="30">
        <f t="shared" si="20"/>
        <v>0.25</v>
      </c>
      <c r="V32" s="30">
        <f t="shared" si="20"/>
        <v>0.25</v>
      </c>
      <c r="W32" s="30">
        <f t="shared" si="20"/>
        <v>0.25</v>
      </c>
      <c r="X32" s="30">
        <f t="shared" si="20"/>
        <v>0.25</v>
      </c>
      <c r="Y32" s="30">
        <f t="shared" si="20"/>
        <v>0.25</v>
      </c>
      <c r="Z32" s="30">
        <f t="shared" si="20"/>
        <v>0.25</v>
      </c>
      <c r="AA32" s="30">
        <f t="shared" si="20"/>
        <v>0.25</v>
      </c>
      <c r="AB32" s="30">
        <f t="shared" si="20"/>
        <v>0.25</v>
      </c>
      <c r="AC32" s="30">
        <f t="shared" si="20"/>
        <v>0.25</v>
      </c>
      <c r="AD32" s="30">
        <f t="shared" si="20"/>
        <v>0.25</v>
      </c>
      <c r="AE32" s="30">
        <f t="shared" si="20"/>
        <v>0.25</v>
      </c>
      <c r="AF32" s="30">
        <f t="shared" si="20"/>
        <v>0.25</v>
      </c>
      <c r="AG32" s="30">
        <f t="shared" si="20"/>
        <v>0.25</v>
      </c>
      <c r="AH32" s="30">
        <f t="shared" si="20"/>
        <v>0.25</v>
      </c>
      <c r="AI32" s="30">
        <f t="shared" si="20"/>
        <v>0.25</v>
      </c>
      <c r="AJ32" s="30">
        <f t="shared" si="20"/>
        <v>0.25</v>
      </c>
      <c r="AK32" s="30">
        <f t="shared" si="20"/>
        <v>0.25</v>
      </c>
      <c r="AL32" s="30">
        <f t="shared" si="20"/>
        <v>0.25</v>
      </c>
      <c r="AM32" s="30">
        <f t="shared" si="20"/>
        <v>0.25</v>
      </c>
      <c r="AN32" s="30">
        <f t="shared" si="20"/>
        <v>0.25</v>
      </c>
      <c r="AO32" s="30">
        <f t="shared" si="20"/>
        <v>0.25</v>
      </c>
      <c r="AP32" s="30">
        <f t="shared" si="20"/>
        <v>0.25</v>
      </c>
      <c r="AQ32" s="30">
        <f t="shared" si="20"/>
        <v>0.25</v>
      </c>
      <c r="AR32" s="30">
        <f t="shared" si="20"/>
        <v>0.25</v>
      </c>
      <c r="AS32" s="30">
        <f t="shared" si="20"/>
        <v>0.25</v>
      </c>
      <c r="AT32" s="30">
        <f t="shared" si="20"/>
        <v>0.25</v>
      </c>
      <c r="AU32" s="30">
        <f t="shared" si="20"/>
        <v>0.25</v>
      </c>
      <c r="AV32" s="30">
        <f t="shared" si="20"/>
        <v>0.25</v>
      </c>
      <c r="AW32" s="30">
        <f t="shared" si="20"/>
        <v>0.25</v>
      </c>
      <c r="AX32" s="30">
        <f t="shared" si="20"/>
        <v>0.25</v>
      </c>
      <c r="AY32" s="30">
        <f t="shared" si="20"/>
        <v>0.25</v>
      </c>
      <c r="AZ32" s="30">
        <f t="shared" si="20"/>
        <v>0.25</v>
      </c>
      <c r="BA32" s="30">
        <f t="shared" si="20"/>
        <v>0.25</v>
      </c>
      <c r="BB32" s="30">
        <f t="shared" si="20"/>
        <v>0.25</v>
      </c>
      <c r="BC32" s="30">
        <f t="shared" si="20"/>
        <v>0.25</v>
      </c>
      <c r="BD32" s="30">
        <f t="shared" si="20"/>
        <v>0.25</v>
      </c>
      <c r="BE32" s="30">
        <f t="shared" si="20"/>
        <v>0.25</v>
      </c>
      <c r="BF32" s="15"/>
    </row>
    <row r="33" spans="2:58" x14ac:dyDescent="0.3">
      <c r="B33" s="12"/>
      <c r="C33" s="14"/>
      <c r="D33" s="14" t="s">
        <v>116</v>
      </c>
      <c r="E33" s="119">
        <v>0.75</v>
      </c>
      <c r="F33" s="119">
        <v>0.75</v>
      </c>
      <c r="G33" s="119">
        <v>0.75</v>
      </c>
      <c r="H33" s="119">
        <v>0.75</v>
      </c>
      <c r="I33" s="119">
        <f>H33</f>
        <v>0.75</v>
      </c>
      <c r="J33" s="119">
        <f>I33</f>
        <v>0.75</v>
      </c>
      <c r="K33" s="119">
        <f t="shared" ref="K33:BE33" si="21">J33</f>
        <v>0.75</v>
      </c>
      <c r="L33" s="30">
        <f t="shared" si="21"/>
        <v>0.75</v>
      </c>
      <c r="M33" s="30">
        <f t="shared" si="21"/>
        <v>0.75</v>
      </c>
      <c r="N33" s="30">
        <f t="shared" si="21"/>
        <v>0.75</v>
      </c>
      <c r="O33" s="30">
        <f t="shared" si="21"/>
        <v>0.75</v>
      </c>
      <c r="P33" s="30">
        <f t="shared" si="21"/>
        <v>0.75</v>
      </c>
      <c r="Q33" s="30">
        <f t="shared" si="21"/>
        <v>0.75</v>
      </c>
      <c r="R33" s="30">
        <f t="shared" si="21"/>
        <v>0.75</v>
      </c>
      <c r="S33" s="30">
        <f t="shared" si="21"/>
        <v>0.75</v>
      </c>
      <c r="T33" s="30">
        <f t="shared" si="21"/>
        <v>0.75</v>
      </c>
      <c r="U33" s="30">
        <f t="shared" si="21"/>
        <v>0.75</v>
      </c>
      <c r="V33" s="30">
        <f t="shared" si="21"/>
        <v>0.75</v>
      </c>
      <c r="W33" s="30">
        <f t="shared" si="21"/>
        <v>0.75</v>
      </c>
      <c r="X33" s="30">
        <f t="shared" si="21"/>
        <v>0.75</v>
      </c>
      <c r="Y33" s="30">
        <f t="shared" si="21"/>
        <v>0.75</v>
      </c>
      <c r="Z33" s="30">
        <f t="shared" si="21"/>
        <v>0.75</v>
      </c>
      <c r="AA33" s="30">
        <f t="shared" si="21"/>
        <v>0.75</v>
      </c>
      <c r="AB33" s="30">
        <f t="shared" si="21"/>
        <v>0.75</v>
      </c>
      <c r="AC33" s="30">
        <f t="shared" si="21"/>
        <v>0.75</v>
      </c>
      <c r="AD33" s="30">
        <f t="shared" si="21"/>
        <v>0.75</v>
      </c>
      <c r="AE33" s="30">
        <f t="shared" si="21"/>
        <v>0.75</v>
      </c>
      <c r="AF33" s="30">
        <f t="shared" si="21"/>
        <v>0.75</v>
      </c>
      <c r="AG33" s="30">
        <f t="shared" si="21"/>
        <v>0.75</v>
      </c>
      <c r="AH33" s="30">
        <f t="shared" si="21"/>
        <v>0.75</v>
      </c>
      <c r="AI33" s="30">
        <f t="shared" si="21"/>
        <v>0.75</v>
      </c>
      <c r="AJ33" s="30">
        <f t="shared" si="21"/>
        <v>0.75</v>
      </c>
      <c r="AK33" s="30">
        <f t="shared" si="21"/>
        <v>0.75</v>
      </c>
      <c r="AL33" s="30">
        <f t="shared" si="21"/>
        <v>0.75</v>
      </c>
      <c r="AM33" s="30">
        <f t="shared" si="21"/>
        <v>0.75</v>
      </c>
      <c r="AN33" s="30">
        <f t="shared" si="21"/>
        <v>0.75</v>
      </c>
      <c r="AO33" s="30">
        <f t="shared" si="21"/>
        <v>0.75</v>
      </c>
      <c r="AP33" s="30">
        <f t="shared" si="21"/>
        <v>0.75</v>
      </c>
      <c r="AQ33" s="30">
        <f t="shared" si="21"/>
        <v>0.75</v>
      </c>
      <c r="AR33" s="30">
        <f t="shared" si="21"/>
        <v>0.75</v>
      </c>
      <c r="AS33" s="30">
        <f t="shared" si="21"/>
        <v>0.75</v>
      </c>
      <c r="AT33" s="30">
        <f t="shared" si="21"/>
        <v>0.75</v>
      </c>
      <c r="AU33" s="30">
        <f t="shared" si="21"/>
        <v>0.75</v>
      </c>
      <c r="AV33" s="30">
        <f t="shared" si="21"/>
        <v>0.75</v>
      </c>
      <c r="AW33" s="30">
        <f t="shared" si="21"/>
        <v>0.75</v>
      </c>
      <c r="AX33" s="30">
        <f t="shared" si="21"/>
        <v>0.75</v>
      </c>
      <c r="AY33" s="30">
        <f t="shared" si="21"/>
        <v>0.75</v>
      </c>
      <c r="AZ33" s="30">
        <f t="shared" si="21"/>
        <v>0.75</v>
      </c>
      <c r="BA33" s="30">
        <f t="shared" si="21"/>
        <v>0.75</v>
      </c>
      <c r="BB33" s="30">
        <f t="shared" si="21"/>
        <v>0.75</v>
      </c>
      <c r="BC33" s="30">
        <f t="shared" si="21"/>
        <v>0.75</v>
      </c>
      <c r="BD33" s="30">
        <f t="shared" si="21"/>
        <v>0.75</v>
      </c>
      <c r="BE33" s="30">
        <f t="shared" si="21"/>
        <v>0.75</v>
      </c>
      <c r="BF33" s="15"/>
    </row>
    <row r="34" spans="2:58" x14ac:dyDescent="0.3">
      <c r="B34" s="12"/>
      <c r="C34" s="14"/>
      <c r="D34" s="13"/>
      <c r="E34" s="119">
        <f>SUM(E32:E33)</f>
        <v>1</v>
      </c>
      <c r="F34" s="119">
        <f t="shared" ref="F34:BE34" si="22">SUM(F32:F33)</f>
        <v>1</v>
      </c>
      <c r="G34" s="119">
        <f t="shared" si="22"/>
        <v>1</v>
      </c>
      <c r="H34" s="119">
        <f t="shared" si="22"/>
        <v>1</v>
      </c>
      <c r="I34" s="119">
        <f t="shared" si="22"/>
        <v>1</v>
      </c>
      <c r="J34" s="119">
        <f t="shared" si="22"/>
        <v>1</v>
      </c>
      <c r="K34" s="119">
        <f t="shared" si="22"/>
        <v>1</v>
      </c>
      <c r="L34" s="31">
        <f t="shared" si="22"/>
        <v>1</v>
      </c>
      <c r="M34" s="31">
        <f t="shared" si="22"/>
        <v>1</v>
      </c>
      <c r="N34" s="31">
        <f t="shared" si="22"/>
        <v>1</v>
      </c>
      <c r="O34" s="31">
        <f t="shared" si="22"/>
        <v>1</v>
      </c>
      <c r="P34" s="31">
        <f t="shared" si="22"/>
        <v>1</v>
      </c>
      <c r="Q34" s="31">
        <f t="shared" si="22"/>
        <v>1</v>
      </c>
      <c r="R34" s="31">
        <f t="shared" si="22"/>
        <v>1</v>
      </c>
      <c r="S34" s="31">
        <f t="shared" si="22"/>
        <v>1</v>
      </c>
      <c r="T34" s="31">
        <f t="shared" si="22"/>
        <v>1</v>
      </c>
      <c r="U34" s="31">
        <f t="shared" si="22"/>
        <v>1</v>
      </c>
      <c r="V34" s="31">
        <f t="shared" si="22"/>
        <v>1</v>
      </c>
      <c r="W34" s="31">
        <f t="shared" si="22"/>
        <v>1</v>
      </c>
      <c r="X34" s="31">
        <f t="shared" si="22"/>
        <v>1</v>
      </c>
      <c r="Y34" s="31">
        <f t="shared" si="22"/>
        <v>1</v>
      </c>
      <c r="Z34" s="31">
        <f t="shared" si="22"/>
        <v>1</v>
      </c>
      <c r="AA34" s="31">
        <f t="shared" si="22"/>
        <v>1</v>
      </c>
      <c r="AB34" s="31">
        <f t="shared" si="22"/>
        <v>1</v>
      </c>
      <c r="AC34" s="31">
        <f t="shared" si="22"/>
        <v>1</v>
      </c>
      <c r="AD34" s="31">
        <f t="shared" si="22"/>
        <v>1</v>
      </c>
      <c r="AE34" s="31">
        <f t="shared" si="22"/>
        <v>1</v>
      </c>
      <c r="AF34" s="31">
        <f t="shared" si="22"/>
        <v>1</v>
      </c>
      <c r="AG34" s="31">
        <f t="shared" si="22"/>
        <v>1</v>
      </c>
      <c r="AH34" s="31">
        <f t="shared" si="22"/>
        <v>1</v>
      </c>
      <c r="AI34" s="31">
        <f t="shared" si="22"/>
        <v>1</v>
      </c>
      <c r="AJ34" s="31">
        <f t="shared" si="22"/>
        <v>1</v>
      </c>
      <c r="AK34" s="31">
        <f t="shared" si="22"/>
        <v>1</v>
      </c>
      <c r="AL34" s="31">
        <f t="shared" si="22"/>
        <v>1</v>
      </c>
      <c r="AM34" s="31">
        <f t="shared" si="22"/>
        <v>1</v>
      </c>
      <c r="AN34" s="31">
        <f t="shared" si="22"/>
        <v>1</v>
      </c>
      <c r="AO34" s="31">
        <f t="shared" si="22"/>
        <v>1</v>
      </c>
      <c r="AP34" s="31">
        <f t="shared" si="22"/>
        <v>1</v>
      </c>
      <c r="AQ34" s="31">
        <f t="shared" si="22"/>
        <v>1</v>
      </c>
      <c r="AR34" s="31">
        <f t="shared" si="22"/>
        <v>1</v>
      </c>
      <c r="AS34" s="31">
        <f t="shared" si="22"/>
        <v>1</v>
      </c>
      <c r="AT34" s="31">
        <f t="shared" si="22"/>
        <v>1</v>
      </c>
      <c r="AU34" s="31">
        <f t="shared" si="22"/>
        <v>1</v>
      </c>
      <c r="AV34" s="31">
        <f t="shared" si="22"/>
        <v>1</v>
      </c>
      <c r="AW34" s="31">
        <f t="shared" si="22"/>
        <v>1</v>
      </c>
      <c r="AX34" s="31">
        <f t="shared" si="22"/>
        <v>1</v>
      </c>
      <c r="AY34" s="31">
        <f t="shared" si="22"/>
        <v>1</v>
      </c>
      <c r="AZ34" s="31">
        <f t="shared" si="22"/>
        <v>1</v>
      </c>
      <c r="BA34" s="31">
        <f t="shared" si="22"/>
        <v>1</v>
      </c>
      <c r="BB34" s="31">
        <f t="shared" si="22"/>
        <v>1</v>
      </c>
      <c r="BC34" s="31">
        <f t="shared" si="22"/>
        <v>1</v>
      </c>
      <c r="BD34" s="31">
        <f t="shared" si="22"/>
        <v>1</v>
      </c>
      <c r="BE34" s="31">
        <f t="shared" si="22"/>
        <v>1</v>
      </c>
      <c r="BF34" s="15"/>
    </row>
    <row r="35" spans="2:58" x14ac:dyDescent="0.3">
      <c r="B35" s="12"/>
      <c r="C35" s="14"/>
      <c r="D35" s="13" t="s">
        <v>41</v>
      </c>
      <c r="E35" s="119"/>
      <c r="F35" s="119"/>
      <c r="G35" s="119"/>
      <c r="H35" s="119"/>
      <c r="I35" s="119"/>
      <c r="J35" s="119"/>
      <c r="K35" s="119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15"/>
    </row>
    <row r="36" spans="2:58" x14ac:dyDescent="0.3">
      <c r="B36" s="12"/>
      <c r="C36" s="14" t="s">
        <v>75</v>
      </c>
      <c r="D36" s="14" t="s">
        <v>72</v>
      </c>
      <c r="E36" s="119">
        <f>E27*E32</f>
        <v>6.25E-2</v>
      </c>
      <c r="F36" s="119">
        <f t="shared" ref="F36:BD36" si="23">F27*F32</f>
        <v>6.25E-2</v>
      </c>
      <c r="G36" s="119">
        <f t="shared" si="23"/>
        <v>6.25E-2</v>
      </c>
      <c r="H36" s="119">
        <f t="shared" si="23"/>
        <v>6.25E-2</v>
      </c>
      <c r="I36" s="119">
        <f t="shared" si="23"/>
        <v>6.25E-2</v>
      </c>
      <c r="J36" s="119">
        <f t="shared" si="23"/>
        <v>6.25E-2</v>
      </c>
      <c r="K36" s="119">
        <f t="shared" si="23"/>
        <v>7.2500000000001563E-2</v>
      </c>
      <c r="L36" s="30">
        <f t="shared" si="23"/>
        <v>8.2500000000000004E-2</v>
      </c>
      <c r="M36" s="30">
        <f t="shared" si="23"/>
        <v>8.4200000000000053E-2</v>
      </c>
      <c r="N36" s="30">
        <f t="shared" si="23"/>
        <v>8.5900000000000087E-2</v>
      </c>
      <c r="O36" s="30">
        <f t="shared" si="23"/>
        <v>8.7600000000000122E-2</v>
      </c>
      <c r="P36" s="30">
        <f t="shared" si="23"/>
        <v>8.9299999999999713E-2</v>
      </c>
      <c r="Q36" s="30">
        <f t="shared" si="23"/>
        <v>9.0999999999999748E-2</v>
      </c>
      <c r="R36" s="30">
        <f t="shared" si="23"/>
        <v>9.2699999999999783E-2</v>
      </c>
      <c r="S36" s="30">
        <f t="shared" si="23"/>
        <v>9.4399999999999817E-2</v>
      </c>
      <c r="T36" s="30">
        <f t="shared" si="23"/>
        <v>9.6099999999999852E-2</v>
      </c>
      <c r="U36" s="30">
        <f t="shared" si="23"/>
        <v>9.7799999999999887E-2</v>
      </c>
      <c r="V36" s="30">
        <f t="shared" si="23"/>
        <v>9.9499999999999922E-2</v>
      </c>
      <c r="W36" s="30">
        <f t="shared" si="23"/>
        <v>0.10119999999999996</v>
      </c>
      <c r="X36" s="30">
        <f t="shared" si="23"/>
        <v>0.10289999999999999</v>
      </c>
      <c r="Y36" s="30">
        <f t="shared" si="23"/>
        <v>0.10460000000000003</v>
      </c>
      <c r="Z36" s="30">
        <f t="shared" si="23"/>
        <v>0.10630000000000006</v>
      </c>
      <c r="AA36" s="30">
        <f t="shared" si="23"/>
        <v>0.1080000000000001</v>
      </c>
      <c r="AB36" s="30">
        <f t="shared" si="23"/>
        <v>0.10970000000000013</v>
      </c>
      <c r="AC36" s="30">
        <f t="shared" si="23"/>
        <v>0.11139999999999972</v>
      </c>
      <c r="AD36" s="30">
        <f t="shared" si="23"/>
        <v>0.11309999999999976</v>
      </c>
      <c r="AE36" s="30">
        <f t="shared" si="23"/>
        <v>0.11479999999999979</v>
      </c>
      <c r="AF36" s="30">
        <f t="shared" si="23"/>
        <v>0.11649999999999983</v>
      </c>
      <c r="AG36" s="30">
        <f t="shared" si="23"/>
        <v>0.11819999999999986</v>
      </c>
      <c r="AH36" s="30">
        <f t="shared" si="23"/>
        <v>0.1198999999999999</v>
      </c>
      <c r="AI36" s="30">
        <f t="shared" si="23"/>
        <v>0.12159999999999993</v>
      </c>
      <c r="AJ36" s="30">
        <f t="shared" si="23"/>
        <v>0.12329999999999997</v>
      </c>
      <c r="AK36" s="30">
        <f t="shared" si="23"/>
        <v>0.125</v>
      </c>
      <c r="AL36" s="30">
        <f t="shared" si="23"/>
        <v>0.125</v>
      </c>
      <c r="AM36" s="30">
        <f t="shared" si="23"/>
        <v>0.125</v>
      </c>
      <c r="AN36" s="30">
        <f t="shared" si="23"/>
        <v>0.125</v>
      </c>
      <c r="AO36" s="30">
        <f t="shared" si="23"/>
        <v>0.125</v>
      </c>
      <c r="AP36" s="30">
        <f t="shared" si="23"/>
        <v>0.125</v>
      </c>
      <c r="AQ36" s="30">
        <f t="shared" si="23"/>
        <v>0.125</v>
      </c>
      <c r="AR36" s="30">
        <f t="shared" si="23"/>
        <v>0.125</v>
      </c>
      <c r="AS36" s="30">
        <f t="shared" si="23"/>
        <v>0.125</v>
      </c>
      <c r="AT36" s="30">
        <f t="shared" si="23"/>
        <v>0.125</v>
      </c>
      <c r="AU36" s="30">
        <f t="shared" si="23"/>
        <v>0.125</v>
      </c>
      <c r="AV36" s="30">
        <f t="shared" si="23"/>
        <v>0.125</v>
      </c>
      <c r="AW36" s="30">
        <f t="shared" si="23"/>
        <v>0.125</v>
      </c>
      <c r="AX36" s="30">
        <f t="shared" si="23"/>
        <v>0.125</v>
      </c>
      <c r="AY36" s="30">
        <f t="shared" si="23"/>
        <v>0.125</v>
      </c>
      <c r="AZ36" s="30">
        <f t="shared" si="23"/>
        <v>0.125</v>
      </c>
      <c r="BA36" s="30">
        <f t="shared" si="23"/>
        <v>0.125</v>
      </c>
      <c r="BB36" s="30">
        <f t="shared" si="23"/>
        <v>0.125</v>
      </c>
      <c r="BC36" s="30">
        <f t="shared" si="23"/>
        <v>0.125</v>
      </c>
      <c r="BD36" s="30">
        <f t="shared" si="23"/>
        <v>0.125</v>
      </c>
      <c r="BE36" s="30">
        <f>BE27*BE32</f>
        <v>0.125</v>
      </c>
      <c r="BF36" s="15"/>
    </row>
    <row r="37" spans="2:58" x14ac:dyDescent="0.3">
      <c r="B37" s="12"/>
      <c r="C37" s="14"/>
      <c r="D37" s="14" t="s">
        <v>73</v>
      </c>
      <c r="E37" s="119">
        <f>E27*E33</f>
        <v>0.1875</v>
      </c>
      <c r="F37" s="119">
        <f t="shared" ref="F37:BE37" si="24">F27*F33</f>
        <v>0.1875</v>
      </c>
      <c r="G37" s="119">
        <f t="shared" si="24"/>
        <v>0.1875</v>
      </c>
      <c r="H37" s="119">
        <f t="shared" si="24"/>
        <v>0.1875</v>
      </c>
      <c r="I37" s="119">
        <f t="shared" si="24"/>
        <v>0.1875</v>
      </c>
      <c r="J37" s="119">
        <f t="shared" si="24"/>
        <v>0.1875</v>
      </c>
      <c r="K37" s="119">
        <f t="shared" si="24"/>
        <v>0.21750000000000469</v>
      </c>
      <c r="L37" s="30">
        <f t="shared" si="24"/>
        <v>0.2475</v>
      </c>
      <c r="M37" s="30">
        <f t="shared" si="24"/>
        <v>0.25260000000000016</v>
      </c>
      <c r="N37" s="30">
        <f t="shared" si="24"/>
        <v>0.25770000000000026</v>
      </c>
      <c r="O37" s="30">
        <f t="shared" si="24"/>
        <v>0.26280000000000037</v>
      </c>
      <c r="P37" s="30">
        <f t="shared" si="24"/>
        <v>0.26789999999999914</v>
      </c>
      <c r="Q37" s="30">
        <f t="shared" si="24"/>
        <v>0.27299999999999924</v>
      </c>
      <c r="R37" s="30">
        <f t="shared" si="24"/>
        <v>0.27809999999999935</v>
      </c>
      <c r="S37" s="30">
        <f t="shared" si="24"/>
        <v>0.28319999999999945</v>
      </c>
      <c r="T37" s="30">
        <f t="shared" si="24"/>
        <v>0.28829999999999956</v>
      </c>
      <c r="U37" s="30">
        <f t="shared" si="24"/>
        <v>0.29339999999999966</v>
      </c>
      <c r="V37" s="30">
        <f t="shared" si="24"/>
        <v>0.29849999999999977</v>
      </c>
      <c r="W37" s="30">
        <f t="shared" si="24"/>
        <v>0.30359999999999987</v>
      </c>
      <c r="X37" s="30">
        <f t="shared" si="24"/>
        <v>0.30869999999999997</v>
      </c>
      <c r="Y37" s="30">
        <f t="shared" si="24"/>
        <v>0.31380000000000008</v>
      </c>
      <c r="Z37" s="30">
        <f t="shared" si="24"/>
        <v>0.31890000000000018</v>
      </c>
      <c r="AA37" s="30">
        <f t="shared" si="24"/>
        <v>0.32400000000000029</v>
      </c>
      <c r="AB37" s="30">
        <f t="shared" si="24"/>
        <v>0.32910000000000039</v>
      </c>
      <c r="AC37" s="30">
        <f t="shared" si="24"/>
        <v>0.33419999999999916</v>
      </c>
      <c r="AD37" s="30">
        <f t="shared" si="24"/>
        <v>0.33929999999999927</v>
      </c>
      <c r="AE37" s="30">
        <f t="shared" si="24"/>
        <v>0.34439999999999937</v>
      </c>
      <c r="AF37" s="30">
        <f t="shared" si="24"/>
        <v>0.34949999999999948</v>
      </c>
      <c r="AG37" s="30">
        <f t="shared" si="24"/>
        <v>0.35459999999999958</v>
      </c>
      <c r="AH37" s="30">
        <f t="shared" si="24"/>
        <v>0.35969999999999969</v>
      </c>
      <c r="AI37" s="30">
        <f t="shared" si="24"/>
        <v>0.36479999999999979</v>
      </c>
      <c r="AJ37" s="30">
        <f t="shared" si="24"/>
        <v>0.3698999999999999</v>
      </c>
      <c r="AK37" s="30">
        <f t="shared" si="24"/>
        <v>0.375</v>
      </c>
      <c r="AL37" s="30">
        <f t="shared" si="24"/>
        <v>0.375</v>
      </c>
      <c r="AM37" s="30">
        <f t="shared" si="24"/>
        <v>0.375</v>
      </c>
      <c r="AN37" s="30">
        <f t="shared" si="24"/>
        <v>0.375</v>
      </c>
      <c r="AO37" s="30">
        <f t="shared" si="24"/>
        <v>0.375</v>
      </c>
      <c r="AP37" s="30">
        <f t="shared" si="24"/>
        <v>0.375</v>
      </c>
      <c r="AQ37" s="30">
        <f t="shared" si="24"/>
        <v>0.375</v>
      </c>
      <c r="AR37" s="30">
        <f t="shared" si="24"/>
        <v>0.375</v>
      </c>
      <c r="AS37" s="30">
        <f t="shared" si="24"/>
        <v>0.375</v>
      </c>
      <c r="AT37" s="30">
        <f t="shared" si="24"/>
        <v>0.375</v>
      </c>
      <c r="AU37" s="30">
        <f t="shared" si="24"/>
        <v>0.375</v>
      </c>
      <c r="AV37" s="30">
        <f t="shared" si="24"/>
        <v>0.375</v>
      </c>
      <c r="AW37" s="30">
        <f t="shared" si="24"/>
        <v>0.375</v>
      </c>
      <c r="AX37" s="30">
        <f t="shared" si="24"/>
        <v>0.375</v>
      </c>
      <c r="AY37" s="30">
        <f t="shared" si="24"/>
        <v>0.375</v>
      </c>
      <c r="AZ37" s="30">
        <f t="shared" si="24"/>
        <v>0.375</v>
      </c>
      <c r="BA37" s="30">
        <f t="shared" si="24"/>
        <v>0.375</v>
      </c>
      <c r="BB37" s="30">
        <f t="shared" si="24"/>
        <v>0.375</v>
      </c>
      <c r="BC37" s="30">
        <f t="shared" si="24"/>
        <v>0.375</v>
      </c>
      <c r="BD37" s="30">
        <f t="shared" si="24"/>
        <v>0.375</v>
      </c>
      <c r="BE37" s="30">
        <f t="shared" si="24"/>
        <v>0.375</v>
      </c>
      <c r="BF37" s="15"/>
    </row>
    <row r="38" spans="2:58" x14ac:dyDescent="0.3">
      <c r="B38" s="12"/>
      <c r="C38" s="14"/>
      <c r="D38" s="13" t="s">
        <v>66</v>
      </c>
      <c r="E38" s="119">
        <f>SUM(E36+E37)</f>
        <v>0.25</v>
      </c>
      <c r="F38" s="119">
        <f t="shared" ref="F38:BE38" si="25">SUM(F36+F37)</f>
        <v>0.25</v>
      </c>
      <c r="G38" s="119">
        <f t="shared" si="25"/>
        <v>0.25</v>
      </c>
      <c r="H38" s="119">
        <f t="shared" si="25"/>
        <v>0.25</v>
      </c>
      <c r="I38" s="119">
        <f t="shared" si="25"/>
        <v>0.25</v>
      </c>
      <c r="J38" s="119">
        <f t="shared" si="25"/>
        <v>0.25</v>
      </c>
      <c r="K38" s="119">
        <f t="shared" si="25"/>
        <v>0.29000000000000625</v>
      </c>
      <c r="L38" s="30">
        <f t="shared" si="25"/>
        <v>0.33</v>
      </c>
      <c r="M38" s="30">
        <f t="shared" si="25"/>
        <v>0.33680000000000021</v>
      </c>
      <c r="N38" s="30">
        <f t="shared" si="25"/>
        <v>0.34360000000000035</v>
      </c>
      <c r="O38" s="30">
        <f t="shared" si="25"/>
        <v>0.35040000000000049</v>
      </c>
      <c r="P38" s="30">
        <f t="shared" si="25"/>
        <v>0.35719999999999885</v>
      </c>
      <c r="Q38" s="30">
        <f t="shared" si="25"/>
        <v>0.36399999999999899</v>
      </c>
      <c r="R38" s="30">
        <f t="shared" si="25"/>
        <v>0.37079999999999913</v>
      </c>
      <c r="S38" s="30">
        <f t="shared" si="25"/>
        <v>0.37759999999999927</v>
      </c>
      <c r="T38" s="30">
        <f t="shared" si="25"/>
        <v>0.38439999999999941</v>
      </c>
      <c r="U38" s="30">
        <f t="shared" si="25"/>
        <v>0.39119999999999955</v>
      </c>
      <c r="V38" s="30">
        <f t="shared" si="25"/>
        <v>0.39799999999999969</v>
      </c>
      <c r="W38" s="30">
        <f t="shared" si="25"/>
        <v>0.40479999999999983</v>
      </c>
      <c r="X38" s="30">
        <f t="shared" si="25"/>
        <v>0.41159999999999997</v>
      </c>
      <c r="Y38" s="30">
        <f t="shared" si="25"/>
        <v>0.41840000000000011</v>
      </c>
      <c r="Z38" s="30">
        <f t="shared" si="25"/>
        <v>0.42520000000000024</v>
      </c>
      <c r="AA38" s="30">
        <f t="shared" si="25"/>
        <v>0.43200000000000038</v>
      </c>
      <c r="AB38" s="30">
        <f t="shared" si="25"/>
        <v>0.43880000000000052</v>
      </c>
      <c r="AC38" s="30">
        <f t="shared" si="25"/>
        <v>0.44559999999999889</v>
      </c>
      <c r="AD38" s="30">
        <f t="shared" si="25"/>
        <v>0.45239999999999903</v>
      </c>
      <c r="AE38" s="30">
        <f t="shared" si="25"/>
        <v>0.45919999999999916</v>
      </c>
      <c r="AF38" s="30">
        <f t="shared" si="25"/>
        <v>0.4659999999999993</v>
      </c>
      <c r="AG38" s="30">
        <f t="shared" si="25"/>
        <v>0.47279999999999944</v>
      </c>
      <c r="AH38" s="30">
        <f t="shared" si="25"/>
        <v>0.47959999999999958</v>
      </c>
      <c r="AI38" s="30">
        <f t="shared" si="25"/>
        <v>0.48639999999999972</v>
      </c>
      <c r="AJ38" s="30">
        <f t="shared" si="25"/>
        <v>0.49319999999999986</v>
      </c>
      <c r="AK38" s="30">
        <f t="shared" si="25"/>
        <v>0.5</v>
      </c>
      <c r="AL38" s="30">
        <f t="shared" si="25"/>
        <v>0.5</v>
      </c>
      <c r="AM38" s="30">
        <f t="shared" si="25"/>
        <v>0.5</v>
      </c>
      <c r="AN38" s="30">
        <f t="shared" si="25"/>
        <v>0.5</v>
      </c>
      <c r="AO38" s="30">
        <f t="shared" si="25"/>
        <v>0.5</v>
      </c>
      <c r="AP38" s="30">
        <f t="shared" si="25"/>
        <v>0.5</v>
      </c>
      <c r="AQ38" s="30">
        <f t="shared" si="25"/>
        <v>0.5</v>
      </c>
      <c r="AR38" s="30">
        <f t="shared" si="25"/>
        <v>0.5</v>
      </c>
      <c r="AS38" s="30">
        <f t="shared" si="25"/>
        <v>0.5</v>
      </c>
      <c r="AT38" s="30">
        <f t="shared" si="25"/>
        <v>0.5</v>
      </c>
      <c r="AU38" s="30">
        <f t="shared" si="25"/>
        <v>0.5</v>
      </c>
      <c r="AV38" s="30">
        <f t="shared" si="25"/>
        <v>0.5</v>
      </c>
      <c r="AW38" s="30">
        <f t="shared" si="25"/>
        <v>0.5</v>
      </c>
      <c r="AX38" s="30">
        <f t="shared" si="25"/>
        <v>0.5</v>
      </c>
      <c r="AY38" s="30">
        <f t="shared" si="25"/>
        <v>0.5</v>
      </c>
      <c r="AZ38" s="30">
        <f t="shared" si="25"/>
        <v>0.5</v>
      </c>
      <c r="BA38" s="30">
        <f t="shared" si="25"/>
        <v>0.5</v>
      </c>
      <c r="BB38" s="30">
        <f t="shared" si="25"/>
        <v>0.5</v>
      </c>
      <c r="BC38" s="30">
        <f t="shared" si="25"/>
        <v>0.5</v>
      </c>
      <c r="BD38" s="30">
        <f t="shared" si="25"/>
        <v>0.5</v>
      </c>
      <c r="BE38" s="30">
        <f t="shared" si="25"/>
        <v>0.5</v>
      </c>
      <c r="BF38" s="15"/>
    </row>
    <row r="39" spans="2:58" x14ac:dyDescent="0.3">
      <c r="B39" s="12"/>
      <c r="C39" s="14" t="s">
        <v>76</v>
      </c>
      <c r="D39" s="14"/>
      <c r="E39" s="123">
        <f>E26+E37</f>
        <v>0.9375</v>
      </c>
      <c r="F39" s="123">
        <f t="shared" ref="F39:BE39" si="26">F26+F37</f>
        <v>0.9375</v>
      </c>
      <c r="G39" s="123">
        <f t="shared" si="26"/>
        <v>0.9375</v>
      </c>
      <c r="H39" s="123">
        <f t="shared" si="26"/>
        <v>0.9375</v>
      </c>
      <c r="I39" s="123">
        <f t="shared" si="26"/>
        <v>0.9375</v>
      </c>
      <c r="J39" s="123">
        <f t="shared" si="26"/>
        <v>0.9375</v>
      </c>
      <c r="K39" s="123">
        <f t="shared" si="26"/>
        <v>0.91750000000000753</v>
      </c>
      <c r="L39" s="40">
        <f t="shared" si="26"/>
        <v>0.89749999999999996</v>
      </c>
      <c r="M39" s="40">
        <f t="shared" si="26"/>
        <v>0.88859999999999939</v>
      </c>
      <c r="N39" s="40">
        <f t="shared" si="26"/>
        <v>0.87970000000000015</v>
      </c>
      <c r="O39" s="40">
        <f t="shared" si="26"/>
        <v>0.87080000000000091</v>
      </c>
      <c r="P39" s="40">
        <f t="shared" si="26"/>
        <v>0.86190000000000033</v>
      </c>
      <c r="Q39" s="40">
        <f t="shared" si="26"/>
        <v>0.85299999999999754</v>
      </c>
      <c r="R39" s="40">
        <f t="shared" si="26"/>
        <v>0.8440999999999983</v>
      </c>
      <c r="S39" s="40">
        <f t="shared" si="26"/>
        <v>0.83519999999999905</v>
      </c>
      <c r="T39" s="40">
        <f t="shared" si="26"/>
        <v>0.82629999999999981</v>
      </c>
      <c r="U39" s="40">
        <f t="shared" si="26"/>
        <v>0.81740000000000057</v>
      </c>
      <c r="V39" s="40">
        <f t="shared" si="26"/>
        <v>0.80849999999999778</v>
      </c>
      <c r="W39" s="40">
        <f t="shared" si="26"/>
        <v>0.79959999999999853</v>
      </c>
      <c r="X39" s="40">
        <f t="shared" si="26"/>
        <v>0.79069999999999929</v>
      </c>
      <c r="Y39" s="40">
        <f t="shared" si="26"/>
        <v>0.78180000000000005</v>
      </c>
      <c r="Z39" s="40">
        <f t="shared" si="26"/>
        <v>0.77290000000000081</v>
      </c>
      <c r="AA39" s="40">
        <f t="shared" si="26"/>
        <v>0.76399999999999801</v>
      </c>
      <c r="AB39" s="40">
        <f t="shared" si="26"/>
        <v>0.75509999999999877</v>
      </c>
      <c r="AC39" s="40">
        <f t="shared" si="26"/>
        <v>0.7461999999999982</v>
      </c>
      <c r="AD39" s="40">
        <f t="shared" si="26"/>
        <v>0.73729999999999896</v>
      </c>
      <c r="AE39" s="40">
        <f t="shared" si="26"/>
        <v>0.72839999999999971</v>
      </c>
      <c r="AF39" s="40">
        <f t="shared" si="26"/>
        <v>0.71950000000000047</v>
      </c>
      <c r="AG39" s="40">
        <f t="shared" si="26"/>
        <v>0.71059999999999768</v>
      </c>
      <c r="AH39" s="40">
        <f t="shared" si="26"/>
        <v>0.70169999999999844</v>
      </c>
      <c r="AI39" s="40">
        <f t="shared" si="26"/>
        <v>0.69279999999999919</v>
      </c>
      <c r="AJ39" s="40">
        <f t="shared" si="26"/>
        <v>0.68389999999999995</v>
      </c>
      <c r="AK39" s="40">
        <f t="shared" si="26"/>
        <v>0.67500000000000004</v>
      </c>
      <c r="AL39" s="40">
        <f t="shared" si="26"/>
        <v>0.66499999999999915</v>
      </c>
      <c r="AM39" s="40">
        <f t="shared" si="26"/>
        <v>0.65500000000000114</v>
      </c>
      <c r="AN39" s="40">
        <f t="shared" si="26"/>
        <v>0.64499999999999957</v>
      </c>
      <c r="AO39" s="40">
        <f t="shared" si="26"/>
        <v>0.63500000000000156</v>
      </c>
      <c r="AP39" s="40">
        <f t="shared" si="26"/>
        <v>0.625</v>
      </c>
      <c r="AQ39" s="40">
        <f t="shared" si="26"/>
        <v>0.61500000000000199</v>
      </c>
      <c r="AR39" s="40">
        <f t="shared" si="26"/>
        <v>0.60500000000000043</v>
      </c>
      <c r="AS39" s="40">
        <f t="shared" si="26"/>
        <v>0.59499999999999886</v>
      </c>
      <c r="AT39" s="40">
        <f t="shared" si="26"/>
        <v>0.58500000000000085</v>
      </c>
      <c r="AU39" s="40">
        <f t="shared" si="26"/>
        <v>0.57499999999999929</v>
      </c>
      <c r="AV39" s="40">
        <f t="shared" si="26"/>
        <v>0.56500000000000128</v>
      </c>
      <c r="AW39" s="40">
        <f t="shared" si="26"/>
        <v>0.55499999999999972</v>
      </c>
      <c r="AX39" s="40">
        <f t="shared" si="26"/>
        <v>0.54500000000000171</v>
      </c>
      <c r="AY39" s="40">
        <f t="shared" si="26"/>
        <v>0.53500000000000014</v>
      </c>
      <c r="AZ39" s="40">
        <f t="shared" si="26"/>
        <v>0.52499999999999858</v>
      </c>
      <c r="BA39" s="40">
        <f t="shared" si="26"/>
        <v>0.51500000000000057</v>
      </c>
      <c r="BB39" s="40">
        <f t="shared" si="26"/>
        <v>0.50499999999999901</v>
      </c>
      <c r="BC39" s="40">
        <f t="shared" si="26"/>
        <v>0.49500000000000099</v>
      </c>
      <c r="BD39" s="40">
        <f t="shared" si="26"/>
        <v>0.48499999999999943</v>
      </c>
      <c r="BE39" s="40">
        <f t="shared" si="26"/>
        <v>0.47499999999999998</v>
      </c>
      <c r="BF39" s="15"/>
    </row>
    <row r="40" spans="2:58" x14ac:dyDescent="0.3">
      <c r="B40" s="12"/>
      <c r="C40" s="14"/>
      <c r="D40" s="24" t="s">
        <v>35</v>
      </c>
      <c r="E40" s="121"/>
      <c r="F40" s="121"/>
      <c r="G40" s="121"/>
      <c r="H40" s="121"/>
      <c r="I40" s="121"/>
      <c r="J40" s="121"/>
      <c r="K40" s="121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15"/>
    </row>
    <row r="41" spans="2:58" x14ac:dyDescent="0.3">
      <c r="B41" s="12"/>
      <c r="C41" s="14"/>
      <c r="D41" s="14"/>
      <c r="E41" s="121"/>
      <c r="F41" s="121"/>
      <c r="G41" s="121"/>
      <c r="H41" s="121"/>
      <c r="I41" s="121"/>
      <c r="J41" s="121"/>
      <c r="K41" s="121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15"/>
    </row>
    <row r="42" spans="2:58" x14ac:dyDescent="0.3">
      <c r="B42" s="12"/>
      <c r="C42" s="14"/>
      <c r="D42" s="13" t="s">
        <v>36</v>
      </c>
      <c r="E42" s="121"/>
      <c r="F42" s="121"/>
      <c r="G42" s="121"/>
      <c r="H42" s="121"/>
      <c r="I42" s="121"/>
      <c r="J42" s="121"/>
      <c r="K42" s="121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15"/>
    </row>
    <row r="43" spans="2:58" x14ac:dyDescent="0.3">
      <c r="B43" s="12"/>
      <c r="C43" s="14"/>
      <c r="D43" s="14" t="s">
        <v>37</v>
      </c>
      <c r="E43" s="118">
        <v>0.75</v>
      </c>
      <c r="F43" s="118">
        <v>0.75</v>
      </c>
      <c r="G43" s="118">
        <v>0.75</v>
      </c>
      <c r="H43" s="118">
        <v>0.75</v>
      </c>
      <c r="I43" s="119">
        <f t="shared" ref="I43:J45" si="27">H43</f>
        <v>0.75</v>
      </c>
      <c r="J43" s="119">
        <f t="shared" si="27"/>
        <v>0.75</v>
      </c>
      <c r="K43" s="119">
        <f>K136</f>
        <v>0.70000000000000284</v>
      </c>
      <c r="L43" s="29">
        <v>0.65</v>
      </c>
      <c r="M43" s="30">
        <f>M136</f>
        <v>0.64222222222222314</v>
      </c>
      <c r="N43" s="30">
        <f t="shared" ref="N43:AJ45" si="28">N136</f>
        <v>0.63444444444444414</v>
      </c>
      <c r="O43" s="30">
        <f t="shared" si="28"/>
        <v>0.62666666666666693</v>
      </c>
      <c r="P43" s="30">
        <f t="shared" si="28"/>
        <v>0.61888888888888971</v>
      </c>
      <c r="Q43" s="30">
        <f t="shared" si="28"/>
        <v>0.61111111111111072</v>
      </c>
      <c r="R43" s="30">
        <f t="shared" si="28"/>
        <v>0.6033333333333335</v>
      </c>
      <c r="S43" s="30">
        <f t="shared" si="28"/>
        <v>0.59555555555555628</v>
      </c>
      <c r="T43" s="30">
        <f t="shared" si="28"/>
        <v>0.58777777777777729</v>
      </c>
      <c r="U43" s="30">
        <f t="shared" si="28"/>
        <v>0.58000000000000007</v>
      </c>
      <c r="V43" s="30">
        <f t="shared" si="28"/>
        <v>0.57222222222222285</v>
      </c>
      <c r="W43" s="30">
        <f t="shared" si="28"/>
        <v>0.56444444444444386</v>
      </c>
      <c r="X43" s="30">
        <f t="shared" si="28"/>
        <v>0.55666666666666664</v>
      </c>
      <c r="Y43" s="30">
        <f t="shared" si="28"/>
        <v>0.54888888888888943</v>
      </c>
      <c r="Z43" s="30">
        <f t="shared" si="28"/>
        <v>0.54111111111111043</v>
      </c>
      <c r="AA43" s="30">
        <f t="shared" si="28"/>
        <v>0.53333333333333321</v>
      </c>
      <c r="AB43" s="30">
        <f t="shared" si="28"/>
        <v>0.52555555555555422</v>
      </c>
      <c r="AC43" s="30">
        <f t="shared" si="28"/>
        <v>0.517777777777777</v>
      </c>
      <c r="AD43" s="30">
        <f t="shared" si="28"/>
        <v>0.50999999999999979</v>
      </c>
      <c r="AE43" s="30">
        <f t="shared" si="28"/>
        <v>0.50222222222222079</v>
      </c>
      <c r="AF43" s="30">
        <f t="shared" si="28"/>
        <v>0.49444444444444358</v>
      </c>
      <c r="AG43" s="30">
        <f t="shared" si="28"/>
        <v>0.48666666666666636</v>
      </c>
      <c r="AH43" s="30">
        <f t="shared" si="28"/>
        <v>0.47888888888888737</v>
      </c>
      <c r="AI43" s="30">
        <f t="shared" si="28"/>
        <v>0.47111111111111015</v>
      </c>
      <c r="AJ43" s="30">
        <f t="shared" si="28"/>
        <v>0.46333333333333293</v>
      </c>
      <c r="AK43" s="29">
        <v>0.45555555555555394</v>
      </c>
      <c r="AL43" s="30">
        <f>AL136</f>
        <v>0.44777777777777672</v>
      </c>
      <c r="AM43" s="30">
        <f t="shared" ref="AM43:BD45" si="29">AM136</f>
        <v>0.4399999999999995</v>
      </c>
      <c r="AN43" s="30">
        <f t="shared" si="29"/>
        <v>0.43222222222222229</v>
      </c>
      <c r="AO43" s="30">
        <f t="shared" si="29"/>
        <v>0.42444444444444329</v>
      </c>
      <c r="AP43" s="30">
        <f t="shared" si="29"/>
        <v>0.41666666666666607</v>
      </c>
      <c r="AQ43" s="30">
        <f t="shared" si="29"/>
        <v>0.40888888888888886</v>
      </c>
      <c r="AR43" s="30">
        <f t="shared" si="29"/>
        <v>0.40111111111111164</v>
      </c>
      <c r="AS43" s="30">
        <f t="shared" si="29"/>
        <v>0.39333333333333442</v>
      </c>
      <c r="AT43" s="30">
        <f t="shared" si="29"/>
        <v>0.38555555555555543</v>
      </c>
      <c r="AU43" s="30">
        <f t="shared" si="29"/>
        <v>0.37777777777777644</v>
      </c>
      <c r="AV43" s="30">
        <f t="shared" si="29"/>
        <v>0.37000000000000099</v>
      </c>
      <c r="AW43" s="30">
        <f t="shared" si="29"/>
        <v>0.362222222222222</v>
      </c>
      <c r="AX43" s="30">
        <f t="shared" si="29"/>
        <v>0.35444444444444301</v>
      </c>
      <c r="AY43" s="30">
        <f t="shared" si="29"/>
        <v>0.34666666666666757</v>
      </c>
      <c r="AZ43" s="30">
        <f t="shared" si="29"/>
        <v>0.33888888888888857</v>
      </c>
      <c r="BA43" s="30">
        <f t="shared" si="29"/>
        <v>0.33111111111111313</v>
      </c>
      <c r="BB43" s="30">
        <f t="shared" si="29"/>
        <v>0.32333333333333414</v>
      </c>
      <c r="BC43" s="30">
        <f t="shared" si="29"/>
        <v>0.31555555555555515</v>
      </c>
      <c r="BD43" s="30">
        <f t="shared" si="29"/>
        <v>0.3077777777777797</v>
      </c>
      <c r="BE43" s="29">
        <v>0.3</v>
      </c>
      <c r="BF43" s="15"/>
    </row>
    <row r="44" spans="2:58" x14ac:dyDescent="0.3">
      <c r="B44" s="12"/>
      <c r="C44" s="14"/>
      <c r="D44" s="14" t="s">
        <v>38</v>
      </c>
      <c r="E44" s="119">
        <v>0.25</v>
      </c>
      <c r="F44" s="118">
        <v>0.25</v>
      </c>
      <c r="G44" s="118">
        <v>0.25</v>
      </c>
      <c r="H44" s="119">
        <v>0.25</v>
      </c>
      <c r="I44" s="119">
        <f t="shared" si="27"/>
        <v>0.25</v>
      </c>
      <c r="J44" s="119">
        <f t="shared" si="27"/>
        <v>0.25</v>
      </c>
      <c r="K44" s="119">
        <f>K137</f>
        <v>0.29000000000000625</v>
      </c>
      <c r="L44" s="29">
        <v>0.33</v>
      </c>
      <c r="M44" s="30">
        <f t="shared" ref="M44:AB45" si="30">M137</f>
        <v>0.33457777777777942</v>
      </c>
      <c r="N44" s="30">
        <f t="shared" si="30"/>
        <v>0.33915555555555699</v>
      </c>
      <c r="O44" s="30">
        <f t="shared" si="30"/>
        <v>0.34373333333333456</v>
      </c>
      <c r="P44" s="30">
        <f t="shared" si="30"/>
        <v>0.34831111111111213</v>
      </c>
      <c r="Q44" s="30">
        <f t="shared" si="30"/>
        <v>0.3528888888888897</v>
      </c>
      <c r="R44" s="30">
        <f t="shared" si="30"/>
        <v>0.35746666666666727</v>
      </c>
      <c r="S44" s="30">
        <f t="shared" si="30"/>
        <v>0.36204444444444661</v>
      </c>
      <c r="T44" s="30">
        <f t="shared" si="30"/>
        <v>0.36662222222222418</v>
      </c>
      <c r="U44" s="30">
        <f t="shared" si="30"/>
        <v>0.37120000000000175</v>
      </c>
      <c r="V44" s="30">
        <f t="shared" si="30"/>
        <v>0.37577777777777932</v>
      </c>
      <c r="W44" s="30">
        <f t="shared" si="30"/>
        <v>0.38035555555555689</v>
      </c>
      <c r="X44" s="30">
        <f t="shared" si="30"/>
        <v>0.38493333333333446</v>
      </c>
      <c r="Y44" s="30">
        <f t="shared" si="30"/>
        <v>0.38951111111111203</v>
      </c>
      <c r="Z44" s="30">
        <f t="shared" si="30"/>
        <v>0.39408888888889138</v>
      </c>
      <c r="AA44" s="30">
        <f t="shared" si="30"/>
        <v>0.39866666666666895</v>
      </c>
      <c r="AB44" s="30">
        <f t="shared" si="30"/>
        <v>0.40324444444444651</v>
      </c>
      <c r="AC44" s="30">
        <f t="shared" si="28"/>
        <v>0.40782222222222408</v>
      </c>
      <c r="AD44" s="30">
        <f t="shared" si="28"/>
        <v>0.41240000000000165</v>
      </c>
      <c r="AE44" s="30">
        <f t="shared" si="28"/>
        <v>0.41697777777777922</v>
      </c>
      <c r="AF44" s="30">
        <f t="shared" si="28"/>
        <v>0.42155555555555857</v>
      </c>
      <c r="AG44" s="30">
        <f t="shared" si="28"/>
        <v>0.42613333333333614</v>
      </c>
      <c r="AH44" s="30">
        <f t="shared" si="28"/>
        <v>0.43071111111111371</v>
      </c>
      <c r="AI44" s="30">
        <f t="shared" si="28"/>
        <v>0.43528888888889128</v>
      </c>
      <c r="AJ44" s="30">
        <f t="shared" si="28"/>
        <v>0.43986666666666885</v>
      </c>
      <c r="AK44" s="29">
        <v>0.44444444444444609</v>
      </c>
      <c r="AL44" s="30">
        <f t="shared" ref="AL44:BA45" si="31">AL137</f>
        <v>0.44722222222222374</v>
      </c>
      <c r="AM44" s="30">
        <f t="shared" si="31"/>
        <v>0.45000000000000195</v>
      </c>
      <c r="AN44" s="30">
        <f t="shared" si="31"/>
        <v>0.45277777777777928</v>
      </c>
      <c r="AO44" s="30">
        <f t="shared" si="31"/>
        <v>0.45555555555555749</v>
      </c>
      <c r="AP44" s="30">
        <f t="shared" si="31"/>
        <v>0.45833333333333481</v>
      </c>
      <c r="AQ44" s="30">
        <f t="shared" si="31"/>
        <v>0.46111111111111214</v>
      </c>
      <c r="AR44" s="30">
        <f t="shared" si="31"/>
        <v>0.46388888888889035</v>
      </c>
      <c r="AS44" s="30">
        <f t="shared" si="31"/>
        <v>0.46666666666666767</v>
      </c>
      <c r="AT44" s="30">
        <f t="shared" si="31"/>
        <v>0.46944444444444589</v>
      </c>
      <c r="AU44" s="30">
        <f t="shared" si="31"/>
        <v>0.47222222222222321</v>
      </c>
      <c r="AV44" s="30">
        <f t="shared" si="31"/>
        <v>0.47500000000000053</v>
      </c>
      <c r="AW44" s="30">
        <f t="shared" si="31"/>
        <v>0.47777777777777874</v>
      </c>
      <c r="AX44" s="30">
        <f t="shared" si="31"/>
        <v>0.48055555555555607</v>
      </c>
      <c r="AY44" s="30">
        <f t="shared" si="31"/>
        <v>0.48333333333333428</v>
      </c>
      <c r="AZ44" s="30">
        <f t="shared" si="31"/>
        <v>0.4861111111111116</v>
      </c>
      <c r="BA44" s="30">
        <f t="shared" si="31"/>
        <v>0.48888888888888982</v>
      </c>
      <c r="BB44" s="30">
        <f t="shared" si="29"/>
        <v>0.49166666666666714</v>
      </c>
      <c r="BC44" s="30">
        <f t="shared" si="29"/>
        <v>0.49444444444444446</v>
      </c>
      <c r="BD44" s="30">
        <f t="shared" si="29"/>
        <v>0.49722222222222268</v>
      </c>
      <c r="BE44" s="29">
        <v>0.5</v>
      </c>
      <c r="BF44" s="15"/>
    </row>
    <row r="45" spans="2:58" x14ac:dyDescent="0.3">
      <c r="B45" s="12"/>
      <c r="C45" s="14" t="s">
        <v>77</v>
      </c>
      <c r="D45" s="14" t="s">
        <v>39</v>
      </c>
      <c r="E45" s="119">
        <v>0</v>
      </c>
      <c r="F45" s="119">
        <v>0</v>
      </c>
      <c r="G45" s="119">
        <v>0</v>
      </c>
      <c r="H45" s="119">
        <v>0</v>
      </c>
      <c r="I45" s="119">
        <f t="shared" si="27"/>
        <v>0</v>
      </c>
      <c r="J45" s="119">
        <f t="shared" si="27"/>
        <v>0</v>
      </c>
      <c r="K45" s="119">
        <f>K138</f>
        <v>1.0000000000001563E-2</v>
      </c>
      <c r="L45" s="29">
        <v>0.02</v>
      </c>
      <c r="M45" s="30">
        <f t="shared" si="30"/>
        <v>2.3199999999999221E-2</v>
      </c>
      <c r="N45" s="30">
        <f t="shared" si="28"/>
        <v>2.6399999999999757E-2</v>
      </c>
      <c r="O45" s="30">
        <f t="shared" si="28"/>
        <v>2.9599999999999405E-2</v>
      </c>
      <c r="P45" s="30">
        <f t="shared" si="28"/>
        <v>3.2799999999999052E-2</v>
      </c>
      <c r="Q45" s="30">
        <f t="shared" si="28"/>
        <v>3.5999999999999588E-2</v>
      </c>
      <c r="R45" s="30">
        <f t="shared" si="28"/>
        <v>3.9199999999999235E-2</v>
      </c>
      <c r="S45" s="30">
        <f t="shared" si="28"/>
        <v>4.2399999999999771E-2</v>
      </c>
      <c r="T45" s="30">
        <f t="shared" si="28"/>
        <v>4.5599999999999419E-2</v>
      </c>
      <c r="U45" s="30">
        <f t="shared" si="28"/>
        <v>4.8799999999999066E-2</v>
      </c>
      <c r="V45" s="30">
        <f t="shared" si="28"/>
        <v>5.1999999999999602E-2</v>
      </c>
      <c r="W45" s="30">
        <f t="shared" si="28"/>
        <v>5.519999999999925E-2</v>
      </c>
      <c r="X45" s="30">
        <f t="shared" si="28"/>
        <v>5.8399999999999785E-2</v>
      </c>
      <c r="Y45" s="30">
        <f t="shared" si="28"/>
        <v>6.1599999999999433E-2</v>
      </c>
      <c r="Z45" s="30">
        <f t="shared" si="28"/>
        <v>6.4799999999999081E-2</v>
      </c>
      <c r="AA45" s="30">
        <f t="shared" si="28"/>
        <v>6.7999999999999616E-2</v>
      </c>
      <c r="AB45" s="30">
        <f t="shared" si="28"/>
        <v>7.1199999999999264E-2</v>
      </c>
      <c r="AC45" s="30">
        <f t="shared" si="28"/>
        <v>7.43999999999998E-2</v>
      </c>
      <c r="AD45" s="30">
        <f t="shared" si="28"/>
        <v>7.7599999999999447E-2</v>
      </c>
      <c r="AE45" s="30">
        <f t="shared" si="28"/>
        <v>8.0799999999999095E-2</v>
      </c>
      <c r="AF45" s="30">
        <f t="shared" si="28"/>
        <v>8.3999999999999631E-2</v>
      </c>
      <c r="AG45" s="30">
        <f t="shared" si="28"/>
        <v>8.7199999999999278E-2</v>
      </c>
      <c r="AH45" s="30">
        <f t="shared" si="28"/>
        <v>9.0399999999999814E-2</v>
      </c>
      <c r="AI45" s="30">
        <f t="shared" si="28"/>
        <v>9.3599999999999461E-2</v>
      </c>
      <c r="AJ45" s="30">
        <f t="shared" si="28"/>
        <v>9.6799999999999109E-2</v>
      </c>
      <c r="AK45" s="29">
        <v>0.1</v>
      </c>
      <c r="AL45" s="30">
        <f t="shared" si="31"/>
        <v>0.10500000000000043</v>
      </c>
      <c r="AM45" s="30">
        <f t="shared" si="29"/>
        <v>0.10999999999999943</v>
      </c>
      <c r="AN45" s="30">
        <f t="shared" si="29"/>
        <v>0.11500000000000021</v>
      </c>
      <c r="AO45" s="30">
        <f t="shared" si="29"/>
        <v>0.11999999999999922</v>
      </c>
      <c r="AP45" s="30">
        <f t="shared" si="29"/>
        <v>0.125</v>
      </c>
      <c r="AQ45" s="30">
        <f t="shared" si="29"/>
        <v>0.12999999999999901</v>
      </c>
      <c r="AR45" s="30">
        <f t="shared" si="29"/>
        <v>0.13499999999999979</v>
      </c>
      <c r="AS45" s="30">
        <f t="shared" si="29"/>
        <v>0.14000000000000057</v>
      </c>
      <c r="AT45" s="30">
        <f t="shared" si="29"/>
        <v>0.14499999999999957</v>
      </c>
      <c r="AU45" s="30">
        <f t="shared" si="29"/>
        <v>0.15000000000000036</v>
      </c>
      <c r="AV45" s="30">
        <f t="shared" si="29"/>
        <v>0.15499999999999936</v>
      </c>
      <c r="AW45" s="30">
        <f t="shared" si="29"/>
        <v>0.16000000000000014</v>
      </c>
      <c r="AX45" s="30">
        <f t="shared" si="29"/>
        <v>0.16499999999999915</v>
      </c>
      <c r="AY45" s="30">
        <f t="shared" si="29"/>
        <v>0.16999999999999993</v>
      </c>
      <c r="AZ45" s="30">
        <f t="shared" si="29"/>
        <v>0.17500000000000071</v>
      </c>
      <c r="BA45" s="30">
        <f t="shared" si="29"/>
        <v>0.17999999999999972</v>
      </c>
      <c r="BB45" s="30">
        <f t="shared" si="29"/>
        <v>0.1850000000000005</v>
      </c>
      <c r="BC45" s="30">
        <f t="shared" si="29"/>
        <v>0.1899999999999995</v>
      </c>
      <c r="BD45" s="30">
        <f t="shared" si="29"/>
        <v>0.19500000000000028</v>
      </c>
      <c r="BE45" s="29">
        <v>0.2</v>
      </c>
      <c r="BF45" s="15"/>
    </row>
    <row r="46" spans="2:58" x14ac:dyDescent="0.3">
      <c r="B46" s="12"/>
      <c r="C46" s="14"/>
      <c r="D46" s="13" t="s">
        <v>40</v>
      </c>
      <c r="E46" s="119">
        <f>SUM(E43:E45)</f>
        <v>1</v>
      </c>
      <c r="F46" s="119">
        <f t="shared" ref="F46:BE46" si="32">SUM(F43:F45)</f>
        <v>1</v>
      </c>
      <c r="G46" s="119">
        <f t="shared" si="32"/>
        <v>1</v>
      </c>
      <c r="H46" s="119">
        <f t="shared" si="32"/>
        <v>1</v>
      </c>
      <c r="I46" s="119">
        <f t="shared" si="32"/>
        <v>1</v>
      </c>
      <c r="J46" s="119">
        <f t="shared" si="32"/>
        <v>1</v>
      </c>
      <c r="K46" s="119">
        <f t="shared" si="32"/>
        <v>1.0000000000000107</v>
      </c>
      <c r="L46" s="31">
        <f t="shared" si="32"/>
        <v>1</v>
      </c>
      <c r="M46" s="31">
        <f t="shared" si="32"/>
        <v>1.0000000000000018</v>
      </c>
      <c r="N46" s="31">
        <f t="shared" si="32"/>
        <v>1.0000000000000009</v>
      </c>
      <c r="O46" s="31">
        <f t="shared" si="32"/>
        <v>1.0000000000000009</v>
      </c>
      <c r="P46" s="31">
        <f t="shared" si="32"/>
        <v>1.0000000000000009</v>
      </c>
      <c r="Q46" s="31">
        <f t="shared" si="32"/>
        <v>1</v>
      </c>
      <c r="R46" s="31">
        <f t="shared" si="32"/>
        <v>1</v>
      </c>
      <c r="S46" s="31">
        <f t="shared" si="32"/>
        <v>1.0000000000000027</v>
      </c>
      <c r="T46" s="31">
        <f t="shared" si="32"/>
        <v>1.0000000000000009</v>
      </c>
      <c r="U46" s="31">
        <f t="shared" si="32"/>
        <v>1.0000000000000009</v>
      </c>
      <c r="V46" s="31">
        <f t="shared" si="32"/>
        <v>1.0000000000000018</v>
      </c>
      <c r="W46" s="31">
        <f t="shared" si="32"/>
        <v>1</v>
      </c>
      <c r="X46" s="31">
        <f t="shared" si="32"/>
        <v>1.0000000000000009</v>
      </c>
      <c r="Y46" s="31">
        <f t="shared" si="32"/>
        <v>1.0000000000000009</v>
      </c>
      <c r="Z46" s="31">
        <f t="shared" si="32"/>
        <v>1.0000000000000009</v>
      </c>
      <c r="AA46" s="31">
        <f t="shared" si="32"/>
        <v>1.0000000000000018</v>
      </c>
      <c r="AB46" s="31">
        <f t="shared" si="32"/>
        <v>1</v>
      </c>
      <c r="AC46" s="31">
        <f t="shared" si="32"/>
        <v>1.0000000000000009</v>
      </c>
      <c r="AD46" s="31">
        <f t="shared" si="32"/>
        <v>1.0000000000000009</v>
      </c>
      <c r="AE46" s="31">
        <f t="shared" si="32"/>
        <v>0.99999999999999911</v>
      </c>
      <c r="AF46" s="31">
        <f t="shared" si="32"/>
        <v>1.0000000000000018</v>
      </c>
      <c r="AG46" s="31">
        <f t="shared" si="32"/>
        <v>1.0000000000000018</v>
      </c>
      <c r="AH46" s="31">
        <f t="shared" si="32"/>
        <v>1.0000000000000009</v>
      </c>
      <c r="AI46" s="31">
        <f t="shared" si="32"/>
        <v>1.0000000000000009</v>
      </c>
      <c r="AJ46" s="31">
        <f t="shared" si="32"/>
        <v>1.0000000000000009</v>
      </c>
      <c r="AK46" s="31">
        <f t="shared" si="32"/>
        <v>1</v>
      </c>
      <c r="AL46" s="31">
        <f t="shared" si="32"/>
        <v>1.0000000000000009</v>
      </c>
      <c r="AM46" s="31">
        <f t="shared" si="32"/>
        <v>1.0000000000000009</v>
      </c>
      <c r="AN46" s="31">
        <f t="shared" si="32"/>
        <v>1.0000000000000018</v>
      </c>
      <c r="AO46" s="31">
        <f t="shared" si="32"/>
        <v>1</v>
      </c>
      <c r="AP46" s="31">
        <f t="shared" si="32"/>
        <v>1.0000000000000009</v>
      </c>
      <c r="AQ46" s="31">
        <f t="shared" si="32"/>
        <v>1</v>
      </c>
      <c r="AR46" s="31">
        <f t="shared" si="32"/>
        <v>1.0000000000000018</v>
      </c>
      <c r="AS46" s="31">
        <f t="shared" si="32"/>
        <v>1.0000000000000027</v>
      </c>
      <c r="AT46" s="31">
        <f t="shared" si="32"/>
        <v>1.0000000000000009</v>
      </c>
      <c r="AU46" s="31">
        <f t="shared" si="32"/>
        <v>1</v>
      </c>
      <c r="AV46" s="31">
        <f t="shared" si="32"/>
        <v>1.0000000000000009</v>
      </c>
      <c r="AW46" s="31">
        <f t="shared" si="32"/>
        <v>1.0000000000000009</v>
      </c>
      <c r="AX46" s="31">
        <f t="shared" si="32"/>
        <v>0.99999999999999822</v>
      </c>
      <c r="AY46" s="31">
        <f t="shared" si="32"/>
        <v>1.0000000000000018</v>
      </c>
      <c r="AZ46" s="31">
        <f t="shared" si="32"/>
        <v>1.0000000000000009</v>
      </c>
      <c r="BA46" s="31">
        <f t="shared" si="32"/>
        <v>1.0000000000000027</v>
      </c>
      <c r="BB46" s="31">
        <f t="shared" si="32"/>
        <v>1.0000000000000018</v>
      </c>
      <c r="BC46" s="31">
        <f t="shared" si="32"/>
        <v>0.99999999999999911</v>
      </c>
      <c r="BD46" s="31">
        <f t="shared" si="32"/>
        <v>1.0000000000000027</v>
      </c>
      <c r="BE46" s="31">
        <f t="shared" si="32"/>
        <v>1</v>
      </c>
      <c r="BF46" s="15"/>
    </row>
    <row r="47" spans="2:58" x14ac:dyDescent="0.3">
      <c r="B47" s="12"/>
      <c r="C47" s="14"/>
      <c r="D47" s="13"/>
      <c r="E47" s="119"/>
      <c r="F47" s="119"/>
      <c r="G47" s="119"/>
      <c r="H47" s="119"/>
      <c r="I47" s="124"/>
      <c r="J47" s="124"/>
      <c r="K47" s="124"/>
      <c r="L47" s="28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28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28"/>
      <c r="BF47" s="15"/>
    </row>
    <row r="48" spans="2:58" x14ac:dyDescent="0.3">
      <c r="B48" s="12"/>
      <c r="C48" s="14"/>
      <c r="D48" s="13" t="s">
        <v>41</v>
      </c>
      <c r="E48" s="119"/>
      <c r="F48" s="119"/>
      <c r="G48" s="119"/>
      <c r="H48" s="119"/>
      <c r="I48" s="124"/>
      <c r="J48" s="124"/>
      <c r="K48" s="124"/>
      <c r="L48" s="28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28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28"/>
      <c r="BF48" s="15"/>
    </row>
    <row r="49" spans="2:68" x14ac:dyDescent="0.3">
      <c r="B49" s="12"/>
      <c r="C49" s="14"/>
      <c r="D49" s="14" t="s">
        <v>115</v>
      </c>
      <c r="E49" s="122">
        <v>0.25</v>
      </c>
      <c r="F49" s="118">
        <v>0.25</v>
      </c>
      <c r="G49" s="118">
        <v>0.25</v>
      </c>
      <c r="H49" s="119">
        <v>0.25</v>
      </c>
      <c r="I49" s="118">
        <f>H49</f>
        <v>0.25</v>
      </c>
      <c r="J49" s="118">
        <f>I49</f>
        <v>0.25</v>
      </c>
      <c r="K49" s="118">
        <f t="shared" ref="K49:BE49" si="33">J49</f>
        <v>0.25</v>
      </c>
      <c r="L49" s="29">
        <f t="shared" si="33"/>
        <v>0.25</v>
      </c>
      <c r="M49" s="29">
        <f t="shared" si="33"/>
        <v>0.25</v>
      </c>
      <c r="N49" s="29">
        <f t="shared" si="33"/>
        <v>0.25</v>
      </c>
      <c r="O49" s="29">
        <f t="shared" si="33"/>
        <v>0.25</v>
      </c>
      <c r="P49" s="29">
        <f t="shared" si="33"/>
        <v>0.25</v>
      </c>
      <c r="Q49" s="29">
        <f t="shared" si="33"/>
        <v>0.25</v>
      </c>
      <c r="R49" s="29">
        <f t="shared" si="33"/>
        <v>0.25</v>
      </c>
      <c r="S49" s="29">
        <f t="shared" si="33"/>
        <v>0.25</v>
      </c>
      <c r="T49" s="29">
        <f t="shared" si="33"/>
        <v>0.25</v>
      </c>
      <c r="U49" s="29">
        <f t="shared" si="33"/>
        <v>0.25</v>
      </c>
      <c r="V49" s="29">
        <f t="shared" si="33"/>
        <v>0.25</v>
      </c>
      <c r="W49" s="29">
        <f t="shared" si="33"/>
        <v>0.25</v>
      </c>
      <c r="X49" s="29">
        <f t="shared" si="33"/>
        <v>0.25</v>
      </c>
      <c r="Y49" s="29">
        <f t="shared" si="33"/>
        <v>0.25</v>
      </c>
      <c r="Z49" s="29">
        <f t="shared" si="33"/>
        <v>0.25</v>
      </c>
      <c r="AA49" s="29">
        <f t="shared" si="33"/>
        <v>0.25</v>
      </c>
      <c r="AB49" s="29">
        <f t="shared" si="33"/>
        <v>0.25</v>
      </c>
      <c r="AC49" s="29">
        <f t="shared" si="33"/>
        <v>0.25</v>
      </c>
      <c r="AD49" s="29">
        <f t="shared" si="33"/>
        <v>0.25</v>
      </c>
      <c r="AE49" s="29">
        <f t="shared" si="33"/>
        <v>0.25</v>
      </c>
      <c r="AF49" s="29">
        <f t="shared" si="33"/>
        <v>0.25</v>
      </c>
      <c r="AG49" s="29">
        <f t="shared" si="33"/>
        <v>0.25</v>
      </c>
      <c r="AH49" s="29">
        <f t="shared" si="33"/>
        <v>0.25</v>
      </c>
      <c r="AI49" s="29">
        <f t="shared" si="33"/>
        <v>0.25</v>
      </c>
      <c r="AJ49" s="29">
        <f t="shared" si="33"/>
        <v>0.25</v>
      </c>
      <c r="AK49" s="29">
        <f t="shared" si="33"/>
        <v>0.25</v>
      </c>
      <c r="AL49" s="29">
        <f t="shared" si="33"/>
        <v>0.25</v>
      </c>
      <c r="AM49" s="29">
        <f t="shared" si="33"/>
        <v>0.25</v>
      </c>
      <c r="AN49" s="29">
        <f t="shared" si="33"/>
        <v>0.25</v>
      </c>
      <c r="AO49" s="29">
        <f t="shared" si="33"/>
        <v>0.25</v>
      </c>
      <c r="AP49" s="29">
        <f t="shared" si="33"/>
        <v>0.25</v>
      </c>
      <c r="AQ49" s="29">
        <f t="shared" si="33"/>
        <v>0.25</v>
      </c>
      <c r="AR49" s="29">
        <f t="shared" si="33"/>
        <v>0.25</v>
      </c>
      <c r="AS49" s="29">
        <f t="shared" si="33"/>
        <v>0.25</v>
      </c>
      <c r="AT49" s="29">
        <f t="shared" si="33"/>
        <v>0.25</v>
      </c>
      <c r="AU49" s="29">
        <f t="shared" si="33"/>
        <v>0.25</v>
      </c>
      <c r="AV49" s="29">
        <f t="shared" si="33"/>
        <v>0.25</v>
      </c>
      <c r="AW49" s="29">
        <f t="shared" si="33"/>
        <v>0.25</v>
      </c>
      <c r="AX49" s="29">
        <f t="shared" si="33"/>
        <v>0.25</v>
      </c>
      <c r="AY49" s="29">
        <f t="shared" si="33"/>
        <v>0.25</v>
      </c>
      <c r="AZ49" s="29">
        <f t="shared" si="33"/>
        <v>0.25</v>
      </c>
      <c r="BA49" s="29">
        <f t="shared" si="33"/>
        <v>0.25</v>
      </c>
      <c r="BB49" s="29">
        <f t="shared" si="33"/>
        <v>0.25</v>
      </c>
      <c r="BC49" s="29">
        <f t="shared" si="33"/>
        <v>0.25</v>
      </c>
      <c r="BD49" s="29">
        <f t="shared" si="33"/>
        <v>0.25</v>
      </c>
      <c r="BE49" s="29">
        <f t="shared" si="33"/>
        <v>0.25</v>
      </c>
      <c r="BF49" s="15"/>
    </row>
    <row r="50" spans="2:68" x14ac:dyDescent="0.3">
      <c r="B50" s="12"/>
      <c r="C50" s="14"/>
      <c r="D50" s="14" t="s">
        <v>116</v>
      </c>
      <c r="E50" s="119">
        <v>0.75</v>
      </c>
      <c r="F50" s="119">
        <v>0.75</v>
      </c>
      <c r="G50" s="119">
        <v>0.75</v>
      </c>
      <c r="H50" s="119">
        <v>0.75</v>
      </c>
      <c r="I50" s="118">
        <f>H50</f>
        <v>0.75</v>
      </c>
      <c r="J50" s="118">
        <f>I50</f>
        <v>0.75</v>
      </c>
      <c r="K50" s="118">
        <f t="shared" ref="K50:BE50" si="34">J50</f>
        <v>0.75</v>
      </c>
      <c r="L50" s="29">
        <f t="shared" si="34"/>
        <v>0.75</v>
      </c>
      <c r="M50" s="29">
        <f t="shared" si="34"/>
        <v>0.75</v>
      </c>
      <c r="N50" s="29">
        <f t="shared" si="34"/>
        <v>0.75</v>
      </c>
      <c r="O50" s="29">
        <f t="shared" si="34"/>
        <v>0.75</v>
      </c>
      <c r="P50" s="29">
        <f t="shared" si="34"/>
        <v>0.75</v>
      </c>
      <c r="Q50" s="29">
        <f t="shared" si="34"/>
        <v>0.75</v>
      </c>
      <c r="R50" s="29">
        <f t="shared" si="34"/>
        <v>0.75</v>
      </c>
      <c r="S50" s="29">
        <f t="shared" si="34"/>
        <v>0.75</v>
      </c>
      <c r="T50" s="29">
        <f t="shared" si="34"/>
        <v>0.75</v>
      </c>
      <c r="U50" s="29">
        <f t="shared" si="34"/>
        <v>0.75</v>
      </c>
      <c r="V50" s="29">
        <f t="shared" si="34"/>
        <v>0.75</v>
      </c>
      <c r="W50" s="29">
        <f t="shared" si="34"/>
        <v>0.75</v>
      </c>
      <c r="X50" s="29">
        <f t="shared" si="34"/>
        <v>0.75</v>
      </c>
      <c r="Y50" s="29">
        <f t="shared" si="34"/>
        <v>0.75</v>
      </c>
      <c r="Z50" s="29">
        <f t="shared" si="34"/>
        <v>0.75</v>
      </c>
      <c r="AA50" s="29">
        <f t="shared" si="34"/>
        <v>0.75</v>
      </c>
      <c r="AB50" s="29">
        <f t="shared" si="34"/>
        <v>0.75</v>
      </c>
      <c r="AC50" s="29">
        <f t="shared" si="34"/>
        <v>0.75</v>
      </c>
      <c r="AD50" s="29">
        <f t="shared" si="34"/>
        <v>0.75</v>
      </c>
      <c r="AE50" s="29">
        <f t="shared" si="34"/>
        <v>0.75</v>
      </c>
      <c r="AF50" s="29">
        <f t="shared" si="34"/>
        <v>0.75</v>
      </c>
      <c r="AG50" s="29">
        <f t="shared" si="34"/>
        <v>0.75</v>
      </c>
      <c r="AH50" s="29">
        <f t="shared" si="34"/>
        <v>0.75</v>
      </c>
      <c r="AI50" s="29">
        <f t="shared" si="34"/>
        <v>0.75</v>
      </c>
      <c r="AJ50" s="29">
        <f t="shared" si="34"/>
        <v>0.75</v>
      </c>
      <c r="AK50" s="29">
        <f t="shared" si="34"/>
        <v>0.75</v>
      </c>
      <c r="AL50" s="29">
        <f t="shared" si="34"/>
        <v>0.75</v>
      </c>
      <c r="AM50" s="29">
        <f t="shared" si="34"/>
        <v>0.75</v>
      </c>
      <c r="AN50" s="29">
        <f t="shared" si="34"/>
        <v>0.75</v>
      </c>
      <c r="AO50" s="29">
        <f t="shared" si="34"/>
        <v>0.75</v>
      </c>
      <c r="AP50" s="29">
        <f t="shared" si="34"/>
        <v>0.75</v>
      </c>
      <c r="AQ50" s="29">
        <f t="shared" si="34"/>
        <v>0.75</v>
      </c>
      <c r="AR50" s="29">
        <f t="shared" si="34"/>
        <v>0.75</v>
      </c>
      <c r="AS50" s="29">
        <f t="shared" si="34"/>
        <v>0.75</v>
      </c>
      <c r="AT50" s="29">
        <f t="shared" si="34"/>
        <v>0.75</v>
      </c>
      <c r="AU50" s="29">
        <f t="shared" si="34"/>
        <v>0.75</v>
      </c>
      <c r="AV50" s="29">
        <f t="shared" si="34"/>
        <v>0.75</v>
      </c>
      <c r="AW50" s="29">
        <f t="shared" si="34"/>
        <v>0.75</v>
      </c>
      <c r="AX50" s="29">
        <f t="shared" si="34"/>
        <v>0.75</v>
      </c>
      <c r="AY50" s="29">
        <f t="shared" si="34"/>
        <v>0.75</v>
      </c>
      <c r="AZ50" s="29">
        <f t="shared" si="34"/>
        <v>0.75</v>
      </c>
      <c r="BA50" s="29">
        <f t="shared" si="34"/>
        <v>0.75</v>
      </c>
      <c r="BB50" s="29">
        <f t="shared" si="34"/>
        <v>0.75</v>
      </c>
      <c r="BC50" s="29">
        <f t="shared" si="34"/>
        <v>0.75</v>
      </c>
      <c r="BD50" s="29">
        <f t="shared" si="34"/>
        <v>0.75</v>
      </c>
      <c r="BE50" s="29">
        <f t="shared" si="34"/>
        <v>0.75</v>
      </c>
      <c r="BF50" s="15"/>
    </row>
    <row r="51" spans="2:68" x14ac:dyDescent="0.3">
      <c r="B51" s="12"/>
      <c r="C51" s="14"/>
      <c r="D51" s="13"/>
      <c r="E51" s="119">
        <f>SUM(E49:E50)</f>
        <v>1</v>
      </c>
      <c r="F51" s="119">
        <f t="shared" ref="F51:BE51" si="35">SUM(F49:F50)</f>
        <v>1</v>
      </c>
      <c r="G51" s="119">
        <f t="shared" si="35"/>
        <v>1</v>
      </c>
      <c r="H51" s="119">
        <f t="shared" si="35"/>
        <v>1</v>
      </c>
      <c r="I51" s="119">
        <f t="shared" si="35"/>
        <v>1</v>
      </c>
      <c r="J51" s="119">
        <f t="shared" si="35"/>
        <v>1</v>
      </c>
      <c r="K51" s="119">
        <f t="shared" si="35"/>
        <v>1</v>
      </c>
      <c r="L51" s="31">
        <f t="shared" si="35"/>
        <v>1</v>
      </c>
      <c r="M51" s="31">
        <f t="shared" si="35"/>
        <v>1</v>
      </c>
      <c r="N51" s="31">
        <f t="shared" si="35"/>
        <v>1</v>
      </c>
      <c r="O51" s="31">
        <f t="shared" si="35"/>
        <v>1</v>
      </c>
      <c r="P51" s="31">
        <f t="shared" si="35"/>
        <v>1</v>
      </c>
      <c r="Q51" s="31">
        <f t="shared" si="35"/>
        <v>1</v>
      </c>
      <c r="R51" s="31">
        <f t="shared" si="35"/>
        <v>1</v>
      </c>
      <c r="S51" s="31">
        <f t="shared" si="35"/>
        <v>1</v>
      </c>
      <c r="T51" s="31">
        <f t="shared" si="35"/>
        <v>1</v>
      </c>
      <c r="U51" s="31">
        <f t="shared" si="35"/>
        <v>1</v>
      </c>
      <c r="V51" s="31">
        <f t="shared" si="35"/>
        <v>1</v>
      </c>
      <c r="W51" s="31">
        <f t="shared" si="35"/>
        <v>1</v>
      </c>
      <c r="X51" s="31">
        <f t="shared" si="35"/>
        <v>1</v>
      </c>
      <c r="Y51" s="31">
        <f t="shared" si="35"/>
        <v>1</v>
      </c>
      <c r="Z51" s="31">
        <f t="shared" si="35"/>
        <v>1</v>
      </c>
      <c r="AA51" s="31">
        <f t="shared" si="35"/>
        <v>1</v>
      </c>
      <c r="AB51" s="31">
        <f t="shared" si="35"/>
        <v>1</v>
      </c>
      <c r="AC51" s="31">
        <f t="shared" si="35"/>
        <v>1</v>
      </c>
      <c r="AD51" s="31">
        <f t="shared" si="35"/>
        <v>1</v>
      </c>
      <c r="AE51" s="31">
        <f t="shared" si="35"/>
        <v>1</v>
      </c>
      <c r="AF51" s="31">
        <f t="shared" si="35"/>
        <v>1</v>
      </c>
      <c r="AG51" s="31">
        <f t="shared" si="35"/>
        <v>1</v>
      </c>
      <c r="AH51" s="31">
        <f t="shared" si="35"/>
        <v>1</v>
      </c>
      <c r="AI51" s="31">
        <f t="shared" si="35"/>
        <v>1</v>
      </c>
      <c r="AJ51" s="31">
        <f t="shared" si="35"/>
        <v>1</v>
      </c>
      <c r="AK51" s="31">
        <f t="shared" si="35"/>
        <v>1</v>
      </c>
      <c r="AL51" s="31">
        <f t="shared" si="35"/>
        <v>1</v>
      </c>
      <c r="AM51" s="31">
        <f t="shared" si="35"/>
        <v>1</v>
      </c>
      <c r="AN51" s="31">
        <f t="shared" si="35"/>
        <v>1</v>
      </c>
      <c r="AO51" s="31">
        <f t="shared" si="35"/>
        <v>1</v>
      </c>
      <c r="AP51" s="31">
        <f t="shared" si="35"/>
        <v>1</v>
      </c>
      <c r="AQ51" s="31">
        <f t="shared" si="35"/>
        <v>1</v>
      </c>
      <c r="AR51" s="31">
        <f t="shared" si="35"/>
        <v>1</v>
      </c>
      <c r="AS51" s="31">
        <f t="shared" si="35"/>
        <v>1</v>
      </c>
      <c r="AT51" s="31">
        <f t="shared" si="35"/>
        <v>1</v>
      </c>
      <c r="AU51" s="31">
        <f t="shared" si="35"/>
        <v>1</v>
      </c>
      <c r="AV51" s="31">
        <f t="shared" si="35"/>
        <v>1</v>
      </c>
      <c r="AW51" s="31">
        <f t="shared" si="35"/>
        <v>1</v>
      </c>
      <c r="AX51" s="31">
        <f t="shared" si="35"/>
        <v>1</v>
      </c>
      <c r="AY51" s="31">
        <f t="shared" si="35"/>
        <v>1</v>
      </c>
      <c r="AZ51" s="31">
        <f t="shared" si="35"/>
        <v>1</v>
      </c>
      <c r="BA51" s="31">
        <f t="shared" si="35"/>
        <v>1</v>
      </c>
      <c r="BB51" s="31">
        <f t="shared" si="35"/>
        <v>1</v>
      </c>
      <c r="BC51" s="31">
        <f t="shared" si="35"/>
        <v>1</v>
      </c>
      <c r="BD51" s="31">
        <f t="shared" si="35"/>
        <v>1</v>
      </c>
      <c r="BE51" s="31">
        <f t="shared" si="35"/>
        <v>1</v>
      </c>
      <c r="BF51" s="15"/>
    </row>
    <row r="52" spans="2:68" x14ac:dyDescent="0.3">
      <c r="B52" s="12"/>
      <c r="C52" s="14"/>
      <c r="D52" s="13" t="s">
        <v>41</v>
      </c>
      <c r="E52" s="119"/>
      <c r="F52" s="119"/>
      <c r="G52" s="119"/>
      <c r="H52" s="119"/>
      <c r="I52" s="119"/>
      <c r="J52" s="119"/>
      <c r="K52" s="119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15"/>
    </row>
    <row r="53" spans="2:68" x14ac:dyDescent="0.3">
      <c r="B53" s="12"/>
      <c r="C53" s="14" t="s">
        <v>75</v>
      </c>
      <c r="D53" s="14" t="s">
        <v>72</v>
      </c>
      <c r="E53" s="119">
        <f>E44*E49</f>
        <v>6.25E-2</v>
      </c>
      <c r="F53" s="119">
        <f t="shared" ref="F53:BE53" si="36">F44*F49</f>
        <v>6.25E-2</v>
      </c>
      <c r="G53" s="119">
        <f t="shared" si="36"/>
        <v>6.25E-2</v>
      </c>
      <c r="H53" s="119">
        <f t="shared" si="36"/>
        <v>6.25E-2</v>
      </c>
      <c r="I53" s="119">
        <f t="shared" si="36"/>
        <v>6.25E-2</v>
      </c>
      <c r="J53" s="119">
        <f t="shared" si="36"/>
        <v>6.25E-2</v>
      </c>
      <c r="K53" s="119">
        <f t="shared" si="36"/>
        <v>7.2500000000001563E-2</v>
      </c>
      <c r="L53" s="30">
        <f t="shared" si="36"/>
        <v>8.2500000000000004E-2</v>
      </c>
      <c r="M53" s="30">
        <f t="shared" si="36"/>
        <v>8.3644444444444854E-2</v>
      </c>
      <c r="N53" s="30">
        <f t="shared" si="36"/>
        <v>8.4788888888889247E-2</v>
      </c>
      <c r="O53" s="30">
        <f t="shared" si="36"/>
        <v>8.5933333333333639E-2</v>
      </c>
      <c r="P53" s="30">
        <f t="shared" si="36"/>
        <v>8.7077777777778032E-2</v>
      </c>
      <c r="Q53" s="30">
        <f t="shared" si="36"/>
        <v>8.8222222222222424E-2</v>
      </c>
      <c r="R53" s="30">
        <f t="shared" si="36"/>
        <v>8.9366666666666816E-2</v>
      </c>
      <c r="S53" s="30">
        <f t="shared" si="36"/>
        <v>9.0511111111111653E-2</v>
      </c>
      <c r="T53" s="30">
        <f t="shared" si="36"/>
        <v>9.1655555555556045E-2</v>
      </c>
      <c r="U53" s="30">
        <f t="shared" si="36"/>
        <v>9.2800000000000438E-2</v>
      </c>
      <c r="V53" s="30">
        <f t="shared" si="36"/>
        <v>9.394444444444483E-2</v>
      </c>
      <c r="W53" s="30">
        <f t="shared" si="36"/>
        <v>9.5088888888889223E-2</v>
      </c>
      <c r="X53" s="30">
        <f t="shared" si="36"/>
        <v>9.6233333333333615E-2</v>
      </c>
      <c r="Y53" s="30">
        <f t="shared" si="36"/>
        <v>9.7377777777778007E-2</v>
      </c>
      <c r="Z53" s="30">
        <f t="shared" si="36"/>
        <v>9.8522222222222844E-2</v>
      </c>
      <c r="AA53" s="30">
        <f t="shared" si="36"/>
        <v>9.9666666666667236E-2</v>
      </c>
      <c r="AB53" s="30">
        <f t="shared" si="36"/>
        <v>0.10081111111111163</v>
      </c>
      <c r="AC53" s="30">
        <f t="shared" si="36"/>
        <v>0.10195555555555602</v>
      </c>
      <c r="AD53" s="30">
        <f t="shared" si="36"/>
        <v>0.10310000000000041</v>
      </c>
      <c r="AE53" s="30">
        <f t="shared" si="36"/>
        <v>0.10424444444444481</v>
      </c>
      <c r="AF53" s="30">
        <f t="shared" si="36"/>
        <v>0.10538888888888964</v>
      </c>
      <c r="AG53" s="30">
        <f t="shared" si="36"/>
        <v>0.10653333333333403</v>
      </c>
      <c r="AH53" s="30">
        <f t="shared" si="36"/>
        <v>0.10767777777777843</v>
      </c>
      <c r="AI53" s="30">
        <f t="shared" si="36"/>
        <v>0.10882222222222282</v>
      </c>
      <c r="AJ53" s="30">
        <f t="shared" si="36"/>
        <v>0.10996666666666721</v>
      </c>
      <c r="AK53" s="30">
        <f t="shared" si="36"/>
        <v>0.11111111111111152</v>
      </c>
      <c r="AL53" s="30">
        <f t="shared" si="36"/>
        <v>0.11180555555555594</v>
      </c>
      <c r="AM53" s="30">
        <f t="shared" si="36"/>
        <v>0.11250000000000049</v>
      </c>
      <c r="AN53" s="30">
        <f t="shared" si="36"/>
        <v>0.11319444444444482</v>
      </c>
      <c r="AO53" s="30">
        <f t="shared" si="36"/>
        <v>0.11388888888888937</v>
      </c>
      <c r="AP53" s="30">
        <f t="shared" si="36"/>
        <v>0.1145833333333337</v>
      </c>
      <c r="AQ53" s="30">
        <f t="shared" si="36"/>
        <v>0.11527777777777803</v>
      </c>
      <c r="AR53" s="30">
        <f t="shared" si="36"/>
        <v>0.11597222222222259</v>
      </c>
      <c r="AS53" s="30">
        <f t="shared" si="36"/>
        <v>0.11666666666666692</v>
      </c>
      <c r="AT53" s="30">
        <f t="shared" si="36"/>
        <v>0.11736111111111147</v>
      </c>
      <c r="AU53" s="30">
        <f t="shared" si="36"/>
        <v>0.1180555555555558</v>
      </c>
      <c r="AV53" s="30">
        <f t="shared" si="36"/>
        <v>0.11875000000000013</v>
      </c>
      <c r="AW53" s="30">
        <f t="shared" si="36"/>
        <v>0.11944444444444469</v>
      </c>
      <c r="AX53" s="30">
        <f t="shared" si="36"/>
        <v>0.12013888888888902</v>
      </c>
      <c r="AY53" s="30">
        <f t="shared" si="36"/>
        <v>0.12083333333333357</v>
      </c>
      <c r="AZ53" s="30">
        <f t="shared" si="36"/>
        <v>0.1215277777777779</v>
      </c>
      <c r="BA53" s="30">
        <f t="shared" si="36"/>
        <v>0.12222222222222245</v>
      </c>
      <c r="BB53" s="30">
        <f t="shared" si="36"/>
        <v>0.12291666666666679</v>
      </c>
      <c r="BC53" s="30">
        <f t="shared" si="36"/>
        <v>0.12361111111111112</v>
      </c>
      <c r="BD53" s="30">
        <f t="shared" si="36"/>
        <v>0.12430555555555567</v>
      </c>
      <c r="BE53" s="30">
        <f t="shared" si="36"/>
        <v>0.125</v>
      </c>
      <c r="BF53" s="15"/>
    </row>
    <row r="54" spans="2:68" x14ac:dyDescent="0.3">
      <c r="B54" s="12"/>
      <c r="C54" s="14"/>
      <c r="D54" s="14" t="s">
        <v>73</v>
      </c>
      <c r="E54" s="119">
        <f>E44*E50</f>
        <v>0.1875</v>
      </c>
      <c r="F54" s="119">
        <f t="shared" ref="F54:BE54" si="37">F44*F50</f>
        <v>0.1875</v>
      </c>
      <c r="G54" s="119">
        <f t="shared" si="37"/>
        <v>0.1875</v>
      </c>
      <c r="H54" s="119">
        <f t="shared" si="37"/>
        <v>0.1875</v>
      </c>
      <c r="I54" s="119">
        <f t="shared" si="37"/>
        <v>0.1875</v>
      </c>
      <c r="J54" s="119">
        <f t="shared" si="37"/>
        <v>0.1875</v>
      </c>
      <c r="K54" s="119">
        <f t="shared" si="37"/>
        <v>0.21750000000000469</v>
      </c>
      <c r="L54" s="30">
        <f t="shared" si="37"/>
        <v>0.2475</v>
      </c>
      <c r="M54" s="30">
        <f t="shared" si="37"/>
        <v>0.25093333333333456</v>
      </c>
      <c r="N54" s="30">
        <f t="shared" si="37"/>
        <v>0.25436666666666774</v>
      </c>
      <c r="O54" s="30">
        <f t="shared" si="37"/>
        <v>0.25780000000000092</v>
      </c>
      <c r="P54" s="30">
        <f t="shared" si="37"/>
        <v>0.26123333333333409</v>
      </c>
      <c r="Q54" s="30">
        <f t="shared" si="37"/>
        <v>0.26466666666666727</v>
      </c>
      <c r="R54" s="30">
        <f t="shared" si="37"/>
        <v>0.26810000000000045</v>
      </c>
      <c r="S54" s="30">
        <f t="shared" si="37"/>
        <v>0.27153333333333496</v>
      </c>
      <c r="T54" s="30">
        <f t="shared" si="37"/>
        <v>0.27496666666666814</v>
      </c>
      <c r="U54" s="30">
        <f t="shared" si="37"/>
        <v>0.27840000000000131</v>
      </c>
      <c r="V54" s="30">
        <f t="shared" si="37"/>
        <v>0.28183333333333449</v>
      </c>
      <c r="W54" s="30">
        <f t="shared" si="37"/>
        <v>0.28526666666666767</v>
      </c>
      <c r="X54" s="30">
        <f t="shared" si="37"/>
        <v>0.28870000000000084</v>
      </c>
      <c r="Y54" s="30">
        <f t="shared" si="37"/>
        <v>0.29213333333333402</v>
      </c>
      <c r="Z54" s="30">
        <f t="shared" si="37"/>
        <v>0.29556666666666853</v>
      </c>
      <c r="AA54" s="30">
        <f t="shared" si="37"/>
        <v>0.29900000000000171</v>
      </c>
      <c r="AB54" s="30">
        <f t="shared" si="37"/>
        <v>0.30243333333333489</v>
      </c>
      <c r="AC54" s="30">
        <f t="shared" si="37"/>
        <v>0.30586666666666806</v>
      </c>
      <c r="AD54" s="30">
        <f t="shared" si="37"/>
        <v>0.30930000000000124</v>
      </c>
      <c r="AE54" s="30">
        <f t="shared" si="37"/>
        <v>0.31273333333333442</v>
      </c>
      <c r="AF54" s="30">
        <f t="shared" si="37"/>
        <v>0.31616666666666893</v>
      </c>
      <c r="AG54" s="30">
        <f t="shared" si="37"/>
        <v>0.3196000000000021</v>
      </c>
      <c r="AH54" s="30">
        <f t="shared" si="37"/>
        <v>0.32303333333333528</v>
      </c>
      <c r="AI54" s="30">
        <f t="shared" si="37"/>
        <v>0.32646666666666846</v>
      </c>
      <c r="AJ54" s="30">
        <f t="shared" si="37"/>
        <v>0.32990000000000164</v>
      </c>
      <c r="AK54" s="30">
        <f t="shared" si="37"/>
        <v>0.33333333333333459</v>
      </c>
      <c r="AL54" s="30">
        <f t="shared" si="37"/>
        <v>0.33541666666666781</v>
      </c>
      <c r="AM54" s="30">
        <f t="shared" si="37"/>
        <v>0.33750000000000147</v>
      </c>
      <c r="AN54" s="30">
        <f t="shared" si="37"/>
        <v>0.33958333333333446</v>
      </c>
      <c r="AO54" s="30">
        <f t="shared" si="37"/>
        <v>0.34166666666666812</v>
      </c>
      <c r="AP54" s="30">
        <f t="shared" si="37"/>
        <v>0.34375000000000111</v>
      </c>
      <c r="AQ54" s="30">
        <f t="shared" si="37"/>
        <v>0.3458333333333341</v>
      </c>
      <c r="AR54" s="30">
        <f t="shared" si="37"/>
        <v>0.34791666666666776</v>
      </c>
      <c r="AS54" s="30">
        <f t="shared" si="37"/>
        <v>0.35000000000000075</v>
      </c>
      <c r="AT54" s="30">
        <f t="shared" si="37"/>
        <v>0.35208333333333441</v>
      </c>
      <c r="AU54" s="30">
        <f t="shared" si="37"/>
        <v>0.35416666666666741</v>
      </c>
      <c r="AV54" s="30">
        <f t="shared" si="37"/>
        <v>0.3562500000000004</v>
      </c>
      <c r="AW54" s="30">
        <f t="shared" si="37"/>
        <v>0.35833333333333406</v>
      </c>
      <c r="AX54" s="30">
        <f t="shared" si="37"/>
        <v>0.36041666666666705</v>
      </c>
      <c r="AY54" s="30">
        <f t="shared" si="37"/>
        <v>0.36250000000000071</v>
      </c>
      <c r="AZ54" s="30">
        <f t="shared" si="37"/>
        <v>0.3645833333333337</v>
      </c>
      <c r="BA54" s="30">
        <f t="shared" si="37"/>
        <v>0.36666666666666736</v>
      </c>
      <c r="BB54" s="30">
        <f t="shared" si="37"/>
        <v>0.36875000000000036</v>
      </c>
      <c r="BC54" s="30">
        <f t="shared" si="37"/>
        <v>0.37083333333333335</v>
      </c>
      <c r="BD54" s="30">
        <f t="shared" si="37"/>
        <v>0.37291666666666701</v>
      </c>
      <c r="BE54" s="30">
        <f t="shared" si="37"/>
        <v>0.375</v>
      </c>
      <c r="BF54" s="15"/>
    </row>
    <row r="55" spans="2:68" x14ac:dyDescent="0.3">
      <c r="B55" s="12"/>
      <c r="C55" s="14"/>
      <c r="D55" s="13" t="s">
        <v>40</v>
      </c>
      <c r="E55" s="119">
        <f>SUM(E53+E54)</f>
        <v>0.25</v>
      </c>
      <c r="F55" s="119">
        <f t="shared" ref="F55:BE55" si="38">SUM(F53+F54)</f>
        <v>0.25</v>
      </c>
      <c r="G55" s="119">
        <f t="shared" si="38"/>
        <v>0.25</v>
      </c>
      <c r="H55" s="119">
        <f t="shared" si="38"/>
        <v>0.25</v>
      </c>
      <c r="I55" s="119">
        <f t="shared" si="38"/>
        <v>0.25</v>
      </c>
      <c r="J55" s="119">
        <f t="shared" si="38"/>
        <v>0.25</v>
      </c>
      <c r="K55" s="119">
        <f t="shared" si="38"/>
        <v>0.29000000000000625</v>
      </c>
      <c r="L55" s="30">
        <f t="shared" si="38"/>
        <v>0.33</v>
      </c>
      <c r="M55" s="30">
        <f t="shared" si="38"/>
        <v>0.33457777777777942</v>
      </c>
      <c r="N55" s="30">
        <f t="shared" si="38"/>
        <v>0.33915555555555699</v>
      </c>
      <c r="O55" s="30">
        <f t="shared" si="38"/>
        <v>0.34373333333333456</v>
      </c>
      <c r="P55" s="30">
        <f t="shared" si="38"/>
        <v>0.34831111111111213</v>
      </c>
      <c r="Q55" s="30">
        <f t="shared" si="38"/>
        <v>0.3528888888888897</v>
      </c>
      <c r="R55" s="30">
        <f t="shared" si="38"/>
        <v>0.35746666666666727</v>
      </c>
      <c r="S55" s="30">
        <f t="shared" si="38"/>
        <v>0.36204444444444661</v>
      </c>
      <c r="T55" s="30">
        <f t="shared" si="38"/>
        <v>0.36662222222222418</v>
      </c>
      <c r="U55" s="30">
        <f t="shared" si="38"/>
        <v>0.37120000000000175</v>
      </c>
      <c r="V55" s="30">
        <f t="shared" si="38"/>
        <v>0.37577777777777932</v>
      </c>
      <c r="W55" s="30">
        <f t="shared" si="38"/>
        <v>0.38035555555555689</v>
      </c>
      <c r="X55" s="30">
        <f t="shared" si="38"/>
        <v>0.38493333333333446</v>
      </c>
      <c r="Y55" s="30">
        <f t="shared" si="38"/>
        <v>0.38951111111111203</v>
      </c>
      <c r="Z55" s="30">
        <f t="shared" si="38"/>
        <v>0.39408888888889138</v>
      </c>
      <c r="AA55" s="30">
        <f t="shared" si="38"/>
        <v>0.39866666666666895</v>
      </c>
      <c r="AB55" s="30">
        <f t="shared" si="38"/>
        <v>0.40324444444444651</v>
      </c>
      <c r="AC55" s="30">
        <f t="shared" si="38"/>
        <v>0.40782222222222408</v>
      </c>
      <c r="AD55" s="30">
        <f t="shared" si="38"/>
        <v>0.41240000000000165</v>
      </c>
      <c r="AE55" s="30">
        <f t="shared" si="38"/>
        <v>0.41697777777777922</v>
      </c>
      <c r="AF55" s="30">
        <f t="shared" si="38"/>
        <v>0.42155555555555857</v>
      </c>
      <c r="AG55" s="30">
        <f t="shared" si="38"/>
        <v>0.42613333333333614</v>
      </c>
      <c r="AH55" s="30">
        <f t="shared" si="38"/>
        <v>0.43071111111111371</v>
      </c>
      <c r="AI55" s="30">
        <f t="shared" si="38"/>
        <v>0.43528888888889128</v>
      </c>
      <c r="AJ55" s="30">
        <f t="shared" si="38"/>
        <v>0.43986666666666885</v>
      </c>
      <c r="AK55" s="30">
        <f t="shared" si="38"/>
        <v>0.44444444444444609</v>
      </c>
      <c r="AL55" s="30">
        <f t="shared" si="38"/>
        <v>0.44722222222222374</v>
      </c>
      <c r="AM55" s="30">
        <f t="shared" si="38"/>
        <v>0.45000000000000195</v>
      </c>
      <c r="AN55" s="30">
        <f t="shared" si="38"/>
        <v>0.45277777777777928</v>
      </c>
      <c r="AO55" s="30">
        <f t="shared" si="38"/>
        <v>0.45555555555555749</v>
      </c>
      <c r="AP55" s="30">
        <f t="shared" si="38"/>
        <v>0.45833333333333481</v>
      </c>
      <c r="AQ55" s="30">
        <f t="shared" si="38"/>
        <v>0.46111111111111214</v>
      </c>
      <c r="AR55" s="30">
        <f t="shared" si="38"/>
        <v>0.46388888888889035</v>
      </c>
      <c r="AS55" s="30">
        <f t="shared" si="38"/>
        <v>0.46666666666666767</v>
      </c>
      <c r="AT55" s="30">
        <f t="shared" si="38"/>
        <v>0.46944444444444589</v>
      </c>
      <c r="AU55" s="30">
        <f t="shared" si="38"/>
        <v>0.47222222222222321</v>
      </c>
      <c r="AV55" s="30">
        <f t="shared" si="38"/>
        <v>0.47500000000000053</v>
      </c>
      <c r="AW55" s="30">
        <f t="shared" si="38"/>
        <v>0.47777777777777874</v>
      </c>
      <c r="AX55" s="30">
        <f t="shared" si="38"/>
        <v>0.48055555555555607</v>
      </c>
      <c r="AY55" s="30">
        <f t="shared" si="38"/>
        <v>0.48333333333333428</v>
      </c>
      <c r="AZ55" s="30">
        <f t="shared" si="38"/>
        <v>0.4861111111111116</v>
      </c>
      <c r="BA55" s="30">
        <f t="shared" si="38"/>
        <v>0.48888888888888982</v>
      </c>
      <c r="BB55" s="30">
        <f t="shared" si="38"/>
        <v>0.49166666666666714</v>
      </c>
      <c r="BC55" s="30">
        <f t="shared" si="38"/>
        <v>0.49444444444444446</v>
      </c>
      <c r="BD55" s="30">
        <f t="shared" si="38"/>
        <v>0.49722222222222268</v>
      </c>
      <c r="BE55" s="30">
        <f t="shared" si="38"/>
        <v>0.5</v>
      </c>
      <c r="BF55" s="15"/>
    </row>
    <row r="56" spans="2:68" x14ac:dyDescent="0.3">
      <c r="B56" s="12"/>
      <c r="C56" s="14"/>
      <c r="D56" s="13"/>
      <c r="E56" s="119"/>
      <c r="F56" s="119"/>
      <c r="G56" s="119"/>
      <c r="H56" s="119"/>
      <c r="I56" s="119"/>
      <c r="J56" s="119"/>
      <c r="K56" s="119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15"/>
    </row>
    <row r="57" spans="2:68" x14ac:dyDescent="0.3">
      <c r="B57" s="12"/>
      <c r="C57" s="14" t="s">
        <v>76</v>
      </c>
      <c r="D57" s="14"/>
      <c r="E57" s="31">
        <f>E43+E54</f>
        <v>0.9375</v>
      </c>
      <c r="F57" s="31">
        <f t="shared" ref="F57:BD57" si="39">F43+F54</f>
        <v>0.9375</v>
      </c>
      <c r="G57" s="31">
        <f t="shared" si="39"/>
        <v>0.9375</v>
      </c>
      <c r="H57" s="31">
        <f t="shared" si="39"/>
        <v>0.9375</v>
      </c>
      <c r="I57" s="31">
        <f t="shared" si="39"/>
        <v>0.9375</v>
      </c>
      <c r="J57" s="31">
        <f t="shared" si="39"/>
        <v>0.9375</v>
      </c>
      <c r="K57" s="31">
        <f t="shared" si="39"/>
        <v>0.91750000000000753</v>
      </c>
      <c r="L57" s="31">
        <f t="shared" si="39"/>
        <v>0.89749999999999996</v>
      </c>
      <c r="M57" s="31">
        <f t="shared" si="39"/>
        <v>0.8931555555555577</v>
      </c>
      <c r="N57" s="31">
        <f t="shared" si="39"/>
        <v>0.88881111111111188</v>
      </c>
      <c r="O57" s="31">
        <f t="shared" si="39"/>
        <v>0.88446666666666784</v>
      </c>
      <c r="P57" s="31">
        <f t="shared" si="39"/>
        <v>0.8801222222222238</v>
      </c>
      <c r="Q57" s="31">
        <f t="shared" si="39"/>
        <v>0.87577777777777799</v>
      </c>
      <c r="R57" s="31">
        <f t="shared" si="39"/>
        <v>0.87143333333333395</v>
      </c>
      <c r="S57" s="31">
        <f t="shared" si="39"/>
        <v>0.86708888888889124</v>
      </c>
      <c r="T57" s="31">
        <f t="shared" si="39"/>
        <v>0.86274444444444542</v>
      </c>
      <c r="U57" s="31">
        <f t="shared" si="39"/>
        <v>0.85840000000000138</v>
      </c>
      <c r="V57" s="31">
        <f t="shared" si="39"/>
        <v>0.85405555555555734</v>
      </c>
      <c r="W57" s="31">
        <f t="shared" si="39"/>
        <v>0.84971111111111153</v>
      </c>
      <c r="X57" s="31">
        <f t="shared" si="39"/>
        <v>0.84536666666666749</v>
      </c>
      <c r="Y57" s="31">
        <f t="shared" si="39"/>
        <v>0.84102222222222345</v>
      </c>
      <c r="Z57" s="31">
        <f t="shared" si="39"/>
        <v>0.83667777777777896</v>
      </c>
      <c r="AA57" s="31">
        <f t="shared" si="39"/>
        <v>0.83233333333333492</v>
      </c>
      <c r="AB57" s="31">
        <f t="shared" si="39"/>
        <v>0.82798888888888911</v>
      </c>
      <c r="AC57" s="31">
        <f t="shared" si="39"/>
        <v>0.82364444444444507</v>
      </c>
      <c r="AD57" s="31">
        <f t="shared" si="39"/>
        <v>0.81930000000000103</v>
      </c>
      <c r="AE57" s="31">
        <f t="shared" si="39"/>
        <v>0.81495555555555521</v>
      </c>
      <c r="AF57" s="31">
        <f t="shared" si="39"/>
        <v>0.8106111111111125</v>
      </c>
      <c r="AG57" s="31">
        <f t="shared" si="39"/>
        <v>0.80626666666666846</v>
      </c>
      <c r="AH57" s="31">
        <f t="shared" si="39"/>
        <v>0.80192222222222265</v>
      </c>
      <c r="AI57" s="31">
        <f t="shared" si="39"/>
        <v>0.79757777777777861</v>
      </c>
      <c r="AJ57" s="31">
        <f t="shared" si="39"/>
        <v>0.79323333333333457</v>
      </c>
      <c r="AK57" s="31">
        <f t="shared" si="39"/>
        <v>0.78888888888888853</v>
      </c>
      <c r="AL57" s="31">
        <f t="shared" si="39"/>
        <v>0.78319444444444453</v>
      </c>
      <c r="AM57" s="31">
        <f t="shared" si="39"/>
        <v>0.77750000000000097</v>
      </c>
      <c r="AN57" s="31">
        <f t="shared" si="39"/>
        <v>0.77180555555555674</v>
      </c>
      <c r="AO57" s="31">
        <f t="shared" si="39"/>
        <v>0.76611111111111141</v>
      </c>
      <c r="AP57" s="31">
        <f t="shared" si="39"/>
        <v>0.76041666666666718</v>
      </c>
      <c r="AQ57" s="31">
        <f t="shared" si="39"/>
        <v>0.75472222222222296</v>
      </c>
      <c r="AR57" s="31">
        <f t="shared" si="39"/>
        <v>0.7490277777777794</v>
      </c>
      <c r="AS57" s="31">
        <f t="shared" si="39"/>
        <v>0.74333333333333518</v>
      </c>
      <c r="AT57" s="31">
        <f t="shared" si="39"/>
        <v>0.73763888888888984</v>
      </c>
      <c r="AU57" s="31">
        <f t="shared" si="39"/>
        <v>0.73194444444444384</v>
      </c>
      <c r="AV57" s="31">
        <f t="shared" si="39"/>
        <v>0.72625000000000139</v>
      </c>
      <c r="AW57" s="31">
        <f t="shared" si="39"/>
        <v>0.72055555555555606</v>
      </c>
      <c r="AX57" s="31">
        <f t="shared" si="39"/>
        <v>0.71486111111111006</v>
      </c>
      <c r="AY57" s="31">
        <f t="shared" si="39"/>
        <v>0.70916666666666828</v>
      </c>
      <c r="AZ57" s="31">
        <f t="shared" si="39"/>
        <v>0.70347222222222228</v>
      </c>
      <c r="BA57" s="31">
        <f t="shared" si="39"/>
        <v>0.69777777777778049</v>
      </c>
      <c r="BB57" s="31">
        <f t="shared" si="39"/>
        <v>0.69208333333333449</v>
      </c>
      <c r="BC57" s="31">
        <f t="shared" si="39"/>
        <v>0.68638888888888849</v>
      </c>
      <c r="BD57" s="31">
        <f t="shared" si="39"/>
        <v>0.68069444444444671</v>
      </c>
      <c r="BE57" s="31">
        <f>BE43+BE54</f>
        <v>0.67500000000000004</v>
      </c>
      <c r="BF57" s="15"/>
    </row>
    <row r="58" spans="2:68" ht="15" thickBot="1" x14ac:dyDescent="0.35">
      <c r="B58" s="16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8"/>
    </row>
    <row r="60" spans="2:68" x14ac:dyDescent="0.3">
      <c r="B60" s="34" t="s">
        <v>45</v>
      </c>
      <c r="C60" s="34"/>
    </row>
    <row r="61" spans="2:68" x14ac:dyDescent="0.3">
      <c r="B61" s="34"/>
      <c r="C61" s="34"/>
      <c r="D61" s="24" t="s">
        <v>17</v>
      </c>
      <c r="H61">
        <v>2010</v>
      </c>
      <c r="I61">
        <v>2011</v>
      </c>
      <c r="J61">
        <v>2012</v>
      </c>
      <c r="K61">
        <v>2013</v>
      </c>
      <c r="L61">
        <v>2014</v>
      </c>
      <c r="M61">
        <v>2015</v>
      </c>
      <c r="N61">
        <v>2016</v>
      </c>
      <c r="O61">
        <v>2017</v>
      </c>
      <c r="P61">
        <v>2018</v>
      </c>
      <c r="Q61">
        <v>2019</v>
      </c>
      <c r="R61">
        <v>2020</v>
      </c>
      <c r="S61">
        <v>2021</v>
      </c>
      <c r="T61">
        <v>2022</v>
      </c>
      <c r="U61">
        <v>2023</v>
      </c>
      <c r="V61">
        <v>2024</v>
      </c>
      <c r="W61">
        <v>2025</v>
      </c>
      <c r="X61">
        <v>2026</v>
      </c>
      <c r="Y61">
        <v>2027</v>
      </c>
      <c r="Z61">
        <v>2028</v>
      </c>
      <c r="AA61">
        <v>2029</v>
      </c>
      <c r="AB61">
        <v>2030</v>
      </c>
      <c r="AC61">
        <v>2031</v>
      </c>
      <c r="AD61">
        <v>2032</v>
      </c>
      <c r="AE61">
        <v>2033</v>
      </c>
      <c r="AF61">
        <v>2034</v>
      </c>
      <c r="AG61">
        <v>2035</v>
      </c>
      <c r="AH61">
        <v>2036</v>
      </c>
      <c r="AI61">
        <v>2037</v>
      </c>
      <c r="AJ61">
        <v>2038</v>
      </c>
      <c r="AK61">
        <v>2039</v>
      </c>
      <c r="AL61">
        <v>2040</v>
      </c>
      <c r="AM61">
        <v>2041</v>
      </c>
      <c r="AN61">
        <v>2042</v>
      </c>
      <c r="AO61">
        <v>2043</v>
      </c>
      <c r="AP61">
        <v>2044</v>
      </c>
      <c r="AQ61">
        <v>2045</v>
      </c>
      <c r="AR61">
        <v>2046</v>
      </c>
      <c r="AS61">
        <v>2047</v>
      </c>
      <c r="AT61">
        <v>2048</v>
      </c>
      <c r="AU61">
        <v>2049</v>
      </c>
      <c r="AV61">
        <v>2050</v>
      </c>
      <c r="AW61">
        <v>2051</v>
      </c>
      <c r="AX61">
        <v>2052</v>
      </c>
      <c r="AY61">
        <v>2053</v>
      </c>
      <c r="AZ61">
        <v>2054</v>
      </c>
      <c r="BA61">
        <v>2055</v>
      </c>
      <c r="BB61">
        <v>2056</v>
      </c>
      <c r="BC61">
        <v>2057</v>
      </c>
      <c r="BD61">
        <v>2058</v>
      </c>
      <c r="BE61">
        <v>2059</v>
      </c>
      <c r="BF61">
        <v>2060</v>
      </c>
      <c r="BG61">
        <v>2061</v>
      </c>
      <c r="BH61">
        <v>2062</v>
      </c>
      <c r="BI61">
        <v>2063</v>
      </c>
      <c r="BJ61">
        <v>2064</v>
      </c>
      <c r="BK61">
        <v>2065</v>
      </c>
      <c r="BL61">
        <v>2066</v>
      </c>
      <c r="BM61">
        <v>2067</v>
      </c>
      <c r="BN61">
        <v>2068</v>
      </c>
      <c r="BO61">
        <v>2069</v>
      </c>
      <c r="BP61">
        <v>2070</v>
      </c>
    </row>
    <row r="63" spans="2:68" x14ac:dyDescent="0.3">
      <c r="H63">
        <v>0.58899999999999997</v>
      </c>
      <c r="I63">
        <v>0.52100000000000002</v>
      </c>
      <c r="J63">
        <v>0.502</v>
      </c>
      <c r="K63">
        <v>0.502</v>
      </c>
      <c r="L63">
        <v>0.44100000000000006</v>
      </c>
      <c r="M63">
        <v>0.38</v>
      </c>
      <c r="N63">
        <v>0.36699999999999999</v>
      </c>
      <c r="O63">
        <v>0.26200000000000001</v>
      </c>
      <c r="P63">
        <v>0.33499999999999996</v>
      </c>
      <c r="Q63">
        <v>0.29900000000000004</v>
      </c>
      <c r="R63">
        <v>0.26200000000000001</v>
      </c>
      <c r="S63">
        <v>0.25800000000000001</v>
      </c>
      <c r="T63">
        <v>0.247</v>
      </c>
      <c r="U63">
        <v>0.25600000000000001</v>
      </c>
      <c r="V63">
        <v>0.27185566029430674</v>
      </c>
      <c r="W63">
        <v>0.28771132058862037</v>
      </c>
      <c r="X63">
        <v>0.30356698088293399</v>
      </c>
      <c r="Y63">
        <v>0.31942264117724051</v>
      </c>
      <c r="Z63">
        <v>0.33527830147155413</v>
      </c>
      <c r="AA63">
        <v>0.35113396176586065</v>
      </c>
      <c r="AB63">
        <v>0.36698962206017383</v>
      </c>
      <c r="AC63">
        <v>0.36610406417462249</v>
      </c>
      <c r="AD63">
        <v>0.36521850628907115</v>
      </c>
      <c r="AE63">
        <v>0.36433294840351982</v>
      </c>
      <c r="AF63">
        <v>0.36344739051796848</v>
      </c>
      <c r="AG63">
        <v>0.36256183263241715</v>
      </c>
      <c r="AH63">
        <v>0.36167627474686581</v>
      </c>
      <c r="AI63">
        <v>0.3607907168613147</v>
      </c>
      <c r="AJ63">
        <v>0.35990515897576336</v>
      </c>
      <c r="AK63">
        <v>0.35901960109021203</v>
      </c>
      <c r="AL63">
        <v>0.35813404320466069</v>
      </c>
      <c r="AM63">
        <v>0.35724848531910935</v>
      </c>
      <c r="AN63">
        <v>0.35636292743355802</v>
      </c>
      <c r="AO63">
        <v>0.35547736954800668</v>
      </c>
      <c r="AP63">
        <v>0.35459181166245557</v>
      </c>
      <c r="AQ63">
        <v>0.35370625377690423</v>
      </c>
      <c r="AR63">
        <v>0.3528206958913529</v>
      </c>
      <c r="AS63">
        <v>0.35193513800580156</v>
      </c>
      <c r="AT63">
        <v>0.35104958012025023</v>
      </c>
      <c r="AU63">
        <v>0.35016402223469889</v>
      </c>
      <c r="AV63">
        <v>0.34927846434914767</v>
      </c>
      <c r="AW63">
        <v>0.34909685396389567</v>
      </c>
      <c r="AX63">
        <v>0.34891524357864356</v>
      </c>
      <c r="AY63">
        <v>0.34873363319339146</v>
      </c>
      <c r="AZ63">
        <v>0.34855202280813935</v>
      </c>
      <c r="BA63">
        <v>0.34837041242288724</v>
      </c>
      <c r="BB63">
        <v>0.34818880203763514</v>
      </c>
      <c r="BC63">
        <v>0.34800719165238303</v>
      </c>
      <c r="BD63">
        <v>0.34782558126713092</v>
      </c>
      <c r="BE63">
        <v>0.34764397088187882</v>
      </c>
      <c r="BF63">
        <v>0.34746236049662671</v>
      </c>
      <c r="BG63">
        <v>0.3472807501113746</v>
      </c>
      <c r="BH63">
        <v>0.3470991397261225</v>
      </c>
      <c r="BI63">
        <v>0.34691752934087039</v>
      </c>
      <c r="BJ63">
        <v>0.34673591895561828</v>
      </c>
      <c r="BK63">
        <v>0.34655430857036618</v>
      </c>
      <c r="BL63">
        <v>0.34637269818511418</v>
      </c>
      <c r="BM63">
        <v>0.34619108779986207</v>
      </c>
      <c r="BN63">
        <v>0.34600947741460997</v>
      </c>
      <c r="BO63">
        <v>0.34582786702935786</v>
      </c>
      <c r="BP63">
        <v>0.35436480399996872</v>
      </c>
    </row>
    <row r="64" spans="2:68" x14ac:dyDescent="0.3">
      <c r="H64">
        <v>0.41099999999999998</v>
      </c>
      <c r="I64">
        <v>0.47899999999999998</v>
      </c>
      <c r="J64">
        <v>0.498</v>
      </c>
      <c r="K64">
        <v>0.498</v>
      </c>
      <c r="L64">
        <v>0.55899999999999994</v>
      </c>
      <c r="M64">
        <v>0.62</v>
      </c>
      <c r="N64">
        <v>0.63300000000000001</v>
      </c>
      <c r="O64">
        <v>0.73799999999999999</v>
      </c>
      <c r="P64">
        <v>0.66500000000000004</v>
      </c>
      <c r="Q64">
        <v>0.70099999999999996</v>
      </c>
      <c r="R64">
        <v>0.73799999999999999</v>
      </c>
      <c r="S64">
        <v>0.74199999999999999</v>
      </c>
      <c r="T64">
        <v>0.753</v>
      </c>
      <c r="U64">
        <v>0.74399999999999999</v>
      </c>
      <c r="V64">
        <v>0.72814433970569326</v>
      </c>
      <c r="W64">
        <v>0.71228867941137963</v>
      </c>
      <c r="X64">
        <v>0.69643301911706601</v>
      </c>
      <c r="Y64">
        <v>0.68057735882275949</v>
      </c>
      <c r="Z64">
        <v>0.66472169852844587</v>
      </c>
      <c r="AA64">
        <v>0.64886603823413935</v>
      </c>
      <c r="AB64">
        <v>0.63301037793982617</v>
      </c>
      <c r="AC64">
        <v>0.63389593582537751</v>
      </c>
      <c r="AD64">
        <v>0.63478149371092885</v>
      </c>
      <c r="AE64">
        <v>0.63566705159648018</v>
      </c>
      <c r="AF64">
        <v>0.63655260948203152</v>
      </c>
      <c r="AG64">
        <v>0.63743816736758285</v>
      </c>
      <c r="AH64">
        <v>0.63832372525313419</v>
      </c>
      <c r="AI64">
        <v>0.6392092831386853</v>
      </c>
      <c r="AJ64">
        <v>0.64009484102423664</v>
      </c>
      <c r="AK64">
        <v>0.64098039890978797</v>
      </c>
      <c r="AL64">
        <v>0.64186595679533931</v>
      </c>
      <c r="AM64">
        <v>0.64275151468089065</v>
      </c>
      <c r="AN64">
        <v>0.64363707256644198</v>
      </c>
      <c r="AO64">
        <v>0.64452263045199332</v>
      </c>
      <c r="AP64">
        <v>0.64540818833754443</v>
      </c>
      <c r="AQ64">
        <v>0.64629374622309577</v>
      </c>
      <c r="AR64">
        <v>0.6471793041086471</v>
      </c>
      <c r="AS64">
        <v>0.64806486199419844</v>
      </c>
      <c r="AT64">
        <v>0.64895041987974977</v>
      </c>
      <c r="AU64">
        <v>0.64983597776530111</v>
      </c>
      <c r="AV64">
        <v>0.65072153565085233</v>
      </c>
      <c r="AW64">
        <v>0.65090314603610433</v>
      </c>
      <c r="AX64">
        <v>0.65108475642135644</v>
      </c>
      <c r="AY64">
        <v>0.65126636680660854</v>
      </c>
      <c r="AZ64">
        <v>0.65144797719186065</v>
      </c>
      <c r="BA64">
        <v>0.65162958757711276</v>
      </c>
      <c r="BB64">
        <v>0.65181119796236486</v>
      </c>
      <c r="BC64">
        <v>0.65199280834761697</v>
      </c>
      <c r="BD64">
        <v>0.65217441873286908</v>
      </c>
      <c r="BE64">
        <v>0.65235602911812118</v>
      </c>
      <c r="BF64">
        <v>0.65253763950337329</v>
      </c>
      <c r="BG64">
        <v>0.6527192498886254</v>
      </c>
      <c r="BH64">
        <v>0.6529008602738775</v>
      </c>
      <c r="BI64">
        <v>0.65308247065912961</v>
      </c>
      <c r="BJ64">
        <v>0.65326408104438172</v>
      </c>
      <c r="BK64">
        <v>0.65344569142963382</v>
      </c>
      <c r="BL64">
        <v>0.65362730181488582</v>
      </c>
      <c r="BM64">
        <v>0.65380891220013793</v>
      </c>
      <c r="BN64">
        <v>0.65399052258539003</v>
      </c>
      <c r="BO64">
        <v>0.65417213297064214</v>
      </c>
      <c r="BP64">
        <v>0.64563519600003128</v>
      </c>
    </row>
    <row r="65" spans="4:68" x14ac:dyDescent="0.3"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4:68" x14ac:dyDescent="0.3">
      <c r="D66" s="34" t="s">
        <v>36</v>
      </c>
    </row>
    <row r="67" spans="4:68" x14ac:dyDescent="0.3">
      <c r="D67" t="s">
        <v>37</v>
      </c>
      <c r="H67">
        <v>0.58899999999999997</v>
      </c>
      <c r="I67">
        <v>0.52100000000000002</v>
      </c>
      <c r="J67">
        <v>0.502</v>
      </c>
      <c r="K67">
        <v>0.502</v>
      </c>
      <c r="L67">
        <v>0.44100000000000006</v>
      </c>
      <c r="M67">
        <v>0.38</v>
      </c>
      <c r="N67">
        <v>0.36699999999999999</v>
      </c>
      <c r="O67">
        <v>0.26200000000000001</v>
      </c>
      <c r="P67">
        <v>0.33499999999999996</v>
      </c>
      <c r="Q67">
        <v>0.29900000000000004</v>
      </c>
      <c r="R67">
        <v>0.26200000000000001</v>
      </c>
      <c r="S67">
        <v>0.25800000000000001</v>
      </c>
      <c r="T67">
        <v>0.247</v>
      </c>
      <c r="U67">
        <v>0.25600000000000001</v>
      </c>
      <c r="V67" s="42">
        <f>$S$72*V61+$S$73</f>
        <v>0.45299999999997453</v>
      </c>
      <c r="W67" s="27">
        <f>L9</f>
        <v>0.65</v>
      </c>
      <c r="X67" s="35">
        <f t="shared" ref="X67:AU67" si="40">$W$72*X61+$W$73</f>
        <v>0.64499999999999957</v>
      </c>
      <c r="Y67" s="35">
        <f t="shared" si="40"/>
        <v>0.64000000000000057</v>
      </c>
      <c r="Z67" s="35">
        <f t="shared" si="40"/>
        <v>0.63499999999999979</v>
      </c>
      <c r="AA67" s="35">
        <f t="shared" si="40"/>
        <v>0.63000000000000078</v>
      </c>
      <c r="AB67" s="35">
        <f t="shared" si="40"/>
        <v>0.625</v>
      </c>
      <c r="AC67" s="35">
        <f t="shared" si="40"/>
        <v>0.62000000000000099</v>
      </c>
      <c r="AD67" s="35">
        <f t="shared" si="40"/>
        <v>0.61500000000000021</v>
      </c>
      <c r="AE67" s="35">
        <f t="shared" si="40"/>
        <v>0.60999999999999943</v>
      </c>
      <c r="AF67" s="35">
        <f t="shared" si="40"/>
        <v>0.60500000000000043</v>
      </c>
      <c r="AG67" s="35">
        <f t="shared" si="40"/>
        <v>0.59999999999999964</v>
      </c>
      <c r="AH67" s="35">
        <f t="shared" si="40"/>
        <v>0.59500000000000064</v>
      </c>
      <c r="AI67" s="35">
        <f t="shared" si="40"/>
        <v>0.58999999999999986</v>
      </c>
      <c r="AJ67" s="35">
        <f t="shared" si="40"/>
        <v>0.58500000000000085</v>
      </c>
      <c r="AK67" s="35">
        <f t="shared" si="40"/>
        <v>0.58000000000000007</v>
      </c>
      <c r="AL67" s="35">
        <f t="shared" si="40"/>
        <v>0.57499999999999929</v>
      </c>
      <c r="AM67" s="35">
        <f t="shared" si="40"/>
        <v>0.57000000000000028</v>
      </c>
      <c r="AN67" s="35">
        <f t="shared" si="40"/>
        <v>0.5649999999999995</v>
      </c>
      <c r="AO67" s="35">
        <f t="shared" si="40"/>
        <v>0.5600000000000005</v>
      </c>
      <c r="AP67" s="35">
        <f t="shared" si="40"/>
        <v>0.55499999999999972</v>
      </c>
      <c r="AQ67" s="35">
        <f t="shared" si="40"/>
        <v>0.55000000000000071</v>
      </c>
      <c r="AR67" s="35">
        <f t="shared" si="40"/>
        <v>0.54499999999999993</v>
      </c>
      <c r="AS67" s="35">
        <f t="shared" si="40"/>
        <v>0.54000000000000092</v>
      </c>
      <c r="AT67" s="35">
        <f t="shared" si="40"/>
        <v>0.53500000000000014</v>
      </c>
      <c r="AU67" s="35">
        <f t="shared" si="40"/>
        <v>0.52999999999999936</v>
      </c>
      <c r="AV67" s="27">
        <f>AK9</f>
        <v>0.52500000000000002</v>
      </c>
      <c r="AW67" s="35">
        <f t="shared" ref="AW67:BO67" si="41">$AV$72*AW61+$AV$73</f>
        <v>0.51874999999999893</v>
      </c>
      <c r="AX67" s="35">
        <f t="shared" si="41"/>
        <v>0.51249999999999929</v>
      </c>
      <c r="AY67" s="35">
        <f t="shared" si="41"/>
        <v>0.50624999999999964</v>
      </c>
      <c r="AZ67" s="35">
        <f t="shared" si="41"/>
        <v>0.5</v>
      </c>
      <c r="BA67" s="35">
        <f t="shared" si="41"/>
        <v>0.49375000000000036</v>
      </c>
      <c r="BB67" s="35">
        <f t="shared" si="41"/>
        <v>0.48749999999999893</v>
      </c>
      <c r="BC67" s="35">
        <f t="shared" si="41"/>
        <v>0.48124999999999929</v>
      </c>
      <c r="BD67" s="35">
        <f t="shared" si="41"/>
        <v>0.47499999999999964</v>
      </c>
      <c r="BE67" s="35">
        <f t="shared" si="41"/>
        <v>0.46875</v>
      </c>
      <c r="BF67" s="35">
        <f t="shared" si="41"/>
        <v>0.46250000000000036</v>
      </c>
      <c r="BG67" s="35">
        <f t="shared" si="41"/>
        <v>0.45624999999999893</v>
      </c>
      <c r="BH67" s="35">
        <f t="shared" si="41"/>
        <v>0.44999999999999929</v>
      </c>
      <c r="BI67" s="35">
        <f t="shared" si="41"/>
        <v>0.44374999999999964</v>
      </c>
      <c r="BJ67" s="35">
        <f t="shared" si="41"/>
        <v>0.4375</v>
      </c>
      <c r="BK67" s="35">
        <f t="shared" si="41"/>
        <v>0.43125000000000036</v>
      </c>
      <c r="BL67" s="35">
        <f t="shared" si="41"/>
        <v>0.42499999999999893</v>
      </c>
      <c r="BM67" s="35">
        <f t="shared" si="41"/>
        <v>0.41874999999999929</v>
      </c>
      <c r="BN67" s="35">
        <f t="shared" si="41"/>
        <v>0.41249999999999964</v>
      </c>
      <c r="BO67" s="35">
        <f t="shared" si="41"/>
        <v>0.40625</v>
      </c>
      <c r="BP67" s="27">
        <f>BE9</f>
        <v>0.4</v>
      </c>
    </row>
    <row r="68" spans="4:68" x14ac:dyDescent="0.3">
      <c r="D68" t="s">
        <v>38</v>
      </c>
      <c r="H68">
        <v>0.41099999999999998</v>
      </c>
      <c r="I68">
        <v>0.47899999999999998</v>
      </c>
      <c r="J68">
        <v>0.498</v>
      </c>
      <c r="K68">
        <v>0.498</v>
      </c>
      <c r="L68">
        <v>0.55899999999999994</v>
      </c>
      <c r="M68">
        <v>0.62</v>
      </c>
      <c r="N68">
        <v>0.63300000000000001</v>
      </c>
      <c r="O68">
        <v>0.73799999999999999</v>
      </c>
      <c r="P68">
        <v>0.66500000000000004</v>
      </c>
      <c r="Q68">
        <v>0.70099999999999996</v>
      </c>
      <c r="R68">
        <v>0.73799999999999999</v>
      </c>
      <c r="S68">
        <v>0.74199999999999999</v>
      </c>
      <c r="T68">
        <v>0.753</v>
      </c>
      <c r="U68">
        <v>0.74399999999999999</v>
      </c>
      <c r="V68" s="42">
        <f>$S$75*V61+$S$76</f>
        <v>0.53700000000003456</v>
      </c>
      <c r="W68" s="27">
        <f>L10</f>
        <v>0.33</v>
      </c>
      <c r="X68" s="35">
        <f t="shared" ref="X68:AU68" si="42">$W$75*X61+$W$76</f>
        <v>0.3338000000000001</v>
      </c>
      <c r="Y68" s="35">
        <f t="shared" si="42"/>
        <v>0.33760000000000012</v>
      </c>
      <c r="Z68" s="35">
        <f t="shared" si="42"/>
        <v>0.34140000000000015</v>
      </c>
      <c r="AA68" s="35">
        <f t="shared" si="42"/>
        <v>0.34520000000000017</v>
      </c>
      <c r="AB68" s="35">
        <f t="shared" si="42"/>
        <v>0.3490000000000002</v>
      </c>
      <c r="AC68" s="35">
        <f t="shared" si="42"/>
        <v>0.35280000000000022</v>
      </c>
      <c r="AD68" s="35">
        <f t="shared" si="42"/>
        <v>0.35659999999999936</v>
      </c>
      <c r="AE68" s="35">
        <f t="shared" si="42"/>
        <v>0.36039999999999939</v>
      </c>
      <c r="AF68" s="35">
        <f t="shared" si="42"/>
        <v>0.36419999999999941</v>
      </c>
      <c r="AG68" s="35">
        <f t="shared" si="42"/>
        <v>0.36799999999999944</v>
      </c>
      <c r="AH68" s="35">
        <f t="shared" si="42"/>
        <v>0.37179999999999946</v>
      </c>
      <c r="AI68" s="35">
        <f t="shared" si="42"/>
        <v>0.37559999999999949</v>
      </c>
      <c r="AJ68" s="35">
        <f t="shared" si="42"/>
        <v>0.37939999999999952</v>
      </c>
      <c r="AK68" s="35">
        <f t="shared" si="42"/>
        <v>0.38319999999999954</v>
      </c>
      <c r="AL68" s="35">
        <f t="shared" si="42"/>
        <v>0.38699999999999957</v>
      </c>
      <c r="AM68" s="35">
        <f t="shared" si="42"/>
        <v>0.39079999999999959</v>
      </c>
      <c r="AN68" s="35">
        <f t="shared" si="42"/>
        <v>0.39459999999999962</v>
      </c>
      <c r="AO68" s="35">
        <f t="shared" si="42"/>
        <v>0.39839999999999964</v>
      </c>
      <c r="AP68" s="35">
        <f t="shared" si="42"/>
        <v>0.40219999999999967</v>
      </c>
      <c r="AQ68" s="35">
        <f t="shared" si="42"/>
        <v>0.40599999999999969</v>
      </c>
      <c r="AR68" s="35">
        <f t="shared" si="42"/>
        <v>0.40979999999999972</v>
      </c>
      <c r="AS68" s="35">
        <f t="shared" si="42"/>
        <v>0.41359999999999975</v>
      </c>
      <c r="AT68" s="35">
        <f t="shared" si="42"/>
        <v>0.41739999999999977</v>
      </c>
      <c r="AU68" s="35">
        <f t="shared" si="42"/>
        <v>0.4211999999999998</v>
      </c>
      <c r="AV68" s="27">
        <f>AK10</f>
        <v>0.42499999999999999</v>
      </c>
      <c r="AW68" s="35">
        <f t="shared" ref="AW68:BO68" si="43">$AV$75*AW61+$AV$76</f>
        <v>0.42625000000000002</v>
      </c>
      <c r="AX68" s="35">
        <f t="shared" si="43"/>
        <v>0.42749999999999977</v>
      </c>
      <c r="AY68" s="35">
        <f t="shared" si="43"/>
        <v>0.42874999999999996</v>
      </c>
      <c r="AZ68" s="35">
        <f t="shared" si="43"/>
        <v>0.42999999999999972</v>
      </c>
      <c r="BA68" s="35">
        <f t="shared" si="43"/>
        <v>0.43124999999999991</v>
      </c>
      <c r="BB68" s="35">
        <f t="shared" si="43"/>
        <v>0.43249999999999966</v>
      </c>
      <c r="BC68" s="35">
        <f t="shared" si="43"/>
        <v>0.43374999999999986</v>
      </c>
      <c r="BD68" s="35">
        <f t="shared" si="43"/>
        <v>0.43500000000000005</v>
      </c>
      <c r="BE68" s="35">
        <f t="shared" si="43"/>
        <v>0.4362499999999998</v>
      </c>
      <c r="BF68" s="35">
        <f t="shared" si="43"/>
        <v>0.4375</v>
      </c>
      <c r="BG68" s="35">
        <f t="shared" si="43"/>
        <v>0.43874999999999975</v>
      </c>
      <c r="BH68" s="35">
        <f t="shared" si="43"/>
        <v>0.43999999999999995</v>
      </c>
      <c r="BI68" s="35">
        <f t="shared" si="43"/>
        <v>0.4412499999999997</v>
      </c>
      <c r="BJ68" s="35">
        <f t="shared" si="43"/>
        <v>0.44249999999999989</v>
      </c>
      <c r="BK68" s="35">
        <f t="shared" si="43"/>
        <v>0.44375000000000009</v>
      </c>
      <c r="BL68" s="35">
        <f t="shared" si="43"/>
        <v>0.44499999999999984</v>
      </c>
      <c r="BM68" s="35">
        <f t="shared" si="43"/>
        <v>0.44625000000000004</v>
      </c>
      <c r="BN68" s="35">
        <f t="shared" si="43"/>
        <v>0.44749999999999979</v>
      </c>
      <c r="BO68" s="35">
        <f t="shared" si="43"/>
        <v>0.44874999999999998</v>
      </c>
      <c r="BP68" s="27">
        <f>BE10</f>
        <v>0.45</v>
      </c>
    </row>
    <row r="69" spans="4:68" x14ac:dyDescent="0.3">
      <c r="D69" t="s">
        <v>44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42">
        <f>$S$78*V61+$S$79</f>
        <v>1.0000000000001563E-2</v>
      </c>
      <c r="W69" s="27">
        <f>L11</f>
        <v>0.02</v>
      </c>
      <c r="X69" s="35">
        <f t="shared" ref="X69:AU69" si="44">$W$78*X61+$W$79</f>
        <v>2.1199999999999886E-2</v>
      </c>
      <c r="Y69" s="35">
        <f t="shared" si="44"/>
        <v>2.2400000000000198E-2</v>
      </c>
      <c r="Z69" s="35">
        <f t="shared" si="44"/>
        <v>2.3600000000000065E-2</v>
      </c>
      <c r="AA69" s="35">
        <f t="shared" si="44"/>
        <v>2.4799999999999933E-2</v>
      </c>
      <c r="AB69" s="35">
        <f t="shared" si="44"/>
        <v>2.6000000000000245E-2</v>
      </c>
      <c r="AC69" s="35">
        <f t="shared" si="44"/>
        <v>2.7200000000000113E-2</v>
      </c>
      <c r="AD69" s="35">
        <f t="shared" si="44"/>
        <v>2.8399999999999981E-2</v>
      </c>
      <c r="AE69" s="35">
        <f t="shared" si="44"/>
        <v>2.9600000000000293E-2</v>
      </c>
      <c r="AF69" s="35">
        <f t="shared" si="44"/>
        <v>3.0800000000000161E-2</v>
      </c>
      <c r="AG69" s="35">
        <f t="shared" si="44"/>
        <v>3.2000000000000028E-2</v>
      </c>
      <c r="AH69" s="35">
        <f t="shared" si="44"/>
        <v>3.3199999999999896E-2</v>
      </c>
      <c r="AI69" s="35">
        <f t="shared" si="44"/>
        <v>3.4400000000000208E-2</v>
      </c>
      <c r="AJ69" s="35">
        <f t="shared" si="44"/>
        <v>3.5600000000000076E-2</v>
      </c>
      <c r="AK69" s="35">
        <f t="shared" si="44"/>
        <v>3.6799999999999944E-2</v>
      </c>
      <c r="AL69" s="35">
        <f t="shared" si="44"/>
        <v>3.8000000000000256E-2</v>
      </c>
      <c r="AM69" s="35">
        <f t="shared" si="44"/>
        <v>3.9200000000000124E-2</v>
      </c>
      <c r="AN69" s="35">
        <f t="shared" si="44"/>
        <v>4.0399999999999991E-2</v>
      </c>
      <c r="AO69" s="35">
        <f t="shared" si="44"/>
        <v>4.1600000000000303E-2</v>
      </c>
      <c r="AP69" s="35">
        <f t="shared" si="44"/>
        <v>4.2800000000000171E-2</v>
      </c>
      <c r="AQ69" s="35">
        <f t="shared" si="44"/>
        <v>4.4000000000000039E-2</v>
      </c>
      <c r="AR69" s="35">
        <f t="shared" si="44"/>
        <v>4.5199999999999907E-2</v>
      </c>
      <c r="AS69" s="35">
        <f t="shared" si="44"/>
        <v>4.6400000000000219E-2</v>
      </c>
      <c r="AT69" s="35">
        <f t="shared" si="44"/>
        <v>4.7600000000000087E-2</v>
      </c>
      <c r="AU69" s="35">
        <f t="shared" si="44"/>
        <v>4.8799999999999955E-2</v>
      </c>
      <c r="AV69" s="27">
        <f>AK11</f>
        <v>0.05</v>
      </c>
      <c r="AW69" s="35">
        <f t="shared" ref="AW69:BO69" si="45">$AV$78*AW61+$AV$79</f>
        <v>5.5000000000001492E-2</v>
      </c>
      <c r="AX69" s="35">
        <f t="shared" si="45"/>
        <v>6.0000000000000497E-2</v>
      </c>
      <c r="AY69" s="35">
        <f t="shared" si="45"/>
        <v>6.5000000000001279E-2</v>
      </c>
      <c r="AZ69" s="35">
        <f t="shared" si="45"/>
        <v>7.0000000000000284E-2</v>
      </c>
      <c r="BA69" s="35">
        <f t="shared" si="45"/>
        <v>7.5000000000001066E-2</v>
      </c>
      <c r="BB69" s="35">
        <f t="shared" si="45"/>
        <v>8.0000000000000071E-2</v>
      </c>
      <c r="BC69" s="35">
        <f t="shared" si="45"/>
        <v>8.5000000000000853E-2</v>
      </c>
      <c r="BD69" s="35">
        <f t="shared" si="45"/>
        <v>9.0000000000001634E-2</v>
      </c>
      <c r="BE69" s="35">
        <f t="shared" si="45"/>
        <v>9.5000000000000639E-2</v>
      </c>
      <c r="BF69" s="35">
        <f t="shared" si="45"/>
        <v>0.10000000000000142</v>
      </c>
      <c r="BG69" s="35">
        <f t="shared" si="45"/>
        <v>0.10500000000000043</v>
      </c>
      <c r="BH69" s="35">
        <f t="shared" si="45"/>
        <v>0.11000000000000121</v>
      </c>
      <c r="BI69" s="35">
        <f t="shared" si="45"/>
        <v>0.11500000000000021</v>
      </c>
      <c r="BJ69" s="35">
        <f t="shared" si="45"/>
        <v>0.12000000000000099</v>
      </c>
      <c r="BK69" s="35">
        <f t="shared" si="45"/>
        <v>0.12500000000000178</v>
      </c>
      <c r="BL69" s="35">
        <f t="shared" si="45"/>
        <v>0.13000000000000078</v>
      </c>
      <c r="BM69" s="35">
        <f t="shared" si="45"/>
        <v>0.13500000000000156</v>
      </c>
      <c r="BN69" s="35">
        <f t="shared" si="45"/>
        <v>0.14000000000000057</v>
      </c>
      <c r="BO69" s="35">
        <f t="shared" si="45"/>
        <v>0.14500000000000135</v>
      </c>
      <c r="BP69" s="27">
        <f>BE11</f>
        <v>0.15</v>
      </c>
    </row>
    <row r="70" spans="4:68" x14ac:dyDescent="0.3">
      <c r="D70" t="s">
        <v>40</v>
      </c>
      <c r="S70" s="27">
        <f>SUM(S67:S69)</f>
        <v>1</v>
      </c>
      <c r="T70" s="27">
        <f t="shared" ref="T70:BP70" si="46">SUM(T67:T69)</f>
        <v>1</v>
      </c>
      <c r="U70" s="27">
        <f t="shared" si="46"/>
        <v>1</v>
      </c>
      <c r="V70" s="27">
        <f t="shared" si="46"/>
        <v>1.0000000000000107</v>
      </c>
      <c r="W70" s="27">
        <f t="shared" si="46"/>
        <v>1</v>
      </c>
      <c r="X70" s="27">
        <f t="shared" si="46"/>
        <v>0.99999999999999956</v>
      </c>
      <c r="Y70" s="27">
        <f t="shared" si="46"/>
        <v>1.0000000000000009</v>
      </c>
      <c r="Z70" s="27">
        <f t="shared" si="46"/>
        <v>1</v>
      </c>
      <c r="AA70" s="27">
        <f t="shared" si="46"/>
        <v>1.0000000000000009</v>
      </c>
      <c r="AB70" s="27">
        <f t="shared" si="46"/>
        <v>1.0000000000000004</v>
      </c>
      <c r="AC70" s="27">
        <f t="shared" si="46"/>
        <v>1.0000000000000013</v>
      </c>
      <c r="AD70" s="27">
        <f t="shared" si="46"/>
        <v>0.99999999999999956</v>
      </c>
      <c r="AE70" s="27">
        <f t="shared" si="46"/>
        <v>0.99999999999999911</v>
      </c>
      <c r="AF70" s="27">
        <f t="shared" si="46"/>
        <v>1</v>
      </c>
      <c r="AG70" s="27">
        <f t="shared" si="46"/>
        <v>0.99999999999999911</v>
      </c>
      <c r="AH70" s="27">
        <f t="shared" si="46"/>
        <v>1</v>
      </c>
      <c r="AI70" s="27">
        <f t="shared" si="46"/>
        <v>0.99999999999999956</v>
      </c>
      <c r="AJ70" s="27">
        <f t="shared" si="46"/>
        <v>1.0000000000000004</v>
      </c>
      <c r="AK70" s="27">
        <f t="shared" si="46"/>
        <v>0.99999999999999956</v>
      </c>
      <c r="AL70" s="27">
        <f t="shared" si="46"/>
        <v>0.99999999999999911</v>
      </c>
      <c r="AM70" s="27">
        <f t="shared" si="46"/>
        <v>1</v>
      </c>
      <c r="AN70" s="27">
        <f t="shared" si="46"/>
        <v>0.99999999999999911</v>
      </c>
      <c r="AO70" s="27">
        <f t="shared" si="46"/>
        <v>1.0000000000000004</v>
      </c>
      <c r="AP70" s="27">
        <f t="shared" si="46"/>
        <v>0.99999999999999956</v>
      </c>
      <c r="AQ70" s="27">
        <f t="shared" si="46"/>
        <v>1.0000000000000004</v>
      </c>
      <c r="AR70" s="27">
        <f t="shared" si="46"/>
        <v>0.99999999999999956</v>
      </c>
      <c r="AS70" s="27">
        <f t="shared" si="46"/>
        <v>1.0000000000000009</v>
      </c>
      <c r="AT70" s="27">
        <f t="shared" si="46"/>
        <v>1</v>
      </c>
      <c r="AU70" s="27">
        <f t="shared" si="46"/>
        <v>0.99999999999999911</v>
      </c>
      <c r="AV70" s="27">
        <f t="shared" si="46"/>
        <v>1</v>
      </c>
      <c r="AW70" s="27">
        <f t="shared" si="46"/>
        <v>1.0000000000000004</v>
      </c>
      <c r="AX70" s="27">
        <f t="shared" si="46"/>
        <v>0.99999999999999956</v>
      </c>
      <c r="AY70" s="27">
        <f t="shared" si="46"/>
        <v>1.0000000000000009</v>
      </c>
      <c r="AZ70" s="27">
        <f t="shared" si="46"/>
        <v>1</v>
      </c>
      <c r="BA70" s="27">
        <f t="shared" si="46"/>
        <v>1.0000000000000013</v>
      </c>
      <c r="BB70" s="27">
        <f t="shared" si="46"/>
        <v>0.99999999999999867</v>
      </c>
      <c r="BC70" s="27">
        <f t="shared" si="46"/>
        <v>1</v>
      </c>
      <c r="BD70" s="27">
        <f t="shared" si="46"/>
        <v>1.0000000000000013</v>
      </c>
      <c r="BE70" s="27">
        <f t="shared" si="46"/>
        <v>1.0000000000000004</v>
      </c>
      <c r="BF70" s="27">
        <f t="shared" si="46"/>
        <v>1.0000000000000018</v>
      </c>
      <c r="BG70" s="27">
        <f t="shared" si="46"/>
        <v>0.99999999999999911</v>
      </c>
      <c r="BH70" s="27">
        <f t="shared" si="46"/>
        <v>1.0000000000000004</v>
      </c>
      <c r="BI70" s="27">
        <f t="shared" si="46"/>
        <v>0.99999999999999956</v>
      </c>
      <c r="BJ70" s="27">
        <f t="shared" si="46"/>
        <v>1.0000000000000009</v>
      </c>
      <c r="BK70" s="27">
        <f t="shared" si="46"/>
        <v>1.0000000000000022</v>
      </c>
      <c r="BL70" s="27">
        <f t="shared" si="46"/>
        <v>0.99999999999999956</v>
      </c>
      <c r="BM70" s="27">
        <f t="shared" si="46"/>
        <v>1.0000000000000009</v>
      </c>
      <c r="BN70" s="27">
        <f t="shared" si="46"/>
        <v>1</v>
      </c>
      <c r="BO70" s="27">
        <f t="shared" si="46"/>
        <v>1.0000000000000013</v>
      </c>
      <c r="BP70" s="27">
        <f t="shared" si="46"/>
        <v>1</v>
      </c>
    </row>
    <row r="72" spans="4:68" x14ac:dyDescent="0.3">
      <c r="R72" t="s">
        <v>46</v>
      </c>
      <c r="S72">
        <f>(W67-U67)/(W61-U61)</f>
        <v>0.19700000000000001</v>
      </c>
      <c r="V72" t="s">
        <v>46</v>
      </c>
      <c r="W72">
        <f>(AV67-W67)/(AV61-W61)</f>
        <v>-5.0000000000000001E-3</v>
      </c>
      <c r="AU72" t="s">
        <v>46</v>
      </c>
      <c r="AV72">
        <f>(BP67-AV67)/(BP61-AV61)</f>
        <v>-6.2500000000000003E-3</v>
      </c>
    </row>
    <row r="73" spans="4:68" x14ac:dyDescent="0.3">
      <c r="R73" t="s">
        <v>47</v>
      </c>
      <c r="S73" s="27">
        <f>U67-S72*U61</f>
        <v>-398.27500000000003</v>
      </c>
      <c r="V73" t="s">
        <v>47</v>
      </c>
      <c r="W73" s="27">
        <f>W67-W72*W61</f>
        <v>10.775</v>
      </c>
      <c r="AU73" t="s">
        <v>47</v>
      </c>
      <c r="AV73" s="27">
        <f>AV67-AV72*AV61</f>
        <v>13.3375</v>
      </c>
    </row>
    <row r="75" spans="4:68" x14ac:dyDescent="0.3">
      <c r="R75" t="s">
        <v>48</v>
      </c>
      <c r="S75">
        <f>(W68-U68)/(W61-U61)</f>
        <v>-0.20699999999999999</v>
      </c>
      <c r="V75" t="s">
        <v>48</v>
      </c>
      <c r="W75">
        <f>(AV68-W68)/(AV61-W61)</f>
        <v>3.7999999999999991E-3</v>
      </c>
      <c r="AU75" t="s">
        <v>48</v>
      </c>
      <c r="AV75">
        <f>(BP68-AV68)/(BP61-AV61)</f>
        <v>1.2500000000000011E-3</v>
      </c>
    </row>
    <row r="76" spans="4:68" x14ac:dyDescent="0.3">
      <c r="R76" t="s">
        <v>49</v>
      </c>
      <c r="S76" s="36">
        <f>U68-S75*U61</f>
        <v>419.505</v>
      </c>
      <c r="V76" t="s">
        <v>49</v>
      </c>
      <c r="W76" s="36">
        <f>W68-W75*W61</f>
        <v>-7.3649999999999984</v>
      </c>
      <c r="AU76" t="s">
        <v>49</v>
      </c>
      <c r="AV76" s="36">
        <f>AV68-AV75*AV61</f>
        <v>-2.1375000000000024</v>
      </c>
    </row>
    <row r="78" spans="4:68" x14ac:dyDescent="0.3">
      <c r="R78" t="s">
        <v>50</v>
      </c>
      <c r="S78">
        <f>(W69-U69)/(W61-U61)</f>
        <v>0.01</v>
      </c>
      <c r="V78" t="s">
        <v>50</v>
      </c>
      <c r="W78">
        <f>(AV69-W69)/(AV61-W61)</f>
        <v>1.2000000000000001E-3</v>
      </c>
      <c r="AU78" t="s">
        <v>50</v>
      </c>
      <c r="AV78">
        <f>(BP69-AV69)/(BP61-AV61)</f>
        <v>4.9999999999999992E-3</v>
      </c>
    </row>
    <row r="79" spans="4:68" x14ac:dyDescent="0.3">
      <c r="R79" t="s">
        <v>51</v>
      </c>
      <c r="S79" s="36">
        <f>U69-S78*U61</f>
        <v>-20.23</v>
      </c>
      <c r="V79" t="s">
        <v>51</v>
      </c>
      <c r="W79" s="36">
        <f>W69-W78*W61</f>
        <v>-2.41</v>
      </c>
      <c r="AU79" t="s">
        <v>51</v>
      </c>
      <c r="AV79" s="36">
        <f>AV69-AV78*AV61</f>
        <v>-10.199999999999998</v>
      </c>
    </row>
    <row r="82" spans="4:57" x14ac:dyDescent="0.3">
      <c r="H82">
        <v>2021</v>
      </c>
      <c r="I82">
        <v>2022</v>
      </c>
      <c r="J82">
        <v>2023</v>
      </c>
      <c r="K82">
        <v>2024</v>
      </c>
      <c r="L82">
        <v>2025</v>
      </c>
      <c r="M82">
        <v>2026</v>
      </c>
      <c r="N82">
        <v>2027</v>
      </c>
      <c r="O82">
        <v>2028</v>
      </c>
      <c r="P82">
        <v>2029</v>
      </c>
      <c r="Q82">
        <v>2030</v>
      </c>
      <c r="R82">
        <v>2031</v>
      </c>
      <c r="S82">
        <v>2032</v>
      </c>
      <c r="T82">
        <v>2033</v>
      </c>
      <c r="U82">
        <v>2034</v>
      </c>
      <c r="V82">
        <v>2035</v>
      </c>
      <c r="W82">
        <v>2036</v>
      </c>
      <c r="X82">
        <v>2037</v>
      </c>
      <c r="Y82">
        <v>2038</v>
      </c>
      <c r="Z82">
        <v>2039</v>
      </c>
      <c r="AA82">
        <v>2040</v>
      </c>
      <c r="AB82">
        <v>2041</v>
      </c>
      <c r="AC82">
        <v>2042</v>
      </c>
      <c r="AD82">
        <v>2043</v>
      </c>
      <c r="AE82">
        <v>2044</v>
      </c>
      <c r="AF82">
        <v>2045</v>
      </c>
      <c r="AG82">
        <v>2046</v>
      </c>
      <c r="AH82">
        <v>2047</v>
      </c>
      <c r="AI82">
        <v>2048</v>
      </c>
      <c r="AJ82">
        <v>2049</v>
      </c>
      <c r="AK82">
        <v>2050</v>
      </c>
      <c r="AL82">
        <v>2051</v>
      </c>
      <c r="AM82">
        <v>2052</v>
      </c>
      <c r="AN82">
        <v>2053</v>
      </c>
      <c r="AO82">
        <v>2054</v>
      </c>
      <c r="AP82">
        <v>2055</v>
      </c>
      <c r="AQ82">
        <v>2056</v>
      </c>
      <c r="AR82">
        <v>2057</v>
      </c>
      <c r="AS82">
        <v>2058</v>
      </c>
      <c r="AT82">
        <v>2059</v>
      </c>
      <c r="AU82">
        <v>2060</v>
      </c>
      <c r="AV82">
        <v>2061</v>
      </c>
      <c r="AW82">
        <v>2062</v>
      </c>
      <c r="AX82">
        <v>2063</v>
      </c>
      <c r="AY82">
        <v>2064</v>
      </c>
      <c r="AZ82">
        <v>2065</v>
      </c>
      <c r="BA82">
        <v>2066</v>
      </c>
      <c r="BB82">
        <v>2067</v>
      </c>
      <c r="BC82">
        <v>2068</v>
      </c>
      <c r="BD82">
        <v>2069</v>
      </c>
      <c r="BE82">
        <v>2070</v>
      </c>
    </row>
    <row r="84" spans="4:57" x14ac:dyDescent="0.3">
      <c r="D84" s="34" t="s">
        <v>41</v>
      </c>
    </row>
    <row r="85" spans="4:57" x14ac:dyDescent="0.3">
      <c r="D85" t="s">
        <v>42</v>
      </c>
      <c r="H85" s="27">
        <f>H15</f>
        <v>0.25</v>
      </c>
      <c r="I85" s="37">
        <f>H85</f>
        <v>0.25</v>
      </c>
      <c r="J85" s="37">
        <f>I85</f>
        <v>0.25</v>
      </c>
      <c r="K85" s="42">
        <f>$H$89*K82+$H$90</f>
        <v>0.25</v>
      </c>
      <c r="L85" s="27">
        <f>L15</f>
        <v>0.25</v>
      </c>
      <c r="M85" s="35">
        <f>$L$89*M82+$L$90</f>
        <v>0.25</v>
      </c>
      <c r="N85" s="35">
        <f t="shared" ref="N85:AJ85" si="47">$L$89*N82+$L$90</f>
        <v>0.25</v>
      </c>
      <c r="O85" s="35">
        <f t="shared" si="47"/>
        <v>0.25</v>
      </c>
      <c r="P85" s="35">
        <f t="shared" si="47"/>
        <v>0.25</v>
      </c>
      <c r="Q85" s="35">
        <f t="shared" si="47"/>
        <v>0.25</v>
      </c>
      <c r="R85" s="35">
        <f t="shared" si="47"/>
        <v>0.25</v>
      </c>
      <c r="S85" s="35">
        <f t="shared" si="47"/>
        <v>0.25</v>
      </c>
      <c r="T85" s="35">
        <f t="shared" si="47"/>
        <v>0.25</v>
      </c>
      <c r="U85" s="35">
        <f t="shared" si="47"/>
        <v>0.25</v>
      </c>
      <c r="V85" s="35">
        <f t="shared" si="47"/>
        <v>0.25</v>
      </c>
      <c r="W85" s="35">
        <f t="shared" si="47"/>
        <v>0.25</v>
      </c>
      <c r="X85" s="35">
        <f t="shared" si="47"/>
        <v>0.25</v>
      </c>
      <c r="Y85" s="35">
        <f t="shared" si="47"/>
        <v>0.25</v>
      </c>
      <c r="Z85" s="35">
        <f t="shared" si="47"/>
        <v>0.25</v>
      </c>
      <c r="AA85" s="35">
        <f t="shared" si="47"/>
        <v>0.25</v>
      </c>
      <c r="AB85" s="35">
        <f t="shared" si="47"/>
        <v>0.25</v>
      </c>
      <c r="AC85" s="35">
        <f t="shared" si="47"/>
        <v>0.25</v>
      </c>
      <c r="AD85" s="35">
        <f t="shared" si="47"/>
        <v>0.25</v>
      </c>
      <c r="AE85" s="35">
        <f t="shared" si="47"/>
        <v>0.25</v>
      </c>
      <c r="AF85" s="35">
        <f t="shared" si="47"/>
        <v>0.25</v>
      </c>
      <c r="AG85" s="35">
        <f t="shared" si="47"/>
        <v>0.25</v>
      </c>
      <c r="AH85" s="35">
        <f t="shared" si="47"/>
        <v>0.25</v>
      </c>
      <c r="AI85" s="35">
        <f t="shared" si="47"/>
        <v>0.25</v>
      </c>
      <c r="AJ85" s="35">
        <f t="shared" si="47"/>
        <v>0.25</v>
      </c>
      <c r="AK85" s="27">
        <f>AK15</f>
        <v>0.25</v>
      </c>
      <c r="AL85" s="35">
        <f>$AK$89*AL82+$AK$90</f>
        <v>0.25</v>
      </c>
      <c r="AM85" s="35">
        <f t="shared" ref="AM85:BD85" si="48">$AK$89*AM82+$AK$90</f>
        <v>0.25</v>
      </c>
      <c r="AN85" s="35">
        <f t="shared" si="48"/>
        <v>0.25</v>
      </c>
      <c r="AO85" s="35">
        <f t="shared" si="48"/>
        <v>0.25</v>
      </c>
      <c r="AP85" s="35">
        <f t="shared" si="48"/>
        <v>0.25</v>
      </c>
      <c r="AQ85" s="35">
        <f t="shared" si="48"/>
        <v>0.25</v>
      </c>
      <c r="AR85" s="35">
        <f t="shared" si="48"/>
        <v>0.25</v>
      </c>
      <c r="AS85" s="35">
        <f t="shared" si="48"/>
        <v>0.25</v>
      </c>
      <c r="AT85" s="35">
        <f t="shared" si="48"/>
        <v>0.25</v>
      </c>
      <c r="AU85" s="35">
        <f t="shared" si="48"/>
        <v>0.25</v>
      </c>
      <c r="AV85" s="35">
        <f t="shared" si="48"/>
        <v>0.25</v>
      </c>
      <c r="AW85" s="35">
        <f t="shared" si="48"/>
        <v>0.25</v>
      </c>
      <c r="AX85" s="35">
        <f t="shared" si="48"/>
        <v>0.25</v>
      </c>
      <c r="AY85" s="35">
        <f t="shared" si="48"/>
        <v>0.25</v>
      </c>
      <c r="AZ85" s="35">
        <f t="shared" si="48"/>
        <v>0.25</v>
      </c>
      <c r="BA85" s="35">
        <f t="shared" si="48"/>
        <v>0.25</v>
      </c>
      <c r="BB85" s="35">
        <f t="shared" si="48"/>
        <v>0.25</v>
      </c>
      <c r="BC85" s="35">
        <f t="shared" si="48"/>
        <v>0.25</v>
      </c>
      <c r="BD85" s="35">
        <f t="shared" si="48"/>
        <v>0.25</v>
      </c>
      <c r="BE85" s="27">
        <f>BE15</f>
        <v>0.25</v>
      </c>
    </row>
    <row r="86" spans="4:57" x14ac:dyDescent="0.3">
      <c r="D86" t="s">
        <v>43</v>
      </c>
      <c r="H86" s="27">
        <f>H16</f>
        <v>0.75</v>
      </c>
      <c r="I86" s="37">
        <f>H86</f>
        <v>0.75</v>
      </c>
      <c r="J86" s="37">
        <f>I86</f>
        <v>0.75</v>
      </c>
      <c r="K86" s="42">
        <f>$H$92*K82+$H$93</f>
        <v>0.75</v>
      </c>
      <c r="L86" s="27">
        <f>L16</f>
        <v>0.75</v>
      </c>
      <c r="M86" s="35">
        <f>$L$92*M82+$L$93</f>
        <v>0.75</v>
      </c>
      <c r="N86" s="35">
        <f t="shared" ref="N86:AJ86" si="49">$L$92*N82+$L$93</f>
        <v>0.75</v>
      </c>
      <c r="O86" s="35">
        <f t="shared" si="49"/>
        <v>0.75</v>
      </c>
      <c r="P86" s="35">
        <f t="shared" si="49"/>
        <v>0.75</v>
      </c>
      <c r="Q86" s="35">
        <f t="shared" si="49"/>
        <v>0.75</v>
      </c>
      <c r="R86" s="35">
        <f t="shared" si="49"/>
        <v>0.75</v>
      </c>
      <c r="S86" s="35">
        <f t="shared" si="49"/>
        <v>0.75</v>
      </c>
      <c r="T86" s="35">
        <f t="shared" si="49"/>
        <v>0.75</v>
      </c>
      <c r="U86" s="35">
        <f t="shared" si="49"/>
        <v>0.75</v>
      </c>
      <c r="V86" s="35">
        <f t="shared" si="49"/>
        <v>0.75</v>
      </c>
      <c r="W86" s="35">
        <f t="shared" si="49"/>
        <v>0.75</v>
      </c>
      <c r="X86" s="35">
        <f t="shared" si="49"/>
        <v>0.75</v>
      </c>
      <c r="Y86" s="35">
        <f t="shared" si="49"/>
        <v>0.75</v>
      </c>
      <c r="Z86" s="35">
        <f t="shared" si="49"/>
        <v>0.75</v>
      </c>
      <c r="AA86" s="35">
        <f t="shared" si="49"/>
        <v>0.75</v>
      </c>
      <c r="AB86" s="35">
        <f t="shared" si="49"/>
        <v>0.75</v>
      </c>
      <c r="AC86" s="35">
        <f t="shared" si="49"/>
        <v>0.75</v>
      </c>
      <c r="AD86" s="35">
        <f t="shared" si="49"/>
        <v>0.75</v>
      </c>
      <c r="AE86" s="35">
        <f t="shared" si="49"/>
        <v>0.75</v>
      </c>
      <c r="AF86" s="35">
        <f t="shared" si="49"/>
        <v>0.75</v>
      </c>
      <c r="AG86" s="35">
        <f t="shared" si="49"/>
        <v>0.75</v>
      </c>
      <c r="AH86" s="35">
        <f t="shared" si="49"/>
        <v>0.75</v>
      </c>
      <c r="AI86" s="35">
        <f t="shared" si="49"/>
        <v>0.75</v>
      </c>
      <c r="AJ86" s="35">
        <f t="shared" si="49"/>
        <v>0.75</v>
      </c>
      <c r="AK86" s="27">
        <f>AK16</f>
        <v>0.75</v>
      </c>
      <c r="AL86" s="35">
        <f>$AK$92*AL82+$AK$93</f>
        <v>0.75</v>
      </c>
      <c r="AM86" s="35">
        <f t="shared" ref="AM86:BD86" si="50">$AK$92*AM82+$AK$93</f>
        <v>0.75</v>
      </c>
      <c r="AN86" s="35">
        <f t="shared" si="50"/>
        <v>0.75</v>
      </c>
      <c r="AO86" s="35">
        <f t="shared" si="50"/>
        <v>0.75</v>
      </c>
      <c r="AP86" s="35">
        <f t="shared" si="50"/>
        <v>0.75</v>
      </c>
      <c r="AQ86" s="35">
        <f t="shared" si="50"/>
        <v>0.75</v>
      </c>
      <c r="AR86" s="35">
        <f t="shared" si="50"/>
        <v>0.75</v>
      </c>
      <c r="AS86" s="35">
        <f t="shared" si="50"/>
        <v>0.75</v>
      </c>
      <c r="AT86" s="35">
        <f t="shared" si="50"/>
        <v>0.75</v>
      </c>
      <c r="AU86" s="35">
        <f t="shared" si="50"/>
        <v>0.75</v>
      </c>
      <c r="AV86" s="35">
        <f t="shared" si="50"/>
        <v>0.75</v>
      </c>
      <c r="AW86" s="35">
        <f t="shared" si="50"/>
        <v>0.75</v>
      </c>
      <c r="AX86" s="35">
        <f t="shared" si="50"/>
        <v>0.75</v>
      </c>
      <c r="AY86" s="35">
        <f t="shared" si="50"/>
        <v>0.75</v>
      </c>
      <c r="AZ86" s="35">
        <f t="shared" si="50"/>
        <v>0.75</v>
      </c>
      <c r="BA86" s="35">
        <f t="shared" si="50"/>
        <v>0.75</v>
      </c>
      <c r="BB86" s="35">
        <f t="shared" si="50"/>
        <v>0.75</v>
      </c>
      <c r="BC86" s="35">
        <f t="shared" si="50"/>
        <v>0.75</v>
      </c>
      <c r="BD86" s="35">
        <f t="shared" si="50"/>
        <v>0.75</v>
      </c>
      <c r="BE86" s="27">
        <f>BE16</f>
        <v>0.75</v>
      </c>
    </row>
    <row r="87" spans="4:57" x14ac:dyDescent="0.3">
      <c r="D87" t="s">
        <v>40</v>
      </c>
      <c r="H87" s="27">
        <f>SUM(H85:H86)</f>
        <v>1</v>
      </c>
      <c r="I87" s="27">
        <f t="shared" ref="I87:BE87" si="51">SUM(I85:I86)</f>
        <v>1</v>
      </c>
      <c r="J87" s="27">
        <f t="shared" si="51"/>
        <v>1</v>
      </c>
      <c r="K87" s="27">
        <f t="shared" si="51"/>
        <v>1</v>
      </c>
      <c r="L87" s="27">
        <f t="shared" si="51"/>
        <v>1</v>
      </c>
      <c r="M87" s="27">
        <f t="shared" si="51"/>
        <v>1</v>
      </c>
      <c r="N87" s="27">
        <f t="shared" si="51"/>
        <v>1</v>
      </c>
      <c r="O87" s="27">
        <f t="shared" si="51"/>
        <v>1</v>
      </c>
      <c r="P87" s="27">
        <f t="shared" si="51"/>
        <v>1</v>
      </c>
      <c r="Q87" s="27">
        <f t="shared" si="51"/>
        <v>1</v>
      </c>
      <c r="R87" s="27">
        <f t="shared" si="51"/>
        <v>1</v>
      </c>
      <c r="S87" s="27">
        <f t="shared" si="51"/>
        <v>1</v>
      </c>
      <c r="T87" s="27">
        <f t="shared" si="51"/>
        <v>1</v>
      </c>
      <c r="U87" s="27">
        <f t="shared" si="51"/>
        <v>1</v>
      </c>
      <c r="V87" s="27">
        <f t="shared" si="51"/>
        <v>1</v>
      </c>
      <c r="W87" s="27">
        <f t="shared" si="51"/>
        <v>1</v>
      </c>
      <c r="X87" s="27">
        <f t="shared" si="51"/>
        <v>1</v>
      </c>
      <c r="Y87" s="27">
        <f t="shared" si="51"/>
        <v>1</v>
      </c>
      <c r="Z87" s="27">
        <f t="shared" si="51"/>
        <v>1</v>
      </c>
      <c r="AA87" s="27">
        <f t="shared" si="51"/>
        <v>1</v>
      </c>
      <c r="AB87" s="27">
        <f t="shared" si="51"/>
        <v>1</v>
      </c>
      <c r="AC87" s="27">
        <f t="shared" si="51"/>
        <v>1</v>
      </c>
      <c r="AD87" s="27">
        <f t="shared" si="51"/>
        <v>1</v>
      </c>
      <c r="AE87" s="27">
        <f t="shared" si="51"/>
        <v>1</v>
      </c>
      <c r="AF87" s="27">
        <f t="shared" si="51"/>
        <v>1</v>
      </c>
      <c r="AG87" s="27">
        <f t="shared" si="51"/>
        <v>1</v>
      </c>
      <c r="AH87" s="27">
        <f t="shared" si="51"/>
        <v>1</v>
      </c>
      <c r="AI87" s="27">
        <f t="shared" si="51"/>
        <v>1</v>
      </c>
      <c r="AJ87" s="27">
        <f t="shared" si="51"/>
        <v>1</v>
      </c>
      <c r="AK87" s="27">
        <f t="shared" si="51"/>
        <v>1</v>
      </c>
      <c r="AL87" s="27">
        <f t="shared" si="51"/>
        <v>1</v>
      </c>
      <c r="AM87" s="27">
        <f t="shared" si="51"/>
        <v>1</v>
      </c>
      <c r="AN87" s="27">
        <f t="shared" si="51"/>
        <v>1</v>
      </c>
      <c r="AO87" s="27">
        <f t="shared" si="51"/>
        <v>1</v>
      </c>
      <c r="AP87" s="27">
        <f t="shared" si="51"/>
        <v>1</v>
      </c>
      <c r="AQ87" s="27">
        <f t="shared" si="51"/>
        <v>1</v>
      </c>
      <c r="AR87" s="27">
        <f t="shared" si="51"/>
        <v>1</v>
      </c>
      <c r="AS87" s="27">
        <f t="shared" si="51"/>
        <v>1</v>
      </c>
      <c r="AT87" s="27">
        <f t="shared" si="51"/>
        <v>1</v>
      </c>
      <c r="AU87" s="27">
        <f t="shared" si="51"/>
        <v>1</v>
      </c>
      <c r="AV87" s="27">
        <f t="shared" si="51"/>
        <v>1</v>
      </c>
      <c r="AW87" s="27">
        <f t="shared" si="51"/>
        <v>1</v>
      </c>
      <c r="AX87" s="27">
        <f t="shared" si="51"/>
        <v>1</v>
      </c>
      <c r="AY87" s="27">
        <f t="shared" si="51"/>
        <v>1</v>
      </c>
      <c r="AZ87" s="27">
        <f t="shared" si="51"/>
        <v>1</v>
      </c>
      <c r="BA87" s="27">
        <f t="shared" si="51"/>
        <v>1</v>
      </c>
      <c r="BB87" s="27">
        <f t="shared" si="51"/>
        <v>1</v>
      </c>
      <c r="BC87" s="27">
        <f t="shared" si="51"/>
        <v>1</v>
      </c>
      <c r="BD87" s="27">
        <f t="shared" si="51"/>
        <v>1</v>
      </c>
      <c r="BE87" s="27">
        <f t="shared" si="51"/>
        <v>1</v>
      </c>
    </row>
    <row r="89" spans="4:57" x14ac:dyDescent="0.3">
      <c r="G89" t="s">
        <v>46</v>
      </c>
      <c r="H89">
        <f>(L85-J85)/(L82-J82)</f>
        <v>0</v>
      </c>
      <c r="K89" t="s">
        <v>46</v>
      </c>
      <c r="L89">
        <f>(AK85-L85)/(AK82-L82)</f>
        <v>0</v>
      </c>
      <c r="AJ89" t="s">
        <v>46</v>
      </c>
      <c r="AK89">
        <f>(BE85-AK85)/(BE82-AK82)</f>
        <v>0</v>
      </c>
    </row>
    <row r="90" spans="4:57" x14ac:dyDescent="0.3">
      <c r="G90" t="s">
        <v>47</v>
      </c>
      <c r="H90" s="27">
        <f>J85-H89*J82</f>
        <v>0.25</v>
      </c>
      <c r="K90" t="s">
        <v>47</v>
      </c>
      <c r="L90" s="27">
        <f>L85-L89*L82</f>
        <v>0.25</v>
      </c>
      <c r="AJ90" t="s">
        <v>47</v>
      </c>
      <c r="AK90" s="27">
        <f>AK85-AK89*AK82</f>
        <v>0.25</v>
      </c>
    </row>
    <row r="92" spans="4:57" x14ac:dyDescent="0.3">
      <c r="G92" t="s">
        <v>48</v>
      </c>
      <c r="H92">
        <f>(L86-J86)/(L82-J82)</f>
        <v>0</v>
      </c>
      <c r="K92" t="s">
        <v>48</v>
      </c>
      <c r="L92">
        <f>(AK86-L86)/(AK82-L82)</f>
        <v>0</v>
      </c>
      <c r="AJ92" t="s">
        <v>48</v>
      </c>
      <c r="AK92">
        <f>(BE86-AK86)/(BE82-AK82)</f>
        <v>0</v>
      </c>
    </row>
    <row r="93" spans="4:57" x14ac:dyDescent="0.3">
      <c r="G93" t="s">
        <v>49</v>
      </c>
      <c r="H93" s="25">
        <f>J86-H92*J82</f>
        <v>0.75</v>
      </c>
      <c r="K93" t="s">
        <v>49</v>
      </c>
      <c r="L93" s="36">
        <f>L86-L92*L82</f>
        <v>0.75</v>
      </c>
      <c r="AJ93" t="s">
        <v>49</v>
      </c>
      <c r="AK93" s="36">
        <f>AK86-AK92*AK82</f>
        <v>0.75</v>
      </c>
    </row>
    <row r="98" spans="4:57" x14ac:dyDescent="0.3">
      <c r="D98" s="24" t="s">
        <v>34</v>
      </c>
      <c r="H98">
        <v>2021</v>
      </c>
      <c r="I98">
        <v>2022</v>
      </c>
      <c r="J98">
        <v>2023</v>
      </c>
      <c r="K98">
        <v>2024</v>
      </c>
      <c r="L98">
        <v>2025</v>
      </c>
      <c r="M98">
        <v>2026</v>
      </c>
      <c r="N98">
        <v>2027</v>
      </c>
      <c r="O98">
        <v>2028</v>
      </c>
      <c r="P98">
        <v>2029</v>
      </c>
      <c r="Q98">
        <v>2030</v>
      </c>
      <c r="R98">
        <v>2031</v>
      </c>
      <c r="S98">
        <v>2032</v>
      </c>
      <c r="T98">
        <v>2033</v>
      </c>
      <c r="U98">
        <v>2034</v>
      </c>
      <c r="V98">
        <v>2035</v>
      </c>
      <c r="W98">
        <v>2036</v>
      </c>
      <c r="X98">
        <v>2037</v>
      </c>
      <c r="Y98">
        <v>2038</v>
      </c>
      <c r="Z98">
        <v>2039</v>
      </c>
      <c r="AA98">
        <v>2040</v>
      </c>
      <c r="AB98">
        <v>2041</v>
      </c>
      <c r="AC98">
        <v>2042</v>
      </c>
      <c r="AD98">
        <v>2043</v>
      </c>
      <c r="AE98">
        <v>2044</v>
      </c>
      <c r="AF98">
        <v>2045</v>
      </c>
      <c r="AG98">
        <v>2046</v>
      </c>
      <c r="AH98">
        <v>2047</v>
      </c>
      <c r="AI98">
        <v>2048</v>
      </c>
      <c r="AJ98">
        <v>2049</v>
      </c>
      <c r="AK98">
        <v>2050</v>
      </c>
      <c r="AL98">
        <v>2051</v>
      </c>
      <c r="AM98">
        <v>2052</v>
      </c>
      <c r="AN98">
        <v>2053</v>
      </c>
      <c r="AO98">
        <v>2054</v>
      </c>
      <c r="AP98">
        <v>2055</v>
      </c>
      <c r="AQ98">
        <v>2056</v>
      </c>
      <c r="AR98">
        <v>2057</v>
      </c>
      <c r="AS98">
        <v>2058</v>
      </c>
      <c r="AT98">
        <v>2059</v>
      </c>
      <c r="AU98">
        <v>2060</v>
      </c>
      <c r="AV98">
        <v>2061</v>
      </c>
      <c r="AW98">
        <v>2062</v>
      </c>
      <c r="AX98">
        <v>2063</v>
      </c>
      <c r="AY98">
        <v>2064</v>
      </c>
      <c r="AZ98">
        <v>2065</v>
      </c>
      <c r="BA98">
        <v>2066</v>
      </c>
      <c r="BB98">
        <v>2067</v>
      </c>
      <c r="BC98">
        <v>2068</v>
      </c>
      <c r="BD98">
        <v>2069</v>
      </c>
      <c r="BE98">
        <v>2070</v>
      </c>
    </row>
    <row r="100" spans="4:57" x14ac:dyDescent="0.3">
      <c r="D100" s="34" t="s">
        <v>36</v>
      </c>
    </row>
    <row r="101" spans="4:57" x14ac:dyDescent="0.3">
      <c r="D101" t="s">
        <v>37</v>
      </c>
      <c r="H101" s="27">
        <f>H26</f>
        <v>0.75</v>
      </c>
      <c r="I101" s="37">
        <f t="shared" ref="I101:J103" si="52">H101</f>
        <v>0.75</v>
      </c>
      <c r="J101" s="37">
        <f t="shared" si="52"/>
        <v>0.75</v>
      </c>
      <c r="K101" s="42">
        <f>$H$107*K98+$H$108</f>
        <v>0.70000000000000284</v>
      </c>
      <c r="L101" s="27">
        <f>L26</f>
        <v>0.65</v>
      </c>
      <c r="M101" s="35">
        <f>$L$107*M98+$L$108</f>
        <v>0.63599999999999923</v>
      </c>
      <c r="N101" s="35">
        <f t="shared" ref="N101:AJ101" si="53">$L$107*N98+$L$108</f>
        <v>0.62199999999999989</v>
      </c>
      <c r="O101" s="35">
        <f t="shared" si="53"/>
        <v>0.60800000000000054</v>
      </c>
      <c r="P101" s="35">
        <f t="shared" si="53"/>
        <v>0.59400000000000119</v>
      </c>
      <c r="Q101" s="35">
        <f t="shared" si="53"/>
        <v>0.57999999999999829</v>
      </c>
      <c r="R101" s="35">
        <f t="shared" si="53"/>
        <v>0.56599999999999895</v>
      </c>
      <c r="S101" s="35">
        <f t="shared" si="53"/>
        <v>0.5519999999999996</v>
      </c>
      <c r="T101" s="35">
        <f t="shared" si="53"/>
        <v>0.53800000000000026</v>
      </c>
      <c r="U101" s="35">
        <f t="shared" si="53"/>
        <v>0.52400000000000091</v>
      </c>
      <c r="V101" s="35">
        <f t="shared" si="53"/>
        <v>0.50999999999999801</v>
      </c>
      <c r="W101" s="35">
        <f t="shared" si="53"/>
        <v>0.49599999999999866</v>
      </c>
      <c r="X101" s="35">
        <f t="shared" si="53"/>
        <v>0.48199999999999932</v>
      </c>
      <c r="Y101" s="35">
        <f t="shared" si="53"/>
        <v>0.46799999999999997</v>
      </c>
      <c r="Z101" s="35">
        <f t="shared" si="53"/>
        <v>0.45400000000000063</v>
      </c>
      <c r="AA101" s="35">
        <f t="shared" si="53"/>
        <v>0.43999999999999773</v>
      </c>
      <c r="AB101" s="35">
        <f t="shared" si="53"/>
        <v>0.42599999999999838</v>
      </c>
      <c r="AC101" s="35">
        <f t="shared" si="53"/>
        <v>0.41199999999999903</v>
      </c>
      <c r="AD101" s="35">
        <f t="shared" si="53"/>
        <v>0.39799999999999969</v>
      </c>
      <c r="AE101" s="35">
        <f t="shared" si="53"/>
        <v>0.38400000000000034</v>
      </c>
      <c r="AF101" s="35">
        <f t="shared" si="53"/>
        <v>0.37000000000000099</v>
      </c>
      <c r="AG101" s="35">
        <f t="shared" si="53"/>
        <v>0.3559999999999981</v>
      </c>
      <c r="AH101" s="35">
        <f t="shared" si="53"/>
        <v>0.34199999999999875</v>
      </c>
      <c r="AI101" s="35">
        <f t="shared" si="53"/>
        <v>0.3279999999999994</v>
      </c>
      <c r="AJ101" s="35">
        <f t="shared" si="53"/>
        <v>0.31400000000000006</v>
      </c>
      <c r="AK101" s="27">
        <f>AK26</f>
        <v>0.3</v>
      </c>
      <c r="AL101" s="35">
        <f>$AK$106*AL98+$AK$107</f>
        <v>0.28999999999999915</v>
      </c>
      <c r="AM101" s="35">
        <f t="shared" ref="AM101:BD101" si="54">$AK$106*AM98+$AK$107</f>
        <v>0.28000000000000114</v>
      </c>
      <c r="AN101" s="35">
        <f t="shared" si="54"/>
        <v>0.26999999999999957</v>
      </c>
      <c r="AO101" s="35">
        <f t="shared" si="54"/>
        <v>0.26000000000000156</v>
      </c>
      <c r="AP101" s="35">
        <f t="shared" si="54"/>
        <v>0.25</v>
      </c>
      <c r="AQ101" s="35">
        <f t="shared" si="54"/>
        <v>0.24000000000000199</v>
      </c>
      <c r="AR101" s="35">
        <f t="shared" si="54"/>
        <v>0.23000000000000043</v>
      </c>
      <c r="AS101" s="35">
        <f t="shared" si="54"/>
        <v>0.21999999999999886</v>
      </c>
      <c r="AT101" s="35">
        <f t="shared" si="54"/>
        <v>0.21000000000000085</v>
      </c>
      <c r="AU101" s="35">
        <f t="shared" si="54"/>
        <v>0.19999999999999929</v>
      </c>
      <c r="AV101" s="35">
        <f t="shared" si="54"/>
        <v>0.19000000000000128</v>
      </c>
      <c r="AW101" s="35">
        <f t="shared" si="54"/>
        <v>0.17999999999999972</v>
      </c>
      <c r="AX101" s="35">
        <f t="shared" si="54"/>
        <v>0.17000000000000171</v>
      </c>
      <c r="AY101" s="35">
        <f t="shared" si="54"/>
        <v>0.16000000000000014</v>
      </c>
      <c r="AZ101" s="35">
        <f t="shared" si="54"/>
        <v>0.14999999999999858</v>
      </c>
      <c r="BA101" s="35">
        <f t="shared" si="54"/>
        <v>0.14000000000000057</v>
      </c>
      <c r="BB101" s="35">
        <f t="shared" si="54"/>
        <v>0.12999999999999901</v>
      </c>
      <c r="BC101" s="35">
        <f t="shared" si="54"/>
        <v>0.12000000000000099</v>
      </c>
      <c r="BD101" s="35">
        <f t="shared" si="54"/>
        <v>0.10999999999999943</v>
      </c>
      <c r="BE101" s="37">
        <f>BE26</f>
        <v>0.1</v>
      </c>
    </row>
    <row r="102" spans="4:57" x14ac:dyDescent="0.3">
      <c r="D102" t="s">
        <v>38</v>
      </c>
      <c r="H102" s="27">
        <f>H27</f>
        <v>0.25</v>
      </c>
      <c r="I102" s="37">
        <f t="shared" si="52"/>
        <v>0.25</v>
      </c>
      <c r="J102" s="37">
        <f t="shared" si="52"/>
        <v>0.25</v>
      </c>
      <c r="K102" s="42">
        <f>$H$110*K98+$H$111</f>
        <v>0.29000000000000625</v>
      </c>
      <c r="L102" s="27">
        <f>L27</f>
        <v>0.33</v>
      </c>
      <c r="M102" s="35">
        <f>$L$110*M98+$L$111</f>
        <v>0.33680000000000021</v>
      </c>
      <c r="N102" s="35">
        <f t="shared" ref="N102:AJ102" si="55">$L$110*N98+$L$111</f>
        <v>0.34360000000000035</v>
      </c>
      <c r="O102" s="35">
        <f t="shared" si="55"/>
        <v>0.35040000000000049</v>
      </c>
      <c r="P102" s="35">
        <f t="shared" si="55"/>
        <v>0.35719999999999885</v>
      </c>
      <c r="Q102" s="35">
        <f t="shared" si="55"/>
        <v>0.36399999999999899</v>
      </c>
      <c r="R102" s="35">
        <f t="shared" si="55"/>
        <v>0.37079999999999913</v>
      </c>
      <c r="S102" s="35">
        <f t="shared" si="55"/>
        <v>0.37759999999999927</v>
      </c>
      <c r="T102" s="35">
        <f t="shared" si="55"/>
        <v>0.38439999999999941</v>
      </c>
      <c r="U102" s="35">
        <f t="shared" si="55"/>
        <v>0.39119999999999955</v>
      </c>
      <c r="V102" s="35">
        <f t="shared" si="55"/>
        <v>0.39799999999999969</v>
      </c>
      <c r="W102" s="35">
        <f t="shared" si="55"/>
        <v>0.40479999999999983</v>
      </c>
      <c r="X102" s="35">
        <f t="shared" si="55"/>
        <v>0.41159999999999997</v>
      </c>
      <c r="Y102" s="35">
        <f t="shared" si="55"/>
        <v>0.41840000000000011</v>
      </c>
      <c r="Z102" s="35">
        <f t="shared" si="55"/>
        <v>0.42520000000000024</v>
      </c>
      <c r="AA102" s="35">
        <f t="shared" si="55"/>
        <v>0.43200000000000038</v>
      </c>
      <c r="AB102" s="35">
        <f t="shared" si="55"/>
        <v>0.43880000000000052</v>
      </c>
      <c r="AC102" s="35">
        <f t="shared" si="55"/>
        <v>0.44559999999999889</v>
      </c>
      <c r="AD102" s="35">
        <f t="shared" si="55"/>
        <v>0.45239999999999903</v>
      </c>
      <c r="AE102" s="35">
        <f t="shared" si="55"/>
        <v>0.45919999999999916</v>
      </c>
      <c r="AF102" s="35">
        <f t="shared" si="55"/>
        <v>0.4659999999999993</v>
      </c>
      <c r="AG102" s="35">
        <f t="shared" si="55"/>
        <v>0.47279999999999944</v>
      </c>
      <c r="AH102" s="35">
        <f t="shared" si="55"/>
        <v>0.47959999999999958</v>
      </c>
      <c r="AI102" s="35">
        <f t="shared" si="55"/>
        <v>0.48639999999999972</v>
      </c>
      <c r="AJ102" s="35">
        <f t="shared" si="55"/>
        <v>0.49319999999999986</v>
      </c>
      <c r="AK102" s="27">
        <f>AK27</f>
        <v>0.5</v>
      </c>
      <c r="AL102" s="35">
        <f>$AK$109*AL98+$AK$110</f>
        <v>0.5</v>
      </c>
      <c r="AM102" s="35">
        <f t="shared" ref="AM102:BD102" si="56">$AK$109*AM98+$AK$110</f>
        <v>0.5</v>
      </c>
      <c r="AN102" s="35">
        <f t="shared" si="56"/>
        <v>0.5</v>
      </c>
      <c r="AO102" s="35">
        <f t="shared" si="56"/>
        <v>0.5</v>
      </c>
      <c r="AP102" s="35">
        <f t="shared" si="56"/>
        <v>0.5</v>
      </c>
      <c r="AQ102" s="35">
        <f t="shared" si="56"/>
        <v>0.5</v>
      </c>
      <c r="AR102" s="35">
        <f t="shared" si="56"/>
        <v>0.5</v>
      </c>
      <c r="AS102" s="35">
        <f t="shared" si="56"/>
        <v>0.5</v>
      </c>
      <c r="AT102" s="35">
        <f t="shared" si="56"/>
        <v>0.5</v>
      </c>
      <c r="AU102" s="35">
        <f t="shared" si="56"/>
        <v>0.5</v>
      </c>
      <c r="AV102" s="35">
        <f t="shared" si="56"/>
        <v>0.5</v>
      </c>
      <c r="AW102" s="35">
        <f t="shared" si="56"/>
        <v>0.5</v>
      </c>
      <c r="AX102" s="35">
        <f t="shared" si="56"/>
        <v>0.5</v>
      </c>
      <c r="AY102" s="35">
        <f t="shared" si="56"/>
        <v>0.5</v>
      </c>
      <c r="AZ102" s="35">
        <f t="shared" si="56"/>
        <v>0.5</v>
      </c>
      <c r="BA102" s="35">
        <f t="shared" si="56"/>
        <v>0.5</v>
      </c>
      <c r="BB102" s="35">
        <f t="shared" si="56"/>
        <v>0.5</v>
      </c>
      <c r="BC102" s="35">
        <f t="shared" si="56"/>
        <v>0.5</v>
      </c>
      <c r="BD102" s="35">
        <f t="shared" si="56"/>
        <v>0.5</v>
      </c>
      <c r="BE102" s="37">
        <f>BE27</f>
        <v>0.5</v>
      </c>
    </row>
    <row r="103" spans="4:57" x14ac:dyDescent="0.3">
      <c r="D103" t="s">
        <v>39</v>
      </c>
      <c r="H103" s="27">
        <f>H28</f>
        <v>0</v>
      </c>
      <c r="I103" s="37">
        <f t="shared" si="52"/>
        <v>0</v>
      </c>
      <c r="J103" s="37">
        <f t="shared" si="52"/>
        <v>0</v>
      </c>
      <c r="K103" s="42">
        <f>$H$113*K98+$H$114</f>
        <v>1.0000000000001563E-2</v>
      </c>
      <c r="L103" s="27">
        <f>L28</f>
        <v>0.02</v>
      </c>
      <c r="M103" s="35">
        <f>$L$113*M98+$L$114</f>
        <v>2.7199999999998781E-2</v>
      </c>
      <c r="N103" s="35">
        <f t="shared" ref="N103:AJ103" si="57">$L$113*N98+$L$114</f>
        <v>3.4399999999999764E-2</v>
      </c>
      <c r="O103" s="35">
        <f t="shared" si="57"/>
        <v>4.1599999999998971E-2</v>
      </c>
      <c r="P103" s="35">
        <f t="shared" si="57"/>
        <v>4.8799999999999955E-2</v>
      </c>
      <c r="Q103" s="35">
        <f t="shared" si="57"/>
        <v>5.5999999999999162E-2</v>
      </c>
      <c r="R103" s="35">
        <f t="shared" si="57"/>
        <v>6.3199999999998369E-2</v>
      </c>
      <c r="S103" s="35">
        <f t="shared" si="57"/>
        <v>7.0399999999999352E-2</v>
      </c>
      <c r="T103" s="35">
        <f t="shared" si="57"/>
        <v>7.7599999999998559E-2</v>
      </c>
      <c r="U103" s="35">
        <f t="shared" si="57"/>
        <v>8.4799999999999542E-2</v>
      </c>
      <c r="V103" s="35">
        <f t="shared" si="57"/>
        <v>9.1999999999998749E-2</v>
      </c>
      <c r="W103" s="35">
        <f t="shared" si="57"/>
        <v>9.9199999999999733E-2</v>
      </c>
      <c r="X103" s="35">
        <f t="shared" si="57"/>
        <v>0.10639999999999894</v>
      </c>
      <c r="Y103" s="35">
        <f t="shared" si="57"/>
        <v>0.11359999999999992</v>
      </c>
      <c r="Z103" s="35">
        <f t="shared" si="57"/>
        <v>0.12079999999999913</v>
      </c>
      <c r="AA103" s="35">
        <f t="shared" si="57"/>
        <v>0.12799999999999834</v>
      </c>
      <c r="AB103" s="35">
        <f t="shared" si="57"/>
        <v>0.13519999999999932</v>
      </c>
      <c r="AC103" s="35">
        <f t="shared" si="57"/>
        <v>0.14239999999999853</v>
      </c>
      <c r="AD103" s="35">
        <f t="shared" si="57"/>
        <v>0.14959999999999951</v>
      </c>
      <c r="AE103" s="35">
        <f t="shared" si="57"/>
        <v>0.15679999999999872</v>
      </c>
      <c r="AF103" s="35">
        <f t="shared" si="57"/>
        <v>0.1639999999999997</v>
      </c>
      <c r="AG103" s="35">
        <f t="shared" si="57"/>
        <v>0.17119999999999891</v>
      </c>
      <c r="AH103" s="35">
        <f t="shared" si="57"/>
        <v>0.17839999999999989</v>
      </c>
      <c r="AI103" s="35">
        <f t="shared" si="57"/>
        <v>0.1855999999999991</v>
      </c>
      <c r="AJ103" s="35">
        <f t="shared" si="57"/>
        <v>0.19279999999999831</v>
      </c>
      <c r="AK103" s="27">
        <f>AK28</f>
        <v>0.2</v>
      </c>
      <c r="AL103" s="35">
        <f>$AK$112*AL98+$AK$113</f>
        <v>0.21000000000000085</v>
      </c>
      <c r="AM103" s="35">
        <f t="shared" ref="AM103:BD103" si="58">$AK$112*AM98+$AK$113</f>
        <v>0.21999999999999886</v>
      </c>
      <c r="AN103" s="35">
        <f t="shared" si="58"/>
        <v>0.23000000000000043</v>
      </c>
      <c r="AO103" s="35">
        <f t="shared" si="58"/>
        <v>0.23999999999999844</v>
      </c>
      <c r="AP103" s="35">
        <f t="shared" si="58"/>
        <v>0.25</v>
      </c>
      <c r="AQ103" s="35">
        <f t="shared" si="58"/>
        <v>0.25999999999999801</v>
      </c>
      <c r="AR103" s="35">
        <f t="shared" si="58"/>
        <v>0.26999999999999957</v>
      </c>
      <c r="AS103" s="35">
        <f t="shared" si="58"/>
        <v>0.28000000000000114</v>
      </c>
      <c r="AT103" s="35">
        <f t="shared" si="58"/>
        <v>0.28999999999999915</v>
      </c>
      <c r="AU103" s="35">
        <f t="shared" si="58"/>
        <v>0.30000000000000071</v>
      </c>
      <c r="AV103" s="35">
        <f t="shared" si="58"/>
        <v>0.30999999999999872</v>
      </c>
      <c r="AW103" s="35">
        <f t="shared" si="58"/>
        <v>0.32000000000000028</v>
      </c>
      <c r="AX103" s="35">
        <f t="shared" si="58"/>
        <v>0.32999999999999829</v>
      </c>
      <c r="AY103" s="35">
        <f t="shared" si="58"/>
        <v>0.33999999999999986</v>
      </c>
      <c r="AZ103" s="35">
        <f t="shared" si="58"/>
        <v>0.35000000000000142</v>
      </c>
      <c r="BA103" s="35">
        <f t="shared" si="58"/>
        <v>0.35999999999999943</v>
      </c>
      <c r="BB103" s="35">
        <f t="shared" si="58"/>
        <v>0.37000000000000099</v>
      </c>
      <c r="BC103" s="35">
        <f t="shared" si="58"/>
        <v>0.37999999999999901</v>
      </c>
      <c r="BD103" s="35">
        <f t="shared" si="58"/>
        <v>0.39000000000000057</v>
      </c>
      <c r="BE103" s="37">
        <f>BE28</f>
        <v>0.4</v>
      </c>
    </row>
    <row r="104" spans="4:57" x14ac:dyDescent="0.3">
      <c r="D104" t="s">
        <v>40</v>
      </c>
      <c r="H104" s="27">
        <f>SUM(H101:H103)</f>
        <v>1</v>
      </c>
      <c r="I104" s="27">
        <f t="shared" ref="I104:BE104" si="59">SUM(I101:I103)</f>
        <v>1</v>
      </c>
      <c r="J104" s="27">
        <f t="shared" si="59"/>
        <v>1</v>
      </c>
      <c r="K104" s="27">
        <f t="shared" si="59"/>
        <v>1.0000000000000107</v>
      </c>
      <c r="L104" s="27">
        <f t="shared" si="59"/>
        <v>1</v>
      </c>
      <c r="M104" s="27">
        <f t="shared" si="59"/>
        <v>0.99999999999999822</v>
      </c>
      <c r="N104" s="27">
        <f t="shared" si="59"/>
        <v>1</v>
      </c>
      <c r="O104" s="27">
        <f t="shared" si="59"/>
        <v>1</v>
      </c>
      <c r="P104" s="27">
        <f t="shared" si="59"/>
        <v>1</v>
      </c>
      <c r="Q104" s="27">
        <f t="shared" si="59"/>
        <v>0.99999999999999645</v>
      </c>
      <c r="R104" s="27">
        <f t="shared" si="59"/>
        <v>0.99999999999999645</v>
      </c>
      <c r="S104" s="27">
        <f t="shared" si="59"/>
        <v>0.99999999999999822</v>
      </c>
      <c r="T104" s="27">
        <f t="shared" si="59"/>
        <v>0.99999999999999822</v>
      </c>
      <c r="U104" s="27">
        <f t="shared" si="59"/>
        <v>1</v>
      </c>
      <c r="V104" s="27">
        <f t="shared" si="59"/>
        <v>0.99999999999999645</v>
      </c>
      <c r="W104" s="27">
        <f t="shared" si="59"/>
        <v>0.99999999999999822</v>
      </c>
      <c r="X104" s="27">
        <f t="shared" si="59"/>
        <v>0.99999999999999822</v>
      </c>
      <c r="Y104" s="27">
        <f t="shared" si="59"/>
        <v>1</v>
      </c>
      <c r="Z104" s="27">
        <f t="shared" si="59"/>
        <v>1</v>
      </c>
      <c r="AA104" s="27">
        <f t="shared" si="59"/>
        <v>0.99999999999999645</v>
      </c>
      <c r="AB104" s="27">
        <f t="shared" si="59"/>
        <v>0.99999999999999822</v>
      </c>
      <c r="AC104" s="27">
        <f t="shared" si="59"/>
        <v>0.99999999999999645</v>
      </c>
      <c r="AD104" s="27">
        <f t="shared" si="59"/>
        <v>0.99999999999999822</v>
      </c>
      <c r="AE104" s="27">
        <f t="shared" si="59"/>
        <v>0.99999999999999822</v>
      </c>
      <c r="AF104" s="27">
        <f t="shared" si="59"/>
        <v>1</v>
      </c>
      <c r="AG104" s="27">
        <f t="shared" si="59"/>
        <v>0.99999999999999645</v>
      </c>
      <c r="AH104" s="27">
        <f t="shared" si="59"/>
        <v>0.99999999999999822</v>
      </c>
      <c r="AI104" s="27">
        <f t="shared" si="59"/>
        <v>0.99999999999999822</v>
      </c>
      <c r="AJ104" s="27">
        <f t="shared" si="59"/>
        <v>0.99999999999999822</v>
      </c>
      <c r="AK104" s="27">
        <f t="shared" si="59"/>
        <v>1</v>
      </c>
      <c r="AL104" s="27">
        <f t="shared" si="59"/>
        <v>1</v>
      </c>
      <c r="AM104" s="27">
        <f t="shared" si="59"/>
        <v>1</v>
      </c>
      <c r="AN104" s="27">
        <f t="shared" si="59"/>
        <v>1</v>
      </c>
      <c r="AO104" s="27">
        <f t="shared" si="59"/>
        <v>1</v>
      </c>
      <c r="AP104" s="27">
        <f t="shared" si="59"/>
        <v>1</v>
      </c>
      <c r="AQ104" s="27">
        <f t="shared" si="59"/>
        <v>1</v>
      </c>
      <c r="AR104" s="27">
        <f t="shared" si="59"/>
        <v>1</v>
      </c>
      <c r="AS104" s="27">
        <f t="shared" si="59"/>
        <v>1</v>
      </c>
      <c r="AT104" s="27">
        <f t="shared" si="59"/>
        <v>1</v>
      </c>
      <c r="AU104" s="27">
        <f t="shared" si="59"/>
        <v>1</v>
      </c>
      <c r="AV104" s="27">
        <f t="shared" si="59"/>
        <v>1</v>
      </c>
      <c r="AW104" s="27">
        <f t="shared" si="59"/>
        <v>1</v>
      </c>
      <c r="AX104" s="27">
        <f t="shared" si="59"/>
        <v>1</v>
      </c>
      <c r="AY104" s="27">
        <f t="shared" si="59"/>
        <v>1</v>
      </c>
      <c r="AZ104" s="27">
        <f t="shared" si="59"/>
        <v>1</v>
      </c>
      <c r="BA104" s="27">
        <f t="shared" si="59"/>
        <v>1</v>
      </c>
      <c r="BB104" s="27">
        <f t="shared" si="59"/>
        <v>1</v>
      </c>
      <c r="BC104" s="27">
        <f t="shared" si="59"/>
        <v>1</v>
      </c>
      <c r="BD104" s="27">
        <f t="shared" si="59"/>
        <v>1</v>
      </c>
      <c r="BE104" s="27">
        <f t="shared" si="59"/>
        <v>1</v>
      </c>
    </row>
    <row r="106" spans="4:57" x14ac:dyDescent="0.3">
      <c r="AJ106" t="s">
        <v>46</v>
      </c>
      <c r="AK106">
        <f>(BE101-AK101)/(BE98-AK98)</f>
        <v>-9.9999999999999985E-3</v>
      </c>
    </row>
    <row r="107" spans="4:57" x14ac:dyDescent="0.3">
      <c r="G107" t="s">
        <v>46</v>
      </c>
      <c r="H107">
        <f>(L101-J101)/(L98-J98)</f>
        <v>-4.9999999999999989E-2</v>
      </c>
      <c r="K107" t="s">
        <v>46</v>
      </c>
      <c r="L107">
        <f>(AK101-L101)/(AK98-L98)</f>
        <v>-1.4000000000000002E-2</v>
      </c>
      <c r="AJ107" t="s">
        <v>47</v>
      </c>
      <c r="AK107" s="27">
        <f>AK101-AK106*AK98</f>
        <v>20.799999999999997</v>
      </c>
    </row>
    <row r="108" spans="4:57" x14ac:dyDescent="0.3">
      <c r="E108" s="27"/>
      <c r="G108" t="s">
        <v>47</v>
      </c>
      <c r="H108" s="27">
        <f>J101-H107*J98</f>
        <v>101.89999999999998</v>
      </c>
      <c r="K108" t="s">
        <v>47</v>
      </c>
      <c r="L108" s="27">
        <f>L101-L107*L98</f>
        <v>29.000000000000004</v>
      </c>
    </row>
    <row r="109" spans="4:57" x14ac:dyDescent="0.3">
      <c r="AJ109" t="s">
        <v>48</v>
      </c>
      <c r="AK109">
        <f>(BE102-AK102)/(BE98-AK98)</f>
        <v>0</v>
      </c>
    </row>
    <row r="110" spans="4:57" x14ac:dyDescent="0.3">
      <c r="G110" t="s">
        <v>48</v>
      </c>
      <c r="H110">
        <f>(L102-J102)/(L98-J98)</f>
        <v>4.0000000000000008E-2</v>
      </c>
      <c r="K110" t="s">
        <v>48</v>
      </c>
      <c r="L110">
        <f>(AK102-L102)/(AK98-L98)</f>
        <v>6.7999999999999996E-3</v>
      </c>
      <c r="AJ110" t="s">
        <v>49</v>
      </c>
      <c r="AK110" s="36">
        <f>AK102-AK109*AK98</f>
        <v>0.5</v>
      </c>
    </row>
    <row r="111" spans="4:57" x14ac:dyDescent="0.3">
      <c r="E111" s="36"/>
      <c r="G111" t="s">
        <v>49</v>
      </c>
      <c r="H111" s="36">
        <f>J102-H110*J98</f>
        <v>-80.670000000000016</v>
      </c>
      <c r="K111" t="s">
        <v>49</v>
      </c>
      <c r="L111" s="36">
        <f>L102-L110*L98</f>
        <v>-13.44</v>
      </c>
    </row>
    <row r="112" spans="4:57" x14ac:dyDescent="0.3">
      <c r="AJ112" t="s">
        <v>50</v>
      </c>
      <c r="AK112">
        <f>(BE103-AK103)/(BE98-AK98)</f>
        <v>0.01</v>
      </c>
    </row>
    <row r="113" spans="4:57" x14ac:dyDescent="0.3">
      <c r="G113" t="s">
        <v>50</v>
      </c>
      <c r="H113">
        <f>(L103-J103)/(L98-J98)</f>
        <v>0.01</v>
      </c>
      <c r="K113" t="s">
        <v>50</v>
      </c>
      <c r="L113">
        <f>(AK103-L103)/(AK98-L98)</f>
        <v>7.2000000000000007E-3</v>
      </c>
      <c r="AJ113" t="s">
        <v>51</v>
      </c>
      <c r="AK113" s="36">
        <f>AK103-AK112*AK98</f>
        <v>-20.3</v>
      </c>
    </row>
    <row r="114" spans="4:57" x14ac:dyDescent="0.3">
      <c r="E114" s="36"/>
      <c r="G114" t="s">
        <v>51</v>
      </c>
      <c r="H114" s="36">
        <f>J103-H113*J98</f>
        <v>-20.23</v>
      </c>
      <c r="K114" t="s">
        <v>51</v>
      </c>
      <c r="L114" s="36">
        <f>L103-L113*L98</f>
        <v>-14.560000000000002</v>
      </c>
      <c r="AK114" s="36"/>
    </row>
    <row r="119" spans="4:57" x14ac:dyDescent="0.3">
      <c r="H119">
        <v>2021</v>
      </c>
      <c r="I119">
        <v>2022</v>
      </c>
      <c r="J119">
        <v>2023</v>
      </c>
      <c r="K119">
        <v>2024</v>
      </c>
      <c r="L119">
        <v>2025</v>
      </c>
      <c r="M119">
        <v>2026</v>
      </c>
      <c r="N119">
        <v>2027</v>
      </c>
      <c r="O119">
        <v>2028</v>
      </c>
      <c r="P119">
        <v>2029</v>
      </c>
      <c r="Q119">
        <v>2030</v>
      </c>
      <c r="R119">
        <v>2031</v>
      </c>
      <c r="S119">
        <v>2032</v>
      </c>
      <c r="T119">
        <v>2033</v>
      </c>
      <c r="U119">
        <v>2034</v>
      </c>
      <c r="V119">
        <v>2035</v>
      </c>
      <c r="W119">
        <v>2036</v>
      </c>
      <c r="X119">
        <v>2037</v>
      </c>
      <c r="Y119">
        <v>2038</v>
      </c>
      <c r="Z119">
        <v>2039</v>
      </c>
      <c r="AA119">
        <v>2040</v>
      </c>
      <c r="AB119">
        <v>2041</v>
      </c>
      <c r="AC119">
        <v>2042</v>
      </c>
      <c r="AD119">
        <v>2043</v>
      </c>
      <c r="AE119">
        <v>2044</v>
      </c>
      <c r="AF119">
        <v>2045</v>
      </c>
      <c r="AG119">
        <v>2046</v>
      </c>
      <c r="AH119">
        <v>2047</v>
      </c>
      <c r="AI119">
        <v>2048</v>
      </c>
      <c r="AJ119">
        <v>2049</v>
      </c>
      <c r="AK119">
        <v>2050</v>
      </c>
      <c r="AL119">
        <v>2051</v>
      </c>
      <c r="AM119">
        <v>2052</v>
      </c>
      <c r="AN119">
        <v>2053</v>
      </c>
      <c r="AO119">
        <v>2054</v>
      </c>
      <c r="AP119">
        <v>2055</v>
      </c>
      <c r="AQ119">
        <v>2056</v>
      </c>
      <c r="AR119">
        <v>2057</v>
      </c>
      <c r="AS119">
        <v>2058</v>
      </c>
      <c r="AT119">
        <v>2059</v>
      </c>
      <c r="AU119">
        <v>2060</v>
      </c>
      <c r="AV119">
        <v>2061</v>
      </c>
      <c r="AW119">
        <v>2062</v>
      </c>
      <c r="AX119">
        <v>2063</v>
      </c>
      <c r="AY119">
        <v>2064</v>
      </c>
      <c r="AZ119">
        <v>2065</v>
      </c>
      <c r="BA119">
        <v>2066</v>
      </c>
      <c r="BB119">
        <v>2067</v>
      </c>
      <c r="BC119">
        <v>2068</v>
      </c>
      <c r="BD119">
        <v>2069</v>
      </c>
      <c r="BE119">
        <v>2070</v>
      </c>
    </row>
    <row r="121" spans="4:57" x14ac:dyDescent="0.3">
      <c r="D121" s="34" t="s">
        <v>41</v>
      </c>
    </row>
    <row r="122" spans="4:57" x14ac:dyDescent="0.3">
      <c r="D122" t="s">
        <v>42</v>
      </c>
      <c r="H122" s="27">
        <f>H32</f>
        <v>0.25</v>
      </c>
      <c r="I122" s="37">
        <f>H122</f>
        <v>0.25</v>
      </c>
      <c r="J122" s="37">
        <f>I122</f>
        <v>0.25</v>
      </c>
      <c r="K122" s="42">
        <f>$H$126*K119+$H$127</f>
        <v>0.25</v>
      </c>
      <c r="L122" s="27">
        <f>L32</f>
        <v>0.25</v>
      </c>
      <c r="M122" s="35">
        <f>$L$126*M119+$L$127</f>
        <v>0.25</v>
      </c>
      <c r="N122" s="35">
        <f t="shared" ref="N122:AJ122" si="60">$L$126*N119+$L$127</f>
        <v>0.25</v>
      </c>
      <c r="O122" s="35">
        <f t="shared" si="60"/>
        <v>0.25</v>
      </c>
      <c r="P122" s="35">
        <f t="shared" si="60"/>
        <v>0.25</v>
      </c>
      <c r="Q122" s="35">
        <f t="shared" si="60"/>
        <v>0.25</v>
      </c>
      <c r="R122" s="35">
        <f t="shared" si="60"/>
        <v>0.25</v>
      </c>
      <c r="S122" s="35">
        <f t="shared" si="60"/>
        <v>0.25</v>
      </c>
      <c r="T122" s="35">
        <f t="shared" si="60"/>
        <v>0.25</v>
      </c>
      <c r="U122" s="35">
        <f t="shared" si="60"/>
        <v>0.25</v>
      </c>
      <c r="V122" s="35">
        <f t="shared" si="60"/>
        <v>0.25</v>
      </c>
      <c r="W122" s="35">
        <f t="shared" si="60"/>
        <v>0.25</v>
      </c>
      <c r="X122" s="35">
        <f t="shared" si="60"/>
        <v>0.25</v>
      </c>
      <c r="Y122" s="35">
        <f t="shared" si="60"/>
        <v>0.25</v>
      </c>
      <c r="Z122" s="35">
        <f t="shared" si="60"/>
        <v>0.25</v>
      </c>
      <c r="AA122" s="35">
        <f t="shared" si="60"/>
        <v>0.25</v>
      </c>
      <c r="AB122" s="35">
        <f t="shared" si="60"/>
        <v>0.25</v>
      </c>
      <c r="AC122" s="35">
        <f t="shared" si="60"/>
        <v>0.25</v>
      </c>
      <c r="AD122" s="35">
        <f t="shared" si="60"/>
        <v>0.25</v>
      </c>
      <c r="AE122" s="35">
        <f t="shared" si="60"/>
        <v>0.25</v>
      </c>
      <c r="AF122" s="35">
        <f t="shared" si="60"/>
        <v>0.25</v>
      </c>
      <c r="AG122" s="35">
        <f t="shared" si="60"/>
        <v>0.25</v>
      </c>
      <c r="AH122" s="35">
        <f t="shared" si="60"/>
        <v>0.25</v>
      </c>
      <c r="AI122" s="35">
        <f t="shared" si="60"/>
        <v>0.25</v>
      </c>
      <c r="AJ122" s="35">
        <f t="shared" si="60"/>
        <v>0.25</v>
      </c>
      <c r="AK122" s="27">
        <f>AK32</f>
        <v>0.25</v>
      </c>
      <c r="AL122" s="35">
        <f>$AK$126*AL119+$AK$127</f>
        <v>0.25</v>
      </c>
      <c r="AM122" s="35">
        <f t="shared" ref="AM122:BD122" si="61">$AK$126*AM119+$AK$127</f>
        <v>0.25</v>
      </c>
      <c r="AN122" s="35">
        <f t="shared" si="61"/>
        <v>0.25</v>
      </c>
      <c r="AO122" s="35">
        <f t="shared" si="61"/>
        <v>0.25</v>
      </c>
      <c r="AP122" s="35">
        <f t="shared" si="61"/>
        <v>0.25</v>
      </c>
      <c r="AQ122" s="35">
        <f t="shared" si="61"/>
        <v>0.25</v>
      </c>
      <c r="AR122" s="35">
        <f t="shared" si="61"/>
        <v>0.25</v>
      </c>
      <c r="AS122" s="35">
        <f t="shared" si="61"/>
        <v>0.25</v>
      </c>
      <c r="AT122" s="35">
        <f t="shared" si="61"/>
        <v>0.25</v>
      </c>
      <c r="AU122" s="35">
        <f t="shared" si="61"/>
        <v>0.25</v>
      </c>
      <c r="AV122" s="35">
        <f t="shared" si="61"/>
        <v>0.25</v>
      </c>
      <c r="AW122" s="35">
        <f t="shared" si="61"/>
        <v>0.25</v>
      </c>
      <c r="AX122" s="35">
        <f t="shared" si="61"/>
        <v>0.25</v>
      </c>
      <c r="AY122" s="35">
        <f t="shared" si="61"/>
        <v>0.25</v>
      </c>
      <c r="AZ122" s="35">
        <f t="shared" si="61"/>
        <v>0.25</v>
      </c>
      <c r="BA122" s="35">
        <f t="shared" si="61"/>
        <v>0.25</v>
      </c>
      <c r="BB122" s="35">
        <f t="shared" si="61"/>
        <v>0.25</v>
      </c>
      <c r="BC122" s="35">
        <f t="shared" si="61"/>
        <v>0.25</v>
      </c>
      <c r="BD122" s="35">
        <f t="shared" si="61"/>
        <v>0.25</v>
      </c>
      <c r="BE122" s="37">
        <f>BE32</f>
        <v>0.25</v>
      </c>
    </row>
    <row r="123" spans="4:57" x14ac:dyDescent="0.3">
      <c r="D123" t="s">
        <v>43</v>
      </c>
      <c r="H123" s="27">
        <f>H33</f>
        <v>0.75</v>
      </c>
      <c r="I123" s="37">
        <f>H123</f>
        <v>0.75</v>
      </c>
      <c r="J123" s="37">
        <f>I123</f>
        <v>0.75</v>
      </c>
      <c r="K123" s="42">
        <f>$H$129*K119+$H$130</f>
        <v>0.75</v>
      </c>
      <c r="L123" s="27">
        <f>L33</f>
        <v>0.75</v>
      </c>
      <c r="M123" s="35">
        <f>$L$129*M119+$L$130</f>
        <v>0.75</v>
      </c>
      <c r="N123" s="35">
        <f t="shared" ref="N123:AJ123" si="62">$L$129*N119+$L$130</f>
        <v>0.75</v>
      </c>
      <c r="O123" s="35">
        <f t="shared" si="62"/>
        <v>0.75</v>
      </c>
      <c r="P123" s="35">
        <f t="shared" si="62"/>
        <v>0.75</v>
      </c>
      <c r="Q123" s="35">
        <f t="shared" si="62"/>
        <v>0.75</v>
      </c>
      <c r="R123" s="35">
        <f t="shared" si="62"/>
        <v>0.75</v>
      </c>
      <c r="S123" s="35">
        <f t="shared" si="62"/>
        <v>0.75</v>
      </c>
      <c r="T123" s="35">
        <f t="shared" si="62"/>
        <v>0.75</v>
      </c>
      <c r="U123" s="35">
        <f t="shared" si="62"/>
        <v>0.75</v>
      </c>
      <c r="V123" s="35">
        <f t="shared" si="62"/>
        <v>0.75</v>
      </c>
      <c r="W123" s="35">
        <f t="shared" si="62"/>
        <v>0.75</v>
      </c>
      <c r="X123" s="35">
        <f t="shared" si="62"/>
        <v>0.75</v>
      </c>
      <c r="Y123" s="35">
        <f t="shared" si="62"/>
        <v>0.75</v>
      </c>
      <c r="Z123" s="35">
        <f t="shared" si="62"/>
        <v>0.75</v>
      </c>
      <c r="AA123" s="35">
        <f t="shared" si="62"/>
        <v>0.75</v>
      </c>
      <c r="AB123" s="35">
        <f t="shared" si="62"/>
        <v>0.75</v>
      </c>
      <c r="AC123" s="35">
        <f t="shared" si="62"/>
        <v>0.75</v>
      </c>
      <c r="AD123" s="35">
        <f t="shared" si="62"/>
        <v>0.75</v>
      </c>
      <c r="AE123" s="35">
        <f t="shared" si="62"/>
        <v>0.75</v>
      </c>
      <c r="AF123" s="35">
        <f t="shared" si="62"/>
        <v>0.75</v>
      </c>
      <c r="AG123" s="35">
        <f t="shared" si="62"/>
        <v>0.75</v>
      </c>
      <c r="AH123" s="35">
        <f t="shared" si="62"/>
        <v>0.75</v>
      </c>
      <c r="AI123" s="35">
        <f t="shared" si="62"/>
        <v>0.75</v>
      </c>
      <c r="AJ123" s="35">
        <f t="shared" si="62"/>
        <v>0.75</v>
      </c>
      <c r="AK123" s="27">
        <f>AK33</f>
        <v>0.75</v>
      </c>
      <c r="AL123" s="35">
        <f>$AK$129*AL119+$AK$130</f>
        <v>0.75</v>
      </c>
      <c r="AM123" s="35">
        <f t="shared" ref="AM123:BD123" si="63">$AK$129*AM119+$AK$130</f>
        <v>0.75</v>
      </c>
      <c r="AN123" s="35">
        <f t="shared" si="63"/>
        <v>0.75</v>
      </c>
      <c r="AO123" s="35">
        <f t="shared" si="63"/>
        <v>0.75</v>
      </c>
      <c r="AP123" s="35">
        <f t="shared" si="63"/>
        <v>0.75</v>
      </c>
      <c r="AQ123" s="35">
        <f t="shared" si="63"/>
        <v>0.75</v>
      </c>
      <c r="AR123" s="35">
        <f t="shared" si="63"/>
        <v>0.75</v>
      </c>
      <c r="AS123" s="35">
        <f t="shared" si="63"/>
        <v>0.75</v>
      </c>
      <c r="AT123" s="35">
        <f t="shared" si="63"/>
        <v>0.75</v>
      </c>
      <c r="AU123" s="35">
        <f t="shared" si="63"/>
        <v>0.75</v>
      </c>
      <c r="AV123" s="35">
        <f t="shared" si="63"/>
        <v>0.75</v>
      </c>
      <c r="AW123" s="35">
        <f t="shared" si="63"/>
        <v>0.75</v>
      </c>
      <c r="AX123" s="35">
        <f t="shared" si="63"/>
        <v>0.75</v>
      </c>
      <c r="AY123" s="35">
        <f t="shared" si="63"/>
        <v>0.75</v>
      </c>
      <c r="AZ123" s="35">
        <f t="shared" si="63"/>
        <v>0.75</v>
      </c>
      <c r="BA123" s="35">
        <f t="shared" si="63"/>
        <v>0.75</v>
      </c>
      <c r="BB123" s="35">
        <f t="shared" si="63"/>
        <v>0.75</v>
      </c>
      <c r="BC123" s="35">
        <f t="shared" si="63"/>
        <v>0.75</v>
      </c>
      <c r="BD123" s="35">
        <f t="shared" si="63"/>
        <v>0.75</v>
      </c>
      <c r="BE123" s="37">
        <f>BE33</f>
        <v>0.75</v>
      </c>
    </row>
    <row r="124" spans="4:57" x14ac:dyDescent="0.3">
      <c r="D124" t="s">
        <v>40</v>
      </c>
      <c r="H124" s="27">
        <f>SUM(H122:H123)</f>
        <v>1</v>
      </c>
      <c r="I124" s="27">
        <f t="shared" ref="I124:BE124" si="64">SUM(I122:I123)</f>
        <v>1</v>
      </c>
      <c r="J124" s="27">
        <f t="shared" si="64"/>
        <v>1</v>
      </c>
      <c r="K124" s="27">
        <f t="shared" si="64"/>
        <v>1</v>
      </c>
      <c r="L124" s="27">
        <f t="shared" si="64"/>
        <v>1</v>
      </c>
      <c r="M124" s="27">
        <f t="shared" si="64"/>
        <v>1</v>
      </c>
      <c r="N124" s="27">
        <f t="shared" si="64"/>
        <v>1</v>
      </c>
      <c r="O124" s="27">
        <f t="shared" si="64"/>
        <v>1</v>
      </c>
      <c r="P124" s="27">
        <f t="shared" si="64"/>
        <v>1</v>
      </c>
      <c r="Q124" s="27">
        <f t="shared" si="64"/>
        <v>1</v>
      </c>
      <c r="R124" s="27">
        <f t="shared" si="64"/>
        <v>1</v>
      </c>
      <c r="S124" s="27">
        <f t="shared" si="64"/>
        <v>1</v>
      </c>
      <c r="T124" s="27">
        <f t="shared" si="64"/>
        <v>1</v>
      </c>
      <c r="U124" s="27">
        <f t="shared" si="64"/>
        <v>1</v>
      </c>
      <c r="V124" s="27">
        <f t="shared" si="64"/>
        <v>1</v>
      </c>
      <c r="W124" s="27">
        <f t="shared" si="64"/>
        <v>1</v>
      </c>
      <c r="X124" s="27">
        <f t="shared" si="64"/>
        <v>1</v>
      </c>
      <c r="Y124" s="27">
        <f t="shared" si="64"/>
        <v>1</v>
      </c>
      <c r="Z124" s="27">
        <f t="shared" si="64"/>
        <v>1</v>
      </c>
      <c r="AA124" s="27">
        <f t="shared" si="64"/>
        <v>1</v>
      </c>
      <c r="AB124" s="27">
        <f t="shared" si="64"/>
        <v>1</v>
      </c>
      <c r="AC124" s="27">
        <f t="shared" si="64"/>
        <v>1</v>
      </c>
      <c r="AD124" s="27">
        <f t="shared" si="64"/>
        <v>1</v>
      </c>
      <c r="AE124" s="27">
        <f t="shared" si="64"/>
        <v>1</v>
      </c>
      <c r="AF124" s="27">
        <f t="shared" si="64"/>
        <v>1</v>
      </c>
      <c r="AG124" s="27">
        <f t="shared" si="64"/>
        <v>1</v>
      </c>
      <c r="AH124" s="27">
        <f t="shared" si="64"/>
        <v>1</v>
      </c>
      <c r="AI124" s="27">
        <f t="shared" si="64"/>
        <v>1</v>
      </c>
      <c r="AJ124" s="27">
        <f t="shared" si="64"/>
        <v>1</v>
      </c>
      <c r="AK124" s="27">
        <f t="shared" si="64"/>
        <v>1</v>
      </c>
      <c r="AL124" s="27">
        <f t="shared" si="64"/>
        <v>1</v>
      </c>
      <c r="AM124" s="27">
        <f t="shared" si="64"/>
        <v>1</v>
      </c>
      <c r="AN124" s="27">
        <f t="shared" si="64"/>
        <v>1</v>
      </c>
      <c r="AO124" s="27">
        <f t="shared" si="64"/>
        <v>1</v>
      </c>
      <c r="AP124" s="27">
        <f t="shared" si="64"/>
        <v>1</v>
      </c>
      <c r="AQ124" s="27">
        <f t="shared" si="64"/>
        <v>1</v>
      </c>
      <c r="AR124" s="27">
        <f t="shared" si="64"/>
        <v>1</v>
      </c>
      <c r="AS124" s="27">
        <f t="shared" si="64"/>
        <v>1</v>
      </c>
      <c r="AT124" s="27">
        <f t="shared" si="64"/>
        <v>1</v>
      </c>
      <c r="AU124" s="27">
        <f t="shared" si="64"/>
        <v>1</v>
      </c>
      <c r="AV124" s="27">
        <f t="shared" si="64"/>
        <v>1</v>
      </c>
      <c r="AW124" s="27">
        <f t="shared" si="64"/>
        <v>1</v>
      </c>
      <c r="AX124" s="27">
        <f t="shared" si="64"/>
        <v>1</v>
      </c>
      <c r="AY124" s="27">
        <f t="shared" si="64"/>
        <v>1</v>
      </c>
      <c r="AZ124" s="27">
        <f t="shared" si="64"/>
        <v>1</v>
      </c>
      <c r="BA124" s="27">
        <f t="shared" si="64"/>
        <v>1</v>
      </c>
      <c r="BB124" s="27">
        <f t="shared" si="64"/>
        <v>1</v>
      </c>
      <c r="BC124" s="27">
        <f t="shared" si="64"/>
        <v>1</v>
      </c>
      <c r="BD124" s="27">
        <f t="shared" si="64"/>
        <v>1</v>
      </c>
      <c r="BE124" s="27">
        <f t="shared" si="64"/>
        <v>1</v>
      </c>
    </row>
    <row r="126" spans="4:57" x14ac:dyDescent="0.3">
      <c r="G126" t="s">
        <v>46</v>
      </c>
      <c r="H126">
        <f>(L122-J122)/(L119-J119)</f>
        <v>0</v>
      </c>
      <c r="K126" t="s">
        <v>46</v>
      </c>
      <c r="L126">
        <f>(AK122-L122)/(AK119-L119)</f>
        <v>0</v>
      </c>
      <c r="AJ126" t="s">
        <v>46</v>
      </c>
      <c r="AK126">
        <f>(BE122-AK122)/(BE119-AK119)</f>
        <v>0</v>
      </c>
    </row>
    <row r="127" spans="4:57" x14ac:dyDescent="0.3">
      <c r="G127" t="s">
        <v>47</v>
      </c>
      <c r="H127" s="27">
        <f>J122-H126*J119</f>
        <v>0.25</v>
      </c>
      <c r="K127" t="s">
        <v>47</v>
      </c>
      <c r="L127" s="27">
        <f>L122-L126*L119</f>
        <v>0.25</v>
      </c>
      <c r="AJ127" t="s">
        <v>47</v>
      </c>
      <c r="AK127" s="27">
        <f>AK122-AK126*AK119</f>
        <v>0.25</v>
      </c>
    </row>
    <row r="129" spans="4:57" x14ac:dyDescent="0.3">
      <c r="G129" t="s">
        <v>48</v>
      </c>
      <c r="H129">
        <f>(L123-J123)/(L119-J119)</f>
        <v>0</v>
      </c>
      <c r="K129" t="s">
        <v>48</v>
      </c>
      <c r="L129">
        <f>(AK123-L123)/(AK119-L119)</f>
        <v>0</v>
      </c>
      <c r="AJ129" t="s">
        <v>48</v>
      </c>
      <c r="AK129">
        <f>(BE123-AK123)/(BE119-AK119)</f>
        <v>0</v>
      </c>
    </row>
    <row r="130" spans="4:57" x14ac:dyDescent="0.3">
      <c r="G130" t="s">
        <v>49</v>
      </c>
      <c r="H130" s="36">
        <f>J123-H129*J119</f>
        <v>0.75</v>
      </c>
      <c r="K130" t="s">
        <v>49</v>
      </c>
      <c r="L130" s="36">
        <f>L123-L129*L119</f>
        <v>0.75</v>
      </c>
      <c r="AJ130" t="s">
        <v>49</v>
      </c>
      <c r="AK130" s="36">
        <f>AK123-AK129*AK119</f>
        <v>0.75</v>
      </c>
    </row>
    <row r="133" spans="4:57" x14ac:dyDescent="0.3">
      <c r="D133" s="24" t="s">
        <v>35</v>
      </c>
      <c r="H133">
        <v>2021</v>
      </c>
      <c r="I133">
        <v>2022</v>
      </c>
      <c r="J133">
        <v>2023</v>
      </c>
      <c r="K133">
        <v>2024</v>
      </c>
      <c r="L133">
        <v>2025</v>
      </c>
      <c r="M133">
        <v>2026</v>
      </c>
      <c r="N133">
        <v>2027</v>
      </c>
      <c r="O133">
        <v>2028</v>
      </c>
      <c r="P133">
        <v>2029</v>
      </c>
      <c r="Q133">
        <v>2030</v>
      </c>
      <c r="R133">
        <v>2031</v>
      </c>
      <c r="S133">
        <v>2032</v>
      </c>
      <c r="T133">
        <v>2033</v>
      </c>
      <c r="U133">
        <v>2034</v>
      </c>
      <c r="V133">
        <v>2035</v>
      </c>
      <c r="W133">
        <v>2036</v>
      </c>
      <c r="X133">
        <v>2037</v>
      </c>
      <c r="Y133">
        <v>2038</v>
      </c>
      <c r="Z133">
        <v>2039</v>
      </c>
      <c r="AA133">
        <v>2040</v>
      </c>
      <c r="AB133">
        <v>2041</v>
      </c>
      <c r="AC133">
        <v>2042</v>
      </c>
      <c r="AD133">
        <v>2043</v>
      </c>
      <c r="AE133">
        <v>2044</v>
      </c>
      <c r="AF133">
        <v>2045</v>
      </c>
      <c r="AG133">
        <v>2046</v>
      </c>
      <c r="AH133">
        <v>2047</v>
      </c>
      <c r="AI133">
        <v>2048</v>
      </c>
      <c r="AJ133">
        <v>2049</v>
      </c>
      <c r="AK133">
        <v>2050</v>
      </c>
      <c r="AL133">
        <v>2051</v>
      </c>
      <c r="AM133">
        <v>2052</v>
      </c>
      <c r="AN133">
        <v>2053</v>
      </c>
      <c r="AO133">
        <v>2054</v>
      </c>
      <c r="AP133">
        <v>2055</v>
      </c>
      <c r="AQ133">
        <v>2056</v>
      </c>
      <c r="AR133">
        <v>2057</v>
      </c>
      <c r="AS133">
        <v>2058</v>
      </c>
      <c r="AT133">
        <v>2059</v>
      </c>
      <c r="AU133">
        <v>2060</v>
      </c>
      <c r="AV133">
        <v>2061</v>
      </c>
      <c r="AW133">
        <v>2062</v>
      </c>
      <c r="AX133">
        <v>2063</v>
      </c>
      <c r="AY133">
        <v>2064</v>
      </c>
      <c r="AZ133">
        <v>2065</v>
      </c>
      <c r="BA133">
        <v>2066</v>
      </c>
      <c r="BB133">
        <v>2067</v>
      </c>
      <c r="BC133">
        <v>2068</v>
      </c>
      <c r="BD133">
        <v>2069</v>
      </c>
      <c r="BE133">
        <v>2070</v>
      </c>
    </row>
    <row r="135" spans="4:57" x14ac:dyDescent="0.3">
      <c r="D135" s="34" t="s">
        <v>36</v>
      </c>
    </row>
    <row r="136" spans="4:57" x14ac:dyDescent="0.3">
      <c r="D136" t="s">
        <v>37</v>
      </c>
      <c r="H136" s="27">
        <f>H43</f>
        <v>0.75</v>
      </c>
      <c r="I136" s="37">
        <f t="shared" ref="I136:J138" si="65">H136</f>
        <v>0.75</v>
      </c>
      <c r="J136" s="37">
        <f t="shared" si="65"/>
        <v>0.75</v>
      </c>
      <c r="K136" s="42">
        <f>$H$141*K133+$H$142</f>
        <v>0.70000000000000284</v>
      </c>
      <c r="L136" s="27">
        <f>L43</f>
        <v>0.65</v>
      </c>
      <c r="M136" s="35">
        <f>$L$141*M133+$L$142</f>
        <v>0.64222222222222314</v>
      </c>
      <c r="N136" s="35">
        <f t="shared" ref="N136:AJ136" si="66">$L$141*N133+$L$142</f>
        <v>0.63444444444444414</v>
      </c>
      <c r="O136" s="35">
        <f t="shared" si="66"/>
        <v>0.62666666666666693</v>
      </c>
      <c r="P136" s="35">
        <f t="shared" si="66"/>
        <v>0.61888888888888971</v>
      </c>
      <c r="Q136" s="35">
        <f t="shared" si="66"/>
        <v>0.61111111111111072</v>
      </c>
      <c r="R136" s="35">
        <f t="shared" si="66"/>
        <v>0.6033333333333335</v>
      </c>
      <c r="S136" s="35">
        <f t="shared" si="66"/>
        <v>0.59555555555555628</v>
      </c>
      <c r="T136" s="35">
        <f t="shared" si="66"/>
        <v>0.58777777777777729</v>
      </c>
      <c r="U136" s="35">
        <f t="shared" si="66"/>
        <v>0.58000000000000007</v>
      </c>
      <c r="V136" s="35">
        <f t="shared" si="66"/>
        <v>0.57222222222222285</v>
      </c>
      <c r="W136" s="35">
        <f t="shared" si="66"/>
        <v>0.56444444444444386</v>
      </c>
      <c r="X136" s="35">
        <f t="shared" si="66"/>
        <v>0.55666666666666664</v>
      </c>
      <c r="Y136" s="35">
        <f t="shared" si="66"/>
        <v>0.54888888888888943</v>
      </c>
      <c r="Z136" s="35">
        <f t="shared" si="66"/>
        <v>0.54111111111111043</v>
      </c>
      <c r="AA136" s="35">
        <f t="shared" si="66"/>
        <v>0.53333333333333321</v>
      </c>
      <c r="AB136" s="35">
        <f t="shared" si="66"/>
        <v>0.52555555555555422</v>
      </c>
      <c r="AC136" s="35">
        <f t="shared" si="66"/>
        <v>0.517777777777777</v>
      </c>
      <c r="AD136" s="35">
        <f t="shared" si="66"/>
        <v>0.50999999999999979</v>
      </c>
      <c r="AE136" s="35">
        <f t="shared" si="66"/>
        <v>0.50222222222222079</v>
      </c>
      <c r="AF136" s="35">
        <f t="shared" si="66"/>
        <v>0.49444444444444358</v>
      </c>
      <c r="AG136" s="35">
        <f t="shared" si="66"/>
        <v>0.48666666666666636</v>
      </c>
      <c r="AH136" s="35">
        <f t="shared" si="66"/>
        <v>0.47888888888888737</v>
      </c>
      <c r="AI136" s="35">
        <f t="shared" si="66"/>
        <v>0.47111111111111015</v>
      </c>
      <c r="AJ136" s="35">
        <f t="shared" si="66"/>
        <v>0.46333333333333293</v>
      </c>
      <c r="AK136" s="27">
        <f>AK43</f>
        <v>0.45555555555555394</v>
      </c>
      <c r="AL136" s="35">
        <f>$AK$141*AL133+$AK$142</f>
        <v>0.44777777777777672</v>
      </c>
      <c r="AM136" s="35">
        <f t="shared" ref="AM136:BD136" si="67">$AK$141*AM133+$AK$142</f>
        <v>0.4399999999999995</v>
      </c>
      <c r="AN136" s="35">
        <f t="shared" si="67"/>
        <v>0.43222222222222229</v>
      </c>
      <c r="AO136" s="35">
        <f t="shared" si="67"/>
        <v>0.42444444444444329</v>
      </c>
      <c r="AP136" s="35">
        <f t="shared" si="67"/>
        <v>0.41666666666666607</v>
      </c>
      <c r="AQ136" s="35">
        <f t="shared" si="67"/>
        <v>0.40888888888888886</v>
      </c>
      <c r="AR136" s="35">
        <f t="shared" si="67"/>
        <v>0.40111111111111164</v>
      </c>
      <c r="AS136" s="35">
        <f t="shared" si="67"/>
        <v>0.39333333333333442</v>
      </c>
      <c r="AT136" s="35">
        <f t="shared" si="67"/>
        <v>0.38555555555555543</v>
      </c>
      <c r="AU136" s="35">
        <f t="shared" si="67"/>
        <v>0.37777777777777644</v>
      </c>
      <c r="AV136" s="35">
        <f t="shared" si="67"/>
        <v>0.37000000000000099</v>
      </c>
      <c r="AW136" s="35">
        <f t="shared" si="67"/>
        <v>0.362222222222222</v>
      </c>
      <c r="AX136" s="35">
        <f t="shared" si="67"/>
        <v>0.35444444444444301</v>
      </c>
      <c r="AY136" s="35">
        <f t="shared" si="67"/>
        <v>0.34666666666666757</v>
      </c>
      <c r="AZ136" s="35">
        <f t="shared" si="67"/>
        <v>0.33888888888888857</v>
      </c>
      <c r="BA136" s="35">
        <f t="shared" si="67"/>
        <v>0.33111111111111313</v>
      </c>
      <c r="BB136" s="35">
        <f t="shared" si="67"/>
        <v>0.32333333333333414</v>
      </c>
      <c r="BC136" s="35">
        <f t="shared" si="67"/>
        <v>0.31555555555555515</v>
      </c>
      <c r="BD136" s="35">
        <f t="shared" si="67"/>
        <v>0.3077777777777797</v>
      </c>
      <c r="BE136" s="27">
        <f>BE43</f>
        <v>0.3</v>
      </c>
    </row>
    <row r="137" spans="4:57" x14ac:dyDescent="0.3">
      <c r="D137" t="s">
        <v>38</v>
      </c>
      <c r="H137" s="27">
        <f>H44</f>
        <v>0.25</v>
      </c>
      <c r="I137" s="37">
        <f t="shared" si="65"/>
        <v>0.25</v>
      </c>
      <c r="J137" s="37">
        <f t="shared" si="65"/>
        <v>0.25</v>
      </c>
      <c r="K137" s="42">
        <f>$H$144*K133+$H$145</f>
        <v>0.29000000000000625</v>
      </c>
      <c r="L137" s="27">
        <f>L44</f>
        <v>0.33</v>
      </c>
      <c r="M137" s="35">
        <f>$L$144*M133+$L$145</f>
        <v>0.33457777777777942</v>
      </c>
      <c r="N137" s="35">
        <f t="shared" ref="N137:AJ137" si="68">$L$144*N133+$L$145</f>
        <v>0.33915555555555699</v>
      </c>
      <c r="O137" s="35">
        <f t="shared" si="68"/>
        <v>0.34373333333333456</v>
      </c>
      <c r="P137" s="35">
        <f t="shared" si="68"/>
        <v>0.34831111111111213</v>
      </c>
      <c r="Q137" s="35">
        <f t="shared" si="68"/>
        <v>0.3528888888888897</v>
      </c>
      <c r="R137" s="35">
        <f t="shared" si="68"/>
        <v>0.35746666666666727</v>
      </c>
      <c r="S137" s="35">
        <f t="shared" si="68"/>
        <v>0.36204444444444661</v>
      </c>
      <c r="T137" s="35">
        <f t="shared" si="68"/>
        <v>0.36662222222222418</v>
      </c>
      <c r="U137" s="35">
        <f t="shared" si="68"/>
        <v>0.37120000000000175</v>
      </c>
      <c r="V137" s="35">
        <f t="shared" si="68"/>
        <v>0.37577777777777932</v>
      </c>
      <c r="W137" s="35">
        <f t="shared" si="68"/>
        <v>0.38035555555555689</v>
      </c>
      <c r="X137" s="35">
        <f t="shared" si="68"/>
        <v>0.38493333333333446</v>
      </c>
      <c r="Y137" s="35">
        <f t="shared" si="68"/>
        <v>0.38951111111111203</v>
      </c>
      <c r="Z137" s="35">
        <f t="shared" si="68"/>
        <v>0.39408888888889138</v>
      </c>
      <c r="AA137" s="35">
        <f t="shared" si="68"/>
        <v>0.39866666666666895</v>
      </c>
      <c r="AB137" s="35">
        <f t="shared" si="68"/>
        <v>0.40324444444444651</v>
      </c>
      <c r="AC137" s="35">
        <f t="shared" si="68"/>
        <v>0.40782222222222408</v>
      </c>
      <c r="AD137" s="35">
        <f t="shared" si="68"/>
        <v>0.41240000000000165</v>
      </c>
      <c r="AE137" s="35">
        <f t="shared" si="68"/>
        <v>0.41697777777777922</v>
      </c>
      <c r="AF137" s="35">
        <f t="shared" si="68"/>
        <v>0.42155555555555857</v>
      </c>
      <c r="AG137" s="35">
        <f t="shared" si="68"/>
        <v>0.42613333333333614</v>
      </c>
      <c r="AH137" s="35">
        <f t="shared" si="68"/>
        <v>0.43071111111111371</v>
      </c>
      <c r="AI137" s="35">
        <f t="shared" si="68"/>
        <v>0.43528888888889128</v>
      </c>
      <c r="AJ137" s="35">
        <f t="shared" si="68"/>
        <v>0.43986666666666885</v>
      </c>
      <c r="AK137" s="27">
        <f>AK44</f>
        <v>0.44444444444444609</v>
      </c>
      <c r="AL137" s="35">
        <f>$AK$144*AL133+$AK$145</f>
        <v>0.44722222222222374</v>
      </c>
      <c r="AM137" s="35">
        <f t="shared" ref="AM137:BD137" si="69">$AK$144*AM133+$AK$145</f>
        <v>0.45000000000000195</v>
      </c>
      <c r="AN137" s="35">
        <f t="shared" si="69"/>
        <v>0.45277777777777928</v>
      </c>
      <c r="AO137" s="35">
        <f t="shared" si="69"/>
        <v>0.45555555555555749</v>
      </c>
      <c r="AP137" s="35">
        <f t="shared" si="69"/>
        <v>0.45833333333333481</v>
      </c>
      <c r="AQ137" s="35">
        <f t="shared" si="69"/>
        <v>0.46111111111111214</v>
      </c>
      <c r="AR137" s="35">
        <f t="shared" si="69"/>
        <v>0.46388888888889035</v>
      </c>
      <c r="AS137" s="35">
        <f t="shared" si="69"/>
        <v>0.46666666666666767</v>
      </c>
      <c r="AT137" s="35">
        <f t="shared" si="69"/>
        <v>0.46944444444444589</v>
      </c>
      <c r="AU137" s="35">
        <f t="shared" si="69"/>
        <v>0.47222222222222321</v>
      </c>
      <c r="AV137" s="35">
        <f t="shared" si="69"/>
        <v>0.47500000000000053</v>
      </c>
      <c r="AW137" s="35">
        <f t="shared" si="69"/>
        <v>0.47777777777777874</v>
      </c>
      <c r="AX137" s="35">
        <f t="shared" si="69"/>
        <v>0.48055555555555607</v>
      </c>
      <c r="AY137" s="35">
        <f t="shared" si="69"/>
        <v>0.48333333333333428</v>
      </c>
      <c r="AZ137" s="35">
        <f t="shared" si="69"/>
        <v>0.4861111111111116</v>
      </c>
      <c r="BA137" s="35">
        <f t="shared" si="69"/>
        <v>0.48888888888888982</v>
      </c>
      <c r="BB137" s="35">
        <f t="shared" si="69"/>
        <v>0.49166666666666714</v>
      </c>
      <c r="BC137" s="35">
        <f t="shared" si="69"/>
        <v>0.49444444444444446</v>
      </c>
      <c r="BD137" s="35">
        <f t="shared" si="69"/>
        <v>0.49722222222222268</v>
      </c>
      <c r="BE137" s="27">
        <f>BE44</f>
        <v>0.5</v>
      </c>
    </row>
    <row r="138" spans="4:57" x14ac:dyDescent="0.3">
      <c r="D138" t="s">
        <v>39</v>
      </c>
      <c r="H138" s="27">
        <f>H45</f>
        <v>0</v>
      </c>
      <c r="I138" s="37">
        <f t="shared" si="65"/>
        <v>0</v>
      </c>
      <c r="J138" s="37">
        <f t="shared" si="65"/>
        <v>0</v>
      </c>
      <c r="K138" s="42">
        <f>$H$147*K133+$H$148</f>
        <v>1.0000000000001563E-2</v>
      </c>
      <c r="L138" s="27">
        <f>L45</f>
        <v>0.02</v>
      </c>
      <c r="M138" s="35">
        <f>$L$147*M133+$L$148</f>
        <v>2.3199999999999221E-2</v>
      </c>
      <c r="N138" s="35">
        <f t="shared" ref="N138:AJ138" si="70">$L$147*N133+$L$148</f>
        <v>2.6399999999999757E-2</v>
      </c>
      <c r="O138" s="35">
        <f t="shared" si="70"/>
        <v>2.9599999999999405E-2</v>
      </c>
      <c r="P138" s="35">
        <f t="shared" si="70"/>
        <v>3.2799999999999052E-2</v>
      </c>
      <c r="Q138" s="35">
        <f t="shared" si="70"/>
        <v>3.5999999999999588E-2</v>
      </c>
      <c r="R138" s="35">
        <f t="shared" si="70"/>
        <v>3.9199999999999235E-2</v>
      </c>
      <c r="S138" s="35">
        <f t="shared" si="70"/>
        <v>4.2399999999999771E-2</v>
      </c>
      <c r="T138" s="35">
        <f t="shared" si="70"/>
        <v>4.5599999999999419E-2</v>
      </c>
      <c r="U138" s="35">
        <f t="shared" si="70"/>
        <v>4.8799999999999066E-2</v>
      </c>
      <c r="V138" s="35">
        <f t="shared" si="70"/>
        <v>5.1999999999999602E-2</v>
      </c>
      <c r="W138" s="35">
        <f t="shared" si="70"/>
        <v>5.519999999999925E-2</v>
      </c>
      <c r="X138" s="35">
        <f t="shared" si="70"/>
        <v>5.8399999999999785E-2</v>
      </c>
      <c r="Y138" s="35">
        <f t="shared" si="70"/>
        <v>6.1599999999999433E-2</v>
      </c>
      <c r="Z138" s="35">
        <f t="shared" si="70"/>
        <v>6.4799999999999081E-2</v>
      </c>
      <c r="AA138" s="35">
        <f t="shared" si="70"/>
        <v>6.7999999999999616E-2</v>
      </c>
      <c r="AB138" s="35">
        <f t="shared" si="70"/>
        <v>7.1199999999999264E-2</v>
      </c>
      <c r="AC138" s="35">
        <f t="shared" si="70"/>
        <v>7.43999999999998E-2</v>
      </c>
      <c r="AD138" s="35">
        <f t="shared" si="70"/>
        <v>7.7599999999999447E-2</v>
      </c>
      <c r="AE138" s="35">
        <f t="shared" si="70"/>
        <v>8.0799999999999095E-2</v>
      </c>
      <c r="AF138" s="35">
        <f t="shared" si="70"/>
        <v>8.3999999999999631E-2</v>
      </c>
      <c r="AG138" s="35">
        <f t="shared" si="70"/>
        <v>8.7199999999999278E-2</v>
      </c>
      <c r="AH138" s="35">
        <f t="shared" si="70"/>
        <v>9.0399999999999814E-2</v>
      </c>
      <c r="AI138" s="35">
        <f t="shared" si="70"/>
        <v>9.3599999999999461E-2</v>
      </c>
      <c r="AJ138" s="35">
        <f t="shared" si="70"/>
        <v>9.6799999999999109E-2</v>
      </c>
      <c r="AK138" s="27">
        <f>AK45</f>
        <v>0.1</v>
      </c>
      <c r="AL138" s="35">
        <f>$AK$147*AL133+$AK$148</f>
        <v>0.10500000000000043</v>
      </c>
      <c r="AM138" s="35">
        <f t="shared" ref="AM138:BD138" si="71">$AK$147*AM133+$AK$148</f>
        <v>0.10999999999999943</v>
      </c>
      <c r="AN138" s="35">
        <f t="shared" si="71"/>
        <v>0.11500000000000021</v>
      </c>
      <c r="AO138" s="35">
        <f t="shared" si="71"/>
        <v>0.11999999999999922</v>
      </c>
      <c r="AP138" s="35">
        <f t="shared" si="71"/>
        <v>0.125</v>
      </c>
      <c r="AQ138" s="35">
        <f t="shared" si="71"/>
        <v>0.12999999999999901</v>
      </c>
      <c r="AR138" s="35">
        <f t="shared" si="71"/>
        <v>0.13499999999999979</v>
      </c>
      <c r="AS138" s="35">
        <f t="shared" si="71"/>
        <v>0.14000000000000057</v>
      </c>
      <c r="AT138" s="35">
        <f t="shared" si="71"/>
        <v>0.14499999999999957</v>
      </c>
      <c r="AU138" s="35">
        <f t="shared" si="71"/>
        <v>0.15000000000000036</v>
      </c>
      <c r="AV138" s="35">
        <f t="shared" si="71"/>
        <v>0.15499999999999936</v>
      </c>
      <c r="AW138" s="35">
        <f t="shared" si="71"/>
        <v>0.16000000000000014</v>
      </c>
      <c r="AX138" s="35">
        <f t="shared" si="71"/>
        <v>0.16499999999999915</v>
      </c>
      <c r="AY138" s="35">
        <f t="shared" si="71"/>
        <v>0.16999999999999993</v>
      </c>
      <c r="AZ138" s="35">
        <f t="shared" si="71"/>
        <v>0.17500000000000071</v>
      </c>
      <c r="BA138" s="35">
        <f t="shared" si="71"/>
        <v>0.17999999999999972</v>
      </c>
      <c r="BB138" s="35">
        <f t="shared" si="71"/>
        <v>0.1850000000000005</v>
      </c>
      <c r="BC138" s="35">
        <f t="shared" si="71"/>
        <v>0.1899999999999995</v>
      </c>
      <c r="BD138" s="35">
        <f t="shared" si="71"/>
        <v>0.19500000000000028</v>
      </c>
      <c r="BE138" s="27">
        <f>BE45</f>
        <v>0.2</v>
      </c>
    </row>
    <row r="139" spans="4:57" x14ac:dyDescent="0.3">
      <c r="D139" t="s">
        <v>40</v>
      </c>
      <c r="H139" s="27">
        <f t="shared" ref="H139:BE139" si="72">SUM(H136:H138)</f>
        <v>1</v>
      </c>
      <c r="I139" s="27">
        <f t="shared" si="72"/>
        <v>1</v>
      </c>
      <c r="J139" s="27">
        <f t="shared" si="72"/>
        <v>1</v>
      </c>
      <c r="K139" s="27">
        <f t="shared" si="72"/>
        <v>1.0000000000000107</v>
      </c>
      <c r="L139" s="27">
        <f t="shared" si="72"/>
        <v>1</v>
      </c>
      <c r="M139" s="27">
        <f t="shared" si="72"/>
        <v>1.0000000000000018</v>
      </c>
      <c r="N139" s="27">
        <f t="shared" si="72"/>
        <v>1.0000000000000009</v>
      </c>
      <c r="O139" s="27">
        <f t="shared" si="72"/>
        <v>1.0000000000000009</v>
      </c>
      <c r="P139" s="27">
        <f t="shared" si="72"/>
        <v>1.0000000000000009</v>
      </c>
      <c r="Q139" s="27">
        <f t="shared" si="72"/>
        <v>1</v>
      </c>
      <c r="R139" s="27">
        <f t="shared" si="72"/>
        <v>1</v>
      </c>
      <c r="S139" s="27">
        <f t="shared" si="72"/>
        <v>1.0000000000000027</v>
      </c>
      <c r="T139" s="27">
        <f t="shared" si="72"/>
        <v>1.0000000000000009</v>
      </c>
      <c r="U139" s="27">
        <f t="shared" si="72"/>
        <v>1.0000000000000009</v>
      </c>
      <c r="V139" s="27">
        <f t="shared" si="72"/>
        <v>1.0000000000000018</v>
      </c>
      <c r="W139" s="27">
        <f t="shared" si="72"/>
        <v>1</v>
      </c>
      <c r="X139" s="27">
        <f t="shared" si="72"/>
        <v>1.0000000000000009</v>
      </c>
      <c r="Y139" s="27">
        <f t="shared" si="72"/>
        <v>1.0000000000000009</v>
      </c>
      <c r="Z139" s="27">
        <f t="shared" si="72"/>
        <v>1.0000000000000009</v>
      </c>
      <c r="AA139" s="27">
        <f t="shared" si="72"/>
        <v>1.0000000000000018</v>
      </c>
      <c r="AB139" s="27">
        <f t="shared" si="72"/>
        <v>1</v>
      </c>
      <c r="AC139" s="27">
        <f t="shared" si="72"/>
        <v>1.0000000000000009</v>
      </c>
      <c r="AD139" s="27">
        <f t="shared" si="72"/>
        <v>1.0000000000000009</v>
      </c>
      <c r="AE139" s="27">
        <f t="shared" si="72"/>
        <v>0.99999999999999911</v>
      </c>
      <c r="AF139" s="27">
        <f t="shared" si="72"/>
        <v>1.0000000000000018</v>
      </c>
      <c r="AG139" s="27">
        <f t="shared" si="72"/>
        <v>1.0000000000000018</v>
      </c>
      <c r="AH139" s="27">
        <f t="shared" si="72"/>
        <v>1.0000000000000009</v>
      </c>
      <c r="AI139" s="27">
        <f t="shared" si="72"/>
        <v>1.0000000000000009</v>
      </c>
      <c r="AJ139" s="27">
        <f t="shared" si="72"/>
        <v>1.0000000000000009</v>
      </c>
      <c r="AK139" s="27">
        <f t="shared" si="72"/>
        <v>1</v>
      </c>
      <c r="AL139" s="27">
        <f t="shared" si="72"/>
        <v>1.0000000000000009</v>
      </c>
      <c r="AM139" s="27">
        <f t="shared" si="72"/>
        <v>1.0000000000000009</v>
      </c>
      <c r="AN139" s="27">
        <f t="shared" si="72"/>
        <v>1.0000000000000018</v>
      </c>
      <c r="AO139" s="27">
        <f t="shared" si="72"/>
        <v>1</v>
      </c>
      <c r="AP139" s="27">
        <f t="shared" si="72"/>
        <v>1.0000000000000009</v>
      </c>
      <c r="AQ139" s="27">
        <f t="shared" si="72"/>
        <v>1</v>
      </c>
      <c r="AR139" s="27">
        <f t="shared" si="72"/>
        <v>1.0000000000000018</v>
      </c>
      <c r="AS139" s="27">
        <f t="shared" si="72"/>
        <v>1.0000000000000027</v>
      </c>
      <c r="AT139" s="27">
        <f t="shared" si="72"/>
        <v>1.0000000000000009</v>
      </c>
      <c r="AU139" s="27">
        <f t="shared" si="72"/>
        <v>1</v>
      </c>
      <c r="AV139" s="27">
        <f t="shared" si="72"/>
        <v>1.0000000000000009</v>
      </c>
      <c r="AW139" s="27">
        <f t="shared" si="72"/>
        <v>1.0000000000000009</v>
      </c>
      <c r="AX139" s="27">
        <f t="shared" si="72"/>
        <v>0.99999999999999822</v>
      </c>
      <c r="AY139" s="27">
        <f t="shared" si="72"/>
        <v>1.0000000000000018</v>
      </c>
      <c r="AZ139" s="27">
        <f t="shared" si="72"/>
        <v>1.0000000000000009</v>
      </c>
      <c r="BA139" s="27">
        <f t="shared" si="72"/>
        <v>1.0000000000000027</v>
      </c>
      <c r="BB139" s="27">
        <f t="shared" si="72"/>
        <v>1.0000000000000018</v>
      </c>
      <c r="BC139" s="27">
        <f t="shared" si="72"/>
        <v>0.99999999999999911</v>
      </c>
      <c r="BD139" s="27">
        <f t="shared" si="72"/>
        <v>1.0000000000000027</v>
      </c>
      <c r="BE139" s="27">
        <f t="shared" si="72"/>
        <v>1</v>
      </c>
    </row>
    <row r="141" spans="4:57" x14ac:dyDescent="0.3">
      <c r="G141" t="s">
        <v>46</v>
      </c>
      <c r="H141">
        <f>(L136-J136)/(L133-J133)</f>
        <v>-4.9999999999999989E-2</v>
      </c>
      <c r="K141" t="s">
        <v>46</v>
      </c>
      <c r="L141">
        <f>(AK136-L136)/(AK133-L133)</f>
        <v>-7.7777777777778435E-3</v>
      </c>
      <c r="AJ141" t="s">
        <v>46</v>
      </c>
      <c r="AK141">
        <f>(BE136-AK136)/(BE133-AK133)</f>
        <v>-7.7777777777776978E-3</v>
      </c>
    </row>
    <row r="142" spans="4:57" x14ac:dyDescent="0.3">
      <c r="G142" t="s">
        <v>47</v>
      </c>
      <c r="H142" s="27">
        <f>J136-H141*J133</f>
        <v>101.89999999999998</v>
      </c>
      <c r="K142" t="s">
        <v>47</v>
      </c>
      <c r="L142" s="27">
        <f>L136-L141*L133</f>
        <v>16.400000000000134</v>
      </c>
      <c r="AJ142" t="s">
        <v>47</v>
      </c>
      <c r="AK142" s="27">
        <f>AK136-AK141*AK133</f>
        <v>16.399999999999835</v>
      </c>
    </row>
    <row r="144" spans="4:57" x14ac:dyDescent="0.3">
      <c r="G144" t="s">
        <v>48</v>
      </c>
      <c r="H144">
        <f>(L137-J137)/(L133-J133)</f>
        <v>4.0000000000000008E-2</v>
      </c>
      <c r="K144" t="s">
        <v>48</v>
      </c>
      <c r="L144">
        <f>(AK137-L137)/(AK133-L133)</f>
        <v>4.5777777777778429E-3</v>
      </c>
      <c r="AJ144" t="s">
        <v>48</v>
      </c>
      <c r="AK144">
        <f>(BE137-AK137)/(BE133-AK133)</f>
        <v>2.7777777777776959E-3</v>
      </c>
    </row>
    <row r="145" spans="4:57" x14ac:dyDescent="0.3">
      <c r="G145" t="s">
        <v>49</v>
      </c>
      <c r="H145" s="36">
        <f>J137-H144*J133</f>
        <v>-80.670000000000016</v>
      </c>
      <c r="K145" t="s">
        <v>49</v>
      </c>
      <c r="L145" s="36">
        <f>L137-L144*L133</f>
        <v>-8.940000000000131</v>
      </c>
      <c r="AJ145" t="s">
        <v>49</v>
      </c>
      <c r="AK145" s="36">
        <f>AK137-AK144*AK133</f>
        <v>-5.2499999999998304</v>
      </c>
    </row>
    <row r="147" spans="4:57" x14ac:dyDescent="0.3">
      <c r="G147" t="s">
        <v>50</v>
      </c>
      <c r="H147">
        <f>(L138-J138)/(L133-J133)</f>
        <v>0.01</v>
      </c>
      <c r="K147" t="s">
        <v>50</v>
      </c>
      <c r="L147">
        <f>(AK138-L138)/(AK133-L133)</f>
        <v>3.2000000000000002E-3</v>
      </c>
      <c r="AJ147" t="s">
        <v>50</v>
      </c>
      <c r="AK147">
        <f>(BE138-AK138)/(BE133-AK133)</f>
        <v>5.0000000000000001E-3</v>
      </c>
    </row>
    <row r="148" spans="4:57" x14ac:dyDescent="0.3">
      <c r="G148" t="s">
        <v>51</v>
      </c>
      <c r="H148" s="36">
        <f>J138-H147*J133</f>
        <v>-20.23</v>
      </c>
      <c r="K148" t="s">
        <v>51</v>
      </c>
      <c r="L148" s="36">
        <f>L138-L147*L133</f>
        <v>-6.4600000000000009</v>
      </c>
      <c r="AJ148" t="s">
        <v>51</v>
      </c>
      <c r="AK148" s="36">
        <f>AK138-AK147*AK133</f>
        <v>-10.15</v>
      </c>
    </row>
    <row r="154" spans="4:57" x14ac:dyDescent="0.3">
      <c r="H154">
        <v>2021</v>
      </c>
      <c r="I154">
        <v>2022</v>
      </c>
      <c r="J154">
        <v>2023</v>
      </c>
      <c r="K154">
        <v>2024</v>
      </c>
      <c r="L154">
        <v>2025</v>
      </c>
      <c r="M154">
        <v>2026</v>
      </c>
      <c r="N154">
        <v>2027</v>
      </c>
      <c r="O154">
        <v>2028</v>
      </c>
      <c r="P154">
        <v>2029</v>
      </c>
      <c r="Q154">
        <v>2030</v>
      </c>
      <c r="R154">
        <v>2031</v>
      </c>
      <c r="S154">
        <v>2032</v>
      </c>
      <c r="T154">
        <v>2033</v>
      </c>
      <c r="U154">
        <v>2034</v>
      </c>
      <c r="V154">
        <v>2035</v>
      </c>
      <c r="W154">
        <v>2036</v>
      </c>
      <c r="X154">
        <v>2037</v>
      </c>
      <c r="Y154">
        <v>2038</v>
      </c>
      <c r="Z154">
        <v>2039</v>
      </c>
      <c r="AA154">
        <v>2040</v>
      </c>
      <c r="AB154">
        <v>2041</v>
      </c>
      <c r="AC154">
        <v>2042</v>
      </c>
      <c r="AD154">
        <v>2043</v>
      </c>
      <c r="AE154">
        <v>2044</v>
      </c>
      <c r="AF154">
        <v>2045</v>
      </c>
      <c r="AG154">
        <v>2046</v>
      </c>
      <c r="AH154">
        <v>2047</v>
      </c>
      <c r="AI154">
        <v>2048</v>
      </c>
      <c r="AJ154">
        <v>2049</v>
      </c>
      <c r="AK154">
        <v>2050</v>
      </c>
      <c r="AL154">
        <v>2051</v>
      </c>
      <c r="AM154">
        <v>2052</v>
      </c>
      <c r="AN154">
        <v>2053</v>
      </c>
      <c r="AO154">
        <v>2054</v>
      </c>
      <c r="AP154">
        <v>2055</v>
      </c>
      <c r="AQ154">
        <v>2056</v>
      </c>
      <c r="AR154">
        <v>2057</v>
      </c>
      <c r="AS154">
        <v>2058</v>
      </c>
      <c r="AT154">
        <v>2059</v>
      </c>
      <c r="AU154">
        <v>2060</v>
      </c>
      <c r="AV154">
        <v>2061</v>
      </c>
      <c r="AW154">
        <v>2062</v>
      </c>
      <c r="AX154">
        <v>2063</v>
      </c>
      <c r="AY154">
        <v>2064</v>
      </c>
      <c r="AZ154">
        <v>2065</v>
      </c>
      <c r="BA154">
        <v>2066</v>
      </c>
      <c r="BB154">
        <v>2067</v>
      </c>
      <c r="BC154">
        <v>2068</v>
      </c>
      <c r="BD154">
        <v>2069</v>
      </c>
      <c r="BE154">
        <v>2070</v>
      </c>
    </row>
    <row r="156" spans="4:57" x14ac:dyDescent="0.3">
      <c r="D156" s="34" t="s">
        <v>41</v>
      </c>
    </row>
    <row r="157" spans="4:57" x14ac:dyDescent="0.3">
      <c r="D157" t="s">
        <v>42</v>
      </c>
      <c r="H157" s="27">
        <f>H49</f>
        <v>0.25</v>
      </c>
      <c r="I157" s="37">
        <f>H157</f>
        <v>0.25</v>
      </c>
      <c r="J157" s="37">
        <f>I157</f>
        <v>0.25</v>
      </c>
      <c r="K157" s="42">
        <f>$H$161*K154+$H$162</f>
        <v>0.25</v>
      </c>
      <c r="L157" s="27">
        <f>L49</f>
        <v>0.25</v>
      </c>
      <c r="M157" s="35">
        <f>$L$161*M154+$L$162</f>
        <v>0.25</v>
      </c>
      <c r="N157" s="35">
        <f t="shared" ref="N157:AJ157" si="73">$L$161*N154+$L$162</f>
        <v>0.25</v>
      </c>
      <c r="O157" s="35">
        <f t="shared" si="73"/>
        <v>0.25</v>
      </c>
      <c r="P157" s="35">
        <f t="shared" si="73"/>
        <v>0.25</v>
      </c>
      <c r="Q157" s="35">
        <f t="shared" si="73"/>
        <v>0.25</v>
      </c>
      <c r="R157" s="35">
        <f t="shared" si="73"/>
        <v>0.25</v>
      </c>
      <c r="S157" s="35">
        <f t="shared" si="73"/>
        <v>0.25</v>
      </c>
      <c r="T157" s="35">
        <f t="shared" si="73"/>
        <v>0.25</v>
      </c>
      <c r="U157" s="35">
        <f t="shared" si="73"/>
        <v>0.25</v>
      </c>
      <c r="V157" s="35">
        <f t="shared" si="73"/>
        <v>0.25</v>
      </c>
      <c r="W157" s="35">
        <f t="shared" si="73"/>
        <v>0.25</v>
      </c>
      <c r="X157" s="35">
        <f t="shared" si="73"/>
        <v>0.25</v>
      </c>
      <c r="Y157" s="35">
        <f t="shared" si="73"/>
        <v>0.25</v>
      </c>
      <c r="Z157" s="35">
        <f t="shared" si="73"/>
        <v>0.25</v>
      </c>
      <c r="AA157" s="35">
        <f t="shared" si="73"/>
        <v>0.25</v>
      </c>
      <c r="AB157" s="35">
        <f t="shared" si="73"/>
        <v>0.25</v>
      </c>
      <c r="AC157" s="35">
        <f t="shared" si="73"/>
        <v>0.25</v>
      </c>
      <c r="AD157" s="35">
        <f t="shared" si="73"/>
        <v>0.25</v>
      </c>
      <c r="AE157" s="35">
        <f t="shared" si="73"/>
        <v>0.25</v>
      </c>
      <c r="AF157" s="35">
        <f t="shared" si="73"/>
        <v>0.25</v>
      </c>
      <c r="AG157" s="35">
        <f t="shared" si="73"/>
        <v>0.25</v>
      </c>
      <c r="AH157" s="35">
        <f t="shared" si="73"/>
        <v>0.25</v>
      </c>
      <c r="AI157" s="35">
        <f t="shared" si="73"/>
        <v>0.25</v>
      </c>
      <c r="AJ157" s="35">
        <f t="shared" si="73"/>
        <v>0.25</v>
      </c>
      <c r="AK157" s="27">
        <f>AK49</f>
        <v>0.25</v>
      </c>
      <c r="AL157" s="35">
        <f>$AK$161*AL154+$AK$162</f>
        <v>0.25</v>
      </c>
      <c r="AM157" s="35">
        <f t="shared" ref="AM157:BD157" si="74">$AK$161*AM154+$AK$162</f>
        <v>0.25</v>
      </c>
      <c r="AN157" s="35">
        <f t="shared" si="74"/>
        <v>0.25</v>
      </c>
      <c r="AO157" s="35">
        <f t="shared" si="74"/>
        <v>0.25</v>
      </c>
      <c r="AP157" s="35">
        <f t="shared" si="74"/>
        <v>0.25</v>
      </c>
      <c r="AQ157" s="35">
        <f t="shared" si="74"/>
        <v>0.25</v>
      </c>
      <c r="AR157" s="35">
        <f t="shared" si="74"/>
        <v>0.25</v>
      </c>
      <c r="AS157" s="35">
        <f t="shared" si="74"/>
        <v>0.25</v>
      </c>
      <c r="AT157" s="35">
        <f t="shared" si="74"/>
        <v>0.25</v>
      </c>
      <c r="AU157" s="35">
        <f t="shared" si="74"/>
        <v>0.25</v>
      </c>
      <c r="AV157" s="35">
        <f t="shared" si="74"/>
        <v>0.25</v>
      </c>
      <c r="AW157" s="35">
        <f t="shared" si="74"/>
        <v>0.25</v>
      </c>
      <c r="AX157" s="35">
        <f t="shared" si="74"/>
        <v>0.25</v>
      </c>
      <c r="AY157" s="35">
        <f t="shared" si="74"/>
        <v>0.25</v>
      </c>
      <c r="AZ157" s="35">
        <f t="shared" si="74"/>
        <v>0.25</v>
      </c>
      <c r="BA157" s="35">
        <f t="shared" si="74"/>
        <v>0.25</v>
      </c>
      <c r="BB157" s="35">
        <f t="shared" si="74"/>
        <v>0.25</v>
      </c>
      <c r="BC157" s="35">
        <f t="shared" si="74"/>
        <v>0.25</v>
      </c>
      <c r="BD157" s="35">
        <f t="shared" si="74"/>
        <v>0.25</v>
      </c>
      <c r="BE157" s="27">
        <f>BE49</f>
        <v>0.25</v>
      </c>
    </row>
    <row r="158" spans="4:57" x14ac:dyDescent="0.3">
      <c r="D158" t="s">
        <v>43</v>
      </c>
      <c r="H158" s="27">
        <f>H50</f>
        <v>0.75</v>
      </c>
      <c r="I158" s="37">
        <f>H158</f>
        <v>0.75</v>
      </c>
      <c r="J158" s="37">
        <f>I158</f>
        <v>0.75</v>
      </c>
      <c r="K158" s="42">
        <f>$H$164*K154+$H$165</f>
        <v>0.75</v>
      </c>
      <c r="L158" s="27">
        <f>L50</f>
        <v>0.75</v>
      </c>
      <c r="M158" s="35">
        <f>$L$164*M154+$L$165</f>
        <v>0.75</v>
      </c>
      <c r="N158" s="35">
        <f t="shared" ref="N158:AJ158" si="75">$L$164*N154+$L$165</f>
        <v>0.75</v>
      </c>
      <c r="O158" s="35">
        <f t="shared" si="75"/>
        <v>0.75</v>
      </c>
      <c r="P158" s="35">
        <f t="shared" si="75"/>
        <v>0.75</v>
      </c>
      <c r="Q158" s="35">
        <f t="shared" si="75"/>
        <v>0.75</v>
      </c>
      <c r="R158" s="35">
        <f t="shared" si="75"/>
        <v>0.75</v>
      </c>
      <c r="S158" s="35">
        <f t="shared" si="75"/>
        <v>0.75</v>
      </c>
      <c r="T158" s="35">
        <f t="shared" si="75"/>
        <v>0.75</v>
      </c>
      <c r="U158" s="35">
        <f t="shared" si="75"/>
        <v>0.75</v>
      </c>
      <c r="V158" s="35">
        <f t="shared" si="75"/>
        <v>0.75</v>
      </c>
      <c r="W158" s="35">
        <f t="shared" si="75"/>
        <v>0.75</v>
      </c>
      <c r="X158" s="35">
        <f t="shared" si="75"/>
        <v>0.75</v>
      </c>
      <c r="Y158" s="35">
        <f t="shared" si="75"/>
        <v>0.75</v>
      </c>
      <c r="Z158" s="35">
        <f t="shared" si="75"/>
        <v>0.75</v>
      </c>
      <c r="AA158" s="35">
        <f t="shared" si="75"/>
        <v>0.75</v>
      </c>
      <c r="AB158" s="35">
        <f t="shared" si="75"/>
        <v>0.75</v>
      </c>
      <c r="AC158" s="35">
        <f t="shared" si="75"/>
        <v>0.75</v>
      </c>
      <c r="AD158" s="35">
        <f t="shared" si="75"/>
        <v>0.75</v>
      </c>
      <c r="AE158" s="35">
        <f t="shared" si="75"/>
        <v>0.75</v>
      </c>
      <c r="AF158" s="35">
        <f t="shared" si="75"/>
        <v>0.75</v>
      </c>
      <c r="AG158" s="35">
        <f t="shared" si="75"/>
        <v>0.75</v>
      </c>
      <c r="AH158" s="35">
        <f t="shared" si="75"/>
        <v>0.75</v>
      </c>
      <c r="AI158" s="35">
        <f t="shared" si="75"/>
        <v>0.75</v>
      </c>
      <c r="AJ158" s="35">
        <f t="shared" si="75"/>
        <v>0.75</v>
      </c>
      <c r="AK158" s="27">
        <f>AK50</f>
        <v>0.75</v>
      </c>
      <c r="AL158" s="35">
        <f>$AK$164*AL154+$AK$165</f>
        <v>0.75</v>
      </c>
      <c r="AM158" s="35">
        <f t="shared" ref="AM158:BD158" si="76">$AK$164*AM154+$AK$165</f>
        <v>0.75</v>
      </c>
      <c r="AN158" s="35">
        <f t="shared" si="76"/>
        <v>0.75</v>
      </c>
      <c r="AO158" s="35">
        <f t="shared" si="76"/>
        <v>0.75</v>
      </c>
      <c r="AP158" s="35">
        <f t="shared" si="76"/>
        <v>0.75</v>
      </c>
      <c r="AQ158" s="35">
        <f t="shared" si="76"/>
        <v>0.75</v>
      </c>
      <c r="AR158" s="35">
        <f t="shared" si="76"/>
        <v>0.75</v>
      </c>
      <c r="AS158" s="35">
        <f t="shared" si="76"/>
        <v>0.75</v>
      </c>
      <c r="AT158" s="35">
        <f t="shared" si="76"/>
        <v>0.75</v>
      </c>
      <c r="AU158" s="35">
        <f t="shared" si="76"/>
        <v>0.75</v>
      </c>
      <c r="AV158" s="35">
        <f t="shared" si="76"/>
        <v>0.75</v>
      </c>
      <c r="AW158" s="35">
        <f t="shared" si="76"/>
        <v>0.75</v>
      </c>
      <c r="AX158" s="35">
        <f t="shared" si="76"/>
        <v>0.75</v>
      </c>
      <c r="AY158" s="35">
        <f t="shared" si="76"/>
        <v>0.75</v>
      </c>
      <c r="AZ158" s="35">
        <f t="shared" si="76"/>
        <v>0.75</v>
      </c>
      <c r="BA158" s="35">
        <f t="shared" si="76"/>
        <v>0.75</v>
      </c>
      <c r="BB158" s="35">
        <f t="shared" si="76"/>
        <v>0.75</v>
      </c>
      <c r="BC158" s="35">
        <f t="shared" si="76"/>
        <v>0.75</v>
      </c>
      <c r="BD158" s="35">
        <f t="shared" si="76"/>
        <v>0.75</v>
      </c>
      <c r="BE158" s="27">
        <f>BE50</f>
        <v>0.75</v>
      </c>
    </row>
    <row r="159" spans="4:57" x14ac:dyDescent="0.3">
      <c r="D159" t="s">
        <v>40</v>
      </c>
      <c r="H159" s="27">
        <f t="shared" ref="H159:BE159" si="77">SUM(H157:H158)</f>
        <v>1</v>
      </c>
      <c r="I159" s="27">
        <f t="shared" si="77"/>
        <v>1</v>
      </c>
      <c r="J159" s="27">
        <f t="shared" si="77"/>
        <v>1</v>
      </c>
      <c r="K159" s="27">
        <f t="shared" si="77"/>
        <v>1</v>
      </c>
      <c r="L159" s="27">
        <f t="shared" si="77"/>
        <v>1</v>
      </c>
      <c r="M159" s="27">
        <f t="shared" si="77"/>
        <v>1</v>
      </c>
      <c r="N159" s="27">
        <f t="shared" si="77"/>
        <v>1</v>
      </c>
      <c r="O159" s="27">
        <f t="shared" si="77"/>
        <v>1</v>
      </c>
      <c r="P159" s="27">
        <f t="shared" si="77"/>
        <v>1</v>
      </c>
      <c r="Q159" s="27">
        <f t="shared" si="77"/>
        <v>1</v>
      </c>
      <c r="R159" s="27">
        <f t="shared" si="77"/>
        <v>1</v>
      </c>
      <c r="S159" s="27">
        <f t="shared" si="77"/>
        <v>1</v>
      </c>
      <c r="T159" s="27">
        <f t="shared" si="77"/>
        <v>1</v>
      </c>
      <c r="U159" s="27">
        <f t="shared" si="77"/>
        <v>1</v>
      </c>
      <c r="V159" s="27">
        <f t="shared" si="77"/>
        <v>1</v>
      </c>
      <c r="W159" s="27">
        <f t="shared" si="77"/>
        <v>1</v>
      </c>
      <c r="X159" s="27">
        <f t="shared" si="77"/>
        <v>1</v>
      </c>
      <c r="Y159" s="27">
        <f t="shared" si="77"/>
        <v>1</v>
      </c>
      <c r="Z159" s="27">
        <f t="shared" si="77"/>
        <v>1</v>
      </c>
      <c r="AA159" s="27">
        <f t="shared" si="77"/>
        <v>1</v>
      </c>
      <c r="AB159" s="27">
        <f t="shared" si="77"/>
        <v>1</v>
      </c>
      <c r="AC159" s="27">
        <f t="shared" si="77"/>
        <v>1</v>
      </c>
      <c r="AD159" s="27">
        <f t="shared" si="77"/>
        <v>1</v>
      </c>
      <c r="AE159" s="27">
        <f t="shared" si="77"/>
        <v>1</v>
      </c>
      <c r="AF159" s="27">
        <f t="shared" si="77"/>
        <v>1</v>
      </c>
      <c r="AG159" s="27">
        <f t="shared" si="77"/>
        <v>1</v>
      </c>
      <c r="AH159" s="27">
        <f t="shared" si="77"/>
        <v>1</v>
      </c>
      <c r="AI159" s="27">
        <f t="shared" si="77"/>
        <v>1</v>
      </c>
      <c r="AJ159" s="27">
        <f t="shared" si="77"/>
        <v>1</v>
      </c>
      <c r="AK159" s="27">
        <f t="shared" si="77"/>
        <v>1</v>
      </c>
      <c r="AL159" s="27">
        <f t="shared" si="77"/>
        <v>1</v>
      </c>
      <c r="AM159" s="27">
        <f t="shared" si="77"/>
        <v>1</v>
      </c>
      <c r="AN159" s="27">
        <f t="shared" si="77"/>
        <v>1</v>
      </c>
      <c r="AO159" s="27">
        <f t="shared" si="77"/>
        <v>1</v>
      </c>
      <c r="AP159" s="27">
        <f t="shared" si="77"/>
        <v>1</v>
      </c>
      <c r="AQ159" s="27">
        <f t="shared" si="77"/>
        <v>1</v>
      </c>
      <c r="AR159" s="27">
        <f t="shared" si="77"/>
        <v>1</v>
      </c>
      <c r="AS159" s="27">
        <f t="shared" si="77"/>
        <v>1</v>
      </c>
      <c r="AT159" s="27">
        <f t="shared" si="77"/>
        <v>1</v>
      </c>
      <c r="AU159" s="27">
        <f t="shared" si="77"/>
        <v>1</v>
      </c>
      <c r="AV159" s="27">
        <f t="shared" si="77"/>
        <v>1</v>
      </c>
      <c r="AW159" s="27">
        <f t="shared" si="77"/>
        <v>1</v>
      </c>
      <c r="AX159" s="27">
        <f t="shared" si="77"/>
        <v>1</v>
      </c>
      <c r="AY159" s="27">
        <f t="shared" si="77"/>
        <v>1</v>
      </c>
      <c r="AZ159" s="27">
        <f t="shared" si="77"/>
        <v>1</v>
      </c>
      <c r="BA159" s="27">
        <f t="shared" si="77"/>
        <v>1</v>
      </c>
      <c r="BB159" s="27">
        <f t="shared" si="77"/>
        <v>1</v>
      </c>
      <c r="BC159" s="27">
        <f t="shared" si="77"/>
        <v>1</v>
      </c>
      <c r="BD159" s="27">
        <f t="shared" si="77"/>
        <v>1</v>
      </c>
      <c r="BE159" s="27">
        <f t="shared" si="77"/>
        <v>1</v>
      </c>
    </row>
    <row r="161" spans="7:37" x14ac:dyDescent="0.3">
      <c r="G161" t="s">
        <v>46</v>
      </c>
      <c r="H161">
        <f>(L157-J157)/(L154-J154)</f>
        <v>0</v>
      </c>
      <c r="K161" t="s">
        <v>46</v>
      </c>
      <c r="L161">
        <f>(AK157-L157)/(AK154-L154)</f>
        <v>0</v>
      </c>
      <c r="AJ161" t="s">
        <v>46</v>
      </c>
      <c r="AK161">
        <f>(BE157-AK157)/(BE154-AK154)</f>
        <v>0</v>
      </c>
    </row>
    <row r="162" spans="7:37" x14ac:dyDescent="0.3">
      <c r="G162" t="s">
        <v>47</v>
      </c>
      <c r="H162" s="27">
        <f>J157-H161*J154</f>
        <v>0.25</v>
      </c>
      <c r="K162" t="s">
        <v>47</v>
      </c>
      <c r="L162" s="27">
        <f>L157-L161*L154</f>
        <v>0.25</v>
      </c>
      <c r="AJ162" t="s">
        <v>47</v>
      </c>
      <c r="AK162" s="27">
        <f>AK157-AK161*AK154</f>
        <v>0.25</v>
      </c>
    </row>
    <row r="164" spans="7:37" x14ac:dyDescent="0.3">
      <c r="G164" t="s">
        <v>48</v>
      </c>
      <c r="H164">
        <f>(L158-J158)/(L154-J154)</f>
        <v>0</v>
      </c>
      <c r="K164" t="s">
        <v>48</v>
      </c>
      <c r="L164">
        <f>(AK158-L158)/(AK154-L154)</f>
        <v>0</v>
      </c>
      <c r="AJ164" t="s">
        <v>48</v>
      </c>
      <c r="AK164">
        <f>(BE158-AK158)/(BE154-AK154)</f>
        <v>0</v>
      </c>
    </row>
    <row r="165" spans="7:37" x14ac:dyDescent="0.3">
      <c r="G165" t="s">
        <v>49</v>
      </c>
      <c r="H165" s="36">
        <f>J158-H164*J154</f>
        <v>0.75</v>
      </c>
      <c r="K165" t="s">
        <v>49</v>
      </c>
      <c r="L165" s="36">
        <f>L158-L164*L154</f>
        <v>0.75</v>
      </c>
      <c r="AJ165" t="s">
        <v>49</v>
      </c>
      <c r="AK165" s="36">
        <f>AK158-AK164*AK154</f>
        <v>0.75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E8135-96F2-4DD9-8372-DBC46A00F772}">
  <dimension ref="A1:AM32"/>
  <sheetViews>
    <sheetView zoomScale="70" zoomScaleNormal="70" workbookViewId="0">
      <pane ySplit="1" topLeftCell="A2" activePane="bottomLeft" state="frozen"/>
      <selection pane="bottomLeft" activeCell="A5" sqref="A5"/>
    </sheetView>
  </sheetViews>
  <sheetFormatPr baseColWidth="10" defaultRowHeight="14.4" x14ac:dyDescent="0.3"/>
  <cols>
    <col min="1" max="1" width="61.44140625" customWidth="1"/>
    <col min="2" max="2" width="42.44140625" customWidth="1"/>
    <col min="3" max="4" width="38.77734375" customWidth="1"/>
    <col min="5" max="5" width="55.33203125" customWidth="1"/>
    <col min="6" max="6" width="38.77734375" customWidth="1"/>
    <col min="7" max="7" width="46.33203125" style="67" customWidth="1"/>
    <col min="8" max="9" width="39.33203125" customWidth="1"/>
    <col min="10" max="10" width="13" customWidth="1"/>
    <col min="11" max="24" width="11.77734375" customWidth="1"/>
    <col min="25" max="25" width="13.88671875" style="5" bestFit="1" customWidth="1"/>
    <col min="26" max="34" width="14.77734375" bestFit="1" customWidth="1"/>
    <col min="35" max="35" width="14.77734375" style="5" bestFit="1" customWidth="1"/>
  </cols>
  <sheetData>
    <row r="1" spans="1:35" ht="70.8" customHeight="1" x14ac:dyDescent="0.35">
      <c r="A1" s="265" t="s">
        <v>15</v>
      </c>
      <c r="B1" s="265"/>
      <c r="C1" s="265"/>
      <c r="D1" s="265"/>
      <c r="E1" s="265"/>
      <c r="F1" s="67"/>
      <c r="J1" s="226">
        <v>2010</v>
      </c>
      <c r="K1" s="227">
        <v>2011</v>
      </c>
      <c r="L1" s="227">
        <v>2012</v>
      </c>
      <c r="M1" s="227">
        <v>2013</v>
      </c>
      <c r="N1" s="227">
        <v>2014</v>
      </c>
      <c r="O1" s="226">
        <v>2015</v>
      </c>
      <c r="P1" s="227">
        <v>2016</v>
      </c>
      <c r="Q1" s="227">
        <v>2017</v>
      </c>
      <c r="R1" s="227">
        <v>2018</v>
      </c>
      <c r="S1" s="227">
        <v>2019</v>
      </c>
      <c r="T1" s="226">
        <v>2020</v>
      </c>
      <c r="U1" s="227">
        <v>2021</v>
      </c>
      <c r="V1" s="227">
        <v>2022</v>
      </c>
      <c r="W1" s="227">
        <v>2023</v>
      </c>
      <c r="X1" s="227">
        <v>2024</v>
      </c>
      <c r="Y1" s="227">
        <v>2025</v>
      </c>
      <c r="Z1" s="227">
        <v>2026</v>
      </c>
      <c r="AA1" s="227">
        <v>2027</v>
      </c>
      <c r="AB1" s="227">
        <v>2028</v>
      </c>
      <c r="AC1" s="227">
        <v>2029</v>
      </c>
      <c r="AD1" s="227">
        <v>2030</v>
      </c>
      <c r="AE1" s="227">
        <v>2031</v>
      </c>
      <c r="AF1" s="227">
        <v>2032</v>
      </c>
      <c r="AG1" s="227">
        <v>2033</v>
      </c>
      <c r="AH1" s="227">
        <v>2034</v>
      </c>
      <c r="AI1" s="227">
        <v>2035</v>
      </c>
    </row>
    <row r="2" spans="1:35" ht="18" x14ac:dyDescent="0.35">
      <c r="A2" s="265" t="s">
        <v>284</v>
      </c>
      <c r="B2" s="265"/>
      <c r="C2" s="265"/>
      <c r="D2" s="265"/>
      <c r="E2" s="265"/>
    </row>
    <row r="4" spans="1:35" x14ac:dyDescent="0.3">
      <c r="A4" s="228" t="s">
        <v>234</v>
      </c>
      <c r="B4" s="228" t="s">
        <v>235</v>
      </c>
      <c r="C4" s="228" t="s">
        <v>236</v>
      </c>
      <c r="D4" s="228" t="s">
        <v>230</v>
      </c>
      <c r="E4" s="228" t="s">
        <v>237</v>
      </c>
    </row>
    <row r="5" spans="1:35" x14ac:dyDescent="0.3">
      <c r="A5" s="22" t="s">
        <v>71</v>
      </c>
      <c r="B5" s="69" t="s">
        <v>118</v>
      </c>
      <c r="C5" s="69" t="s">
        <v>238</v>
      </c>
      <c r="D5" s="69" t="s">
        <v>239</v>
      </c>
      <c r="E5" s="69" t="s">
        <v>240</v>
      </c>
      <c r="G5" s="229" t="s">
        <v>241</v>
      </c>
      <c r="H5" s="230" t="s">
        <v>242</v>
      </c>
      <c r="I5" s="230" t="s">
        <v>236</v>
      </c>
      <c r="J5" s="230">
        <v>2010</v>
      </c>
      <c r="K5" s="230">
        <v>2011</v>
      </c>
      <c r="L5" s="230">
        <v>2012</v>
      </c>
      <c r="M5" s="230">
        <v>2013</v>
      </c>
      <c r="N5" s="230">
        <v>2014</v>
      </c>
      <c r="O5" s="230">
        <v>2015</v>
      </c>
      <c r="P5" s="230">
        <v>2016</v>
      </c>
      <c r="Q5" s="230">
        <v>2017</v>
      </c>
      <c r="R5" s="230">
        <v>2018</v>
      </c>
      <c r="S5" s="230">
        <v>2019</v>
      </c>
      <c r="T5" s="230">
        <v>2020</v>
      </c>
      <c r="U5" s="230">
        <v>2021</v>
      </c>
      <c r="V5" s="230">
        <v>2022</v>
      </c>
      <c r="W5" s="230">
        <v>2023</v>
      </c>
      <c r="X5" s="230">
        <v>2024</v>
      </c>
      <c r="Y5" s="230">
        <v>2025</v>
      </c>
      <c r="Z5" s="230">
        <v>2026</v>
      </c>
      <c r="AA5" s="230">
        <v>2027</v>
      </c>
      <c r="AB5" s="230">
        <v>2028</v>
      </c>
      <c r="AC5" s="230">
        <v>2029</v>
      </c>
      <c r="AD5" s="230">
        <v>2030</v>
      </c>
      <c r="AE5" s="230">
        <v>2031</v>
      </c>
      <c r="AF5" s="230">
        <v>2032</v>
      </c>
      <c r="AG5" s="230">
        <v>2033</v>
      </c>
      <c r="AH5" s="230">
        <v>2034</v>
      </c>
      <c r="AI5" s="230">
        <v>2035</v>
      </c>
    </row>
    <row r="6" spans="1:35" ht="28.8" x14ac:dyDescent="0.3">
      <c r="A6" s="22" t="s">
        <v>75</v>
      </c>
      <c r="B6" s="22" t="s">
        <v>243</v>
      </c>
      <c r="C6" s="69" t="s">
        <v>244</v>
      </c>
      <c r="D6" s="69" t="s">
        <v>239</v>
      </c>
      <c r="E6" s="69" t="s">
        <v>245</v>
      </c>
      <c r="G6" s="22" t="s">
        <v>246</v>
      </c>
      <c r="H6" s="7" t="s">
        <v>71</v>
      </c>
      <c r="I6" s="7" t="s">
        <v>247</v>
      </c>
      <c r="J6" s="231">
        <v>3.2042000000000002</v>
      </c>
      <c r="K6" s="231">
        <v>3.7105000000000001</v>
      </c>
      <c r="L6" s="231">
        <v>4.2168999999999999</v>
      </c>
      <c r="M6" s="231">
        <v>4.5907999999999998</v>
      </c>
      <c r="N6" s="231">
        <v>4.9647000000000006</v>
      </c>
      <c r="O6" s="231">
        <v>5.1417999999999999</v>
      </c>
      <c r="P6" s="231">
        <v>5.3186</v>
      </c>
      <c r="Q6" s="231">
        <v>5.3310999999999993</v>
      </c>
      <c r="R6" s="231">
        <v>4.0447617408000003</v>
      </c>
      <c r="S6" s="231">
        <v>4.0075541908799996</v>
      </c>
      <c r="T6" s="231">
        <v>4.0575661959599998</v>
      </c>
      <c r="U6" s="231">
        <v>4.1197163661599996</v>
      </c>
      <c r="V6" s="231">
        <v>4.4630366236468983</v>
      </c>
      <c r="W6" s="231">
        <v>4.8134584090924522</v>
      </c>
      <c r="X6" s="231">
        <v>5.1708445152000104</v>
      </c>
      <c r="Y6" s="231">
        <v>5.1532093184358896</v>
      </c>
      <c r="Z6" s="231">
        <v>5.3459067179827402</v>
      </c>
      <c r="AA6" s="231">
        <v>6.28337282140971</v>
      </c>
      <c r="AB6" s="231">
        <v>6.6671083223834717</v>
      </c>
      <c r="AC6" s="231">
        <v>7.0570333009241297</v>
      </c>
      <c r="AD6" s="231">
        <v>7.4529214790317555</v>
      </c>
      <c r="AE6" s="231">
        <v>7.8545823990537924</v>
      </c>
      <c r="AF6" s="231">
        <v>8.2618042359724537</v>
      </c>
      <c r="AG6" s="231">
        <v>8.6743553179282813</v>
      </c>
      <c r="AH6" s="231">
        <v>9.0920319427034944</v>
      </c>
      <c r="AI6" s="231">
        <v>9.5145957081186356</v>
      </c>
    </row>
    <row r="7" spans="1:35" ht="28.8" x14ac:dyDescent="0.3">
      <c r="A7" s="22" t="s">
        <v>76</v>
      </c>
      <c r="B7" s="22" t="s">
        <v>248</v>
      </c>
      <c r="C7" s="69" t="s">
        <v>244</v>
      </c>
      <c r="D7" s="69" t="s">
        <v>239</v>
      </c>
      <c r="E7" s="69" t="s">
        <v>245</v>
      </c>
      <c r="G7" s="22" t="s">
        <v>249</v>
      </c>
      <c r="H7" s="7" t="s">
        <v>76</v>
      </c>
      <c r="I7" s="7" t="s">
        <v>247</v>
      </c>
      <c r="J7" s="232">
        <v>2.8262467677797161</v>
      </c>
      <c r="K7" s="232">
        <v>3.3707965637579376</v>
      </c>
      <c r="L7" s="232">
        <v>3.8368731157824905</v>
      </c>
      <c r="M7" s="232">
        <v>4.1810713267980724</v>
      </c>
      <c r="N7" s="232">
        <v>4.5187089729671861</v>
      </c>
      <c r="O7" s="232">
        <v>4.6619244834152038</v>
      </c>
      <c r="P7" s="232">
        <v>4.8255104282898094</v>
      </c>
      <c r="Q7" s="232">
        <v>5.0196598475620249</v>
      </c>
      <c r="R7" s="232">
        <v>3.717665334788625</v>
      </c>
      <c r="S7" s="232">
        <v>3.7988310038237856</v>
      </c>
      <c r="T7" s="232">
        <v>3.8402906070225886</v>
      </c>
      <c r="U7" s="232">
        <v>3.9010780226674422</v>
      </c>
      <c r="V7" s="232">
        <v>4.1369625515301331</v>
      </c>
      <c r="W7" s="232">
        <v>4.5057766447389369</v>
      </c>
      <c r="X7" s="232">
        <v>4.8403182223729777</v>
      </c>
      <c r="Y7" s="232">
        <v>4.8238102875469382</v>
      </c>
      <c r="Z7" s="232">
        <v>5.0041902490191363</v>
      </c>
      <c r="AA7" s="232">
        <v>5.8817324473845876</v>
      </c>
      <c r="AB7" s="232">
        <v>6.2409391364418152</v>
      </c>
      <c r="AC7" s="232">
        <v>6.6059396645839259</v>
      </c>
      <c r="AD7" s="232">
        <v>6.9765222177594319</v>
      </c>
      <c r="AE7" s="232">
        <v>7.3525085125866623</v>
      </c>
      <c r="AF7" s="232">
        <v>7.7337002641451313</v>
      </c>
      <c r="AG7" s="232">
        <v>8.1198806093054881</v>
      </c>
      <c r="AH7" s="232">
        <v>8.51085886672859</v>
      </c>
      <c r="AI7" s="232">
        <v>8.9064118731748376</v>
      </c>
    </row>
    <row r="8" spans="1:35" ht="28.8" x14ac:dyDescent="0.3">
      <c r="A8" s="69" t="s">
        <v>76</v>
      </c>
      <c r="B8" s="22" t="s">
        <v>250</v>
      </c>
      <c r="C8" s="69" t="s">
        <v>244</v>
      </c>
      <c r="D8" s="69" t="s">
        <v>251</v>
      </c>
      <c r="E8" s="69" t="s">
        <v>252</v>
      </c>
      <c r="G8" s="22" t="s">
        <v>248</v>
      </c>
      <c r="H8" s="7" t="s">
        <v>76</v>
      </c>
      <c r="I8" s="7" t="s">
        <v>244</v>
      </c>
      <c r="J8" s="233">
        <f>ROUND(J7/J6,4)</f>
        <v>0.88200000000000001</v>
      </c>
      <c r="K8" s="233">
        <f>ROUND(K7/K6,4)</f>
        <v>0.90839999999999999</v>
      </c>
      <c r="L8" s="233">
        <f>ROUND(L7/L6,4)</f>
        <v>0.90990000000000004</v>
      </c>
      <c r="M8" s="233">
        <f>ROUND(M7/M6,4)</f>
        <v>0.91080000000000005</v>
      </c>
      <c r="N8" s="233">
        <f>ROUND(N7/N6,4)</f>
        <v>0.91020000000000001</v>
      </c>
      <c r="O8" s="233">
        <f>ROUND(O7/O6,4)</f>
        <v>0.90669999999999995</v>
      </c>
      <c r="P8" s="233">
        <f>ROUND(P7/P6,4)</f>
        <v>0.9073</v>
      </c>
      <c r="Q8" s="233">
        <f>ROUND(Q7/Q6,4)</f>
        <v>0.94159999999999999</v>
      </c>
      <c r="R8" s="233">
        <f>ROUND(R7/R6,4)</f>
        <v>0.91910000000000003</v>
      </c>
      <c r="S8" s="233">
        <f>ROUND(S7/S6,4)</f>
        <v>0.94789999999999996</v>
      </c>
      <c r="T8" s="233">
        <f>ROUND(T7/T6,4)</f>
        <v>0.94650000000000001</v>
      </c>
      <c r="U8" s="233">
        <f>ROUND(U7/U6,4)</f>
        <v>0.94689999999999996</v>
      </c>
      <c r="V8" s="233">
        <f>ROUND(V7/V6,4)</f>
        <v>0.92689999999999995</v>
      </c>
      <c r="W8" s="233">
        <f>ROUND(W7/W6,4)</f>
        <v>0.93610000000000004</v>
      </c>
      <c r="X8" s="233">
        <f>ROUND(X7/X6,4)</f>
        <v>0.93610000000000004</v>
      </c>
      <c r="Y8" s="233">
        <f>ROUND(Y7/Y6,4)</f>
        <v>0.93610000000000004</v>
      </c>
      <c r="Z8" s="233">
        <f>ROUND(Z7/Z6,4)</f>
        <v>0.93610000000000004</v>
      </c>
      <c r="AA8" s="233">
        <f>ROUND(AA7/AA6,4)</f>
        <v>0.93610000000000004</v>
      </c>
      <c r="AB8" s="233">
        <f>ROUND(AB7/AB6,4)</f>
        <v>0.93610000000000004</v>
      </c>
      <c r="AC8" s="233">
        <f>ROUND(AC7/AC6,4)</f>
        <v>0.93610000000000004</v>
      </c>
      <c r="AD8" s="233">
        <f>ROUND(AD7/AD6,4)</f>
        <v>0.93610000000000004</v>
      </c>
      <c r="AE8" s="233">
        <f>ROUND(AE7/AE6,4)</f>
        <v>0.93610000000000004</v>
      </c>
      <c r="AF8" s="233">
        <f>ROUND(AF7/AF6,4)</f>
        <v>0.93610000000000004</v>
      </c>
      <c r="AG8" s="233">
        <f>ROUND(AG7/AG6,4)</f>
        <v>0.93610000000000004</v>
      </c>
      <c r="AH8" s="233">
        <f>ROUND(AH7/AH6,4)</f>
        <v>0.93610000000000004</v>
      </c>
      <c r="AI8" s="233">
        <f>ROUND(AI7/AI6,4)</f>
        <v>0.93610000000000004</v>
      </c>
    </row>
    <row r="9" spans="1:35" ht="43.2" x14ac:dyDescent="0.3">
      <c r="A9" s="69"/>
      <c r="B9" s="69" t="s">
        <v>253</v>
      </c>
      <c r="C9" s="69" t="s">
        <v>135</v>
      </c>
      <c r="D9" s="69" t="s">
        <v>254</v>
      </c>
      <c r="E9" s="69" t="s">
        <v>255</v>
      </c>
      <c r="G9" s="22" t="s">
        <v>250</v>
      </c>
      <c r="H9" s="7" t="s">
        <v>76</v>
      </c>
      <c r="I9" s="7" t="s">
        <v>256</v>
      </c>
      <c r="J9" s="234">
        <v>0.35751699999999997</v>
      </c>
      <c r="K9" s="7">
        <v>0.39952399999999999</v>
      </c>
      <c r="L9" s="234">
        <v>0.43179200000000001</v>
      </c>
      <c r="M9" s="7">
        <v>0.43804799999999999</v>
      </c>
      <c r="N9" s="234">
        <v>0.44363200000000003</v>
      </c>
      <c r="O9" s="7">
        <v>0.444274</v>
      </c>
      <c r="P9" s="234">
        <v>0.44692300000000001</v>
      </c>
      <c r="Q9" s="7">
        <v>0.47012399999999999</v>
      </c>
      <c r="R9" s="234">
        <v>0.46492600000000001</v>
      </c>
      <c r="S9" s="7">
        <v>0.48205300000000001</v>
      </c>
      <c r="T9" s="234">
        <v>0.484066</v>
      </c>
      <c r="U9" s="7">
        <v>0.49116700000000002</v>
      </c>
      <c r="V9" s="234">
        <v>0.46878500000000001</v>
      </c>
      <c r="W9" s="7">
        <v>0.51776200000000006</v>
      </c>
      <c r="X9" s="234">
        <v>0.56266400000000005</v>
      </c>
      <c r="Y9" s="7">
        <v>0.56678700000000004</v>
      </c>
      <c r="Z9" s="234">
        <v>0.59566799999999998</v>
      </c>
      <c r="AA9" s="7">
        <v>0.70706400000000003</v>
      </c>
      <c r="AB9" s="234">
        <v>0.75968999999999998</v>
      </c>
      <c r="AC9" s="7">
        <v>0.81337300000000001</v>
      </c>
      <c r="AD9" s="234">
        <v>0.86840700000000004</v>
      </c>
      <c r="AE9" s="7">
        <v>0.92587799999999998</v>
      </c>
      <c r="AF9" s="234">
        <v>0.98570400000000002</v>
      </c>
      <c r="AG9" s="7">
        <v>1.04695</v>
      </c>
      <c r="AH9" s="234">
        <v>1.1108199999999999</v>
      </c>
      <c r="AI9" s="7">
        <v>1.17604</v>
      </c>
    </row>
    <row r="10" spans="1:35" ht="28.8" x14ac:dyDescent="0.3">
      <c r="A10" s="69" t="s">
        <v>75</v>
      </c>
      <c r="B10" s="69" t="s">
        <v>257</v>
      </c>
      <c r="C10" s="69" t="s">
        <v>258</v>
      </c>
      <c r="D10" s="69" t="s">
        <v>259</v>
      </c>
      <c r="E10" s="69" t="s">
        <v>260</v>
      </c>
      <c r="G10" s="22" t="s">
        <v>261</v>
      </c>
      <c r="H10" s="7"/>
      <c r="I10" s="7" t="s">
        <v>256</v>
      </c>
      <c r="J10" s="235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234">
        <v>6.6E-3</v>
      </c>
      <c r="AA10" s="7">
        <v>1.89E-2</v>
      </c>
      <c r="AB10" s="234">
        <v>3.1199999999999999E-2</v>
      </c>
      <c r="AC10" s="7">
        <v>4.3499999999999997E-2</v>
      </c>
      <c r="AD10" s="234">
        <v>5.5800000000000002E-2</v>
      </c>
      <c r="AE10" s="7">
        <v>6.8099999999999994E-2</v>
      </c>
      <c r="AF10" s="234">
        <v>8.0399999999999999E-2</v>
      </c>
      <c r="AG10" s="7">
        <v>9.2700000000000005E-2</v>
      </c>
      <c r="AH10" s="234">
        <v>0.13500000000000001</v>
      </c>
      <c r="AI10" s="7">
        <v>0.17730000000000001</v>
      </c>
    </row>
    <row r="11" spans="1:35" x14ac:dyDescent="0.3">
      <c r="G11" s="22" t="s">
        <v>262</v>
      </c>
      <c r="H11" s="7" t="s">
        <v>76</v>
      </c>
      <c r="I11" s="7"/>
      <c r="J11" s="23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>
        <f>Y10*Y8</f>
        <v>0</v>
      </c>
      <c r="Z11" s="7">
        <f>Z10*Z8</f>
        <v>6.1782600000000005E-3</v>
      </c>
      <c r="AA11" s="7">
        <f>AA10*AA8</f>
        <v>1.7692289999999999E-2</v>
      </c>
      <c r="AB11" s="7">
        <f>AB10*AB8</f>
        <v>2.9206320000000001E-2</v>
      </c>
      <c r="AC11" s="7">
        <f>AC10*AC8</f>
        <v>4.0720350000000002E-2</v>
      </c>
      <c r="AD11" s="7">
        <f>AD10*AD8</f>
        <v>5.2234380000000004E-2</v>
      </c>
      <c r="AE11" s="7">
        <f>AE10*AE8</f>
        <v>6.3748409999999991E-2</v>
      </c>
      <c r="AF11" s="7">
        <f>AF10*AF8</f>
        <v>7.526244E-2</v>
      </c>
      <c r="AG11" s="7">
        <f>AG10*AG8</f>
        <v>8.6776470000000008E-2</v>
      </c>
      <c r="AH11" s="7">
        <f>AH10*AH8</f>
        <v>0.12637350000000003</v>
      </c>
      <c r="AI11" s="7">
        <f>AI10*AI8</f>
        <v>0.16597053000000003</v>
      </c>
    </row>
    <row r="12" spans="1:35" x14ac:dyDescent="0.3">
      <c r="G12" s="22" t="s">
        <v>263</v>
      </c>
      <c r="H12" s="7" t="s">
        <v>264</v>
      </c>
      <c r="I12" s="7" t="s">
        <v>256</v>
      </c>
      <c r="J12" s="235">
        <f>ROUND(J9-J10,4)</f>
        <v>0.35749999999999998</v>
      </c>
      <c r="K12" s="235">
        <f>ROUND(K9-K10,4)</f>
        <v>0.39950000000000002</v>
      </c>
      <c r="L12" s="235">
        <f>ROUND(L9-L10,4)</f>
        <v>0.43180000000000002</v>
      </c>
      <c r="M12" s="235">
        <f>ROUND(M9-M10,4)</f>
        <v>0.438</v>
      </c>
      <c r="N12" s="235">
        <f>ROUND(N9-N10,4)</f>
        <v>0.44359999999999999</v>
      </c>
      <c r="O12" s="235">
        <f>ROUND(O9-O10,4)</f>
        <v>0.44429999999999997</v>
      </c>
      <c r="P12" s="235">
        <f>ROUND(P9-P10,4)</f>
        <v>0.44690000000000002</v>
      </c>
      <c r="Q12" s="235">
        <f>ROUND(Q9-Q10,4)</f>
        <v>0.47010000000000002</v>
      </c>
      <c r="R12" s="235">
        <f>ROUND(R9-R10,4)</f>
        <v>0.46489999999999998</v>
      </c>
      <c r="S12" s="235">
        <f>ROUND(S9-S10,4)</f>
        <v>0.48209999999999997</v>
      </c>
      <c r="T12" s="235">
        <f>ROUND(T9-T10,4)</f>
        <v>0.48409999999999997</v>
      </c>
      <c r="U12" s="235">
        <f>ROUND(U9-U10,4)</f>
        <v>0.49120000000000003</v>
      </c>
      <c r="V12" s="235">
        <f>ROUND(V9-V10,4)</f>
        <v>0.46879999999999999</v>
      </c>
      <c r="W12" s="235">
        <f>ROUND(W9-W10,4)</f>
        <v>0.51780000000000004</v>
      </c>
      <c r="X12" s="235">
        <f>ROUND(X9-X10,4)</f>
        <v>0.56269999999999998</v>
      </c>
      <c r="Y12" s="235">
        <f>ROUND(Y9-Y11,4)</f>
        <v>0.56679999999999997</v>
      </c>
      <c r="Z12" s="235">
        <f>ROUND(Z9-Z11,4)</f>
        <v>0.58950000000000002</v>
      </c>
      <c r="AA12" s="235">
        <f>ROUND(AA9-AA11,4)</f>
        <v>0.68940000000000001</v>
      </c>
      <c r="AB12" s="235">
        <f>ROUND(AB9-AB11,4)</f>
        <v>0.73050000000000004</v>
      </c>
      <c r="AC12" s="235">
        <f>ROUND(AC9-AC11,4)</f>
        <v>0.77270000000000005</v>
      </c>
      <c r="AD12" s="235">
        <f>ROUND(AD9-AD11,4)</f>
        <v>0.81620000000000004</v>
      </c>
      <c r="AE12" s="235">
        <f>ROUND(AE9-AE11,4)</f>
        <v>0.86209999999999998</v>
      </c>
      <c r="AF12" s="235">
        <f>ROUND(AF9-AF11,4)</f>
        <v>0.91039999999999999</v>
      </c>
      <c r="AG12" s="235">
        <f>ROUND(AG9-AG11,4)</f>
        <v>0.96020000000000005</v>
      </c>
      <c r="AH12" s="235">
        <f>ROUND(AH9-AH11,4)</f>
        <v>0.98440000000000005</v>
      </c>
      <c r="AI12" s="235">
        <f>ROUND(AI9-AI11,4)</f>
        <v>1.0101</v>
      </c>
    </row>
    <row r="13" spans="1:35" x14ac:dyDescent="0.3">
      <c r="G13" s="22" t="s">
        <v>253</v>
      </c>
      <c r="H13" s="7"/>
      <c r="I13" s="7" t="s">
        <v>135</v>
      </c>
      <c r="J13" s="236">
        <v>0.1265009487547592</v>
      </c>
      <c r="K13" s="236">
        <v>0.11852490499932623</v>
      </c>
      <c r="L13" s="236">
        <v>0.11253669283122673</v>
      </c>
      <c r="M13" s="236">
        <v>0.10476868083994074</v>
      </c>
      <c r="N13" s="236">
        <v>9.817680826636048E-2</v>
      </c>
      <c r="O13" s="236">
        <v>9.5298957563499154E-2</v>
      </c>
      <c r="P13" s="236">
        <v>9.2616902944383864E-2</v>
      </c>
      <c r="Q13" s="236">
        <v>9.3655819624467757E-2</v>
      </c>
      <c r="R13" s="236">
        <v>0.12505730681183561</v>
      </c>
      <c r="S13" s="236">
        <v>0.12689419425875137</v>
      </c>
      <c r="T13" s="236">
        <v>0.1260491351956842</v>
      </c>
      <c r="U13" s="236">
        <v>0.12590416764139323</v>
      </c>
      <c r="V13" s="236">
        <v>0.11331515124040172</v>
      </c>
      <c r="W13" s="236">
        <v>0.1149100902077362</v>
      </c>
      <c r="X13" s="236">
        <v>0.116244719452128</v>
      </c>
      <c r="Y13" s="235">
        <v>0.11749775772426405</v>
      </c>
      <c r="Z13" s="236">
        <v>0.11903354165523516</v>
      </c>
      <c r="AA13" s="236">
        <v>0.12021269809524608</v>
      </c>
      <c r="AB13" s="236">
        <v>0.12172750325284443</v>
      </c>
      <c r="AC13" s="236">
        <v>0.12312758108796429</v>
      </c>
      <c r="AD13" s="236">
        <v>0.12447571500787138</v>
      </c>
      <c r="AE13" s="236">
        <v>0.12592701683531299</v>
      </c>
      <c r="AF13" s="236">
        <v>0.12745557991014966</v>
      </c>
      <c r="AG13" s="236">
        <v>0.12893646720793081</v>
      </c>
      <c r="AH13" s="236">
        <v>0.13051785535711019</v>
      </c>
      <c r="AI13" s="235">
        <v>0.13204443347266762</v>
      </c>
    </row>
    <row r="14" spans="1:35" ht="28.8" x14ac:dyDescent="0.3">
      <c r="G14" s="22" t="s">
        <v>265</v>
      </c>
      <c r="H14" s="7" t="s">
        <v>76</v>
      </c>
      <c r="I14" s="7" t="s">
        <v>247</v>
      </c>
      <c r="J14" s="7">
        <f>ROUND(J12/J13,4)</f>
        <v>2.8260999999999998</v>
      </c>
      <c r="K14" s="7">
        <f>ROUND(K12/K13,4)</f>
        <v>3.3706</v>
      </c>
      <c r="L14" s="7">
        <f>ROUND(L12/L13,4)</f>
        <v>3.8370000000000002</v>
      </c>
      <c r="M14" s="7">
        <f>ROUND(M12/M13,4)</f>
        <v>4.1806000000000001</v>
      </c>
      <c r="N14" s="7">
        <f>ROUND(N12/N13,4)</f>
        <v>4.5183999999999997</v>
      </c>
      <c r="O14" s="7">
        <f>ROUND(O12/O13,4)</f>
        <v>4.6622000000000003</v>
      </c>
      <c r="P14" s="7">
        <f>ROUND(P12/P13,4)</f>
        <v>4.8253000000000004</v>
      </c>
      <c r="Q14" s="7">
        <f>ROUND(Q12/Q13,4)</f>
        <v>5.0194000000000001</v>
      </c>
      <c r="R14" s="7">
        <f>ROUND(R12/R13,4)</f>
        <v>3.7174999999999998</v>
      </c>
      <c r="S14" s="7">
        <f>ROUND(S12/S13,4)</f>
        <v>3.7991999999999999</v>
      </c>
      <c r="T14" s="7">
        <f>ROUND(T12/T13,4)</f>
        <v>3.8405999999999998</v>
      </c>
      <c r="U14" s="7">
        <f>ROUND(U12/U13,4)</f>
        <v>3.9014000000000002</v>
      </c>
      <c r="V14" s="7">
        <f>ROUND(V12/V13,4)</f>
        <v>4.1371000000000002</v>
      </c>
      <c r="W14" s="7">
        <f>ROUND(W12/W13,4)</f>
        <v>4.5061</v>
      </c>
      <c r="X14" s="7">
        <f>ROUND(X12/X13,4)</f>
        <v>4.8406000000000002</v>
      </c>
      <c r="Y14" s="7">
        <f>ROUND(Y12/Y13,4)</f>
        <v>4.8239000000000001</v>
      </c>
      <c r="Z14" s="7">
        <f>ROUND(Z12/Z13,4)</f>
        <v>4.9523999999999999</v>
      </c>
      <c r="AA14" s="7">
        <f>ROUND(AA12/AA13,4)</f>
        <v>5.7347999999999999</v>
      </c>
      <c r="AB14" s="7">
        <f>ROUND(AB12/AB13,4)</f>
        <v>6.0011000000000001</v>
      </c>
      <c r="AC14" s="7">
        <f>ROUND(AC12/AC13,4)</f>
        <v>6.2755999999999998</v>
      </c>
      <c r="AD14" s="7">
        <f>ROUND(AD12/AD13,4)</f>
        <v>6.5571000000000002</v>
      </c>
      <c r="AE14" s="7">
        <f>ROUND(AE12/AE13,4)</f>
        <v>6.8460000000000001</v>
      </c>
      <c r="AF14" s="7">
        <f>ROUND(AF12/AF13,4)</f>
        <v>7.1429</v>
      </c>
      <c r="AG14" s="7">
        <f>ROUND(AG12/AG13,4)</f>
        <v>7.4470999999999998</v>
      </c>
      <c r="AH14" s="7">
        <f>ROUND(AH12/AH13,4)</f>
        <v>7.5423</v>
      </c>
      <c r="AI14" s="7">
        <f>ROUND(AI12/AI13,4)</f>
        <v>7.6497000000000002</v>
      </c>
    </row>
    <row r="15" spans="1:35" ht="28.8" x14ac:dyDescent="0.3">
      <c r="G15" s="237" t="s">
        <v>266</v>
      </c>
      <c r="H15" s="238" t="s">
        <v>267</v>
      </c>
      <c r="I15" s="238" t="s">
        <v>244</v>
      </c>
      <c r="J15" s="239">
        <f>ROUND(J14/J6,4)</f>
        <v>0.88200000000000001</v>
      </c>
      <c r="K15" s="239">
        <f>ROUND(K14/K6,4)</f>
        <v>0.90839999999999999</v>
      </c>
      <c r="L15" s="239">
        <f>ROUND(L14/L6,4)</f>
        <v>0.90990000000000004</v>
      </c>
      <c r="M15" s="239">
        <f>ROUND(M14/M6,4)</f>
        <v>0.91059999999999997</v>
      </c>
      <c r="N15" s="239">
        <f>ROUND(N14/N6,4)</f>
        <v>0.91010000000000002</v>
      </c>
      <c r="O15" s="239">
        <f>ROUND(O14/O6,4)</f>
        <v>0.90669999999999995</v>
      </c>
      <c r="P15" s="239">
        <f>ROUND(P14/P6,4)</f>
        <v>0.9073</v>
      </c>
      <c r="Q15" s="239">
        <f>ROUND(Q14/Q6,4)</f>
        <v>0.9415</v>
      </c>
      <c r="R15" s="239">
        <f>ROUND(R14/R6,4)</f>
        <v>0.91910000000000003</v>
      </c>
      <c r="S15" s="239">
        <f>ROUND(S14/S6,4)</f>
        <v>0.94799999999999995</v>
      </c>
      <c r="T15" s="239">
        <f>ROUND(T14/T6,4)</f>
        <v>0.94650000000000001</v>
      </c>
      <c r="U15" s="239">
        <f>ROUND(U14/U6,4)</f>
        <v>0.94699999999999995</v>
      </c>
      <c r="V15" s="239">
        <f>ROUND(V14/V6,4)</f>
        <v>0.92700000000000005</v>
      </c>
      <c r="W15" s="239">
        <f>ROUND(W14/W6,4)</f>
        <v>0.93610000000000004</v>
      </c>
      <c r="X15" s="239">
        <f>ROUND(X14/X6,4)</f>
        <v>0.93610000000000004</v>
      </c>
      <c r="Y15" s="233">
        <f>ROUND(Y14/Y6,4)</f>
        <v>0.93610000000000004</v>
      </c>
      <c r="Z15" s="239">
        <f>ROUND(Z14/Z6,4)</f>
        <v>0.9264</v>
      </c>
      <c r="AA15" s="239">
        <f>ROUND(AA14/AA6,4)</f>
        <v>0.91269999999999996</v>
      </c>
      <c r="AB15" s="239">
        <f>ROUND(AB14/AB6,4)</f>
        <v>0.90010000000000001</v>
      </c>
      <c r="AC15" s="239">
        <f>ROUND(AC14/AC6,4)</f>
        <v>0.88929999999999998</v>
      </c>
      <c r="AD15" s="239">
        <f>ROUND(AD14/AD6,4)</f>
        <v>0.87980000000000003</v>
      </c>
      <c r="AE15" s="239">
        <f>ROUND(AE14/AE6,4)</f>
        <v>0.87160000000000004</v>
      </c>
      <c r="AF15" s="239">
        <f>ROUND(AF14/AF6,4)</f>
        <v>0.86460000000000004</v>
      </c>
      <c r="AG15" s="239">
        <f>ROUND(AG14/AG6,4)</f>
        <v>0.85850000000000004</v>
      </c>
      <c r="AH15" s="239">
        <f>ROUND(AH14/AH6,4)</f>
        <v>0.8296</v>
      </c>
      <c r="AI15" s="239">
        <f>ROUND(AI14/AI6,4)</f>
        <v>0.80400000000000005</v>
      </c>
    </row>
    <row r="16" spans="1:35" ht="28.8" x14ac:dyDescent="0.3">
      <c r="G16" s="237" t="s">
        <v>268</v>
      </c>
      <c r="H16" s="238" t="s">
        <v>269</v>
      </c>
      <c r="I16" s="238" t="s">
        <v>244</v>
      </c>
      <c r="J16" s="239">
        <f>ROUND(1-J15,4)</f>
        <v>0.11799999999999999</v>
      </c>
      <c r="K16" s="239">
        <f>ROUND(1-K15,4)</f>
        <v>9.1600000000000001E-2</v>
      </c>
      <c r="L16" s="239">
        <f>ROUND(1-L15,4)</f>
        <v>9.01E-2</v>
      </c>
      <c r="M16" s="239">
        <f>ROUND(1-M15,4)</f>
        <v>8.9399999999999993E-2</v>
      </c>
      <c r="N16" s="239">
        <f>ROUND(1-N15,4)</f>
        <v>8.9899999999999994E-2</v>
      </c>
      <c r="O16" s="239">
        <f>ROUND(1-O15,4)</f>
        <v>9.3299999999999994E-2</v>
      </c>
      <c r="P16" s="239">
        <f>ROUND(1-P15,4)</f>
        <v>9.2700000000000005E-2</v>
      </c>
      <c r="Q16" s="239">
        <f>ROUND(1-Q15,4)</f>
        <v>5.8500000000000003E-2</v>
      </c>
      <c r="R16" s="239">
        <f>ROUND(1-R15,4)</f>
        <v>8.09E-2</v>
      </c>
      <c r="S16" s="239">
        <f>ROUND(1-S15,4)</f>
        <v>5.1999999999999998E-2</v>
      </c>
      <c r="T16" s="239">
        <f>ROUND(1-T15,4)</f>
        <v>5.3499999999999999E-2</v>
      </c>
      <c r="U16" s="239">
        <f>ROUND(1-U15,4)</f>
        <v>5.2999999999999999E-2</v>
      </c>
      <c r="V16" s="239">
        <f>ROUND(1-V15,4)</f>
        <v>7.2999999999999995E-2</v>
      </c>
      <c r="W16" s="239">
        <f>ROUND(1-W15,4)</f>
        <v>6.3899999999999998E-2</v>
      </c>
      <c r="X16" s="239">
        <f>ROUND(1-X15,4)</f>
        <v>6.3899999999999998E-2</v>
      </c>
      <c r="Y16" s="233">
        <f>ROUND(1-Y15,4)</f>
        <v>6.3899999999999998E-2</v>
      </c>
      <c r="Z16" s="239">
        <f>ROUND(1-Z15,4)</f>
        <v>7.3599999999999999E-2</v>
      </c>
      <c r="AA16" s="239">
        <f>ROUND(1-AA15,4)</f>
        <v>8.7300000000000003E-2</v>
      </c>
      <c r="AB16" s="239">
        <f>ROUND(1-AB15,4)</f>
        <v>9.9900000000000003E-2</v>
      </c>
      <c r="AC16" s="239">
        <f>ROUND(1-AC15,4)</f>
        <v>0.11070000000000001</v>
      </c>
      <c r="AD16" s="239">
        <f>ROUND(1-AD15,4)</f>
        <v>0.1202</v>
      </c>
      <c r="AE16" s="239">
        <f>ROUND(1-AE15,4)</f>
        <v>0.12839999999999999</v>
      </c>
      <c r="AF16" s="239">
        <f>ROUND(1-AF15,4)</f>
        <v>0.13539999999999999</v>
      </c>
      <c r="AG16" s="239">
        <f>ROUND(1-AG15,4)</f>
        <v>0.14149999999999999</v>
      </c>
      <c r="AH16" s="239">
        <f>ROUND(1-AH15,4)</f>
        <v>0.1704</v>
      </c>
      <c r="AI16" s="239">
        <f>ROUND(1-AI15,4)</f>
        <v>0.19600000000000001</v>
      </c>
    </row>
    <row r="17" spans="7:39" ht="15" thickBot="1" x14ac:dyDescent="0.35"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58"/>
      <c r="Z17" s="144"/>
      <c r="AA17" s="144"/>
      <c r="AB17" s="144"/>
      <c r="AC17" s="144"/>
      <c r="AD17" s="144"/>
      <c r="AE17" s="144"/>
      <c r="AF17" s="144"/>
      <c r="AG17" s="144"/>
      <c r="AH17" s="144"/>
      <c r="AI17" s="158"/>
    </row>
    <row r="18" spans="7:39" ht="28.8" x14ac:dyDescent="0.3">
      <c r="G18" s="240" t="s">
        <v>266</v>
      </c>
      <c r="H18" s="241" t="s">
        <v>267</v>
      </c>
      <c r="I18" s="241" t="s">
        <v>244</v>
      </c>
      <c r="J18" s="242">
        <f>J15</f>
        <v>0.88200000000000001</v>
      </c>
      <c r="K18" s="242">
        <f>K15</f>
        <v>0.90839999999999999</v>
      </c>
      <c r="L18" s="242">
        <f>L15</f>
        <v>0.90990000000000004</v>
      </c>
      <c r="M18" s="242">
        <f>M15</f>
        <v>0.91059999999999997</v>
      </c>
      <c r="N18" s="242">
        <f>N15</f>
        <v>0.91010000000000002</v>
      </c>
      <c r="O18" s="242">
        <f>O15</f>
        <v>0.90669999999999995</v>
      </c>
      <c r="P18" s="242">
        <f>P15</f>
        <v>0.9073</v>
      </c>
      <c r="Q18" s="242">
        <f>Q15</f>
        <v>0.9415</v>
      </c>
      <c r="R18" s="242">
        <f>R15</f>
        <v>0.91910000000000003</v>
      </c>
      <c r="S18" s="242">
        <f>S15</f>
        <v>0.94799999999999995</v>
      </c>
      <c r="T18" s="242">
        <f>T15</f>
        <v>0.94650000000000001</v>
      </c>
      <c r="U18" s="242">
        <f>U15</f>
        <v>0.94699999999999995</v>
      </c>
      <c r="V18" s="242">
        <f>V15</f>
        <v>0.92700000000000005</v>
      </c>
      <c r="W18" s="242">
        <f>W15</f>
        <v>0.93610000000000004</v>
      </c>
      <c r="X18" s="242">
        <f>X15</f>
        <v>0.93610000000000004</v>
      </c>
      <c r="Y18" s="243">
        <f>Y15</f>
        <v>0.93610000000000004</v>
      </c>
      <c r="Z18" s="242">
        <f>Z15</f>
        <v>0.9264</v>
      </c>
      <c r="AA18" s="242">
        <f>AA15</f>
        <v>0.91269999999999996</v>
      </c>
      <c r="AB18" s="242">
        <f>AB15</f>
        <v>0.90010000000000001</v>
      </c>
      <c r="AC18" s="242">
        <f>AC15</f>
        <v>0.88929999999999998</v>
      </c>
      <c r="AD18" s="242">
        <f>AD15</f>
        <v>0.87980000000000003</v>
      </c>
      <c r="AE18" s="242">
        <f>AE15</f>
        <v>0.87160000000000004</v>
      </c>
      <c r="AF18" s="242">
        <f>AF15</f>
        <v>0.86460000000000004</v>
      </c>
      <c r="AG18" s="242">
        <f>AG15</f>
        <v>0.85850000000000004</v>
      </c>
      <c r="AH18" s="242">
        <f>AH15</f>
        <v>0.8296</v>
      </c>
      <c r="AI18" s="243">
        <f>AI15</f>
        <v>0.80400000000000005</v>
      </c>
    </row>
    <row r="19" spans="7:39" ht="29.4" thickBot="1" x14ac:dyDescent="0.35">
      <c r="G19" s="244" t="s">
        <v>268</v>
      </c>
      <c r="H19" s="245" t="s">
        <v>269</v>
      </c>
      <c r="I19" s="245" t="s">
        <v>244</v>
      </c>
      <c r="J19" s="246">
        <f>J16</f>
        <v>0.11799999999999999</v>
      </c>
      <c r="K19" s="246">
        <f t="shared" ref="K19:AI19" si="0">K16</f>
        <v>9.1600000000000001E-2</v>
      </c>
      <c r="L19" s="246">
        <f t="shared" si="0"/>
        <v>9.01E-2</v>
      </c>
      <c r="M19" s="246">
        <f t="shared" si="0"/>
        <v>8.9399999999999993E-2</v>
      </c>
      <c r="N19" s="246">
        <f t="shared" si="0"/>
        <v>8.9899999999999994E-2</v>
      </c>
      <c r="O19" s="246">
        <f t="shared" si="0"/>
        <v>9.3299999999999994E-2</v>
      </c>
      <c r="P19" s="246">
        <f t="shared" si="0"/>
        <v>9.2700000000000005E-2</v>
      </c>
      <c r="Q19" s="246">
        <f t="shared" si="0"/>
        <v>5.8500000000000003E-2</v>
      </c>
      <c r="R19" s="246">
        <f t="shared" si="0"/>
        <v>8.09E-2</v>
      </c>
      <c r="S19" s="246">
        <f t="shared" si="0"/>
        <v>5.1999999999999998E-2</v>
      </c>
      <c r="T19" s="246">
        <f t="shared" si="0"/>
        <v>5.3499999999999999E-2</v>
      </c>
      <c r="U19" s="246">
        <f t="shared" si="0"/>
        <v>5.2999999999999999E-2</v>
      </c>
      <c r="V19" s="246">
        <f t="shared" si="0"/>
        <v>7.2999999999999995E-2</v>
      </c>
      <c r="W19" s="246">
        <f t="shared" si="0"/>
        <v>6.3899999999999998E-2</v>
      </c>
      <c r="X19" s="246">
        <f t="shared" si="0"/>
        <v>6.3899999999999998E-2</v>
      </c>
      <c r="Y19" s="247">
        <f t="shared" si="0"/>
        <v>6.3899999999999998E-2</v>
      </c>
      <c r="Z19" s="246">
        <f t="shared" si="0"/>
        <v>7.3599999999999999E-2</v>
      </c>
      <c r="AA19" s="246">
        <f t="shared" si="0"/>
        <v>8.7300000000000003E-2</v>
      </c>
      <c r="AB19" s="246">
        <f t="shared" si="0"/>
        <v>9.9900000000000003E-2</v>
      </c>
      <c r="AC19" s="246">
        <f t="shared" si="0"/>
        <v>0.11070000000000001</v>
      </c>
      <c r="AD19" s="246">
        <f t="shared" si="0"/>
        <v>0.1202</v>
      </c>
      <c r="AE19" s="246">
        <f t="shared" si="0"/>
        <v>0.12839999999999999</v>
      </c>
      <c r="AF19" s="246">
        <f t="shared" si="0"/>
        <v>0.13539999999999999</v>
      </c>
      <c r="AG19" s="246">
        <f t="shared" si="0"/>
        <v>0.14149999999999999</v>
      </c>
      <c r="AH19" s="246">
        <f t="shared" si="0"/>
        <v>0.1704</v>
      </c>
      <c r="AI19" s="247">
        <f t="shared" si="0"/>
        <v>0.19600000000000001</v>
      </c>
    </row>
    <row r="20" spans="7:39" x14ac:dyDescent="0.3">
      <c r="H20" s="67"/>
      <c r="I20" s="67"/>
      <c r="J20" s="67">
        <v>0.88200000000000001</v>
      </c>
      <c r="K20" s="67">
        <v>0.90839999999999999</v>
      </c>
      <c r="L20" s="67">
        <v>0.90990000000000004</v>
      </c>
      <c r="M20" s="67">
        <v>0.91059999999999997</v>
      </c>
      <c r="N20" s="67">
        <v>0.91010000000000002</v>
      </c>
      <c r="O20" s="67">
        <v>0.90669999999999995</v>
      </c>
      <c r="P20" s="67">
        <v>0.9073</v>
      </c>
      <c r="Q20" s="67">
        <v>0.9415</v>
      </c>
      <c r="R20" s="67">
        <v>0.91910000000000003</v>
      </c>
      <c r="S20" s="67">
        <v>0.94799999999999995</v>
      </c>
      <c r="T20" s="67">
        <v>0.94650000000000001</v>
      </c>
      <c r="U20" s="67">
        <v>0.94699999999999995</v>
      </c>
      <c r="V20" s="67">
        <v>0.92700000000000005</v>
      </c>
      <c r="W20" s="67">
        <v>0.93610000000000004</v>
      </c>
      <c r="X20" s="67">
        <v>0.93610000000000004</v>
      </c>
      <c r="Y20" s="248">
        <v>0.93610000000000004</v>
      </c>
      <c r="Z20" s="67">
        <v>0.9264</v>
      </c>
      <c r="AA20" s="67">
        <v>0.91269999999999996</v>
      </c>
      <c r="AB20" s="67">
        <v>0.90010000000000001</v>
      </c>
      <c r="AC20" s="67">
        <v>0.88929999999999998</v>
      </c>
      <c r="AD20" s="67">
        <v>0.87980000000000003</v>
      </c>
      <c r="AE20" s="67">
        <v>0.87160000000000004</v>
      </c>
      <c r="AF20" s="67">
        <v>0.86460000000000004</v>
      </c>
      <c r="AG20" s="67">
        <v>0.85850000000000004</v>
      </c>
      <c r="AH20" s="67">
        <v>0.8296</v>
      </c>
      <c r="AI20" s="248">
        <v>0.80400000000000005</v>
      </c>
      <c r="AJ20" s="67"/>
      <c r="AK20" s="67"/>
      <c r="AL20" s="67"/>
      <c r="AM20" s="67"/>
    </row>
    <row r="21" spans="7:39" x14ac:dyDescent="0.3">
      <c r="H21" s="67"/>
      <c r="I21" s="67"/>
      <c r="J21" s="67">
        <v>0.11799999999999999</v>
      </c>
      <c r="K21" s="67">
        <v>9.1600000000000001E-2</v>
      </c>
      <c r="L21" s="67">
        <v>9.01E-2</v>
      </c>
      <c r="M21" s="67">
        <v>8.9399999999999993E-2</v>
      </c>
      <c r="N21" s="67">
        <v>8.9899999999999994E-2</v>
      </c>
      <c r="O21" s="67">
        <v>9.3299999999999994E-2</v>
      </c>
      <c r="P21" s="67">
        <v>9.2700000000000005E-2</v>
      </c>
      <c r="Q21" s="67">
        <v>5.8500000000000003E-2</v>
      </c>
      <c r="R21" s="67">
        <v>8.09E-2</v>
      </c>
      <c r="S21" s="67">
        <v>5.1999999999999998E-2</v>
      </c>
      <c r="T21" s="67">
        <v>5.3499999999999999E-2</v>
      </c>
      <c r="U21" s="67">
        <v>5.2999999999999999E-2</v>
      </c>
      <c r="V21" s="67">
        <v>7.2999999999999995E-2</v>
      </c>
      <c r="W21" s="67">
        <v>6.3899999999999998E-2</v>
      </c>
      <c r="X21" s="67">
        <v>6.3899999999999998E-2</v>
      </c>
      <c r="Y21" s="248">
        <v>6.3899999999999998E-2</v>
      </c>
      <c r="Z21" s="67">
        <v>7.3599999999999999E-2</v>
      </c>
      <c r="AA21" s="67">
        <v>8.7300000000000003E-2</v>
      </c>
      <c r="AB21" s="67">
        <v>9.9900000000000003E-2</v>
      </c>
      <c r="AC21" s="67">
        <v>0.11070000000000001</v>
      </c>
      <c r="AD21" s="67">
        <v>0.1202</v>
      </c>
      <c r="AE21" s="67">
        <v>0.12839999999999999</v>
      </c>
      <c r="AF21" s="67">
        <v>0.13539999999999999</v>
      </c>
      <c r="AG21" s="67">
        <v>0.14149999999999999</v>
      </c>
      <c r="AH21" s="67">
        <v>0.1704</v>
      </c>
      <c r="AI21" s="248">
        <v>0.19600000000000001</v>
      </c>
      <c r="AJ21" s="67"/>
      <c r="AK21" s="67"/>
      <c r="AL21" s="67"/>
      <c r="AM21" s="67"/>
    </row>
    <row r="30" spans="7:39" x14ac:dyDescent="0.3">
      <c r="G30"/>
    </row>
    <row r="31" spans="7:39" x14ac:dyDescent="0.3">
      <c r="G31"/>
    </row>
    <row r="32" spans="7:39" x14ac:dyDescent="0.3">
      <c r="G32"/>
    </row>
  </sheetData>
  <mergeCells count="2">
    <mergeCell ref="A1:E1"/>
    <mergeCell ref="A2:E2"/>
  </mergeCell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87EDD-3A18-443C-BE64-74EBE9F007ED}">
  <dimension ref="A4:P14"/>
  <sheetViews>
    <sheetView topLeftCell="B1" zoomScale="70" zoomScaleNormal="70" workbookViewId="0">
      <selection activeCell="L11" sqref="L11"/>
    </sheetView>
  </sheetViews>
  <sheetFormatPr baseColWidth="10" defaultRowHeight="14.4" x14ac:dyDescent="0.3"/>
  <cols>
    <col min="1" max="1" width="11.5546875" customWidth="1"/>
    <col min="2" max="2" width="68.44140625" customWidth="1"/>
    <col min="3" max="3" width="17.6640625" style="94" customWidth="1"/>
    <col min="4" max="5" width="30.33203125" customWidth="1"/>
    <col min="6" max="6" width="20.88671875" customWidth="1"/>
  </cols>
  <sheetData>
    <row r="4" spans="1:6" ht="15" thickBot="1" x14ac:dyDescent="0.35"/>
    <row r="5" spans="1:6" ht="77.400000000000006" customHeight="1" thickBot="1" x14ac:dyDescent="0.35">
      <c r="A5" s="255" t="s">
        <v>270</v>
      </c>
      <c r="B5" s="256" t="s">
        <v>271</v>
      </c>
      <c r="C5" s="257" t="s">
        <v>272</v>
      </c>
      <c r="D5" s="258" t="s">
        <v>273</v>
      </c>
      <c r="E5" s="259" t="s">
        <v>274</v>
      </c>
      <c r="F5" s="260" t="s">
        <v>275</v>
      </c>
    </row>
    <row r="6" spans="1:6" x14ac:dyDescent="0.3">
      <c r="A6" s="261">
        <v>1</v>
      </c>
      <c r="B6" s="7" t="s">
        <v>276</v>
      </c>
      <c r="C6" s="358" t="s">
        <v>277</v>
      </c>
      <c r="D6" s="359">
        <v>37</v>
      </c>
      <c r="E6" s="7">
        <f t="shared" ref="E6:E10" si="0">D6/1000</f>
        <v>3.6999999999999998E-2</v>
      </c>
      <c r="F6" s="22" t="s">
        <v>85</v>
      </c>
    </row>
    <row r="7" spans="1:6" x14ac:dyDescent="0.3">
      <c r="A7" s="261">
        <v>2</v>
      </c>
      <c r="B7" s="7" t="s">
        <v>276</v>
      </c>
      <c r="C7" s="360" t="s">
        <v>278</v>
      </c>
      <c r="D7" s="359">
        <v>51</v>
      </c>
      <c r="E7" s="7">
        <f t="shared" si="0"/>
        <v>5.0999999999999997E-2</v>
      </c>
      <c r="F7" s="22" t="s">
        <v>85</v>
      </c>
    </row>
    <row r="8" spans="1:6" x14ac:dyDescent="0.3">
      <c r="A8" s="261">
        <v>3</v>
      </c>
      <c r="B8" s="361" t="s">
        <v>279</v>
      </c>
      <c r="C8" s="360" t="s">
        <v>277</v>
      </c>
      <c r="D8" s="359">
        <v>8</v>
      </c>
      <c r="E8" s="7">
        <f t="shared" si="0"/>
        <v>8.0000000000000002E-3</v>
      </c>
      <c r="F8" s="22" t="s">
        <v>128</v>
      </c>
    </row>
    <row r="9" spans="1:6" x14ac:dyDescent="0.3">
      <c r="A9" s="69">
        <v>4</v>
      </c>
      <c r="B9" s="362" t="s">
        <v>280</v>
      </c>
      <c r="C9" s="363" t="s">
        <v>277</v>
      </c>
      <c r="D9" s="364">
        <v>14</v>
      </c>
      <c r="E9" s="7">
        <f t="shared" si="0"/>
        <v>1.4E-2</v>
      </c>
      <c r="F9" s="22" t="s">
        <v>85</v>
      </c>
    </row>
    <row r="10" spans="1:6" x14ac:dyDescent="0.3">
      <c r="A10" s="69">
        <v>5</v>
      </c>
      <c r="B10" s="7" t="s">
        <v>276</v>
      </c>
      <c r="C10" s="363" t="s">
        <v>277</v>
      </c>
      <c r="D10" s="365">
        <v>7</v>
      </c>
      <c r="E10" s="7">
        <f t="shared" si="0"/>
        <v>7.0000000000000001E-3</v>
      </c>
      <c r="F10" s="22" t="s">
        <v>85</v>
      </c>
    </row>
    <row r="11" spans="1:6" x14ac:dyDescent="0.3">
      <c r="A11" s="69">
        <v>6</v>
      </c>
      <c r="B11" s="362" t="s">
        <v>281</v>
      </c>
      <c r="C11" s="363" t="s">
        <v>277</v>
      </c>
      <c r="D11" s="365">
        <v>0.08</v>
      </c>
      <c r="E11" s="7">
        <f>D11/1000</f>
        <v>8.0000000000000007E-5</v>
      </c>
      <c r="F11" s="22" t="s">
        <v>85</v>
      </c>
    </row>
    <row r="12" spans="1:6" x14ac:dyDescent="0.3">
      <c r="A12" s="69">
        <v>7</v>
      </c>
      <c r="B12" s="7" t="s">
        <v>280</v>
      </c>
      <c r="C12" s="363" t="s">
        <v>277</v>
      </c>
      <c r="D12" s="7">
        <v>0.17</v>
      </c>
      <c r="E12" s="7">
        <f>D12/1000</f>
        <v>1.7000000000000001E-4</v>
      </c>
      <c r="F12" s="22" t="s">
        <v>85</v>
      </c>
    </row>
    <row r="13" spans="1:6" x14ac:dyDescent="0.3">
      <c r="A13" s="261">
        <v>8</v>
      </c>
      <c r="B13" s="7" t="s">
        <v>282</v>
      </c>
      <c r="C13" s="366" t="s">
        <v>283</v>
      </c>
      <c r="D13" s="7">
        <v>60</v>
      </c>
      <c r="E13" s="7">
        <f>D13/1000</f>
        <v>0.06</v>
      </c>
      <c r="F13" s="22" t="s">
        <v>85</v>
      </c>
    </row>
    <row r="14" spans="1:6" s="34" customFormat="1" x14ac:dyDescent="0.3">
      <c r="A14"/>
      <c r="B14"/>
      <c r="C14" s="266" t="s">
        <v>66</v>
      </c>
      <c r="D14" s="262">
        <f>ROUND(SUM(D6:D13),4)</f>
        <v>177.25</v>
      </c>
      <c r="E14" s="262">
        <f t="shared" ref="E14" si="1">ROUND(SUM(E6:E13),4)</f>
        <v>0.17730000000000001</v>
      </c>
      <c r="F14"/>
    </row>
  </sheetData>
  <autoFilter ref="A5:F14" xr:uid="{64933DEE-6C3C-4F45-8F74-B829655A8563}"/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37883-059A-4D0A-940A-C30041EF007E}">
  <dimension ref="B1:AE15"/>
  <sheetViews>
    <sheetView zoomScaleNormal="100" workbookViewId="0">
      <selection activeCell="AD7" sqref="AD7"/>
    </sheetView>
  </sheetViews>
  <sheetFormatPr baseColWidth="10" defaultRowHeight="14.4" x14ac:dyDescent="0.3"/>
  <cols>
    <col min="3" max="3" width="20.6640625" bestFit="1" customWidth="1"/>
    <col min="4" max="4" width="39.21875" customWidth="1"/>
    <col min="5" max="8" width="11.33203125" customWidth="1"/>
    <col min="9" max="12" width="11.44140625" customWidth="1"/>
  </cols>
  <sheetData>
    <row r="1" spans="2:31" ht="20.399999999999999" thickBot="1" x14ac:dyDescent="0.35">
      <c r="B1" s="1"/>
      <c r="C1" s="2" t="s">
        <v>12</v>
      </c>
      <c r="D1" s="3"/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4"/>
      <c r="D4" s="13" t="s">
        <v>112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</row>
    <row r="5" spans="2:31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2:31" x14ac:dyDescent="0.3">
      <c r="B6" s="12"/>
      <c r="C6" s="13" t="s">
        <v>69</v>
      </c>
      <c r="D6" s="13" t="s">
        <v>18</v>
      </c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</row>
    <row r="7" spans="2:31" x14ac:dyDescent="0.3">
      <c r="B7" s="12"/>
      <c r="C7" s="14" t="s">
        <v>128</v>
      </c>
      <c r="D7" s="14" t="s">
        <v>192</v>
      </c>
      <c r="E7" s="79">
        <v>0.21943939169313598</v>
      </c>
      <c r="F7" s="79">
        <v>0.42560331484082431</v>
      </c>
      <c r="G7" s="79">
        <v>0.63176723798851264</v>
      </c>
      <c r="H7" s="79">
        <v>0.44803822156474377</v>
      </c>
      <c r="I7" s="79">
        <v>0.26430920514097506</v>
      </c>
      <c r="J7" s="79">
        <v>0.54621822384471042</v>
      </c>
      <c r="K7" s="79">
        <v>0.82812724254844594</v>
      </c>
      <c r="L7" s="79">
        <v>0.86434613633093427</v>
      </c>
      <c r="M7" s="117">
        <v>0.90056503011342293</v>
      </c>
      <c r="N7" s="117">
        <v>0.86044934433682829</v>
      </c>
      <c r="O7" s="117">
        <v>0.82033365856023355</v>
      </c>
      <c r="P7" s="117">
        <v>0.70069913034885223</v>
      </c>
      <c r="Q7" s="117">
        <v>0.85037721868621963</v>
      </c>
      <c r="R7" s="61">
        <f>$Q$7*R15</f>
        <v>0.91714581782685389</v>
      </c>
      <c r="S7" s="61">
        <f>$Q$7*S15</f>
        <v>0.9852413833659297</v>
      </c>
      <c r="T7" s="61">
        <f>$Q$7*T15</f>
        <v>0.98188121161743924</v>
      </c>
      <c r="U7" s="61">
        <f>$Q$7*U15</f>
        <v>1.0185973518808855</v>
      </c>
      <c r="V7" s="61">
        <f>$Q$7*V15</f>
        <v>1.1972200890148272</v>
      </c>
      <c r="W7" s="61">
        <f>$Q$7*W15</f>
        <v>1.2703362105138671</v>
      </c>
      <c r="X7" s="61">
        <f>$Q$7*X15</f>
        <v>1.3446316615058735</v>
      </c>
      <c r="Y7" s="61">
        <f>$Q$7*Y15</f>
        <v>1.4200633274765699</v>
      </c>
      <c r="Z7" s="61">
        <f>$Q$7*Z15</f>
        <v>1.4965949190421766</v>
      </c>
      <c r="AA7" s="61">
        <f>$Q$7*AA15</f>
        <v>1.5741860755279635</v>
      </c>
      <c r="AB7" s="61">
        <f>$Q$7*AB15</f>
        <v>1.6527926546854781</v>
      </c>
      <c r="AC7" s="61">
        <f>$Q$7*AC15</f>
        <v>1.7323758435405052</v>
      </c>
      <c r="AD7" s="61">
        <f>$Q$7*AD15</f>
        <v>1.812890217464167</v>
      </c>
      <c r="AE7" s="15"/>
    </row>
    <row r="8" spans="2:31" x14ac:dyDescent="0.3">
      <c r="B8" s="12"/>
      <c r="C8" s="14"/>
      <c r="D8" s="14"/>
      <c r="E8" s="14"/>
      <c r="F8" s="14"/>
      <c r="G8" s="14"/>
      <c r="H8" s="14"/>
      <c r="I8" s="14"/>
      <c r="J8" s="14"/>
      <c r="K8" s="14"/>
      <c r="L8" s="14"/>
      <c r="M8" s="31"/>
      <c r="N8" s="31"/>
      <c r="O8" s="31"/>
      <c r="P8" s="31"/>
      <c r="Q8" s="31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15"/>
    </row>
    <row r="9" spans="2:31" ht="15" thickBot="1" x14ac:dyDescent="0.35">
      <c r="B9" s="16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8"/>
    </row>
    <row r="14" spans="2:31" x14ac:dyDescent="0.3">
      <c r="D14" s="13" t="s">
        <v>119</v>
      </c>
      <c r="E14" s="80">
        <v>3.2042000000000002</v>
      </c>
      <c r="F14" s="100">
        <v>3.7105000000000001</v>
      </c>
      <c r="G14" s="80">
        <v>4.2168999999999999</v>
      </c>
      <c r="H14" s="80">
        <v>4.5907999999999998</v>
      </c>
      <c r="I14" s="80">
        <v>4.9647000000000006</v>
      </c>
      <c r="J14" s="80">
        <v>5.1417999999999999</v>
      </c>
      <c r="K14" s="80">
        <v>5.3186</v>
      </c>
      <c r="L14" s="80">
        <v>5.3310999999999993</v>
      </c>
      <c r="M14" s="81">
        <v>4.0447617408000003</v>
      </c>
      <c r="N14" s="81">
        <v>4.0075541908799996</v>
      </c>
      <c r="O14" s="81">
        <v>4.0575661959599998</v>
      </c>
      <c r="P14" s="81">
        <v>4.1197163661599996</v>
      </c>
      <c r="Q14" s="81">
        <v>4.4630366236468983</v>
      </c>
      <c r="R14" s="81">
        <v>4.8134584090924522</v>
      </c>
      <c r="S14" s="81">
        <v>5.1708445152000104</v>
      </c>
      <c r="T14" s="81">
        <v>5.1532093184358896</v>
      </c>
      <c r="U14" s="81">
        <v>5.3459067179827402</v>
      </c>
      <c r="V14" s="81">
        <v>6.28337282140971</v>
      </c>
      <c r="W14" s="81">
        <v>6.6671083223834717</v>
      </c>
      <c r="X14" s="81">
        <v>7.0570333009241297</v>
      </c>
      <c r="Y14" s="81">
        <v>7.4529214790317555</v>
      </c>
      <c r="Z14" s="81">
        <v>7.8545823990537924</v>
      </c>
      <c r="AA14" s="81">
        <v>8.2618042359724537</v>
      </c>
      <c r="AB14" s="81">
        <v>8.6743553179282813</v>
      </c>
      <c r="AC14" s="81">
        <v>9.0920319427034944</v>
      </c>
      <c r="AD14" s="81">
        <v>9.5145957081186356</v>
      </c>
    </row>
    <row r="15" spans="2:31" x14ac:dyDescent="0.3">
      <c r="R15">
        <f>R14/$Q$14</f>
        <v>1.078516448551841</v>
      </c>
      <c r="S15">
        <f>S14/$Q$14</f>
        <v>1.158593341538555</v>
      </c>
      <c r="T15">
        <f t="shared" ref="S15:AD15" si="0">T14/$Q$14</f>
        <v>1.1546419518791733</v>
      </c>
      <c r="U15">
        <f t="shared" si="0"/>
        <v>1.1978182499462482</v>
      </c>
      <c r="V15">
        <f t="shared" si="0"/>
        <v>1.4078694286571534</v>
      </c>
      <c r="W15">
        <f t="shared" si="0"/>
        <v>1.493850237987864</v>
      </c>
      <c r="X15">
        <f t="shared" si="0"/>
        <v>1.5812178783237474</v>
      </c>
      <c r="Y15">
        <f t="shared" si="0"/>
        <v>1.6699216492070192</v>
      </c>
      <c r="Z15">
        <f t="shared" si="0"/>
        <v>1.7599188761833524</v>
      </c>
      <c r="AA15">
        <f t="shared" si="0"/>
        <v>1.8511620971690468</v>
      </c>
      <c r="AB15">
        <f t="shared" si="0"/>
        <v>1.9435994031436319</v>
      </c>
      <c r="AC15">
        <f t="shared" si="0"/>
        <v>2.037185152039843</v>
      </c>
      <c r="AD15">
        <f t="shared" si="0"/>
        <v>2.1318659268235933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BBBE-A6D3-4F04-B827-A8726473D986}">
  <dimension ref="B1:AF19"/>
  <sheetViews>
    <sheetView zoomScale="70" zoomScaleNormal="70" workbookViewId="0">
      <selection activeCell="D29" sqref="D29"/>
    </sheetView>
  </sheetViews>
  <sheetFormatPr baseColWidth="10" defaultColWidth="11.44140625" defaultRowHeight="14.4" x14ac:dyDescent="0.3"/>
  <cols>
    <col min="3" max="3" width="26.6640625" customWidth="1"/>
    <col min="4" max="4" width="46.88671875" bestFit="1" customWidth="1"/>
    <col min="5" max="5" width="33.21875" customWidth="1"/>
    <col min="6" max="13" width="11.109375" customWidth="1"/>
  </cols>
  <sheetData>
    <row r="1" spans="2:32" ht="20.399999999999999" thickBot="1" x14ac:dyDescent="0.35">
      <c r="B1" s="1"/>
      <c r="C1" s="2" t="s">
        <v>12</v>
      </c>
      <c r="D1" s="2"/>
      <c r="E1" s="2"/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">
        <v>2025</v>
      </c>
      <c r="V1" s="3">
        <v>2026</v>
      </c>
      <c r="W1" s="3">
        <v>2027</v>
      </c>
      <c r="X1" s="3">
        <v>2028</v>
      </c>
      <c r="Y1" s="3">
        <v>2029</v>
      </c>
      <c r="Z1" s="3">
        <v>2030</v>
      </c>
      <c r="AA1" s="3">
        <v>2031</v>
      </c>
      <c r="AB1" s="3">
        <v>2032</v>
      </c>
      <c r="AC1" s="3">
        <v>2033</v>
      </c>
      <c r="AD1" s="3">
        <v>2034</v>
      </c>
      <c r="AE1" s="3">
        <v>2035</v>
      </c>
      <c r="AF1" s="4"/>
    </row>
    <row r="2" spans="2:32" ht="15" thickBot="1" x14ac:dyDescent="0.35"/>
    <row r="3" spans="2:32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1"/>
    </row>
    <row r="4" spans="2:32" x14ac:dyDescent="0.3">
      <c r="B4" s="12"/>
      <c r="C4" s="164" t="s">
        <v>132</v>
      </c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5"/>
    </row>
    <row r="5" spans="2:32" x14ac:dyDescent="0.3">
      <c r="B5" s="12"/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5"/>
    </row>
    <row r="6" spans="2:32" x14ac:dyDescent="0.3">
      <c r="B6" s="12"/>
      <c r="C6" s="164" t="s">
        <v>126</v>
      </c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3"/>
      <c r="O6" s="163"/>
      <c r="P6" s="163"/>
      <c r="Q6" s="163"/>
      <c r="R6" s="163"/>
      <c r="S6" s="163"/>
      <c r="T6" s="163"/>
      <c r="U6" s="163"/>
      <c r="V6" s="163"/>
      <c r="W6" s="163"/>
      <c r="X6" s="163"/>
      <c r="Y6" s="163"/>
      <c r="Z6" s="163"/>
      <c r="AA6" s="163"/>
      <c r="AB6" s="163"/>
      <c r="AC6" s="163"/>
      <c r="AD6" s="163"/>
      <c r="AE6" s="163"/>
      <c r="AF6" s="15"/>
    </row>
    <row r="7" spans="2:32" x14ac:dyDescent="0.3">
      <c r="B7" s="12"/>
      <c r="C7" s="164" t="s">
        <v>127</v>
      </c>
      <c r="D7" s="164" t="s">
        <v>130</v>
      </c>
      <c r="E7" s="164" t="s">
        <v>133</v>
      </c>
      <c r="F7" s="164"/>
      <c r="G7" s="164"/>
      <c r="H7" s="164"/>
      <c r="I7" s="164"/>
      <c r="J7" s="164"/>
      <c r="K7" s="164"/>
      <c r="L7" s="164"/>
      <c r="M7" s="164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5"/>
    </row>
    <row r="8" spans="2:32" x14ac:dyDescent="0.3">
      <c r="B8" s="12"/>
      <c r="C8" s="185" t="s">
        <v>57</v>
      </c>
      <c r="D8" s="175" t="s">
        <v>131</v>
      </c>
      <c r="E8" s="175" t="s">
        <v>134</v>
      </c>
      <c r="F8" s="184">
        <v>1.5856521795227389E-2</v>
      </c>
      <c r="G8" s="184">
        <v>1.5853445606540926E-2</v>
      </c>
      <c r="H8" s="184">
        <v>1.5731746523551051E-2</v>
      </c>
      <c r="I8" s="184">
        <v>3.629324554638666E-2</v>
      </c>
      <c r="J8" s="184">
        <v>5.3664818319939425E-2</v>
      </c>
      <c r="K8" s="184">
        <v>4.9324804751988326E-2</v>
      </c>
      <c r="L8" s="184">
        <v>4.3645343762180183E-2</v>
      </c>
      <c r="M8" s="184">
        <v>4.9089321456691336E-2</v>
      </c>
      <c r="N8" s="184">
        <v>5.4569178039346258E-2</v>
      </c>
      <c r="O8" s="184">
        <v>5.6871065186673411E-2</v>
      </c>
      <c r="P8" s="184">
        <v>5.6290038186162808E-2</v>
      </c>
      <c r="Q8" s="184">
        <v>6.1815934163161522E-2</v>
      </c>
      <c r="R8" s="184">
        <v>3.3472745281979965E-2</v>
      </c>
      <c r="S8" s="184">
        <v>3.3093539802604217E-2</v>
      </c>
      <c r="T8" s="184">
        <v>3.3836263549744047E-2</v>
      </c>
      <c r="U8" s="184">
        <v>3.3822298570868783E-2</v>
      </c>
      <c r="V8" s="184">
        <v>3.3863506389910009E-2</v>
      </c>
      <c r="W8" s="184">
        <v>3.3799288077750532E-2</v>
      </c>
      <c r="X8" s="184">
        <v>3.3865472023454926E-2</v>
      </c>
      <c r="Y8" s="184">
        <v>3.3833254624560917E-2</v>
      </c>
      <c r="Z8" s="184">
        <v>3.3852699568757152E-2</v>
      </c>
      <c r="AA8" s="184">
        <v>3.3865581101580174E-2</v>
      </c>
      <c r="AB8" s="184">
        <v>3.3812267278532281E-2</v>
      </c>
      <c r="AC8" s="184">
        <v>3.3825021145350673E-2</v>
      </c>
      <c r="AD8" s="184">
        <v>3.3837312617635354E-2</v>
      </c>
      <c r="AE8" s="184">
        <v>3.3849550515449266E-2</v>
      </c>
      <c r="AF8" s="15"/>
    </row>
    <row r="9" spans="2:32" x14ac:dyDescent="0.3">
      <c r="B9" s="12"/>
      <c r="C9" s="185" t="s">
        <v>141</v>
      </c>
      <c r="D9" s="175" t="s">
        <v>142</v>
      </c>
      <c r="E9" s="175" t="s">
        <v>134</v>
      </c>
      <c r="F9" s="172">
        <v>0</v>
      </c>
      <c r="G9" s="172">
        <v>0</v>
      </c>
      <c r="H9" s="172">
        <v>0</v>
      </c>
      <c r="I9" s="172">
        <v>0</v>
      </c>
      <c r="J9" s="172">
        <v>0</v>
      </c>
      <c r="K9" s="172">
        <v>0</v>
      </c>
      <c r="L9" s="172">
        <v>0</v>
      </c>
      <c r="M9" s="172">
        <v>0</v>
      </c>
      <c r="N9" s="172">
        <v>0</v>
      </c>
      <c r="O9" s="172">
        <v>0</v>
      </c>
      <c r="P9" s="172">
        <v>0</v>
      </c>
      <c r="Q9" s="172">
        <v>0</v>
      </c>
      <c r="R9" s="172">
        <v>0</v>
      </c>
      <c r="S9" s="172">
        <v>0</v>
      </c>
      <c r="T9" s="172">
        <v>0</v>
      </c>
      <c r="U9" s="172">
        <v>0</v>
      </c>
      <c r="V9" s="172">
        <v>0</v>
      </c>
      <c r="W9" s="172">
        <v>0</v>
      </c>
      <c r="X9" s="172">
        <v>0</v>
      </c>
      <c r="Y9" s="172">
        <v>0</v>
      </c>
      <c r="Z9" s="172">
        <v>0</v>
      </c>
      <c r="AA9" s="172">
        <v>0</v>
      </c>
      <c r="AB9" s="172">
        <v>0</v>
      </c>
      <c r="AC9" s="172">
        <v>0</v>
      </c>
      <c r="AD9" s="172">
        <v>0</v>
      </c>
      <c r="AE9" s="172">
        <v>0</v>
      </c>
      <c r="AF9" s="15"/>
    </row>
    <row r="10" spans="2:32" x14ac:dyDescent="0.3">
      <c r="B10" s="12"/>
      <c r="C10" s="185" t="s">
        <v>58</v>
      </c>
      <c r="D10" s="175" t="s">
        <v>21</v>
      </c>
      <c r="E10" s="175" t="s">
        <v>134</v>
      </c>
      <c r="F10" s="184">
        <v>0.66112217571496168</v>
      </c>
      <c r="G10" s="184">
        <v>0.72107759730975074</v>
      </c>
      <c r="H10" s="184">
        <v>0.77651456906312555</v>
      </c>
      <c r="I10" s="184">
        <v>0.69819943503614312</v>
      </c>
      <c r="J10" s="184">
        <v>0.62124942271483063</v>
      </c>
      <c r="K10" s="184">
        <v>0.79902605068697596</v>
      </c>
      <c r="L10" s="184">
        <v>1.0153932721873917</v>
      </c>
      <c r="M10" s="184">
        <v>1.0954288788549293</v>
      </c>
      <c r="N10" s="184">
        <v>1.2462488407050467</v>
      </c>
      <c r="O10" s="184">
        <v>1.2360818744493951</v>
      </c>
      <c r="P10" s="184">
        <v>1.1915549932787455</v>
      </c>
      <c r="Q10" s="184">
        <v>1.3112676283184133</v>
      </c>
      <c r="R10" s="184">
        <v>1.2056827640063685</v>
      </c>
      <c r="S10" s="184">
        <v>1.2357526893295872</v>
      </c>
      <c r="T10" s="184">
        <v>1.3246776406662635</v>
      </c>
      <c r="U10" s="184">
        <v>1.389191513298601</v>
      </c>
      <c r="V10" s="184">
        <v>1.4563682678617098</v>
      </c>
      <c r="W10" s="184">
        <v>1.5288969045720771</v>
      </c>
      <c r="X10" s="184">
        <v>1.6041331829998837</v>
      </c>
      <c r="Y10" s="184">
        <v>1.6820771562382311</v>
      </c>
      <c r="Z10" s="184">
        <v>1.7653756591399554</v>
      </c>
      <c r="AA10" s="184">
        <v>1.8513497815158373</v>
      </c>
      <c r="AB10" s="184">
        <v>1.9426963765389296</v>
      </c>
      <c r="AC10" s="184">
        <v>2.0367532655703338</v>
      </c>
      <c r="AD10" s="184">
        <v>2.1361848637424745</v>
      </c>
      <c r="AE10" s="184">
        <v>2.2409668266412179</v>
      </c>
      <c r="AF10" s="15"/>
    </row>
    <row r="11" spans="2:32" x14ac:dyDescent="0.3">
      <c r="B11" s="12"/>
      <c r="C11" s="185" t="s">
        <v>59</v>
      </c>
      <c r="D11" s="175" t="s">
        <v>22</v>
      </c>
      <c r="E11" s="175" t="s">
        <v>134</v>
      </c>
      <c r="F11" s="184">
        <v>0.30913611441057731</v>
      </c>
      <c r="G11" s="172">
        <v>0.31692919217451293</v>
      </c>
      <c r="H11" s="172">
        <v>0.32611111548460192</v>
      </c>
      <c r="I11" s="172">
        <v>0.33669717153591033</v>
      </c>
      <c r="J11" s="172">
        <v>0.3453232050816184</v>
      </c>
      <c r="K11" s="172">
        <v>0.31278984134603949</v>
      </c>
      <c r="L11" s="172">
        <v>0.2507876718518362</v>
      </c>
      <c r="M11" s="172">
        <v>0.22550348631294573</v>
      </c>
      <c r="N11" s="184">
        <v>0.18720232302870307</v>
      </c>
      <c r="O11" s="184">
        <v>0.20642647545073253</v>
      </c>
      <c r="P11" s="184">
        <v>0.21254067658888992</v>
      </c>
      <c r="Q11" s="184">
        <v>0.19790813618877853</v>
      </c>
      <c r="R11" s="184">
        <v>0.20208496763551698</v>
      </c>
      <c r="S11" s="184">
        <v>0.21495675217751128</v>
      </c>
      <c r="T11" s="184">
        <v>0.23045071745871856</v>
      </c>
      <c r="U11" s="184">
        <v>0.24164919031103943</v>
      </c>
      <c r="V11" s="184">
        <v>0.25332288640815881</v>
      </c>
      <c r="W11" s="184">
        <v>0.26595426078864748</v>
      </c>
      <c r="X11" s="184">
        <v>0.27902267358969818</v>
      </c>
      <c r="Y11" s="184">
        <v>0.29258134878033359</v>
      </c>
      <c r="Z11" s="184">
        <v>0.30712079245662333</v>
      </c>
      <c r="AA11" s="184">
        <v>0.32202554119807547</v>
      </c>
      <c r="AB11" s="184">
        <v>0.33796738072038035</v>
      </c>
      <c r="AC11" s="184">
        <v>0.35432534389002524</v>
      </c>
      <c r="AD11" s="184">
        <v>0.37161804084092159</v>
      </c>
      <c r="AE11" s="184">
        <v>0.38984988292822337</v>
      </c>
      <c r="AF11" s="15"/>
    </row>
    <row r="12" spans="2:32" x14ac:dyDescent="0.3">
      <c r="B12" s="12"/>
      <c r="C12" s="185" t="s">
        <v>147</v>
      </c>
      <c r="D12" s="175" t="s">
        <v>148</v>
      </c>
      <c r="E12" s="175" t="s">
        <v>134</v>
      </c>
      <c r="F12" s="184">
        <v>1.4688000000000001</v>
      </c>
      <c r="G12" s="172">
        <v>1.4306000000000001</v>
      </c>
      <c r="H12" s="172">
        <v>1.3925000000000001</v>
      </c>
      <c r="I12" s="172">
        <v>1.3701000000000001</v>
      </c>
      <c r="J12" s="172">
        <v>1.3478000000000001</v>
      </c>
      <c r="K12" s="172">
        <v>1.3506</v>
      </c>
      <c r="L12" s="172">
        <v>1.3534999999999999</v>
      </c>
      <c r="M12" s="172">
        <v>1.3445</v>
      </c>
      <c r="N12" s="184">
        <v>1.3353999999999999</v>
      </c>
      <c r="O12" s="184">
        <v>1.2334000000000001</v>
      </c>
      <c r="P12" s="184">
        <v>1.1314</v>
      </c>
      <c r="Q12" s="184">
        <v>1.4615</v>
      </c>
      <c r="R12" s="184">
        <v>1.2602</v>
      </c>
      <c r="S12" s="184">
        <v>1.2524999999999999</v>
      </c>
      <c r="T12" s="184">
        <v>1.2421</v>
      </c>
      <c r="U12" s="184">
        <v>1.2318</v>
      </c>
      <c r="V12" s="184">
        <v>1.2216</v>
      </c>
      <c r="W12" s="184">
        <v>1.2115</v>
      </c>
      <c r="X12" s="184">
        <v>1.2015</v>
      </c>
      <c r="Y12" s="184">
        <v>1.1916</v>
      </c>
      <c r="Z12" s="184">
        <v>1.1817</v>
      </c>
      <c r="AA12" s="184">
        <v>1.1718999999999999</v>
      </c>
      <c r="AB12" s="184">
        <v>1.1621999999999999</v>
      </c>
      <c r="AC12" s="184">
        <v>1.1526000000000001</v>
      </c>
      <c r="AD12" s="184">
        <v>1.1431</v>
      </c>
      <c r="AE12" s="184">
        <v>1.1335999999999999</v>
      </c>
      <c r="AF12" s="15"/>
    </row>
    <row r="13" spans="2:32" x14ac:dyDescent="0.3">
      <c r="B13" s="12"/>
      <c r="C13" s="185" t="s">
        <v>91</v>
      </c>
      <c r="D13" s="175" t="s">
        <v>213</v>
      </c>
      <c r="E13" s="175" t="s">
        <v>135</v>
      </c>
      <c r="F13" s="184">
        <v>0.12650094875475937</v>
      </c>
      <c r="G13" s="184">
        <v>0.11852490499932623</v>
      </c>
      <c r="H13" s="184">
        <v>0.11253669283122673</v>
      </c>
      <c r="I13" s="184">
        <v>0.10476868083994076</v>
      </c>
      <c r="J13" s="184">
        <v>9.8176808266360494E-2</v>
      </c>
      <c r="K13" s="184">
        <v>9.5298957563499168E-2</v>
      </c>
      <c r="L13" s="184">
        <v>9.261690294438385E-2</v>
      </c>
      <c r="M13" s="184">
        <v>9.3655819624467743E-2</v>
      </c>
      <c r="N13" s="184">
        <v>0.12505730681183563</v>
      </c>
      <c r="O13" s="184">
        <v>0.1268941942587514</v>
      </c>
      <c r="P13" s="184">
        <v>0.1260491351956842</v>
      </c>
      <c r="Q13" s="184">
        <v>0.12590416764139326</v>
      </c>
      <c r="R13" s="184">
        <v>0.1133151512404017</v>
      </c>
      <c r="S13" s="184">
        <v>0.1149100902077362</v>
      </c>
      <c r="T13" s="184">
        <v>0.11624471945212798</v>
      </c>
      <c r="U13" s="184">
        <v>0.11749775772426405</v>
      </c>
      <c r="V13" s="184">
        <v>0.11903354165523518</v>
      </c>
      <c r="W13" s="184">
        <v>0.12021269809524608</v>
      </c>
      <c r="X13" s="184">
        <v>0.1217275032528444</v>
      </c>
      <c r="Y13" s="184">
        <v>0.12312758108796429</v>
      </c>
      <c r="Z13" s="184">
        <v>0.12447571500787137</v>
      </c>
      <c r="AA13" s="184">
        <v>0.12592701683531296</v>
      </c>
      <c r="AB13" s="184">
        <v>0.12745557991014966</v>
      </c>
      <c r="AC13" s="184">
        <v>0.12893646720793081</v>
      </c>
      <c r="AD13" s="184">
        <v>0.13051785535711019</v>
      </c>
      <c r="AE13" s="184">
        <v>0.13204443347266762</v>
      </c>
      <c r="AF13" s="15"/>
    </row>
    <row r="14" spans="2:32" x14ac:dyDescent="0.3">
      <c r="B14" s="12"/>
      <c r="C14" s="185" t="s">
        <v>92</v>
      </c>
      <c r="D14" s="175" t="s">
        <v>99</v>
      </c>
      <c r="E14" s="175" t="s">
        <v>135</v>
      </c>
      <c r="F14" s="184">
        <v>0.12650094875475937</v>
      </c>
      <c r="G14" s="184">
        <v>0.11852490499932623</v>
      </c>
      <c r="H14" s="184">
        <v>0.11253669283122673</v>
      </c>
      <c r="I14" s="184">
        <v>0.10476868083994076</v>
      </c>
      <c r="J14" s="184">
        <v>9.8176808266360494E-2</v>
      </c>
      <c r="K14" s="184">
        <v>9.5298957563499168E-2</v>
      </c>
      <c r="L14" s="184">
        <v>9.261690294438385E-2</v>
      </c>
      <c r="M14" s="184">
        <v>9.3655819624467743E-2</v>
      </c>
      <c r="N14" s="184">
        <v>0.12505730681183563</v>
      </c>
      <c r="O14" s="184">
        <v>0.1268941942587514</v>
      </c>
      <c r="P14" s="184">
        <v>0.1260491351956842</v>
      </c>
      <c r="Q14" s="184">
        <v>0.12590416764139326</v>
      </c>
      <c r="R14" s="184">
        <v>0.1133151512404017</v>
      </c>
      <c r="S14" s="184">
        <v>0.1149100902077362</v>
      </c>
      <c r="T14" s="184">
        <v>0.11624471945212798</v>
      </c>
      <c r="U14" s="184">
        <v>0.11749775772426405</v>
      </c>
      <c r="V14" s="184">
        <v>0.11903354165523518</v>
      </c>
      <c r="W14" s="184">
        <v>0.12021269809524608</v>
      </c>
      <c r="X14" s="184">
        <v>0.1217275032528444</v>
      </c>
      <c r="Y14" s="184">
        <v>0.12312758108796429</v>
      </c>
      <c r="Z14" s="184">
        <v>0.12447571500787137</v>
      </c>
      <c r="AA14" s="184">
        <v>0.12592701683531296</v>
      </c>
      <c r="AB14" s="184">
        <v>0.12745557991014966</v>
      </c>
      <c r="AC14" s="184">
        <v>0.12893646720793081</v>
      </c>
      <c r="AD14" s="184">
        <v>0.13051785535711019</v>
      </c>
      <c r="AE14" s="184">
        <v>0.13204443347266762</v>
      </c>
      <c r="AF14" s="15"/>
    </row>
    <row r="15" spans="2:32" x14ac:dyDescent="0.3">
      <c r="B15" s="12"/>
      <c r="C15" s="185" t="s">
        <v>77</v>
      </c>
      <c r="D15" s="175" t="s">
        <v>214</v>
      </c>
      <c r="E15" s="175" t="s">
        <v>135</v>
      </c>
      <c r="F15" s="184">
        <v>0.1265009487547592</v>
      </c>
      <c r="G15" s="184">
        <v>0.11852490499932623</v>
      </c>
      <c r="H15" s="184">
        <v>0.11253669283122673</v>
      </c>
      <c r="I15" s="184">
        <v>0.10476868083994074</v>
      </c>
      <c r="J15" s="184">
        <v>9.817680826636048E-2</v>
      </c>
      <c r="K15" s="184">
        <v>9.5298957563499154E-2</v>
      </c>
      <c r="L15" s="184">
        <v>9.2616902944383864E-2</v>
      </c>
      <c r="M15" s="184">
        <v>9.3655819624467757E-2</v>
      </c>
      <c r="N15" s="184">
        <v>0.12505730681183561</v>
      </c>
      <c r="O15" s="184">
        <v>0.12689419425875137</v>
      </c>
      <c r="P15" s="184">
        <v>0.1260491351956842</v>
      </c>
      <c r="Q15" s="184">
        <v>0.12590416764139323</v>
      </c>
      <c r="R15" s="184">
        <v>0.11331515124040172</v>
      </c>
      <c r="S15" s="184">
        <v>0.1149100902077362</v>
      </c>
      <c r="T15" s="184">
        <v>0.116244719452128</v>
      </c>
      <c r="U15" s="184">
        <v>0.11749775772426405</v>
      </c>
      <c r="V15" s="184">
        <v>0.11903354165523516</v>
      </c>
      <c r="W15" s="184">
        <v>0.12021269809524608</v>
      </c>
      <c r="X15" s="184">
        <v>0.12172750325284443</v>
      </c>
      <c r="Y15" s="184">
        <v>0.12312758108796429</v>
      </c>
      <c r="Z15" s="184">
        <v>0.12447571500787138</v>
      </c>
      <c r="AA15" s="184">
        <v>0.12592701683531299</v>
      </c>
      <c r="AB15" s="184">
        <v>0.12745557991014966</v>
      </c>
      <c r="AC15" s="184">
        <v>0.12893646720793081</v>
      </c>
      <c r="AD15" s="184">
        <v>0.13051785535711019</v>
      </c>
      <c r="AE15" s="184">
        <v>0.13204443347266762</v>
      </c>
      <c r="AF15" s="15"/>
    </row>
    <row r="16" spans="2:32" x14ac:dyDescent="0.3">
      <c r="B16" s="12"/>
      <c r="C16" s="185" t="s">
        <v>128</v>
      </c>
      <c r="D16" s="175" t="s">
        <v>129</v>
      </c>
      <c r="E16" s="175" t="s">
        <v>215</v>
      </c>
      <c r="F16" s="184">
        <v>0.7</v>
      </c>
      <c r="G16" s="184">
        <v>0.7</v>
      </c>
      <c r="H16" s="184">
        <v>0.7</v>
      </c>
      <c r="I16" s="184">
        <v>0.7</v>
      </c>
      <c r="J16" s="184">
        <v>0.7</v>
      </c>
      <c r="K16" s="184">
        <v>0.7</v>
      </c>
      <c r="L16" s="184">
        <v>0.7</v>
      </c>
      <c r="M16" s="184">
        <v>0.7</v>
      </c>
      <c r="N16" s="184">
        <v>0.7</v>
      </c>
      <c r="O16" s="184">
        <v>0.7</v>
      </c>
      <c r="P16" s="184">
        <v>0.7</v>
      </c>
      <c r="Q16" s="184">
        <v>0.7</v>
      </c>
      <c r="R16" s="184">
        <v>0.7</v>
      </c>
      <c r="S16" s="184">
        <v>0.7</v>
      </c>
      <c r="T16" s="184">
        <v>0.7</v>
      </c>
      <c r="U16" s="184">
        <v>0.7</v>
      </c>
      <c r="V16" s="184">
        <v>0.7</v>
      </c>
      <c r="W16" s="184">
        <v>0.7</v>
      </c>
      <c r="X16" s="184">
        <v>0.7</v>
      </c>
      <c r="Y16" s="184">
        <v>0.7</v>
      </c>
      <c r="Z16" s="184">
        <v>0.7</v>
      </c>
      <c r="AA16" s="184">
        <v>0.7</v>
      </c>
      <c r="AB16" s="184">
        <v>0.7</v>
      </c>
      <c r="AC16" s="184">
        <v>0.7</v>
      </c>
      <c r="AD16" s="184">
        <v>0.7</v>
      </c>
      <c r="AE16" s="184">
        <v>0.7</v>
      </c>
      <c r="AF16" s="15"/>
    </row>
    <row r="17" spans="2:32" ht="15" thickBot="1" x14ac:dyDescent="0.35">
      <c r="B17" s="16"/>
      <c r="C17" s="17"/>
      <c r="D17" s="179"/>
      <c r="E17" s="179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spans="2:32" x14ac:dyDescent="0.3">
      <c r="Z18" s="38"/>
    </row>
    <row r="19" spans="2:32" x14ac:dyDescent="0.3">
      <c r="Z19" s="38"/>
    </row>
  </sheetData>
  <phoneticPr fontId="7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FAAF6-57DF-4B38-A1B6-D5BA99B655A1}">
  <dimension ref="B1:AE51"/>
  <sheetViews>
    <sheetView zoomScale="85" zoomScaleNormal="85" workbookViewId="0">
      <pane ySplit="1" topLeftCell="A26" activePane="bottomLeft" state="frozen"/>
      <selection activeCell="C1" sqref="C1"/>
      <selection pane="bottomLeft" activeCell="C48" sqref="C48"/>
    </sheetView>
  </sheetViews>
  <sheetFormatPr baseColWidth="10" defaultRowHeight="14.4" x14ac:dyDescent="0.3"/>
  <cols>
    <col min="3" max="3" width="20.6640625" bestFit="1" customWidth="1"/>
    <col min="4" max="4" width="60.33203125" customWidth="1"/>
    <col min="5" max="12" width="11.6640625" customWidth="1"/>
  </cols>
  <sheetData>
    <row r="1" spans="2:31" ht="20.399999999999999" thickBot="1" x14ac:dyDescent="0.35">
      <c r="B1" s="1"/>
      <c r="C1" s="2" t="s">
        <v>12</v>
      </c>
      <c r="D1" s="3"/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4"/>
      <c r="D4" s="13" t="s">
        <v>114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</row>
    <row r="5" spans="2:31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2:31" x14ac:dyDescent="0.3">
      <c r="B6" s="12"/>
      <c r="C6" s="13" t="s">
        <v>69</v>
      </c>
      <c r="D6" s="13" t="s">
        <v>18</v>
      </c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</row>
    <row r="7" spans="2:31" x14ac:dyDescent="0.3">
      <c r="B7" s="12"/>
      <c r="C7" s="14" t="s">
        <v>56</v>
      </c>
      <c r="D7" s="14" t="s">
        <v>19</v>
      </c>
      <c r="E7" s="55">
        <v>1.064E-2</v>
      </c>
      <c r="F7" s="55">
        <v>1.064E-2</v>
      </c>
      <c r="G7" s="55">
        <v>1.064E-2</v>
      </c>
      <c r="H7" s="55">
        <v>1.064E-2</v>
      </c>
      <c r="I7" s="55">
        <v>1.064E-2</v>
      </c>
      <c r="J7" s="55">
        <v>1.064E-2</v>
      </c>
      <c r="K7" s="55">
        <v>1.064E-2</v>
      </c>
      <c r="L7" s="55">
        <v>1.064E-2</v>
      </c>
      <c r="M7" s="55">
        <v>0</v>
      </c>
      <c r="N7" s="55">
        <v>1.064E-2</v>
      </c>
      <c r="O7" s="55">
        <v>1.064E-2</v>
      </c>
      <c r="P7" s="55">
        <v>1.064E-2</v>
      </c>
      <c r="Q7" s="55">
        <v>1.064E-2</v>
      </c>
      <c r="R7" s="55">
        <v>1.064E-2</v>
      </c>
      <c r="S7" s="55">
        <v>1.064E-2</v>
      </c>
      <c r="T7" s="55">
        <v>1.064E-2</v>
      </c>
      <c r="U7" s="55">
        <v>1.064E-2</v>
      </c>
      <c r="V7" s="55">
        <v>1.064E-2</v>
      </c>
      <c r="W7" s="55">
        <v>1.064E-2</v>
      </c>
      <c r="X7" s="55">
        <v>1.064E-2</v>
      </c>
      <c r="Y7" s="55">
        <v>1.064E-2</v>
      </c>
      <c r="Z7" s="55">
        <v>1.064E-2</v>
      </c>
      <c r="AA7" s="55">
        <v>1.064E-2</v>
      </c>
      <c r="AB7" s="55">
        <v>1.064E-2</v>
      </c>
      <c r="AC7" s="55">
        <v>1.064E-2</v>
      </c>
      <c r="AD7" s="55">
        <v>1.064E-2</v>
      </c>
      <c r="AE7" s="15"/>
    </row>
    <row r="8" spans="2:31" x14ac:dyDescent="0.3">
      <c r="B8" s="12"/>
      <c r="C8" s="14" t="s">
        <v>57</v>
      </c>
      <c r="D8" s="14" t="s">
        <v>20</v>
      </c>
      <c r="E8" s="56">
        <v>155</v>
      </c>
      <c r="F8" s="56">
        <v>155</v>
      </c>
      <c r="G8" s="56">
        <v>155</v>
      </c>
      <c r="H8" s="56">
        <v>155</v>
      </c>
      <c r="I8" s="56">
        <v>155</v>
      </c>
      <c r="J8" s="56">
        <v>155</v>
      </c>
      <c r="K8" s="56">
        <v>155</v>
      </c>
      <c r="L8" s="56">
        <v>155</v>
      </c>
      <c r="M8" s="56">
        <v>155</v>
      </c>
      <c r="N8" s="56">
        <v>155</v>
      </c>
      <c r="O8" s="56">
        <v>155</v>
      </c>
      <c r="P8" s="56">
        <v>155</v>
      </c>
      <c r="Q8" s="56">
        <v>155</v>
      </c>
      <c r="R8" s="56">
        <v>155</v>
      </c>
      <c r="S8" s="56">
        <v>155</v>
      </c>
      <c r="T8" s="56">
        <v>155</v>
      </c>
      <c r="U8" s="56">
        <v>155</v>
      </c>
      <c r="V8" s="56">
        <v>155</v>
      </c>
      <c r="W8" s="56">
        <v>155</v>
      </c>
      <c r="X8" s="56">
        <v>155</v>
      </c>
      <c r="Y8" s="56">
        <v>155</v>
      </c>
      <c r="Z8" s="56">
        <v>155</v>
      </c>
      <c r="AA8" s="56">
        <v>155</v>
      </c>
      <c r="AB8" s="56">
        <v>155</v>
      </c>
      <c r="AC8" s="56">
        <v>155</v>
      </c>
      <c r="AD8" s="56">
        <v>155</v>
      </c>
      <c r="AE8" s="15"/>
    </row>
    <row r="9" spans="2:31" x14ac:dyDescent="0.3">
      <c r="B9" s="12"/>
      <c r="C9" s="14" t="s">
        <v>58</v>
      </c>
      <c r="D9" s="14" t="s">
        <v>21</v>
      </c>
      <c r="E9" s="57">
        <f t="shared" ref="E9:K9" si="0">(118+154)/2</f>
        <v>136</v>
      </c>
      <c r="F9" s="57">
        <f t="shared" si="0"/>
        <v>136</v>
      </c>
      <c r="G9" s="57">
        <f t="shared" si="0"/>
        <v>136</v>
      </c>
      <c r="H9" s="57">
        <f t="shared" si="0"/>
        <v>136</v>
      </c>
      <c r="I9" s="57">
        <f t="shared" si="0"/>
        <v>136</v>
      </c>
      <c r="J9" s="57">
        <f t="shared" si="0"/>
        <v>136</v>
      </c>
      <c r="K9" s="57">
        <f t="shared" si="0"/>
        <v>136</v>
      </c>
      <c r="L9" s="57">
        <f t="shared" ref="L9:AD9" si="1">(118+154)/2</f>
        <v>136</v>
      </c>
      <c r="M9" s="57">
        <f>(118+154)/2</f>
        <v>136</v>
      </c>
      <c r="N9" s="57">
        <f t="shared" si="1"/>
        <v>136</v>
      </c>
      <c r="O9" s="57">
        <f t="shared" si="1"/>
        <v>136</v>
      </c>
      <c r="P9" s="57">
        <f t="shared" si="1"/>
        <v>136</v>
      </c>
      <c r="Q9" s="57">
        <f t="shared" si="1"/>
        <v>136</v>
      </c>
      <c r="R9" s="57">
        <f t="shared" si="1"/>
        <v>136</v>
      </c>
      <c r="S9" s="57">
        <f t="shared" si="1"/>
        <v>136</v>
      </c>
      <c r="T9" s="57">
        <f t="shared" si="1"/>
        <v>136</v>
      </c>
      <c r="U9" s="57">
        <f t="shared" si="1"/>
        <v>136</v>
      </c>
      <c r="V9" s="57">
        <f t="shared" si="1"/>
        <v>136</v>
      </c>
      <c r="W9" s="57">
        <f t="shared" si="1"/>
        <v>136</v>
      </c>
      <c r="X9" s="57">
        <f t="shared" si="1"/>
        <v>136</v>
      </c>
      <c r="Y9" s="57">
        <f t="shared" si="1"/>
        <v>136</v>
      </c>
      <c r="Z9" s="57">
        <f t="shared" si="1"/>
        <v>136</v>
      </c>
      <c r="AA9" s="57">
        <f t="shared" si="1"/>
        <v>136</v>
      </c>
      <c r="AB9" s="57">
        <f t="shared" si="1"/>
        <v>136</v>
      </c>
      <c r="AC9" s="57">
        <f t="shared" si="1"/>
        <v>136</v>
      </c>
      <c r="AD9" s="57">
        <f t="shared" si="1"/>
        <v>136</v>
      </c>
      <c r="AE9" s="15"/>
    </row>
    <row r="10" spans="2:31" x14ac:dyDescent="0.3">
      <c r="B10" s="12"/>
      <c r="C10" s="14" t="s">
        <v>59</v>
      </c>
      <c r="D10" s="14" t="s">
        <v>22</v>
      </c>
      <c r="E10" s="55">
        <v>0</v>
      </c>
      <c r="F10" s="55">
        <v>0</v>
      </c>
      <c r="G10" s="55">
        <v>0</v>
      </c>
      <c r="H10" s="55">
        <v>0</v>
      </c>
      <c r="I10" s="55">
        <v>0</v>
      </c>
      <c r="J10" s="55">
        <v>0</v>
      </c>
      <c r="K10" s="55">
        <v>0</v>
      </c>
      <c r="L10" s="55">
        <v>0</v>
      </c>
      <c r="M10" s="55">
        <v>0</v>
      </c>
      <c r="N10" s="55">
        <v>0</v>
      </c>
      <c r="O10" s="55">
        <v>0</v>
      </c>
      <c r="P10" s="55">
        <v>0</v>
      </c>
      <c r="Q10" s="55">
        <v>0</v>
      </c>
      <c r="R10" s="55">
        <v>0</v>
      </c>
      <c r="S10" s="55">
        <v>0</v>
      </c>
      <c r="T10" s="55">
        <v>0</v>
      </c>
      <c r="U10" s="55">
        <v>0</v>
      </c>
      <c r="V10" s="55">
        <v>0</v>
      </c>
      <c r="W10" s="55">
        <v>0</v>
      </c>
      <c r="X10" s="55">
        <v>0</v>
      </c>
      <c r="Y10" s="55">
        <v>0</v>
      </c>
      <c r="Z10" s="55">
        <v>0</v>
      </c>
      <c r="AA10" s="55">
        <v>0</v>
      </c>
      <c r="AB10" s="55">
        <v>0</v>
      </c>
      <c r="AC10" s="55">
        <v>0</v>
      </c>
      <c r="AD10" s="55">
        <v>0</v>
      </c>
      <c r="AE10" s="15"/>
    </row>
    <row r="11" spans="2:31" x14ac:dyDescent="0.3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15"/>
    </row>
    <row r="12" spans="2:31" x14ac:dyDescent="0.3">
      <c r="B12" s="12"/>
      <c r="C12" s="14"/>
      <c r="D12" s="13" t="s">
        <v>23</v>
      </c>
      <c r="E12" s="13"/>
      <c r="F12" s="13"/>
      <c r="G12" s="13"/>
      <c r="H12" s="13"/>
      <c r="I12" s="13"/>
      <c r="J12" s="13"/>
      <c r="K12" s="13"/>
      <c r="L12" s="1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15"/>
    </row>
    <row r="13" spans="2:31" x14ac:dyDescent="0.3">
      <c r="B13" s="12"/>
      <c r="C13" s="14" t="s">
        <v>53</v>
      </c>
      <c r="D13" s="23" t="s">
        <v>24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15"/>
    </row>
    <row r="14" spans="2:31" x14ac:dyDescent="0.3">
      <c r="B14" s="12"/>
      <c r="C14" s="14" t="s">
        <v>54</v>
      </c>
      <c r="D14" s="23" t="s">
        <v>52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15"/>
    </row>
    <row r="15" spans="2:31" x14ac:dyDescent="0.3">
      <c r="B15" s="12"/>
      <c r="C15" s="14" t="s">
        <v>55</v>
      </c>
      <c r="D15" s="23" t="s">
        <v>25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15"/>
    </row>
    <row r="16" spans="2:31" x14ac:dyDescent="0.3">
      <c r="B16" s="12"/>
      <c r="C16" s="14"/>
      <c r="D16" s="14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15"/>
    </row>
    <row r="17" spans="2:31" x14ac:dyDescent="0.3">
      <c r="B17" s="12"/>
      <c r="C17" s="14"/>
      <c r="D17" s="13" t="s">
        <v>26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15"/>
    </row>
    <row r="18" spans="2:31" x14ac:dyDescent="0.3">
      <c r="B18" s="12"/>
      <c r="C18" s="14" t="s">
        <v>64</v>
      </c>
      <c r="D18" s="14" t="s">
        <v>27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  <c r="R18" s="58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58">
        <v>0</v>
      </c>
      <c r="AE18" s="15"/>
    </row>
    <row r="19" spans="2:31" x14ac:dyDescent="0.3">
      <c r="B19" s="12"/>
      <c r="C19" s="14" t="s">
        <v>65</v>
      </c>
      <c r="D19" s="14" t="s">
        <v>28</v>
      </c>
      <c r="E19" s="58">
        <v>0</v>
      </c>
      <c r="F19" s="58">
        <v>0</v>
      </c>
      <c r="G19" s="58">
        <v>0</v>
      </c>
      <c r="H19" s="58">
        <v>0</v>
      </c>
      <c r="I19" s="58">
        <v>0</v>
      </c>
      <c r="J19" s="58">
        <v>0</v>
      </c>
      <c r="K19" s="58">
        <v>0</v>
      </c>
      <c r="L19" s="58">
        <v>0</v>
      </c>
      <c r="M19" s="58">
        <v>0</v>
      </c>
      <c r="N19" s="58">
        <v>0</v>
      </c>
      <c r="O19" s="58">
        <v>0</v>
      </c>
      <c r="P19" s="58">
        <v>0</v>
      </c>
      <c r="Q19" s="58">
        <v>0</v>
      </c>
      <c r="R19" s="58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58">
        <v>0</v>
      </c>
      <c r="AE19" s="15"/>
    </row>
    <row r="20" spans="2:31" x14ac:dyDescent="0.3">
      <c r="B20" s="12"/>
      <c r="C20" s="14" t="s">
        <v>63</v>
      </c>
      <c r="D20" s="14" t="s">
        <v>29</v>
      </c>
      <c r="E20" s="58">
        <v>0</v>
      </c>
      <c r="F20" s="58">
        <v>0</v>
      </c>
      <c r="G20" s="58">
        <v>0</v>
      </c>
      <c r="H20" s="58">
        <v>0</v>
      </c>
      <c r="I20" s="58">
        <v>0</v>
      </c>
      <c r="J20" s="58">
        <v>0</v>
      </c>
      <c r="K20" s="58">
        <v>0</v>
      </c>
      <c r="L20" s="58">
        <v>0</v>
      </c>
      <c r="M20" s="58">
        <v>0</v>
      </c>
      <c r="N20" s="58">
        <v>0</v>
      </c>
      <c r="O20" s="58">
        <v>0</v>
      </c>
      <c r="P20" s="58">
        <v>0</v>
      </c>
      <c r="Q20" s="58">
        <v>0</v>
      </c>
      <c r="R20" s="58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0</v>
      </c>
      <c r="AB20" s="58">
        <v>0</v>
      </c>
      <c r="AC20" s="58">
        <v>0</v>
      </c>
      <c r="AD20" s="58">
        <v>0</v>
      </c>
      <c r="AE20" s="15"/>
    </row>
    <row r="21" spans="2:31" x14ac:dyDescent="0.3">
      <c r="B21" s="12"/>
      <c r="C21" s="14"/>
      <c r="D21" s="14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15"/>
    </row>
    <row r="22" spans="2:31" x14ac:dyDescent="0.3">
      <c r="B22" s="12"/>
      <c r="C22" s="14"/>
      <c r="D22" s="13" t="s">
        <v>30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15"/>
    </row>
    <row r="23" spans="2:31" x14ac:dyDescent="0.3">
      <c r="B23" s="12"/>
      <c r="C23" s="14" t="s">
        <v>60</v>
      </c>
      <c r="D23" s="14" t="s">
        <v>31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  <c r="K23" s="58">
        <v>0</v>
      </c>
      <c r="L23" s="58">
        <v>0</v>
      </c>
      <c r="M23" s="58">
        <v>0</v>
      </c>
      <c r="N23" s="58">
        <v>0</v>
      </c>
      <c r="O23" s="58">
        <v>0</v>
      </c>
      <c r="P23" s="58">
        <v>0</v>
      </c>
      <c r="Q23" s="58">
        <v>0</v>
      </c>
      <c r="R23" s="58">
        <v>0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58">
        <v>0</v>
      </c>
      <c r="AE23" s="15"/>
    </row>
    <row r="24" spans="2:31" x14ac:dyDescent="0.3">
      <c r="B24" s="12"/>
      <c r="C24" s="14" t="s">
        <v>61</v>
      </c>
      <c r="D24" s="14" t="s">
        <v>32</v>
      </c>
      <c r="E24" s="58">
        <v>0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  <c r="K24" s="58">
        <v>0</v>
      </c>
      <c r="L24" s="58">
        <v>0</v>
      </c>
      <c r="M24" s="58">
        <v>0</v>
      </c>
      <c r="N24" s="58">
        <v>0</v>
      </c>
      <c r="O24" s="58">
        <v>0</v>
      </c>
      <c r="P24" s="58">
        <v>0</v>
      </c>
      <c r="Q24" s="58">
        <v>0</v>
      </c>
      <c r="R24" s="58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8">
        <v>0</v>
      </c>
      <c r="AD24" s="58">
        <v>0</v>
      </c>
      <c r="AE24" s="15"/>
    </row>
    <row r="25" spans="2:31" x14ac:dyDescent="0.3">
      <c r="B25" s="12"/>
      <c r="C25" s="14" t="s">
        <v>62</v>
      </c>
      <c r="D25" s="14" t="s">
        <v>33</v>
      </c>
      <c r="E25" s="58">
        <v>0</v>
      </c>
      <c r="F25" s="58">
        <v>0</v>
      </c>
      <c r="G25" s="58">
        <v>0</v>
      </c>
      <c r="H25" s="58">
        <v>0</v>
      </c>
      <c r="I25" s="58">
        <v>0</v>
      </c>
      <c r="J25" s="58">
        <v>0</v>
      </c>
      <c r="K25" s="58">
        <v>0</v>
      </c>
      <c r="L25" s="58">
        <v>0</v>
      </c>
      <c r="M25" s="58">
        <v>0</v>
      </c>
      <c r="N25" s="58">
        <v>0</v>
      </c>
      <c r="O25" s="58">
        <v>0</v>
      </c>
      <c r="P25" s="58">
        <v>0</v>
      </c>
      <c r="Q25" s="58">
        <v>0</v>
      </c>
      <c r="R25" s="58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58">
        <v>0</v>
      </c>
      <c r="AE25" s="15"/>
    </row>
    <row r="26" spans="2:31" x14ac:dyDescent="0.3"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15"/>
    </row>
    <row r="27" spans="2:31" ht="15" thickBot="1" x14ac:dyDescent="0.3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8"/>
    </row>
    <row r="29" spans="2:31" ht="15" thickBot="1" x14ac:dyDescent="0.35"/>
    <row r="30" spans="2:31" x14ac:dyDescent="0.3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1"/>
    </row>
    <row r="31" spans="2:31" x14ac:dyDescent="0.3">
      <c r="B31" s="12"/>
      <c r="C31" s="14"/>
      <c r="D31" s="13" t="s">
        <v>93</v>
      </c>
      <c r="E31" s="13"/>
      <c r="F31" s="13"/>
      <c r="G31" s="13"/>
      <c r="H31" s="13"/>
      <c r="I31" s="13"/>
      <c r="J31" s="13"/>
      <c r="K31" s="13"/>
      <c r="L31" s="1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5"/>
    </row>
    <row r="32" spans="2:31" x14ac:dyDescent="0.3">
      <c r="B32" s="12"/>
      <c r="C32" s="14"/>
      <c r="D32" s="13"/>
      <c r="E32" s="13"/>
      <c r="F32" s="13"/>
      <c r="G32" s="13"/>
      <c r="H32" s="13"/>
      <c r="I32" s="13"/>
      <c r="J32" s="13"/>
      <c r="K32" s="13"/>
      <c r="L32" s="1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5"/>
    </row>
    <row r="33" spans="2:31" x14ac:dyDescent="0.3">
      <c r="B33" s="12"/>
      <c r="C33" s="13" t="s">
        <v>69</v>
      </c>
      <c r="D33" s="13" t="s">
        <v>104</v>
      </c>
      <c r="E33" s="13"/>
      <c r="F33" s="13"/>
      <c r="G33" s="13"/>
      <c r="H33" s="13"/>
      <c r="I33" s="13"/>
      <c r="J33" s="13"/>
      <c r="K33" s="13"/>
      <c r="L33" s="13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5"/>
    </row>
    <row r="34" spans="2:31" x14ac:dyDescent="0.3">
      <c r="B34" s="12"/>
      <c r="C34" s="14" t="s">
        <v>84</v>
      </c>
      <c r="D34" s="14" t="s">
        <v>94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15"/>
    </row>
    <row r="35" spans="2:31" x14ac:dyDescent="0.3">
      <c r="B35" s="12"/>
      <c r="C35" s="14" t="s">
        <v>85</v>
      </c>
      <c r="D35" s="14" t="s">
        <v>95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6">
        <v>0</v>
      </c>
      <c r="AC35" s="56">
        <v>0</v>
      </c>
      <c r="AD35" s="56">
        <v>0</v>
      </c>
      <c r="AE35" s="15"/>
    </row>
    <row r="36" spans="2:31" x14ac:dyDescent="0.3">
      <c r="B36" s="12"/>
      <c r="C36" s="14" t="s">
        <v>86</v>
      </c>
      <c r="D36" s="14" t="s">
        <v>101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15"/>
    </row>
    <row r="37" spans="2:31" x14ac:dyDescent="0.3">
      <c r="B37" s="12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15"/>
    </row>
    <row r="38" spans="2:31" x14ac:dyDescent="0.3">
      <c r="B38" s="12"/>
      <c r="C38" s="14"/>
      <c r="D38" s="13" t="s">
        <v>103</v>
      </c>
      <c r="E38" s="13"/>
      <c r="F38" s="13"/>
      <c r="G38" s="13"/>
      <c r="H38" s="13"/>
      <c r="I38" s="13"/>
      <c r="J38" s="13"/>
      <c r="K38" s="13"/>
      <c r="L38" s="1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15"/>
    </row>
    <row r="39" spans="2:31" x14ac:dyDescent="0.3">
      <c r="B39" s="12"/>
      <c r="C39" s="14" t="s">
        <v>88</v>
      </c>
      <c r="D39" s="14" t="s">
        <v>96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15"/>
    </row>
    <row r="40" spans="2:31" x14ac:dyDescent="0.3">
      <c r="B40" s="12"/>
      <c r="C40" s="14" t="s">
        <v>89</v>
      </c>
      <c r="D40" s="23" t="s">
        <v>97</v>
      </c>
      <c r="E40" s="125">
        <f>(E1*$M$50)+$M$51</f>
        <v>470.48836734446195</v>
      </c>
      <c r="F40" s="125">
        <f t="shared" ref="E40:L40" si="2">(F1*$M$50)+$M$51</f>
        <v>464.28674903583305</v>
      </c>
      <c r="G40" s="125">
        <f t="shared" si="2"/>
        <v>458.08513072720234</v>
      </c>
      <c r="H40" s="125">
        <f t="shared" si="2"/>
        <v>451.88351241857163</v>
      </c>
      <c r="I40" s="125">
        <f t="shared" si="2"/>
        <v>445.68189410994273</v>
      </c>
      <c r="J40" s="125">
        <f t="shared" si="2"/>
        <v>439.48027580131202</v>
      </c>
      <c r="K40" s="125">
        <f t="shared" si="2"/>
        <v>433.27865749268312</v>
      </c>
      <c r="L40" s="125">
        <f t="shared" si="2"/>
        <v>427.07703918405241</v>
      </c>
      <c r="M40" s="55">
        <v>420.87542087542084</v>
      </c>
      <c r="N40" s="55">
        <v>430.88590141330582</v>
      </c>
      <c r="O40" s="55">
        <v>431.55532539271542</v>
      </c>
      <c r="P40" s="55">
        <v>430.88590141330587</v>
      </c>
      <c r="Q40" s="55">
        <v>403.0868109995439</v>
      </c>
      <c r="R40" s="55">
        <v>378.65730730259901</v>
      </c>
      <c r="S40" s="55">
        <v>357.01974688530987</v>
      </c>
      <c r="T40" s="55">
        <v>337.7213821888044</v>
      </c>
      <c r="U40" s="55">
        <v>320.40233694835467</v>
      </c>
      <c r="V40" s="55">
        <v>304.77295465818918</v>
      </c>
      <c r="W40" s="55">
        <v>290.59746839501918</v>
      </c>
      <c r="X40" s="55">
        <v>277.68202535524176</v>
      </c>
      <c r="Y40" s="55">
        <v>265.86576895714495</v>
      </c>
      <c r="Z40" s="55">
        <v>255.01410491807897</v>
      </c>
      <c r="AA40" s="55">
        <v>245.01355178403543</v>
      </c>
      <c r="AB40" s="55">
        <v>235.7677573770917</v>
      </c>
      <c r="AC40" s="55">
        <v>227.1943843815601</v>
      </c>
      <c r="AD40" s="55">
        <v>219.22265159624297</v>
      </c>
      <c r="AE40" s="15"/>
    </row>
    <row r="41" spans="2:31" x14ac:dyDescent="0.3">
      <c r="B41" s="12"/>
      <c r="C41" s="14" t="s">
        <v>90</v>
      </c>
      <c r="D41" s="23" t="s">
        <v>102</v>
      </c>
      <c r="E41" s="125">
        <f>E40</f>
        <v>470.48836734446195</v>
      </c>
      <c r="F41" s="125">
        <f t="shared" ref="F41:L41" si="3">F40</f>
        <v>464.28674903583305</v>
      </c>
      <c r="G41" s="125">
        <f t="shared" si="3"/>
        <v>458.08513072720234</v>
      </c>
      <c r="H41" s="125">
        <f t="shared" si="3"/>
        <v>451.88351241857163</v>
      </c>
      <c r="I41" s="125">
        <f t="shared" si="3"/>
        <v>445.68189410994273</v>
      </c>
      <c r="J41" s="125">
        <f t="shared" si="3"/>
        <v>439.48027580131202</v>
      </c>
      <c r="K41" s="125">
        <f t="shared" si="3"/>
        <v>433.27865749268312</v>
      </c>
      <c r="L41" s="125">
        <f t="shared" si="3"/>
        <v>427.07703918405241</v>
      </c>
      <c r="M41" s="55">
        <v>420.87542087542084</v>
      </c>
      <c r="N41" s="55">
        <v>430.88590141330582</v>
      </c>
      <c r="O41" s="55">
        <v>431.55532539271542</v>
      </c>
      <c r="P41" s="55">
        <v>430.88590141330587</v>
      </c>
      <c r="Q41" s="55">
        <v>403.0868109995439</v>
      </c>
      <c r="R41" s="55">
        <v>378.65730730259901</v>
      </c>
      <c r="S41" s="55">
        <v>357.01974688530987</v>
      </c>
      <c r="T41" s="55">
        <v>337.7213821888044</v>
      </c>
      <c r="U41" s="55">
        <v>320.40233694835467</v>
      </c>
      <c r="V41" s="55">
        <v>304.77295465818918</v>
      </c>
      <c r="W41" s="55">
        <v>290.59746839501918</v>
      </c>
      <c r="X41" s="55">
        <v>277.68202535524176</v>
      </c>
      <c r="Y41" s="55">
        <v>265.86576895714495</v>
      </c>
      <c r="Z41" s="55">
        <v>255.01410491807897</v>
      </c>
      <c r="AA41" s="55">
        <v>245.01355178403543</v>
      </c>
      <c r="AB41" s="55">
        <v>235.7677573770917</v>
      </c>
      <c r="AC41" s="55">
        <v>227.1943843815601</v>
      </c>
      <c r="AD41" s="55">
        <v>219.22265159624297</v>
      </c>
      <c r="AE41" s="15"/>
    </row>
    <row r="42" spans="2:31" x14ac:dyDescent="0.3">
      <c r="B42" s="12"/>
      <c r="C42" s="14"/>
      <c r="D42" s="23"/>
      <c r="E42" s="23"/>
      <c r="F42" s="23"/>
      <c r="G42" s="23"/>
      <c r="H42" s="23"/>
      <c r="I42" s="23"/>
      <c r="J42" s="23"/>
      <c r="K42" s="23"/>
      <c r="L42" s="23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15"/>
    </row>
    <row r="43" spans="2:31" x14ac:dyDescent="0.3">
      <c r="B43" s="12"/>
      <c r="C43" s="14"/>
      <c r="D43" s="13" t="s">
        <v>18</v>
      </c>
      <c r="E43" s="13"/>
      <c r="F43" s="13"/>
      <c r="G43" s="13"/>
      <c r="H43" s="13"/>
      <c r="I43" s="13"/>
      <c r="J43" s="13"/>
      <c r="K43" s="13"/>
      <c r="L43" s="1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15"/>
    </row>
    <row r="44" spans="2:31" x14ac:dyDescent="0.3">
      <c r="B44" s="12"/>
      <c r="C44" s="14" t="s">
        <v>91</v>
      </c>
      <c r="D44" s="14" t="s">
        <v>100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58">
        <v>0</v>
      </c>
      <c r="Z44" s="58">
        <v>0</v>
      </c>
      <c r="AA44" s="58">
        <v>0</v>
      </c>
      <c r="AB44" s="58">
        <v>0</v>
      </c>
      <c r="AC44" s="58">
        <v>0</v>
      </c>
      <c r="AD44" s="58">
        <v>0</v>
      </c>
      <c r="AE44" s="15"/>
    </row>
    <row r="45" spans="2:31" x14ac:dyDescent="0.3">
      <c r="B45" s="12"/>
      <c r="C45" s="14" t="s">
        <v>92</v>
      </c>
      <c r="D45" s="14" t="s">
        <v>99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B45" s="58">
        <v>0</v>
      </c>
      <c r="AC45" s="58">
        <v>0</v>
      </c>
      <c r="AD45" s="58">
        <v>0</v>
      </c>
      <c r="AE45" s="15"/>
    </row>
    <row r="46" spans="2:31" x14ac:dyDescent="0.3">
      <c r="B46" s="12"/>
      <c r="C46" s="14" t="s">
        <v>77</v>
      </c>
      <c r="D46" s="14" t="s">
        <v>98</v>
      </c>
      <c r="E46" s="125">
        <f t="shared" ref="E46:K46" si="4">(E1*$J$50)+$J$51</f>
        <v>235.24418367223097</v>
      </c>
      <c r="F46" s="125">
        <f t="shared" si="4"/>
        <v>232.14337451791653</v>
      </c>
      <c r="G46" s="125">
        <f t="shared" si="4"/>
        <v>229.04256536360117</v>
      </c>
      <c r="H46" s="125">
        <f t="shared" si="4"/>
        <v>225.94175620928581</v>
      </c>
      <c r="I46" s="125">
        <f t="shared" si="4"/>
        <v>222.84094705497137</v>
      </c>
      <c r="J46" s="125">
        <f t="shared" si="4"/>
        <v>219.74013790065601</v>
      </c>
      <c r="K46" s="125">
        <f t="shared" si="4"/>
        <v>216.63932874634156</v>
      </c>
      <c r="L46" s="125">
        <f>(L1*$J$50)+$J$51</f>
        <v>213.5385195920262</v>
      </c>
      <c r="M46" s="58">
        <v>210.43771043771042</v>
      </c>
      <c r="N46" s="58">
        <v>215.44295070665291</v>
      </c>
      <c r="O46" s="58">
        <v>215.77766269635771</v>
      </c>
      <c r="P46" s="58">
        <v>215.44295070665294</v>
      </c>
      <c r="Q46" s="58">
        <v>201.54340549977195</v>
      </c>
      <c r="R46" s="58">
        <v>189.3286536512995</v>
      </c>
      <c r="S46" s="58">
        <v>178.50987344265494</v>
      </c>
      <c r="T46" s="58">
        <v>168.8606910944022</v>
      </c>
      <c r="U46" s="58">
        <v>160.20116847417734</v>
      </c>
      <c r="V46" s="58">
        <v>152.38647732909459</v>
      </c>
      <c r="W46" s="58">
        <v>145.29873419750959</v>
      </c>
      <c r="X46" s="58">
        <v>138.84101267762088</v>
      </c>
      <c r="Y46" s="58">
        <v>132.93288447857248</v>
      </c>
      <c r="Z46" s="58">
        <v>127.50705245903949</v>
      </c>
      <c r="AA46" s="58">
        <v>122.50677589201771</v>
      </c>
      <c r="AB46" s="58">
        <v>117.88387868854585</v>
      </c>
      <c r="AC46" s="58">
        <v>113.59719219078005</v>
      </c>
      <c r="AD46" s="58">
        <v>109.61132579812148</v>
      </c>
      <c r="AE46" s="15"/>
    </row>
    <row r="47" spans="2:31" ht="15" thickBot="1" x14ac:dyDescent="0.35"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</row>
    <row r="48" spans="2:31" x14ac:dyDescent="0.3">
      <c r="C48" s="163" t="s">
        <v>233</v>
      </c>
    </row>
    <row r="50" spans="9:13" x14ac:dyDescent="0.3">
      <c r="I50" t="s">
        <v>67</v>
      </c>
      <c r="J50" s="38">
        <v>-3.100809154315006</v>
      </c>
      <c r="L50" t="s">
        <v>67</v>
      </c>
      <c r="M50" s="38">
        <v>-6.2016183086300121</v>
      </c>
    </row>
    <row r="51" spans="9:13" x14ac:dyDescent="0.3">
      <c r="I51" t="s">
        <v>68</v>
      </c>
      <c r="J51">
        <v>6467.8705838453934</v>
      </c>
      <c r="L51" t="s">
        <v>68</v>
      </c>
      <c r="M51">
        <v>12935.741167690787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210BC-58B9-45E7-AFF7-0C884F7CE0FC}">
  <dimension ref="B1:AE50"/>
  <sheetViews>
    <sheetView workbookViewId="0">
      <pane ySplit="1" topLeftCell="A41" activePane="bottomLeft" state="frozen"/>
      <selection activeCell="B1" sqref="B1"/>
      <selection pane="bottomLeft" activeCell="D48" sqref="D48"/>
    </sheetView>
  </sheetViews>
  <sheetFormatPr baseColWidth="10" defaultRowHeight="14.4" x14ac:dyDescent="0.3"/>
  <cols>
    <col min="3" max="3" width="20.6640625" bestFit="1" customWidth="1"/>
    <col min="4" max="4" width="60.77734375" bestFit="1" customWidth="1"/>
    <col min="5" max="12" width="10.6640625" customWidth="1"/>
  </cols>
  <sheetData>
    <row r="1" spans="2:31" ht="20.399999999999999" thickBot="1" x14ac:dyDescent="0.35">
      <c r="B1" s="1"/>
      <c r="C1" s="2" t="s">
        <v>12</v>
      </c>
      <c r="D1" s="3"/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4"/>
      <c r="D4" s="13" t="s">
        <v>113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</row>
    <row r="5" spans="2:31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2:31" x14ac:dyDescent="0.3">
      <c r="B6" s="12"/>
      <c r="C6" s="13" t="s">
        <v>69</v>
      </c>
      <c r="D6" s="13" t="s">
        <v>18</v>
      </c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</row>
    <row r="7" spans="2:31" x14ac:dyDescent="0.3">
      <c r="B7" s="12"/>
      <c r="C7" s="14" t="s">
        <v>56</v>
      </c>
      <c r="D7" s="14" t="s">
        <v>19</v>
      </c>
      <c r="E7" s="55">
        <v>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5">
        <v>0</v>
      </c>
      <c r="N7" s="55">
        <v>0</v>
      </c>
      <c r="O7" s="55">
        <v>0</v>
      </c>
      <c r="P7" s="55">
        <v>0</v>
      </c>
      <c r="Q7" s="55">
        <v>0</v>
      </c>
      <c r="R7" s="55">
        <v>0</v>
      </c>
      <c r="S7" s="55">
        <v>0</v>
      </c>
      <c r="T7" s="55">
        <v>0</v>
      </c>
      <c r="U7" s="55">
        <v>0</v>
      </c>
      <c r="V7" s="55">
        <v>0</v>
      </c>
      <c r="W7" s="55">
        <v>0</v>
      </c>
      <c r="X7" s="55">
        <v>0</v>
      </c>
      <c r="Y7" s="55">
        <v>0</v>
      </c>
      <c r="Z7" s="55">
        <v>0</v>
      </c>
      <c r="AA7" s="55">
        <v>0</v>
      </c>
      <c r="AB7" s="55">
        <v>0</v>
      </c>
      <c r="AC7" s="55">
        <v>0</v>
      </c>
      <c r="AD7" s="55">
        <v>0</v>
      </c>
      <c r="AE7" s="15"/>
    </row>
    <row r="8" spans="2:31" x14ac:dyDescent="0.3">
      <c r="B8" s="12"/>
      <c r="C8" s="14" t="s">
        <v>57</v>
      </c>
      <c r="D8" s="14" t="s">
        <v>20</v>
      </c>
      <c r="E8" s="55">
        <v>47.5</v>
      </c>
      <c r="F8" s="55">
        <v>47.5</v>
      </c>
      <c r="G8" s="55">
        <v>47.5</v>
      </c>
      <c r="H8" s="55">
        <v>47.5</v>
      </c>
      <c r="I8" s="55">
        <v>47.5</v>
      </c>
      <c r="J8" s="55">
        <v>47.5</v>
      </c>
      <c r="K8" s="55">
        <v>47.5</v>
      </c>
      <c r="L8" s="55">
        <v>47.5</v>
      </c>
      <c r="M8" s="55">
        <v>47.5</v>
      </c>
      <c r="N8" s="55">
        <v>47.5</v>
      </c>
      <c r="O8" s="55">
        <v>47.5</v>
      </c>
      <c r="P8" s="55">
        <v>47.5</v>
      </c>
      <c r="Q8" s="55">
        <v>47.5</v>
      </c>
      <c r="R8" s="55">
        <v>47.5</v>
      </c>
      <c r="S8" s="55">
        <v>47.5</v>
      </c>
      <c r="T8" s="55">
        <v>47.5</v>
      </c>
      <c r="U8" s="55">
        <v>47.5</v>
      </c>
      <c r="V8" s="55">
        <v>47.5</v>
      </c>
      <c r="W8" s="55">
        <v>47.5</v>
      </c>
      <c r="X8" s="55">
        <v>47.5</v>
      </c>
      <c r="Y8" s="55">
        <v>47.5</v>
      </c>
      <c r="Z8" s="55">
        <v>47.5</v>
      </c>
      <c r="AA8" s="55">
        <v>47.5</v>
      </c>
      <c r="AB8" s="55">
        <v>47.5</v>
      </c>
      <c r="AC8" s="55">
        <v>47.5</v>
      </c>
      <c r="AD8" s="55">
        <v>47.5</v>
      </c>
      <c r="AE8" s="15"/>
    </row>
    <row r="9" spans="2:31" x14ac:dyDescent="0.3">
      <c r="B9" s="12"/>
      <c r="C9" s="14" t="s">
        <v>58</v>
      </c>
      <c r="D9" s="14" t="s">
        <v>21</v>
      </c>
      <c r="E9" s="58">
        <v>45</v>
      </c>
      <c r="F9" s="58">
        <v>45</v>
      </c>
      <c r="G9" s="58">
        <v>45</v>
      </c>
      <c r="H9" s="58">
        <v>45</v>
      </c>
      <c r="I9" s="58">
        <v>45</v>
      </c>
      <c r="J9" s="58">
        <v>45</v>
      </c>
      <c r="K9" s="58">
        <v>45</v>
      </c>
      <c r="L9" s="58">
        <v>45</v>
      </c>
      <c r="M9" s="58">
        <v>45</v>
      </c>
      <c r="N9" s="58">
        <v>45</v>
      </c>
      <c r="O9" s="58">
        <v>45</v>
      </c>
      <c r="P9" s="58">
        <v>45</v>
      </c>
      <c r="Q9" s="58">
        <v>45</v>
      </c>
      <c r="R9" s="58">
        <v>45</v>
      </c>
      <c r="S9" s="58">
        <v>45</v>
      </c>
      <c r="T9" s="58">
        <v>45</v>
      </c>
      <c r="U9" s="58">
        <v>45</v>
      </c>
      <c r="V9" s="58">
        <v>45</v>
      </c>
      <c r="W9" s="58">
        <v>45</v>
      </c>
      <c r="X9" s="58">
        <v>45</v>
      </c>
      <c r="Y9" s="58">
        <v>45</v>
      </c>
      <c r="Z9" s="58">
        <v>45</v>
      </c>
      <c r="AA9" s="58">
        <v>45</v>
      </c>
      <c r="AB9" s="58">
        <v>45</v>
      </c>
      <c r="AC9" s="58">
        <v>45</v>
      </c>
      <c r="AD9" s="58">
        <v>45</v>
      </c>
      <c r="AE9" s="15"/>
    </row>
    <row r="10" spans="2:31" x14ac:dyDescent="0.3">
      <c r="B10" s="12"/>
      <c r="C10" s="14" t="s">
        <v>59</v>
      </c>
      <c r="D10" s="14" t="s">
        <v>22</v>
      </c>
      <c r="E10" s="58">
        <v>11.5</v>
      </c>
      <c r="F10" s="58">
        <v>11.5</v>
      </c>
      <c r="G10" s="58">
        <v>11.5</v>
      </c>
      <c r="H10" s="58">
        <v>11.5</v>
      </c>
      <c r="I10" s="58">
        <v>11.5</v>
      </c>
      <c r="J10" s="58">
        <v>11.5</v>
      </c>
      <c r="K10" s="58">
        <v>11.5</v>
      </c>
      <c r="L10" s="58">
        <v>11.5</v>
      </c>
      <c r="M10" s="58">
        <v>11.5</v>
      </c>
      <c r="N10" s="58">
        <v>11.5</v>
      </c>
      <c r="O10" s="58">
        <v>11.5</v>
      </c>
      <c r="P10" s="58">
        <v>11.5</v>
      </c>
      <c r="Q10" s="58">
        <v>11.5</v>
      </c>
      <c r="R10" s="58">
        <v>11.5</v>
      </c>
      <c r="S10" s="58">
        <v>11.5</v>
      </c>
      <c r="T10" s="58">
        <v>11.5</v>
      </c>
      <c r="U10" s="58">
        <v>11.5</v>
      </c>
      <c r="V10" s="58">
        <v>11.5</v>
      </c>
      <c r="W10" s="58">
        <v>11.5</v>
      </c>
      <c r="X10" s="58">
        <v>11.5</v>
      </c>
      <c r="Y10" s="58">
        <v>11.5</v>
      </c>
      <c r="Z10" s="58">
        <v>11.5</v>
      </c>
      <c r="AA10" s="58">
        <v>11.5</v>
      </c>
      <c r="AB10" s="58">
        <v>11.5</v>
      </c>
      <c r="AC10" s="58">
        <v>11.5</v>
      </c>
      <c r="AD10" s="58">
        <v>11.5</v>
      </c>
      <c r="AE10" s="15"/>
    </row>
    <row r="11" spans="2:31" x14ac:dyDescent="0.3">
      <c r="B11" s="12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15"/>
    </row>
    <row r="12" spans="2:31" x14ac:dyDescent="0.3">
      <c r="B12" s="12"/>
      <c r="C12" s="14"/>
      <c r="D12" s="13" t="s">
        <v>23</v>
      </c>
      <c r="E12" s="13"/>
      <c r="F12" s="13"/>
      <c r="G12" s="13"/>
      <c r="H12" s="13"/>
      <c r="I12" s="13"/>
      <c r="J12" s="13"/>
      <c r="K12" s="13"/>
      <c r="L12" s="1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15"/>
    </row>
    <row r="13" spans="2:31" x14ac:dyDescent="0.3">
      <c r="B13" s="12"/>
      <c r="C13" s="14" t="s">
        <v>53</v>
      </c>
      <c r="D13" s="23" t="s">
        <v>24</v>
      </c>
      <c r="E13" s="55">
        <v>0</v>
      </c>
      <c r="F13" s="55">
        <v>0</v>
      </c>
      <c r="G13" s="55">
        <v>0</v>
      </c>
      <c r="H13" s="55">
        <v>0</v>
      </c>
      <c r="I13" s="55">
        <v>0</v>
      </c>
      <c r="J13" s="55">
        <v>0</v>
      </c>
      <c r="K13" s="55">
        <v>0</v>
      </c>
      <c r="L13" s="55">
        <v>0</v>
      </c>
      <c r="M13" s="55">
        <v>0</v>
      </c>
      <c r="N13" s="55">
        <v>0</v>
      </c>
      <c r="O13" s="55">
        <v>0</v>
      </c>
      <c r="P13" s="55">
        <v>0</v>
      </c>
      <c r="Q13" s="55">
        <v>0</v>
      </c>
      <c r="R13" s="55">
        <v>0</v>
      </c>
      <c r="S13" s="55">
        <v>0</v>
      </c>
      <c r="T13" s="55">
        <v>0</v>
      </c>
      <c r="U13" s="55">
        <v>0</v>
      </c>
      <c r="V13" s="55">
        <v>0</v>
      </c>
      <c r="W13" s="55">
        <v>0</v>
      </c>
      <c r="X13" s="55">
        <v>0</v>
      </c>
      <c r="Y13" s="55">
        <v>0</v>
      </c>
      <c r="Z13" s="55">
        <v>0</v>
      </c>
      <c r="AA13" s="55">
        <v>0</v>
      </c>
      <c r="AB13" s="55">
        <v>0</v>
      </c>
      <c r="AC13" s="55">
        <v>0</v>
      </c>
      <c r="AD13" s="55">
        <v>0</v>
      </c>
      <c r="AE13" s="15"/>
    </row>
    <row r="14" spans="2:31" x14ac:dyDescent="0.3">
      <c r="B14" s="12"/>
      <c r="C14" s="14" t="s">
        <v>54</v>
      </c>
      <c r="D14" s="23" t="s">
        <v>52</v>
      </c>
      <c r="E14" s="55">
        <v>0</v>
      </c>
      <c r="F14" s="55">
        <v>0</v>
      </c>
      <c r="G14" s="55">
        <v>0</v>
      </c>
      <c r="H14" s="55">
        <v>0</v>
      </c>
      <c r="I14" s="55">
        <v>0</v>
      </c>
      <c r="J14" s="55">
        <v>0</v>
      </c>
      <c r="K14" s="55">
        <v>0</v>
      </c>
      <c r="L14" s="55">
        <v>0</v>
      </c>
      <c r="M14" s="55">
        <v>0</v>
      </c>
      <c r="N14" s="55">
        <v>0</v>
      </c>
      <c r="O14" s="55">
        <v>0</v>
      </c>
      <c r="P14" s="55">
        <v>0</v>
      </c>
      <c r="Q14" s="55">
        <v>0</v>
      </c>
      <c r="R14" s="55">
        <v>0</v>
      </c>
      <c r="S14" s="55">
        <v>0</v>
      </c>
      <c r="T14" s="55">
        <v>0</v>
      </c>
      <c r="U14" s="55">
        <v>0</v>
      </c>
      <c r="V14" s="55">
        <v>0</v>
      </c>
      <c r="W14" s="55">
        <v>0</v>
      </c>
      <c r="X14" s="55">
        <v>0</v>
      </c>
      <c r="Y14" s="55">
        <v>0</v>
      </c>
      <c r="Z14" s="55">
        <v>0</v>
      </c>
      <c r="AA14" s="55">
        <v>0</v>
      </c>
      <c r="AB14" s="55">
        <v>0</v>
      </c>
      <c r="AC14" s="55">
        <v>0</v>
      </c>
      <c r="AD14" s="55">
        <v>0</v>
      </c>
      <c r="AE14" s="15"/>
    </row>
    <row r="15" spans="2:31" x14ac:dyDescent="0.3">
      <c r="B15" s="12"/>
      <c r="C15" s="14" t="s">
        <v>55</v>
      </c>
      <c r="D15" s="23" t="s">
        <v>25</v>
      </c>
      <c r="E15" s="55">
        <v>0</v>
      </c>
      <c r="F15" s="55">
        <v>0</v>
      </c>
      <c r="G15" s="55">
        <v>0</v>
      </c>
      <c r="H15" s="55">
        <v>0</v>
      </c>
      <c r="I15" s="55">
        <v>0</v>
      </c>
      <c r="J15" s="55">
        <v>0</v>
      </c>
      <c r="K15" s="55">
        <v>0</v>
      </c>
      <c r="L15" s="55">
        <v>0</v>
      </c>
      <c r="M15" s="55">
        <v>0</v>
      </c>
      <c r="N15" s="55">
        <v>0</v>
      </c>
      <c r="O15" s="55">
        <v>0</v>
      </c>
      <c r="P15" s="55">
        <v>0</v>
      </c>
      <c r="Q15" s="55">
        <v>0</v>
      </c>
      <c r="R15" s="55">
        <v>0</v>
      </c>
      <c r="S15" s="55">
        <v>0</v>
      </c>
      <c r="T15" s="55">
        <v>0</v>
      </c>
      <c r="U15" s="55">
        <v>0</v>
      </c>
      <c r="V15" s="55">
        <v>0</v>
      </c>
      <c r="W15" s="55">
        <v>0</v>
      </c>
      <c r="X15" s="55">
        <v>0</v>
      </c>
      <c r="Y15" s="55">
        <v>0</v>
      </c>
      <c r="Z15" s="55">
        <v>0</v>
      </c>
      <c r="AA15" s="55">
        <v>0</v>
      </c>
      <c r="AB15" s="55">
        <v>0</v>
      </c>
      <c r="AC15" s="55">
        <v>0</v>
      </c>
      <c r="AD15" s="55">
        <v>0</v>
      </c>
      <c r="AE15" s="15"/>
    </row>
    <row r="16" spans="2:31" x14ac:dyDescent="0.3">
      <c r="B16" s="12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15"/>
    </row>
    <row r="17" spans="2:31" x14ac:dyDescent="0.3">
      <c r="B17" s="12"/>
      <c r="C17" s="14"/>
      <c r="D17" s="13" t="s">
        <v>26</v>
      </c>
      <c r="E17" s="13"/>
      <c r="F17" s="13"/>
      <c r="G17" s="13"/>
      <c r="H17" s="13"/>
      <c r="I17" s="13"/>
      <c r="J17" s="13"/>
      <c r="K17" s="13"/>
      <c r="L17" s="1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15"/>
    </row>
    <row r="18" spans="2:31" x14ac:dyDescent="0.3">
      <c r="B18" s="12"/>
      <c r="C18" s="14" t="s">
        <v>64</v>
      </c>
      <c r="D18" s="14" t="s">
        <v>27</v>
      </c>
      <c r="E18" s="58" t="s">
        <v>209</v>
      </c>
      <c r="F18" s="58">
        <v>61</v>
      </c>
      <c r="G18" s="58">
        <v>61</v>
      </c>
      <c r="H18" s="58">
        <v>61</v>
      </c>
      <c r="I18" s="58">
        <v>61</v>
      </c>
      <c r="J18" s="58">
        <v>61</v>
      </c>
      <c r="K18" s="58">
        <v>61</v>
      </c>
      <c r="L18" s="58">
        <v>61</v>
      </c>
      <c r="M18" s="58">
        <v>61</v>
      </c>
      <c r="N18" s="58">
        <v>61</v>
      </c>
      <c r="O18" s="58">
        <v>61</v>
      </c>
      <c r="P18" s="58">
        <v>61</v>
      </c>
      <c r="Q18" s="58">
        <v>61</v>
      </c>
      <c r="R18" s="58">
        <v>61</v>
      </c>
      <c r="S18" s="58">
        <v>61</v>
      </c>
      <c r="T18" s="58">
        <v>61</v>
      </c>
      <c r="U18" s="58">
        <v>61</v>
      </c>
      <c r="V18" s="58">
        <v>61</v>
      </c>
      <c r="W18" s="58">
        <v>61</v>
      </c>
      <c r="X18" s="58">
        <v>61</v>
      </c>
      <c r="Y18" s="58">
        <v>61</v>
      </c>
      <c r="Z18" s="58">
        <v>61</v>
      </c>
      <c r="AA18" s="58">
        <v>61</v>
      </c>
      <c r="AB18" s="58">
        <v>61</v>
      </c>
      <c r="AC18" s="58">
        <v>61</v>
      </c>
      <c r="AD18" s="58">
        <v>61</v>
      </c>
      <c r="AE18" s="15"/>
    </row>
    <row r="19" spans="2:31" x14ac:dyDescent="0.3">
      <c r="B19" s="12"/>
      <c r="C19" s="14" t="s">
        <v>65</v>
      </c>
      <c r="D19" s="14" t="s">
        <v>28</v>
      </c>
      <c r="E19" s="58">
        <v>61</v>
      </c>
      <c r="F19" s="58">
        <v>61</v>
      </c>
      <c r="G19" s="58">
        <v>61</v>
      </c>
      <c r="H19" s="58">
        <v>61</v>
      </c>
      <c r="I19" s="58">
        <v>61</v>
      </c>
      <c r="J19" s="58">
        <v>61</v>
      </c>
      <c r="K19" s="58">
        <v>61</v>
      </c>
      <c r="L19" s="58">
        <v>61</v>
      </c>
      <c r="M19" s="58">
        <v>61</v>
      </c>
      <c r="N19" s="58">
        <v>61</v>
      </c>
      <c r="O19" s="58">
        <v>61</v>
      </c>
      <c r="P19" s="58">
        <v>61</v>
      </c>
      <c r="Q19" s="58">
        <v>61</v>
      </c>
      <c r="R19" s="58">
        <v>61</v>
      </c>
      <c r="S19" s="58">
        <v>61</v>
      </c>
      <c r="T19" s="58">
        <v>61</v>
      </c>
      <c r="U19" s="58">
        <v>61</v>
      </c>
      <c r="V19" s="58">
        <v>61</v>
      </c>
      <c r="W19" s="58">
        <v>61</v>
      </c>
      <c r="X19" s="58">
        <v>61</v>
      </c>
      <c r="Y19" s="58">
        <v>61</v>
      </c>
      <c r="Z19" s="58">
        <v>61</v>
      </c>
      <c r="AA19" s="58">
        <v>61</v>
      </c>
      <c r="AB19" s="58">
        <v>61</v>
      </c>
      <c r="AC19" s="58">
        <v>61</v>
      </c>
      <c r="AD19" s="58">
        <v>61</v>
      </c>
      <c r="AE19" s="15"/>
    </row>
    <row r="20" spans="2:31" x14ac:dyDescent="0.3">
      <c r="B20" s="12"/>
      <c r="C20" s="14" t="s">
        <v>63</v>
      </c>
      <c r="D20" s="14" t="s">
        <v>29</v>
      </c>
      <c r="E20" s="58">
        <v>30</v>
      </c>
      <c r="F20" s="58">
        <v>30</v>
      </c>
      <c r="G20" s="58">
        <v>30</v>
      </c>
      <c r="H20" s="58">
        <v>30</v>
      </c>
      <c r="I20" s="58">
        <v>30</v>
      </c>
      <c r="J20" s="58">
        <v>30</v>
      </c>
      <c r="K20" s="58">
        <v>30</v>
      </c>
      <c r="L20" s="58">
        <v>30</v>
      </c>
      <c r="M20" s="58">
        <v>30</v>
      </c>
      <c r="N20" s="58">
        <v>30</v>
      </c>
      <c r="O20" s="58">
        <v>30</v>
      </c>
      <c r="P20" s="58">
        <v>30</v>
      </c>
      <c r="Q20" s="58">
        <v>30</v>
      </c>
      <c r="R20" s="58">
        <v>30</v>
      </c>
      <c r="S20" s="58">
        <v>30</v>
      </c>
      <c r="T20" s="58">
        <v>30</v>
      </c>
      <c r="U20" s="58">
        <v>30</v>
      </c>
      <c r="V20" s="58">
        <v>30</v>
      </c>
      <c r="W20" s="58">
        <v>30</v>
      </c>
      <c r="X20" s="58">
        <v>30</v>
      </c>
      <c r="Y20" s="58">
        <v>30</v>
      </c>
      <c r="Z20" s="58">
        <v>30</v>
      </c>
      <c r="AA20" s="58">
        <v>30</v>
      </c>
      <c r="AB20" s="58">
        <v>30</v>
      </c>
      <c r="AC20" s="58">
        <v>30</v>
      </c>
      <c r="AD20" s="58">
        <v>30</v>
      </c>
      <c r="AE20" s="15"/>
    </row>
    <row r="21" spans="2:31" x14ac:dyDescent="0.3">
      <c r="B21" s="12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15"/>
    </row>
    <row r="22" spans="2:31" x14ac:dyDescent="0.3">
      <c r="B22" s="12"/>
      <c r="C22" s="14"/>
      <c r="D22" s="13" t="s">
        <v>30</v>
      </c>
      <c r="E22" s="13"/>
      <c r="F22" s="13"/>
      <c r="G22" s="13"/>
      <c r="H22" s="13"/>
      <c r="I22" s="13"/>
      <c r="J22" s="13"/>
      <c r="K22" s="13"/>
      <c r="L22" s="1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15"/>
    </row>
    <row r="23" spans="2:31" x14ac:dyDescent="0.3">
      <c r="B23" s="12"/>
      <c r="C23" s="14" t="s">
        <v>60</v>
      </c>
      <c r="D23" s="14" t="s">
        <v>31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Z23" s="55">
        <v>0</v>
      </c>
      <c r="AA23" s="55">
        <v>0</v>
      </c>
      <c r="AB23" s="55">
        <v>0</v>
      </c>
      <c r="AC23" s="55">
        <v>0</v>
      </c>
      <c r="AD23" s="55">
        <v>0</v>
      </c>
      <c r="AE23" s="15"/>
    </row>
    <row r="24" spans="2:31" x14ac:dyDescent="0.3">
      <c r="B24" s="12"/>
      <c r="C24" s="14" t="s">
        <v>61</v>
      </c>
      <c r="D24" s="14" t="s">
        <v>32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Z24" s="55">
        <v>0</v>
      </c>
      <c r="AA24" s="55">
        <v>0</v>
      </c>
      <c r="AB24" s="55">
        <v>0</v>
      </c>
      <c r="AC24" s="55">
        <v>0</v>
      </c>
      <c r="AD24" s="55">
        <v>0</v>
      </c>
      <c r="AE24" s="15"/>
    </row>
    <row r="25" spans="2:31" x14ac:dyDescent="0.3">
      <c r="B25" s="12"/>
      <c r="C25" s="14" t="s">
        <v>62</v>
      </c>
      <c r="D25" s="14" t="s">
        <v>33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Z25" s="55">
        <v>0</v>
      </c>
      <c r="AA25" s="55">
        <v>0</v>
      </c>
      <c r="AB25" s="55">
        <v>0</v>
      </c>
      <c r="AC25" s="55">
        <v>0</v>
      </c>
      <c r="AD25" s="55">
        <v>0</v>
      </c>
      <c r="AE25" s="15"/>
    </row>
    <row r="26" spans="2:31" x14ac:dyDescent="0.3">
      <c r="B26" s="1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15"/>
    </row>
    <row r="27" spans="2:31" ht="15" thickBot="1" x14ac:dyDescent="0.35">
      <c r="B27" s="16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8"/>
    </row>
    <row r="29" spans="2:31" ht="15" thickBot="1" x14ac:dyDescent="0.35"/>
    <row r="30" spans="2:31" x14ac:dyDescent="0.3">
      <c r="B30" s="9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1"/>
    </row>
    <row r="31" spans="2:31" x14ac:dyDescent="0.3">
      <c r="B31" s="12"/>
      <c r="C31" s="14"/>
      <c r="D31" s="13" t="s">
        <v>105</v>
      </c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5"/>
    </row>
    <row r="32" spans="2:31" x14ac:dyDescent="0.3">
      <c r="B32" s="12"/>
      <c r="C32" s="14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5"/>
    </row>
    <row r="33" spans="2:31" x14ac:dyDescent="0.3">
      <c r="B33" s="12"/>
      <c r="C33" s="13" t="s">
        <v>69</v>
      </c>
      <c r="D33" s="13" t="s">
        <v>104</v>
      </c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5"/>
    </row>
    <row r="34" spans="2:31" x14ac:dyDescent="0.3">
      <c r="B34" s="12"/>
      <c r="C34" s="14" t="s">
        <v>84</v>
      </c>
      <c r="D34" s="14" t="s">
        <v>94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X34" s="55">
        <v>0</v>
      </c>
      <c r="Y34" s="55">
        <v>0</v>
      </c>
      <c r="Z34" s="55">
        <v>0</v>
      </c>
      <c r="AA34" s="55">
        <v>0</v>
      </c>
      <c r="AB34" s="55">
        <v>0</v>
      </c>
      <c r="AC34" s="55">
        <v>0</v>
      </c>
      <c r="AD34" s="55">
        <v>0</v>
      </c>
      <c r="AE34" s="15"/>
    </row>
    <row r="35" spans="2:31" x14ac:dyDescent="0.3">
      <c r="B35" s="12"/>
      <c r="C35" s="14" t="s">
        <v>85</v>
      </c>
      <c r="D35" s="14" t="s">
        <v>95</v>
      </c>
      <c r="E35" s="56">
        <v>0</v>
      </c>
      <c r="F35" s="56">
        <v>0</v>
      </c>
      <c r="G35" s="56">
        <v>0</v>
      </c>
      <c r="H35" s="56">
        <v>0</v>
      </c>
      <c r="I35" s="56">
        <v>0</v>
      </c>
      <c r="J35" s="56">
        <v>0</v>
      </c>
      <c r="K35" s="56">
        <v>0</v>
      </c>
      <c r="L35" s="56">
        <v>0</v>
      </c>
      <c r="M35" s="56">
        <v>0</v>
      </c>
      <c r="N35" s="56">
        <v>0</v>
      </c>
      <c r="O35" s="56">
        <v>0</v>
      </c>
      <c r="P35" s="56">
        <v>0</v>
      </c>
      <c r="Q35" s="56">
        <v>0</v>
      </c>
      <c r="R35" s="56">
        <v>0</v>
      </c>
      <c r="S35" s="56">
        <v>0</v>
      </c>
      <c r="T35" s="56">
        <v>0</v>
      </c>
      <c r="U35" s="56">
        <v>0</v>
      </c>
      <c r="V35" s="56">
        <v>0</v>
      </c>
      <c r="W35" s="56">
        <v>0</v>
      </c>
      <c r="X35" s="56">
        <v>0</v>
      </c>
      <c r="Y35" s="56">
        <v>0</v>
      </c>
      <c r="Z35" s="56">
        <v>0</v>
      </c>
      <c r="AA35" s="56">
        <v>0</v>
      </c>
      <c r="AB35" s="56">
        <v>0</v>
      </c>
      <c r="AC35" s="56">
        <v>0</v>
      </c>
      <c r="AD35" s="56">
        <v>0</v>
      </c>
      <c r="AE35" s="15"/>
    </row>
    <row r="36" spans="2:31" x14ac:dyDescent="0.3">
      <c r="B36" s="12"/>
      <c r="C36" s="14" t="s">
        <v>86</v>
      </c>
      <c r="D36" s="14" t="s">
        <v>101</v>
      </c>
      <c r="E36" s="57">
        <v>0</v>
      </c>
      <c r="F36" s="57">
        <v>0</v>
      </c>
      <c r="G36" s="57">
        <v>0</v>
      </c>
      <c r="H36" s="57">
        <v>0</v>
      </c>
      <c r="I36" s="57">
        <v>0</v>
      </c>
      <c r="J36" s="57">
        <v>0</v>
      </c>
      <c r="K36" s="57">
        <v>0</v>
      </c>
      <c r="L36" s="57">
        <v>0</v>
      </c>
      <c r="M36" s="57">
        <v>0</v>
      </c>
      <c r="N36" s="57">
        <v>0</v>
      </c>
      <c r="O36" s="57">
        <v>0</v>
      </c>
      <c r="P36" s="57">
        <v>0</v>
      </c>
      <c r="Q36" s="57">
        <v>0</v>
      </c>
      <c r="R36" s="57">
        <v>0</v>
      </c>
      <c r="S36" s="57">
        <v>0</v>
      </c>
      <c r="T36" s="57">
        <v>0</v>
      </c>
      <c r="U36" s="57">
        <v>0</v>
      </c>
      <c r="V36" s="57">
        <v>0</v>
      </c>
      <c r="W36" s="57">
        <v>0</v>
      </c>
      <c r="X36" s="57">
        <v>0</v>
      </c>
      <c r="Y36" s="57">
        <v>0</v>
      </c>
      <c r="Z36" s="57">
        <v>0</v>
      </c>
      <c r="AA36" s="57">
        <v>0</v>
      </c>
      <c r="AB36" s="57">
        <v>0</v>
      </c>
      <c r="AC36" s="57">
        <v>0</v>
      </c>
      <c r="AD36" s="57">
        <v>0</v>
      </c>
      <c r="AE36" s="15"/>
    </row>
    <row r="37" spans="2:31" x14ac:dyDescent="0.3">
      <c r="B37" s="12"/>
      <c r="C37" s="14"/>
      <c r="D37" s="1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15"/>
    </row>
    <row r="38" spans="2:31" x14ac:dyDescent="0.3">
      <c r="B38" s="12"/>
      <c r="C38" s="14"/>
      <c r="D38" s="13" t="s">
        <v>103</v>
      </c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15"/>
    </row>
    <row r="39" spans="2:31" x14ac:dyDescent="0.3">
      <c r="B39" s="12"/>
      <c r="C39" s="14" t="s">
        <v>88</v>
      </c>
      <c r="D39" s="14" t="s">
        <v>96</v>
      </c>
      <c r="E39" s="58">
        <v>0</v>
      </c>
      <c r="F39" s="58">
        <v>0</v>
      </c>
      <c r="G39" s="58">
        <v>0</v>
      </c>
      <c r="H39" s="58">
        <v>0</v>
      </c>
      <c r="I39" s="58">
        <v>0</v>
      </c>
      <c r="J39" s="58">
        <v>0</v>
      </c>
      <c r="K39" s="58">
        <v>0</v>
      </c>
      <c r="L39" s="58">
        <v>0</v>
      </c>
      <c r="M39" s="58">
        <v>0</v>
      </c>
      <c r="N39" s="58">
        <v>0</v>
      </c>
      <c r="O39" s="58">
        <v>0</v>
      </c>
      <c r="P39" s="58">
        <v>0</v>
      </c>
      <c r="Q39" s="58">
        <v>0</v>
      </c>
      <c r="R39" s="58">
        <v>0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58">
        <v>0</v>
      </c>
      <c r="AE39" s="15"/>
    </row>
    <row r="40" spans="2:31" x14ac:dyDescent="0.3">
      <c r="B40" s="12"/>
      <c r="C40" s="14" t="s">
        <v>89</v>
      </c>
      <c r="D40" s="23" t="s">
        <v>97</v>
      </c>
      <c r="E40" s="54">
        <f t="shared" ref="E40:L40" si="0">(E1*$K$49)+$K$50</f>
        <v>64.185132004929528</v>
      </c>
      <c r="F40" s="54">
        <f t="shared" si="0"/>
        <v>62.553391318087961</v>
      </c>
      <c r="G40" s="54">
        <f t="shared" si="0"/>
        <v>60.921650631246393</v>
      </c>
      <c r="H40" s="54">
        <f t="shared" si="0"/>
        <v>59.289909944405281</v>
      </c>
      <c r="I40" s="54">
        <f t="shared" si="0"/>
        <v>57.658169257563713</v>
      </c>
      <c r="J40" s="54">
        <f t="shared" si="0"/>
        <v>56.026428570722146</v>
      </c>
      <c r="K40" s="54">
        <f t="shared" si="0"/>
        <v>54.394687883880579</v>
      </c>
      <c r="L40" s="54">
        <f t="shared" si="0"/>
        <v>52.762947197039466</v>
      </c>
      <c r="M40" s="55">
        <v>48.400673400673398</v>
      </c>
      <c r="N40" s="55">
        <v>49.551878662530164</v>
      </c>
      <c r="O40" s="55">
        <v>49.628862420162271</v>
      </c>
      <c r="P40" s="55">
        <v>49.551878662530171</v>
      </c>
      <c r="Q40" s="55">
        <v>46.354983264947556</v>
      </c>
      <c r="R40" s="55">
        <v>43.545590339798885</v>
      </c>
      <c r="S40" s="55">
        <v>41.057270891810639</v>
      </c>
      <c r="T40" s="55">
        <v>38.837958951712508</v>
      </c>
      <c r="U40" s="55">
        <v>36.846268749060798</v>
      </c>
      <c r="V40" s="55">
        <v>35.048889785691756</v>
      </c>
      <c r="W40" s="55">
        <v>33.418708865427199</v>
      </c>
      <c r="X40" s="55">
        <v>31.933432915852809</v>
      </c>
      <c r="Y40" s="55">
        <v>30.574563430071674</v>
      </c>
      <c r="Z40" s="55">
        <v>29.326622065579077</v>
      </c>
      <c r="AA40" s="55">
        <v>28.176558455164077</v>
      </c>
      <c r="AB40" s="55">
        <v>27.113292098365545</v>
      </c>
      <c r="AC40" s="55">
        <v>26.12735420387941</v>
      </c>
      <c r="AD40" s="55">
        <v>25.210604933567939</v>
      </c>
      <c r="AE40" s="15"/>
    </row>
    <row r="41" spans="2:31" x14ac:dyDescent="0.3">
      <c r="B41" s="12"/>
      <c r="C41" s="14" t="s">
        <v>90</v>
      </c>
      <c r="D41" s="23" t="s">
        <v>102</v>
      </c>
      <c r="E41" s="54">
        <f>E40</f>
        <v>64.185132004929528</v>
      </c>
      <c r="F41" s="54">
        <f t="shared" ref="F41:L41" si="1">F40</f>
        <v>62.553391318087961</v>
      </c>
      <c r="G41" s="54">
        <f t="shared" si="1"/>
        <v>60.921650631246393</v>
      </c>
      <c r="H41" s="54">
        <f t="shared" si="1"/>
        <v>59.289909944405281</v>
      </c>
      <c r="I41" s="54">
        <f t="shared" si="1"/>
        <v>57.658169257563713</v>
      </c>
      <c r="J41" s="54">
        <f t="shared" si="1"/>
        <v>56.026428570722146</v>
      </c>
      <c r="K41" s="54">
        <f t="shared" si="1"/>
        <v>54.394687883880579</v>
      </c>
      <c r="L41" s="54">
        <f t="shared" si="1"/>
        <v>52.762947197039466</v>
      </c>
      <c r="M41" s="55">
        <v>48.400673400673398</v>
      </c>
      <c r="N41" s="55">
        <v>49.551878662530164</v>
      </c>
      <c r="O41" s="55">
        <v>49.628862420162271</v>
      </c>
      <c r="P41" s="55">
        <v>49.551878662530171</v>
      </c>
      <c r="Q41" s="55">
        <v>46.354983264947556</v>
      </c>
      <c r="R41" s="55">
        <v>43.545590339798885</v>
      </c>
      <c r="S41" s="55">
        <v>41.057270891810639</v>
      </c>
      <c r="T41" s="55">
        <v>38.837958951712508</v>
      </c>
      <c r="U41" s="55">
        <v>36.846268749060798</v>
      </c>
      <c r="V41" s="55">
        <v>35.048889785691756</v>
      </c>
      <c r="W41" s="55">
        <v>33.418708865427199</v>
      </c>
      <c r="X41" s="55">
        <v>31.933432915852809</v>
      </c>
      <c r="Y41" s="55">
        <v>30.574563430071674</v>
      </c>
      <c r="Z41" s="55">
        <v>29.326622065579077</v>
      </c>
      <c r="AA41" s="55">
        <v>28.176558455164077</v>
      </c>
      <c r="AB41" s="55">
        <v>27.113292098365545</v>
      </c>
      <c r="AC41" s="55">
        <v>26.12735420387941</v>
      </c>
      <c r="AD41" s="55">
        <v>25.210604933567939</v>
      </c>
      <c r="AE41" s="15"/>
    </row>
    <row r="42" spans="2:31" x14ac:dyDescent="0.3">
      <c r="B42" s="12"/>
      <c r="C42" s="14"/>
      <c r="D42" s="23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15"/>
    </row>
    <row r="43" spans="2:31" x14ac:dyDescent="0.3">
      <c r="B43" s="12"/>
      <c r="C43" s="14"/>
      <c r="D43" s="13" t="s">
        <v>18</v>
      </c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15"/>
    </row>
    <row r="44" spans="2:31" x14ac:dyDescent="0.3">
      <c r="B44" s="12"/>
      <c r="C44" s="14" t="s">
        <v>91</v>
      </c>
      <c r="D44" s="14" t="s">
        <v>100</v>
      </c>
      <c r="E44" s="58">
        <v>0</v>
      </c>
      <c r="F44" s="58">
        <v>0</v>
      </c>
      <c r="G44" s="58">
        <v>0</v>
      </c>
      <c r="H44" s="58">
        <v>0</v>
      </c>
      <c r="I44" s="58">
        <v>0</v>
      </c>
      <c r="J44" s="58">
        <v>0</v>
      </c>
      <c r="K44" s="58">
        <v>0</v>
      </c>
      <c r="L44" s="58">
        <v>0</v>
      </c>
      <c r="M44" s="58">
        <v>0</v>
      </c>
      <c r="N44" s="58">
        <v>0</v>
      </c>
      <c r="O44" s="58">
        <v>0</v>
      </c>
      <c r="P44" s="58">
        <v>0</v>
      </c>
      <c r="Q44" s="58">
        <v>0</v>
      </c>
      <c r="R44" s="58">
        <v>0</v>
      </c>
      <c r="S44" s="58">
        <v>0</v>
      </c>
      <c r="T44" s="58">
        <v>0</v>
      </c>
      <c r="U44" s="58">
        <v>0</v>
      </c>
      <c r="V44" s="58">
        <v>0</v>
      </c>
      <c r="W44" s="58">
        <v>0</v>
      </c>
      <c r="X44" s="58">
        <v>0</v>
      </c>
      <c r="Y44" s="58">
        <v>0</v>
      </c>
      <c r="Z44" s="58">
        <v>0</v>
      </c>
      <c r="AA44" s="58">
        <v>0</v>
      </c>
      <c r="AB44" s="58">
        <v>0</v>
      </c>
      <c r="AC44" s="58">
        <v>0</v>
      </c>
      <c r="AD44" s="58">
        <v>0</v>
      </c>
      <c r="AE44" s="15"/>
    </row>
    <row r="45" spans="2:31" x14ac:dyDescent="0.3">
      <c r="B45" s="12"/>
      <c r="C45" s="14" t="s">
        <v>92</v>
      </c>
      <c r="D45" s="14" t="s">
        <v>99</v>
      </c>
      <c r="E45" s="58">
        <v>0</v>
      </c>
      <c r="F45" s="58">
        <v>0</v>
      </c>
      <c r="G45" s="58">
        <v>0</v>
      </c>
      <c r="H45" s="58">
        <v>0</v>
      </c>
      <c r="I45" s="58">
        <v>0</v>
      </c>
      <c r="J45" s="58">
        <v>0</v>
      </c>
      <c r="K45" s="58">
        <v>0</v>
      </c>
      <c r="L45" s="58">
        <v>0</v>
      </c>
      <c r="M45" s="58">
        <v>0</v>
      </c>
      <c r="N45" s="58">
        <v>0</v>
      </c>
      <c r="O45" s="58">
        <v>0</v>
      </c>
      <c r="P45" s="58">
        <v>0</v>
      </c>
      <c r="Q45" s="58">
        <v>0</v>
      </c>
      <c r="R45" s="58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B45" s="58">
        <v>0</v>
      </c>
      <c r="AC45" s="58">
        <v>0</v>
      </c>
      <c r="AD45" s="58">
        <v>0</v>
      </c>
      <c r="AE45" s="15"/>
    </row>
    <row r="46" spans="2:31" x14ac:dyDescent="0.3">
      <c r="B46" s="12"/>
      <c r="C46" s="14" t="s">
        <v>77</v>
      </c>
      <c r="D46" s="14" t="s">
        <v>98</v>
      </c>
      <c r="E46" s="53">
        <f t="shared" ref="E46:K46" si="2">(E1*$N$49)+$N$50</f>
        <v>8.2335464285280864</v>
      </c>
      <c r="F46" s="53">
        <f t="shared" si="2"/>
        <v>8.1250181081270512</v>
      </c>
      <c r="G46" s="53">
        <f t="shared" si="2"/>
        <v>8.0164897877260159</v>
      </c>
      <c r="H46" s="53">
        <f t="shared" si="2"/>
        <v>7.9079614673250092</v>
      </c>
      <c r="I46" s="53">
        <f t="shared" si="2"/>
        <v>7.7994331469239739</v>
      </c>
      <c r="J46" s="53">
        <f t="shared" si="2"/>
        <v>7.6909048265229387</v>
      </c>
      <c r="K46" s="53">
        <f t="shared" si="2"/>
        <v>7.5823765061219319</v>
      </c>
      <c r="L46" s="53">
        <f>(L1*$N$49)+$N$50</f>
        <v>7.4738481857208967</v>
      </c>
      <c r="M46" s="58">
        <v>7.3653198653198642</v>
      </c>
      <c r="N46" s="58">
        <v>7.5405032747328509</v>
      </c>
      <c r="O46" s="58">
        <v>7.5522181943725197</v>
      </c>
      <c r="P46" s="58">
        <v>7.5405032747328526</v>
      </c>
      <c r="Q46" s="58">
        <v>7.054019192492019</v>
      </c>
      <c r="R46" s="58">
        <v>6.6265028777954829</v>
      </c>
      <c r="S46" s="58">
        <v>6.247845570492923</v>
      </c>
      <c r="T46" s="58">
        <v>5.9101241883040769</v>
      </c>
      <c r="U46" s="58">
        <v>5.6070408965962075</v>
      </c>
      <c r="V46" s="58">
        <v>5.3335267065183105</v>
      </c>
      <c r="W46" s="58">
        <v>5.0854556969128355</v>
      </c>
      <c r="X46" s="58">
        <v>4.8594354437167313</v>
      </c>
      <c r="Y46" s="58">
        <v>4.6526509567500378</v>
      </c>
      <c r="Z46" s="58">
        <v>4.4627468360663816</v>
      </c>
      <c r="AA46" s="58">
        <v>4.2877371562206203</v>
      </c>
      <c r="AB46" s="58">
        <v>4.1259357540991051</v>
      </c>
      <c r="AC46" s="58">
        <v>3.9759017266773014</v>
      </c>
      <c r="AD46" s="58">
        <v>3.8363964029342514</v>
      </c>
      <c r="AE46" s="15"/>
    </row>
    <row r="47" spans="2:31" ht="15" thickBot="1" x14ac:dyDescent="0.35">
      <c r="B47" s="16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8"/>
    </row>
    <row r="48" spans="2:31" x14ac:dyDescent="0.3">
      <c r="D48" s="163" t="s">
        <v>233</v>
      </c>
    </row>
    <row r="49" spans="11:14" x14ac:dyDescent="0.3">
      <c r="K49">
        <f>SLOPE(M40:AD40,M1:AD1)</f>
        <v>-1.6317406868414444</v>
      </c>
      <c r="M49" t="s">
        <v>67</v>
      </c>
      <c r="N49">
        <v>-0.10852832040102521</v>
      </c>
    </row>
    <row r="50" spans="11:14" x14ac:dyDescent="0.3">
      <c r="K50">
        <f>INTERCEPT(M40:AD40,M1:AD1)</f>
        <v>3343.9839125562326</v>
      </c>
      <c r="M50" t="s">
        <v>68</v>
      </c>
      <c r="N50">
        <v>226.37547043458875</v>
      </c>
    </row>
  </sheetData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C333-C822-4641-A10B-4A81E5F65AAE}">
  <dimension ref="B1:AE12"/>
  <sheetViews>
    <sheetView workbookViewId="0">
      <selection activeCell="D16" sqref="D16"/>
    </sheetView>
  </sheetViews>
  <sheetFormatPr baseColWidth="10" defaultRowHeight="14.4" x14ac:dyDescent="0.3"/>
  <cols>
    <col min="3" max="3" width="20.6640625" bestFit="1" customWidth="1"/>
    <col min="4" max="4" width="39.21875" customWidth="1"/>
    <col min="5" max="12" width="12.6640625" customWidth="1"/>
  </cols>
  <sheetData>
    <row r="1" spans="2:31" ht="20.399999999999999" thickBot="1" x14ac:dyDescent="0.35">
      <c r="B1" s="1"/>
      <c r="C1" s="2" t="s">
        <v>12</v>
      </c>
      <c r="D1" s="3"/>
      <c r="E1" s="3">
        <v>2010</v>
      </c>
      <c r="F1" s="3">
        <v>2011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2018</v>
      </c>
      <c r="N1" s="3">
        <v>2019</v>
      </c>
      <c r="O1" s="3">
        <v>2020</v>
      </c>
      <c r="P1" s="3">
        <v>2021</v>
      </c>
      <c r="Q1" s="3">
        <v>2022</v>
      </c>
      <c r="R1" s="3">
        <v>2023</v>
      </c>
      <c r="S1" s="3">
        <v>2024</v>
      </c>
      <c r="T1" s="3">
        <v>2025</v>
      </c>
      <c r="U1" s="3">
        <v>2026</v>
      </c>
      <c r="V1" s="3">
        <v>2027</v>
      </c>
      <c r="W1" s="3">
        <v>2028</v>
      </c>
      <c r="X1" s="3">
        <v>2029</v>
      </c>
      <c r="Y1" s="3">
        <v>2030</v>
      </c>
      <c r="Z1" s="3">
        <v>2031</v>
      </c>
      <c r="AA1" s="3">
        <v>2032</v>
      </c>
      <c r="AB1" s="3">
        <v>2033</v>
      </c>
      <c r="AC1" s="3">
        <v>2034</v>
      </c>
      <c r="AD1" s="3">
        <v>2035</v>
      </c>
      <c r="AE1" s="4"/>
    </row>
    <row r="2" spans="2:31" ht="15" thickBot="1" x14ac:dyDescent="0.35"/>
    <row r="3" spans="2:31" x14ac:dyDescent="0.3"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</row>
    <row r="4" spans="2:31" x14ac:dyDescent="0.3">
      <c r="B4" s="12"/>
      <c r="C4" s="14"/>
      <c r="D4" s="13" t="s">
        <v>112</v>
      </c>
      <c r="E4" s="13"/>
      <c r="F4" s="13"/>
      <c r="G4" s="13"/>
      <c r="H4" s="13"/>
      <c r="I4" s="13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</row>
    <row r="5" spans="2:31" x14ac:dyDescent="0.3">
      <c r="B5" s="12"/>
      <c r="C5" s="14"/>
      <c r="D5" s="13"/>
      <c r="E5" s="13"/>
      <c r="F5" s="13"/>
      <c r="G5" s="13"/>
      <c r="H5" s="13"/>
      <c r="I5" s="13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</row>
    <row r="6" spans="2:31" x14ac:dyDescent="0.3">
      <c r="B6" s="12"/>
      <c r="C6" s="13" t="s">
        <v>69</v>
      </c>
      <c r="D6" s="13" t="s">
        <v>18</v>
      </c>
      <c r="E6" s="13"/>
      <c r="F6" s="13"/>
      <c r="G6" s="13"/>
      <c r="H6" s="13"/>
      <c r="I6" s="13"/>
      <c r="J6" s="13"/>
      <c r="K6" s="13"/>
      <c r="L6" s="13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</row>
    <row r="7" spans="2:31" x14ac:dyDescent="0.3">
      <c r="B7" s="12"/>
      <c r="C7" s="14" t="s">
        <v>106</v>
      </c>
      <c r="D7" s="14" t="s">
        <v>110</v>
      </c>
      <c r="E7" s="59">
        <v>2.17</v>
      </c>
      <c r="F7" s="59">
        <v>2.17</v>
      </c>
      <c r="G7" s="59">
        <v>2.17</v>
      </c>
      <c r="H7" s="59">
        <v>2.17</v>
      </c>
      <c r="I7" s="59">
        <v>2.17</v>
      </c>
      <c r="J7" s="59">
        <v>2.17</v>
      </c>
      <c r="K7" s="59">
        <v>2.17</v>
      </c>
      <c r="L7" s="59">
        <v>2.17</v>
      </c>
      <c r="M7" s="59">
        <v>2.17</v>
      </c>
      <c r="N7" s="59">
        <v>2.17</v>
      </c>
      <c r="O7" s="59">
        <v>2.17</v>
      </c>
      <c r="P7" s="59">
        <v>2.17</v>
      </c>
      <c r="Q7" s="59">
        <v>2.17</v>
      </c>
      <c r="R7" s="59">
        <v>2.17</v>
      </c>
      <c r="S7" s="59">
        <v>2.17</v>
      </c>
      <c r="T7" s="59">
        <v>2.17</v>
      </c>
      <c r="U7" s="59">
        <v>2.17</v>
      </c>
      <c r="V7" s="59">
        <v>2.17</v>
      </c>
      <c r="W7" s="59">
        <v>2.17</v>
      </c>
      <c r="X7" s="59">
        <v>2.17</v>
      </c>
      <c r="Y7" s="59">
        <v>2.17</v>
      </c>
      <c r="Z7" s="59">
        <v>2.17</v>
      </c>
      <c r="AA7" s="59">
        <v>2.17</v>
      </c>
      <c r="AB7" s="59">
        <v>2.17</v>
      </c>
      <c r="AC7" s="59">
        <v>2.17</v>
      </c>
      <c r="AD7" s="59">
        <v>2.17</v>
      </c>
      <c r="AE7" s="15"/>
    </row>
    <row r="8" spans="2:31" x14ac:dyDescent="0.3">
      <c r="B8" s="12"/>
      <c r="C8" s="14" t="s">
        <v>107</v>
      </c>
      <c r="D8" s="14" t="s">
        <v>111</v>
      </c>
      <c r="E8" s="60">
        <v>3.5</v>
      </c>
      <c r="F8" s="60">
        <v>3.5</v>
      </c>
      <c r="G8" s="60">
        <v>3.5</v>
      </c>
      <c r="H8" s="60">
        <v>3.5</v>
      </c>
      <c r="I8" s="60">
        <v>3.5</v>
      </c>
      <c r="J8" s="60">
        <v>3.5</v>
      </c>
      <c r="K8" s="60">
        <v>3.5</v>
      </c>
      <c r="L8" s="60">
        <v>3.5</v>
      </c>
      <c r="M8" s="60">
        <v>3.5</v>
      </c>
      <c r="N8" s="60">
        <v>3.5</v>
      </c>
      <c r="O8" s="60">
        <v>3.5</v>
      </c>
      <c r="P8" s="60">
        <v>3.5</v>
      </c>
      <c r="Q8" s="60">
        <v>3.5</v>
      </c>
      <c r="R8" s="60">
        <v>3.5</v>
      </c>
      <c r="S8" s="60">
        <v>3.5</v>
      </c>
      <c r="T8" s="60">
        <v>3.5</v>
      </c>
      <c r="U8" s="60">
        <v>3.5</v>
      </c>
      <c r="V8" s="60">
        <v>3.5</v>
      </c>
      <c r="W8" s="60">
        <v>3.5</v>
      </c>
      <c r="X8" s="60">
        <v>3.5</v>
      </c>
      <c r="Y8" s="60">
        <v>3.5</v>
      </c>
      <c r="Z8" s="60">
        <v>3.5</v>
      </c>
      <c r="AA8" s="60">
        <v>3.5</v>
      </c>
      <c r="AB8" s="60">
        <v>3.5</v>
      </c>
      <c r="AC8" s="60">
        <v>3.5</v>
      </c>
      <c r="AD8" s="60">
        <v>3.5</v>
      </c>
      <c r="AE8" s="15"/>
    </row>
    <row r="9" spans="2:31" x14ac:dyDescent="0.3">
      <c r="B9" s="12"/>
      <c r="C9" s="14" t="s">
        <v>108</v>
      </c>
      <c r="D9" s="14" t="s">
        <v>109</v>
      </c>
      <c r="E9" s="57">
        <v>7.3</v>
      </c>
      <c r="F9" s="57">
        <v>7.3</v>
      </c>
      <c r="G9" s="57">
        <v>7.3</v>
      </c>
      <c r="H9" s="57">
        <v>7.3</v>
      </c>
      <c r="I9" s="57">
        <v>7.3</v>
      </c>
      <c r="J9" s="57">
        <v>7.3</v>
      </c>
      <c r="K9" s="57">
        <v>7.3</v>
      </c>
      <c r="L9" s="57">
        <v>7.3</v>
      </c>
      <c r="M9" s="57">
        <v>7.3</v>
      </c>
      <c r="N9" s="57">
        <v>7.3</v>
      </c>
      <c r="O9" s="57">
        <v>7.3</v>
      </c>
      <c r="P9" s="57">
        <v>7.3</v>
      </c>
      <c r="Q9" s="57">
        <v>7.3</v>
      </c>
      <c r="R9" s="57">
        <v>7.3</v>
      </c>
      <c r="S9" s="57">
        <v>7.3</v>
      </c>
      <c r="T9" s="57">
        <v>7.3</v>
      </c>
      <c r="U9" s="57">
        <v>7.3</v>
      </c>
      <c r="V9" s="57">
        <v>7.3</v>
      </c>
      <c r="W9" s="57">
        <v>7.3</v>
      </c>
      <c r="X9" s="57">
        <v>7.3</v>
      </c>
      <c r="Y9" s="57">
        <v>7.3</v>
      </c>
      <c r="Z9" s="57">
        <v>7.3</v>
      </c>
      <c r="AA9" s="57">
        <v>7.3</v>
      </c>
      <c r="AB9" s="57">
        <v>7.3</v>
      </c>
      <c r="AC9" s="57">
        <v>7.3</v>
      </c>
      <c r="AD9" s="57">
        <v>7.3</v>
      </c>
      <c r="AE9" s="15"/>
    </row>
    <row r="10" spans="2:31" x14ac:dyDescent="0.3">
      <c r="B10" s="12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15"/>
    </row>
    <row r="11" spans="2:31" ht="15" thickBot="1" x14ac:dyDescent="0.35">
      <c r="B11" s="16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8"/>
    </row>
    <row r="12" spans="2:31" x14ac:dyDescent="0.3">
      <c r="D12" s="16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ProduccionResiduosSolidos</vt:lpstr>
      <vt:lpstr>ParticipacionTechsSolidosBA (2)</vt:lpstr>
      <vt:lpstr>ParticipacionTechsSolidosTN (</vt:lpstr>
      <vt:lpstr>ParticipacionTechsSolidosPA</vt:lpstr>
      <vt:lpstr>ParticipacionTechsSolidosBAU</vt:lpstr>
      <vt:lpstr>Iniciativas_Lanfill</vt:lpstr>
      <vt:lpstr>Ini_compost_Reduc</vt:lpstr>
      <vt:lpstr>Iniciativas_residuos</vt:lpstr>
      <vt:lpstr>RecuperacionMetanoRellenos</vt:lpstr>
      <vt:lpstr>ProduccionAguasResiduales</vt:lpstr>
      <vt:lpstr>ParticipacionTechsAguasTN</vt:lpstr>
      <vt:lpstr>ParticipacionTechsAguasBAU</vt:lpstr>
      <vt:lpstr>ParticipacionTechsAguas</vt:lpstr>
      <vt:lpstr>ParticipacionTechsAguasPA</vt:lpstr>
      <vt:lpstr>proyectos agua</vt:lpstr>
      <vt:lpstr>AguasRes.Ind</vt:lpstr>
      <vt:lpstr>EmisionesFactorEmision</vt:lpstr>
      <vt:lpstr>CAPEX</vt:lpstr>
      <vt:lpstr>OPEXvariable</vt:lpstr>
      <vt:lpstr>Externalidades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Ignacio Alfaro</dc:creator>
  <cp:keywords/>
  <dc:description/>
  <cp:lastModifiedBy>Joselin Quintana</cp:lastModifiedBy>
  <cp:revision/>
  <dcterms:created xsi:type="dcterms:W3CDTF">2015-06-05T18:19:34Z</dcterms:created>
  <dcterms:modified xsi:type="dcterms:W3CDTF">2026-01-30T17:59:30Z</dcterms:modified>
  <cp:category/>
  <cp:contentStatus/>
</cp:coreProperties>
</file>
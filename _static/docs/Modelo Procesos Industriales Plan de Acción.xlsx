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mc:AlternateContent xmlns:mc="http://schemas.openxmlformats.org/markup-compatibility/2006">
    <mc:Choice Requires="x15">
      <x15ac:absPath xmlns:x15ac="http://schemas.microsoft.com/office/spreadsheetml/2010/11/ac" url="D:\trabajo\planmicc\modelado\datos\trabajado\ippu modelo\TABLAS RESUMEN\"/>
    </mc:Choice>
  </mc:AlternateContent>
  <xr:revisionPtr revIDLastSave="0" documentId="13_ncr:2001_{CD4FE998-0033-4F3A-9A51-F314AD15D066}" xr6:coauthVersionLast="47" xr6:coauthVersionMax="47" xr10:uidLastSave="{00000000-0000-0000-0000-000000000000}"/>
  <bookViews>
    <workbookView xWindow="-108" yWindow="-108" windowWidth="23256" windowHeight="12456" activeTab="1" xr2:uid="{00000000-000D-0000-FFFF-FFFF00000000}"/>
  </bookViews>
  <sheets>
    <sheet name="README" sheetId="1" r:id="rId1"/>
    <sheet name="Datos base" sheetId="6" r:id="rId2"/>
    <sheet name="PA" sheetId="10" r:id="rId3"/>
    <sheet name="Costos" sheetId="3" r:id="rId4"/>
    <sheet name="Factores de emisiones" sheetId="11" r:id="rId5"/>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3" i="10" l="1"/>
  <c r="V13" i="10"/>
  <c r="W13" i="10"/>
  <c r="X13" i="10"/>
  <c r="Y13" i="10"/>
  <c r="Z13" i="10"/>
  <c r="AA13" i="10"/>
  <c r="AB13" i="10"/>
  <c r="AC13" i="10"/>
  <c r="AD13" i="10"/>
  <c r="E6" i="10"/>
  <c r="T28" i="10"/>
  <c r="T29" i="10" s="1"/>
  <c r="T30" i="10" s="1"/>
  <c r="S28" i="10"/>
  <c r="S29" i="10" s="1"/>
  <c r="S30" i="10" s="1"/>
  <c r="R28" i="10"/>
  <c r="R29" i="10" s="1"/>
  <c r="R30" i="10" s="1"/>
  <c r="Q28" i="10"/>
  <c r="Q29" i="10" s="1"/>
  <c r="Q30" i="10" s="1"/>
  <c r="P28" i="10"/>
  <c r="P29" i="10" s="1"/>
  <c r="P30" i="10" s="1"/>
  <c r="O28" i="10"/>
  <c r="O29" i="10" s="1"/>
  <c r="O30" i="10" s="1"/>
  <c r="N28" i="10"/>
  <c r="N29" i="10" s="1"/>
  <c r="N30" i="10" s="1"/>
  <c r="M28" i="10"/>
  <c r="M29" i="10" s="1"/>
  <c r="M30" i="10" s="1"/>
  <c r="L28" i="10"/>
  <c r="L29" i="10" s="1"/>
  <c r="L30" i="10" s="1"/>
  <c r="K28" i="10"/>
  <c r="K29" i="10" s="1"/>
  <c r="K30" i="10" s="1"/>
  <c r="J28" i="10"/>
  <c r="J29" i="10" s="1"/>
  <c r="J30" i="10" s="1"/>
  <c r="I28" i="10"/>
  <c r="I29" i="10" s="1"/>
  <c r="I30" i="10" s="1"/>
  <c r="H28" i="10"/>
  <c r="H29" i="10" s="1"/>
  <c r="H30" i="10" s="1"/>
  <c r="G28" i="10"/>
  <c r="G29" i="10" s="1"/>
  <c r="G30" i="10" s="1"/>
  <c r="F28" i="10"/>
  <c r="F29" i="10" s="1"/>
  <c r="F30" i="10" s="1"/>
  <c r="E28" i="10"/>
  <c r="E29" i="10" s="1"/>
  <c r="E30" i="10" s="1"/>
  <c r="AD26" i="10"/>
  <c r="AC26" i="10"/>
  <c r="AC28" i="10" s="1"/>
  <c r="AC29" i="10" s="1"/>
  <c r="AC30" i="10" s="1"/>
  <c r="AB26" i="10"/>
  <c r="AB28" i="10" s="1"/>
  <c r="AB29" i="10" s="1"/>
  <c r="AB30" i="10" s="1"/>
  <c r="AA26" i="10"/>
  <c r="AA28" i="10" s="1"/>
  <c r="AA29" i="10" s="1"/>
  <c r="AA30" i="10" s="1"/>
  <c r="Z26" i="10"/>
  <c r="Z28" i="10" s="1"/>
  <c r="Z29" i="10" s="1"/>
  <c r="Z30" i="10" s="1"/>
  <c r="Y26" i="10"/>
  <c r="Y28" i="10" s="1"/>
  <c r="Y29" i="10" s="1"/>
  <c r="Y30" i="10" s="1"/>
  <c r="X26" i="10"/>
  <c r="X28" i="10" s="1"/>
  <c r="X29" i="10" s="1"/>
  <c r="X30" i="10" s="1"/>
  <c r="W26" i="10"/>
  <c r="W28" i="10" s="1"/>
  <c r="W29" i="10" s="1"/>
  <c r="W30" i="10" s="1"/>
  <c r="V26" i="10"/>
  <c r="V28" i="10" s="1"/>
  <c r="V29" i="10" s="1"/>
  <c r="V30" i="10" s="1"/>
  <c r="U26" i="10"/>
  <c r="U28" i="10" s="1"/>
  <c r="U29" i="10" s="1"/>
  <c r="U30" i="10" s="1"/>
  <c r="T13" i="10"/>
  <c r="S13" i="10"/>
  <c r="R13" i="10"/>
  <c r="Q13" i="10"/>
  <c r="P13" i="10"/>
  <c r="O13" i="10"/>
  <c r="N13" i="10"/>
  <c r="M13" i="10"/>
  <c r="L13" i="10"/>
  <c r="K13" i="10"/>
  <c r="J13" i="10"/>
  <c r="I13" i="10"/>
  <c r="H13" i="10"/>
  <c r="G13" i="10"/>
  <c r="F13" i="10"/>
  <c r="E13" i="10"/>
  <c r="AD12" i="10"/>
  <c r="AC12" i="10"/>
  <c r="AC14" i="10" s="1"/>
  <c r="AB12" i="10"/>
  <c r="AB14" i="10" s="1"/>
  <c r="AA12" i="10"/>
  <c r="Z12" i="10"/>
  <c r="Y12" i="10"/>
  <c r="X12" i="10"/>
  <c r="X14" i="10" s="1"/>
  <c r="W12" i="10"/>
  <c r="W14" i="10" s="1"/>
  <c r="V12" i="10"/>
  <c r="U12" i="10"/>
  <c r="U14" i="10" s="1"/>
  <c r="T12" i="10"/>
  <c r="S12" i="10"/>
  <c r="R12" i="10"/>
  <c r="Q12" i="10"/>
  <c r="P12" i="10"/>
  <c r="O12" i="10"/>
  <c r="N12" i="10"/>
  <c r="M12" i="10"/>
  <c r="L12" i="10"/>
  <c r="K12" i="10"/>
  <c r="J12" i="10"/>
  <c r="I12" i="10"/>
  <c r="H12" i="10"/>
  <c r="G12" i="10"/>
  <c r="G14" i="10" s="1"/>
  <c r="F12" i="10"/>
  <c r="E12" i="10"/>
  <c r="AD6" i="10"/>
  <c r="AC6" i="10"/>
  <c r="AB6" i="10"/>
  <c r="AA6" i="10"/>
  <c r="Z6" i="10"/>
  <c r="Y6" i="10"/>
  <c r="X6" i="10"/>
  <c r="W6" i="10"/>
  <c r="V6" i="10"/>
  <c r="U6" i="10"/>
  <c r="T6" i="10"/>
  <c r="S6" i="10"/>
  <c r="R6" i="10"/>
  <c r="Q6" i="10"/>
  <c r="P6" i="10"/>
  <c r="O6" i="10"/>
  <c r="N6" i="10"/>
  <c r="M6" i="10"/>
  <c r="L6" i="10"/>
  <c r="K6" i="10"/>
  <c r="J6" i="10"/>
  <c r="I6" i="10"/>
  <c r="H6" i="10"/>
  <c r="G6" i="10"/>
  <c r="F6" i="10"/>
  <c r="AD14" i="10" l="1"/>
  <c r="AD15" i="10" s="1"/>
  <c r="AD17" i="10" s="1"/>
  <c r="V14" i="10"/>
  <c r="O14" i="10"/>
  <c r="I14" i="10"/>
  <c r="Q14" i="10"/>
  <c r="H14" i="10"/>
  <c r="H15" i="10" s="1"/>
  <c r="H17" i="10" s="1"/>
  <c r="P14" i="10"/>
  <c r="P16" i="10" s="1"/>
  <c r="L14" i="10"/>
  <c r="L16" i="10" s="1"/>
  <c r="T14" i="10"/>
  <c r="T15" i="10" s="1"/>
  <c r="T17" i="10" s="1"/>
  <c r="Z14" i="10"/>
  <c r="Z16" i="10" s="1"/>
  <c r="E14" i="10"/>
  <c r="E15" i="10" s="1"/>
  <c r="E17" i="10" s="1"/>
  <c r="M14" i="10"/>
  <c r="M15" i="10" s="1"/>
  <c r="M17" i="10" s="1"/>
  <c r="F14" i="10"/>
  <c r="F15" i="10" s="1"/>
  <c r="F17" i="10" s="1"/>
  <c r="N14" i="10"/>
  <c r="N15" i="10" s="1"/>
  <c r="N17" i="10" s="1"/>
  <c r="Y14" i="10"/>
  <c r="Y15" i="10" s="1"/>
  <c r="Y17" i="10" s="1"/>
  <c r="J14" i="10"/>
  <c r="J16" i="10" s="1"/>
  <c r="R14" i="10"/>
  <c r="R16" i="10" s="1"/>
  <c r="K14" i="10"/>
  <c r="S14" i="10"/>
  <c r="AA14" i="10"/>
  <c r="O16" i="10"/>
  <c r="X15" i="10"/>
  <c r="X17" i="10" s="1"/>
  <c r="AB15" i="10"/>
  <c r="AB17" i="10" s="1"/>
  <c r="U16" i="10"/>
  <c r="AC15" i="10"/>
  <c r="AC17" i="10" s="1"/>
  <c r="V16" i="10"/>
  <c r="W15" i="10"/>
  <c r="W17" i="10" s="1"/>
  <c r="I16" i="10"/>
  <c r="Q16" i="10"/>
  <c r="G15" i="10"/>
  <c r="G17" i="10" s="1"/>
  <c r="AD28" i="10"/>
  <c r="AD29" i="10" s="1"/>
  <c r="AD30" i="10" s="1"/>
  <c r="E16" i="10" l="1"/>
  <c r="F16" i="10"/>
  <c r="L15" i="10"/>
  <c r="L17" i="10" s="1"/>
  <c r="O15" i="10"/>
  <c r="O17" i="10" s="1"/>
  <c r="H16" i="10"/>
  <c r="T16" i="10"/>
  <c r="P15" i="10"/>
  <c r="P17" i="10" s="1"/>
  <c r="AB16" i="10"/>
  <c r="U15" i="10"/>
  <c r="U17" i="10" s="1"/>
  <c r="X16" i="10"/>
  <c r="J15" i="10"/>
  <c r="J17" i="10" s="1"/>
  <c r="N16" i="10"/>
  <c r="Y16" i="10"/>
  <c r="Z15" i="10"/>
  <c r="Z17" i="10" s="1"/>
  <c r="I15" i="10"/>
  <c r="I17" i="10" s="1"/>
  <c r="V15" i="10"/>
  <c r="V17" i="10" s="1"/>
  <c r="R15" i="10"/>
  <c r="R17" i="10" s="1"/>
  <c r="M16" i="10"/>
  <c r="AD16" i="10"/>
  <c r="AC16" i="10"/>
  <c r="G16" i="10"/>
  <c r="Q15" i="10"/>
  <c r="Q17" i="10" s="1"/>
  <c r="W16" i="10"/>
  <c r="S16" i="10"/>
  <c r="S15" i="10"/>
  <c r="S17" i="10" s="1"/>
  <c r="AA16" i="10"/>
  <c r="AA15" i="10"/>
  <c r="AA17" i="10" s="1"/>
  <c r="K16" i="10"/>
  <c r="K15" i="10"/>
  <c r="K17" i="10" s="1"/>
  <c r="F32" i="6" l="1"/>
  <c r="G32" i="6"/>
  <c r="H32" i="6"/>
  <c r="I32" i="6"/>
  <c r="J32" i="6"/>
  <c r="K32" i="6"/>
  <c r="L32" i="6"/>
  <c r="M32" i="6"/>
  <c r="N32" i="6"/>
  <c r="O32" i="6"/>
  <c r="P32" i="6"/>
  <c r="Q32" i="6"/>
  <c r="R32" i="6"/>
  <c r="S32" i="6"/>
  <c r="T32" i="6"/>
  <c r="U32" i="6"/>
  <c r="V32" i="6"/>
  <c r="W32" i="6"/>
  <c r="X32" i="6"/>
  <c r="Y32" i="6"/>
  <c r="Z32" i="6"/>
  <c r="AA32" i="6"/>
  <c r="AB32" i="6"/>
  <c r="AC32" i="6"/>
  <c r="AD32" i="6"/>
  <c r="AE3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tc={7AFA68BD-5752-4E90-B634-5F4F0930B4F0}</author>
    <author>tc={EC6586F7-D1F1-4A8C-9FA8-7AB3B4538155}</author>
    <author>tc={07F856CC-6ABD-483F-9217-8BE77D4B2EA7}</author>
    <author>pc</author>
    <author>Ignacio  Alfaro Corrales</author>
  </authors>
  <commentList>
    <comment ref="C5" authorId="0" shapeId="0" xr:uid="{03BA69C8-BDCF-44D1-BCCA-66F6CC0B465F}">
      <text>
        <r>
          <rPr>
            <sz val="11"/>
            <color theme="1"/>
            <rFont val="Calibri"/>
            <family val="2"/>
            <scheme val="minor"/>
          </rPr>
          <t>Produccion tomada del modelado de la segunda NDC</t>
        </r>
      </text>
    </comment>
    <comment ref="D8" authorId="1" shapeId="0" xr:uid="{83EEBCC1-D56C-4226-989A-56051E6B3485}">
      <text>
        <r>
          <rPr>
            <sz val="11"/>
            <color theme="1"/>
            <rFont val="Calibri"/>
            <family val="2"/>
            <scheme val="minor"/>
          </rPr>
          <t>factor de clinker tomado del modelo de la segunda NDC</t>
        </r>
      </text>
    </comment>
    <comment ref="D11" authorId="2" shapeId="0" xr:uid="{8DC101B1-FC25-48F3-9F46-26F64E0C8957}">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asume que el factor de clinker promedio es de 87% (Portland es 95%, y existen otros productos con otros factores, pero no sé la distribución de productos a nivel nacional)</t>
        </r>
      </text>
    </comment>
    <comment ref="C19" authorId="3" shapeId="0" xr:uid="{69716EB1-2BD8-49AB-869D-E9575FF5D193}">
      <text>
        <r>
          <rPr>
            <b/>
            <sz val="9"/>
            <color indexed="81"/>
            <rFont val="Tahoma"/>
            <family val="2"/>
          </rPr>
          <t>pc:</t>
        </r>
        <r>
          <rPr>
            <sz val="9"/>
            <color indexed="81"/>
            <rFont val="Tahoma"/>
            <family val="2"/>
          </rPr>
          <t xml:space="preserve">
Datos obtenidos del modelo de la Segunda NDC.</t>
        </r>
      </text>
    </comment>
    <comment ref="F24" authorId="4" shapeId="0" xr:uid="{E60A03E2-F8ED-40F0-AB1C-570D3530DCA1}">
      <text>
        <r>
          <rPr>
            <b/>
            <sz val="9"/>
            <color indexed="81"/>
            <rFont val="Tahoma"/>
            <family val="2"/>
          </rPr>
          <t>5ta Comunicación INGEI valores reales e interpolado para valores faltantes
ROUND 4</t>
        </r>
      </text>
    </comment>
    <comment ref="F25" authorId="4" shapeId="0" xr:uid="{DB2A7D64-881A-43CD-9D3A-D6B4970A4D5E}">
      <text>
        <r>
          <rPr>
            <b/>
            <sz val="9"/>
            <color indexed="81"/>
            <rFont val="Tahoma"/>
            <family val="2"/>
          </rPr>
          <t>5ta Comunicación INGEI valores reales e interpolado para valores faltantes
ROUND 4</t>
        </r>
      </text>
    </comment>
    <comment ref="F26" authorId="4" shapeId="0" xr:uid="{B28CC63E-7374-42B8-93C3-D1A2187B3B14}">
      <text>
        <r>
          <rPr>
            <b/>
            <sz val="9"/>
            <color indexed="81"/>
            <rFont val="Tahoma"/>
            <family val="2"/>
          </rPr>
          <t>5ta Comunicación INGEI valores reales e interpolado para valores faltantes
ROUND 4</t>
        </r>
      </text>
    </comment>
    <comment ref="F27" authorId="4" shapeId="0" xr:uid="{403662F3-D03D-4973-8FB8-87708B736359}">
      <text>
        <r>
          <rPr>
            <b/>
            <sz val="9"/>
            <color indexed="81"/>
            <rFont val="Tahoma"/>
            <family val="2"/>
          </rPr>
          <t>5ta Comunicación INGEI valores reales e interpolado para valores faltantes
ROUND 4</t>
        </r>
      </text>
    </comment>
    <comment ref="F28" authorId="4" shapeId="0" xr:uid="{8B363150-A750-48C5-BA29-47702F82BE3D}">
      <text>
        <r>
          <rPr>
            <b/>
            <sz val="9"/>
            <color indexed="81"/>
            <rFont val="Tahoma"/>
            <family val="2"/>
          </rPr>
          <t>5ta Comunicación INGEI valores reales e interpolado para valores faltantes
ROUND 4</t>
        </r>
      </text>
    </comment>
    <comment ref="F29" authorId="4" shapeId="0" xr:uid="{D5423139-4936-40CB-A27B-AC15E6243151}">
      <text>
        <r>
          <rPr>
            <b/>
            <sz val="9"/>
            <color indexed="81"/>
            <rFont val="Tahoma"/>
            <family val="2"/>
          </rPr>
          <t>5ta Comunicación INGEI valores reales e interpolado para valores faltantes
ROUND 4</t>
        </r>
      </text>
    </comment>
    <comment ref="F30" authorId="4" shapeId="0" xr:uid="{78B4495D-9D35-40F7-8023-9E2C9A963B18}">
      <text>
        <r>
          <rPr>
            <b/>
            <sz val="9"/>
            <color indexed="81"/>
            <rFont val="Tahoma"/>
            <family val="2"/>
          </rPr>
          <t>5ta Comunicación INGEI valores reales e interpolado para valores faltantes
ROUND 4</t>
        </r>
      </text>
    </comment>
    <comment ref="F31" authorId="4" shapeId="0" xr:uid="{31A3818B-41FC-4E94-8842-7431729BD1AE}">
      <text>
        <r>
          <rPr>
            <b/>
            <sz val="9"/>
            <color indexed="81"/>
            <rFont val="Tahoma"/>
            <family val="2"/>
          </rPr>
          <t>5ta Comunicación INGEI valores reales e interpolado para valores faltantes
ROUND 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tc={EC6586F7-D1F1-4A8C-9FA8-7AB3B4538155}</author>
    <author>pc</author>
    <author>Ignacio Alfaro</author>
  </authors>
  <commentList>
    <comment ref="D5" authorId="0" shapeId="0" xr:uid="{47141210-C8C2-401F-84A9-478B672A9B5E}">
      <text/>
    </comment>
    <comment ref="D7" authorId="1" shapeId="0" xr:uid="{B3AD2DBF-5F11-4F7B-9956-B54DAC88C1C6}">
      <text>
        <r>
          <rPr>
            <b/>
            <sz val="9"/>
            <color indexed="81"/>
            <rFont val="Tahoma"/>
            <family val="2"/>
          </rPr>
          <t>pc:</t>
        </r>
        <r>
          <rPr>
            <sz val="9"/>
            <color indexed="81"/>
            <rFont val="Tahoma"/>
            <family val="2"/>
          </rPr>
          <t xml:space="preserve">
</t>
        </r>
      </text>
    </comment>
    <comment ref="E7" authorId="2" shapeId="0" xr:uid="{C3B25C11-7D2C-4291-8D59-590FFF7275DC}">
      <text>
        <r>
          <rPr>
            <b/>
            <sz val="9"/>
            <color indexed="81"/>
            <rFont val="Tahoma"/>
            <family val="2"/>
          </rPr>
          <t>Hoja extra emissions</t>
        </r>
      </text>
    </comment>
    <comment ref="D10" authorId="1" shapeId="0" xr:uid="{31123578-F65A-4BA7-9C7D-92EFDC7C68C9}">
      <text>
        <r>
          <rPr>
            <b/>
            <sz val="9"/>
            <color indexed="81"/>
            <rFont val="Tahoma"/>
            <family val="2"/>
          </rPr>
          <t>pc:</t>
        </r>
        <r>
          <rPr>
            <sz val="9"/>
            <color indexed="81"/>
            <rFont val="Tahoma"/>
            <family val="2"/>
          </rPr>
          <t xml:space="preserve">
Reducción de emisiones de GEI en el sector cementero (incondicional): sustitución parcial del clínker por adiciones cementantes suplementarias en la producción de cemento.</t>
        </r>
      </text>
    </comment>
    <comment ref="T10" authorId="1" shapeId="0" xr:uid="{5A14F336-F103-4A46-A6A5-D5E8A90A43E9}">
      <text>
        <r>
          <rPr>
            <b/>
            <sz val="9"/>
            <color indexed="81"/>
            <rFont val="Tahoma"/>
            <family val="2"/>
          </rPr>
          <t>pc:</t>
        </r>
        <r>
          <rPr>
            <sz val="9"/>
            <color indexed="81"/>
            <rFont val="Tahoma"/>
            <family val="2"/>
          </rPr>
          <t xml:space="preserve">
potencial de reduccion hace referencia al esecenario condicional el incondicional en 1ERA NDC es 130 Gg c02 eq</t>
        </r>
      </text>
    </comment>
    <comment ref="A11" authorId="0" shapeId="0" xr:uid="{D78A97C4-1645-4002-A5A1-922706CC88E5}">
      <text/>
    </comment>
    <comment ref="D11" authorId="1" shapeId="0" xr:uid="{F37EFBFD-2F39-4985-A245-C8BA59C24C0B}">
      <text>
        <r>
          <rPr>
            <b/>
            <sz val="9"/>
            <color indexed="81"/>
            <rFont val="Tahoma"/>
            <family val="2"/>
          </rPr>
          <t>pc:</t>
        </r>
        <r>
          <rPr>
            <sz val="9"/>
            <color indexed="81"/>
            <rFont val="Tahoma"/>
            <family val="2"/>
          </rPr>
          <t xml:space="preserve">
Reducir GEI en cemento: sustituir clínker por adiciones.
En HFC/PFC/SF₆: controlar consumo, fugas y recuperación/destrucción.
En materiales: usar adiciones y agregados reciclados.</t>
        </r>
      </text>
    </comment>
    <comment ref="D12" authorId="1" shapeId="0" xr:uid="{1FD70CB5-9EA9-430D-A236-A735543A4F6F}">
      <text>
        <r>
          <rPr>
            <b/>
            <sz val="9"/>
            <color indexed="81"/>
            <rFont val="Tahoma"/>
            <family val="2"/>
          </rPr>
          <t>pc:</t>
        </r>
        <r>
          <rPr>
            <sz val="9"/>
            <color indexed="81"/>
            <rFont val="Tahoma"/>
            <family val="2"/>
          </rPr>
          <t xml:space="preserve">
Reducción de emisiones de GEI en el sector cementero (incondicional): sustitución parcial del clínker por adiciones cementantes suplementarias en la producción de cemento.</t>
        </r>
      </text>
    </comment>
    <comment ref="D13" authorId="1" shapeId="0" xr:uid="{49A158BE-F342-48CC-9C9B-7590F1DA90E5}">
      <text>
        <r>
          <rPr>
            <b/>
            <sz val="9"/>
            <color indexed="81"/>
            <rFont val="Tahoma"/>
            <family val="2"/>
          </rPr>
          <t>pc:</t>
        </r>
        <r>
          <rPr>
            <sz val="9"/>
            <color indexed="81"/>
            <rFont val="Tahoma"/>
            <family val="2"/>
          </rPr>
          <t xml:space="preserve">
Reducir GEI en cemento: sustituir clínker por adiciones.
En HFC/PFC/SF₆: controlar consumo, fugas y recuperación/destrucción.
En materiales: usar adiciones y agregados reciclados.</t>
        </r>
      </text>
    </comment>
    <comment ref="A16" authorId="1" shapeId="0" xr:uid="{994DDFD0-C85D-4DA1-9B6A-4BB79D91880C}">
      <text>
        <r>
          <rPr>
            <b/>
            <sz val="9"/>
            <color indexed="81"/>
            <rFont val="Tahoma"/>
            <family val="2"/>
          </rPr>
          <t>pc:</t>
        </r>
        <r>
          <rPr>
            <sz val="9"/>
            <color indexed="81"/>
            <rFont val="Tahoma"/>
            <family val="2"/>
          </rPr>
          <t xml:space="preserve">
Reducción de emisiones de GEI en el sector cementero (incondicional): sustitución parcial del clínker por adiciones cementantes suplementarias en la producción de cemento.</t>
        </r>
      </text>
    </comment>
    <comment ref="A17" authorId="1" shapeId="0" xr:uid="{27B4C7E3-C3E7-49C9-A729-B4384FD9244E}">
      <text>
        <r>
          <rPr>
            <b/>
            <sz val="9"/>
            <color indexed="81"/>
            <rFont val="Tahoma"/>
            <family val="2"/>
          </rPr>
          <t>pc:</t>
        </r>
        <r>
          <rPr>
            <sz val="9"/>
            <color indexed="81"/>
            <rFont val="Tahoma"/>
            <family val="2"/>
          </rPr>
          <t xml:space="preserve">
Reducir GEI en cemento: sustituir clínker por adiciones.
En HFC/PFC/SF₆: controlar consumo, fugas y recuperación/destrucción.
En materiales: usar adiciones y agregados reciclados.</t>
        </r>
      </text>
    </comment>
    <comment ref="D17" authorId="0" shapeId="0" xr:uid="{65FBE7B5-708D-4E95-9A0E-61DA9F0792D3}">
      <text>
        <r>
          <rPr>
            <sz val="11"/>
            <color theme="1"/>
            <rFont val="Calibri"/>
            <family val="2"/>
            <scheme val="minor"/>
          </rPr>
          <t>SE EMPLEA EN CAMBIO DE ESCENARIO</t>
        </r>
      </text>
    </comment>
    <comment ref="U26" authorId="1" shapeId="0" xr:uid="{2401FEC1-F0E7-49FA-86B0-FE8B527DB1E4}">
      <text>
        <r>
          <rPr>
            <b/>
            <sz val="9"/>
            <color indexed="81"/>
            <rFont val="Tahoma"/>
            <family val="2"/>
          </rPr>
          <t>pc:</t>
        </r>
        <r>
          <rPr>
            <sz val="9"/>
            <color indexed="81"/>
            <rFont val="Tahoma"/>
            <family val="2"/>
          </rPr>
          <t xml:space="preserve">
proyecto ndc</t>
        </r>
      </text>
    </comment>
    <comment ref="T27" authorId="1" shapeId="0" xr:uid="{9EAA2F84-B4EA-4315-8F6C-358EA41804DB}">
      <text>
        <r>
          <rPr>
            <b/>
            <sz val="9"/>
            <color indexed="81"/>
            <rFont val="Tahoma"/>
            <family val="2"/>
          </rPr>
          <t>pc:</t>
        </r>
        <r>
          <rPr>
            <sz val="9"/>
            <color indexed="81"/>
            <rFont val="Tahoma"/>
            <family val="2"/>
          </rPr>
          <t xml:space="preserve">
MTco2 eq</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tc={B5C10447-EEA4-4BE1-8605-9629C93261C5}</author>
  </authors>
  <commentList>
    <comment ref="D6" authorId="0" shapeId="0" xr:uid="{578CD723-AD9C-4B57-98CD-52FBAC66EDB6}">
      <text>
        <r>
          <rPr>
            <sz val="11"/>
            <color theme="1"/>
            <rFont val="Calibri"/>
            <family val="2"/>
            <scheme val="minor"/>
          </rPr>
          <t xml:space="preserve"> Basado en los 3 productores mayoritarios del Ecuador.</t>
        </r>
      </text>
    </comment>
  </commentList>
</comments>
</file>

<file path=xl/sharedStrings.xml><?xml version="1.0" encoding="utf-8"?>
<sst xmlns="http://schemas.openxmlformats.org/spreadsheetml/2006/main" count="158" uniqueCount="100">
  <si>
    <t>Notas importantes</t>
  </si>
  <si>
    <t>Llenar por favor TODAS las hojas y los espacios en blanco de este libro de Excel.</t>
  </si>
  <si>
    <t>Acompañe los datos de las casillas con comentarios para facilitar la comprensión de los datos, su origen, los cálculos, los supuestos, entre otros.</t>
  </si>
  <si>
    <t>Si requiere agregar más hojas, más filas o columnas, más tecnologías u otro para completar todos los datos necesarios de los 3 escenarios complementarios al BAU, hágalo por favor.</t>
  </si>
  <si>
    <t>Agregue comentarios explicativos bajo las tablas de los datos para la mejor comprensión de los escenarios.</t>
  </si>
  <si>
    <t>Si tiene dudas, contacte a los equipos o personas correspondientes para aclararlas.</t>
  </si>
  <si>
    <t>Si las variables dentro de las hojas no varían en comparación con el escenario BAU, replicar los datos donde corresponda e indicar que esto pasa.</t>
  </si>
  <si>
    <t>Siempre que sea posible, acompañe los datos con la referencia de procedencia (enlaces de la web, nombre del informe u otro).</t>
  </si>
  <si>
    <t>No se detallan necesariamente todas las tecnologías. Se incorporaron algunas de ellas y es cuestión de agregar más líneas para caracterizar cada tecnología,
sobretodo con las tecnologías reductoras de emisiones o indicadores mejorados de los 3 escenarios de emisiones reducidas.</t>
  </si>
  <si>
    <t>En algunos casos, se incluyeros unidades predeterminadas para los datos. Si los datos están en otras unidades o es mejor verlos en otras unidades, modifíquelo por favor.</t>
  </si>
  <si>
    <t>Si solo se tienen valores en años puntuales o años meta y no en todo el intervalo, colóquelos en el año correspondiente de igual manera. Se usará algún método de interpolación
o extrapolación para completar todo el intervalo.</t>
  </si>
  <si>
    <t>Ecuador</t>
  </si>
  <si>
    <t>CEMENTO</t>
  </si>
  <si>
    <t>Producción nacional de cemento con Clinker producido nacionalmente [Mt cemento/año]</t>
  </si>
  <si>
    <t>Emisiones de los procesos industriales y uso de productos NO CEMENTO [MtCO2eq]</t>
  </si>
  <si>
    <t>Factor de Clinker en cemento [%]</t>
  </si>
  <si>
    <t>** Intente conseguir estos y otros datos de costos. No es necesario llenar todas las opciones, con una de ellas es suficiente pero podrían revisarse si se hallan todos los enfoque que permiten hacer el CBA de los escenarios.</t>
  </si>
  <si>
    <t>*** Si considera conveniente incluir otros costos, inclúyalos por favor.</t>
  </si>
  <si>
    <t>PROD_CEM</t>
  </si>
  <si>
    <t>E5_CEM_PRODCEM_PROD</t>
  </si>
  <si>
    <t>Nombre en OSeMOSYS</t>
  </si>
  <si>
    <t>REST_PI</t>
  </si>
  <si>
    <t>Variable en OSeMOSYS: InputActivityRatio</t>
  </si>
  <si>
    <t>Complemento del factor de Clinker en cemento [%]</t>
  </si>
  <si>
    <t>Tecnología</t>
  </si>
  <si>
    <t>Fuel</t>
  </si>
  <si>
    <t>CLK_PROD</t>
  </si>
  <si>
    <t>RAW_MAT_CEM</t>
  </si>
  <si>
    <t>Costo total adicional (Costo capital adicional nulo sobre las inversiones propias de crecimiento de cada empresa + Costo operativo adicional por reemplazo de clínker por puzolanas (MUSD/Mt). Costos operativos. Incluye Material, su transporte, asume un costo de mantenimiento fijo para el equipo, asume que el personal técnico tiene un sueldo promedio de 1500 USD por mes para operarios y 1000 USD para ayudante. La cantidad de técnicos crece linealmente con la producción de puzolanas cada año. )</t>
  </si>
  <si>
    <t>Nombre</t>
  </si>
  <si>
    <t>HFC_use</t>
  </si>
  <si>
    <t>Uso de HFC</t>
  </si>
  <si>
    <t xml:space="preserve">Producción nacional de cemento con Clinker producido nacionalmente </t>
  </si>
  <si>
    <t>LIME_PROD</t>
  </si>
  <si>
    <t>GLASS_PROD</t>
  </si>
  <si>
    <t>SODA_ASH</t>
  </si>
  <si>
    <t>IRON_STEEL</t>
  </si>
  <si>
    <t>LEAD_PROD</t>
  </si>
  <si>
    <t>LUBRI</t>
  </si>
  <si>
    <t>PARAFFIN</t>
  </si>
  <si>
    <t>Producción de cal</t>
  </si>
  <si>
    <t>Producción de vidrio</t>
  </si>
  <si>
    <t>Cerámica</t>
  </si>
  <si>
    <t>Otros usos del carbonato de sodio</t>
  </si>
  <si>
    <t>Producción de hierro y acero</t>
  </si>
  <si>
    <t>Producción de plomo</t>
  </si>
  <si>
    <t>Uso de lubricantes</t>
  </si>
  <si>
    <t>Uso de cera de parafina</t>
  </si>
  <si>
    <t>Mt CO2eq</t>
  </si>
  <si>
    <t>TENDENCIAL NACIONAL</t>
  </si>
  <si>
    <t>Otros procesos industriales</t>
  </si>
  <si>
    <t>Unidad</t>
  </si>
  <si>
    <t>kt cemento/año</t>
  </si>
  <si>
    <t>Tendencial Nacional</t>
  </si>
  <si>
    <t xml:space="preserve">Plan de acción </t>
  </si>
  <si>
    <t>Fuente</t>
  </si>
  <si>
    <t>Act_5CN_OtrosPIUP_MODELO SEGUNDA NDC</t>
  </si>
  <si>
    <t>MODELO SEGUNDA NDC</t>
  </si>
  <si>
    <t>Act_5CN_HOJA RUTA KIGALI</t>
  </si>
  <si>
    <t>* El costo de producción de Clinker debe ser el mismo que en el escenario Tendencial Nacional que es un dato que no se completó en las plantillas anteriores.</t>
  </si>
  <si>
    <t xml:space="preserve">Usos de HFC      </t>
  </si>
  <si>
    <t>Calculo en base de proyectps de miticagación y 1ERA y 2DA NDC</t>
  </si>
  <si>
    <t>Clinker [Mt]</t>
  </si>
  <si>
    <t>Factor de emisión OSEMOSYS</t>
  </si>
  <si>
    <t>Emisiones de cemento MtCO2eq OSEMOSYS</t>
  </si>
  <si>
    <t>Emisiones de cemento 2A MtCO2eq INGEI</t>
  </si>
  <si>
    <t>Potencial de reducción de Iniciativa Incondicional de factor de Clinker 1era NDC [MtCO2e]</t>
  </si>
  <si>
    <t>Potencial de reducción de Iniciativa 2da NDC convenida por cementeras [MTCO2e]</t>
  </si>
  <si>
    <t>P.1 Reducción de emisiones de GEI por la sustitución de clinker.</t>
  </si>
  <si>
    <t>P.1 Reducir el factor clínker en la producción de cemento al 68%.</t>
  </si>
  <si>
    <t>Emisiones reducidas</t>
  </si>
  <si>
    <t>Clinker1  [Mt]</t>
  </si>
  <si>
    <t xml:space="preserve">% </t>
  </si>
  <si>
    <t>P.2 Reducir la importación, promover la captura y la eliminación de los hidrofluorocarbonos (HFC) y perfluorocarbonos (PFC)</t>
  </si>
  <si>
    <t>P.2  Reducir la importación del 30% de los HFC y PFC.</t>
  </si>
  <si>
    <t>Producción nacional de cemento con Clinker producido nacionalmente [Mt cemento/año] NDC</t>
  </si>
  <si>
    <t>Potencial de reducción de Iniciativa Incondicional de factor de Clinker 1era NDC [GgCO2e]</t>
  </si>
  <si>
    <t>Potencial de reducción de Iniciativa 2da NDC convenida por cementeras [GgCO2e]</t>
  </si>
  <si>
    <t>Factor de Clinker en cemento 1 [%]</t>
  </si>
  <si>
    <t>Mt cemento * factor de clinker</t>
  </si>
  <si>
    <t>NDC</t>
  </si>
  <si>
    <t>PLAN MICC</t>
  </si>
  <si>
    <t>2010-2035 NDC</t>
  </si>
  <si>
    <t>2010-2035 Ndc</t>
  </si>
  <si>
    <t>Factor de emisión PLANMICC</t>
  </si>
  <si>
    <t xml:space="preserve">Emisiones de cemento MtCO2eq </t>
  </si>
  <si>
    <t>INGEI 5ta Comunicación Nacional</t>
  </si>
  <si>
    <t>Nota: Para el sector de cemento se integra los proyectos de la Segunda NDC</t>
  </si>
  <si>
    <t>Tendencial Nacional [MTCO2e]</t>
  </si>
  <si>
    <t>Potencial de reducción  HFC [MTCO2e]
Nuevo HFC</t>
  </si>
  <si>
    <t>Proyecto Segunda NDC-Potencial de reducción  HFC [MTCO2e]</t>
  </si>
  <si>
    <t>Hoja Cambio de escenarios</t>
  </si>
  <si>
    <t>Reducción establecida por los proponentes de la iniciativa Segunda NDC</t>
  </si>
  <si>
    <t>Iniciativa  PA-HFC [MTCO2e]</t>
  </si>
  <si>
    <t>Factor de emisión medio del Clinker</t>
  </si>
  <si>
    <t>MtCO2eq/Mt de Clinker</t>
  </si>
  <si>
    <t>Fuente: FE PLANMICC</t>
  </si>
  <si>
    <t>TENDENCIAL</t>
  </si>
  <si>
    <t>Cemento Plan de acción</t>
  </si>
  <si>
    <t>HFC Plan de 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</si>
</sst>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_-* #,##0.00_-;\-* #,##0.00_-;_-* &quot;-&quot;??_-;_-@_-"/>
    <numFmt numFmtId="165" formatCode="0.0000"/>
    <numFmt numFmtId="167" formatCode="_-* #,##0.0000_-;\-* #,##0.0000_-;_-* &quot;-&quot;??_-;_-@_-"/>
    <numFmt numFmtId="168" formatCode="_-* #,##0.000000_-;\-* #,##0.000000_-;_-* &quot;-&quot;??_-;_-@_-"/>
    <numFmt numFmtId="169" formatCode="0.00000"/>
    <numFmt numFmtId="170" formatCode="0.000000"/>
    <numFmt numFmtId="180" formatCode="_ * #,##0.00000000_ ;_ * \-#,##0.00000000_ ;_ * &quot;-&quot;??_ ;_ @_ "/>
    <numFmt numFmtId="185" formatCode="0.000"/>
  </numFmts>
  <fonts count="14" x14ac:knownFonts="1">
    <font>
      <sz val="11"/>
      <color theme="1"/>
      <name val="Calibri"/>
      <family val="2"/>
      <scheme val="minor"/>
    </font>
    <font>
      <b/>
      <sz val="11"/>
      <color theme="1"/>
      <name val="Calibri"/>
      <family val="2"/>
      <scheme val="minor"/>
    </font>
    <font>
      <b/>
      <sz val="13"/>
      <color theme="1"/>
      <name val="Open Sans"/>
      <family val="2"/>
    </font>
    <font>
      <sz val="11"/>
      <color theme="1"/>
      <name val="Open Sans"/>
      <family val="2"/>
    </font>
    <font>
      <sz val="11"/>
      <color theme="1"/>
      <name val="Calibri"/>
      <family val="2"/>
      <scheme val="minor"/>
    </font>
    <font>
      <sz val="11"/>
      <color rgb="FFFF0000"/>
      <name val="Calibri"/>
      <family val="2"/>
      <scheme val="minor"/>
    </font>
    <font>
      <b/>
      <sz val="9"/>
      <color indexed="81"/>
      <name val="Tahoma"/>
      <family val="2"/>
    </font>
    <font>
      <u/>
      <sz val="11"/>
      <color theme="10"/>
      <name val="Calibri"/>
      <family val="2"/>
      <scheme val="minor"/>
    </font>
    <font>
      <sz val="9"/>
      <color indexed="81"/>
      <name val="Tahoma"/>
      <family val="2"/>
    </font>
    <font>
      <sz val="10"/>
      <name val="Arial"/>
      <family val="2"/>
    </font>
    <font>
      <sz val="11"/>
      <name val="Calibri"/>
      <family val="2"/>
      <scheme val="minor"/>
    </font>
    <font>
      <b/>
      <sz val="12"/>
      <color theme="1"/>
      <name val="Open Sans"/>
      <family val="2"/>
    </font>
    <font>
      <b/>
      <sz val="12"/>
      <color theme="1"/>
      <name val="Calibri"/>
      <family val="2"/>
      <scheme val="minor"/>
    </font>
    <font>
      <sz val="12"/>
      <color theme="1"/>
      <name val="Calibri"/>
      <family val="2"/>
      <scheme val="minor"/>
    </font>
  </fonts>
  <fills count="17">
    <fill>
      <patternFill patternType="none"/>
    </fill>
    <fill>
      <patternFill patternType="gray125"/>
    </fill>
    <fill>
      <patternFill patternType="solid">
        <fgColor rgb="FFD8D8D8"/>
        <bgColor rgb="FFD8D8D8"/>
      </patternFill>
    </fill>
    <fill>
      <patternFill patternType="solid">
        <fgColor theme="9" tint="0.59999389629810485"/>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rgb="FFF2F2F2"/>
        <bgColor rgb="FFF2F2F2"/>
      </patternFill>
    </fill>
    <fill>
      <patternFill patternType="solid">
        <fgColor theme="9" tint="0.79998168889431442"/>
        <bgColor rgb="FF0E2841"/>
      </patternFill>
    </fill>
    <fill>
      <patternFill patternType="solid">
        <fgColor rgb="FFD9F2D0"/>
        <bgColor rgb="FFD9F2D0"/>
      </patternFill>
    </fill>
    <fill>
      <patternFill patternType="solid">
        <fgColor theme="0"/>
        <bgColor theme="9" tint="0.79998168889431442"/>
      </patternFill>
    </fill>
    <fill>
      <patternFill patternType="solid">
        <fgColor theme="0"/>
        <bgColor theme="4" tint="0.79998168889431442"/>
      </patternFill>
    </fill>
    <fill>
      <patternFill patternType="solid">
        <fgColor theme="7"/>
        <bgColor indexed="64"/>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right/>
      <top style="thin">
        <color theme="4" tint="0.39997558519241921"/>
      </top>
      <bottom style="thin">
        <color theme="4" tint="0.39997558519241921"/>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11">
    <xf numFmtId="0" fontId="0" fillId="0" borderId="0"/>
    <xf numFmtId="9"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9" fillId="0" borderId="0"/>
    <xf numFmtId="0" fontId="4" fillId="0" borderId="0"/>
    <xf numFmtId="0" fontId="9" fillId="0" borderId="0"/>
    <xf numFmtId="0" fontId="7" fillId="0" borderId="0" applyNumberFormat="0" applyFill="0" applyBorder="0" applyAlignment="0" applyProtection="0"/>
    <xf numFmtId="43" fontId="4" fillId="0" borderId="0" applyFont="0" applyFill="0" applyBorder="0" applyAlignment="0" applyProtection="0"/>
    <xf numFmtId="43" fontId="4" fillId="0" borderId="0" applyFont="0" applyFill="0" applyBorder="0" applyAlignment="0" applyProtection="0"/>
  </cellStyleXfs>
  <cellXfs count="113">
    <xf numFmtId="0" fontId="0" fillId="0" borderId="0" xfId="0"/>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1" fillId="3" borderId="0" xfId="0" applyFont="1" applyFill="1"/>
    <xf numFmtId="0" fontId="0" fillId="3" borderId="0" xfId="0" applyFill="1"/>
    <xf numFmtId="0" fontId="0" fillId="3" borderId="8" xfId="0" applyFill="1" applyBorder="1"/>
    <xf numFmtId="0" fontId="0" fillId="3" borderId="9" xfId="0" applyFill="1" applyBorder="1"/>
    <xf numFmtId="0" fontId="0" fillId="3" borderId="10" xfId="0" applyFill="1" applyBorder="1"/>
    <xf numFmtId="0" fontId="0" fillId="3" borderId="11" xfId="0" applyFill="1" applyBorder="1"/>
    <xf numFmtId="0" fontId="0" fillId="4" borderId="0" xfId="0" applyFill="1"/>
    <xf numFmtId="0" fontId="1" fillId="0" borderId="0" xfId="0" applyFont="1"/>
    <xf numFmtId="0" fontId="1" fillId="4" borderId="0" xfId="0" applyFont="1" applyFill="1"/>
    <xf numFmtId="0" fontId="0" fillId="4" borderId="12" xfId="0" applyFill="1" applyBorder="1"/>
    <xf numFmtId="0" fontId="0" fillId="4" borderId="12" xfId="0" applyFill="1" applyBorder="1" applyAlignment="1">
      <alignment vertical="center" wrapText="1"/>
    </xf>
    <xf numFmtId="0" fontId="1" fillId="4" borderId="12" xfId="0" applyFont="1" applyFill="1" applyBorder="1" applyAlignment="1">
      <alignment horizontal="center"/>
    </xf>
    <xf numFmtId="0" fontId="1" fillId="4" borderId="12" xfId="0" applyFont="1" applyFill="1" applyBorder="1" applyAlignment="1">
      <alignment horizontal="center" vertical="center"/>
    </xf>
    <xf numFmtId="0" fontId="0" fillId="5" borderId="12" xfId="0" applyFill="1" applyBorder="1"/>
    <xf numFmtId="0" fontId="1" fillId="3" borderId="0" xfId="0" applyFont="1" applyFill="1" applyAlignment="1">
      <alignment wrapText="1"/>
    </xf>
    <xf numFmtId="0" fontId="2" fillId="2" borderId="2" xfId="0" applyFont="1" applyFill="1" applyBorder="1" applyAlignment="1">
      <alignment horizontal="left" vertical="center" wrapText="1"/>
    </xf>
    <xf numFmtId="0" fontId="0" fillId="0" borderId="0" xfId="0" applyAlignment="1">
      <alignment wrapText="1"/>
    </xf>
    <xf numFmtId="0" fontId="1" fillId="3" borderId="7" xfId="0" applyFont="1" applyFill="1" applyBorder="1"/>
    <xf numFmtId="0" fontId="5" fillId="4" borderId="12" xfId="0" applyFont="1" applyFill="1" applyBorder="1"/>
    <xf numFmtId="167" fontId="4" fillId="4" borderId="12" xfId="3" applyNumberFormat="1" applyFont="1" applyFill="1" applyBorder="1"/>
    <xf numFmtId="165" fontId="0" fillId="4" borderId="12" xfId="0" applyNumberFormat="1" applyFill="1" applyBorder="1"/>
    <xf numFmtId="167" fontId="4" fillId="4" borderId="13" xfId="3" applyNumberFormat="1" applyFont="1" applyFill="1" applyBorder="1"/>
    <xf numFmtId="0" fontId="0" fillId="4" borderId="13" xfId="0" applyFill="1" applyBorder="1"/>
    <xf numFmtId="165" fontId="0" fillId="4" borderId="13" xfId="0" applyNumberFormat="1" applyFill="1" applyBorder="1"/>
    <xf numFmtId="0" fontId="0" fillId="3" borderId="12" xfId="0" applyFill="1" applyBorder="1"/>
    <xf numFmtId="165" fontId="0" fillId="5" borderId="12" xfId="0" applyNumberFormat="1" applyFill="1" applyBorder="1"/>
    <xf numFmtId="167" fontId="4" fillId="4" borderId="0" xfId="3" applyNumberFormat="1" applyFont="1" applyFill="1" applyBorder="1"/>
    <xf numFmtId="0" fontId="0" fillId="4" borderId="12" xfId="0" applyFill="1" applyBorder="1" applyAlignment="1">
      <alignment wrapText="1"/>
    </xf>
    <xf numFmtId="0" fontId="0" fillId="4" borderId="0" xfId="0" applyFill="1" applyAlignment="1">
      <alignment wrapText="1"/>
    </xf>
    <xf numFmtId="0" fontId="5" fillId="4" borderId="0" xfId="0" applyFont="1" applyFill="1"/>
    <xf numFmtId="0" fontId="1" fillId="3" borderId="4" xfId="0" applyFont="1" applyFill="1" applyBorder="1"/>
    <xf numFmtId="0" fontId="1" fillId="3" borderId="5" xfId="0" applyFont="1" applyFill="1" applyBorder="1" applyAlignment="1">
      <alignment wrapText="1"/>
    </xf>
    <xf numFmtId="0" fontId="1" fillId="3" borderId="6" xfId="0" applyFont="1" applyFill="1" applyBorder="1" applyAlignment="1">
      <alignment wrapText="1"/>
    </xf>
    <xf numFmtId="165" fontId="0" fillId="5" borderId="13" xfId="0" applyNumberFormat="1" applyFill="1" applyBorder="1"/>
    <xf numFmtId="0" fontId="0" fillId="5" borderId="12" xfId="0" applyFill="1" applyBorder="1" applyAlignment="1">
      <alignment wrapText="1"/>
    </xf>
    <xf numFmtId="0" fontId="0" fillId="4" borderId="15" xfId="0" applyFill="1" applyBorder="1"/>
    <xf numFmtId="0" fontId="0" fillId="4" borderId="15" xfId="0" applyFill="1" applyBorder="1" applyAlignment="1">
      <alignment wrapText="1"/>
    </xf>
    <xf numFmtId="0" fontId="1" fillId="3" borderId="9" xfId="0" applyFont="1" applyFill="1" applyBorder="1"/>
    <xf numFmtId="0" fontId="0" fillId="9" borderId="12" xfId="0" applyFill="1" applyBorder="1"/>
    <xf numFmtId="0" fontId="0" fillId="9" borderId="12" xfId="0" applyFill="1" applyBorder="1" applyAlignment="1">
      <alignment wrapText="1"/>
    </xf>
    <xf numFmtId="168" fontId="0" fillId="4" borderId="12" xfId="2" applyNumberFormat="1" applyFont="1" applyFill="1" applyBorder="1"/>
    <xf numFmtId="169" fontId="0" fillId="4" borderId="12" xfId="1" applyNumberFormat="1" applyFont="1" applyFill="1" applyBorder="1"/>
    <xf numFmtId="167" fontId="0" fillId="4" borderId="12" xfId="9" applyNumberFormat="1" applyFont="1" applyFill="1" applyBorder="1"/>
    <xf numFmtId="2" fontId="0" fillId="4" borderId="12" xfId="1" applyNumberFormat="1" applyFont="1" applyFill="1" applyBorder="1"/>
    <xf numFmtId="0" fontId="1" fillId="10" borderId="5" xfId="0" applyFont="1" applyFill="1" applyBorder="1"/>
    <xf numFmtId="0" fontId="0" fillId="0" borderId="17" xfId="0" applyBorder="1"/>
    <xf numFmtId="0" fontId="1" fillId="3" borderId="4" xfId="0" applyFont="1" applyFill="1" applyBorder="1" applyAlignment="1">
      <alignment horizontal="left"/>
    </xf>
    <xf numFmtId="0" fontId="1" fillId="3" borderId="5" xfId="0" applyFont="1" applyFill="1" applyBorder="1" applyAlignment="1">
      <alignment horizontal="left"/>
    </xf>
    <xf numFmtId="0" fontId="1" fillId="3" borderId="6" xfId="0" applyFont="1" applyFill="1" applyBorder="1" applyAlignment="1">
      <alignment horizontal="left"/>
    </xf>
    <xf numFmtId="0" fontId="1" fillId="3" borderId="0" xfId="0" applyFont="1" applyFill="1" applyAlignment="1">
      <alignment horizontal="center" wrapText="1"/>
    </xf>
    <xf numFmtId="0" fontId="1" fillId="3" borderId="8" xfId="0" applyFont="1" applyFill="1" applyBorder="1" applyAlignment="1">
      <alignment horizontal="center" wrapText="1"/>
    </xf>
    <xf numFmtId="0" fontId="1" fillId="3" borderId="10" xfId="0" applyFont="1" applyFill="1" applyBorder="1" applyAlignment="1">
      <alignment horizontal="center" wrapText="1"/>
    </xf>
    <xf numFmtId="0" fontId="1" fillId="3" borderId="11" xfId="0" applyFont="1" applyFill="1" applyBorder="1" applyAlignment="1">
      <alignment horizontal="center" wrapText="1"/>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0" fillId="3" borderId="16" xfId="0" applyFill="1" applyBorder="1" applyAlignment="1">
      <alignment horizontal="center"/>
    </xf>
    <xf numFmtId="0" fontId="0" fillId="3" borderId="14" xfId="0" applyFill="1" applyBorder="1" applyAlignment="1">
      <alignment horizontal="center"/>
    </xf>
    <xf numFmtId="0" fontId="1" fillId="3" borderId="16" xfId="0" applyFont="1" applyFill="1" applyBorder="1" applyAlignment="1">
      <alignment horizontal="left"/>
    </xf>
    <xf numFmtId="0" fontId="1" fillId="3" borderId="14" xfId="0" applyFont="1" applyFill="1" applyBorder="1" applyAlignment="1">
      <alignment horizontal="left"/>
    </xf>
    <xf numFmtId="0" fontId="1" fillId="3" borderId="13" xfId="0" applyFont="1" applyFill="1" applyBorder="1" applyAlignment="1">
      <alignment horizontal="left"/>
    </xf>
    <xf numFmtId="0" fontId="0" fillId="0" borderId="0" xfId="0"/>
    <xf numFmtId="0" fontId="0" fillId="0" borderId="0" xfId="0"/>
    <xf numFmtId="0" fontId="0" fillId="0" borderId="0" xfId="0" applyBorder="1"/>
    <xf numFmtId="167" fontId="10" fillId="4" borderId="12" xfId="3" applyNumberFormat="1" applyFont="1" applyFill="1" applyBorder="1" applyAlignment="1">
      <alignment horizontal="right"/>
    </xf>
    <xf numFmtId="168" fontId="10" fillId="4" borderId="12" xfId="2" applyNumberFormat="1" applyFont="1" applyFill="1" applyBorder="1" applyAlignment="1">
      <alignment horizontal="right"/>
    </xf>
    <xf numFmtId="0" fontId="10" fillId="4" borderId="12" xfId="0" applyFont="1" applyFill="1" applyBorder="1" applyAlignment="1">
      <alignment horizontal="right"/>
    </xf>
    <xf numFmtId="169" fontId="10" fillId="4" borderId="12" xfId="1" applyNumberFormat="1" applyFont="1" applyFill="1" applyBorder="1" applyAlignment="1">
      <alignment horizontal="right"/>
    </xf>
    <xf numFmtId="0" fontId="10" fillId="4" borderId="12" xfId="1" applyNumberFormat="1" applyFont="1" applyFill="1" applyBorder="1" applyAlignment="1">
      <alignment horizontal="right"/>
    </xf>
    <xf numFmtId="0" fontId="10" fillId="14" borderId="12" xfId="0" applyFont="1" applyFill="1" applyBorder="1" applyAlignment="1">
      <alignment horizontal="right"/>
    </xf>
    <xf numFmtId="2" fontId="10" fillId="4" borderId="12" xfId="0" applyNumberFormat="1" applyFont="1" applyFill="1" applyBorder="1" applyAlignment="1">
      <alignment horizontal="right"/>
    </xf>
    <xf numFmtId="1" fontId="10" fillId="4" borderId="12" xfId="0" applyNumberFormat="1" applyFont="1" applyFill="1" applyBorder="1" applyAlignment="1">
      <alignment horizontal="right"/>
    </xf>
    <xf numFmtId="0" fontId="10" fillId="15" borderId="12" xfId="0" applyFont="1" applyFill="1" applyBorder="1" applyAlignment="1">
      <alignment horizontal="right"/>
    </xf>
    <xf numFmtId="170" fontId="10" fillId="15" borderId="12" xfId="0" applyNumberFormat="1" applyFont="1" applyFill="1" applyBorder="1" applyAlignment="1">
      <alignment horizontal="right"/>
    </xf>
    <xf numFmtId="0" fontId="10" fillId="3" borderId="12" xfId="0" applyFont="1" applyFill="1" applyBorder="1" applyAlignment="1">
      <alignment horizontal="right"/>
    </xf>
    <xf numFmtId="170" fontId="10" fillId="4" borderId="12" xfId="0" applyNumberFormat="1" applyFont="1" applyFill="1" applyBorder="1" applyAlignment="1">
      <alignment horizontal="right"/>
    </xf>
    <xf numFmtId="180" fontId="10" fillId="7" borderId="12" xfId="0" applyNumberFormat="1" applyFont="1" applyFill="1" applyBorder="1" applyAlignment="1">
      <alignment horizontal="right"/>
    </xf>
    <xf numFmtId="0" fontId="1" fillId="16" borderId="0" xfId="0" applyFont="1" applyFill="1"/>
    <xf numFmtId="0" fontId="1" fillId="0" borderId="12" xfId="0" applyFont="1" applyBorder="1"/>
    <xf numFmtId="0" fontId="1" fillId="0" borderId="12" xfId="0" applyFont="1" applyBorder="1" applyAlignment="1">
      <alignment wrapText="1"/>
    </xf>
    <xf numFmtId="0" fontId="10" fillId="3" borderId="12" xfId="0" applyFont="1" applyFill="1" applyBorder="1" applyAlignment="1">
      <alignment horizontal="right" wrapText="1"/>
    </xf>
    <xf numFmtId="0" fontId="10" fillId="7" borderId="12" xfId="0" applyFont="1" applyFill="1" applyBorder="1" applyAlignment="1">
      <alignment horizontal="right"/>
    </xf>
    <xf numFmtId="0" fontId="0" fillId="4" borderId="0" xfId="0" applyFont="1" applyFill="1"/>
    <xf numFmtId="0" fontId="0" fillId="0" borderId="0" xfId="0" applyFont="1"/>
    <xf numFmtId="0" fontId="0" fillId="3" borderId="12" xfId="0" applyFont="1" applyFill="1" applyBorder="1"/>
    <xf numFmtId="0" fontId="0" fillId="6" borderId="19" xfId="0" applyFont="1" applyFill="1" applyBorder="1" applyAlignment="1">
      <alignment wrapText="1"/>
    </xf>
    <xf numFmtId="0" fontId="0" fillId="8" borderId="0" xfId="0" applyFont="1" applyFill="1"/>
    <xf numFmtId="0" fontId="0" fillId="6" borderId="0" xfId="0" applyFont="1" applyFill="1" applyBorder="1" applyAlignment="1">
      <alignment wrapText="1"/>
    </xf>
    <xf numFmtId="0" fontId="0" fillId="3" borderId="12" xfId="0" applyFont="1" applyFill="1" applyBorder="1" applyAlignment="1">
      <alignment wrapText="1"/>
    </xf>
    <xf numFmtId="0" fontId="0" fillId="0" borderId="12" xfId="0" applyFont="1" applyBorder="1"/>
    <xf numFmtId="0" fontId="10" fillId="13" borderId="12" xfId="0" applyFont="1" applyFill="1" applyBorder="1" applyAlignment="1">
      <alignment horizontal="left" vertical="center" wrapText="1"/>
    </xf>
    <xf numFmtId="0" fontId="10" fillId="12" borderId="18" xfId="0" applyFont="1" applyFill="1" applyBorder="1" applyAlignment="1">
      <alignment vertical="center" wrapText="1"/>
    </xf>
    <xf numFmtId="0" fontId="0" fillId="0" borderId="0" xfId="0" applyFont="1" applyAlignment="1">
      <alignment wrapText="1"/>
    </xf>
    <xf numFmtId="0" fontId="0" fillId="10" borderId="5" xfId="0" applyFont="1" applyFill="1" applyBorder="1"/>
    <xf numFmtId="0" fontId="1" fillId="10" borderId="0" xfId="0" applyFont="1" applyFill="1" applyBorder="1"/>
    <xf numFmtId="0" fontId="0" fillId="10" borderId="0" xfId="0" applyFont="1" applyFill="1" applyBorder="1"/>
    <xf numFmtId="185" fontId="0" fillId="16" borderId="0" xfId="0" applyNumberFormat="1" applyFill="1"/>
    <xf numFmtId="165" fontId="0" fillId="16" borderId="0" xfId="0" applyNumberFormat="1" applyFill="1"/>
    <xf numFmtId="0" fontId="11" fillId="2" borderId="2" xfId="0" applyFont="1" applyFill="1" applyBorder="1" applyAlignment="1">
      <alignment horizontal="right" vertical="center" wrapText="1"/>
    </xf>
    <xf numFmtId="0" fontId="11" fillId="2" borderId="0" xfId="0" applyFont="1" applyFill="1" applyBorder="1" applyAlignment="1">
      <alignment horizontal="right" vertical="center" wrapText="1"/>
    </xf>
    <xf numFmtId="0" fontId="12" fillId="10" borderId="5" xfId="0" applyFont="1" applyFill="1" applyBorder="1"/>
    <xf numFmtId="0" fontId="13" fillId="10" borderId="5" xfId="0" applyFont="1" applyFill="1" applyBorder="1"/>
    <xf numFmtId="0" fontId="10" fillId="11" borderId="12" xfId="0" applyFont="1" applyFill="1" applyBorder="1" applyAlignment="1">
      <alignment horizontal="left" vertical="center" wrapText="1"/>
    </xf>
    <xf numFmtId="0" fontId="10" fillId="12" borderId="12" xfId="0" applyFont="1" applyFill="1" applyBorder="1" applyAlignment="1">
      <alignment horizontal="center" vertical="center" wrapText="1"/>
    </xf>
  </cellXfs>
  <cellStyles count="11">
    <cellStyle name="Hipervínculo 2 2" xfId="8" xr:uid="{654513D1-285E-405C-B32E-F772C3F5BA6B}"/>
    <cellStyle name="Millares" xfId="2" builtinId="3"/>
    <cellStyle name="Millares 2" xfId="4" xr:uid="{CE748FC5-24E1-46EE-B17F-F51E3CD85DCF}"/>
    <cellStyle name="Millares 2 2" xfId="3" xr:uid="{5461999C-E48E-4A80-8B9A-EFB97F883E7C}"/>
    <cellStyle name="Millares 3" xfId="9" xr:uid="{116D0FD4-083E-4C64-96C5-DC852CD6CCF1}"/>
    <cellStyle name="Millares 4" xfId="10" xr:uid="{F619F693-AD90-4B5F-9A7E-2A42DC3B56C2}"/>
    <cellStyle name="Normal" xfId="0" builtinId="0"/>
    <cellStyle name="Normal 2 2 2" xfId="7" xr:uid="{E8D7D6CE-E2D3-43D1-9955-74170D3269AF}"/>
    <cellStyle name="Normal 3 2" xfId="5" xr:uid="{718A82F1-54B1-4419-8BC8-4B8DF84CA9B5}"/>
    <cellStyle name="Normal 5" xfId="6" xr:uid="{DBEE2D84-E5BF-4755-9343-3F92A72E0CAC}"/>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10/relationships/person" Target="persons/person.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JuanSe Proano" id="{C0E0A58E-5FA4-4749-95D3-37FFF1E7065F}"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C14"/>
  <sheetViews>
    <sheetView zoomScale="130" zoomScaleNormal="130" workbookViewId="0">
      <selection activeCell="A16" sqref="A16:B18"/>
    </sheetView>
  </sheetViews>
  <sheetFormatPr baseColWidth="10" defaultColWidth="9.21875" defaultRowHeight="14.4" x14ac:dyDescent="0.3"/>
  <cols>
    <col min="1" max="1" width="9.21875" style="15"/>
    <col min="2" max="2" width="3.21875" style="15" bestFit="1" customWidth="1"/>
    <col min="3" max="3" width="163.21875" style="15" bestFit="1" customWidth="1"/>
    <col min="4" max="16384" width="9.21875" style="15"/>
  </cols>
  <sheetData>
    <row r="3" spans="2:3" x14ac:dyDescent="0.3">
      <c r="C3" s="17" t="s">
        <v>0</v>
      </c>
    </row>
    <row r="5" spans="2:3" x14ac:dyDescent="0.3">
      <c r="B5" s="20">
        <v>1</v>
      </c>
      <c r="C5" s="18" t="s">
        <v>1</v>
      </c>
    </row>
    <row r="6" spans="2:3" x14ac:dyDescent="0.3">
      <c r="B6" s="20">
        <v>2</v>
      </c>
      <c r="C6" s="18" t="s">
        <v>2</v>
      </c>
    </row>
    <row r="7" spans="2:3" x14ac:dyDescent="0.3">
      <c r="B7" s="20">
        <v>3</v>
      </c>
      <c r="C7" s="18" t="s">
        <v>3</v>
      </c>
    </row>
    <row r="8" spans="2:3" x14ac:dyDescent="0.3">
      <c r="B8" s="20">
        <v>4</v>
      </c>
      <c r="C8" s="18" t="s">
        <v>4</v>
      </c>
    </row>
    <row r="9" spans="2:3" x14ac:dyDescent="0.3">
      <c r="B9" s="20">
        <v>5</v>
      </c>
      <c r="C9" s="18" t="s">
        <v>5</v>
      </c>
    </row>
    <row r="10" spans="2:3" x14ac:dyDescent="0.3">
      <c r="B10" s="20">
        <v>6</v>
      </c>
      <c r="C10" s="18" t="s">
        <v>6</v>
      </c>
    </row>
    <row r="11" spans="2:3" x14ac:dyDescent="0.3">
      <c r="B11" s="20">
        <v>7</v>
      </c>
      <c r="C11" s="18" t="s">
        <v>7</v>
      </c>
    </row>
    <row r="12" spans="2:3" ht="28.8" x14ac:dyDescent="0.3">
      <c r="B12" s="21">
        <v>8</v>
      </c>
      <c r="C12" s="19" t="s">
        <v>8</v>
      </c>
    </row>
    <row r="13" spans="2:3" x14ac:dyDescent="0.3">
      <c r="B13" s="20">
        <v>9</v>
      </c>
      <c r="C13" s="18" t="s">
        <v>9</v>
      </c>
    </row>
    <row r="14" spans="2:3" ht="28.8" x14ac:dyDescent="0.3">
      <c r="B14" s="21">
        <v>10</v>
      </c>
      <c r="C14" s="19" t="s">
        <v>10</v>
      </c>
    </row>
  </sheetData>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F3252-97B4-4C5A-801F-F2515DCAFEC4}">
  <dimension ref="B1:AE103"/>
  <sheetViews>
    <sheetView tabSelected="1" topLeftCell="O1" workbookViewId="0">
      <pane ySplit="1" topLeftCell="A2" activePane="bottomLeft" state="frozen"/>
      <selection pane="bottomLeft" activeCell="C17" sqref="C17:E17"/>
    </sheetView>
  </sheetViews>
  <sheetFormatPr baseColWidth="10" defaultRowHeight="14.4" x14ac:dyDescent="0.3"/>
  <cols>
    <col min="2" max="2" width="28.33203125" customWidth="1"/>
    <col min="3" max="5" width="24.6640625" style="25" customWidth="1"/>
  </cols>
  <sheetData>
    <row r="1" spans="2:31" ht="20.399999999999999" thickBot="1" x14ac:dyDescent="0.35">
      <c r="B1" s="1"/>
      <c r="C1" s="24" t="s">
        <v>11</v>
      </c>
      <c r="D1" s="24"/>
      <c r="E1" s="24"/>
      <c r="F1" s="3">
        <v>2010</v>
      </c>
      <c r="G1" s="3">
        <v>2011</v>
      </c>
      <c r="H1" s="3">
        <v>2012</v>
      </c>
      <c r="I1" s="3">
        <v>2013</v>
      </c>
      <c r="J1" s="3">
        <v>2014</v>
      </c>
      <c r="K1" s="3">
        <v>2015</v>
      </c>
      <c r="L1" s="3">
        <v>2016</v>
      </c>
      <c r="M1" s="3">
        <v>2017</v>
      </c>
      <c r="N1" s="3">
        <v>2018</v>
      </c>
      <c r="O1" s="3">
        <v>2019</v>
      </c>
      <c r="P1" s="3">
        <v>2020</v>
      </c>
      <c r="Q1" s="3">
        <v>2021</v>
      </c>
      <c r="R1" s="3">
        <v>2022</v>
      </c>
      <c r="S1" s="3">
        <v>2023</v>
      </c>
      <c r="T1" s="3">
        <v>2024</v>
      </c>
      <c r="U1" s="3">
        <v>2025</v>
      </c>
      <c r="V1" s="3">
        <v>2026</v>
      </c>
      <c r="W1" s="3">
        <v>2027</v>
      </c>
      <c r="X1" s="3">
        <v>2028</v>
      </c>
      <c r="Y1" s="3">
        <v>2029</v>
      </c>
      <c r="Z1" s="3">
        <v>2030</v>
      </c>
      <c r="AA1" s="3">
        <v>2031</v>
      </c>
      <c r="AB1" s="3">
        <v>2032</v>
      </c>
      <c r="AC1" s="3">
        <v>2033</v>
      </c>
      <c r="AD1" s="3">
        <v>2034</v>
      </c>
      <c r="AE1" s="3">
        <v>2035</v>
      </c>
    </row>
    <row r="2" spans="2:31" x14ac:dyDescent="0.3">
      <c r="B2" s="55" t="s">
        <v>12</v>
      </c>
      <c r="C2" s="56"/>
      <c r="D2" s="56"/>
      <c r="E2" s="57"/>
    </row>
    <row r="3" spans="2:31" x14ac:dyDescent="0.3">
      <c r="B3" s="26" t="s">
        <v>20</v>
      </c>
      <c r="C3" s="58" t="s">
        <v>49</v>
      </c>
      <c r="D3" s="58"/>
      <c r="E3" s="59"/>
    </row>
    <row r="4" spans="2:31" ht="15" customHeight="1" x14ac:dyDescent="0.3">
      <c r="B4" s="18" t="s">
        <v>24</v>
      </c>
      <c r="C4" s="18" t="s">
        <v>29</v>
      </c>
      <c r="D4" s="18" t="s">
        <v>51</v>
      </c>
      <c r="E4" s="36" t="s">
        <v>55</v>
      </c>
    </row>
    <row r="5" spans="2:31" x14ac:dyDescent="0.3">
      <c r="B5" s="18" t="s">
        <v>19</v>
      </c>
      <c r="C5" s="18" t="s">
        <v>32</v>
      </c>
      <c r="D5" s="18" t="s">
        <v>52</v>
      </c>
      <c r="E5" s="36" t="s">
        <v>57</v>
      </c>
      <c r="F5" s="30">
        <v>5.2748999999999997</v>
      </c>
      <c r="G5" s="28">
        <v>5.6681999999999997</v>
      </c>
      <c r="H5" s="28">
        <v>6.0614999999999997</v>
      </c>
      <c r="I5" s="28">
        <v>6.3078000000000003</v>
      </c>
      <c r="J5" s="28">
        <v>6.5541</v>
      </c>
      <c r="K5" s="28">
        <v>5.7819000000000003</v>
      </c>
      <c r="L5" s="28">
        <v>5.0096999999999996</v>
      </c>
      <c r="M5" s="28">
        <v>5.0327999999999999</v>
      </c>
      <c r="N5" s="28">
        <v>5.0559000000000003</v>
      </c>
      <c r="O5" s="28">
        <v>4.2404000000000002</v>
      </c>
      <c r="P5" s="28">
        <v>3.4119000000000002</v>
      </c>
      <c r="Q5" s="28">
        <v>5.0137</v>
      </c>
      <c r="R5" s="28">
        <v>4.6246</v>
      </c>
      <c r="S5" s="28">
        <v>4.8611000000000004</v>
      </c>
      <c r="T5" s="28">
        <v>5.0975000000000001</v>
      </c>
      <c r="U5" s="28">
        <v>5.3339999999999996</v>
      </c>
      <c r="V5" s="28">
        <v>5.5704000000000002</v>
      </c>
      <c r="W5" s="28">
        <v>5.8068</v>
      </c>
      <c r="X5" s="28">
        <v>6.0433000000000003</v>
      </c>
      <c r="Y5" s="28">
        <v>6.2797999999999998</v>
      </c>
      <c r="Z5" s="28">
        <v>6.5162000000000004</v>
      </c>
      <c r="AA5" s="28">
        <v>6.7526999999999999</v>
      </c>
      <c r="AB5" s="28">
        <v>6.9892000000000003</v>
      </c>
      <c r="AC5" s="28">
        <v>7.2256</v>
      </c>
      <c r="AD5" s="28">
        <v>7.4621000000000004</v>
      </c>
      <c r="AE5" s="28">
        <v>7.6985000000000001</v>
      </c>
    </row>
    <row r="6" spans="2:31" x14ac:dyDescent="0.3">
      <c r="B6" s="15"/>
      <c r="C6" s="15"/>
      <c r="D6" s="15"/>
      <c r="E6" s="37"/>
      <c r="F6" s="35"/>
      <c r="G6" s="35"/>
      <c r="H6" s="35"/>
      <c r="I6" s="35"/>
      <c r="J6" s="35"/>
      <c r="K6" s="35"/>
      <c r="L6" s="35"/>
      <c r="M6" s="35"/>
      <c r="N6" s="35"/>
      <c r="O6" s="35"/>
      <c r="P6" s="35"/>
      <c r="Q6" s="35"/>
      <c r="R6" s="35"/>
      <c r="S6" s="35"/>
      <c r="T6" s="35"/>
      <c r="U6" s="35"/>
      <c r="V6" s="35"/>
      <c r="W6" s="35"/>
      <c r="X6" s="35"/>
      <c r="Y6" s="35"/>
      <c r="Z6" s="35"/>
      <c r="AA6" s="35"/>
      <c r="AB6" s="35"/>
      <c r="AC6" s="35"/>
      <c r="AD6" s="35"/>
      <c r="AE6" s="35"/>
    </row>
    <row r="7" spans="2:31" x14ac:dyDescent="0.3">
      <c r="B7" s="67" t="s">
        <v>22</v>
      </c>
      <c r="C7" s="68"/>
      <c r="D7" s="68"/>
      <c r="E7" s="69"/>
    </row>
    <row r="8" spans="2:31" x14ac:dyDescent="0.3">
      <c r="B8" s="8" t="s">
        <v>24</v>
      </c>
      <c r="C8" s="10" t="s">
        <v>25</v>
      </c>
      <c r="D8" s="9" t="s">
        <v>15</v>
      </c>
      <c r="E8" s="23"/>
    </row>
    <row r="9" spans="2:31" x14ac:dyDescent="0.3">
      <c r="B9" s="33" t="s">
        <v>18</v>
      </c>
      <c r="C9" s="33" t="s">
        <v>26</v>
      </c>
      <c r="D9" s="47" t="s">
        <v>53</v>
      </c>
      <c r="E9" s="36" t="s">
        <v>57</v>
      </c>
      <c r="F9" s="49">
        <v>0.63109999999999999</v>
      </c>
      <c r="G9" s="49">
        <v>0.58720000000000006</v>
      </c>
      <c r="H9" s="49">
        <v>0.54900000000000004</v>
      </c>
      <c r="I9" s="49">
        <v>0.5444</v>
      </c>
      <c r="J9" s="49">
        <v>0.54010000000000002</v>
      </c>
      <c r="K9" s="49">
        <v>0.59</v>
      </c>
      <c r="L9" s="49">
        <v>0.65510000000000002</v>
      </c>
      <c r="M9" s="49">
        <v>0.71640000000000004</v>
      </c>
      <c r="N9" s="27">
        <v>0.77700000000000002</v>
      </c>
      <c r="O9" s="50">
        <v>0.79200000000000004</v>
      </c>
      <c r="P9" s="50">
        <v>0.81730000000000003</v>
      </c>
      <c r="Q9" s="50">
        <v>0.79969999999999997</v>
      </c>
      <c r="R9" s="50">
        <v>0.81399999999999995</v>
      </c>
      <c r="S9" s="50">
        <v>0.81769999999999998</v>
      </c>
      <c r="T9" s="50">
        <v>0.82050000000000001</v>
      </c>
      <c r="U9" s="50">
        <v>0.8226</v>
      </c>
      <c r="V9" s="50">
        <v>0.81879999999999997</v>
      </c>
      <c r="W9" s="50">
        <v>0.81489999999999996</v>
      </c>
      <c r="X9" s="50">
        <v>0.81089999999999995</v>
      </c>
      <c r="Y9" s="50">
        <v>0.80669999999999997</v>
      </c>
      <c r="Z9" s="50">
        <v>0.8024</v>
      </c>
      <c r="AA9" s="50">
        <v>0.80389999999999995</v>
      </c>
      <c r="AB9" s="50">
        <v>0.80520000000000003</v>
      </c>
      <c r="AC9" s="50">
        <v>0.80649999999999999</v>
      </c>
      <c r="AD9" s="50">
        <v>0.80769999999999997</v>
      </c>
      <c r="AE9" s="50">
        <v>0.80879999999999996</v>
      </c>
    </row>
    <row r="10" spans="2:31" ht="43.2" x14ac:dyDescent="0.3">
      <c r="B10" s="33" t="s">
        <v>18</v>
      </c>
      <c r="C10" s="33" t="s">
        <v>26</v>
      </c>
      <c r="D10" s="48" t="s">
        <v>54</v>
      </c>
      <c r="E10" s="36" t="s">
        <v>61</v>
      </c>
      <c r="F10" s="51">
        <v>0.63108606925199939</v>
      </c>
      <c r="G10" s="18">
        <v>0.58724408575759779</v>
      </c>
      <c r="H10" s="18">
        <v>0.54898665594274965</v>
      </c>
      <c r="I10" s="18">
        <v>0.54442427248623448</v>
      </c>
      <c r="J10" s="18">
        <v>0.5400536864516059</v>
      </c>
      <c r="K10" s="18">
        <v>0.5899646599132653</v>
      </c>
      <c r="L10" s="18">
        <v>0.65505340411821067</v>
      </c>
      <c r="M10" s="18">
        <v>0.70300992286946784</v>
      </c>
      <c r="N10" s="18">
        <v>0.750328642611234</v>
      </c>
      <c r="O10" s="18">
        <v>0.95434923120286885</v>
      </c>
      <c r="P10" s="18">
        <v>0.89188872865504798</v>
      </c>
      <c r="Q10" s="18">
        <v>0.63124054851088496</v>
      </c>
      <c r="R10" s="18">
        <v>0.80673344962227433</v>
      </c>
      <c r="S10" s="18">
        <v>0.80672453301741998</v>
      </c>
      <c r="T10" s="18">
        <v>0.80673226950049837</v>
      </c>
      <c r="U10" s="18">
        <v>0.80672769897721908</v>
      </c>
      <c r="V10" s="18">
        <v>0.6914337400975602</v>
      </c>
      <c r="W10" s="18">
        <v>0.68946837311647224</v>
      </c>
      <c r="X10" s="18">
        <v>0.68764539112504963</v>
      </c>
      <c r="Y10" s="18">
        <v>0.68595971772338216</v>
      </c>
      <c r="Z10" s="18">
        <v>0.68440690564018569</v>
      </c>
      <c r="AA10" s="18">
        <v>0.68295547084036656</v>
      </c>
      <c r="AB10" s="18">
        <v>0.68159958952627275</v>
      </c>
      <c r="AC10" s="18">
        <v>0.68034188085284375</v>
      </c>
      <c r="AD10" s="18">
        <v>0.67915476038428724</v>
      </c>
      <c r="AE10" s="18">
        <v>0.67804938372889167</v>
      </c>
    </row>
    <row r="11" spans="2:31" x14ac:dyDescent="0.3">
      <c r="B11" s="65"/>
      <c r="C11" s="66"/>
      <c r="D11" s="9" t="s">
        <v>23</v>
      </c>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row>
    <row r="12" spans="2:31" x14ac:dyDescent="0.3">
      <c r="B12" s="33" t="s">
        <v>18</v>
      </c>
      <c r="C12" s="33" t="s">
        <v>27</v>
      </c>
      <c r="D12" s="47" t="s">
        <v>53</v>
      </c>
      <c r="E12" s="36" t="s">
        <v>57</v>
      </c>
      <c r="F12" s="18">
        <v>0.36890000000000001</v>
      </c>
      <c r="G12" s="18">
        <v>0.41280000000000006</v>
      </c>
      <c r="H12" s="18">
        <v>0.45099999999999996</v>
      </c>
      <c r="I12" s="18">
        <v>0.4556</v>
      </c>
      <c r="J12" s="18">
        <v>0.45989999999999998</v>
      </c>
      <c r="K12" s="18">
        <v>0.41010000000000002</v>
      </c>
      <c r="L12" s="18">
        <v>0.34489999999999998</v>
      </c>
      <c r="M12" s="18">
        <v>0.29700000000000004</v>
      </c>
      <c r="N12" s="18">
        <v>0.24968253473241797</v>
      </c>
      <c r="O12" s="18">
        <v>0.16000000000000003</v>
      </c>
      <c r="P12" s="18">
        <v>0.20999999999999996</v>
      </c>
      <c r="Q12" s="18">
        <v>0.12</v>
      </c>
      <c r="R12" s="18">
        <v>0.12</v>
      </c>
      <c r="S12" s="18">
        <v>0.12</v>
      </c>
      <c r="T12" s="18">
        <v>0.12</v>
      </c>
      <c r="U12" s="18">
        <v>0.12</v>
      </c>
      <c r="V12" s="18">
        <v>0.12</v>
      </c>
      <c r="W12" s="18">
        <v>0.12</v>
      </c>
      <c r="X12" s="18">
        <v>0.12</v>
      </c>
      <c r="Y12" s="18">
        <v>0.12</v>
      </c>
      <c r="Z12" s="18">
        <v>0.12</v>
      </c>
      <c r="AA12" s="18">
        <v>0.12</v>
      </c>
      <c r="AB12" s="18">
        <v>0.12</v>
      </c>
      <c r="AC12" s="18">
        <v>0.12</v>
      </c>
      <c r="AD12" s="18">
        <v>0.12</v>
      </c>
      <c r="AE12" s="18">
        <v>0.12</v>
      </c>
    </row>
    <row r="13" spans="2:31" ht="43.2" x14ac:dyDescent="0.3">
      <c r="B13" s="33" t="s">
        <v>18</v>
      </c>
      <c r="C13" s="33" t="s">
        <v>27</v>
      </c>
      <c r="D13" s="48" t="s">
        <v>54</v>
      </c>
      <c r="E13" s="36" t="s">
        <v>61</v>
      </c>
      <c r="F13" s="52">
        <v>0.36891393074800061</v>
      </c>
      <c r="G13" s="52">
        <v>0.41275591424240221</v>
      </c>
      <c r="H13" s="52">
        <v>0.45101334405725035</v>
      </c>
      <c r="I13" s="52">
        <v>0.45557572751376552</v>
      </c>
      <c r="J13" s="52">
        <v>0.4599463135483941</v>
      </c>
      <c r="K13" s="52">
        <v>0.4100353400867347</v>
      </c>
      <c r="L13" s="52">
        <v>0.34494659588178933</v>
      </c>
      <c r="M13" s="52">
        <v>0.29699007713053216</v>
      </c>
      <c r="N13" s="52">
        <v>0.249671357388766</v>
      </c>
      <c r="O13" s="52">
        <v>4.5650768797131147E-2</v>
      </c>
      <c r="P13" s="52">
        <v>0.10811127134495202</v>
      </c>
      <c r="Q13" s="52">
        <v>0.36875945148911504</v>
      </c>
      <c r="R13" s="52">
        <v>0.19326655037772567</v>
      </c>
      <c r="S13" s="52">
        <v>0.19327546698258002</v>
      </c>
      <c r="T13" s="52">
        <v>0.19326773049950163</v>
      </c>
      <c r="U13" s="52">
        <v>0.19327230102278092</v>
      </c>
      <c r="V13" s="52">
        <v>0.3085662599024398</v>
      </c>
      <c r="W13" s="52">
        <v>0.31053162688352776</v>
      </c>
      <c r="X13" s="52">
        <v>0.31235460887495037</v>
      </c>
      <c r="Y13" s="52">
        <v>0.31404028227661784</v>
      </c>
      <c r="Z13" s="52">
        <v>0.31559309435981431</v>
      </c>
      <c r="AA13" s="52">
        <v>0.31704452915963344</v>
      </c>
      <c r="AB13" s="52">
        <v>0.31840041047372725</v>
      </c>
      <c r="AC13" s="52">
        <v>0.31965811914715625</v>
      </c>
      <c r="AD13" s="52">
        <v>0.32084523961571276</v>
      </c>
      <c r="AE13" s="52">
        <v>0.32195061627110833</v>
      </c>
    </row>
    <row r="14" spans="2:31" x14ac:dyDescent="0.3">
      <c r="B14" s="15"/>
      <c r="C14" s="15"/>
      <c r="D14" s="15"/>
      <c r="E14" s="37"/>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row>
    <row r="15" spans="2:31" ht="15" thickBot="1" x14ac:dyDescent="0.35">
      <c r="B15" s="15"/>
      <c r="C15" s="15"/>
      <c r="D15" s="15"/>
      <c r="E15" s="37"/>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row>
    <row r="16" spans="2:31" x14ac:dyDescent="0.3">
      <c r="B16" s="39" t="s">
        <v>60</v>
      </c>
      <c r="C16" s="40"/>
      <c r="D16" s="40"/>
      <c r="E16" s="41"/>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row>
    <row r="17" spans="2:31" ht="15" thickBot="1" x14ac:dyDescent="0.35">
      <c r="B17" s="46" t="s">
        <v>20</v>
      </c>
      <c r="C17" s="60" t="s">
        <v>49</v>
      </c>
      <c r="D17" s="60"/>
      <c r="E17" s="61"/>
    </row>
    <row r="18" spans="2:31" x14ac:dyDescent="0.3">
      <c r="B18" s="44" t="s">
        <v>24</v>
      </c>
      <c r="C18" s="44" t="s">
        <v>29</v>
      </c>
      <c r="D18" s="44" t="s">
        <v>51</v>
      </c>
      <c r="E18" s="45" t="s">
        <v>55</v>
      </c>
    </row>
    <row r="19" spans="2:31" x14ac:dyDescent="0.3">
      <c r="B19" s="18" t="s">
        <v>30</v>
      </c>
      <c r="C19" s="18" t="s">
        <v>31</v>
      </c>
      <c r="D19" s="18" t="s">
        <v>48</v>
      </c>
      <c r="E19" s="36" t="s">
        <v>58</v>
      </c>
      <c r="F19" s="31">
        <v>0.21490000000000001</v>
      </c>
      <c r="G19" s="18">
        <v>0.252</v>
      </c>
      <c r="H19" s="18">
        <v>0.28910000000000002</v>
      </c>
      <c r="I19" s="18">
        <v>0.33179999999999998</v>
      </c>
      <c r="J19" s="18">
        <v>0.3745</v>
      </c>
      <c r="K19" s="18">
        <v>0.42370000000000002</v>
      </c>
      <c r="L19" s="18">
        <v>0.47289999999999999</v>
      </c>
      <c r="M19" s="18">
        <v>0.496</v>
      </c>
      <c r="N19" s="18">
        <v>0.51910000000000001</v>
      </c>
      <c r="O19" s="18">
        <v>0.86109999999999998</v>
      </c>
      <c r="P19" s="18">
        <v>1.2030000000000001</v>
      </c>
      <c r="Q19" s="18">
        <v>1.3250999999999999</v>
      </c>
      <c r="R19" s="27">
        <v>1.9576</v>
      </c>
      <c r="S19" s="18">
        <v>2.3839999999999999</v>
      </c>
      <c r="T19" s="18">
        <v>2.8102999999999998</v>
      </c>
      <c r="U19" s="18">
        <v>3.2366999999999999</v>
      </c>
      <c r="V19" s="18">
        <v>3.6631</v>
      </c>
      <c r="W19" s="18">
        <v>4.0895000000000001</v>
      </c>
      <c r="X19" s="18">
        <v>4.5159000000000002</v>
      </c>
      <c r="Y19" s="18">
        <v>4.9421999999999997</v>
      </c>
      <c r="Z19" s="18">
        <v>5.3685999999999998</v>
      </c>
      <c r="AA19" s="18">
        <v>5.38</v>
      </c>
      <c r="AB19" s="18">
        <v>5.3913000000000002</v>
      </c>
      <c r="AC19" s="18">
        <v>5.4025999999999996</v>
      </c>
      <c r="AD19" s="18">
        <v>5.4139999999999997</v>
      </c>
      <c r="AE19" s="18">
        <v>5.4253</v>
      </c>
    </row>
    <row r="20" spans="2:31" ht="15" thickBot="1" x14ac:dyDescent="0.35">
      <c r="B20" s="15"/>
      <c r="C20" s="15"/>
      <c r="D20" s="15"/>
      <c r="E20" s="37"/>
      <c r="F20" s="15"/>
      <c r="G20" s="15"/>
      <c r="H20" s="15"/>
      <c r="I20" s="15"/>
      <c r="J20" s="15"/>
      <c r="K20" s="15"/>
      <c r="L20" s="15"/>
      <c r="M20" s="15"/>
      <c r="N20" s="15"/>
      <c r="O20" s="15"/>
      <c r="P20" s="15"/>
      <c r="Q20" s="15"/>
      <c r="R20" s="38"/>
      <c r="S20" s="15"/>
      <c r="T20" s="15"/>
      <c r="U20" s="15"/>
      <c r="V20" s="15"/>
      <c r="W20" s="15"/>
      <c r="X20" s="15"/>
      <c r="Y20" s="15"/>
      <c r="Z20" s="15"/>
      <c r="AA20" s="15"/>
      <c r="AB20" s="15"/>
      <c r="AC20" s="15"/>
      <c r="AD20" s="15"/>
      <c r="AE20" s="15"/>
    </row>
    <row r="21" spans="2:31" ht="15" customHeight="1" x14ac:dyDescent="0.3">
      <c r="B21" s="62" t="s">
        <v>14</v>
      </c>
      <c r="C21" s="63"/>
      <c r="D21" s="63"/>
      <c r="E21" s="64"/>
      <c r="F21" s="15"/>
      <c r="G21" s="15"/>
      <c r="H21" s="15"/>
      <c r="I21" s="15"/>
      <c r="J21" s="15"/>
      <c r="K21" s="15"/>
      <c r="L21" s="15"/>
      <c r="M21" s="15"/>
      <c r="N21" s="15"/>
      <c r="O21" s="15"/>
      <c r="P21" s="15"/>
      <c r="Q21" s="15"/>
      <c r="R21" s="38"/>
      <c r="S21" s="15"/>
      <c r="T21" s="15"/>
      <c r="U21" s="15"/>
      <c r="V21" s="15"/>
      <c r="W21" s="15"/>
      <c r="X21" s="15"/>
      <c r="Y21" s="15"/>
      <c r="Z21" s="15"/>
      <c r="AA21" s="15"/>
      <c r="AB21" s="15"/>
      <c r="AC21" s="15"/>
      <c r="AD21" s="15"/>
      <c r="AE21" s="15"/>
    </row>
    <row r="22" spans="2:31" ht="15" thickBot="1" x14ac:dyDescent="0.35">
      <c r="B22" s="46" t="s">
        <v>20</v>
      </c>
      <c r="C22" s="60" t="s">
        <v>49</v>
      </c>
      <c r="D22" s="60"/>
      <c r="E22" s="61"/>
    </row>
    <row r="23" spans="2:31" x14ac:dyDescent="0.3">
      <c r="B23" s="44" t="s">
        <v>24</v>
      </c>
      <c r="C23" s="44" t="s">
        <v>29</v>
      </c>
      <c r="D23" s="44" t="s">
        <v>51</v>
      </c>
      <c r="E23" s="45" t="s">
        <v>55</v>
      </c>
    </row>
    <row r="24" spans="2:31" ht="28.8" x14ac:dyDescent="0.3">
      <c r="B24" s="18" t="s">
        <v>33</v>
      </c>
      <c r="C24" s="18" t="s">
        <v>40</v>
      </c>
      <c r="D24" s="18" t="s">
        <v>48</v>
      </c>
      <c r="E24" s="36" t="s">
        <v>56</v>
      </c>
      <c r="F24" s="32">
        <v>6.6500000000000004E-2</v>
      </c>
      <c r="G24" s="29">
        <v>6.9199999999999998E-2</v>
      </c>
      <c r="H24" s="29">
        <v>7.1900000000000006E-2</v>
      </c>
      <c r="I24" s="29">
        <v>7.4200000000000002E-2</v>
      </c>
      <c r="J24" s="29">
        <v>7.6600000000000001E-2</v>
      </c>
      <c r="K24" s="29">
        <v>8.5199999999999998E-2</v>
      </c>
      <c r="L24" s="29">
        <v>9.3799999999999994E-2</v>
      </c>
      <c r="M24" s="29">
        <v>0.10050000000000001</v>
      </c>
      <c r="N24" s="29">
        <v>0.1071</v>
      </c>
      <c r="O24" s="29">
        <v>0.1144</v>
      </c>
      <c r="P24" s="29">
        <v>0.1216</v>
      </c>
      <c r="Q24" s="29">
        <v>0.21990000000000001</v>
      </c>
      <c r="R24" s="29">
        <v>0.17910000000000001</v>
      </c>
      <c r="S24" s="29">
        <v>0.18290000000000001</v>
      </c>
      <c r="T24" s="29">
        <v>0.18679999999999999</v>
      </c>
      <c r="U24" s="29">
        <v>0.1908</v>
      </c>
      <c r="V24" s="29">
        <v>0.19489999999999999</v>
      </c>
      <c r="W24" s="29">
        <v>0.1991</v>
      </c>
      <c r="X24" s="29">
        <v>0.2034</v>
      </c>
      <c r="Y24" s="29">
        <v>0.2077</v>
      </c>
      <c r="Z24" s="29">
        <v>0.21210000000000001</v>
      </c>
      <c r="AA24" s="29">
        <v>0.2167</v>
      </c>
      <c r="AB24" s="29">
        <v>0.2213</v>
      </c>
      <c r="AC24" s="29">
        <v>0.22600000000000001</v>
      </c>
      <c r="AD24" s="29">
        <v>0.23089999999999999</v>
      </c>
      <c r="AE24" s="29">
        <v>0.23580000000000001</v>
      </c>
    </row>
    <row r="25" spans="2:31" ht="28.8" x14ac:dyDescent="0.3">
      <c r="B25" s="18" t="s">
        <v>34</v>
      </c>
      <c r="C25" s="18" t="s">
        <v>41</v>
      </c>
      <c r="D25" s="18" t="s">
        <v>48</v>
      </c>
      <c r="E25" s="36" t="s">
        <v>56</v>
      </c>
      <c r="F25" s="32">
        <v>7.4999999999999997E-3</v>
      </c>
      <c r="G25" s="29">
        <v>9.1999999999999998E-3</v>
      </c>
      <c r="H25" s="29">
        <v>1.09E-2</v>
      </c>
      <c r="I25" s="29">
        <v>1.26E-2</v>
      </c>
      <c r="J25" s="29">
        <v>1.43E-2</v>
      </c>
      <c r="K25" s="29">
        <v>1.2500000000000001E-2</v>
      </c>
      <c r="L25" s="29">
        <v>1.0699999999999999E-2</v>
      </c>
      <c r="M25" s="29">
        <v>1.24E-2</v>
      </c>
      <c r="N25" s="29">
        <v>1.41E-2</v>
      </c>
      <c r="O25" s="29">
        <v>9.4000000000000004E-3</v>
      </c>
      <c r="P25" s="29">
        <v>4.7000000000000002E-3</v>
      </c>
      <c r="Q25" s="29">
        <v>8.8999999999999999E-3</v>
      </c>
      <c r="R25" s="29">
        <v>8.0999999999999996E-3</v>
      </c>
      <c r="S25" s="29">
        <v>8.3000000000000001E-3</v>
      </c>
      <c r="T25" s="29">
        <v>8.3999999999999995E-3</v>
      </c>
      <c r="U25" s="29">
        <v>8.6E-3</v>
      </c>
      <c r="V25" s="29">
        <v>8.8000000000000005E-3</v>
      </c>
      <c r="W25" s="29">
        <v>8.9999999999999993E-3</v>
      </c>
      <c r="X25" s="29">
        <v>9.1999999999999998E-3</v>
      </c>
      <c r="Y25" s="29">
        <v>9.4000000000000004E-3</v>
      </c>
      <c r="Z25" s="29">
        <v>9.5999999999999992E-3</v>
      </c>
      <c r="AA25" s="29">
        <v>9.7999999999999997E-3</v>
      </c>
      <c r="AB25" s="29">
        <v>0.01</v>
      </c>
      <c r="AC25" s="29">
        <v>1.0200000000000001E-2</v>
      </c>
      <c r="AD25" s="29">
        <v>1.04E-2</v>
      </c>
      <c r="AE25" s="29">
        <v>1.0699999999999999E-2</v>
      </c>
    </row>
    <row r="26" spans="2:31" ht="28.8" x14ac:dyDescent="0.3">
      <c r="B26" s="18" t="s">
        <v>34</v>
      </c>
      <c r="C26" s="18" t="s">
        <v>42</v>
      </c>
      <c r="D26" s="18" t="s">
        <v>48</v>
      </c>
      <c r="E26" s="36" t="s">
        <v>56</v>
      </c>
      <c r="F26" s="32">
        <v>0.31809999999999999</v>
      </c>
      <c r="G26" s="29">
        <v>0.40960000000000002</v>
      </c>
      <c r="H26" s="29">
        <v>0.50119999999999998</v>
      </c>
      <c r="I26" s="29">
        <v>0.44009999999999999</v>
      </c>
      <c r="J26" s="29">
        <v>0.37890000000000001</v>
      </c>
      <c r="K26" s="29">
        <v>0.38300000000000001</v>
      </c>
      <c r="L26" s="29">
        <v>0.38719999999999999</v>
      </c>
      <c r="M26" s="29">
        <v>0.29599999999999999</v>
      </c>
      <c r="N26" s="29">
        <v>0.2049</v>
      </c>
      <c r="O26" s="29">
        <v>0.1522</v>
      </c>
      <c r="P26" s="29">
        <v>9.9500000000000005E-2</v>
      </c>
      <c r="Q26" s="29">
        <v>4.4600000000000001E-2</v>
      </c>
      <c r="R26" s="29">
        <v>0.2117</v>
      </c>
      <c r="S26" s="29">
        <v>0.2162</v>
      </c>
      <c r="T26" s="29">
        <v>0.2208</v>
      </c>
      <c r="U26" s="29">
        <v>0.22559999999999999</v>
      </c>
      <c r="V26" s="29">
        <v>0.23039999999999999</v>
      </c>
      <c r="W26" s="29">
        <v>0.23530000000000001</v>
      </c>
      <c r="X26" s="29">
        <v>0.2404</v>
      </c>
      <c r="Y26" s="29">
        <v>0.2455</v>
      </c>
      <c r="Z26" s="29">
        <v>0.25069999999999998</v>
      </c>
      <c r="AA26" s="29">
        <v>0.25609999999999999</v>
      </c>
      <c r="AB26" s="29">
        <v>0.2616</v>
      </c>
      <c r="AC26" s="29">
        <v>0.26719999999999999</v>
      </c>
      <c r="AD26" s="29">
        <v>0.27289999999999998</v>
      </c>
      <c r="AE26" s="29">
        <v>0.2787</v>
      </c>
    </row>
    <row r="27" spans="2:31" ht="28.8" x14ac:dyDescent="0.3">
      <c r="B27" s="18" t="s">
        <v>35</v>
      </c>
      <c r="C27" s="18" t="s">
        <v>43</v>
      </c>
      <c r="D27" s="18" t="s">
        <v>48</v>
      </c>
      <c r="E27" s="36" t="s">
        <v>56</v>
      </c>
      <c r="F27" s="32">
        <v>0</v>
      </c>
      <c r="G27" s="29">
        <v>8.9999999999999998E-4</v>
      </c>
      <c r="H27" s="29">
        <v>1.8E-3</v>
      </c>
      <c r="I27" s="29">
        <v>1.8E-3</v>
      </c>
      <c r="J27" s="29">
        <v>1.8E-3</v>
      </c>
      <c r="K27" s="29">
        <v>8.9999999999999998E-4</v>
      </c>
      <c r="L27" s="29">
        <v>0</v>
      </c>
      <c r="M27" s="29">
        <v>1.5E-3</v>
      </c>
      <c r="N27" s="29">
        <v>3.0999999999999999E-3</v>
      </c>
      <c r="O27" s="29">
        <v>5.7999999999999996E-3</v>
      </c>
      <c r="P27" s="29">
        <v>8.5000000000000006E-3</v>
      </c>
      <c r="Q27" s="29">
        <v>1.1999999999999999E-3</v>
      </c>
      <c r="R27" s="29">
        <v>1.6999999999999999E-3</v>
      </c>
      <c r="S27" s="29">
        <v>1.6999999999999999E-3</v>
      </c>
      <c r="T27" s="29">
        <v>1.8E-3</v>
      </c>
      <c r="U27" s="29">
        <v>1.8E-3</v>
      </c>
      <c r="V27" s="29">
        <v>1.9E-3</v>
      </c>
      <c r="W27" s="29">
        <v>1.9E-3</v>
      </c>
      <c r="X27" s="29">
        <v>1.9E-3</v>
      </c>
      <c r="Y27" s="29">
        <v>2E-3</v>
      </c>
      <c r="Z27" s="29">
        <v>2E-3</v>
      </c>
      <c r="AA27" s="29">
        <v>2.0999999999999999E-3</v>
      </c>
      <c r="AB27" s="29">
        <v>2.0999999999999999E-3</v>
      </c>
      <c r="AC27" s="29">
        <v>2.0999999999999999E-3</v>
      </c>
      <c r="AD27" s="29">
        <v>2.2000000000000001E-3</v>
      </c>
      <c r="AE27" s="29">
        <v>2.2000000000000001E-3</v>
      </c>
    </row>
    <row r="28" spans="2:31" ht="28.8" x14ac:dyDescent="0.3">
      <c r="B28" s="18" t="s">
        <v>36</v>
      </c>
      <c r="C28" s="18" t="s">
        <v>44</v>
      </c>
      <c r="D28" s="18" t="s">
        <v>48</v>
      </c>
      <c r="E28" s="36" t="s">
        <v>56</v>
      </c>
      <c r="F28" s="32">
        <v>2.98E-2</v>
      </c>
      <c r="G28" s="29">
        <v>3.1699999999999999E-2</v>
      </c>
      <c r="H28" s="29">
        <v>3.3599999999999998E-2</v>
      </c>
      <c r="I28" s="29">
        <v>3.5700000000000003E-2</v>
      </c>
      <c r="J28" s="29">
        <v>3.78E-2</v>
      </c>
      <c r="K28" s="29">
        <v>4.0399999999999998E-2</v>
      </c>
      <c r="L28" s="29">
        <v>4.2900000000000001E-2</v>
      </c>
      <c r="M28" s="29">
        <v>4.9599999999999998E-2</v>
      </c>
      <c r="N28" s="29">
        <v>5.6399999999999999E-2</v>
      </c>
      <c r="O28" s="29">
        <v>4.5900000000000003E-2</v>
      </c>
      <c r="P28" s="29">
        <v>3.5400000000000001E-2</v>
      </c>
      <c r="Q28" s="29">
        <v>7.7899999999999997E-2</v>
      </c>
      <c r="R28" s="29">
        <v>8.0100000000000005E-2</v>
      </c>
      <c r="S28" s="29">
        <v>8.1799999999999998E-2</v>
      </c>
      <c r="T28" s="29">
        <v>8.3599999999999994E-2</v>
      </c>
      <c r="U28" s="29">
        <v>8.5300000000000001E-2</v>
      </c>
      <c r="V28" s="29">
        <v>8.72E-2</v>
      </c>
      <c r="W28" s="29">
        <v>8.8999999999999996E-2</v>
      </c>
      <c r="X28" s="29">
        <v>9.0899999999999995E-2</v>
      </c>
      <c r="Y28" s="29">
        <v>9.2899999999999996E-2</v>
      </c>
      <c r="Z28" s="29">
        <v>9.4899999999999998E-2</v>
      </c>
      <c r="AA28" s="29">
        <v>9.69E-2</v>
      </c>
      <c r="AB28" s="29">
        <v>9.9000000000000005E-2</v>
      </c>
      <c r="AC28" s="29">
        <v>0.1011</v>
      </c>
      <c r="AD28" s="29">
        <v>0.1032</v>
      </c>
      <c r="AE28" s="29">
        <v>0.1055</v>
      </c>
    </row>
    <row r="29" spans="2:31" ht="28.8" x14ac:dyDescent="0.3">
      <c r="B29" s="18" t="s">
        <v>37</v>
      </c>
      <c r="C29" s="18" t="s">
        <v>45</v>
      </c>
      <c r="D29" s="18" t="s">
        <v>48</v>
      </c>
      <c r="E29" s="36" t="s">
        <v>56</v>
      </c>
      <c r="F29" s="32">
        <v>1.2999999999999999E-3</v>
      </c>
      <c r="G29" s="29">
        <v>1.6000000000000001E-3</v>
      </c>
      <c r="H29" s="29">
        <v>1.9E-3</v>
      </c>
      <c r="I29" s="29">
        <v>2.3E-3</v>
      </c>
      <c r="J29" s="29">
        <v>2.7000000000000001E-3</v>
      </c>
      <c r="K29" s="29">
        <v>2.8999999999999998E-3</v>
      </c>
      <c r="L29" s="29">
        <v>3.0000000000000001E-3</v>
      </c>
      <c r="M29" s="29">
        <v>3.5000000000000001E-3</v>
      </c>
      <c r="N29" s="29">
        <v>4.0000000000000001E-3</v>
      </c>
      <c r="O29" s="29">
        <v>7.0000000000000001E-3</v>
      </c>
      <c r="P29" s="29">
        <v>0.01</v>
      </c>
      <c r="Q29" s="29">
        <v>8.6999999999999994E-3</v>
      </c>
      <c r="R29" s="29">
        <v>6.6E-3</v>
      </c>
      <c r="S29" s="29">
        <v>6.7000000000000002E-3</v>
      </c>
      <c r="T29" s="29">
        <v>6.8999999999999999E-3</v>
      </c>
      <c r="U29" s="29">
        <v>7.0000000000000001E-3</v>
      </c>
      <c r="V29" s="29">
        <v>7.1999999999999998E-3</v>
      </c>
      <c r="W29" s="29">
        <v>7.3000000000000001E-3</v>
      </c>
      <c r="X29" s="29">
        <v>7.4999999999999997E-3</v>
      </c>
      <c r="Y29" s="29">
        <v>7.7000000000000002E-3</v>
      </c>
      <c r="Z29" s="29">
        <v>7.7999999999999996E-3</v>
      </c>
      <c r="AA29" s="29">
        <v>8.0000000000000002E-3</v>
      </c>
      <c r="AB29" s="29">
        <v>8.2000000000000007E-3</v>
      </c>
      <c r="AC29" s="29">
        <v>8.3000000000000001E-3</v>
      </c>
      <c r="AD29" s="29">
        <v>8.5000000000000006E-3</v>
      </c>
      <c r="AE29" s="29">
        <v>8.6999999999999994E-3</v>
      </c>
    </row>
    <row r="30" spans="2:31" ht="28.8" x14ac:dyDescent="0.3">
      <c r="B30" s="18" t="s">
        <v>38</v>
      </c>
      <c r="C30" s="18" t="s">
        <v>46</v>
      </c>
      <c r="D30" s="18" t="s">
        <v>48</v>
      </c>
      <c r="E30" s="36" t="s">
        <v>56</v>
      </c>
      <c r="F30" s="32">
        <v>0</v>
      </c>
      <c r="G30" s="29">
        <v>1E-4</v>
      </c>
      <c r="H30" s="29">
        <v>2.0000000000000001E-4</v>
      </c>
      <c r="I30" s="29">
        <v>2.8E-3</v>
      </c>
      <c r="J30" s="29">
        <v>5.4000000000000003E-3</v>
      </c>
      <c r="K30" s="29">
        <v>5.5999999999999999E-3</v>
      </c>
      <c r="L30" s="29">
        <v>5.7000000000000002E-3</v>
      </c>
      <c r="M30" s="29">
        <v>5.3E-3</v>
      </c>
      <c r="N30" s="29">
        <v>4.8999999999999998E-3</v>
      </c>
      <c r="O30" s="29">
        <v>4.3E-3</v>
      </c>
      <c r="P30" s="29">
        <v>3.7000000000000002E-3</v>
      </c>
      <c r="Q30" s="29">
        <v>3.5999999999999999E-3</v>
      </c>
      <c r="R30" s="29">
        <v>3.0000000000000001E-3</v>
      </c>
      <c r="S30" s="29">
        <v>3.0999999999999999E-3</v>
      </c>
      <c r="T30" s="29">
        <v>3.0999999999999999E-3</v>
      </c>
      <c r="U30" s="29">
        <v>3.2000000000000002E-3</v>
      </c>
      <c r="V30" s="29">
        <v>3.3E-3</v>
      </c>
      <c r="W30" s="29">
        <v>3.3E-3</v>
      </c>
      <c r="X30" s="29">
        <v>3.3999999999999998E-3</v>
      </c>
      <c r="Y30" s="29">
        <v>3.5000000000000001E-3</v>
      </c>
      <c r="Z30" s="29">
        <v>3.5999999999999999E-3</v>
      </c>
      <c r="AA30" s="29">
        <v>3.5999999999999999E-3</v>
      </c>
      <c r="AB30" s="29">
        <v>3.7000000000000002E-3</v>
      </c>
      <c r="AC30" s="29">
        <v>3.8E-3</v>
      </c>
      <c r="AD30" s="29">
        <v>3.8999999999999998E-3</v>
      </c>
      <c r="AE30" s="29">
        <v>3.8999999999999998E-3</v>
      </c>
    </row>
    <row r="31" spans="2:31" ht="28.8" x14ac:dyDescent="0.3">
      <c r="B31" s="18" t="s">
        <v>39</v>
      </c>
      <c r="C31" s="18" t="s">
        <v>47</v>
      </c>
      <c r="D31" s="18" t="s">
        <v>48</v>
      </c>
      <c r="E31" s="36" t="s">
        <v>56</v>
      </c>
      <c r="F31" s="32">
        <v>2.9999999999999997E-4</v>
      </c>
      <c r="G31" s="29">
        <v>2.0000000000000001E-4</v>
      </c>
      <c r="H31" s="29">
        <v>0</v>
      </c>
      <c r="I31" s="29">
        <v>2.9999999999999997E-4</v>
      </c>
      <c r="J31" s="29">
        <v>5.0000000000000001E-4</v>
      </c>
      <c r="K31" s="29">
        <v>4.0000000000000002E-4</v>
      </c>
      <c r="L31" s="29">
        <v>4.0000000000000002E-4</v>
      </c>
      <c r="M31" s="29">
        <v>6.9999999999999999E-4</v>
      </c>
      <c r="N31" s="29">
        <v>8.9999999999999998E-4</v>
      </c>
      <c r="O31" s="29">
        <v>5.9999999999999995E-4</v>
      </c>
      <c r="P31" s="29">
        <v>2.9999999999999997E-4</v>
      </c>
      <c r="Q31" s="29">
        <v>5.9999999999999995E-4</v>
      </c>
      <c r="R31" s="29">
        <v>1E-4</v>
      </c>
      <c r="S31" s="29">
        <v>1E-4</v>
      </c>
      <c r="T31" s="29">
        <v>1E-4</v>
      </c>
      <c r="U31" s="29">
        <v>1E-4</v>
      </c>
      <c r="V31" s="29">
        <v>1E-4</v>
      </c>
      <c r="W31" s="29">
        <v>1E-4</v>
      </c>
      <c r="X31" s="29">
        <v>1E-4</v>
      </c>
      <c r="Y31" s="29">
        <v>1E-4</v>
      </c>
      <c r="Z31" s="29">
        <v>1E-4</v>
      </c>
      <c r="AA31" s="29">
        <v>1E-4</v>
      </c>
      <c r="AB31" s="29">
        <v>1E-4</v>
      </c>
      <c r="AC31" s="29">
        <v>1E-4</v>
      </c>
      <c r="AD31" s="29">
        <v>1E-4</v>
      </c>
      <c r="AE31" s="29">
        <v>1E-4</v>
      </c>
    </row>
    <row r="32" spans="2:31" ht="28.8" x14ac:dyDescent="0.3">
      <c r="B32" s="22" t="s">
        <v>21</v>
      </c>
      <c r="C32" s="22" t="s">
        <v>50</v>
      </c>
      <c r="D32" s="22" t="s">
        <v>48</v>
      </c>
      <c r="E32" s="43" t="s">
        <v>56</v>
      </c>
      <c r="F32" s="42">
        <f>SUM(F24:F31)</f>
        <v>0.42350000000000004</v>
      </c>
      <c r="G32" s="34">
        <f t="shared" ref="G32:AE32" si="0">SUM(G24:G31)</f>
        <v>0.52249999999999996</v>
      </c>
      <c r="H32" s="34">
        <f t="shared" si="0"/>
        <v>0.62149999999999994</v>
      </c>
      <c r="I32" s="34">
        <f t="shared" si="0"/>
        <v>0.56979999999999997</v>
      </c>
      <c r="J32" s="34">
        <f t="shared" si="0"/>
        <v>0.51800000000000002</v>
      </c>
      <c r="K32" s="34">
        <f t="shared" si="0"/>
        <v>0.53090000000000004</v>
      </c>
      <c r="L32" s="34">
        <f t="shared" si="0"/>
        <v>0.54369999999999996</v>
      </c>
      <c r="M32" s="34">
        <f t="shared" si="0"/>
        <v>0.46949999999999997</v>
      </c>
      <c r="N32" s="34">
        <f t="shared" si="0"/>
        <v>0.39540000000000003</v>
      </c>
      <c r="O32" s="34">
        <f t="shared" si="0"/>
        <v>0.33960000000000007</v>
      </c>
      <c r="P32" s="34">
        <f t="shared" si="0"/>
        <v>0.28370000000000001</v>
      </c>
      <c r="Q32" s="34">
        <f t="shared" si="0"/>
        <v>0.36539999999999989</v>
      </c>
      <c r="R32" s="34">
        <f t="shared" si="0"/>
        <v>0.4904</v>
      </c>
      <c r="S32" s="34">
        <f t="shared" si="0"/>
        <v>0.50079999999999991</v>
      </c>
      <c r="T32" s="34">
        <f t="shared" si="0"/>
        <v>0.51149999999999995</v>
      </c>
      <c r="U32" s="34">
        <f t="shared" si="0"/>
        <v>0.52239999999999998</v>
      </c>
      <c r="V32" s="34">
        <f t="shared" si="0"/>
        <v>0.53379999999999994</v>
      </c>
      <c r="W32" s="34">
        <f t="shared" si="0"/>
        <v>0.54499999999999993</v>
      </c>
      <c r="X32" s="34">
        <f t="shared" si="0"/>
        <v>0.55679999999999996</v>
      </c>
      <c r="Y32" s="34">
        <f t="shared" si="0"/>
        <v>0.56879999999999997</v>
      </c>
      <c r="Z32" s="34">
        <f t="shared" si="0"/>
        <v>0.58080000000000009</v>
      </c>
      <c r="AA32" s="34">
        <f t="shared" si="0"/>
        <v>0.59330000000000005</v>
      </c>
      <c r="AB32" s="34">
        <f t="shared" si="0"/>
        <v>0.60599999999999998</v>
      </c>
      <c r="AC32" s="34">
        <f t="shared" si="0"/>
        <v>0.61880000000000002</v>
      </c>
      <c r="AD32" s="34">
        <f t="shared" si="0"/>
        <v>0.63209999999999988</v>
      </c>
      <c r="AE32" s="34">
        <f t="shared" si="0"/>
        <v>0.64560000000000006</v>
      </c>
    </row>
    <row r="33" spans="6:6" ht="9.6" customHeight="1" x14ac:dyDescent="0.3"/>
    <row r="39" spans="6:6" customFormat="1" x14ac:dyDescent="0.3"/>
    <row r="43" spans="6:6" x14ac:dyDescent="0.3">
      <c r="F43" s="25"/>
    </row>
    <row r="44" spans="6:6" x14ac:dyDescent="0.3">
      <c r="F44" s="25"/>
    </row>
    <row r="45" spans="6:6" x14ac:dyDescent="0.3">
      <c r="F45" s="25"/>
    </row>
    <row r="46" spans="6:6" x14ac:dyDescent="0.3">
      <c r="F46" s="25"/>
    </row>
    <row r="47" spans="6:6" x14ac:dyDescent="0.3">
      <c r="F47" s="25"/>
    </row>
    <row r="48" spans="6:6" x14ac:dyDescent="0.3">
      <c r="F48" s="25"/>
    </row>
    <row r="49" spans="6:6" x14ac:dyDescent="0.3">
      <c r="F49" s="25"/>
    </row>
    <row r="50" spans="6:6" x14ac:dyDescent="0.3">
      <c r="F50" s="25"/>
    </row>
    <row r="51" spans="6:6" x14ac:dyDescent="0.3">
      <c r="F51" s="25"/>
    </row>
    <row r="52" spans="6:6" x14ac:dyDescent="0.3">
      <c r="F52" s="25"/>
    </row>
    <row r="53" spans="6:6" x14ac:dyDescent="0.3">
      <c r="F53" s="25"/>
    </row>
    <row r="54" spans="6:6" x14ac:dyDescent="0.3">
      <c r="F54" s="25"/>
    </row>
    <row r="55" spans="6:6" x14ac:dyDescent="0.3">
      <c r="F55" s="25"/>
    </row>
    <row r="56" spans="6:6" x14ac:dyDescent="0.3">
      <c r="F56" s="25"/>
    </row>
    <row r="57" spans="6:6" x14ac:dyDescent="0.3">
      <c r="F57" s="25"/>
    </row>
    <row r="58" spans="6:6" x14ac:dyDescent="0.3">
      <c r="F58" s="25"/>
    </row>
    <row r="59" spans="6:6" x14ac:dyDescent="0.3">
      <c r="F59" s="25"/>
    </row>
    <row r="60" spans="6:6" x14ac:dyDescent="0.3">
      <c r="F60" s="25"/>
    </row>
    <row r="61" spans="6:6" x14ac:dyDescent="0.3">
      <c r="F61" s="25"/>
    </row>
    <row r="62" spans="6:6" x14ac:dyDescent="0.3">
      <c r="F62" s="25"/>
    </row>
    <row r="63" spans="6:6" x14ac:dyDescent="0.3">
      <c r="F63" s="25"/>
    </row>
    <row r="64" spans="6:6" x14ac:dyDescent="0.3">
      <c r="F64" s="25"/>
    </row>
    <row r="65" spans="6:6" x14ac:dyDescent="0.3">
      <c r="F65" s="25"/>
    </row>
    <row r="66" spans="6:6" x14ac:dyDescent="0.3">
      <c r="F66" s="25"/>
    </row>
    <row r="67" spans="6:6" x14ac:dyDescent="0.3">
      <c r="F67" s="25"/>
    </row>
    <row r="68" spans="6:6" x14ac:dyDescent="0.3">
      <c r="F68" s="25"/>
    </row>
    <row r="69" spans="6:6" x14ac:dyDescent="0.3">
      <c r="F69" s="25"/>
    </row>
    <row r="70" spans="6:6" x14ac:dyDescent="0.3">
      <c r="F70" s="25"/>
    </row>
    <row r="71" spans="6:6" x14ac:dyDescent="0.3">
      <c r="F71" s="25"/>
    </row>
    <row r="72" spans="6:6" x14ac:dyDescent="0.3">
      <c r="F72" s="25"/>
    </row>
    <row r="73" spans="6:6" x14ac:dyDescent="0.3">
      <c r="F73" s="25"/>
    </row>
    <row r="74" spans="6:6" x14ac:dyDescent="0.3">
      <c r="F74" s="25"/>
    </row>
    <row r="75" spans="6:6" x14ac:dyDescent="0.3">
      <c r="F75" s="25"/>
    </row>
    <row r="76" spans="6:6" x14ac:dyDescent="0.3">
      <c r="F76" s="25"/>
    </row>
    <row r="77" spans="6:6" x14ac:dyDescent="0.3">
      <c r="F77" s="25"/>
    </row>
    <row r="78" spans="6:6" x14ac:dyDescent="0.3">
      <c r="F78" s="25"/>
    </row>
    <row r="79" spans="6:6" x14ac:dyDescent="0.3">
      <c r="F79" s="25"/>
    </row>
    <row r="80" spans="6:6" x14ac:dyDescent="0.3">
      <c r="F80" s="25"/>
    </row>
    <row r="81" spans="6:6" x14ac:dyDescent="0.3">
      <c r="F81" s="25"/>
    </row>
    <row r="82" spans="6:6" x14ac:dyDescent="0.3">
      <c r="F82" s="25"/>
    </row>
    <row r="83" spans="6:6" x14ac:dyDescent="0.3">
      <c r="F83" s="25"/>
    </row>
    <row r="84" spans="6:6" x14ac:dyDescent="0.3">
      <c r="F84" s="25"/>
    </row>
    <row r="85" spans="6:6" x14ac:dyDescent="0.3">
      <c r="F85" s="25"/>
    </row>
    <row r="86" spans="6:6" x14ac:dyDescent="0.3">
      <c r="F86" s="25"/>
    </row>
    <row r="87" spans="6:6" x14ac:dyDescent="0.3">
      <c r="F87" s="25"/>
    </row>
    <row r="88" spans="6:6" x14ac:dyDescent="0.3">
      <c r="F88" s="25"/>
    </row>
    <row r="89" spans="6:6" x14ac:dyDescent="0.3">
      <c r="F89" s="25"/>
    </row>
    <row r="90" spans="6:6" x14ac:dyDescent="0.3">
      <c r="F90" s="25"/>
    </row>
    <row r="91" spans="6:6" x14ac:dyDescent="0.3">
      <c r="F91" s="25"/>
    </row>
    <row r="92" spans="6:6" x14ac:dyDescent="0.3">
      <c r="F92" s="25"/>
    </row>
    <row r="93" spans="6:6" x14ac:dyDescent="0.3">
      <c r="F93" s="25"/>
    </row>
    <row r="94" spans="6:6" x14ac:dyDescent="0.3">
      <c r="F94" s="25"/>
    </row>
    <row r="95" spans="6:6" x14ac:dyDescent="0.3">
      <c r="F95" s="25"/>
    </row>
    <row r="96" spans="6:6" x14ac:dyDescent="0.3">
      <c r="F96" s="25"/>
    </row>
    <row r="97" spans="6:6" x14ac:dyDescent="0.3">
      <c r="F97" s="25"/>
    </row>
    <row r="98" spans="6:6" x14ac:dyDescent="0.3">
      <c r="F98" s="25"/>
    </row>
    <row r="99" spans="6:6" x14ac:dyDescent="0.3">
      <c r="F99" s="25"/>
    </row>
    <row r="100" spans="6:6" x14ac:dyDescent="0.3">
      <c r="F100" s="25"/>
    </row>
    <row r="101" spans="6:6" x14ac:dyDescent="0.3">
      <c r="F101" s="25"/>
    </row>
    <row r="102" spans="6:6" x14ac:dyDescent="0.3">
      <c r="F102" s="25"/>
    </row>
    <row r="103" spans="6:6" x14ac:dyDescent="0.3">
      <c r="F103" s="25"/>
    </row>
  </sheetData>
  <mergeCells count="7">
    <mergeCell ref="B2:E2"/>
    <mergeCell ref="C3:E3"/>
    <mergeCell ref="C17:E17"/>
    <mergeCell ref="B21:E21"/>
    <mergeCell ref="C22:E22"/>
    <mergeCell ref="B11:C11"/>
    <mergeCell ref="B7:E7"/>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ED83D-4ACE-4A34-AA10-FFB1B6B17BC5}">
  <dimension ref="A1:BD30"/>
  <sheetViews>
    <sheetView zoomScale="77" zoomScaleNormal="77" workbookViewId="0">
      <pane ySplit="2" topLeftCell="A3" activePane="bottomLeft" state="frozen"/>
      <selection pane="bottomLeft" activeCell="C24" sqref="C24"/>
    </sheetView>
  </sheetViews>
  <sheetFormatPr baseColWidth="10" defaultRowHeight="14.4" x14ac:dyDescent="0.3"/>
  <cols>
    <col min="1" max="2" width="44" style="92" customWidth="1"/>
    <col min="3" max="3" width="44" style="71" customWidth="1"/>
    <col min="4" max="4" width="44.88671875" style="92" customWidth="1"/>
    <col min="5" max="5" width="12" style="92" bestFit="1" customWidth="1"/>
    <col min="6" max="23" width="11.5546875" style="92"/>
    <col min="24" max="24" width="12.6640625" style="92" bestFit="1" customWidth="1"/>
    <col min="25" max="30" width="11.5546875" style="92"/>
  </cols>
  <sheetData>
    <row r="1" spans="1:30" s="71" customFormat="1" ht="15" thickBot="1" x14ac:dyDescent="0.35">
      <c r="A1" s="92"/>
      <c r="B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row>
    <row r="2" spans="1:30" ht="18" thickBot="1" x14ac:dyDescent="0.35">
      <c r="D2" s="107" t="s">
        <v>11</v>
      </c>
      <c r="E2" s="109">
        <v>2010</v>
      </c>
      <c r="F2" s="110">
        <v>2011</v>
      </c>
      <c r="G2" s="110">
        <v>2012</v>
      </c>
      <c r="H2" s="110">
        <v>2013</v>
      </c>
      <c r="I2" s="110">
        <v>2014</v>
      </c>
      <c r="J2" s="109">
        <v>2015</v>
      </c>
      <c r="K2" s="110">
        <v>2016</v>
      </c>
      <c r="L2" s="110">
        <v>2017</v>
      </c>
      <c r="M2" s="110">
        <v>2018</v>
      </c>
      <c r="N2" s="110">
        <v>2019</v>
      </c>
      <c r="O2" s="109">
        <v>2020</v>
      </c>
      <c r="P2" s="110">
        <v>2021</v>
      </c>
      <c r="Q2" s="110">
        <v>2022</v>
      </c>
      <c r="R2" s="110">
        <v>2023</v>
      </c>
      <c r="S2" s="110">
        <v>2024</v>
      </c>
      <c r="T2" s="109">
        <v>2025</v>
      </c>
      <c r="U2" s="110">
        <v>2026</v>
      </c>
      <c r="V2" s="110">
        <v>2027</v>
      </c>
      <c r="W2" s="110">
        <v>2028</v>
      </c>
      <c r="X2" s="110">
        <v>2029</v>
      </c>
      <c r="Y2" s="109">
        <v>2030</v>
      </c>
      <c r="Z2" s="110">
        <v>2031</v>
      </c>
      <c r="AA2" s="110">
        <v>2032</v>
      </c>
      <c r="AB2" s="110">
        <v>2033</v>
      </c>
      <c r="AC2" s="110">
        <v>2034</v>
      </c>
      <c r="AD2" s="109">
        <v>2035</v>
      </c>
    </row>
    <row r="3" spans="1:30" s="71" customFormat="1" ht="17.399999999999999" x14ac:dyDescent="0.3">
      <c r="A3" s="92"/>
      <c r="B3" s="92"/>
      <c r="D3" s="108" t="s">
        <v>98</v>
      </c>
      <c r="E3" s="103"/>
      <c r="F3" s="104"/>
      <c r="G3" s="104"/>
      <c r="H3" s="104"/>
      <c r="I3" s="104"/>
      <c r="J3" s="103"/>
      <c r="K3" s="104"/>
      <c r="L3" s="104"/>
      <c r="M3" s="104"/>
      <c r="N3" s="104"/>
      <c r="O3" s="103"/>
      <c r="P3" s="104"/>
      <c r="Q3" s="104"/>
      <c r="R3" s="104"/>
      <c r="S3" s="104"/>
      <c r="T3" s="103"/>
      <c r="U3" s="104"/>
      <c r="V3" s="104"/>
      <c r="W3" s="104"/>
      <c r="X3" s="104"/>
      <c r="Y3" s="103"/>
      <c r="Z3" s="104"/>
      <c r="AA3" s="104"/>
      <c r="AB3" s="104"/>
      <c r="AC3" s="104"/>
      <c r="AD3" s="103"/>
    </row>
    <row r="4" spans="1:30" ht="28.8" x14ac:dyDescent="0.3">
      <c r="A4" s="111" t="s">
        <v>68</v>
      </c>
      <c r="B4" s="112" t="s">
        <v>69</v>
      </c>
      <c r="D4" s="89" t="s">
        <v>75</v>
      </c>
      <c r="E4" s="73">
        <v>5.2748999999999997</v>
      </c>
      <c r="F4" s="73">
        <v>5.6681999999999997</v>
      </c>
      <c r="G4" s="73">
        <v>6.0614999999999997</v>
      </c>
      <c r="H4" s="73">
        <v>6.3078000000000003</v>
      </c>
      <c r="I4" s="73">
        <v>6.5541</v>
      </c>
      <c r="J4" s="73">
        <v>5.7819000000000003</v>
      </c>
      <c r="K4" s="73">
        <v>5.0096999999999996</v>
      </c>
      <c r="L4" s="73">
        <v>5.0327999999999999</v>
      </c>
      <c r="M4" s="73">
        <v>5.0559000000000003</v>
      </c>
      <c r="N4" s="73">
        <v>4.2404000000000002</v>
      </c>
      <c r="O4" s="73">
        <v>3.4119000000000002</v>
      </c>
      <c r="P4" s="73">
        <v>5.0137</v>
      </c>
      <c r="Q4" s="73">
        <v>4.6246</v>
      </c>
      <c r="R4" s="73">
        <v>4.8611000000000004</v>
      </c>
      <c r="S4" s="73">
        <v>5.0975000000000001</v>
      </c>
      <c r="T4" s="73">
        <v>5.3339999999999996</v>
      </c>
      <c r="U4" s="73">
        <v>5.5704000000000002</v>
      </c>
      <c r="V4" s="73">
        <v>5.8068</v>
      </c>
      <c r="W4" s="73">
        <v>6.0433000000000003</v>
      </c>
      <c r="X4" s="73">
        <v>6.2797999999999998</v>
      </c>
      <c r="Y4" s="73">
        <v>6.5162000000000004</v>
      </c>
      <c r="Z4" s="73">
        <v>6.7526999999999999</v>
      </c>
      <c r="AA4" s="73">
        <v>6.9892000000000003</v>
      </c>
      <c r="AB4" s="73">
        <v>7.2256</v>
      </c>
      <c r="AC4" s="73">
        <v>7.4621000000000004</v>
      </c>
      <c r="AD4" s="73">
        <v>7.6985000000000001</v>
      </c>
    </row>
    <row r="5" spans="1:30" ht="45.6" customHeight="1" x14ac:dyDescent="0.3">
      <c r="D5" s="83" t="s">
        <v>15</v>
      </c>
      <c r="E5" s="74">
        <v>0.63109999999999999</v>
      </c>
      <c r="F5" s="74">
        <v>0.58720000000000006</v>
      </c>
      <c r="G5" s="74">
        <v>0.54900000000000004</v>
      </c>
      <c r="H5" s="74">
        <v>0.5444</v>
      </c>
      <c r="I5" s="74">
        <v>0.54010000000000002</v>
      </c>
      <c r="J5" s="74">
        <v>0.59</v>
      </c>
      <c r="K5" s="74">
        <v>0.65510000000000002</v>
      </c>
      <c r="L5" s="74">
        <v>0.71640000000000004</v>
      </c>
      <c r="M5" s="75">
        <v>0.77700000000000002</v>
      </c>
      <c r="N5" s="76">
        <v>0.79200000000000004</v>
      </c>
      <c r="O5" s="76">
        <v>0.81730000000000003</v>
      </c>
      <c r="P5" s="76">
        <v>0.79969999999999997</v>
      </c>
      <c r="Q5" s="76">
        <v>0.81399999999999995</v>
      </c>
      <c r="R5" s="76">
        <v>0.81769999999999998</v>
      </c>
      <c r="S5" s="76">
        <v>0.82050000000000001</v>
      </c>
      <c r="T5" s="76">
        <v>0.8226</v>
      </c>
      <c r="U5" s="76">
        <v>0.81879999999999997</v>
      </c>
      <c r="V5" s="76">
        <v>0.81489999999999996</v>
      </c>
      <c r="W5" s="76">
        <v>0.81089999999999995</v>
      </c>
      <c r="X5" s="76">
        <v>0.80669999999999997</v>
      </c>
      <c r="Y5" s="76">
        <v>0.8024</v>
      </c>
      <c r="Z5" s="76">
        <v>0.80389999999999995</v>
      </c>
      <c r="AA5" s="76">
        <v>0.80520000000000003</v>
      </c>
      <c r="AB5" s="76">
        <v>0.80649999999999999</v>
      </c>
      <c r="AC5" s="76">
        <v>0.80769999999999997</v>
      </c>
      <c r="AD5" s="76">
        <v>0.80879999999999996</v>
      </c>
    </row>
    <row r="6" spans="1:30" x14ac:dyDescent="0.3">
      <c r="D6" s="89" t="s">
        <v>62</v>
      </c>
      <c r="E6" s="77">
        <f t="shared" ref="E6:AD6" si="0">ROUND(E4*E5,4)</f>
        <v>3.3290000000000002</v>
      </c>
      <c r="F6" s="77">
        <f t="shared" si="0"/>
        <v>3.3283999999999998</v>
      </c>
      <c r="G6" s="77">
        <f t="shared" si="0"/>
        <v>3.3277999999999999</v>
      </c>
      <c r="H6" s="77">
        <f t="shared" si="0"/>
        <v>3.4340000000000002</v>
      </c>
      <c r="I6" s="77">
        <f t="shared" si="0"/>
        <v>3.5398999999999998</v>
      </c>
      <c r="J6" s="77">
        <f t="shared" si="0"/>
        <v>3.4113000000000002</v>
      </c>
      <c r="K6" s="77">
        <f t="shared" si="0"/>
        <v>3.2818999999999998</v>
      </c>
      <c r="L6" s="77">
        <f t="shared" si="0"/>
        <v>3.6055000000000001</v>
      </c>
      <c r="M6" s="77">
        <f t="shared" si="0"/>
        <v>3.9283999999999999</v>
      </c>
      <c r="N6" s="77">
        <f t="shared" si="0"/>
        <v>3.3584000000000001</v>
      </c>
      <c r="O6" s="77">
        <f t="shared" si="0"/>
        <v>2.7885</v>
      </c>
      <c r="P6" s="77">
        <f t="shared" si="0"/>
        <v>4.0095000000000001</v>
      </c>
      <c r="Q6" s="77">
        <f t="shared" si="0"/>
        <v>3.7644000000000002</v>
      </c>
      <c r="R6" s="77">
        <f t="shared" si="0"/>
        <v>3.9748999999999999</v>
      </c>
      <c r="S6" s="77">
        <f t="shared" si="0"/>
        <v>4.1825000000000001</v>
      </c>
      <c r="T6" s="77">
        <f t="shared" si="0"/>
        <v>4.3876999999999997</v>
      </c>
      <c r="U6" s="77">
        <f t="shared" si="0"/>
        <v>4.5609999999999999</v>
      </c>
      <c r="V6" s="77">
        <f t="shared" si="0"/>
        <v>4.7320000000000002</v>
      </c>
      <c r="W6" s="77">
        <f t="shared" si="0"/>
        <v>4.9005000000000001</v>
      </c>
      <c r="X6" s="77">
        <f t="shared" si="0"/>
        <v>5.0659000000000001</v>
      </c>
      <c r="Y6" s="77">
        <f t="shared" si="0"/>
        <v>5.2286000000000001</v>
      </c>
      <c r="Z6" s="77">
        <f t="shared" si="0"/>
        <v>5.4284999999999997</v>
      </c>
      <c r="AA6" s="77">
        <f t="shared" si="0"/>
        <v>5.6276999999999999</v>
      </c>
      <c r="AB6" s="77">
        <f t="shared" si="0"/>
        <v>5.8273999999999999</v>
      </c>
      <c r="AC6" s="77">
        <f t="shared" si="0"/>
        <v>6.0270999999999999</v>
      </c>
      <c r="AD6" s="77">
        <f t="shared" si="0"/>
        <v>6.2264999999999997</v>
      </c>
    </row>
    <row r="7" spans="1:30" x14ac:dyDescent="0.3">
      <c r="D7" s="83" t="s">
        <v>84</v>
      </c>
      <c r="E7" s="75">
        <v>0.5351532</v>
      </c>
      <c r="F7" s="75">
        <v>0.5351532</v>
      </c>
      <c r="G7" s="75">
        <v>0.5351532</v>
      </c>
      <c r="H7" s="75">
        <v>0.5351532</v>
      </c>
      <c r="I7" s="75">
        <v>0.5351532</v>
      </c>
      <c r="J7" s="75">
        <v>0.5351532</v>
      </c>
      <c r="K7" s="75">
        <v>0.5351532</v>
      </c>
      <c r="L7" s="75">
        <v>0.5351532</v>
      </c>
      <c r="M7" s="75">
        <v>0.5351532</v>
      </c>
      <c r="N7" s="75">
        <v>0.5351532</v>
      </c>
      <c r="O7" s="75">
        <v>0.5351532</v>
      </c>
      <c r="P7" s="75">
        <v>0.5351532</v>
      </c>
      <c r="Q7" s="75">
        <v>0.5351532</v>
      </c>
      <c r="R7" s="75">
        <v>0.5351532</v>
      </c>
      <c r="S7" s="75">
        <v>0.5351532</v>
      </c>
      <c r="T7" s="75">
        <v>0.5351532</v>
      </c>
      <c r="U7" s="75">
        <v>0.5351532</v>
      </c>
      <c r="V7" s="75">
        <v>0.5351532</v>
      </c>
      <c r="W7" s="75">
        <v>0.5351532</v>
      </c>
      <c r="X7" s="75">
        <v>0.5351532</v>
      </c>
      <c r="Y7" s="75">
        <v>0.5351532</v>
      </c>
      <c r="Z7" s="75">
        <v>0.5351532</v>
      </c>
      <c r="AA7" s="75">
        <v>0.5351532</v>
      </c>
      <c r="AB7" s="75">
        <v>0.5351532</v>
      </c>
      <c r="AC7" s="75">
        <v>0.5351532</v>
      </c>
      <c r="AD7" s="75">
        <v>0.5351532</v>
      </c>
    </row>
    <row r="8" spans="1:30" x14ac:dyDescent="0.3">
      <c r="D8" s="89" t="s">
        <v>85</v>
      </c>
      <c r="E8" s="78">
        <v>1.78152</v>
      </c>
      <c r="F8" s="75">
        <v>1.7811900000000001</v>
      </c>
      <c r="G8" s="78">
        <v>1.7808600000000001</v>
      </c>
      <c r="H8" s="75">
        <v>1.8376999999999999</v>
      </c>
      <c r="I8" s="78">
        <v>1.8943700000000001</v>
      </c>
      <c r="J8" s="75">
        <v>1.82558</v>
      </c>
      <c r="K8" s="78">
        <v>1.7562899999999999</v>
      </c>
      <c r="L8" s="75">
        <v>1.9294899999999999</v>
      </c>
      <c r="M8" s="78">
        <v>2.1023100000000001</v>
      </c>
      <c r="N8" s="75">
        <v>1.7972600000000001</v>
      </c>
      <c r="O8" s="78">
        <v>1.4923</v>
      </c>
      <c r="P8" s="75">
        <v>2.14567</v>
      </c>
      <c r="Q8" s="78">
        <v>2.0145400000000002</v>
      </c>
      <c r="R8" s="75">
        <v>2.1271900000000001</v>
      </c>
      <c r="S8" s="78">
        <v>2.23828</v>
      </c>
      <c r="T8" s="75">
        <v>2.3481200000000002</v>
      </c>
      <c r="U8" s="78">
        <v>2.4408599999999998</v>
      </c>
      <c r="V8" s="75">
        <v>2.5323199999999999</v>
      </c>
      <c r="W8" s="78">
        <v>2.6225200000000002</v>
      </c>
      <c r="X8" s="75">
        <v>2.7110400000000001</v>
      </c>
      <c r="Y8" s="78">
        <v>2.7980999999999998</v>
      </c>
      <c r="Z8" s="75">
        <v>2.9050799999999999</v>
      </c>
      <c r="AA8" s="78">
        <v>3.0116800000000001</v>
      </c>
      <c r="AB8" s="75">
        <v>3.1185800000000001</v>
      </c>
      <c r="AC8" s="78">
        <v>3.2254399999999999</v>
      </c>
      <c r="AD8" s="75">
        <v>3.33216</v>
      </c>
    </row>
    <row r="9" spans="1:30" x14ac:dyDescent="0.3">
      <c r="A9" s="87" t="s">
        <v>29</v>
      </c>
      <c r="B9" s="87" t="s">
        <v>55</v>
      </c>
      <c r="D9" s="89" t="s">
        <v>65</v>
      </c>
      <c r="E9" s="79">
        <v>1781.9687670000001</v>
      </c>
      <c r="F9" s="79">
        <v>1784.8022985</v>
      </c>
      <c r="G9" s="79">
        <v>1787.6358299999999</v>
      </c>
      <c r="H9" s="79">
        <v>1836.2279149999999</v>
      </c>
      <c r="I9" s="79">
        <v>1884.82</v>
      </c>
      <c r="J9" s="79">
        <v>1817.78</v>
      </c>
      <c r="K9" s="79">
        <v>1750.74</v>
      </c>
      <c r="L9" s="79">
        <v>1889.885</v>
      </c>
      <c r="M9" s="79">
        <v>2029.03</v>
      </c>
      <c r="N9" s="79">
        <v>1688.4301949999999</v>
      </c>
      <c r="O9" s="79">
        <v>1347.8303900000001</v>
      </c>
      <c r="P9" s="79">
        <v>1964.887972</v>
      </c>
      <c r="Q9" s="79">
        <v>1797.8711719999999</v>
      </c>
      <c r="R9" s="75"/>
      <c r="S9" s="75"/>
      <c r="T9" s="75"/>
      <c r="U9" s="75"/>
      <c r="V9" s="75"/>
      <c r="W9" s="75"/>
      <c r="X9" s="75"/>
      <c r="Y9" s="75"/>
      <c r="Z9" s="75"/>
      <c r="AA9" s="75"/>
      <c r="AB9" s="75"/>
      <c r="AC9" s="75"/>
      <c r="AD9" s="75"/>
    </row>
    <row r="10" spans="1:30" ht="28.8" hidden="1" x14ac:dyDescent="0.3">
      <c r="A10" s="97" t="s">
        <v>13</v>
      </c>
      <c r="B10" s="98" t="s">
        <v>82</v>
      </c>
      <c r="D10" s="89" t="s">
        <v>76</v>
      </c>
      <c r="E10" s="80">
        <v>0</v>
      </c>
      <c r="F10" s="80">
        <v>0</v>
      </c>
      <c r="G10" s="80">
        <v>0</v>
      </c>
      <c r="H10" s="80">
        <v>0</v>
      </c>
      <c r="I10" s="80">
        <v>0</v>
      </c>
      <c r="J10" s="80">
        <v>0</v>
      </c>
      <c r="K10" s="80">
        <v>0</v>
      </c>
      <c r="L10" s="80">
        <v>35.8888888888889</v>
      </c>
      <c r="M10" s="80">
        <v>71.7777777777778</v>
      </c>
      <c r="N10" s="80">
        <v>107.666666666667</v>
      </c>
      <c r="O10" s="80">
        <v>143.555555555556</v>
      </c>
      <c r="P10" s="80">
        <v>179.444444444444</v>
      </c>
      <c r="Q10" s="80">
        <v>215.333333333333</v>
      </c>
      <c r="R10" s="80">
        <v>251.222222222222</v>
      </c>
      <c r="S10" s="80">
        <v>287.11111111111097</v>
      </c>
      <c r="T10" s="80">
        <v>323</v>
      </c>
      <c r="U10" s="80">
        <v>0</v>
      </c>
      <c r="V10" s="80">
        <v>0</v>
      </c>
      <c r="W10" s="80">
        <v>0</v>
      </c>
      <c r="X10" s="80">
        <v>0</v>
      </c>
      <c r="Y10" s="80">
        <v>0</v>
      </c>
      <c r="Z10" s="80">
        <v>0</v>
      </c>
      <c r="AA10" s="80">
        <v>0</v>
      </c>
      <c r="AB10" s="80">
        <v>0</v>
      </c>
      <c r="AC10" s="80">
        <v>0</v>
      </c>
      <c r="AD10" s="80">
        <v>0</v>
      </c>
    </row>
    <row r="11" spans="1:30" ht="28.8" hidden="1" x14ac:dyDescent="0.3">
      <c r="A11" s="93" t="s">
        <v>15</v>
      </c>
      <c r="B11" s="98" t="s">
        <v>83</v>
      </c>
      <c r="D11" s="89" t="s">
        <v>77</v>
      </c>
      <c r="E11" s="80">
        <v>0</v>
      </c>
      <c r="F11" s="80">
        <v>0</v>
      </c>
      <c r="G11" s="80">
        <v>0</v>
      </c>
      <c r="H11" s="80">
        <v>0</v>
      </c>
      <c r="I11" s="80">
        <v>0</v>
      </c>
      <c r="J11" s="80">
        <v>0</v>
      </c>
      <c r="K11" s="80">
        <v>0</v>
      </c>
      <c r="L11" s="80">
        <v>0</v>
      </c>
      <c r="M11" s="80">
        <v>0</v>
      </c>
      <c r="N11" s="80">
        <v>0</v>
      </c>
      <c r="O11" s="80">
        <v>0</v>
      </c>
      <c r="P11" s="80">
        <v>0</v>
      </c>
      <c r="Q11" s="80">
        <v>0</v>
      </c>
      <c r="R11" s="80">
        <v>0</v>
      </c>
      <c r="S11" s="80">
        <v>0</v>
      </c>
      <c r="T11" s="80">
        <v>0</v>
      </c>
      <c r="U11" s="80">
        <v>343.714</v>
      </c>
      <c r="V11" s="80">
        <v>364.428</v>
      </c>
      <c r="W11" s="80">
        <v>385.142</v>
      </c>
      <c r="X11" s="80">
        <v>405.85599999999999</v>
      </c>
      <c r="Y11" s="80">
        <v>426.57</v>
      </c>
      <c r="Z11" s="80">
        <v>447.28399999999999</v>
      </c>
      <c r="AA11" s="80">
        <v>467.99799999999999</v>
      </c>
      <c r="AB11" s="80">
        <v>488.71199999999999</v>
      </c>
      <c r="AC11" s="80">
        <v>509.42599999999999</v>
      </c>
      <c r="AD11" s="80">
        <v>530.14</v>
      </c>
    </row>
    <row r="12" spans="1:30" ht="28.8" x14ac:dyDescent="0.3">
      <c r="A12" s="97" t="s">
        <v>62</v>
      </c>
      <c r="B12" s="98" t="s">
        <v>79</v>
      </c>
      <c r="D12" s="89" t="s">
        <v>66</v>
      </c>
      <c r="E12" s="80">
        <f t="shared" ref="E12:AD13" si="1">E10/1000</f>
        <v>0</v>
      </c>
      <c r="F12" s="75">
        <f t="shared" si="1"/>
        <v>0</v>
      </c>
      <c r="G12" s="75">
        <f t="shared" si="1"/>
        <v>0</v>
      </c>
      <c r="H12" s="75">
        <f t="shared" si="1"/>
        <v>0</v>
      </c>
      <c r="I12" s="75">
        <f t="shared" si="1"/>
        <v>0</v>
      </c>
      <c r="J12" s="75">
        <f t="shared" si="1"/>
        <v>0</v>
      </c>
      <c r="K12" s="75">
        <f t="shared" si="1"/>
        <v>0</v>
      </c>
      <c r="L12" s="75">
        <f t="shared" si="1"/>
        <v>3.5888888888888901E-2</v>
      </c>
      <c r="M12" s="75">
        <f t="shared" si="1"/>
        <v>7.1777777777777801E-2</v>
      </c>
      <c r="N12" s="75">
        <f t="shared" si="1"/>
        <v>0.10766666666666699</v>
      </c>
      <c r="O12" s="75">
        <f t="shared" si="1"/>
        <v>0.14355555555555599</v>
      </c>
      <c r="P12" s="75">
        <f t="shared" si="1"/>
        <v>0.17944444444444399</v>
      </c>
      <c r="Q12" s="75">
        <f t="shared" si="1"/>
        <v>0.21533333333333299</v>
      </c>
      <c r="R12" s="75">
        <f t="shared" si="1"/>
        <v>0.25122222222222201</v>
      </c>
      <c r="S12" s="75">
        <f t="shared" si="1"/>
        <v>0.28711111111111098</v>
      </c>
      <c r="T12" s="75">
        <f t="shared" si="1"/>
        <v>0.32300000000000001</v>
      </c>
      <c r="U12" s="75">
        <f t="shared" si="1"/>
        <v>0</v>
      </c>
      <c r="V12" s="75">
        <f t="shared" si="1"/>
        <v>0</v>
      </c>
      <c r="W12" s="75">
        <f t="shared" si="1"/>
        <v>0</v>
      </c>
      <c r="X12" s="75">
        <f t="shared" si="1"/>
        <v>0</v>
      </c>
      <c r="Y12" s="75">
        <f t="shared" si="1"/>
        <v>0</v>
      </c>
      <c r="Z12" s="75">
        <f t="shared" si="1"/>
        <v>0</v>
      </c>
      <c r="AA12" s="75">
        <f t="shared" si="1"/>
        <v>0</v>
      </c>
      <c r="AB12" s="75">
        <f t="shared" si="1"/>
        <v>0</v>
      </c>
      <c r="AC12" s="75">
        <f t="shared" si="1"/>
        <v>0</v>
      </c>
      <c r="AD12" s="75">
        <f t="shared" si="1"/>
        <v>0</v>
      </c>
    </row>
    <row r="13" spans="1:30" ht="28.8" x14ac:dyDescent="0.3">
      <c r="A13" s="93" t="s">
        <v>63</v>
      </c>
      <c r="B13" s="98" t="s">
        <v>81</v>
      </c>
      <c r="D13" s="89" t="s">
        <v>67</v>
      </c>
      <c r="E13" s="81">
        <f t="shared" si="1"/>
        <v>0</v>
      </c>
      <c r="F13" s="81">
        <f t="shared" si="1"/>
        <v>0</v>
      </c>
      <c r="G13" s="81">
        <f t="shared" si="1"/>
        <v>0</v>
      </c>
      <c r="H13" s="81">
        <f t="shared" si="1"/>
        <v>0</v>
      </c>
      <c r="I13" s="81">
        <f t="shared" si="1"/>
        <v>0</v>
      </c>
      <c r="J13" s="81">
        <f t="shared" si="1"/>
        <v>0</v>
      </c>
      <c r="K13" s="81">
        <f t="shared" si="1"/>
        <v>0</v>
      </c>
      <c r="L13" s="81">
        <f t="shared" si="1"/>
        <v>0</v>
      </c>
      <c r="M13" s="81">
        <f t="shared" si="1"/>
        <v>0</v>
      </c>
      <c r="N13" s="81">
        <f t="shared" si="1"/>
        <v>0</v>
      </c>
      <c r="O13" s="81">
        <f t="shared" si="1"/>
        <v>0</v>
      </c>
      <c r="P13" s="81">
        <f t="shared" si="1"/>
        <v>0</v>
      </c>
      <c r="Q13" s="81">
        <f t="shared" si="1"/>
        <v>0</v>
      </c>
      <c r="R13" s="81">
        <f t="shared" si="1"/>
        <v>0</v>
      </c>
      <c r="S13" s="81">
        <f t="shared" si="1"/>
        <v>0</v>
      </c>
      <c r="T13" s="81">
        <f t="shared" si="1"/>
        <v>0</v>
      </c>
      <c r="U13" s="81">
        <f>U11/1000</f>
        <v>0.34371400000000002</v>
      </c>
      <c r="V13" s="81">
        <f t="shared" si="1"/>
        <v>0.36442799999999997</v>
      </c>
      <c r="W13" s="81">
        <f t="shared" si="1"/>
        <v>0.38514199999999998</v>
      </c>
      <c r="X13" s="81">
        <f t="shared" si="1"/>
        <v>0.40585599999999999</v>
      </c>
      <c r="Y13" s="81">
        <f t="shared" si="1"/>
        <v>0.42657</v>
      </c>
      <c r="Z13" s="81">
        <f t="shared" si="1"/>
        <v>0.44728400000000001</v>
      </c>
      <c r="AA13" s="81">
        <f t="shared" si="1"/>
        <v>0.46799799999999997</v>
      </c>
      <c r="AB13" s="81">
        <f t="shared" si="1"/>
        <v>0.48871199999999998</v>
      </c>
      <c r="AC13" s="81">
        <f t="shared" si="1"/>
        <v>0.50942599999999993</v>
      </c>
      <c r="AD13" s="81">
        <f t="shared" si="1"/>
        <v>0.53013999999999994</v>
      </c>
    </row>
    <row r="14" spans="1:30" ht="33" customHeight="1" x14ac:dyDescent="0.3">
      <c r="A14" s="97" t="s">
        <v>64</v>
      </c>
      <c r="B14" s="98" t="s">
        <v>53</v>
      </c>
      <c r="D14" s="89" t="s">
        <v>70</v>
      </c>
      <c r="E14" s="82">
        <f>E8-E12-E13</f>
        <v>1.78152</v>
      </c>
      <c r="F14" s="82">
        <f>F8-F12-F13</f>
        <v>1.7811900000000001</v>
      </c>
      <c r="G14" s="82">
        <f>G8-G12-G13</f>
        <v>1.7808600000000001</v>
      </c>
      <c r="H14" s="82">
        <f>H8-H12-H13</f>
        <v>1.8376999999999999</v>
      </c>
      <c r="I14" s="82">
        <f>I8-I12-I13</f>
        <v>1.8943700000000001</v>
      </c>
      <c r="J14" s="82">
        <f>J8-J12-J13</f>
        <v>1.82558</v>
      </c>
      <c r="K14" s="82">
        <f>K8-K12-K13</f>
        <v>1.7562899999999999</v>
      </c>
      <c r="L14" s="82">
        <f>L8-L12-L13</f>
        <v>1.8936011111111111</v>
      </c>
      <c r="M14" s="82">
        <f>M8-M12-M13</f>
        <v>2.0305322222222224</v>
      </c>
      <c r="N14" s="82">
        <f>N8-N12-N13</f>
        <v>1.6895933333333331</v>
      </c>
      <c r="O14" s="82">
        <f>O8-O12-O13</f>
        <v>1.3487444444444439</v>
      </c>
      <c r="P14" s="82">
        <f>P8-P12-P13</f>
        <v>1.9662255555555559</v>
      </c>
      <c r="Q14" s="82">
        <f>Q8-Q12-Q13</f>
        <v>1.7992066666666673</v>
      </c>
      <c r="R14" s="82">
        <f>R8-R12-R13</f>
        <v>1.8759677777777781</v>
      </c>
      <c r="S14" s="82">
        <f>S8-S12-S13</f>
        <v>1.9511688888888892</v>
      </c>
      <c r="T14" s="82">
        <f>T8-T12-T13</f>
        <v>2.0251200000000003</v>
      </c>
      <c r="U14" s="82">
        <f>U8-U12-U13</f>
        <v>2.097146</v>
      </c>
      <c r="V14" s="82">
        <f>V8-V12-V13</f>
        <v>2.1678920000000002</v>
      </c>
      <c r="W14" s="82">
        <f>W8-W12-W13</f>
        <v>2.2373780000000001</v>
      </c>
      <c r="X14" s="82">
        <f>X8-X12-X13</f>
        <v>2.3051840000000001</v>
      </c>
      <c r="Y14" s="82">
        <f>Y8-Y12-Y13</f>
        <v>2.3715299999999999</v>
      </c>
      <c r="Z14" s="82">
        <f>Z8-Z12-Z13</f>
        <v>2.4577960000000001</v>
      </c>
      <c r="AA14" s="82">
        <f>AA8-AA12-AA13</f>
        <v>2.543682</v>
      </c>
      <c r="AB14" s="82">
        <f>AB8-AB12-AB13</f>
        <v>2.6298680000000001</v>
      </c>
      <c r="AC14" s="82">
        <f>AC8-AC12-AC13</f>
        <v>2.7160139999999999</v>
      </c>
      <c r="AD14" s="82">
        <f>AD8-AD12-AD13</f>
        <v>2.8020200000000002</v>
      </c>
    </row>
    <row r="15" spans="1:30" x14ac:dyDescent="0.3">
      <c r="A15" s="97" t="s">
        <v>65</v>
      </c>
      <c r="B15" s="98" t="s">
        <v>86</v>
      </c>
      <c r="D15" s="83" t="s">
        <v>71</v>
      </c>
      <c r="E15" s="75">
        <f>E14/E7</f>
        <v>3.3289906516489109</v>
      </c>
      <c r="F15" s="75">
        <f>F14/F7</f>
        <v>3.3283740057987137</v>
      </c>
      <c r="G15" s="75">
        <f>G14/G7</f>
        <v>3.327757359948516</v>
      </c>
      <c r="H15" s="75">
        <f>H14/H7</f>
        <v>3.433969936085592</v>
      </c>
      <c r="I15" s="75">
        <f>I14/I7</f>
        <v>3.5398648461786273</v>
      </c>
      <c r="J15" s="75">
        <f>J14/J7</f>
        <v>3.4113222157692413</v>
      </c>
      <c r="K15" s="75">
        <f>K14/K7</f>
        <v>3.2818452734656169</v>
      </c>
      <c r="L15" s="75">
        <f>L14/L7</f>
        <v>3.538428082110153</v>
      </c>
      <c r="M15" s="75">
        <f>M14/M7</f>
        <v>3.794300813715068</v>
      </c>
      <c r="N15" s="75">
        <f>N14/N7</f>
        <v>3.1572142955201108</v>
      </c>
      <c r="O15" s="75">
        <f>O14/O7</f>
        <v>2.5202959534661176</v>
      </c>
      <c r="P15" s="75">
        <f>P14/P7</f>
        <v>3.6741358466240244</v>
      </c>
      <c r="Q15" s="75">
        <f>Q14/Q7</f>
        <v>3.3620403777211223</v>
      </c>
      <c r="R15" s="75">
        <f>R14/R7</f>
        <v>3.505478015973329</v>
      </c>
      <c r="S15" s="75">
        <f>S14/S7</f>
        <v>3.6460006011155111</v>
      </c>
      <c r="T15" s="75">
        <f>T14/T7</f>
        <v>3.7841874065220953</v>
      </c>
      <c r="U15" s="75">
        <f>U14/U7</f>
        <v>3.9187769035109947</v>
      </c>
      <c r="V15" s="75">
        <f>V14/V7</f>
        <v>4.0509745620506434</v>
      </c>
      <c r="W15" s="75">
        <f>W14/W7</f>
        <v>4.1808177546168093</v>
      </c>
      <c r="X15" s="75">
        <f>X14/X7</f>
        <v>4.3075216592183327</v>
      </c>
      <c r="Y15" s="75">
        <f>Y14/Y7</f>
        <v>4.4314973730886784</v>
      </c>
      <c r="Z15" s="75">
        <f>Z14/Z7</f>
        <v>4.5926960728255013</v>
      </c>
      <c r="AA15" s="75">
        <f>AA14/AA7</f>
        <v>4.7531846955227026</v>
      </c>
      <c r="AB15" s="75">
        <f>AB14/AB7</f>
        <v>4.9142339053564479</v>
      </c>
      <c r="AC15" s="75">
        <f>AC14/AC7</f>
        <v>5.075208370238653</v>
      </c>
      <c r="AD15" s="75">
        <f>AD14/AD7</f>
        <v>5.2359212277904721</v>
      </c>
    </row>
    <row r="16" spans="1:30" ht="28.8" x14ac:dyDescent="0.3">
      <c r="A16" s="97" t="s">
        <v>76</v>
      </c>
      <c r="B16" s="98" t="s">
        <v>80</v>
      </c>
      <c r="D16" s="83"/>
      <c r="E16" s="84">
        <f>E8-E14</f>
        <v>0</v>
      </c>
      <c r="F16" s="84">
        <f>F8-F14</f>
        <v>0</v>
      </c>
      <c r="G16" s="84">
        <f>G8-G14</f>
        <v>0</v>
      </c>
      <c r="H16" s="84">
        <f>H8-H14</f>
        <v>0</v>
      </c>
      <c r="I16" s="84">
        <f>I8-I14</f>
        <v>0</v>
      </c>
      <c r="J16" s="84">
        <f>J8-J14</f>
        <v>0</v>
      </c>
      <c r="K16" s="84">
        <f>K8-K14</f>
        <v>0</v>
      </c>
      <c r="L16" s="84">
        <f>L8-L14</f>
        <v>3.5888888888888859E-2</v>
      </c>
      <c r="M16" s="84">
        <f>M8-M14</f>
        <v>7.1777777777777718E-2</v>
      </c>
      <c r="N16" s="84">
        <f>N8-N14</f>
        <v>0.10766666666666702</v>
      </c>
      <c r="O16" s="84">
        <f>O8-O14</f>
        <v>0.1435555555555561</v>
      </c>
      <c r="P16" s="84">
        <f>P8-P14</f>
        <v>0.17944444444444407</v>
      </c>
      <c r="Q16" s="84">
        <f>Q8-Q14</f>
        <v>0.21533333333333293</v>
      </c>
      <c r="R16" s="84">
        <f>R8-R14</f>
        <v>0.25122222222222201</v>
      </c>
      <c r="S16" s="84">
        <f>S8-S14</f>
        <v>0.28711111111111087</v>
      </c>
      <c r="T16" s="84">
        <f>T8-T14</f>
        <v>0.32299999999999995</v>
      </c>
      <c r="U16" s="84">
        <f>U8-U14</f>
        <v>0.34371399999999985</v>
      </c>
      <c r="V16" s="84">
        <f>V8-V14</f>
        <v>0.36442799999999975</v>
      </c>
      <c r="W16" s="84">
        <f>W8-W14</f>
        <v>0.3851420000000001</v>
      </c>
      <c r="X16" s="84">
        <f>X8-X14</f>
        <v>0.40585599999999999</v>
      </c>
      <c r="Y16" s="84">
        <f>Y8-Y14</f>
        <v>0.42656999999999989</v>
      </c>
      <c r="Z16" s="84">
        <f>Z8-Z14</f>
        <v>0.44728399999999979</v>
      </c>
      <c r="AA16" s="84">
        <f>AA8-AA14</f>
        <v>0.46799800000000014</v>
      </c>
      <c r="AB16" s="84">
        <f>AB8-AB14</f>
        <v>0.48871200000000004</v>
      </c>
      <c r="AC16" s="84">
        <f>AC8-AC14</f>
        <v>0.50942599999999993</v>
      </c>
      <c r="AD16" s="84">
        <f>AD8-AD14</f>
        <v>0.53013999999999983</v>
      </c>
    </row>
    <row r="17" spans="1:56" ht="28.8" x14ac:dyDescent="0.3">
      <c r="A17" s="97" t="s">
        <v>77</v>
      </c>
      <c r="B17" s="98" t="s">
        <v>80</v>
      </c>
      <c r="D17" s="90" t="s">
        <v>78</v>
      </c>
      <c r="E17" s="85">
        <f>E15/E4</f>
        <v>0.63110023917968328</v>
      </c>
      <c r="F17" s="85">
        <f>F15/F4</f>
        <v>0.58720122892606363</v>
      </c>
      <c r="G17" s="85">
        <f>G15/G4</f>
        <v>0.54899898704091665</v>
      </c>
      <c r="H17" s="85">
        <f>H15/H4</f>
        <v>0.54440057327207458</v>
      </c>
      <c r="I17" s="85">
        <f>I15/I4</f>
        <v>0.54009930366924941</v>
      </c>
      <c r="J17" s="85">
        <f>J15/J4</f>
        <v>0.59000021027157878</v>
      </c>
      <c r="K17" s="85">
        <f>K15/K4</f>
        <v>0.65509816425446976</v>
      </c>
      <c r="L17" s="85">
        <f>L15/L4</f>
        <v>0.70307345456011627</v>
      </c>
      <c r="M17" s="85">
        <f>M15/M4</f>
        <v>0.75046990915862022</v>
      </c>
      <c r="N17" s="85">
        <f>N15/N4</f>
        <v>0.74455577198380118</v>
      </c>
      <c r="O17" s="85">
        <f>O15/O4</f>
        <v>0.73867814222753225</v>
      </c>
      <c r="P17" s="85">
        <f>P15/P4</f>
        <v>0.73281924459461567</v>
      </c>
      <c r="Q17" s="85">
        <f>Q15/Q4</f>
        <v>0.72699052409313725</v>
      </c>
      <c r="R17" s="85">
        <f>R15/R4</f>
        <v>0.72112855443692347</v>
      </c>
      <c r="S17" s="85">
        <f>S15/S4</f>
        <v>0.71525269271515668</v>
      </c>
      <c r="T17" s="85">
        <f>T15/T4</f>
        <v>0.70944645791565342</v>
      </c>
      <c r="U17" s="85">
        <f>U15/U4</f>
        <v>0.70350009039045569</v>
      </c>
      <c r="V17" s="85">
        <f>V15/V4</f>
        <v>0.6976259836830343</v>
      </c>
      <c r="W17" s="85">
        <f>W15/W4</f>
        <v>0.69181039409210354</v>
      </c>
      <c r="X17" s="85">
        <f>X15/X4</f>
        <v>0.68593293723021953</v>
      </c>
      <c r="Y17" s="85">
        <f>Y15/Y4</f>
        <v>0.68007387328330593</v>
      </c>
      <c r="Z17" s="85">
        <f>Z15/Z4</f>
        <v>0.68012736724947076</v>
      </c>
      <c r="AA17" s="85">
        <f>AA15/AA4</f>
        <v>0.68007564464068881</v>
      </c>
      <c r="AB17" s="85">
        <f>AB15/AB4</f>
        <v>0.68011430266779893</v>
      </c>
      <c r="AC17" s="85">
        <f>AC15/AC4</f>
        <v>0.68013137993844264</v>
      </c>
      <c r="AD17" s="85">
        <f>AD15/AD4</f>
        <v>0.68012226119250141</v>
      </c>
    </row>
    <row r="18" spans="1:56" x14ac:dyDescent="0.3">
      <c r="D18" s="91" t="s">
        <v>87</v>
      </c>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row>
    <row r="19" spans="1:56" s="71" customFormat="1" x14ac:dyDescent="0.3">
      <c r="A19" s="92"/>
      <c r="B19" s="92"/>
      <c r="D19" s="91"/>
      <c r="E19" s="92"/>
      <c r="F19" s="92"/>
      <c r="G19" s="92"/>
      <c r="H19" s="92"/>
      <c r="I19" s="92"/>
      <c r="J19" s="92"/>
      <c r="K19" s="92"/>
      <c r="L19" s="92"/>
      <c r="M19" s="92"/>
      <c r="N19" s="92"/>
      <c r="O19" s="92"/>
      <c r="P19" s="92"/>
      <c r="Q19" s="92"/>
      <c r="R19" s="92"/>
      <c r="S19" s="92"/>
      <c r="T19" s="92"/>
      <c r="U19" s="92"/>
      <c r="V19" s="92"/>
      <c r="W19" s="92"/>
      <c r="X19" s="92"/>
      <c r="Y19" s="92"/>
      <c r="Z19" s="92"/>
      <c r="AA19" s="92"/>
      <c r="AB19" s="92"/>
      <c r="AC19" s="92"/>
      <c r="AD19" s="92"/>
    </row>
    <row r="20" spans="1:56" s="71" customFormat="1" x14ac:dyDescent="0.3">
      <c r="A20" s="92"/>
      <c r="B20" s="92"/>
      <c r="D20" s="91"/>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row>
    <row r="21" spans="1:56" ht="15" thickBot="1" x14ac:dyDescent="0.35">
      <c r="AE21" s="71"/>
      <c r="AF21" s="71"/>
      <c r="AG21" s="71"/>
      <c r="AH21" s="71"/>
      <c r="AI21" s="71"/>
      <c r="AJ21" s="71"/>
      <c r="AK21" s="71"/>
      <c r="AL21" s="71"/>
      <c r="AM21" s="71"/>
      <c r="AN21" s="71"/>
      <c r="AO21" s="71"/>
      <c r="AP21" s="71"/>
      <c r="AQ21" s="71"/>
      <c r="AR21" s="71"/>
      <c r="AS21" s="71"/>
      <c r="AT21" s="71"/>
      <c r="AU21" s="71"/>
      <c r="AV21" s="71"/>
      <c r="AW21" s="71"/>
      <c r="AX21" s="71"/>
      <c r="AY21" s="71"/>
      <c r="AZ21" s="71"/>
      <c r="BA21" s="71"/>
      <c r="BB21" s="71"/>
      <c r="BC21" s="71"/>
      <c r="BD21" s="71"/>
    </row>
    <row r="22" spans="1:56" ht="18" thickBot="1" x14ac:dyDescent="0.35">
      <c r="C22" s="72"/>
      <c r="D22" s="107" t="s">
        <v>11</v>
      </c>
      <c r="E22" s="53"/>
      <c r="F22" s="102"/>
      <c r="G22" s="102"/>
      <c r="H22" s="102"/>
      <c r="I22" s="102"/>
      <c r="J22" s="53"/>
      <c r="K22" s="102"/>
      <c r="L22" s="102"/>
      <c r="M22" s="102"/>
      <c r="N22" s="102"/>
      <c r="O22" s="53"/>
      <c r="P22" s="102"/>
      <c r="Q22" s="102"/>
      <c r="R22" s="102"/>
      <c r="S22" s="102"/>
      <c r="T22" s="53"/>
      <c r="U22" s="102"/>
      <c r="V22" s="102"/>
      <c r="W22" s="102"/>
      <c r="X22" s="102"/>
      <c r="Y22" s="53"/>
      <c r="Z22" s="102"/>
      <c r="AA22" s="102"/>
      <c r="AB22" s="102"/>
      <c r="AC22" s="102"/>
      <c r="AD22" s="53"/>
    </row>
    <row r="23" spans="1:56" ht="24" customHeight="1" x14ac:dyDescent="0.3">
      <c r="D23" s="108" t="s">
        <v>99</v>
      </c>
      <c r="E23" s="109">
        <v>2010</v>
      </c>
      <c r="F23" s="110">
        <v>2011</v>
      </c>
      <c r="G23" s="110">
        <v>2012</v>
      </c>
      <c r="H23" s="110">
        <v>2013</v>
      </c>
      <c r="I23" s="110">
        <v>2014</v>
      </c>
      <c r="J23" s="109">
        <v>2015</v>
      </c>
      <c r="K23" s="110">
        <v>2016</v>
      </c>
      <c r="L23" s="110">
        <v>2017</v>
      </c>
      <c r="M23" s="110">
        <v>2018</v>
      </c>
      <c r="N23" s="110">
        <v>2019</v>
      </c>
      <c r="O23" s="109">
        <v>2020</v>
      </c>
      <c r="P23" s="110">
        <v>2021</v>
      </c>
      <c r="Q23" s="110">
        <v>2022</v>
      </c>
      <c r="R23" s="110">
        <v>2023</v>
      </c>
      <c r="S23" s="110">
        <v>2024</v>
      </c>
      <c r="T23" s="109">
        <v>2025</v>
      </c>
      <c r="U23" s="110">
        <v>2026</v>
      </c>
      <c r="V23" s="110">
        <v>2027</v>
      </c>
      <c r="W23" s="110">
        <v>2028</v>
      </c>
      <c r="X23" s="110">
        <v>2029</v>
      </c>
      <c r="Y23" s="109">
        <v>2030</v>
      </c>
      <c r="Z23" s="110">
        <v>2031</v>
      </c>
      <c r="AA23" s="110">
        <v>2032</v>
      </c>
      <c r="AB23" s="110">
        <v>2033</v>
      </c>
      <c r="AC23" s="110">
        <v>2034</v>
      </c>
      <c r="AD23" s="109">
        <v>2035</v>
      </c>
      <c r="AE23" s="70"/>
    </row>
    <row r="24" spans="1:56" ht="43.2" x14ac:dyDescent="0.3">
      <c r="A24" s="99" t="s">
        <v>73</v>
      </c>
      <c r="B24" s="100" t="s">
        <v>74</v>
      </c>
      <c r="C24" s="54"/>
      <c r="D24" s="88" t="s">
        <v>92</v>
      </c>
      <c r="E24" s="98">
        <v>0</v>
      </c>
      <c r="F24" s="98">
        <v>0</v>
      </c>
      <c r="G24" s="98">
        <v>0</v>
      </c>
      <c r="H24" s="98">
        <v>0</v>
      </c>
      <c r="I24" s="98">
        <v>0</v>
      </c>
      <c r="J24" s="98">
        <v>0</v>
      </c>
      <c r="K24" s="98">
        <v>0</v>
      </c>
      <c r="L24" s="98">
        <v>0</v>
      </c>
      <c r="M24" s="98">
        <v>0</v>
      </c>
      <c r="N24" s="98">
        <v>0</v>
      </c>
      <c r="O24" s="98">
        <v>0</v>
      </c>
      <c r="P24" s="98">
        <v>0</v>
      </c>
      <c r="Q24" s="98">
        <v>0</v>
      </c>
      <c r="R24" s="98">
        <v>0</v>
      </c>
      <c r="S24" s="98">
        <v>0</v>
      </c>
      <c r="T24" s="98">
        <v>0</v>
      </c>
      <c r="U24" s="98">
        <v>79.25</v>
      </c>
      <c r="V24" s="98">
        <v>158.5</v>
      </c>
      <c r="W24" s="98">
        <v>237.75</v>
      </c>
      <c r="X24" s="98">
        <v>317</v>
      </c>
      <c r="Y24" s="98">
        <v>370.13666666666671</v>
      </c>
      <c r="Z24" s="98">
        <v>423.27333333333337</v>
      </c>
      <c r="AA24" s="98">
        <v>476.41000000000008</v>
      </c>
      <c r="AB24" s="98">
        <v>529.54666666666674</v>
      </c>
      <c r="AC24" s="98">
        <v>582.68333333333339</v>
      </c>
      <c r="AD24" s="98">
        <v>635.82000000000016</v>
      </c>
      <c r="AE24" s="70"/>
    </row>
    <row r="25" spans="1:56" x14ac:dyDescent="0.3">
      <c r="D25" s="93" t="s">
        <v>88</v>
      </c>
      <c r="E25" s="98">
        <v>0.21490000000000001</v>
      </c>
      <c r="F25" s="98">
        <v>0.252</v>
      </c>
      <c r="G25" s="98">
        <v>0.28910000000000002</v>
      </c>
      <c r="H25" s="98">
        <v>0.33179999999999998</v>
      </c>
      <c r="I25" s="98">
        <v>0.3745</v>
      </c>
      <c r="J25" s="98">
        <v>0.42370000000000002</v>
      </c>
      <c r="K25" s="98">
        <v>0.47289999999999999</v>
      </c>
      <c r="L25" s="98">
        <v>0.496</v>
      </c>
      <c r="M25" s="98">
        <v>0.51910000000000001</v>
      </c>
      <c r="N25" s="98">
        <v>0.86109999999999998</v>
      </c>
      <c r="O25" s="98">
        <v>1.2030000000000001</v>
      </c>
      <c r="P25" s="98">
        <v>1.3250999999999999</v>
      </c>
      <c r="Q25" s="98">
        <v>1.9576</v>
      </c>
      <c r="R25" s="98">
        <v>2.3839999999999999</v>
      </c>
      <c r="S25" s="98">
        <v>2.8102999999999998</v>
      </c>
      <c r="T25" s="98">
        <v>3.2366999999999999</v>
      </c>
      <c r="U25" s="98">
        <v>3.6631</v>
      </c>
      <c r="V25" s="98">
        <v>4.0895000000000001</v>
      </c>
      <c r="W25" s="98">
        <v>4.5159000000000002</v>
      </c>
      <c r="X25" s="98">
        <v>4.9421999999999997</v>
      </c>
      <c r="Y25" s="98">
        <v>5.3685999999999998</v>
      </c>
      <c r="Z25" s="98">
        <v>5.38</v>
      </c>
      <c r="AA25" s="98">
        <v>5.3913000000000002</v>
      </c>
      <c r="AB25" s="98">
        <v>5.4025999999999996</v>
      </c>
      <c r="AC25" s="98">
        <v>5.4139999999999997</v>
      </c>
      <c r="AD25" s="98">
        <v>5.4253</v>
      </c>
      <c r="AE25" s="70"/>
    </row>
    <row r="26" spans="1:56" ht="40.200000000000003" customHeight="1" x14ac:dyDescent="0.3">
      <c r="D26" s="94" t="s">
        <v>90</v>
      </c>
      <c r="E26" s="98">
        <v>0</v>
      </c>
      <c r="F26" s="98">
        <v>0</v>
      </c>
      <c r="G26" s="98">
        <v>0</v>
      </c>
      <c r="H26" s="98">
        <v>0</v>
      </c>
      <c r="I26" s="98">
        <v>0</v>
      </c>
      <c r="J26" s="98">
        <v>0</v>
      </c>
      <c r="K26" s="98">
        <v>0</v>
      </c>
      <c r="L26" s="98">
        <v>0</v>
      </c>
      <c r="M26" s="98">
        <v>0</v>
      </c>
      <c r="N26" s="98">
        <v>0</v>
      </c>
      <c r="O26" s="98">
        <v>0</v>
      </c>
      <c r="P26" s="98">
        <v>0</v>
      </c>
      <c r="Q26" s="98">
        <v>0</v>
      </c>
      <c r="R26" s="98">
        <v>0</v>
      </c>
      <c r="S26" s="98">
        <v>0</v>
      </c>
      <c r="T26" s="98">
        <v>0</v>
      </c>
      <c r="U26" s="98">
        <f>U24/1000</f>
        <v>7.9250000000000001E-2</v>
      </c>
      <c r="V26" s="98">
        <f>V24/1000</f>
        <v>0.1585</v>
      </c>
      <c r="W26" s="98">
        <f>W24/1000</f>
        <v>0.23774999999999999</v>
      </c>
      <c r="X26" s="98">
        <f>X24/1000</f>
        <v>0.317</v>
      </c>
      <c r="Y26" s="98">
        <f>Y24/1000</f>
        <v>0.37013666666666672</v>
      </c>
      <c r="Z26" s="98">
        <f>Z24/1000</f>
        <v>0.42327333333333339</v>
      </c>
      <c r="AA26" s="98">
        <f>AA24/1000</f>
        <v>0.47641000000000006</v>
      </c>
      <c r="AB26" s="98">
        <f>AB24/1000</f>
        <v>0.52954666666666672</v>
      </c>
      <c r="AC26" s="98">
        <f>AC24/1000</f>
        <v>0.58268333333333344</v>
      </c>
      <c r="AD26" s="98">
        <f>AD24/1000</f>
        <v>0.63582000000000016</v>
      </c>
      <c r="AE26" s="70"/>
    </row>
    <row r="27" spans="1:56" ht="32.4" customHeight="1" x14ac:dyDescent="0.3">
      <c r="D27" s="94" t="s">
        <v>93</v>
      </c>
      <c r="E27" s="98">
        <v>0</v>
      </c>
      <c r="F27" s="98">
        <v>0</v>
      </c>
      <c r="G27" s="98">
        <v>0</v>
      </c>
      <c r="H27" s="98">
        <v>0</v>
      </c>
      <c r="I27" s="98">
        <v>0</v>
      </c>
      <c r="J27" s="98">
        <v>0</v>
      </c>
      <c r="K27" s="98">
        <v>0</v>
      </c>
      <c r="L27" s="98">
        <v>0</v>
      </c>
      <c r="M27" s="98">
        <v>0</v>
      </c>
      <c r="N27" s="98">
        <v>0</v>
      </c>
      <c r="O27" s="98">
        <v>0</v>
      </c>
      <c r="P27" s="98">
        <v>0</v>
      </c>
      <c r="Q27" s="98">
        <v>0</v>
      </c>
      <c r="R27" s="98">
        <v>0</v>
      </c>
      <c r="S27" s="98">
        <v>0</v>
      </c>
      <c r="T27" s="98">
        <v>0</v>
      </c>
      <c r="U27" s="98">
        <v>0</v>
      </c>
      <c r="V27" s="98">
        <v>0</v>
      </c>
      <c r="W27" s="98">
        <v>0</v>
      </c>
      <c r="X27" s="98">
        <v>1.44E-4</v>
      </c>
      <c r="Y27" s="98">
        <v>2.8800000000000001E-4</v>
      </c>
      <c r="Z27" s="98">
        <v>4.3199999999999998E-4</v>
      </c>
      <c r="AA27" s="98">
        <v>5.7600000000000001E-4</v>
      </c>
      <c r="AB27" s="98">
        <v>7.2000000000000005E-4</v>
      </c>
      <c r="AC27" s="98">
        <v>8.6400000000000008E-4</v>
      </c>
      <c r="AD27" s="98">
        <v>1.008E-3</v>
      </c>
      <c r="AE27" s="70"/>
    </row>
    <row r="28" spans="1:56" ht="28.8" x14ac:dyDescent="0.3">
      <c r="A28" s="101"/>
      <c r="D28" s="94" t="s">
        <v>89</v>
      </c>
      <c r="E28" s="98">
        <f t="shared" ref="E28:S28" si="2">E25-(E27*E25)</f>
        <v>0.21490000000000001</v>
      </c>
      <c r="F28" s="98">
        <f t="shared" si="2"/>
        <v>0.252</v>
      </c>
      <c r="G28" s="98">
        <f t="shared" si="2"/>
        <v>0.28910000000000002</v>
      </c>
      <c r="H28" s="98">
        <f t="shared" si="2"/>
        <v>0.33179999999999998</v>
      </c>
      <c r="I28" s="98">
        <f t="shared" si="2"/>
        <v>0.3745</v>
      </c>
      <c r="J28" s="98">
        <f t="shared" si="2"/>
        <v>0.42370000000000002</v>
      </c>
      <c r="K28" s="98">
        <f t="shared" si="2"/>
        <v>0.47289999999999999</v>
      </c>
      <c r="L28" s="98">
        <f t="shared" si="2"/>
        <v>0.496</v>
      </c>
      <c r="M28" s="98">
        <f t="shared" si="2"/>
        <v>0.51910000000000001</v>
      </c>
      <c r="N28" s="98">
        <f t="shared" si="2"/>
        <v>0.86109999999999998</v>
      </c>
      <c r="O28" s="98">
        <f t="shared" si="2"/>
        <v>1.2030000000000001</v>
      </c>
      <c r="P28" s="98">
        <f t="shared" si="2"/>
        <v>1.3250999999999999</v>
      </c>
      <c r="Q28" s="98">
        <f t="shared" si="2"/>
        <v>1.9576</v>
      </c>
      <c r="R28" s="98">
        <f t="shared" si="2"/>
        <v>2.3839999999999999</v>
      </c>
      <c r="S28" s="98">
        <f t="shared" si="2"/>
        <v>2.8102999999999998</v>
      </c>
      <c r="T28" s="98">
        <f>T25-T26-T27</f>
        <v>3.2366999999999999</v>
      </c>
      <c r="U28" s="98">
        <f t="shared" ref="U28:AD28" si="3">U25-U26-U27</f>
        <v>3.58385</v>
      </c>
      <c r="V28" s="98">
        <f t="shared" si="3"/>
        <v>3.931</v>
      </c>
      <c r="W28" s="98">
        <f t="shared" si="3"/>
        <v>4.2781500000000001</v>
      </c>
      <c r="X28" s="98">
        <f t="shared" si="3"/>
        <v>4.6250559999999998</v>
      </c>
      <c r="Y28" s="98">
        <f t="shared" si="3"/>
        <v>4.9981753333333332</v>
      </c>
      <c r="Z28" s="98">
        <f t="shared" si="3"/>
        <v>4.9562946666666665</v>
      </c>
      <c r="AA28" s="98">
        <f t="shared" si="3"/>
        <v>4.9143140000000001</v>
      </c>
      <c r="AB28" s="98">
        <f t="shared" si="3"/>
        <v>4.8723333333333327</v>
      </c>
      <c r="AC28" s="98">
        <f t="shared" si="3"/>
        <v>4.8304526666666661</v>
      </c>
      <c r="AD28" s="98">
        <f t="shared" si="3"/>
        <v>4.7884720000000005</v>
      </c>
    </row>
    <row r="29" spans="1:56" x14ac:dyDescent="0.3">
      <c r="D29" s="95" t="s">
        <v>72</v>
      </c>
      <c r="E29" s="95">
        <f t="shared" ref="E29:T29" si="4">ROUND(E28/E25,4)</f>
        <v>1</v>
      </c>
      <c r="F29" s="95">
        <f t="shared" si="4"/>
        <v>1</v>
      </c>
      <c r="G29" s="95">
        <f t="shared" si="4"/>
        <v>1</v>
      </c>
      <c r="H29" s="95">
        <f t="shared" si="4"/>
        <v>1</v>
      </c>
      <c r="I29" s="95">
        <f t="shared" si="4"/>
        <v>1</v>
      </c>
      <c r="J29" s="95">
        <f t="shared" si="4"/>
        <v>1</v>
      </c>
      <c r="K29" s="95">
        <f t="shared" si="4"/>
        <v>1</v>
      </c>
      <c r="L29" s="95">
        <f t="shared" si="4"/>
        <v>1</v>
      </c>
      <c r="M29" s="95">
        <f t="shared" si="4"/>
        <v>1</v>
      </c>
      <c r="N29" s="95">
        <f t="shared" si="4"/>
        <v>1</v>
      </c>
      <c r="O29" s="95">
        <f t="shared" si="4"/>
        <v>1</v>
      </c>
      <c r="P29" s="95">
        <f t="shared" si="4"/>
        <v>1</v>
      </c>
      <c r="Q29" s="95">
        <f t="shared" si="4"/>
        <v>1</v>
      </c>
      <c r="R29" s="95">
        <f t="shared" si="4"/>
        <v>1</v>
      </c>
      <c r="S29" s="95">
        <f t="shared" si="4"/>
        <v>1</v>
      </c>
      <c r="T29" s="95">
        <f t="shared" si="4"/>
        <v>1</v>
      </c>
      <c r="U29" s="95">
        <f>ROUND(U28/U25,4)</f>
        <v>0.97840000000000005</v>
      </c>
      <c r="V29" s="95">
        <f t="shared" ref="V29:AD29" si="5">ROUND(V28/V25,4)</f>
        <v>0.96120000000000005</v>
      </c>
      <c r="W29" s="95">
        <f t="shared" si="5"/>
        <v>0.94740000000000002</v>
      </c>
      <c r="X29" s="95">
        <f t="shared" si="5"/>
        <v>0.93579999999999997</v>
      </c>
      <c r="Y29" s="95">
        <f t="shared" si="5"/>
        <v>0.93100000000000005</v>
      </c>
      <c r="Z29" s="95">
        <f t="shared" si="5"/>
        <v>0.92120000000000002</v>
      </c>
      <c r="AA29" s="95">
        <f t="shared" si="5"/>
        <v>0.91149999999999998</v>
      </c>
      <c r="AB29" s="95">
        <f t="shared" si="5"/>
        <v>0.90180000000000005</v>
      </c>
      <c r="AC29" s="95">
        <f t="shared" si="5"/>
        <v>0.89219999999999999</v>
      </c>
      <c r="AD29" s="95">
        <f t="shared" si="5"/>
        <v>0.88260000000000005</v>
      </c>
    </row>
    <row r="30" spans="1:56" x14ac:dyDescent="0.3">
      <c r="D30" s="96" t="s">
        <v>91</v>
      </c>
      <c r="E30" s="86">
        <f>ROUND(1-E29,4)</f>
        <v>0</v>
      </c>
      <c r="F30" s="86">
        <f t="shared" ref="F30:AD30" si="6">ROUND(1-F29,4)</f>
        <v>0</v>
      </c>
      <c r="G30" s="86">
        <f t="shared" si="6"/>
        <v>0</v>
      </c>
      <c r="H30" s="86">
        <f t="shared" si="6"/>
        <v>0</v>
      </c>
      <c r="I30" s="86">
        <f t="shared" si="6"/>
        <v>0</v>
      </c>
      <c r="J30" s="86">
        <f t="shared" si="6"/>
        <v>0</v>
      </c>
      <c r="K30" s="86">
        <f t="shared" si="6"/>
        <v>0</v>
      </c>
      <c r="L30" s="86">
        <f t="shared" si="6"/>
        <v>0</v>
      </c>
      <c r="M30" s="86">
        <f t="shared" si="6"/>
        <v>0</v>
      </c>
      <c r="N30" s="86">
        <f t="shared" si="6"/>
        <v>0</v>
      </c>
      <c r="O30" s="86">
        <f t="shared" si="6"/>
        <v>0</v>
      </c>
      <c r="P30" s="86">
        <f t="shared" si="6"/>
        <v>0</v>
      </c>
      <c r="Q30" s="86">
        <f t="shared" si="6"/>
        <v>0</v>
      </c>
      <c r="R30" s="86">
        <f t="shared" si="6"/>
        <v>0</v>
      </c>
      <c r="S30" s="86">
        <f t="shared" si="6"/>
        <v>0</v>
      </c>
      <c r="T30" s="86">
        <f t="shared" si="6"/>
        <v>0</v>
      </c>
      <c r="U30" s="86">
        <f t="shared" si="6"/>
        <v>2.1600000000000001E-2</v>
      </c>
      <c r="V30" s="86">
        <f t="shared" si="6"/>
        <v>3.8800000000000001E-2</v>
      </c>
      <c r="W30" s="86">
        <f t="shared" si="6"/>
        <v>5.2600000000000001E-2</v>
      </c>
      <c r="X30" s="86">
        <f t="shared" si="6"/>
        <v>6.4199999999999993E-2</v>
      </c>
      <c r="Y30" s="86">
        <f t="shared" si="6"/>
        <v>6.9000000000000006E-2</v>
      </c>
      <c r="Z30" s="86">
        <f t="shared" si="6"/>
        <v>7.8799999999999995E-2</v>
      </c>
      <c r="AA30" s="86">
        <f t="shared" si="6"/>
        <v>8.8499999999999995E-2</v>
      </c>
      <c r="AB30" s="86">
        <f t="shared" si="6"/>
        <v>9.8199999999999996E-2</v>
      </c>
      <c r="AC30" s="86">
        <f t="shared" si="6"/>
        <v>0.10780000000000001</v>
      </c>
      <c r="AD30" s="86">
        <f t="shared" si="6"/>
        <v>0.1174</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9BDB9-BEE0-4894-A34D-16595CE7E5EF}">
  <dimension ref="B1:AD12"/>
  <sheetViews>
    <sheetView workbookViewId="0">
      <selection activeCell="D7" sqref="D7:AC7"/>
    </sheetView>
  </sheetViews>
  <sheetFormatPr baseColWidth="10" defaultColWidth="11.44140625" defaultRowHeight="14.4" x14ac:dyDescent="0.3"/>
  <cols>
    <col min="2" max="2" width="23.77734375" customWidth="1"/>
    <col min="3" max="3" width="60.21875" bestFit="1" customWidth="1"/>
    <col min="4" max="5" width="15" customWidth="1"/>
    <col min="6" max="11" width="15.33203125" customWidth="1"/>
  </cols>
  <sheetData>
    <row r="1" spans="2:30" ht="20.399999999999999" thickBot="1" x14ac:dyDescent="0.35">
      <c r="B1" s="1"/>
      <c r="C1" s="2" t="s">
        <v>11</v>
      </c>
      <c r="D1" s="3">
        <v>2010</v>
      </c>
      <c r="E1" s="3">
        <v>2011</v>
      </c>
      <c r="F1" s="3">
        <v>2012</v>
      </c>
      <c r="G1" s="3">
        <v>2013</v>
      </c>
      <c r="H1" s="3">
        <v>2014</v>
      </c>
      <c r="I1" s="3">
        <v>2015</v>
      </c>
      <c r="J1" s="3">
        <v>2016</v>
      </c>
      <c r="K1" s="3">
        <v>2017</v>
      </c>
      <c r="L1" s="3">
        <v>2018</v>
      </c>
      <c r="M1" s="3">
        <v>2019</v>
      </c>
      <c r="N1" s="3">
        <v>2020</v>
      </c>
      <c r="O1" s="3">
        <v>2021</v>
      </c>
      <c r="P1" s="3">
        <v>2022</v>
      </c>
      <c r="Q1" s="3">
        <v>2023</v>
      </c>
      <c r="R1" s="3">
        <v>2024</v>
      </c>
      <c r="S1" s="3">
        <v>2025</v>
      </c>
      <c r="T1" s="3">
        <v>2026</v>
      </c>
      <c r="U1" s="3">
        <v>2027</v>
      </c>
      <c r="V1" s="3">
        <v>2028</v>
      </c>
      <c r="W1" s="3">
        <v>2029</v>
      </c>
      <c r="X1" s="3">
        <v>2030</v>
      </c>
      <c r="Y1" s="3">
        <v>2031</v>
      </c>
      <c r="Z1" s="3">
        <v>2032</v>
      </c>
      <c r="AA1" s="3">
        <v>2033</v>
      </c>
      <c r="AB1" s="3">
        <v>2034</v>
      </c>
      <c r="AC1" s="3">
        <v>2035</v>
      </c>
      <c r="AD1" s="4"/>
    </row>
    <row r="2" spans="2:30" ht="15" thickBot="1" x14ac:dyDescent="0.35"/>
    <row r="3" spans="2:30" x14ac:dyDescent="0.3">
      <c r="B3" s="5"/>
      <c r="C3" s="6"/>
      <c r="D3" s="6"/>
      <c r="E3" s="6"/>
      <c r="F3" s="6"/>
      <c r="G3" s="6"/>
      <c r="H3" s="6"/>
      <c r="I3" s="6"/>
      <c r="J3" s="6"/>
      <c r="K3" s="6"/>
      <c r="L3" s="6"/>
      <c r="M3" s="6"/>
      <c r="N3" s="6"/>
      <c r="O3" s="6"/>
      <c r="P3" s="6"/>
      <c r="Q3" s="6"/>
      <c r="R3" s="6"/>
      <c r="S3" s="6"/>
      <c r="T3" s="6"/>
      <c r="U3" s="6"/>
      <c r="V3" s="6"/>
      <c r="W3" s="6"/>
      <c r="X3" s="6"/>
      <c r="Y3" s="6"/>
      <c r="Z3" s="6"/>
      <c r="AA3" s="6"/>
      <c r="AB3" s="6"/>
      <c r="AC3" s="6"/>
      <c r="AD3" s="7"/>
    </row>
    <row r="4" spans="2:30" x14ac:dyDescent="0.3">
      <c r="B4" s="8"/>
      <c r="C4" s="9" t="s">
        <v>12</v>
      </c>
      <c r="D4" s="9"/>
      <c r="E4" s="9"/>
      <c r="F4" s="9"/>
      <c r="G4" s="9"/>
      <c r="H4" s="9"/>
      <c r="I4" s="9"/>
      <c r="J4" s="9"/>
      <c r="K4" s="9"/>
      <c r="L4" s="10"/>
      <c r="M4" s="10"/>
      <c r="N4" s="10"/>
      <c r="O4" s="10"/>
      <c r="P4" s="10"/>
      <c r="Q4" s="10"/>
      <c r="R4" s="10"/>
      <c r="S4" s="10"/>
      <c r="T4" s="10"/>
      <c r="U4" s="10"/>
      <c r="V4" s="10"/>
      <c r="W4" s="10"/>
      <c r="X4" s="10"/>
      <c r="Y4" s="10"/>
      <c r="Z4" s="10"/>
      <c r="AA4" s="10"/>
      <c r="AB4" s="10"/>
      <c r="AC4" s="10"/>
      <c r="AD4" s="11"/>
    </row>
    <row r="5" spans="2:30" x14ac:dyDescent="0.3">
      <c r="B5" s="8"/>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1"/>
    </row>
    <row r="6" spans="2:30" x14ac:dyDescent="0.3">
      <c r="B6" s="8" t="s">
        <v>20</v>
      </c>
      <c r="C6" s="9" t="s">
        <v>28</v>
      </c>
      <c r="D6" s="9"/>
      <c r="E6" s="9"/>
      <c r="F6" s="9"/>
      <c r="G6" s="9"/>
      <c r="H6" s="9"/>
      <c r="I6" s="9"/>
      <c r="J6" s="9"/>
      <c r="K6" s="9"/>
      <c r="L6" s="10"/>
      <c r="M6" s="10"/>
      <c r="N6" s="10"/>
      <c r="O6" s="10"/>
      <c r="P6" s="10"/>
      <c r="Q6" s="10"/>
      <c r="R6" s="10"/>
      <c r="S6" s="10"/>
      <c r="T6" s="10"/>
      <c r="U6" s="10"/>
      <c r="V6" s="10"/>
      <c r="W6" s="10"/>
      <c r="X6" s="10"/>
      <c r="Y6" s="10"/>
      <c r="Z6" s="10"/>
      <c r="AA6" s="10"/>
      <c r="AB6" s="10"/>
      <c r="AC6" s="10"/>
      <c r="AD6" s="11"/>
    </row>
    <row r="7" spans="2:30" x14ac:dyDescent="0.3">
      <c r="B7" s="8" t="s">
        <v>18</v>
      </c>
      <c r="C7" s="10" t="s">
        <v>97</v>
      </c>
      <c r="D7" s="105">
        <v>0</v>
      </c>
      <c r="E7" s="105">
        <v>0</v>
      </c>
      <c r="F7" s="105">
        <v>0</v>
      </c>
      <c r="G7" s="105">
        <v>0</v>
      </c>
      <c r="H7" s="105">
        <v>0</v>
      </c>
      <c r="I7" s="105">
        <v>0</v>
      </c>
      <c r="J7" s="105">
        <v>0</v>
      </c>
      <c r="K7" s="105">
        <v>0</v>
      </c>
      <c r="L7" s="105">
        <v>0</v>
      </c>
      <c r="M7" s="105">
        <v>0</v>
      </c>
      <c r="N7" s="105">
        <v>0</v>
      </c>
      <c r="O7" s="105">
        <v>0</v>
      </c>
      <c r="P7" s="105">
        <v>0</v>
      </c>
      <c r="Q7" s="105">
        <v>0</v>
      </c>
      <c r="R7" s="105">
        <v>0</v>
      </c>
      <c r="S7" s="105">
        <v>0</v>
      </c>
      <c r="T7" s="105">
        <v>0</v>
      </c>
      <c r="U7" s="105">
        <v>0</v>
      </c>
      <c r="V7" s="105">
        <v>0</v>
      </c>
      <c r="W7" s="105">
        <v>0</v>
      </c>
      <c r="X7" s="105">
        <v>0</v>
      </c>
      <c r="Y7" s="105">
        <v>0</v>
      </c>
      <c r="Z7" s="105">
        <v>0</v>
      </c>
      <c r="AA7" s="105">
        <v>0</v>
      </c>
      <c r="AB7" s="105">
        <v>0</v>
      </c>
      <c r="AC7" s="105">
        <v>0</v>
      </c>
      <c r="AD7" s="11"/>
    </row>
    <row r="8" spans="2:30" x14ac:dyDescent="0.3">
      <c r="B8" s="8"/>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1"/>
    </row>
    <row r="9" spans="2:30" ht="15" thickBot="1" x14ac:dyDescent="0.35">
      <c r="B9" s="12"/>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4"/>
    </row>
    <row r="10" spans="2:30" x14ac:dyDescent="0.3">
      <c r="B10" t="s">
        <v>59</v>
      </c>
    </row>
    <row r="11" spans="2:30" x14ac:dyDescent="0.3">
      <c r="B11" t="s">
        <v>16</v>
      </c>
    </row>
    <row r="12" spans="2:30" x14ac:dyDescent="0.3">
      <c r="B12" t="s">
        <v>17</v>
      </c>
      <c r="C12" s="16"/>
      <c r="D12" s="16"/>
      <c r="E12" s="16"/>
      <c r="F12" s="16"/>
      <c r="G12" s="16"/>
      <c r="H12" s="16"/>
      <c r="I12" s="16"/>
      <c r="J12" s="16"/>
      <c r="K12" s="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2AE60-05B7-415F-9E40-E4198C8C206B}">
  <dimension ref="B1:AD9"/>
  <sheetViews>
    <sheetView workbookViewId="0">
      <selection activeCell="D6" sqref="D6:AC6"/>
    </sheetView>
  </sheetViews>
  <sheetFormatPr baseColWidth="10" defaultColWidth="9.109375" defaultRowHeight="14.4" x14ac:dyDescent="0.3"/>
  <cols>
    <col min="1" max="2" width="9.109375" style="71"/>
    <col min="3" max="3" width="46.33203125" style="71" customWidth="1"/>
    <col min="4" max="4" width="6.44140625" style="71" bestFit="1" customWidth="1"/>
    <col min="5" max="12" width="6.44140625" style="71" customWidth="1"/>
    <col min="13" max="29" width="6.44140625" style="71" bestFit="1" customWidth="1"/>
    <col min="30" max="30" width="6.44140625" style="71" customWidth="1"/>
    <col min="31" max="16384" width="9.109375" style="71"/>
  </cols>
  <sheetData>
    <row r="1" spans="2:30" ht="20.399999999999999" thickBot="1" x14ac:dyDescent="0.35">
      <c r="B1" s="1"/>
      <c r="C1" s="2" t="s">
        <v>11</v>
      </c>
      <c r="D1" s="3">
        <v>2010</v>
      </c>
      <c r="E1" s="3">
        <v>2011</v>
      </c>
      <c r="F1" s="3">
        <v>2012</v>
      </c>
      <c r="G1" s="3">
        <v>2013</v>
      </c>
      <c r="H1" s="3">
        <v>2014</v>
      </c>
      <c r="I1" s="3">
        <v>2015</v>
      </c>
      <c r="J1" s="3">
        <v>2016</v>
      </c>
      <c r="K1" s="3">
        <v>2017</v>
      </c>
      <c r="L1" s="3">
        <v>2018</v>
      </c>
      <c r="M1" s="3">
        <v>2019</v>
      </c>
      <c r="N1" s="3">
        <v>2020</v>
      </c>
      <c r="O1" s="3">
        <v>2021</v>
      </c>
      <c r="P1" s="3">
        <v>2022</v>
      </c>
      <c r="Q1" s="3">
        <v>2023</v>
      </c>
      <c r="R1" s="3">
        <v>2024</v>
      </c>
      <c r="S1" s="3">
        <v>2025</v>
      </c>
      <c r="T1" s="3">
        <v>2026</v>
      </c>
      <c r="U1" s="3">
        <v>2027</v>
      </c>
      <c r="V1" s="3">
        <v>2028</v>
      </c>
      <c r="W1" s="3">
        <v>2029</v>
      </c>
      <c r="X1" s="3">
        <v>2030</v>
      </c>
      <c r="Y1" s="3">
        <v>2031</v>
      </c>
      <c r="Z1" s="3">
        <v>2032</v>
      </c>
      <c r="AA1" s="3">
        <v>2033</v>
      </c>
      <c r="AB1" s="3">
        <v>2034</v>
      </c>
      <c r="AC1" s="3">
        <v>2035</v>
      </c>
      <c r="AD1" s="4"/>
    </row>
    <row r="2" spans="2:30" ht="15" thickBot="1" x14ac:dyDescent="0.35"/>
    <row r="3" spans="2:30" x14ac:dyDescent="0.3">
      <c r="B3" s="5"/>
      <c r="C3" s="6"/>
      <c r="D3" s="6"/>
      <c r="E3" s="6"/>
      <c r="F3" s="6"/>
      <c r="G3" s="6"/>
      <c r="H3" s="6"/>
      <c r="I3" s="6"/>
      <c r="J3" s="6"/>
      <c r="K3" s="6"/>
      <c r="L3" s="6"/>
      <c r="M3" s="6"/>
      <c r="N3" s="6"/>
      <c r="O3" s="6"/>
      <c r="P3" s="6"/>
      <c r="Q3" s="6"/>
      <c r="R3" s="6"/>
      <c r="S3" s="6"/>
      <c r="T3" s="6"/>
      <c r="U3" s="6"/>
      <c r="V3" s="6"/>
      <c r="W3" s="6"/>
      <c r="X3" s="6"/>
      <c r="Y3" s="6"/>
      <c r="Z3" s="6"/>
      <c r="AA3" s="6"/>
      <c r="AB3" s="6"/>
      <c r="AC3" s="6"/>
      <c r="AD3" s="7"/>
    </row>
    <row r="4" spans="2:30" x14ac:dyDescent="0.3">
      <c r="B4" s="8"/>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1"/>
    </row>
    <row r="5" spans="2:30" x14ac:dyDescent="0.3">
      <c r="B5" s="8"/>
      <c r="C5" s="9" t="s">
        <v>94</v>
      </c>
      <c r="D5" s="10"/>
      <c r="E5" s="10"/>
      <c r="F5" s="10"/>
      <c r="G5" s="10"/>
      <c r="H5" s="10"/>
      <c r="I5" s="10"/>
      <c r="J5" s="10"/>
      <c r="K5" s="10"/>
      <c r="L5" s="10"/>
      <c r="M5" s="10"/>
      <c r="N5" s="10"/>
      <c r="O5" s="10"/>
      <c r="P5" s="10"/>
      <c r="Q5" s="10"/>
      <c r="R5" s="10"/>
      <c r="S5" s="10"/>
      <c r="T5" s="10"/>
      <c r="U5" s="10"/>
      <c r="V5" s="10"/>
      <c r="W5" s="10"/>
      <c r="X5" s="10"/>
      <c r="Y5" s="10"/>
      <c r="Z5" s="10"/>
      <c r="AA5" s="10"/>
      <c r="AB5" s="10"/>
      <c r="AC5" s="10"/>
      <c r="AD5" s="11"/>
    </row>
    <row r="6" spans="2:30" x14ac:dyDescent="0.3">
      <c r="B6" s="8"/>
      <c r="C6" s="10" t="s">
        <v>95</v>
      </c>
      <c r="D6" s="106">
        <v>0.5351532</v>
      </c>
      <c r="E6" s="106">
        <v>0.5351532</v>
      </c>
      <c r="F6" s="106">
        <v>0.5351532</v>
      </c>
      <c r="G6" s="106">
        <v>0.5351532</v>
      </c>
      <c r="H6" s="106">
        <v>0.5351532</v>
      </c>
      <c r="I6" s="106">
        <v>0.5351532</v>
      </c>
      <c r="J6" s="106">
        <v>0.5351532</v>
      </c>
      <c r="K6" s="106">
        <v>0.5351532</v>
      </c>
      <c r="L6" s="106">
        <v>0.5351532</v>
      </c>
      <c r="M6" s="106">
        <v>0.5351532</v>
      </c>
      <c r="N6" s="106">
        <v>0.5351532</v>
      </c>
      <c r="O6" s="106">
        <v>0.5351532</v>
      </c>
      <c r="P6" s="106">
        <v>0.5351532</v>
      </c>
      <c r="Q6" s="106">
        <v>0.5351532</v>
      </c>
      <c r="R6" s="106">
        <v>0.5351532</v>
      </c>
      <c r="S6" s="106">
        <v>0.5351532</v>
      </c>
      <c r="T6" s="106">
        <v>0.5351532</v>
      </c>
      <c r="U6" s="106">
        <v>0.5351532</v>
      </c>
      <c r="V6" s="106">
        <v>0.5351532</v>
      </c>
      <c r="W6" s="106">
        <v>0.5351532</v>
      </c>
      <c r="X6" s="106">
        <v>0.5351532</v>
      </c>
      <c r="Y6" s="106">
        <v>0.5351532</v>
      </c>
      <c r="Z6" s="106">
        <v>0.5351532</v>
      </c>
      <c r="AA6" s="106">
        <v>0.5351532</v>
      </c>
      <c r="AB6" s="106">
        <v>0.5351532</v>
      </c>
      <c r="AC6" s="106">
        <v>0.5351532</v>
      </c>
      <c r="AD6" s="11"/>
    </row>
    <row r="7" spans="2:30" x14ac:dyDescent="0.3">
      <c r="B7" s="8"/>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1"/>
    </row>
    <row r="8" spans="2:30" ht="15" thickBot="1" x14ac:dyDescent="0.35">
      <c r="B8" s="12"/>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4"/>
    </row>
    <row r="9" spans="2:30" x14ac:dyDescent="0.3">
      <c r="B9" s="71" t="s">
        <v>96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README</vt:lpstr>
      <vt:lpstr>Datos base</vt:lpstr>
      <vt:lpstr>PA</vt:lpstr>
      <vt:lpstr>Costos</vt:lpstr>
      <vt:lpstr>Factores de emisiones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Ignacio Alfaro</dc:creator>
  <cp:keywords/>
  <dc:description/>
  <cp:lastModifiedBy>Joselin Quintana</cp:lastModifiedBy>
  <cp:revision/>
  <dcterms:created xsi:type="dcterms:W3CDTF">2015-06-05T18:19:34Z</dcterms:created>
  <dcterms:modified xsi:type="dcterms:W3CDTF">2026-01-29T08:20:35Z</dcterms:modified>
  <cp:category/>
  <cp:contentStatus/>
</cp:coreProperties>
</file>
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lejo\Desktop\work sin BACKUP\NEGOCIOS\eficiencia energetica\2025\micc\fin\"/>
    </mc:Choice>
  </mc:AlternateContent>
  <xr:revisionPtr revIDLastSave="0" documentId="13_ncr:1_{409A063B-28B6-413E-AD52-4E81A4AAB846}" xr6:coauthVersionLast="47" xr6:coauthVersionMax="47" xr10:uidLastSave="{00000000-0000-0000-0000-000000000000}"/>
  <bookViews>
    <workbookView xWindow="28680" yWindow="-120" windowWidth="29040" windowHeight="15720" tabRatio="597" activeTab="1" xr2:uid="{CE6D9514-4688-41D0-B0F4-5D0D7B917043}"/>
  </bookViews>
  <sheets>
    <sheet name="Contenido" sheetId="1" r:id="rId1"/>
    <sheet name="Demandas_PJ" sheetId="2" r:id="rId2"/>
    <sheet name="Generación_anual_PJ_año" sheetId="3" r:id="rId3"/>
    <sheet name="Proyectos_Plantas" sheetId="24" r:id="rId4"/>
    <sheet name="Capacidad_GW" sheetId="13" r:id="rId5"/>
    <sheet name="Producción_Fósil_PJ" sheetId="6" r:id="rId6"/>
    <sheet name="Refinerías_PJ" sheetId="9" r:id="rId7"/>
    <sheet name="FP" sheetId="8" r:id="rId8"/>
    <sheet name="FE" sheetId="21" r:id="rId9"/>
    <sheet name="PCG" sheetId="22" r:id="rId10"/>
  </sheets>
  <definedNames>
    <definedName name="_xlnm._FilterDatabase" localSheetId="1" hidden="1">Demandas_PJ!$B$3:$AE$31</definedName>
    <definedName name="_xlnm._FilterDatabase" localSheetId="8" hidden="1">FE!$C$3:$AE$47</definedName>
    <definedName name="_xlnm._FilterDatabase" localSheetId="2" hidden="1">Generación_anual_PJ_año!$D$3:$AF$62</definedName>
    <definedName name="_xlnm._FilterDatabase" localSheetId="5" hidden="1">Producción_Fósil_PJ!$C$6:$AD$12</definedName>
    <definedName name="_xlnm._FilterDatabase" localSheetId="6" hidden="1">Refinerías_PJ!$B$5:$AC$17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21" l="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F38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34" i="21"/>
  <c r="F21" i="21"/>
  <c r="G13" i="21"/>
  <c r="H13" i="21" s="1"/>
  <c r="I13" i="21" s="1"/>
  <c r="J13" i="21" s="1"/>
  <c r="K13" i="21" s="1"/>
  <c r="L13" i="21" s="1"/>
  <c r="M13" i="21" s="1"/>
  <c r="N13" i="21" s="1"/>
  <c r="O13" i="21" s="1"/>
  <c r="P13" i="21" s="1"/>
  <c r="Q13" i="21" s="1"/>
  <c r="R13" i="21" s="1"/>
  <c r="S13" i="21" s="1"/>
  <c r="T13" i="21" s="1"/>
  <c r="U13" i="21" s="1"/>
  <c r="V13" i="21" s="1"/>
  <c r="W13" i="21" s="1"/>
  <c r="X13" i="21" s="1"/>
  <c r="Y13" i="21" s="1"/>
  <c r="Z13" i="21" s="1"/>
  <c r="AA13" i="21" s="1"/>
  <c r="AB13" i="21" s="1"/>
  <c r="AC13" i="21" s="1"/>
  <c r="AD13" i="21" s="1"/>
  <c r="AE13" i="21" s="1"/>
  <c r="G42" i="21"/>
  <c r="H42" i="21" s="1"/>
  <c r="I42" i="21" s="1"/>
  <c r="J42" i="21" s="1"/>
  <c r="K42" i="21" s="1"/>
  <c r="L42" i="21" s="1"/>
  <c r="M42" i="21" s="1"/>
  <c r="N42" i="21" s="1"/>
  <c r="O42" i="21" s="1"/>
  <c r="P42" i="21" s="1"/>
  <c r="Q42" i="21" s="1"/>
  <c r="R42" i="21" s="1"/>
  <c r="S42" i="21" s="1"/>
  <c r="T42" i="21" s="1"/>
  <c r="U42" i="21" s="1"/>
  <c r="V42" i="21" s="1"/>
  <c r="W42" i="21" s="1"/>
  <c r="X42" i="21" s="1"/>
  <c r="Y42" i="21" s="1"/>
  <c r="Z42" i="21" s="1"/>
  <c r="AA42" i="21" s="1"/>
  <c r="AB42" i="21" s="1"/>
  <c r="AC42" i="21" s="1"/>
  <c r="AD42" i="21" s="1"/>
  <c r="AE42" i="21" s="1"/>
  <c r="G35" i="21"/>
  <c r="H35" i="21" s="1"/>
  <c r="I35" i="21" s="1"/>
  <c r="J35" i="21" s="1"/>
  <c r="K35" i="21" s="1"/>
  <c r="L35" i="21" s="1"/>
  <c r="M35" i="21" s="1"/>
  <c r="N35" i="21" s="1"/>
  <c r="O35" i="21" s="1"/>
  <c r="P35" i="21" s="1"/>
  <c r="Q35" i="21" s="1"/>
  <c r="R35" i="21" s="1"/>
  <c r="S35" i="21" s="1"/>
  <c r="T35" i="21" s="1"/>
  <c r="U35" i="21" s="1"/>
  <c r="V35" i="21" s="1"/>
  <c r="W35" i="21" s="1"/>
  <c r="X35" i="21" s="1"/>
  <c r="Y35" i="21" s="1"/>
  <c r="Z35" i="21" s="1"/>
  <c r="AA35" i="21" s="1"/>
  <c r="AB35" i="21" s="1"/>
  <c r="AC35" i="21" s="1"/>
  <c r="AD35" i="21" s="1"/>
  <c r="AE35" i="21" s="1"/>
  <c r="G29" i="21"/>
  <c r="H29" i="21" s="1"/>
  <c r="I29" i="21" s="1"/>
  <c r="J29" i="21" s="1"/>
  <c r="K29" i="21" s="1"/>
  <c r="L29" i="21" s="1"/>
  <c r="M29" i="21" s="1"/>
  <c r="N29" i="21" s="1"/>
  <c r="O29" i="21" s="1"/>
  <c r="P29" i="21" s="1"/>
  <c r="Q29" i="21" s="1"/>
  <c r="R29" i="21" s="1"/>
  <c r="S29" i="21" s="1"/>
  <c r="T29" i="21" s="1"/>
  <c r="U29" i="21" s="1"/>
  <c r="V29" i="21" s="1"/>
  <c r="W29" i="21" s="1"/>
  <c r="X29" i="21" s="1"/>
  <c r="Y29" i="21" s="1"/>
  <c r="Z29" i="21" s="1"/>
  <c r="AA29" i="21" s="1"/>
  <c r="AB29" i="21" s="1"/>
  <c r="AC29" i="21" s="1"/>
  <c r="AD29" i="21" s="1"/>
  <c r="AE29" i="21" s="1"/>
  <c r="G22" i="21"/>
  <c r="H22" i="21" s="1"/>
  <c r="I22" i="21" s="1"/>
  <c r="J22" i="21" s="1"/>
  <c r="K22" i="21" s="1"/>
  <c r="L22" i="21" s="1"/>
  <c r="M22" i="21" s="1"/>
  <c r="N22" i="21" s="1"/>
  <c r="O22" i="21" s="1"/>
  <c r="P22" i="21" s="1"/>
  <c r="Q22" i="21" s="1"/>
  <c r="R22" i="21" s="1"/>
  <c r="S22" i="21" s="1"/>
  <c r="T22" i="21" s="1"/>
  <c r="U22" i="21" s="1"/>
  <c r="V22" i="21" s="1"/>
  <c r="W22" i="21" s="1"/>
  <c r="X22" i="21" s="1"/>
  <c r="Y22" i="21" s="1"/>
  <c r="Z22" i="21" s="1"/>
  <c r="AA22" i="21" s="1"/>
  <c r="AB22" i="21" s="1"/>
  <c r="AC22" i="21" s="1"/>
  <c r="AD22" i="21" s="1"/>
  <c r="AE22" i="21" s="1"/>
  <c r="G12" i="21"/>
  <c r="H12" i="21" s="1"/>
  <c r="I12" i="21" s="1"/>
  <c r="J12" i="21" s="1"/>
  <c r="K12" i="21" s="1"/>
  <c r="L12" i="21" s="1"/>
  <c r="M12" i="21" s="1"/>
  <c r="N12" i="21" s="1"/>
  <c r="O12" i="21" s="1"/>
  <c r="P12" i="21" s="1"/>
  <c r="Q12" i="21" s="1"/>
  <c r="R12" i="21" s="1"/>
  <c r="S12" i="21" s="1"/>
  <c r="T12" i="21" s="1"/>
  <c r="U12" i="21" s="1"/>
  <c r="V12" i="21" s="1"/>
  <c r="W12" i="21" s="1"/>
  <c r="X12" i="21" s="1"/>
  <c r="Y12" i="21" s="1"/>
  <c r="Z12" i="21" s="1"/>
  <c r="AA12" i="21" s="1"/>
  <c r="AB12" i="21" s="1"/>
  <c r="AC12" i="21" s="1"/>
  <c r="AD12" i="21" s="1"/>
  <c r="AE12" i="21" s="1"/>
  <c r="G6" i="2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AB6" i="21" s="1"/>
  <c r="AC6" i="21" s="1"/>
  <c r="AD6" i="21" s="1"/>
  <c r="AE6" i="21" s="1"/>
  <c r="G47" i="21"/>
  <c r="H47" i="21" s="1"/>
  <c r="I47" i="21" s="1"/>
  <c r="J47" i="21" s="1"/>
  <c r="K47" i="21" s="1"/>
  <c r="L47" i="21" s="1"/>
  <c r="M47" i="21" s="1"/>
  <c r="N47" i="21" s="1"/>
  <c r="O47" i="21" s="1"/>
  <c r="P47" i="21" s="1"/>
  <c r="Q47" i="21" s="1"/>
  <c r="R47" i="21" s="1"/>
  <c r="S47" i="21" s="1"/>
  <c r="T47" i="21" s="1"/>
  <c r="U47" i="21" s="1"/>
  <c r="V47" i="21" s="1"/>
  <c r="W47" i="21" s="1"/>
  <c r="X47" i="21" s="1"/>
  <c r="Y47" i="21" s="1"/>
  <c r="Z47" i="21" s="1"/>
  <c r="AA47" i="21" s="1"/>
  <c r="AB47" i="21" s="1"/>
  <c r="AC47" i="21" s="1"/>
  <c r="AD47" i="21" s="1"/>
  <c r="AE47" i="21" s="1"/>
  <c r="G44" i="21"/>
  <c r="H44" i="21" s="1"/>
  <c r="I44" i="21" s="1"/>
  <c r="J44" i="21" s="1"/>
  <c r="K44" i="21" s="1"/>
  <c r="L44" i="21" s="1"/>
  <c r="M44" i="21" s="1"/>
  <c r="N44" i="21" s="1"/>
  <c r="O44" i="21" s="1"/>
  <c r="P44" i="21" s="1"/>
  <c r="Q44" i="21" s="1"/>
  <c r="R44" i="21" s="1"/>
  <c r="S44" i="21" s="1"/>
  <c r="T44" i="21" s="1"/>
  <c r="U44" i="21" s="1"/>
  <c r="V44" i="21" s="1"/>
  <c r="W44" i="21" s="1"/>
  <c r="X44" i="21" s="1"/>
  <c r="Y44" i="21" s="1"/>
  <c r="Z44" i="21" s="1"/>
  <c r="AA44" i="21" s="1"/>
  <c r="AB44" i="21" s="1"/>
  <c r="AC44" i="21" s="1"/>
  <c r="AD44" i="21" s="1"/>
  <c r="AE44" i="21" s="1"/>
  <c r="G41" i="21"/>
  <c r="H41" i="21" s="1"/>
  <c r="I41" i="21" s="1"/>
  <c r="J41" i="21" s="1"/>
  <c r="K41" i="21" s="1"/>
  <c r="L41" i="21" s="1"/>
  <c r="M41" i="21" s="1"/>
  <c r="N41" i="21" s="1"/>
  <c r="O41" i="21" s="1"/>
  <c r="P41" i="21" s="1"/>
  <c r="Q41" i="21" s="1"/>
  <c r="R41" i="21" s="1"/>
  <c r="S41" i="21" s="1"/>
  <c r="T41" i="21" s="1"/>
  <c r="U41" i="21" s="1"/>
  <c r="V41" i="21" s="1"/>
  <c r="W41" i="21" s="1"/>
  <c r="X41" i="21" s="1"/>
  <c r="Y41" i="21" s="1"/>
  <c r="Z41" i="21" s="1"/>
  <c r="AA41" i="21" s="1"/>
  <c r="AB41" i="21" s="1"/>
  <c r="AC41" i="21" s="1"/>
  <c r="AD41" i="21" s="1"/>
  <c r="AE41" i="21" s="1"/>
  <c r="G36" i="21"/>
  <c r="H36" i="21" s="1"/>
  <c r="I36" i="21" s="1"/>
  <c r="J36" i="21" s="1"/>
  <c r="K36" i="21" s="1"/>
  <c r="L36" i="21" s="1"/>
  <c r="M36" i="21" s="1"/>
  <c r="N36" i="21" s="1"/>
  <c r="O36" i="21" s="1"/>
  <c r="P36" i="21" s="1"/>
  <c r="Q36" i="21" s="1"/>
  <c r="R36" i="21" s="1"/>
  <c r="S36" i="21" s="1"/>
  <c r="T36" i="21" s="1"/>
  <c r="U36" i="21" s="1"/>
  <c r="V36" i="21" s="1"/>
  <c r="W36" i="21" s="1"/>
  <c r="X36" i="21" s="1"/>
  <c r="Y36" i="21" s="1"/>
  <c r="Z36" i="21" s="1"/>
  <c r="AA36" i="21" s="1"/>
  <c r="AB36" i="21" s="1"/>
  <c r="AC36" i="21" s="1"/>
  <c r="AD36" i="21" s="1"/>
  <c r="AE36" i="21" s="1"/>
  <c r="G27" i="21"/>
  <c r="H27" i="21" s="1"/>
  <c r="I27" i="21" s="1"/>
  <c r="J27" i="21" s="1"/>
  <c r="K27" i="21" s="1"/>
  <c r="L27" i="21" s="1"/>
  <c r="M27" i="21" s="1"/>
  <c r="N27" i="21" s="1"/>
  <c r="O27" i="21" s="1"/>
  <c r="P27" i="21" s="1"/>
  <c r="Q27" i="21" s="1"/>
  <c r="R27" i="21" s="1"/>
  <c r="S27" i="21" s="1"/>
  <c r="T27" i="21" s="1"/>
  <c r="U27" i="21" s="1"/>
  <c r="V27" i="21" s="1"/>
  <c r="W27" i="21" s="1"/>
  <c r="X27" i="21" s="1"/>
  <c r="Y27" i="21" s="1"/>
  <c r="Z27" i="21" s="1"/>
  <c r="AA27" i="21" s="1"/>
  <c r="AB27" i="21" s="1"/>
  <c r="AC27" i="21" s="1"/>
  <c r="AD27" i="21" s="1"/>
  <c r="AE27" i="21" s="1"/>
  <c r="G20" i="21"/>
  <c r="H20" i="21" s="1"/>
  <c r="I20" i="21" s="1"/>
  <c r="J20" i="21" s="1"/>
  <c r="K20" i="21" s="1"/>
  <c r="L20" i="21" s="1"/>
  <c r="M20" i="21" s="1"/>
  <c r="N20" i="21" s="1"/>
  <c r="O20" i="21" s="1"/>
  <c r="P20" i="21" s="1"/>
  <c r="Q20" i="21" s="1"/>
  <c r="R20" i="21" s="1"/>
  <c r="S20" i="21" s="1"/>
  <c r="T20" i="21" s="1"/>
  <c r="U20" i="21" s="1"/>
  <c r="V20" i="21" s="1"/>
  <c r="W20" i="21" s="1"/>
  <c r="X20" i="21" s="1"/>
  <c r="Y20" i="21" s="1"/>
  <c r="Z20" i="21" s="1"/>
  <c r="AA20" i="21" s="1"/>
  <c r="AB20" i="21" s="1"/>
  <c r="AC20" i="21" s="1"/>
  <c r="AD20" i="21" s="1"/>
  <c r="AE20" i="21" s="1"/>
  <c r="G11" i="21"/>
  <c r="H11" i="21" s="1"/>
  <c r="I11" i="21" s="1"/>
  <c r="J11" i="21" s="1"/>
  <c r="K11" i="21" s="1"/>
  <c r="L11" i="21" s="1"/>
  <c r="M11" i="21" s="1"/>
  <c r="N11" i="21" s="1"/>
  <c r="O11" i="21" s="1"/>
  <c r="P11" i="21" s="1"/>
  <c r="Q11" i="21" s="1"/>
  <c r="R11" i="21" s="1"/>
  <c r="S11" i="21" s="1"/>
  <c r="T11" i="21" s="1"/>
  <c r="U11" i="21" s="1"/>
  <c r="V11" i="21" s="1"/>
  <c r="W11" i="21" s="1"/>
  <c r="X11" i="21" s="1"/>
  <c r="Y11" i="21" s="1"/>
  <c r="Z11" i="21" s="1"/>
  <c r="AA11" i="21" s="1"/>
  <c r="AB11" i="21" s="1"/>
  <c r="AC11" i="21" s="1"/>
  <c r="AD11" i="21" s="1"/>
  <c r="AE11" i="21" s="1"/>
  <c r="G5" i="21"/>
  <c r="H5" i="21" s="1"/>
  <c r="I5" i="21" s="1"/>
  <c r="J5" i="21" s="1"/>
  <c r="K5" i="21" s="1"/>
  <c r="L5" i="21" s="1"/>
  <c r="M5" i="21" s="1"/>
  <c r="N5" i="21" s="1"/>
  <c r="O5" i="21" s="1"/>
  <c r="P5" i="21" s="1"/>
  <c r="Q5" i="21" s="1"/>
  <c r="R5" i="21" s="1"/>
  <c r="S5" i="21" s="1"/>
  <c r="T5" i="21" s="1"/>
  <c r="U5" i="21" s="1"/>
  <c r="V5" i="21" s="1"/>
  <c r="W5" i="21" s="1"/>
  <c r="X5" i="21" s="1"/>
  <c r="Y5" i="21" s="1"/>
  <c r="Z5" i="21" s="1"/>
  <c r="AA5" i="21" s="1"/>
  <c r="AB5" i="21" s="1"/>
  <c r="AC5" i="21" s="1"/>
  <c r="AD5" i="21" s="1"/>
  <c r="AE5" i="21" s="1"/>
  <c r="G45" i="21"/>
  <c r="H45" i="21" s="1"/>
  <c r="I45" i="21" s="1"/>
  <c r="J45" i="21" s="1"/>
  <c r="K45" i="21" s="1"/>
  <c r="L45" i="21" s="1"/>
  <c r="M45" i="21" s="1"/>
  <c r="N45" i="21" s="1"/>
  <c r="O45" i="21" s="1"/>
  <c r="P45" i="21" s="1"/>
  <c r="Q45" i="21" s="1"/>
  <c r="R45" i="21" s="1"/>
  <c r="S45" i="21" s="1"/>
  <c r="T45" i="21" s="1"/>
  <c r="U45" i="21" s="1"/>
  <c r="V45" i="21" s="1"/>
  <c r="W45" i="21" s="1"/>
  <c r="X45" i="21" s="1"/>
  <c r="Y45" i="21" s="1"/>
  <c r="Z45" i="21" s="1"/>
  <c r="AA45" i="21" s="1"/>
  <c r="AB45" i="21" s="1"/>
  <c r="AC45" i="21" s="1"/>
  <c r="AD45" i="21" s="1"/>
  <c r="AE45" i="21" s="1"/>
  <c r="G43" i="21"/>
  <c r="H43" i="21" s="1"/>
  <c r="I43" i="21" s="1"/>
  <c r="J43" i="21" s="1"/>
  <c r="K43" i="21" s="1"/>
  <c r="L43" i="21" s="1"/>
  <c r="M43" i="21" s="1"/>
  <c r="N43" i="21" s="1"/>
  <c r="O43" i="21" s="1"/>
  <c r="P43" i="21" s="1"/>
  <c r="Q43" i="21" s="1"/>
  <c r="R43" i="21" s="1"/>
  <c r="S43" i="21" s="1"/>
  <c r="T43" i="21" s="1"/>
  <c r="U43" i="21" s="1"/>
  <c r="V43" i="21" s="1"/>
  <c r="W43" i="21" s="1"/>
  <c r="X43" i="21" s="1"/>
  <c r="Y43" i="21" s="1"/>
  <c r="Z43" i="21" s="1"/>
  <c r="AA43" i="21" s="1"/>
  <c r="AB43" i="21" s="1"/>
  <c r="AC43" i="21" s="1"/>
  <c r="AD43" i="21" s="1"/>
  <c r="AE43" i="21" s="1"/>
  <c r="G39" i="21"/>
  <c r="H39" i="21" s="1"/>
  <c r="I39" i="21" s="1"/>
  <c r="J39" i="21" s="1"/>
  <c r="K39" i="21" s="1"/>
  <c r="L39" i="21" s="1"/>
  <c r="M39" i="21" s="1"/>
  <c r="N39" i="21" s="1"/>
  <c r="O39" i="21" s="1"/>
  <c r="P39" i="21" s="1"/>
  <c r="Q39" i="21" s="1"/>
  <c r="R39" i="21" s="1"/>
  <c r="S39" i="21" s="1"/>
  <c r="T39" i="21" s="1"/>
  <c r="U39" i="21" s="1"/>
  <c r="V39" i="21" s="1"/>
  <c r="W39" i="21" s="1"/>
  <c r="X39" i="21" s="1"/>
  <c r="Y39" i="21" s="1"/>
  <c r="Z39" i="21" s="1"/>
  <c r="AA39" i="21" s="1"/>
  <c r="AB39" i="21" s="1"/>
  <c r="AC39" i="21" s="1"/>
  <c r="AD39" i="21" s="1"/>
  <c r="AE39" i="21" s="1"/>
  <c r="G25" i="21"/>
  <c r="H25" i="21" s="1"/>
  <c r="I25" i="21" s="1"/>
  <c r="J25" i="21" s="1"/>
  <c r="K25" i="21" s="1"/>
  <c r="L25" i="21" s="1"/>
  <c r="M25" i="21" s="1"/>
  <c r="N25" i="21" s="1"/>
  <c r="O25" i="21" s="1"/>
  <c r="P25" i="21" s="1"/>
  <c r="Q25" i="21" s="1"/>
  <c r="R25" i="21" s="1"/>
  <c r="S25" i="21" s="1"/>
  <c r="T25" i="21" s="1"/>
  <c r="U25" i="21" s="1"/>
  <c r="V25" i="21" s="1"/>
  <c r="W25" i="21" s="1"/>
  <c r="X25" i="21" s="1"/>
  <c r="Y25" i="21" s="1"/>
  <c r="Z25" i="21" s="1"/>
  <c r="AA25" i="21" s="1"/>
  <c r="AB25" i="21" s="1"/>
  <c r="AC25" i="21" s="1"/>
  <c r="AD25" i="21" s="1"/>
  <c r="AE25" i="21" s="1"/>
  <c r="G16" i="21"/>
  <c r="H16" i="21" s="1"/>
  <c r="I16" i="21" s="1"/>
  <c r="J16" i="21" s="1"/>
  <c r="K16" i="21" s="1"/>
  <c r="L16" i="21" s="1"/>
  <c r="M16" i="21" s="1"/>
  <c r="N16" i="21" s="1"/>
  <c r="O16" i="21" s="1"/>
  <c r="P16" i="21" s="1"/>
  <c r="Q16" i="21" s="1"/>
  <c r="R16" i="21" s="1"/>
  <c r="S16" i="21" s="1"/>
  <c r="T16" i="21" s="1"/>
  <c r="U16" i="21" s="1"/>
  <c r="V16" i="21" s="1"/>
  <c r="W16" i="21" s="1"/>
  <c r="X16" i="21" s="1"/>
  <c r="Y16" i="21" s="1"/>
  <c r="Z16" i="21" s="1"/>
  <c r="AA16" i="21" s="1"/>
  <c r="AB16" i="21" s="1"/>
  <c r="AC16" i="21" s="1"/>
  <c r="AD16" i="21" s="1"/>
  <c r="AE16" i="21" s="1"/>
  <c r="G8" i="21"/>
  <c r="H8" i="21" s="1"/>
  <c r="I8" i="21" s="1"/>
  <c r="J8" i="21" s="1"/>
  <c r="K8" i="21" s="1"/>
  <c r="L8" i="21" s="1"/>
  <c r="M8" i="21" s="1"/>
  <c r="N8" i="21" s="1"/>
  <c r="O8" i="21" s="1"/>
  <c r="P8" i="21" s="1"/>
  <c r="Q8" i="21" s="1"/>
  <c r="R8" i="21" s="1"/>
  <c r="S8" i="21" s="1"/>
  <c r="T8" i="21" s="1"/>
  <c r="U8" i="21" s="1"/>
  <c r="V8" i="21" s="1"/>
  <c r="W8" i="21" s="1"/>
  <c r="X8" i="21" s="1"/>
  <c r="Y8" i="21" s="1"/>
  <c r="Z8" i="21" s="1"/>
  <c r="AA8" i="21" s="1"/>
  <c r="AB8" i="21" s="1"/>
  <c r="AC8" i="21" s="1"/>
  <c r="AD8" i="21" s="1"/>
  <c r="AE8" i="21" s="1"/>
  <c r="G4" i="21"/>
  <c r="H4" i="21" s="1"/>
  <c r="I4" i="21" s="1"/>
  <c r="J4" i="21" s="1"/>
  <c r="K4" i="21" s="1"/>
  <c r="L4" i="21" s="1"/>
  <c r="M4" i="21" s="1"/>
  <c r="N4" i="21" s="1"/>
  <c r="O4" i="21" s="1"/>
  <c r="P4" i="21" s="1"/>
  <c r="Q4" i="21" s="1"/>
  <c r="R4" i="21" s="1"/>
  <c r="S4" i="21" s="1"/>
  <c r="T4" i="21" s="1"/>
  <c r="U4" i="21" s="1"/>
  <c r="V4" i="21" s="1"/>
  <c r="W4" i="21" s="1"/>
  <c r="X4" i="21" s="1"/>
  <c r="Y4" i="21" s="1"/>
  <c r="Z4" i="21" s="1"/>
  <c r="AA4" i="21" s="1"/>
  <c r="AB4" i="21" s="1"/>
  <c r="AC4" i="21" s="1"/>
  <c r="AD4" i="21" s="1"/>
  <c r="AE4" i="21" s="1"/>
</calcChain>
</file>

<file path=xl/sharedStrings.xml><?xml version="1.0" encoding="utf-8"?>
<sst xmlns="http://schemas.openxmlformats.org/spreadsheetml/2006/main" count="1392" uniqueCount="311">
  <si>
    <t>Escenario</t>
  </si>
  <si>
    <t>Transporte marítimo</t>
  </si>
  <si>
    <t>Gasolina</t>
  </si>
  <si>
    <t>Fuel Oil</t>
  </si>
  <si>
    <t>Diesel</t>
  </si>
  <si>
    <t>Transporte de carga</t>
  </si>
  <si>
    <t>Transporte carretero</t>
  </si>
  <si>
    <t>LPG</t>
  </si>
  <si>
    <t>Electricidad</t>
  </si>
  <si>
    <t>Transporte aéreo</t>
  </si>
  <si>
    <t>Jet Fuel</t>
  </si>
  <si>
    <t>Residencial</t>
  </si>
  <si>
    <t>Leña</t>
  </si>
  <si>
    <t>Keroseno</t>
  </si>
  <si>
    <t>Gas natural</t>
  </si>
  <si>
    <t>Otros sectores</t>
  </si>
  <si>
    <t>Coque de petróleo</t>
  </si>
  <si>
    <t>Industrial</t>
  </si>
  <si>
    <t>Biomasa</t>
  </si>
  <si>
    <t>Comercial</t>
  </si>
  <si>
    <t>Agricultura, pesca y minería</t>
  </si>
  <si>
    <t>Sector</t>
  </si>
  <si>
    <t>Combustible</t>
  </si>
  <si>
    <t>Solar</t>
  </si>
  <si>
    <t>Eólicas</t>
  </si>
  <si>
    <t>Hidroeléctrica</t>
  </si>
  <si>
    <t>Crudo</t>
  </si>
  <si>
    <t>Sistema</t>
  </si>
  <si>
    <t>Tecnología</t>
  </si>
  <si>
    <t>Refinerías</t>
  </si>
  <si>
    <t>Fugitivas</t>
  </si>
  <si>
    <t>Producción de gas natural</t>
  </si>
  <si>
    <t>Producción de crudo</t>
  </si>
  <si>
    <t>CH4</t>
  </si>
  <si>
    <t>CO2</t>
  </si>
  <si>
    <t>N2O</t>
  </si>
  <si>
    <t>GEI</t>
  </si>
  <si>
    <t>Factores de planta para las plantas de generación eléctrica por tipo de planta.</t>
  </si>
  <si>
    <t>Hoja</t>
  </si>
  <si>
    <t>Contenido</t>
  </si>
  <si>
    <t>Demandas_PJ</t>
  </si>
  <si>
    <t>Generación_PJ</t>
  </si>
  <si>
    <t xml:space="preserve">Demandas energéticas en PJ por sector, combustible, año y escenario. </t>
  </si>
  <si>
    <t>Producción_Fósil_PJ</t>
  </si>
  <si>
    <t>Producción local de crudo y gas natural en PJ por año, combustible y escenario.</t>
  </si>
  <si>
    <t>Refinerías_PJ</t>
  </si>
  <si>
    <t>FP</t>
  </si>
  <si>
    <t>LPG refinado</t>
  </si>
  <si>
    <t>Jet Fuel refinado</t>
  </si>
  <si>
    <t>Gasolina refinado</t>
  </si>
  <si>
    <t>Fuel Oil refinado</t>
  </si>
  <si>
    <t>Diesel refinado</t>
  </si>
  <si>
    <t>Refinado</t>
  </si>
  <si>
    <t>Producción de las refinerías en PJ por año, combustible y escenario.</t>
  </si>
  <si>
    <t>Factores de planta por tecnología de generción eléctrica.</t>
  </si>
  <si>
    <t>MW</t>
  </si>
  <si>
    <t>Incondicional</t>
  </si>
  <si>
    <t>-</t>
  </si>
  <si>
    <t>Total</t>
  </si>
  <si>
    <t>Eólica</t>
  </si>
  <si>
    <t>Pacífico</t>
  </si>
  <si>
    <t>Geotérmica</t>
  </si>
  <si>
    <t>Óleos de desecho</t>
  </si>
  <si>
    <t>Biogasolina</t>
  </si>
  <si>
    <t>Unidades</t>
  </si>
  <si>
    <t>Generación eléctrica</t>
  </si>
  <si>
    <t>Demandas energéticas [PJ]</t>
  </si>
  <si>
    <t>Producción de productos fósiles en PJ</t>
  </si>
  <si>
    <t>Productos de refinerías en PJ.</t>
  </si>
  <si>
    <t>Capacidad_GW</t>
  </si>
  <si>
    <t>Carbón de coque</t>
  </si>
  <si>
    <t>RDF</t>
  </si>
  <si>
    <t>No energético</t>
  </si>
  <si>
    <t>Mton CO2e / PJ combustible</t>
  </si>
  <si>
    <t>Mton CO2e / PJ electricidad generada</t>
  </si>
  <si>
    <t>Mton CO2e / PJ crudo procesado</t>
  </si>
  <si>
    <t>Mton CO2e / PJ crudo extraído</t>
  </si>
  <si>
    <t>Mton CO2e / PJ gas natural extraído</t>
  </si>
  <si>
    <t>Categoría INGEI</t>
  </si>
  <si>
    <t>1A4c</t>
  </si>
  <si>
    <t>1A4a</t>
  </si>
  <si>
    <t>1A5</t>
  </si>
  <si>
    <t>1A4b</t>
  </si>
  <si>
    <t>1A3aii</t>
  </si>
  <si>
    <t>1A3b</t>
  </si>
  <si>
    <t>1A3d</t>
  </si>
  <si>
    <t>1B2</t>
  </si>
  <si>
    <t>1A1ai y 1A1cii</t>
  </si>
  <si>
    <t>1A1b</t>
  </si>
  <si>
    <t>1A2</t>
  </si>
  <si>
    <t>1B2 y 1A1b</t>
  </si>
  <si>
    <t>PCG</t>
  </si>
  <si>
    <t>FE</t>
  </si>
  <si>
    <t>Potenciales de calentamiento global.</t>
  </si>
  <si>
    <t xml:space="preserve">Factores de emisión. </t>
  </si>
  <si>
    <t xml:space="preserve">Generación eléctrica en PJ por tecnología, sistema eléctrico, año y escenario. </t>
  </si>
  <si>
    <t>Capacidad instalada en GW por tecnología, sistema eléctrico, año y escenario.</t>
  </si>
  <si>
    <t>Nombre del proyecto</t>
  </si>
  <si>
    <t>Tipo de tecnología</t>
  </si>
  <si>
    <t>Vertiente</t>
  </si>
  <si>
    <t>MWh</t>
  </si>
  <si>
    <t>Ingreso</t>
  </si>
  <si>
    <t>Amazonas</t>
  </si>
  <si>
    <t>Central Hidroeléctrica Coca Codo Sinclair</t>
  </si>
  <si>
    <t>Sistema Híbrido Isabela (Fase II)</t>
  </si>
  <si>
    <t>Condicional</t>
  </si>
  <si>
    <t>Sistema Solar Fotovoltaica San Cristóbal (Fase II)</t>
  </si>
  <si>
    <t>Isla Floreana 100% Renovable</t>
  </si>
  <si>
    <t>Modelo</t>
  </si>
  <si>
    <t>Codigo Osemosys</t>
  </si>
  <si>
    <t>PP_SPV_US</t>
  </si>
  <si>
    <t>Conolophus</t>
  </si>
  <si>
    <t>Huascachaca</t>
  </si>
  <si>
    <t>Malchingui, prefactibilidad</t>
  </si>
  <si>
    <t>Extra</t>
  </si>
  <si>
    <t>Tocachi, prefactibilidad</t>
  </si>
  <si>
    <t>Pifo-Pintag, prefactibilidad</t>
  </si>
  <si>
    <t>Mazar Flotante, prefactibilidad</t>
  </si>
  <si>
    <t>San Miguel Ibarra, prefactibilidad</t>
  </si>
  <si>
    <t>Ilapo, prefactibilidad</t>
  </si>
  <si>
    <t>La Ceiba, prefactibilidad</t>
  </si>
  <si>
    <t>Matala, prefactibilidad</t>
  </si>
  <si>
    <t>Complejo Fotovoltaico NEOEN Solar</t>
  </si>
  <si>
    <t>Villonaco</t>
  </si>
  <si>
    <t>PP_WND_US</t>
  </si>
  <si>
    <t>Villonaco 2, prefactibilidad</t>
  </si>
  <si>
    <t>El Pimo, perfil</t>
  </si>
  <si>
    <t>Mazar</t>
  </si>
  <si>
    <t>PP_HYDAMADAMMED</t>
  </si>
  <si>
    <t>PP_HYDAMARORLAR</t>
  </si>
  <si>
    <t>Manduriacu</t>
  </si>
  <si>
    <t>PP_HYDPACRORMED</t>
  </si>
  <si>
    <t>Minas San Francisco</t>
  </si>
  <si>
    <t>Delsitanisagua</t>
  </si>
  <si>
    <t>PP_HYDAMARORMED</t>
  </si>
  <si>
    <t>Toachi Pilatón (Sarapullo)</t>
  </si>
  <si>
    <t>PP_HYDPACDAMSMA</t>
  </si>
  <si>
    <t>Toachi Pilatón (Alluriquín)</t>
  </si>
  <si>
    <t>PP_HYDPACDAMMED</t>
  </si>
  <si>
    <t>Ocaña II</t>
  </si>
  <si>
    <t>PP_HYDPACRORSMA</t>
  </si>
  <si>
    <t>Soldados Yanuncay</t>
  </si>
  <si>
    <t>PP_HYDAMADAMSMA</t>
  </si>
  <si>
    <t>Sopladora</t>
  </si>
  <si>
    <t>Santiago</t>
  </si>
  <si>
    <t>PP_HYDAMADAMLAR</t>
  </si>
  <si>
    <t>Cardenillo</t>
  </si>
  <si>
    <t>Mazar Dudas (San Antonio), factibilidad</t>
  </si>
  <si>
    <t>Quijos, diseños definitivos</t>
  </si>
  <si>
    <t>La Unión, diseños definitivos</t>
  </si>
  <si>
    <t>Abitagua, prefactibilidad</t>
  </si>
  <si>
    <t>Chachimbiro, prefactibilidad</t>
  </si>
  <si>
    <t>PP_GEO</t>
  </si>
  <si>
    <t>Plan de Acción</t>
  </si>
  <si>
    <t>Tendencial Nacional</t>
  </si>
  <si>
    <t>Plan de Acción Total</t>
  </si>
  <si>
    <t>Tendencial Nacional Total</t>
  </si>
  <si>
    <t>Plan de acción</t>
  </si>
  <si>
    <t>Demand Residential Firewood</t>
  </si>
  <si>
    <t>Demand Residential LPG</t>
  </si>
  <si>
    <t>Demand Residential Electricity</t>
  </si>
  <si>
    <t>Demand Industrial Electricity</t>
  </si>
  <si>
    <t>Demand Industrial Fuel Oil</t>
  </si>
  <si>
    <t>Demand Industrial LPG</t>
  </si>
  <si>
    <t>Demand Industrial Natural Gas</t>
  </si>
  <si>
    <t>Demand Shipping Pure_Diesel</t>
  </si>
  <si>
    <t>Demand Shipping Pure_Gasoline</t>
  </si>
  <si>
    <t>Demand Industrial Sugarcane and subproducts</t>
  </si>
  <si>
    <t>Demand Industrial Hydrogen</t>
  </si>
  <si>
    <t>Demand Industrial Firewood</t>
  </si>
  <si>
    <t>Demand Construction Electricity</t>
  </si>
  <si>
    <t>Demand Construction Kerosene and Jet Fuel</t>
  </si>
  <si>
    <t>Demand Construction LPG</t>
  </si>
  <si>
    <t>Demand Construction Pure_Diesel</t>
  </si>
  <si>
    <t>Demand Construction Pure_Gasoline</t>
  </si>
  <si>
    <t>Demand Commercial Electricity</t>
  </si>
  <si>
    <t>Demand Commercial Fuel Oil</t>
  </si>
  <si>
    <t>Demand Commercial LPG</t>
  </si>
  <si>
    <t>Demand Commercial Pure_Diesel</t>
  </si>
  <si>
    <t>Demand Commercial Pure_Gasoline</t>
  </si>
  <si>
    <t>Demand Agriculture Electricity</t>
  </si>
  <si>
    <t>Demand Agriculture LPG</t>
  </si>
  <si>
    <t>Demand Agriculture Pure_Gasoline</t>
  </si>
  <si>
    <t>Demand Electricity SOTE Crude</t>
  </si>
  <si>
    <t>Demand Crude SOTE Crude</t>
  </si>
  <si>
    <t>Demand Exports Electricity</t>
  </si>
  <si>
    <t>Energía – Otros sectores (Residencial)</t>
  </si>
  <si>
    <t>Energía – Industrias manufactureras y construcción</t>
  </si>
  <si>
    <t>Energía – Transporte acuático (nacional)</t>
  </si>
  <si>
    <t>Energía – Otros sectores (Comercial e institucional)</t>
  </si>
  <si>
    <t>Energía – Otros sectores (Agricultura, silvicultura y pesca)</t>
  </si>
  <si>
    <t>Energía – Otras fuentes no especificadas (oleoductos)</t>
  </si>
  <si>
    <t>Energía – Electricidad (exportaciones)</t>
  </si>
  <si>
    <t>1A1a (referencial)</t>
  </si>
  <si>
    <t>1A2 (sin emisiones directas)</t>
  </si>
  <si>
    <t>Demand Air Transport Kerosene and Jet Fuel</t>
  </si>
  <si>
    <t>Demand Air Transport Pure_Gasoline</t>
  </si>
  <si>
    <t>Demand Agriculture Non energy</t>
  </si>
  <si>
    <t>Demand Construction Non energy</t>
  </si>
  <si>
    <t>Demand Refineries Oil</t>
  </si>
  <si>
    <t>Demand LPG SOTE Crude</t>
  </si>
  <si>
    <t>Demand GSL SOTE Crude</t>
  </si>
  <si>
    <t>Demand Exports Biomass for power</t>
  </si>
  <si>
    <t>Demand Exports Crude Oil</t>
  </si>
  <si>
    <t>Demand Exports Fuel Oil</t>
  </si>
  <si>
    <t>Demand Exports LPG</t>
  </si>
  <si>
    <t>Demand Exports Pure_Diesel</t>
  </si>
  <si>
    <t>Demand Exports Pure_Gasoline</t>
  </si>
  <si>
    <t>Demand Exports Reduced Crude</t>
  </si>
  <si>
    <t>Demand Industrial Petroleum Coke</t>
  </si>
  <si>
    <t>Demand Industrial Heat from cogeneration</t>
  </si>
  <si>
    <t>Demand Industrial Pure_Diesel</t>
  </si>
  <si>
    <t>Demand Industrial Pure_Gasoline</t>
  </si>
  <si>
    <t>Demand Propane and Gas</t>
  </si>
  <si>
    <t>Demand Residential Natural Gas</t>
  </si>
  <si>
    <t>Demand Shipping Fuel Oil</t>
  </si>
  <si>
    <t>Demand for bunkers all fuels</t>
  </si>
  <si>
    <t>PLAN DE ACCIÓN</t>
  </si>
  <si>
    <t>Energía – Transporte aéreo (nacional)</t>
  </si>
  <si>
    <t>Procesos industriales y uso de productos (IPPU)</t>
  </si>
  <si>
    <t>Energía – Refinerías de petróleo</t>
  </si>
  <si>
    <t>Energía – Transporte marítimo y aéreo internacional (búnkeres)</t>
  </si>
  <si>
    <t>1A3a</t>
  </si>
  <si>
    <t>Solar fotovoltaica</t>
  </si>
  <si>
    <t>Hidroeléctrica – Embalse mediano</t>
  </si>
  <si>
    <t>Hidroeléctrica – Pasada grande</t>
  </si>
  <si>
    <t>Hidroeléctrica – Pasada mediana</t>
  </si>
  <si>
    <t>Hidroeléctrica – Embalse pequeño</t>
  </si>
  <si>
    <t>Hidroeléctrica – Pasada pequeña</t>
  </si>
  <si>
    <t>Hidroeléctrica – Embalse grande</t>
  </si>
  <si>
    <t xml:space="preserve"> </t>
  </si>
  <si>
    <t xml:space="preserve">Iniciativas </t>
  </si>
  <si>
    <t>Capacidad instalada [GW]</t>
  </si>
  <si>
    <t>Tipo</t>
  </si>
  <si>
    <t>Hydroelectric Pacific dam (small)</t>
  </si>
  <si>
    <t>Water (Hydro)</t>
  </si>
  <si>
    <t>Hydroelectric Pacific dam (medium)</t>
  </si>
  <si>
    <t>Hydroelectric Amazonas dam (medium)</t>
  </si>
  <si>
    <t>Hydroelectric Amazonas dam (large)</t>
  </si>
  <si>
    <t>Hydroelectric Pacific Run-of-the-river (small)</t>
  </si>
  <si>
    <t>Hydroelectric Pacific Run-of-the-river (medium)</t>
  </si>
  <si>
    <t>Hydroelectric Amazonas Run-of-the-river (small)</t>
  </si>
  <si>
    <t>Hydroelectric Amazonas Run-of-the-river (medium)</t>
  </si>
  <si>
    <t>Hydroelectric Amazonas Run-of-the-river (large)</t>
  </si>
  <si>
    <t>Photovoltaic</t>
  </si>
  <si>
    <t>Wind</t>
  </si>
  <si>
    <t>Rural Electrification - Hydroelectric Amazonas</t>
  </si>
  <si>
    <t>Rural Electrification - Hydroelectric Pacific</t>
  </si>
  <si>
    <t>Rural Electrification - Solar PV</t>
  </si>
  <si>
    <t>Galapagos - Wind</t>
  </si>
  <si>
    <t>Galapagos - Solar PV</t>
  </si>
  <si>
    <t>Cementeras - Hydroelectric Amazonas</t>
  </si>
  <si>
    <t>Crude production</t>
  </si>
  <si>
    <t>Crude</t>
  </si>
  <si>
    <t>Power Transmission</t>
  </si>
  <si>
    <t>Electricity</t>
  </si>
  <si>
    <t>Power Distribution</t>
  </si>
  <si>
    <t>Refining</t>
  </si>
  <si>
    <t>Gasoline</t>
  </si>
  <si>
    <t>Kerosene / Jet Fuel</t>
  </si>
  <si>
    <t>Biogas ICE</t>
  </si>
  <si>
    <t>Biogas</t>
  </si>
  <si>
    <t>Sugarcane power plant</t>
  </si>
  <si>
    <t>Sugarcane</t>
  </si>
  <si>
    <t>Biomass Steam Turbine</t>
  </si>
  <si>
    <t>Biomass</t>
  </si>
  <si>
    <t>Fuel Oil ICE</t>
  </si>
  <si>
    <t>Fuel Oil Steam Turbine</t>
  </si>
  <si>
    <t>Diesel ICE</t>
  </si>
  <si>
    <t>Diesel Gas Turbine</t>
  </si>
  <si>
    <t>Natural Gas Gas Turbine</t>
  </si>
  <si>
    <t>Natural Gas</t>
  </si>
  <si>
    <t>Waste ICE</t>
  </si>
  <si>
    <t>Waste</t>
  </si>
  <si>
    <t>Isolated Galapagos Diesel ICE</t>
  </si>
  <si>
    <t>Isolated Rural Diesel ICE</t>
  </si>
  <si>
    <t>Isolated Rural Diesel Steam Turbine</t>
  </si>
  <si>
    <t>Isolated Cementeras Diesel Steam Turbine</t>
  </si>
  <si>
    <t>Isolated Petroleras Crude ICE</t>
  </si>
  <si>
    <t>Isolated Petroleras Crude Steam Turbine</t>
  </si>
  <si>
    <t>Isolated Petroleras Diesel Gas Turbine</t>
  </si>
  <si>
    <t>Isolated Petroleras Diesel ICE</t>
  </si>
  <si>
    <t>Isolated Petroleras Natural Gas Steam Turbine</t>
  </si>
  <si>
    <t>Isolated Petroleras Natural Gas ICE</t>
  </si>
  <si>
    <t>Isolated Petroleras Natural Gas Gas Turbine</t>
  </si>
  <si>
    <t>Isolated ICE</t>
  </si>
  <si>
    <t>Geothermal</t>
  </si>
  <si>
    <t>Hydroelectric Pacific dam (large)</t>
  </si>
  <si>
    <t>Hydroelectric Amazonas dam (small)</t>
  </si>
  <si>
    <t>Hydroelectric Pacific Run-of-the-river (large)</t>
  </si>
  <si>
    <t>Offshore wind</t>
  </si>
  <si>
    <t>Solar distributed</t>
  </si>
  <si>
    <t>Photovoltaic for H2</t>
  </si>
  <si>
    <t>Wind for H2</t>
  </si>
  <si>
    <t>Offshore wind for H2</t>
  </si>
  <si>
    <t>Rural Electrification – Hydroelectric Amazonas</t>
  </si>
  <si>
    <t>Rural Electrification – Hydroelectric Pacific</t>
  </si>
  <si>
    <t>Rural Electrification – Solar PV</t>
  </si>
  <si>
    <t>Galapagos – Wind</t>
  </si>
  <si>
    <t>Galapagos – Solar PV</t>
  </si>
  <si>
    <t>Cementeras – Hydroelectric Amazonas</t>
  </si>
  <si>
    <t>Cementeras – Hydroelectric Pacific</t>
  </si>
  <si>
    <t>Sugarcane Cogeneration</t>
  </si>
  <si>
    <t>Coal power plant</t>
  </si>
  <si>
    <t>Coal</t>
  </si>
  <si>
    <t>Crude power plant</t>
  </si>
  <si>
    <t>Generación eléctrica anual [PJ/año]</t>
  </si>
  <si>
    <t>Internal Combustion Engine</t>
  </si>
  <si>
    <t>Steam Turbine</t>
  </si>
  <si>
    <t>Gas turbine</t>
  </si>
  <si>
    <t>Power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</si>
</sst>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"/>
    <numFmt numFmtId="165" formatCode="#,##0.000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  <font>
      <b/>
      <sz val="10"/>
      <color theme="1"/>
      <name val="Verdana"/>
      <family val="2"/>
    </font>
    <font>
      <b/>
      <sz val="16"/>
      <color theme="1"/>
      <name val="CIDFont+F4"/>
    </font>
    <font>
      <sz val="48"/>
      <color theme="1"/>
      <name val="Arial Rounded MT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83">
    <xf numFmtId="0" fontId="0" fillId="0" borderId="0" xfId="0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7" fillId="0" borderId="0" xfId="0" applyFont="1" applyAlignment="1">
      <alignment vertical="center"/>
    </xf>
    <xf numFmtId="0" fontId="0" fillId="2" borderId="0" xfId="0" applyFill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0" fillId="0" borderId="0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2" xfId="0" applyBorder="1" applyAlignment="1">
      <alignment horizontal="left" vertical="top"/>
    </xf>
    <xf numFmtId="3" fontId="0" fillId="0" borderId="12" xfId="0" applyNumberFormat="1" applyBorder="1" applyAlignment="1">
      <alignment horizontal="left" vertical="top"/>
    </xf>
    <xf numFmtId="2" fontId="0" fillId="0" borderId="12" xfId="0" applyNumberFormat="1" applyBorder="1" applyAlignment="1">
      <alignment horizontal="left" vertical="top"/>
    </xf>
    <xf numFmtId="0" fontId="0" fillId="0" borderId="12" xfId="0" applyBorder="1" applyAlignment="1">
      <alignment horizontal="left" vertical="top" wrapText="1"/>
    </xf>
    <xf numFmtId="0" fontId="6" fillId="0" borderId="14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0" fillId="0" borderId="21" xfId="0" applyBorder="1" applyAlignment="1">
      <alignment horizontal="left" vertical="top"/>
    </xf>
    <xf numFmtId="0" fontId="1" fillId="0" borderId="16" xfId="0" applyFont="1" applyBorder="1" applyAlignment="1">
      <alignment horizontal="left" vertical="top"/>
    </xf>
    <xf numFmtId="0" fontId="0" fillId="0" borderId="0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3" borderId="0" xfId="0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2" fontId="0" fillId="0" borderId="0" xfId="0" applyNumberFormat="1" applyBorder="1" applyAlignment="1">
      <alignment horizontal="left"/>
    </xf>
    <xf numFmtId="2" fontId="0" fillId="0" borderId="5" xfId="0" applyNumberFormat="1" applyBorder="1" applyAlignment="1">
      <alignment horizontal="left"/>
    </xf>
    <xf numFmtId="2" fontId="0" fillId="0" borderId="7" xfId="0" applyNumberFormat="1" applyBorder="1" applyAlignment="1">
      <alignment horizontal="left"/>
    </xf>
    <xf numFmtId="2" fontId="0" fillId="0" borderId="8" xfId="0" applyNumberFormat="1" applyBorder="1" applyAlignment="1">
      <alignment horizontal="left"/>
    </xf>
    <xf numFmtId="165" fontId="0" fillId="0" borderId="0" xfId="0" applyNumberFormat="1" applyBorder="1" applyAlignment="1">
      <alignment horizontal="center"/>
    </xf>
    <xf numFmtId="2" fontId="0" fillId="2" borderId="4" xfId="0" applyNumberFormat="1" applyFill="1" applyBorder="1" applyAlignment="1">
      <alignment horizontal="left"/>
    </xf>
    <xf numFmtId="2" fontId="0" fillId="2" borderId="0" xfId="0" applyNumberFormat="1" applyFill="1" applyBorder="1" applyAlignment="1">
      <alignment horizontal="left"/>
    </xf>
    <xf numFmtId="2" fontId="0" fillId="2" borderId="6" xfId="0" applyNumberFormat="1" applyFill="1" applyBorder="1" applyAlignment="1">
      <alignment horizontal="left"/>
    </xf>
    <xf numFmtId="2" fontId="0" fillId="2" borderId="7" xfId="0" applyNumberFormat="1" applyFill="1" applyBorder="1" applyAlignment="1">
      <alignment horizontal="left"/>
    </xf>
    <xf numFmtId="0" fontId="0" fillId="2" borderId="4" xfId="0" applyFill="1" applyBorder="1" applyAlignment="1">
      <alignment horizontal="left" vertical="center" wrapText="1"/>
    </xf>
    <xf numFmtId="0" fontId="0" fillId="2" borderId="0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2" borderId="17" xfId="0" applyFill="1" applyBorder="1" applyAlignment="1">
      <alignment horizontal="left" vertical="top"/>
    </xf>
    <xf numFmtId="0" fontId="0" fillId="2" borderId="12" xfId="0" applyFill="1" applyBorder="1" applyAlignment="1">
      <alignment horizontal="left" vertical="top"/>
    </xf>
    <xf numFmtId="0" fontId="3" fillId="2" borderId="12" xfId="0" applyFont="1" applyFill="1" applyBorder="1" applyAlignment="1">
      <alignment horizontal="left" vertical="top"/>
    </xf>
    <xf numFmtId="0" fontId="0" fillId="2" borderId="19" xfId="0" applyFill="1" applyBorder="1" applyAlignment="1">
      <alignment horizontal="left" vertical="top"/>
    </xf>
    <xf numFmtId="0" fontId="0" fillId="2" borderId="20" xfId="0" applyFill="1" applyBorder="1" applyAlignment="1">
      <alignment horizontal="left" vertical="top"/>
    </xf>
    <xf numFmtId="0" fontId="6" fillId="0" borderId="13" xfId="0" applyFont="1" applyBorder="1" applyAlignment="1">
      <alignment horizontal="left" vertical="top"/>
    </xf>
  </cellXfs>
  <cellStyles count="2">
    <cellStyle name="Millares 2" xfId="1" xr:uid="{44C69BDD-0EB0-4C2B-AF4A-08355AAC52EB}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Refinerías_PJ!$D$5:$AC$5</c:f>
              <c:numCache>
                <c:formatCode>General</c:formatCode>
                <c:ptCount val="2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</c:numCache>
            </c:numRef>
          </c:cat>
          <c:val>
            <c:numRef>
              <c:f>Refinerías_PJ!#REF!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68-4606-86B6-E2C119E3439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Refinerías_PJ!$D$5:$AC$5</c:f>
              <c:numCache>
                <c:formatCode>General</c:formatCode>
                <c:ptCount val="2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</c:numCache>
            </c:numRef>
          </c:cat>
          <c:val>
            <c:numRef>
              <c:f>Refinerías_PJ!#REF!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68-4606-86B6-E2C119E34398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Refinerías_PJ!$D$5:$AC$5</c:f>
              <c:numCache>
                <c:formatCode>General</c:formatCode>
                <c:ptCount val="2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</c:numCache>
            </c:numRef>
          </c:cat>
          <c:val>
            <c:numRef>
              <c:f>Refinerías_PJ!#REF!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68-4606-86B6-E2C119E34398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Refinerías_PJ!$D$5:$AC$5</c:f>
              <c:numCache>
                <c:formatCode>General</c:formatCode>
                <c:ptCount val="2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</c:numCache>
            </c:numRef>
          </c:cat>
          <c:val>
            <c:numRef>
              <c:f>Refinerías_PJ!#REF!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68-4606-86B6-E2C119E34398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Refinerías_PJ!$D$5:$AC$5</c:f>
              <c:numCache>
                <c:formatCode>General</c:formatCode>
                <c:ptCount val="2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</c:numCache>
            </c:numRef>
          </c:cat>
          <c:val>
            <c:numRef>
              <c:f>Refinerías_PJ!#REF!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68-4606-86B6-E2C119E34398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Refinerías_PJ!$D$5:$AC$5</c:f>
              <c:numCache>
                <c:formatCode>General</c:formatCode>
                <c:ptCount val="2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</c:numCache>
            </c:numRef>
          </c:cat>
          <c:val>
            <c:numRef>
              <c:f>Refinerías_PJ!#REF!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B68-4606-86B6-E2C119E34398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Refinerías_PJ!$D$5:$AC$5</c:f>
              <c:numCache>
                <c:formatCode>General</c:formatCode>
                <c:ptCount val="2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</c:numCache>
            </c:numRef>
          </c:cat>
          <c:val>
            <c:numRef>
              <c:f>Refinerías_PJ!$D$6:$AC$6</c:f>
              <c:numCache>
                <c:formatCode>#,##0.0</c:formatCode>
                <c:ptCount val="26"/>
                <c:pt idx="0">
                  <c:v>72.177899999999994</c:v>
                </c:pt>
                <c:pt idx="1">
                  <c:v>72.177899999999994</c:v>
                </c:pt>
                <c:pt idx="2">
                  <c:v>72.177899999999994</c:v>
                </c:pt>
                <c:pt idx="3">
                  <c:v>72.177899999999994</c:v>
                </c:pt>
                <c:pt idx="4">
                  <c:v>66.990499999999997</c:v>
                </c:pt>
                <c:pt idx="5">
                  <c:v>65.958299999999994</c:v>
                </c:pt>
                <c:pt idx="6">
                  <c:v>86.094200000000001</c:v>
                </c:pt>
                <c:pt idx="7">
                  <c:v>85.875200000000007</c:v>
                </c:pt>
                <c:pt idx="8">
                  <c:v>83.288499999999999</c:v>
                </c:pt>
                <c:pt idx="9">
                  <c:v>79.676299999999998</c:v>
                </c:pt>
                <c:pt idx="10">
                  <c:v>59.950899999999997</c:v>
                </c:pt>
                <c:pt idx="11">
                  <c:v>76.844899999999996</c:v>
                </c:pt>
                <c:pt idx="12">
                  <c:v>79.534700000000001</c:v>
                </c:pt>
                <c:pt idx="13">
                  <c:v>71.898499999999999</c:v>
                </c:pt>
                <c:pt idx="14">
                  <c:v>76.092699999999994</c:v>
                </c:pt>
                <c:pt idx="15">
                  <c:v>76.092699999999994</c:v>
                </c:pt>
                <c:pt idx="16">
                  <c:v>76.092699999999994</c:v>
                </c:pt>
                <c:pt idx="17">
                  <c:v>76.092699999999994</c:v>
                </c:pt>
                <c:pt idx="18">
                  <c:v>76.092699999999994</c:v>
                </c:pt>
                <c:pt idx="19">
                  <c:v>76.092699999999994</c:v>
                </c:pt>
                <c:pt idx="20">
                  <c:v>76.092699999999994</c:v>
                </c:pt>
                <c:pt idx="21">
                  <c:v>76.092699999999994</c:v>
                </c:pt>
                <c:pt idx="22">
                  <c:v>76.092699999999994</c:v>
                </c:pt>
                <c:pt idx="23">
                  <c:v>76.092699999999994</c:v>
                </c:pt>
                <c:pt idx="24">
                  <c:v>76.092699999999994</c:v>
                </c:pt>
                <c:pt idx="25">
                  <c:v>76.092699999999994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68-4606-86B6-E2C119E34398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Refinerías_PJ!$D$5:$AC$5</c:f>
              <c:numCache>
                <c:formatCode>General</c:formatCode>
                <c:ptCount val="2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</c:numCache>
            </c:numRef>
          </c:cat>
          <c:val>
            <c:numRef>
              <c:f>Refinerías_PJ!$D$7:$AC$7</c:f>
              <c:numCache>
                <c:formatCode>#,##0.0</c:formatCode>
                <c:ptCount val="26"/>
                <c:pt idx="0">
                  <c:v>111.134</c:v>
                </c:pt>
                <c:pt idx="1">
                  <c:v>111.134</c:v>
                </c:pt>
                <c:pt idx="2">
                  <c:v>111.134</c:v>
                </c:pt>
                <c:pt idx="3">
                  <c:v>111.134</c:v>
                </c:pt>
                <c:pt idx="4">
                  <c:v>97.389099999999999</c:v>
                </c:pt>
                <c:pt idx="5">
                  <c:v>98.531999999999996</c:v>
                </c:pt>
                <c:pt idx="6">
                  <c:v>116.086</c:v>
                </c:pt>
                <c:pt idx="7">
                  <c:v>119.91200000000001</c:v>
                </c:pt>
                <c:pt idx="8">
                  <c:v>137.815</c:v>
                </c:pt>
                <c:pt idx="9">
                  <c:v>110.562</c:v>
                </c:pt>
                <c:pt idx="10">
                  <c:v>100.602</c:v>
                </c:pt>
                <c:pt idx="11">
                  <c:v>130.429</c:v>
                </c:pt>
                <c:pt idx="12">
                  <c:v>136.36099999999999</c:v>
                </c:pt>
                <c:pt idx="13">
                  <c:v>125.483</c:v>
                </c:pt>
                <c:pt idx="14">
                  <c:v>130.75800000000001</c:v>
                </c:pt>
                <c:pt idx="15">
                  <c:v>130.75800000000001</c:v>
                </c:pt>
                <c:pt idx="16">
                  <c:v>130.75800000000001</c:v>
                </c:pt>
                <c:pt idx="17">
                  <c:v>130.75800000000001</c:v>
                </c:pt>
                <c:pt idx="18">
                  <c:v>130.75800000000001</c:v>
                </c:pt>
                <c:pt idx="19">
                  <c:v>130.75800000000001</c:v>
                </c:pt>
                <c:pt idx="20">
                  <c:v>130.75800000000001</c:v>
                </c:pt>
                <c:pt idx="21">
                  <c:v>130.75800000000001</c:v>
                </c:pt>
                <c:pt idx="22">
                  <c:v>130.75800000000001</c:v>
                </c:pt>
                <c:pt idx="23">
                  <c:v>130.75800000000001</c:v>
                </c:pt>
                <c:pt idx="24">
                  <c:v>130.75800000000001</c:v>
                </c:pt>
                <c:pt idx="25">
                  <c:v>130.75800000000001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B68-4606-86B6-E2C119E34398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Refinerías_PJ!$D$5:$AC$5</c:f>
              <c:numCache>
                <c:formatCode>General</c:formatCode>
                <c:ptCount val="2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</c:numCache>
            </c:numRef>
          </c:cat>
          <c:val>
            <c:numRef>
              <c:f>Refinerías_PJ!$D$8:$AC$8</c:f>
              <c:numCache>
                <c:formatCode>#,##0.0</c:formatCode>
                <c:ptCount val="26"/>
                <c:pt idx="0">
                  <c:v>54.996899999999997</c:v>
                </c:pt>
                <c:pt idx="1">
                  <c:v>54.996899999999997</c:v>
                </c:pt>
                <c:pt idx="2">
                  <c:v>54.996899999999997</c:v>
                </c:pt>
                <c:pt idx="3">
                  <c:v>54.996899999999997</c:v>
                </c:pt>
                <c:pt idx="4">
                  <c:v>42.908799999999999</c:v>
                </c:pt>
                <c:pt idx="5">
                  <c:v>41.1599</c:v>
                </c:pt>
                <c:pt idx="6">
                  <c:v>67.538300000000007</c:v>
                </c:pt>
                <c:pt idx="7">
                  <c:v>63.712800000000001</c:v>
                </c:pt>
                <c:pt idx="8">
                  <c:v>67.367599999999996</c:v>
                </c:pt>
                <c:pt idx="9">
                  <c:v>62.07</c:v>
                </c:pt>
                <c:pt idx="10">
                  <c:v>47.588299999999997</c:v>
                </c:pt>
                <c:pt idx="11">
                  <c:v>54.959499999999998</c:v>
                </c:pt>
                <c:pt idx="12">
                  <c:v>58.669499999999999</c:v>
                </c:pt>
                <c:pt idx="13">
                  <c:v>57.005899999999997</c:v>
                </c:pt>
                <c:pt idx="14">
                  <c:v>56.878300000000003</c:v>
                </c:pt>
                <c:pt idx="15">
                  <c:v>56.878300000000003</c:v>
                </c:pt>
                <c:pt idx="16">
                  <c:v>56.878300000000003</c:v>
                </c:pt>
                <c:pt idx="17">
                  <c:v>56.878300000000003</c:v>
                </c:pt>
                <c:pt idx="18">
                  <c:v>56.878300000000003</c:v>
                </c:pt>
                <c:pt idx="19">
                  <c:v>56.878300000000003</c:v>
                </c:pt>
                <c:pt idx="20">
                  <c:v>56.878300000000003</c:v>
                </c:pt>
                <c:pt idx="21">
                  <c:v>56.878300000000003</c:v>
                </c:pt>
                <c:pt idx="22">
                  <c:v>56.878300000000003</c:v>
                </c:pt>
                <c:pt idx="23">
                  <c:v>56.878300000000003</c:v>
                </c:pt>
                <c:pt idx="24">
                  <c:v>56.878300000000003</c:v>
                </c:pt>
                <c:pt idx="25">
                  <c:v>56.878300000000003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B68-4606-86B6-E2C119E34398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Refinerías_PJ!$D$5:$AC$5</c:f>
              <c:numCache>
                <c:formatCode>General</c:formatCode>
                <c:ptCount val="2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</c:numCache>
            </c:numRef>
          </c:cat>
          <c:val>
            <c:numRef>
              <c:f>Refinerías_PJ!$D$9:$AC$9</c:f>
              <c:numCache>
                <c:formatCode>#,##0.0</c:formatCode>
                <c:ptCount val="26"/>
                <c:pt idx="0">
                  <c:v>16.5945</c:v>
                </c:pt>
                <c:pt idx="1">
                  <c:v>16.760400000000001</c:v>
                </c:pt>
                <c:pt idx="2">
                  <c:v>16.760400000000001</c:v>
                </c:pt>
                <c:pt idx="3">
                  <c:v>16.760400000000001</c:v>
                </c:pt>
                <c:pt idx="4">
                  <c:v>15.622</c:v>
                </c:pt>
                <c:pt idx="5">
                  <c:v>15.551</c:v>
                </c:pt>
                <c:pt idx="6">
                  <c:v>15.214700000000001</c:v>
                </c:pt>
                <c:pt idx="7">
                  <c:v>17.511600000000001</c:v>
                </c:pt>
                <c:pt idx="8">
                  <c:v>16.679400000000001</c:v>
                </c:pt>
                <c:pt idx="9">
                  <c:v>16.4541</c:v>
                </c:pt>
                <c:pt idx="10">
                  <c:v>8.7766000000000002</c:v>
                </c:pt>
                <c:pt idx="11">
                  <c:v>12.6426</c:v>
                </c:pt>
                <c:pt idx="12">
                  <c:v>16.9206</c:v>
                </c:pt>
                <c:pt idx="13">
                  <c:v>16.8813</c:v>
                </c:pt>
                <c:pt idx="14">
                  <c:v>15.4815</c:v>
                </c:pt>
                <c:pt idx="15">
                  <c:v>15.4815</c:v>
                </c:pt>
                <c:pt idx="16">
                  <c:v>15.4815</c:v>
                </c:pt>
                <c:pt idx="17">
                  <c:v>15.4815</c:v>
                </c:pt>
                <c:pt idx="18">
                  <c:v>15.4815</c:v>
                </c:pt>
                <c:pt idx="19">
                  <c:v>15.4815</c:v>
                </c:pt>
                <c:pt idx="20">
                  <c:v>15.4815</c:v>
                </c:pt>
                <c:pt idx="21">
                  <c:v>15.4815</c:v>
                </c:pt>
                <c:pt idx="22">
                  <c:v>15.4815</c:v>
                </c:pt>
                <c:pt idx="23">
                  <c:v>15.4815</c:v>
                </c:pt>
                <c:pt idx="24">
                  <c:v>15.4815</c:v>
                </c:pt>
                <c:pt idx="25">
                  <c:v>15.4815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B68-4606-86B6-E2C119E34398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Refinerías_PJ!$D$5:$AC$5</c:f>
              <c:numCache>
                <c:formatCode>General</c:formatCode>
                <c:ptCount val="2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</c:numCache>
            </c:numRef>
          </c:cat>
          <c:val>
            <c:numRef>
              <c:f>Refinerías_PJ!$D$10:$AC$10</c:f>
              <c:numCache>
                <c:formatCode>#,##0.0</c:formatCode>
                <c:ptCount val="26"/>
                <c:pt idx="0">
                  <c:v>6.0336999999999996</c:v>
                </c:pt>
                <c:pt idx="1">
                  <c:v>6.0336999999999996</c:v>
                </c:pt>
                <c:pt idx="2">
                  <c:v>6.0336999999999996</c:v>
                </c:pt>
                <c:pt idx="3">
                  <c:v>6.0336999999999996</c:v>
                </c:pt>
                <c:pt idx="4">
                  <c:v>3.8479999999999999</c:v>
                </c:pt>
                <c:pt idx="5">
                  <c:v>1.4051</c:v>
                </c:pt>
                <c:pt idx="6">
                  <c:v>6.7045000000000003</c:v>
                </c:pt>
                <c:pt idx="7">
                  <c:v>6.7922000000000002</c:v>
                </c:pt>
                <c:pt idx="8">
                  <c:v>5.9215999999999998</c:v>
                </c:pt>
                <c:pt idx="9">
                  <c:v>3.4177</c:v>
                </c:pt>
                <c:pt idx="10">
                  <c:v>3.944</c:v>
                </c:pt>
                <c:pt idx="11">
                  <c:v>4.0928000000000004</c:v>
                </c:pt>
                <c:pt idx="12">
                  <c:v>4.7233000000000001</c:v>
                </c:pt>
                <c:pt idx="13">
                  <c:v>4.7690000000000001</c:v>
                </c:pt>
                <c:pt idx="14">
                  <c:v>4.5284000000000004</c:v>
                </c:pt>
                <c:pt idx="15">
                  <c:v>4.5284000000000004</c:v>
                </c:pt>
                <c:pt idx="16">
                  <c:v>4.5284000000000004</c:v>
                </c:pt>
                <c:pt idx="17">
                  <c:v>4.5284000000000004</c:v>
                </c:pt>
                <c:pt idx="18">
                  <c:v>4.5284000000000004</c:v>
                </c:pt>
                <c:pt idx="19">
                  <c:v>4.5284000000000004</c:v>
                </c:pt>
                <c:pt idx="20">
                  <c:v>4.5284000000000004</c:v>
                </c:pt>
                <c:pt idx="21">
                  <c:v>4.5284000000000004</c:v>
                </c:pt>
                <c:pt idx="22">
                  <c:v>4.5284000000000004</c:v>
                </c:pt>
                <c:pt idx="23">
                  <c:v>4.5284000000000004</c:v>
                </c:pt>
                <c:pt idx="24">
                  <c:v>4.5284000000000004</c:v>
                </c:pt>
                <c:pt idx="25">
                  <c:v>4.5284000000000004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B68-4606-86B6-E2C119E34398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Refinerías_PJ!$D$5:$AC$5</c:f>
              <c:numCache>
                <c:formatCode>General</c:formatCode>
                <c:ptCount val="2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</c:numCache>
            </c:numRef>
          </c:cat>
          <c:val>
            <c:numRef>
              <c:f>Refinerías_PJ!$D$11:$AC$11</c:f>
              <c:numCache>
                <c:formatCode>#,##0.0</c:formatCode>
                <c:ptCount val="26"/>
                <c:pt idx="0">
                  <c:v>260.93699999999995</c:v>
                </c:pt>
                <c:pt idx="1">
                  <c:v>261.10289999999998</c:v>
                </c:pt>
                <c:pt idx="2">
                  <c:v>261.10289999999998</c:v>
                </c:pt>
                <c:pt idx="3">
                  <c:v>261.10289999999998</c:v>
                </c:pt>
                <c:pt idx="4">
                  <c:v>226.75839999999999</c:v>
                </c:pt>
                <c:pt idx="5">
                  <c:v>222.60629999999998</c:v>
                </c:pt>
                <c:pt idx="6">
                  <c:v>291.6377</c:v>
                </c:pt>
                <c:pt idx="7">
                  <c:v>293.80379999999997</c:v>
                </c:pt>
                <c:pt idx="8">
                  <c:v>311.07209999999998</c:v>
                </c:pt>
                <c:pt idx="9">
                  <c:v>272.18009999999998</c:v>
                </c:pt>
                <c:pt idx="10">
                  <c:v>220.86179999999999</c:v>
                </c:pt>
                <c:pt idx="11">
                  <c:v>278.96880000000004</c:v>
                </c:pt>
                <c:pt idx="12">
                  <c:v>296.20909999999998</c:v>
                </c:pt>
                <c:pt idx="13">
                  <c:v>276.03770000000003</c:v>
                </c:pt>
                <c:pt idx="14">
                  <c:v>283.7389</c:v>
                </c:pt>
                <c:pt idx="15">
                  <c:v>283.7389</c:v>
                </c:pt>
                <c:pt idx="16">
                  <c:v>283.7389</c:v>
                </c:pt>
                <c:pt idx="17">
                  <c:v>283.7389</c:v>
                </c:pt>
                <c:pt idx="18">
                  <c:v>283.7389</c:v>
                </c:pt>
                <c:pt idx="19">
                  <c:v>283.7389</c:v>
                </c:pt>
                <c:pt idx="20">
                  <c:v>283.7389</c:v>
                </c:pt>
                <c:pt idx="21">
                  <c:v>283.7389</c:v>
                </c:pt>
                <c:pt idx="22">
                  <c:v>283.7389</c:v>
                </c:pt>
                <c:pt idx="23">
                  <c:v>283.7389</c:v>
                </c:pt>
                <c:pt idx="24">
                  <c:v>283.7389</c:v>
                </c:pt>
                <c:pt idx="25">
                  <c:v>283.7389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B68-4606-86B6-E2C119E34398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Refinerías_PJ!$D$5:$AC$5</c:f>
              <c:numCache>
                <c:formatCode>General</c:formatCode>
                <c:ptCount val="2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</c:numCache>
            </c:numRef>
          </c:cat>
          <c:val>
            <c:numRef>
              <c:f>Refinerías_PJ!$D$12:$AC$12</c:f>
              <c:numCache>
                <c:formatCode>#,##0.0</c:formatCode>
                <c:ptCount val="26"/>
                <c:pt idx="0">
                  <c:v>72.177899999999994</c:v>
                </c:pt>
                <c:pt idx="1">
                  <c:v>72.177899999999994</c:v>
                </c:pt>
                <c:pt idx="2">
                  <c:v>72.177899999999994</c:v>
                </c:pt>
                <c:pt idx="3">
                  <c:v>72.177899999999994</c:v>
                </c:pt>
                <c:pt idx="4">
                  <c:v>66.990499999999997</c:v>
                </c:pt>
                <c:pt idx="5">
                  <c:v>65.958299999999994</c:v>
                </c:pt>
                <c:pt idx="6">
                  <c:v>86.094200000000001</c:v>
                </c:pt>
                <c:pt idx="7">
                  <c:v>85.875200000000007</c:v>
                </c:pt>
                <c:pt idx="8">
                  <c:v>83.288499999999999</c:v>
                </c:pt>
                <c:pt idx="9">
                  <c:v>79.676299999999998</c:v>
                </c:pt>
                <c:pt idx="10">
                  <c:v>59.950899999999997</c:v>
                </c:pt>
                <c:pt idx="11">
                  <c:v>76.844899999999996</c:v>
                </c:pt>
                <c:pt idx="12">
                  <c:v>79.534700000000001</c:v>
                </c:pt>
                <c:pt idx="13">
                  <c:v>71.898499999999999</c:v>
                </c:pt>
                <c:pt idx="14">
                  <c:v>76.092699999999994</c:v>
                </c:pt>
                <c:pt idx="15">
                  <c:v>76.092699999999994</c:v>
                </c:pt>
                <c:pt idx="16">
                  <c:v>76.092699999999994</c:v>
                </c:pt>
                <c:pt idx="17">
                  <c:v>76.092699999999994</c:v>
                </c:pt>
                <c:pt idx="18">
                  <c:v>76.092699999999994</c:v>
                </c:pt>
                <c:pt idx="19">
                  <c:v>76.092699999999994</c:v>
                </c:pt>
                <c:pt idx="20">
                  <c:v>76.092699999999994</c:v>
                </c:pt>
                <c:pt idx="21">
                  <c:v>76.092699999999994</c:v>
                </c:pt>
                <c:pt idx="22">
                  <c:v>76.092699999999994</c:v>
                </c:pt>
                <c:pt idx="23">
                  <c:v>76.092699999999994</c:v>
                </c:pt>
                <c:pt idx="24">
                  <c:v>76.092699999999994</c:v>
                </c:pt>
                <c:pt idx="25">
                  <c:v>76.092699999999994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B68-4606-86B6-E2C119E34398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Refinerías_PJ!$D$5:$AC$5</c:f>
              <c:numCache>
                <c:formatCode>General</c:formatCode>
                <c:ptCount val="2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</c:numCache>
            </c:numRef>
          </c:cat>
          <c:val>
            <c:numRef>
              <c:f>Refinerías_PJ!$D$13:$AC$13</c:f>
              <c:numCache>
                <c:formatCode>#,##0.0</c:formatCode>
                <c:ptCount val="26"/>
                <c:pt idx="0">
                  <c:v>111.134</c:v>
                </c:pt>
                <c:pt idx="1">
                  <c:v>111.134</c:v>
                </c:pt>
                <c:pt idx="2">
                  <c:v>111.134</c:v>
                </c:pt>
                <c:pt idx="3">
                  <c:v>111.134</c:v>
                </c:pt>
                <c:pt idx="4">
                  <c:v>97.389099999999999</c:v>
                </c:pt>
                <c:pt idx="5">
                  <c:v>98.531999999999996</c:v>
                </c:pt>
                <c:pt idx="6">
                  <c:v>116.086</c:v>
                </c:pt>
                <c:pt idx="7">
                  <c:v>119.91200000000001</c:v>
                </c:pt>
                <c:pt idx="8">
                  <c:v>137.815</c:v>
                </c:pt>
                <c:pt idx="9">
                  <c:v>110.562</c:v>
                </c:pt>
                <c:pt idx="10">
                  <c:v>100.602</c:v>
                </c:pt>
                <c:pt idx="11">
                  <c:v>130.429</c:v>
                </c:pt>
                <c:pt idx="12">
                  <c:v>136.36099999999999</c:v>
                </c:pt>
                <c:pt idx="13">
                  <c:v>125.483</c:v>
                </c:pt>
                <c:pt idx="14">
                  <c:v>130.75800000000001</c:v>
                </c:pt>
                <c:pt idx="15">
                  <c:v>130.75800000000001</c:v>
                </c:pt>
                <c:pt idx="16">
                  <c:v>130.75800000000001</c:v>
                </c:pt>
                <c:pt idx="17">
                  <c:v>130.75800000000001</c:v>
                </c:pt>
                <c:pt idx="18">
                  <c:v>130.75800000000001</c:v>
                </c:pt>
                <c:pt idx="19">
                  <c:v>130.75800000000001</c:v>
                </c:pt>
                <c:pt idx="20">
                  <c:v>130.75800000000001</c:v>
                </c:pt>
                <c:pt idx="21">
                  <c:v>130.75800000000001</c:v>
                </c:pt>
                <c:pt idx="22">
                  <c:v>130.75800000000001</c:v>
                </c:pt>
                <c:pt idx="23">
                  <c:v>130.75800000000001</c:v>
                </c:pt>
                <c:pt idx="24">
                  <c:v>130.75800000000001</c:v>
                </c:pt>
                <c:pt idx="25">
                  <c:v>130.75800000000001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BF-4CE2-BA65-C8B3073DDD73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Refinerías_PJ!$D$5:$AC$5</c:f>
              <c:numCache>
                <c:formatCode>General</c:formatCode>
                <c:ptCount val="2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</c:numCache>
            </c:numRef>
          </c:cat>
          <c:val>
            <c:numRef>
              <c:f>Refinerías_PJ!$D$14:$AC$14</c:f>
              <c:numCache>
                <c:formatCode>#,##0.0</c:formatCode>
                <c:ptCount val="26"/>
                <c:pt idx="0">
                  <c:v>54.996899999999997</c:v>
                </c:pt>
                <c:pt idx="1">
                  <c:v>54.996899999999997</c:v>
                </c:pt>
                <c:pt idx="2">
                  <c:v>54.996899999999997</c:v>
                </c:pt>
                <c:pt idx="3">
                  <c:v>54.996899999999997</c:v>
                </c:pt>
                <c:pt idx="4">
                  <c:v>42.908799999999999</c:v>
                </c:pt>
                <c:pt idx="5">
                  <c:v>41.1599</c:v>
                </c:pt>
                <c:pt idx="6">
                  <c:v>67.538300000000007</c:v>
                </c:pt>
                <c:pt idx="7">
                  <c:v>63.712800000000001</c:v>
                </c:pt>
                <c:pt idx="8">
                  <c:v>67.367599999999996</c:v>
                </c:pt>
                <c:pt idx="9">
                  <c:v>62.07</c:v>
                </c:pt>
                <c:pt idx="10">
                  <c:v>47.588299999999997</c:v>
                </c:pt>
                <c:pt idx="11">
                  <c:v>54.959499999999998</c:v>
                </c:pt>
                <c:pt idx="12">
                  <c:v>58.669499999999999</c:v>
                </c:pt>
                <c:pt idx="13">
                  <c:v>57.005899999999997</c:v>
                </c:pt>
                <c:pt idx="14">
                  <c:v>56.878300000000003</c:v>
                </c:pt>
                <c:pt idx="15">
                  <c:v>56.878300000000003</c:v>
                </c:pt>
                <c:pt idx="16">
                  <c:v>56.878300000000003</c:v>
                </c:pt>
                <c:pt idx="17">
                  <c:v>56.878300000000003</c:v>
                </c:pt>
                <c:pt idx="18">
                  <c:v>56.878300000000003</c:v>
                </c:pt>
                <c:pt idx="19">
                  <c:v>56.878300000000003</c:v>
                </c:pt>
                <c:pt idx="20">
                  <c:v>56.878300000000003</c:v>
                </c:pt>
                <c:pt idx="21">
                  <c:v>56.878300000000003</c:v>
                </c:pt>
                <c:pt idx="22">
                  <c:v>56.878300000000003</c:v>
                </c:pt>
                <c:pt idx="23">
                  <c:v>56.878300000000003</c:v>
                </c:pt>
                <c:pt idx="24">
                  <c:v>56.878300000000003</c:v>
                </c:pt>
                <c:pt idx="25">
                  <c:v>56.878300000000003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BF-4CE2-BA65-C8B3073DDD73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Refinerías_PJ!$D$5:$AC$5</c:f>
              <c:numCache>
                <c:formatCode>General</c:formatCode>
                <c:ptCount val="2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</c:numCache>
            </c:numRef>
          </c:cat>
          <c:val>
            <c:numRef>
              <c:f>Refinerías_PJ!$D$15:$AC$15</c:f>
              <c:numCache>
                <c:formatCode>#,##0.0</c:formatCode>
                <c:ptCount val="26"/>
                <c:pt idx="0">
                  <c:v>16.5945</c:v>
                </c:pt>
                <c:pt idx="1">
                  <c:v>16.760400000000001</c:v>
                </c:pt>
                <c:pt idx="2">
                  <c:v>16.760400000000001</c:v>
                </c:pt>
                <c:pt idx="3">
                  <c:v>16.760400000000001</c:v>
                </c:pt>
                <c:pt idx="4">
                  <c:v>15.622</c:v>
                </c:pt>
                <c:pt idx="5">
                  <c:v>15.551</c:v>
                </c:pt>
                <c:pt idx="6">
                  <c:v>15.214700000000001</c:v>
                </c:pt>
                <c:pt idx="7">
                  <c:v>17.511600000000001</c:v>
                </c:pt>
                <c:pt idx="8">
                  <c:v>16.679400000000001</c:v>
                </c:pt>
                <c:pt idx="9">
                  <c:v>16.4541</c:v>
                </c:pt>
                <c:pt idx="10">
                  <c:v>8.7766000000000002</c:v>
                </c:pt>
                <c:pt idx="11">
                  <c:v>12.6426</c:v>
                </c:pt>
                <c:pt idx="12">
                  <c:v>16.9206</c:v>
                </c:pt>
                <c:pt idx="13">
                  <c:v>16.8813</c:v>
                </c:pt>
                <c:pt idx="14">
                  <c:v>15.4815</c:v>
                </c:pt>
                <c:pt idx="15">
                  <c:v>15.4815</c:v>
                </c:pt>
                <c:pt idx="16">
                  <c:v>15.4815</c:v>
                </c:pt>
                <c:pt idx="17">
                  <c:v>15.4815</c:v>
                </c:pt>
                <c:pt idx="18">
                  <c:v>15.4815</c:v>
                </c:pt>
                <c:pt idx="19">
                  <c:v>15.4815</c:v>
                </c:pt>
                <c:pt idx="20">
                  <c:v>15.4815</c:v>
                </c:pt>
                <c:pt idx="21">
                  <c:v>15.4815</c:v>
                </c:pt>
                <c:pt idx="22">
                  <c:v>15.4815</c:v>
                </c:pt>
                <c:pt idx="23">
                  <c:v>15.4815</c:v>
                </c:pt>
                <c:pt idx="24">
                  <c:v>15.4815</c:v>
                </c:pt>
                <c:pt idx="25">
                  <c:v>15.4815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BF-4CE2-BA65-C8B3073DDD73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Refinerías_PJ!$D$5:$AC$5</c:f>
              <c:numCache>
                <c:formatCode>General</c:formatCode>
                <c:ptCount val="2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</c:numCache>
            </c:numRef>
          </c:cat>
          <c:val>
            <c:numRef>
              <c:f>Refinerías_PJ!$D$16:$AC$16</c:f>
              <c:numCache>
                <c:formatCode>#,##0.0</c:formatCode>
                <c:ptCount val="26"/>
                <c:pt idx="0">
                  <c:v>6.0336999999999996</c:v>
                </c:pt>
                <c:pt idx="1">
                  <c:v>6.0336999999999996</c:v>
                </c:pt>
                <c:pt idx="2">
                  <c:v>6.0336999999999996</c:v>
                </c:pt>
                <c:pt idx="3">
                  <c:v>6.0336999999999996</c:v>
                </c:pt>
                <c:pt idx="4">
                  <c:v>3.8479999999999999</c:v>
                </c:pt>
                <c:pt idx="5">
                  <c:v>1.4051</c:v>
                </c:pt>
                <c:pt idx="6">
                  <c:v>6.7045000000000003</c:v>
                </c:pt>
                <c:pt idx="7">
                  <c:v>6.7922000000000002</c:v>
                </c:pt>
                <c:pt idx="8">
                  <c:v>5.9215999999999998</c:v>
                </c:pt>
                <c:pt idx="9">
                  <c:v>3.4177</c:v>
                </c:pt>
                <c:pt idx="10">
                  <c:v>3.944</c:v>
                </c:pt>
                <c:pt idx="11">
                  <c:v>4.0928000000000004</c:v>
                </c:pt>
                <c:pt idx="12">
                  <c:v>4.7233000000000001</c:v>
                </c:pt>
                <c:pt idx="13">
                  <c:v>4.7690000000000001</c:v>
                </c:pt>
                <c:pt idx="14">
                  <c:v>4.5284000000000004</c:v>
                </c:pt>
                <c:pt idx="15">
                  <c:v>4.5284000000000004</c:v>
                </c:pt>
                <c:pt idx="16">
                  <c:v>4.5284000000000004</c:v>
                </c:pt>
                <c:pt idx="17">
                  <c:v>4.5284000000000004</c:v>
                </c:pt>
                <c:pt idx="18">
                  <c:v>4.5284000000000004</c:v>
                </c:pt>
                <c:pt idx="19">
                  <c:v>4.5284000000000004</c:v>
                </c:pt>
                <c:pt idx="20">
                  <c:v>4.5284000000000004</c:v>
                </c:pt>
                <c:pt idx="21">
                  <c:v>4.5284000000000004</c:v>
                </c:pt>
                <c:pt idx="22">
                  <c:v>4.5284000000000004</c:v>
                </c:pt>
                <c:pt idx="23">
                  <c:v>4.5284000000000004</c:v>
                </c:pt>
                <c:pt idx="24">
                  <c:v>4.5284000000000004</c:v>
                </c:pt>
                <c:pt idx="25">
                  <c:v>4.5284000000000004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BF-4CE2-BA65-C8B3073DD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570639"/>
        <c:axId val="44587439"/>
      </c:barChart>
      <c:catAx>
        <c:axId val="44570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44587439"/>
        <c:crosses val="autoZero"/>
        <c:auto val="1"/>
        <c:lblAlgn val="ctr"/>
        <c:lblOffset val="100"/>
        <c:noMultiLvlLbl val="0"/>
      </c:catAx>
      <c:valAx>
        <c:axId val="4458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44570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3443314</xdr:colOff>
      <xdr:row>0</xdr:row>
      <xdr:rowOff>251243</xdr:rowOff>
    </xdr:from>
    <xdr:ext cx="184730" cy="937693"/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6EB81E23-4A22-A7C4-C069-4438E1401B69}"/>
            </a:ext>
          </a:extLst>
        </xdr:cNvPr>
        <xdr:cNvSpPr/>
      </xdr:nvSpPr>
      <xdr:spPr>
        <a:xfrm>
          <a:off x="5462614" y="251243"/>
          <a:ext cx="184730" cy="937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54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293371</xdr:colOff>
      <xdr:row>24</xdr:row>
      <xdr:rowOff>40005</xdr:rowOff>
    </xdr:from>
    <xdr:to>
      <xdr:col>24</xdr:col>
      <xdr:colOff>129540</xdr:colOff>
      <xdr:row>41</xdr:row>
      <xdr:rowOff>144780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D2BF44A-0799-ADBC-7B86-EF40AC9649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21</xdr:row>
      <xdr:rowOff>0</xdr:rowOff>
    </xdr:from>
    <xdr:to>
      <xdr:col>10</xdr:col>
      <xdr:colOff>76200</xdr:colOff>
      <xdr:row>29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489700E-5138-495C-99B7-94FAF17C4545}"/>
            </a:ext>
          </a:extLst>
        </xdr:cNvPr>
        <xdr:cNvSpPr txBox="1"/>
      </xdr:nvSpPr>
      <xdr:spPr>
        <a:xfrm>
          <a:off x="2943225" y="4962525"/>
          <a:ext cx="4991100" cy="1581150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419" sz="1100" kern="1200"/>
            <a:t>Este</a:t>
          </a:r>
          <a:r>
            <a:rPr lang="es-419" sz="1100" kern="1200" baseline="0"/>
            <a:t> cuadro presenta las proyecciones de refinación de combustibles fósiles, considerando que posterior al 2023 se utiliza un promedio de la refinación histórica, como se resaltó en comuncaciones anteriores.</a:t>
          </a:r>
        </a:p>
        <a:p>
          <a:endParaRPr lang="es-419" sz="1100" kern="1200" baseline="0"/>
        </a:p>
        <a:p>
          <a:r>
            <a:rPr lang="es-419" sz="1100" kern="1200" baseline="0"/>
            <a:t>La refinación por combustible</a:t>
          </a:r>
          <a:r>
            <a:rPr lang="es-419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entre 2010-2023 se toman del Balance Energético Nacional [1] .</a:t>
          </a:r>
          <a:endParaRPr lang="es-419">
            <a:effectLst/>
          </a:endParaRPr>
        </a:p>
        <a:p>
          <a:r>
            <a:rPr lang="es-419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[1] https://www.recursosyenergia.gob.ec/wp-content/uploads/2024/08/BEN_2023-cap_7.pdf</a:t>
          </a:r>
          <a:endParaRPr lang="es-419">
            <a:effectLst/>
          </a:endParaRPr>
        </a:p>
        <a:p>
          <a:endParaRPr lang="es-419" sz="1100" kern="1200" baseline="0"/>
        </a:p>
        <a:p>
          <a:endParaRPr lang="es-419" sz="1100" kern="12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B34CA-9608-487B-A484-9BAD992CF4C0}">
  <dimension ref="B1:I12"/>
  <sheetViews>
    <sheetView workbookViewId="0">
      <selection activeCell="C14" sqref="C14"/>
    </sheetView>
  </sheetViews>
  <sheetFormatPr baseColWidth="10" defaultColWidth="9.109375" defaultRowHeight="14.4"/>
  <cols>
    <col min="2" max="2" width="20.33203125" bestFit="1" customWidth="1"/>
    <col min="3" max="3" width="131" customWidth="1"/>
  </cols>
  <sheetData>
    <row r="1" spans="2:9" ht="21.6" thickBot="1">
      <c r="B1" s="38"/>
      <c r="C1" s="38"/>
      <c r="D1" s="35"/>
      <c r="E1" s="35"/>
      <c r="F1" s="35"/>
      <c r="G1" s="35"/>
      <c r="H1" s="35"/>
      <c r="I1" s="35"/>
    </row>
    <row r="2" spans="2:9" ht="66.599999999999994" customHeight="1" thickBot="1">
      <c r="B2" s="39" t="s">
        <v>217</v>
      </c>
      <c r="C2" s="40"/>
    </row>
    <row r="3" spans="2:9" ht="15" thickBot="1"/>
    <row r="4" spans="2:9" ht="15" thickBot="1">
      <c r="B4" s="5" t="s">
        <v>38</v>
      </c>
      <c r="C4" s="7" t="s">
        <v>39</v>
      </c>
    </row>
    <row r="5" spans="2:9">
      <c r="B5" s="26" t="s">
        <v>40</v>
      </c>
      <c r="C5" s="27" t="s">
        <v>42</v>
      </c>
    </row>
    <row r="6" spans="2:9">
      <c r="B6" s="1" t="s">
        <v>41</v>
      </c>
      <c r="C6" s="2" t="s">
        <v>95</v>
      </c>
    </row>
    <row r="7" spans="2:9">
      <c r="B7" s="1" t="s">
        <v>69</v>
      </c>
      <c r="C7" s="2" t="s">
        <v>96</v>
      </c>
    </row>
    <row r="8" spans="2:9">
      <c r="B8" s="1" t="s">
        <v>43</v>
      </c>
      <c r="C8" s="2" t="s">
        <v>44</v>
      </c>
    </row>
    <row r="9" spans="2:9">
      <c r="B9" s="1" t="s">
        <v>45</v>
      </c>
      <c r="C9" s="2" t="s">
        <v>53</v>
      </c>
    </row>
    <row r="10" spans="2:9">
      <c r="B10" s="1" t="s">
        <v>91</v>
      </c>
      <c r="C10" s="2" t="s">
        <v>93</v>
      </c>
    </row>
    <row r="11" spans="2:9">
      <c r="B11" s="1" t="s">
        <v>92</v>
      </c>
      <c r="C11" s="2" t="s">
        <v>94</v>
      </c>
    </row>
    <row r="12" spans="2:9" ht="15" thickBot="1">
      <c r="B12" s="3" t="s">
        <v>46</v>
      </c>
      <c r="C12" s="4" t="s">
        <v>54</v>
      </c>
    </row>
  </sheetData>
  <mergeCells count="2">
    <mergeCell ref="B1:C1"/>
    <mergeCell ref="B2:C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33369-EDF5-40CB-9967-B2161A3BB744}">
  <dimension ref="B2:AF103"/>
  <sheetViews>
    <sheetView tabSelected="1" zoomScale="70" zoomScaleNormal="70" workbookViewId="0">
      <selection activeCell="A114" sqref="A114:XFD160"/>
    </sheetView>
  </sheetViews>
  <sheetFormatPr baseColWidth="10" defaultColWidth="9.109375" defaultRowHeight="14.4"/>
  <cols>
    <col min="2" max="2" width="27.44140625" customWidth="1"/>
    <col min="3" max="3" width="23.21875" customWidth="1"/>
    <col min="4" max="4" width="52.88671875" customWidth="1"/>
    <col min="5" max="5" width="43.109375" customWidth="1"/>
    <col min="6" max="31" width="10.6640625" bestFit="1" customWidth="1"/>
    <col min="32" max="37" width="11.88671875" bestFit="1" customWidth="1"/>
    <col min="38" max="38" width="11" bestFit="1" customWidth="1"/>
  </cols>
  <sheetData>
    <row r="2" spans="2:32" ht="18.600000000000001" thickBot="1">
      <c r="C2" s="22" t="s">
        <v>66</v>
      </c>
    </row>
    <row r="3" spans="2:32">
      <c r="B3" s="23" t="s">
        <v>78</v>
      </c>
      <c r="C3" s="24" t="s">
        <v>0</v>
      </c>
      <c r="D3" s="24" t="s">
        <v>233</v>
      </c>
      <c r="E3" s="24" t="s">
        <v>22</v>
      </c>
      <c r="F3" s="24">
        <v>2010</v>
      </c>
      <c r="G3" s="24">
        <v>2011</v>
      </c>
      <c r="H3" s="24">
        <v>2012</v>
      </c>
      <c r="I3" s="24">
        <v>2013</v>
      </c>
      <c r="J3" s="24">
        <v>2014</v>
      </c>
      <c r="K3" s="24">
        <v>2015</v>
      </c>
      <c r="L3" s="24">
        <v>2016</v>
      </c>
      <c r="M3" s="24">
        <v>2017</v>
      </c>
      <c r="N3" s="24">
        <v>2018</v>
      </c>
      <c r="O3" s="24">
        <v>2019</v>
      </c>
      <c r="P3" s="24">
        <v>2020</v>
      </c>
      <c r="Q3" s="24">
        <v>2021</v>
      </c>
      <c r="R3" s="24">
        <v>2022</v>
      </c>
      <c r="S3" s="24">
        <v>2023</v>
      </c>
      <c r="T3" s="24">
        <v>2024</v>
      </c>
      <c r="U3" s="24">
        <v>2025</v>
      </c>
      <c r="V3" s="24">
        <v>2026</v>
      </c>
      <c r="W3" s="24">
        <v>2027</v>
      </c>
      <c r="X3" s="24">
        <v>2028</v>
      </c>
      <c r="Y3" s="24">
        <v>2029</v>
      </c>
      <c r="Z3" s="24">
        <v>2030</v>
      </c>
      <c r="AA3" s="24">
        <v>2031</v>
      </c>
      <c r="AB3" s="24">
        <v>2032</v>
      </c>
      <c r="AC3" s="24">
        <v>2033</v>
      </c>
      <c r="AD3" s="24">
        <v>2034</v>
      </c>
      <c r="AE3" s="25">
        <v>2035</v>
      </c>
      <c r="AF3" s="9"/>
    </row>
    <row r="4" spans="2:32">
      <c r="B4" s="19" t="s">
        <v>80</v>
      </c>
      <c r="C4" s="60" t="s">
        <v>154</v>
      </c>
      <c r="D4" s="60" t="s">
        <v>186</v>
      </c>
      <c r="E4" s="60" t="s">
        <v>158</v>
      </c>
      <c r="F4" s="37">
        <v>11.358783643222145</v>
      </c>
      <c r="G4" s="37">
        <v>11.114908317071787</v>
      </c>
      <c r="H4" s="37">
        <v>10.476187224773231</v>
      </c>
      <c r="I4" s="37">
        <v>9.9774041172419032</v>
      </c>
      <c r="J4" s="37">
        <v>9.8403694101669394</v>
      </c>
      <c r="K4" s="37">
        <v>8.9072559598725949</v>
      </c>
      <c r="L4" s="37">
        <v>8.6302832680304018</v>
      </c>
      <c r="M4" s="37">
        <v>8.3742141755725275</v>
      </c>
      <c r="N4" s="37">
        <v>8.083132134801458</v>
      </c>
      <c r="O4" s="37">
        <v>7.7306765455825008</v>
      </c>
      <c r="P4" s="37">
        <v>7.3405654446948496</v>
      </c>
      <c r="Q4" s="37">
        <v>6.9271079265726101</v>
      </c>
      <c r="R4" s="37">
        <v>6.496374164214771</v>
      </c>
      <c r="S4" s="37">
        <v>6.0521726772980475</v>
      </c>
      <c r="T4" s="37">
        <v>6.2337378576169895</v>
      </c>
      <c r="U4" s="37">
        <v>6.402048779772648</v>
      </c>
      <c r="V4" s="37">
        <v>6.5492959017074179</v>
      </c>
      <c r="W4" s="37">
        <v>6.7578793573440636</v>
      </c>
      <c r="X4" s="37">
        <v>6.9502202589442472</v>
      </c>
      <c r="Y4" s="37">
        <v>7.1028455117959881</v>
      </c>
      <c r="Z4" s="37">
        <v>7.2720383045636963</v>
      </c>
      <c r="AA4" s="37">
        <v>7.5024034083119435</v>
      </c>
      <c r="AB4" s="37">
        <v>7.687477370934614</v>
      </c>
      <c r="AC4" s="37">
        <v>7.9097556467241139</v>
      </c>
      <c r="AD4" s="37">
        <v>8.0969523508592864</v>
      </c>
      <c r="AE4" s="11">
        <v>8.2884012542934826</v>
      </c>
      <c r="AF4" s="9"/>
    </row>
    <row r="5" spans="2:32">
      <c r="B5" s="19" t="s">
        <v>80</v>
      </c>
      <c r="C5" s="60" t="s">
        <v>154</v>
      </c>
      <c r="D5" s="60" t="s">
        <v>186</v>
      </c>
      <c r="E5" s="60" t="s">
        <v>159</v>
      </c>
      <c r="F5" s="37">
        <v>31.79495531908368</v>
      </c>
      <c r="G5" s="37">
        <v>32.987621795066623</v>
      </c>
      <c r="H5" s="37">
        <v>34.129190583665675</v>
      </c>
      <c r="I5" s="37">
        <v>35.294566249341315</v>
      </c>
      <c r="J5" s="37">
        <v>36.504652391477855</v>
      </c>
      <c r="K5" s="37">
        <v>36.546459590246485</v>
      </c>
      <c r="L5" s="37">
        <v>35.947803730101199</v>
      </c>
      <c r="M5" s="37">
        <v>36.038966649638361</v>
      </c>
      <c r="N5" s="37">
        <v>37.18817750384455</v>
      </c>
      <c r="O5" s="37">
        <v>38.367604452895222</v>
      </c>
      <c r="P5" s="37">
        <v>39.136214531015874</v>
      </c>
      <c r="Q5" s="37">
        <v>39.917656399749696</v>
      </c>
      <c r="R5" s="37">
        <v>41.277060262024975</v>
      </c>
      <c r="S5" s="37">
        <v>43.055608176307231</v>
      </c>
      <c r="T5" s="37">
        <v>44.347276421596447</v>
      </c>
      <c r="U5" s="37">
        <v>45.544652884979548</v>
      </c>
      <c r="V5" s="37">
        <v>46.592179901334077</v>
      </c>
      <c r="W5" s="37">
        <v>48.076058173948226</v>
      </c>
      <c r="X5" s="37">
        <v>49.444385704760244</v>
      </c>
      <c r="Y5" s="37">
        <v>50.530173145895866</v>
      </c>
      <c r="Z5" s="37">
        <v>51.733823302638221</v>
      </c>
      <c r="AA5" s="37">
        <v>53.37265784575753</v>
      </c>
      <c r="AB5" s="37">
        <v>54.68928783026017</v>
      </c>
      <c r="AC5" s="37">
        <v>56.270592075658939</v>
      </c>
      <c r="AD5" s="37">
        <v>57.602323401728505</v>
      </c>
      <c r="AE5" s="11">
        <v>58.964305191006602</v>
      </c>
      <c r="AF5" s="9"/>
    </row>
    <row r="6" spans="2:32">
      <c r="B6" s="19" t="s">
        <v>80</v>
      </c>
      <c r="C6" s="60" t="s">
        <v>154</v>
      </c>
      <c r="D6" s="60" t="s">
        <v>186</v>
      </c>
      <c r="E6" s="60" t="s">
        <v>160</v>
      </c>
      <c r="F6" s="37">
        <v>18.399514089706368</v>
      </c>
      <c r="G6" s="37">
        <v>19.251331946627335</v>
      </c>
      <c r="H6" s="37">
        <v>20.250503961403826</v>
      </c>
      <c r="I6" s="37">
        <v>21.159735055743393</v>
      </c>
      <c r="J6" s="37">
        <v>22.896031741691992</v>
      </c>
      <c r="K6" s="37">
        <v>24.924099043161522</v>
      </c>
      <c r="L6" s="37">
        <v>25.561618113788224</v>
      </c>
      <c r="M6" s="37">
        <v>26.256082137778293</v>
      </c>
      <c r="N6" s="37">
        <v>26.624217749157641</v>
      </c>
      <c r="O6" s="37">
        <v>27.545137433144468</v>
      </c>
      <c r="P6" s="37">
        <v>29.009550701123523</v>
      </c>
      <c r="Q6" s="37">
        <v>28.635027878821187</v>
      </c>
      <c r="R6" s="37">
        <v>28.180955247750759</v>
      </c>
      <c r="S6" s="37">
        <v>31.10629785047815</v>
      </c>
      <c r="T6" s="37">
        <v>32.039486785992494</v>
      </c>
      <c r="U6" s="37">
        <v>32.90455292921429</v>
      </c>
      <c r="V6" s="37">
        <v>33.661357646586218</v>
      </c>
      <c r="W6" s="37">
        <v>34.733412170419157</v>
      </c>
      <c r="X6" s="37">
        <v>35.72198498435214</v>
      </c>
      <c r="Y6" s="37">
        <v>36.506431633159643</v>
      </c>
      <c r="Z6" s="37">
        <v>37.376030318889171</v>
      </c>
      <c r="AA6" s="37">
        <v>38.560035784963944</v>
      </c>
      <c r="AB6" s="37">
        <v>39.511258777543723</v>
      </c>
      <c r="AC6" s="37">
        <v>40.653700446191834</v>
      </c>
      <c r="AD6" s="37">
        <v>41.61583367436274</v>
      </c>
      <c r="AE6" s="11">
        <v>42.599821893289466</v>
      </c>
      <c r="AF6" s="9"/>
    </row>
    <row r="7" spans="2:32">
      <c r="B7" s="19" t="s">
        <v>89</v>
      </c>
      <c r="C7" s="60" t="s">
        <v>154</v>
      </c>
      <c r="D7" s="60" t="s">
        <v>187</v>
      </c>
      <c r="E7" s="60" t="s">
        <v>161</v>
      </c>
      <c r="F7" s="37">
        <v>23.857974763966439</v>
      </c>
      <c r="G7" s="37">
        <v>25.835106872399699</v>
      </c>
      <c r="H7" s="37">
        <v>28.75812685297327</v>
      </c>
      <c r="I7" s="37">
        <v>28.89458090450978</v>
      </c>
      <c r="J7" s="37">
        <v>30.289315507874445</v>
      </c>
      <c r="K7" s="37">
        <v>30.867067768635412</v>
      </c>
      <c r="L7" s="37">
        <v>32.08818636600256</v>
      </c>
      <c r="M7" s="37">
        <v>34.068802407666539</v>
      </c>
      <c r="N7" s="37">
        <v>34.173030076818897</v>
      </c>
      <c r="O7" s="37">
        <v>23.063633342118109</v>
      </c>
      <c r="P7" s="37">
        <v>21.27442633411647</v>
      </c>
      <c r="Q7" s="37">
        <v>27.920740507010539</v>
      </c>
      <c r="R7" s="37">
        <v>35.68964234990316</v>
      </c>
      <c r="S7" s="37">
        <v>48.925560670000003</v>
      </c>
      <c r="T7" s="37">
        <v>44.144528927234731</v>
      </c>
      <c r="U7" s="37">
        <v>45.336431208270064</v>
      </c>
      <c r="V7" s="37">
        <v>46.379169126060269</v>
      </c>
      <c r="W7" s="37">
        <v>47.856263383375484</v>
      </c>
      <c r="X7" s="37">
        <v>49.218335175375024</v>
      </c>
      <c r="Y7" s="37">
        <v>50.299158598404844</v>
      </c>
      <c r="Z7" s="37">
        <v>51.497305890640988</v>
      </c>
      <c r="AA7" s="37">
        <v>53.128647987231403</v>
      </c>
      <c r="AB7" s="37">
        <v>54.439258584481898</v>
      </c>
      <c r="AC7" s="37">
        <v>56.013333401166037</v>
      </c>
      <c r="AD7" s="37">
        <v>57.338976299460313</v>
      </c>
      <c r="AE7" s="11">
        <v>58.69473136147522</v>
      </c>
      <c r="AF7" s="9"/>
    </row>
    <row r="8" spans="2:32">
      <c r="B8" s="19" t="s">
        <v>89</v>
      </c>
      <c r="C8" s="60" t="s">
        <v>154</v>
      </c>
      <c r="D8" s="60" t="s">
        <v>187</v>
      </c>
      <c r="E8" s="60" t="s">
        <v>162</v>
      </c>
      <c r="F8" s="37">
        <v>9.7480451795528751</v>
      </c>
      <c r="G8" s="37">
        <v>10.056953926009996</v>
      </c>
      <c r="H8" s="37">
        <v>10.290958108006649</v>
      </c>
      <c r="I8" s="37">
        <v>10.507542623849703</v>
      </c>
      <c r="J8" s="37">
        <v>10.703804195846898</v>
      </c>
      <c r="K8" s="37">
        <v>9.4641046212492448</v>
      </c>
      <c r="L8" s="37">
        <v>9.1342922754078089</v>
      </c>
      <c r="M8" s="37">
        <v>9.1482280083306868</v>
      </c>
      <c r="N8" s="37">
        <v>8.9877010262531432</v>
      </c>
      <c r="O8" s="37">
        <v>6.0078091845027641</v>
      </c>
      <c r="P8" s="37">
        <v>5.420583749455238</v>
      </c>
      <c r="Q8" s="37">
        <v>7.4001130085451603</v>
      </c>
      <c r="R8" s="37">
        <v>9.1798605551968997</v>
      </c>
      <c r="S8" s="37">
        <v>12.971769999999999</v>
      </c>
      <c r="T8" s="37">
        <v>10.648729018024609</v>
      </c>
      <c r="U8" s="37">
        <v>10.936244701511272</v>
      </c>
      <c r="V8" s="37">
        <v>11.187778329646031</v>
      </c>
      <c r="W8" s="37">
        <v>11.544089221674284</v>
      </c>
      <c r="X8" s="37">
        <v>11.872653910630561</v>
      </c>
      <c r="Y8" s="37">
        <v>12.133374684594415</v>
      </c>
      <c r="Z8" s="37">
        <v>12.422396815960532</v>
      </c>
      <c r="AA8" s="37">
        <v>12.815916020818783</v>
      </c>
      <c r="AB8" s="37">
        <v>13.132067023840623</v>
      </c>
      <c r="AC8" s="37">
        <v>13.511771974472115</v>
      </c>
      <c r="AD8" s="37">
        <v>13.831549132404261</v>
      </c>
      <c r="AE8" s="11">
        <v>14.158590073174274</v>
      </c>
      <c r="AF8" s="9"/>
    </row>
    <row r="9" spans="2:32">
      <c r="B9" s="19" t="s">
        <v>89</v>
      </c>
      <c r="C9" s="60" t="s">
        <v>154</v>
      </c>
      <c r="D9" s="60" t="s">
        <v>187</v>
      </c>
      <c r="E9" s="60" t="s">
        <v>163</v>
      </c>
      <c r="F9" s="37">
        <v>2.4648827607339743</v>
      </c>
      <c r="G9" s="37">
        <v>2.7720495405757344</v>
      </c>
      <c r="H9" s="37">
        <v>2.4033332736579314</v>
      </c>
      <c r="I9" s="37">
        <v>2.5548843691942253</v>
      </c>
      <c r="J9" s="37">
        <v>3.6691623474859791</v>
      </c>
      <c r="K9" s="37">
        <v>4.2178818313242843</v>
      </c>
      <c r="L9" s="37">
        <v>3.4055447330282118</v>
      </c>
      <c r="M9" s="37">
        <v>3.7562606782539643</v>
      </c>
      <c r="N9" s="37">
        <v>3.7696422884028848</v>
      </c>
      <c r="O9" s="37">
        <v>2.5576737701274714</v>
      </c>
      <c r="P9" s="37">
        <v>2.1514219501267493</v>
      </c>
      <c r="Q9" s="37">
        <v>2.8135056066127189</v>
      </c>
      <c r="R9" s="37">
        <v>3.5701355713363458</v>
      </c>
      <c r="S9" s="37">
        <v>4.9249900000000002</v>
      </c>
      <c r="T9" s="37">
        <v>4.0184672997532909</v>
      </c>
      <c r="U9" s="37">
        <v>4.1269659168466291</v>
      </c>
      <c r="V9" s="37">
        <v>4.2218861329341015</v>
      </c>
      <c r="W9" s="37">
        <v>4.3563457163959285</v>
      </c>
      <c r="X9" s="37">
        <v>4.4803348287293865</v>
      </c>
      <c r="Y9" s="37">
        <v>4.5787219604487426</v>
      </c>
      <c r="Z9" s="37">
        <v>4.6877890596146479</v>
      </c>
      <c r="AA9" s="37">
        <v>4.8362897918495582</v>
      </c>
      <c r="AB9" s="37">
        <v>4.955594402313122</v>
      </c>
      <c r="AC9" s="37">
        <v>5.0988821059521561</v>
      </c>
      <c r="AD9" s="37">
        <v>5.2195551036576369</v>
      </c>
      <c r="AE9" s="11">
        <v>5.3429692053725324</v>
      </c>
      <c r="AF9" s="9"/>
    </row>
    <row r="10" spans="2:32">
      <c r="B10" s="19" t="s">
        <v>89</v>
      </c>
      <c r="C10" s="60" t="s">
        <v>154</v>
      </c>
      <c r="D10" s="60" t="s">
        <v>187</v>
      </c>
      <c r="E10" s="60" t="s">
        <v>164</v>
      </c>
      <c r="F10" s="37">
        <v>0</v>
      </c>
      <c r="G10" s="37">
        <v>6.5033420306762096E-2</v>
      </c>
      <c r="H10" s="37">
        <v>1.2292477749054942</v>
      </c>
      <c r="I10" s="37">
        <v>1.8151292132048065</v>
      </c>
      <c r="J10" s="37">
        <v>2.0346170067401284</v>
      </c>
      <c r="K10" s="37">
        <v>0.81001447614226008</v>
      </c>
      <c r="L10" s="37">
        <v>2.3086864208900546</v>
      </c>
      <c r="M10" s="37">
        <v>2.1112635378159554</v>
      </c>
      <c r="N10" s="37">
        <v>1.8652093691135869</v>
      </c>
      <c r="O10" s="37">
        <v>0.97446701939079161</v>
      </c>
      <c r="P10" s="37">
        <v>0.5505478849267621</v>
      </c>
      <c r="Q10" s="37">
        <v>1.1284487202709705</v>
      </c>
      <c r="R10" s="37">
        <v>1.4641704325371208</v>
      </c>
      <c r="S10" s="37">
        <v>1.9722500000000001</v>
      </c>
      <c r="T10" s="37">
        <v>1.4072709564398711</v>
      </c>
      <c r="U10" s="37">
        <v>1.4452672722637474</v>
      </c>
      <c r="V10" s="37">
        <v>1.4785084195258134</v>
      </c>
      <c r="W10" s="37">
        <v>1.5255962897275814</v>
      </c>
      <c r="X10" s="37">
        <v>1.5690173912785008</v>
      </c>
      <c r="Y10" s="37">
        <v>1.6034726555939711</v>
      </c>
      <c r="Z10" s="37">
        <v>1.6416680543642308</v>
      </c>
      <c r="AA10" s="37">
        <v>1.6936731478228919</v>
      </c>
      <c r="AB10" s="37">
        <v>1.7354537324963202</v>
      </c>
      <c r="AC10" s="37">
        <v>1.7856332185303501</v>
      </c>
      <c r="AD10" s="37">
        <v>1.8278930136785858</v>
      </c>
      <c r="AE10" s="11">
        <v>1.8711127459802899</v>
      </c>
      <c r="AF10" s="9"/>
    </row>
    <row r="11" spans="2:32">
      <c r="B11" s="19" t="s">
        <v>89</v>
      </c>
      <c r="C11" s="60" t="s">
        <v>154</v>
      </c>
      <c r="D11" s="60" t="s">
        <v>187</v>
      </c>
      <c r="E11" s="60" t="s">
        <v>211</v>
      </c>
      <c r="F11" s="37">
        <v>27.569524965759427</v>
      </c>
      <c r="G11" s="37">
        <v>28.78832094097276</v>
      </c>
      <c r="H11" s="37">
        <v>31.857085461698087</v>
      </c>
      <c r="I11" s="37">
        <v>35.930964719485964</v>
      </c>
      <c r="J11" s="37">
        <v>37.977775492533603</v>
      </c>
      <c r="K11" s="37">
        <v>33.522405545981954</v>
      </c>
      <c r="L11" s="37">
        <v>22.441755905678942</v>
      </c>
      <c r="M11" s="37">
        <v>21.529546054768918</v>
      </c>
      <c r="N11" s="37">
        <v>25.5848234317269</v>
      </c>
      <c r="O11" s="37">
        <v>22.023940567740599</v>
      </c>
      <c r="P11" s="37">
        <v>21.491393792287099</v>
      </c>
      <c r="Q11" s="37">
        <v>20.510462487417801</v>
      </c>
      <c r="R11" s="37">
        <v>28.440348612007746</v>
      </c>
      <c r="S11" s="37">
        <v>21.75</v>
      </c>
      <c r="T11" s="37">
        <v>22.61</v>
      </c>
      <c r="U11" s="37">
        <v>22.99</v>
      </c>
      <c r="V11" s="37">
        <v>23.72</v>
      </c>
      <c r="W11" s="37">
        <v>24.24</v>
      </c>
      <c r="X11" s="37">
        <v>24.8</v>
      </c>
      <c r="Y11" s="37">
        <v>25.395</v>
      </c>
      <c r="Z11" s="37">
        <v>26.1</v>
      </c>
      <c r="AA11" s="37">
        <v>25.951720000000002</v>
      </c>
      <c r="AB11" s="37">
        <v>25.434999999999999</v>
      </c>
      <c r="AC11" s="37">
        <v>24.398700000000002</v>
      </c>
      <c r="AD11" s="37">
        <v>23.2807</v>
      </c>
      <c r="AE11" s="11">
        <v>22.212900000000001</v>
      </c>
      <c r="AF11" s="9"/>
    </row>
    <row r="12" spans="2:32">
      <c r="B12" s="19" t="s">
        <v>89</v>
      </c>
      <c r="C12" s="60" t="s">
        <v>154</v>
      </c>
      <c r="D12" s="60" t="s">
        <v>187</v>
      </c>
      <c r="E12" s="60" t="s">
        <v>212</v>
      </c>
      <c r="F12" s="37">
        <v>1.0451799692158195E-2</v>
      </c>
      <c r="G12" s="37">
        <v>1.3935732922877591E-2</v>
      </c>
      <c r="H12" s="37">
        <v>1.9161632768956688E-2</v>
      </c>
      <c r="I12" s="37">
        <v>2.0322943845863157E-2</v>
      </c>
      <c r="J12" s="37">
        <v>2.1484254922769622E-2</v>
      </c>
      <c r="K12" s="37">
        <v>2.1484254922769622E-2</v>
      </c>
      <c r="L12" s="37">
        <v>2.090359938431639E-2</v>
      </c>
      <c r="M12" s="37">
        <v>2.4387532615035786E-2</v>
      </c>
      <c r="N12" s="37">
        <v>3.077474353802135E-2</v>
      </c>
      <c r="O12" s="37">
        <v>3.4839332307193978E-3</v>
      </c>
      <c r="P12" s="37">
        <v>9.8711441537049603E-3</v>
      </c>
      <c r="Q12" s="37">
        <v>1.9742288307409921E-2</v>
      </c>
      <c r="R12" s="37">
        <v>2.8452121384208419E-2</v>
      </c>
      <c r="S12" s="37">
        <v>3.1936054614927815E-2</v>
      </c>
      <c r="T12" s="37">
        <v>3.2894136253375651E-2</v>
      </c>
      <c r="U12" s="37">
        <v>3.3782277932216789E-2</v>
      </c>
      <c r="V12" s="37">
        <v>3.4559270324657769E-2</v>
      </c>
      <c r="W12" s="37">
        <v>3.5659921774337855E-2</v>
      </c>
      <c r="X12" s="37">
        <v>3.6674864649518718E-2</v>
      </c>
      <c r="Y12" s="37">
        <v>3.7480236318601104E-2</v>
      </c>
      <c r="Z12" s="37">
        <v>3.8373031444977765E-2</v>
      </c>
      <c r="AA12" s="37">
        <v>3.9588620114857226E-2</v>
      </c>
      <c r="AB12" s="37">
        <v>4.0565216866679819E-2</v>
      </c>
      <c r="AC12" s="37">
        <v>4.1738133029821184E-2</v>
      </c>
      <c r="AD12" s="37">
        <v>4.2725931046460781E-2</v>
      </c>
      <c r="AE12" s="11">
        <v>4.3736167033113449E-2</v>
      </c>
      <c r="AF12" s="9"/>
    </row>
    <row r="13" spans="2:32">
      <c r="B13" s="19" t="s">
        <v>89</v>
      </c>
      <c r="C13" s="60" t="s">
        <v>154</v>
      </c>
      <c r="D13" s="60" t="s">
        <v>187</v>
      </c>
      <c r="E13" s="60" t="s">
        <v>167</v>
      </c>
      <c r="F13" s="37">
        <v>5.2665457337708235</v>
      </c>
      <c r="G13" s="37">
        <v>6.1195287197586232</v>
      </c>
      <c r="H13" s="37">
        <v>6.4319213994464626</v>
      </c>
      <c r="I13" s="37">
        <v>6.2153368836034071</v>
      </c>
      <c r="J13" s="37">
        <v>8.1692427704985366</v>
      </c>
      <c r="K13" s="37">
        <v>8.5472495260315906</v>
      </c>
      <c r="L13" s="37">
        <v>8.7220268431060131</v>
      </c>
      <c r="M13" s="37">
        <v>9.8937897197046372</v>
      </c>
      <c r="N13" s="37">
        <v>7.1739991775896943</v>
      </c>
      <c r="O13" s="37">
        <v>9.5622354072478402</v>
      </c>
      <c r="P13" s="37">
        <v>7.4515525249703387</v>
      </c>
      <c r="Q13" s="37">
        <v>11.777436286446925</v>
      </c>
      <c r="R13" s="37">
        <v>7.6298137752754815</v>
      </c>
      <c r="S13" s="37">
        <v>7.0241900486687596</v>
      </c>
      <c r="T13" s="37">
        <v>7.234915750128823</v>
      </c>
      <c r="U13" s="37">
        <v>7.4302584753823009</v>
      </c>
      <c r="V13" s="37">
        <v>7.6011544203160932</v>
      </c>
      <c r="W13" s="37">
        <v>7.8432377037120933</v>
      </c>
      <c r="X13" s="37">
        <v>8.0664697757314183</v>
      </c>
      <c r="Y13" s="37">
        <v>8.2436076135657768</v>
      </c>
      <c r="Z13" s="37">
        <v>8.4399738434526572</v>
      </c>
      <c r="AA13" s="37">
        <v>8.7073370459895987</v>
      </c>
      <c r="AB13" s="37">
        <v>8.9221350624768334</v>
      </c>
      <c r="AC13" s="37">
        <v>9.1801126411226726</v>
      </c>
      <c r="AD13" s="37">
        <v>9.3973743248915671</v>
      </c>
      <c r="AE13" s="11">
        <v>9.619571138174063</v>
      </c>
      <c r="AF13" s="9"/>
    </row>
    <row r="14" spans="2:32">
      <c r="B14" s="19" t="s">
        <v>194</v>
      </c>
      <c r="C14" s="60" t="s">
        <v>154</v>
      </c>
      <c r="D14" s="60" t="s">
        <v>187</v>
      </c>
      <c r="E14" s="60" t="s">
        <v>168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37">
        <v>0</v>
      </c>
      <c r="AD14" s="37">
        <v>0</v>
      </c>
      <c r="AE14" s="11">
        <v>0</v>
      </c>
      <c r="AF14" s="9"/>
    </row>
    <row r="15" spans="2:32">
      <c r="B15" s="19" t="s">
        <v>89</v>
      </c>
      <c r="C15" s="60" t="s">
        <v>154</v>
      </c>
      <c r="D15" s="60" t="s">
        <v>187</v>
      </c>
      <c r="E15" s="60" t="s">
        <v>169</v>
      </c>
      <c r="F15" s="37">
        <v>1.611899774746175</v>
      </c>
      <c r="G15" s="37">
        <v>1.6415132072072898</v>
      </c>
      <c r="H15" s="37">
        <v>1.6868043392066419</v>
      </c>
      <c r="I15" s="37">
        <v>1.71699842720621</v>
      </c>
      <c r="J15" s="37">
        <v>1.8830659112038348</v>
      </c>
      <c r="K15" s="37">
        <v>1.9202278656648415</v>
      </c>
      <c r="L15" s="37">
        <v>1.958551131202755</v>
      </c>
      <c r="M15" s="37">
        <v>1.998035707817575</v>
      </c>
      <c r="N15" s="37">
        <v>2.0379768422691695</v>
      </c>
      <c r="O15" s="37">
        <v>2.0787363758628818</v>
      </c>
      <c r="P15" s="37">
        <v>2.1203111033801396</v>
      </c>
      <c r="Q15" s="37">
        <v>2.1627173296284621</v>
      </c>
      <c r="R15" s="37">
        <v>2.2059103905838322</v>
      </c>
      <c r="S15" s="37">
        <v>2.2500402115062781</v>
      </c>
      <c r="T15" s="37">
        <v>2.3175414178514666</v>
      </c>
      <c r="U15" s="37">
        <v>2.3801150361334562</v>
      </c>
      <c r="V15" s="37">
        <v>2.4348576819645253</v>
      </c>
      <c r="W15" s="37">
        <v>2.5124035795556221</v>
      </c>
      <c r="X15" s="37">
        <v>2.5839109184888192</v>
      </c>
      <c r="Y15" s="37">
        <v>2.6406530133559873</v>
      </c>
      <c r="Z15" s="37">
        <v>2.7035544881688884</v>
      </c>
      <c r="AA15" s="37">
        <v>2.7891982353649412</v>
      </c>
      <c r="AB15" s="37">
        <v>2.8580039156069872</v>
      </c>
      <c r="AC15" s="37">
        <v>2.9406411907374017</v>
      </c>
      <c r="AD15" s="37">
        <v>3.0102360510006458</v>
      </c>
      <c r="AE15" s="11">
        <v>3.0814117682420838</v>
      </c>
      <c r="AF15" s="9"/>
    </row>
    <row r="16" spans="2:32">
      <c r="B16" s="19" t="s">
        <v>89</v>
      </c>
      <c r="C16" s="60" t="s">
        <v>154</v>
      </c>
      <c r="D16" s="60" t="s">
        <v>187</v>
      </c>
      <c r="E16" s="60" t="s">
        <v>170</v>
      </c>
      <c r="F16" s="37">
        <v>1.2489900632129043</v>
      </c>
      <c r="G16" s="37">
        <v>1.646739107053369</v>
      </c>
      <c r="H16" s="37">
        <v>1.7036433498217856</v>
      </c>
      <c r="I16" s="37">
        <v>2.2419110339679329</v>
      </c>
      <c r="J16" s="37">
        <v>2.083972727508653</v>
      </c>
      <c r="K16" s="37">
        <v>2.1385543481232574</v>
      </c>
      <c r="L16" s="37">
        <v>1.338411016134702</v>
      </c>
      <c r="M16" s="37">
        <v>1.4371224576717516</v>
      </c>
      <c r="N16" s="37">
        <v>1.9124761142264823</v>
      </c>
      <c r="O16" s="37">
        <v>1.1428636504498049</v>
      </c>
      <c r="P16" s="37">
        <v>1.1594384627949526</v>
      </c>
      <c r="Q16" s="37">
        <v>1.5398457063895263</v>
      </c>
      <c r="R16" s="37">
        <v>2.3094848289218848</v>
      </c>
      <c r="S16" s="37">
        <v>2.78078234</v>
      </c>
      <c r="T16" s="37">
        <v>3.0083182791723551</v>
      </c>
      <c r="U16" s="37">
        <v>3.0895428727100085</v>
      </c>
      <c r="V16" s="37">
        <v>3.1606023587823384</v>
      </c>
      <c r="W16" s="37">
        <v>3.2612619368167173</v>
      </c>
      <c r="X16" s="37">
        <v>3.3540830761287124</v>
      </c>
      <c r="Y16" s="37">
        <v>3.4277379760466107</v>
      </c>
      <c r="Z16" s="37">
        <v>3.5093881485134215</v>
      </c>
      <c r="AA16" s="37">
        <v>3.620559257776943</v>
      </c>
      <c r="AB16" s="37">
        <v>3.7098734698072637</v>
      </c>
      <c r="AC16" s="37">
        <v>3.8171419843636469</v>
      </c>
      <c r="AD16" s="37">
        <v>3.9074806029763227</v>
      </c>
      <c r="AE16" s="11">
        <v>3.9998712759374668</v>
      </c>
      <c r="AF16" s="9"/>
    </row>
    <row r="17" spans="2:32">
      <c r="B17" s="19" t="s">
        <v>89</v>
      </c>
      <c r="C17" s="60" t="s">
        <v>154</v>
      </c>
      <c r="D17" s="60" t="s">
        <v>187</v>
      </c>
      <c r="E17" s="60" t="s">
        <v>171</v>
      </c>
      <c r="F17" s="37">
        <v>1.0422766915235533</v>
      </c>
      <c r="G17" s="37">
        <v>0.82220824244977797</v>
      </c>
      <c r="H17" s="37">
        <v>1.3111202058274003</v>
      </c>
      <c r="I17" s="37">
        <v>0.96911409367844592</v>
      </c>
      <c r="J17" s="37">
        <v>0.90872591767930966</v>
      </c>
      <c r="K17" s="37">
        <v>1.0132439146008916</v>
      </c>
      <c r="L17" s="37">
        <v>0.71652893445128962</v>
      </c>
      <c r="M17" s="37">
        <v>2.4695280050416</v>
      </c>
      <c r="N17" s="37">
        <v>1.3000275877151339</v>
      </c>
      <c r="O17" s="37">
        <v>0.64812103574863489</v>
      </c>
      <c r="P17" s="37">
        <v>0.93269912724526927</v>
      </c>
      <c r="Q17" s="37">
        <v>1.2496409046290355</v>
      </c>
      <c r="R17" s="37">
        <v>2.0927876049063912</v>
      </c>
      <c r="S17" s="37">
        <v>2.2568174999999999</v>
      </c>
      <c r="T17" s="37">
        <v>1.5478186295224763</v>
      </c>
      <c r="U17" s="37">
        <v>1.589609732519583</v>
      </c>
      <c r="V17" s="37">
        <v>1.6261707563675334</v>
      </c>
      <c r="W17" s="37">
        <v>1.6779614100361162</v>
      </c>
      <c r="X17" s="37">
        <v>1.725719085690081</v>
      </c>
      <c r="Y17" s="37">
        <v>1.7636154835007214</v>
      </c>
      <c r="Z17" s="37">
        <v>1.8056255523564086</v>
      </c>
      <c r="AA17" s="37">
        <v>1.8628245246772821</v>
      </c>
      <c r="AB17" s="37">
        <v>1.9087778409266796</v>
      </c>
      <c r="AC17" s="37">
        <v>1.9639688778395861</v>
      </c>
      <c r="AD17" s="37">
        <v>2.010449264513464</v>
      </c>
      <c r="AE17" s="11">
        <v>2.0579854596672296</v>
      </c>
      <c r="AF17" s="9"/>
    </row>
    <row r="18" spans="2:32">
      <c r="B18" s="19" t="s">
        <v>89</v>
      </c>
      <c r="C18" s="60" t="s">
        <v>154</v>
      </c>
      <c r="D18" s="60" t="s">
        <v>187</v>
      </c>
      <c r="E18" s="60" t="s">
        <v>172</v>
      </c>
      <c r="F18" s="37">
        <v>4.5895013759343533</v>
      </c>
      <c r="G18" s="37">
        <v>6.289080136986966</v>
      </c>
      <c r="H18" s="37">
        <v>2.9236006361120284</v>
      </c>
      <c r="I18" s="37">
        <v>3.2458644599535726</v>
      </c>
      <c r="J18" s="37">
        <v>2.8469541050362017</v>
      </c>
      <c r="K18" s="37">
        <v>0.76878793291208058</v>
      </c>
      <c r="L18" s="37">
        <v>3.9565868390203298</v>
      </c>
      <c r="M18" s="37">
        <v>3.4589650425659095</v>
      </c>
      <c r="N18" s="37">
        <v>5.482611453922881</v>
      </c>
      <c r="O18" s="37">
        <v>4.8692797459245627</v>
      </c>
      <c r="P18" s="37">
        <v>4.9365844061765394</v>
      </c>
      <c r="Q18" s="37">
        <v>5.8800563190252948</v>
      </c>
      <c r="R18" s="37">
        <v>8.253528728211748</v>
      </c>
      <c r="S18" s="37">
        <v>10.616339999999999</v>
      </c>
      <c r="T18" s="37">
        <v>10.487248712780765</v>
      </c>
      <c r="U18" s="37">
        <v>10.770404428025845</v>
      </c>
      <c r="V18" s="37">
        <v>11.018123729870439</v>
      </c>
      <c r="W18" s="37">
        <v>11.36903142387299</v>
      </c>
      <c r="X18" s="37">
        <v>11.692613665987469</v>
      </c>
      <c r="Y18" s="37">
        <v>11.949380797212191</v>
      </c>
      <c r="Z18" s="37">
        <v>12.234020116139732</v>
      </c>
      <c r="AA18" s="37">
        <v>12.621571885709482</v>
      </c>
      <c r="AB18" s="37">
        <v>12.932928686495103</v>
      </c>
      <c r="AC18" s="37">
        <v>13.306875685052992</v>
      </c>
      <c r="AD18" s="37">
        <v>13.621803652721633</v>
      </c>
      <c r="AE18" s="11">
        <v>13.943885253193534</v>
      </c>
      <c r="AF18" s="9"/>
    </row>
    <row r="19" spans="2:32">
      <c r="B19" s="19" t="s">
        <v>89</v>
      </c>
      <c r="C19" s="60" t="s">
        <v>154</v>
      </c>
      <c r="D19" s="60" t="s">
        <v>187</v>
      </c>
      <c r="E19" s="60" t="s">
        <v>173</v>
      </c>
      <c r="F19" s="37">
        <v>8.2209211134208733</v>
      </c>
      <c r="G19" s="37">
        <v>8.6262186792612283</v>
      </c>
      <c r="H19" s="37">
        <v>10.230569932007514</v>
      </c>
      <c r="I19" s="37">
        <v>7.6211039421986833</v>
      </c>
      <c r="J19" s="37">
        <v>1.6432551738226495</v>
      </c>
      <c r="K19" s="37">
        <v>2.0711983056626821</v>
      </c>
      <c r="L19" s="37">
        <v>0.49065392999298191</v>
      </c>
      <c r="M19" s="37">
        <v>0</v>
      </c>
      <c r="N19" s="37">
        <v>2.4214693363565103</v>
      </c>
      <c r="O19" s="37">
        <v>1.798194815923672</v>
      </c>
      <c r="P19" s="37">
        <v>0.39286783893652288</v>
      </c>
      <c r="Q19" s="37">
        <v>2.1520567625188689</v>
      </c>
      <c r="R19" s="37">
        <v>4.9283976759199479</v>
      </c>
      <c r="S19" s="37">
        <v>3.8825150000000002</v>
      </c>
      <c r="T19" s="37">
        <v>3.3575941986627438</v>
      </c>
      <c r="U19" s="37">
        <v>3.4482492420266375</v>
      </c>
      <c r="V19" s="37">
        <v>3.5275589745932501</v>
      </c>
      <c r="W19" s="37">
        <v>3.6399054698387774</v>
      </c>
      <c r="X19" s="37">
        <v>3.7435034571345112</v>
      </c>
      <c r="Y19" s="37">
        <v>3.8257099398659391</v>
      </c>
      <c r="Z19" s="37">
        <v>3.9168399733110042</v>
      </c>
      <c r="AA19" s="37">
        <v>4.0409184240874279</v>
      </c>
      <c r="AB19" s="37">
        <v>4.1406023179916467</v>
      </c>
      <c r="AC19" s="37">
        <v>4.2603250696257495</v>
      </c>
      <c r="AD19" s="37">
        <v>4.3611523071787435</v>
      </c>
      <c r="AE19" s="11">
        <v>4.4642698495254356</v>
      </c>
      <c r="AF19" s="9"/>
    </row>
    <row r="20" spans="2:32">
      <c r="B20" s="19" t="s">
        <v>89</v>
      </c>
      <c r="C20" s="60" t="s">
        <v>154</v>
      </c>
      <c r="D20" s="60" t="s">
        <v>187</v>
      </c>
      <c r="E20" s="60" t="s">
        <v>174</v>
      </c>
      <c r="F20" s="37">
        <v>24.95947832041222</v>
      </c>
      <c r="G20" s="37">
        <v>28.615285590513778</v>
      </c>
      <c r="H20" s="37">
        <v>30.633063586638762</v>
      </c>
      <c r="I20" s="37">
        <v>32.528903919688567</v>
      </c>
      <c r="J20" s="37">
        <v>36.134774813483148</v>
      </c>
      <c r="K20" s="37">
        <v>31.228235513553326</v>
      </c>
      <c r="L20" s="37">
        <v>27.9730805649845</v>
      </c>
      <c r="M20" s="37">
        <v>29.660465559729598</v>
      </c>
      <c r="N20" s="37">
        <v>33.204674246691695</v>
      </c>
      <c r="O20" s="37">
        <v>20.117910308207762</v>
      </c>
      <c r="P20" s="37">
        <v>14.637486424496085</v>
      </c>
      <c r="Q20" s="37">
        <v>13.844605413520974</v>
      </c>
      <c r="R20" s="37">
        <v>14.946251775338927</v>
      </c>
      <c r="S20" s="37">
        <v>24.999677499999997</v>
      </c>
      <c r="T20" s="37">
        <v>12.474054542484652</v>
      </c>
      <c r="U20" s="37">
        <v>12.810854015131737</v>
      </c>
      <c r="V20" s="37">
        <v>13.105503657479765</v>
      </c>
      <c r="W20" s="37">
        <v>13.522890699042993</v>
      </c>
      <c r="X20" s="37">
        <v>13.907775490818397</v>
      </c>
      <c r="Y20" s="37">
        <v>14.213187070855694</v>
      </c>
      <c r="Z20" s="37">
        <v>14.551751215416385</v>
      </c>
      <c r="AA20" s="37">
        <v>15.012724540646856</v>
      </c>
      <c r="AB20" s="37">
        <v>15.383067785242561</v>
      </c>
      <c r="AC20" s="37">
        <v>15.827858920054188</v>
      </c>
      <c r="AD20" s="37">
        <v>16.202449887927862</v>
      </c>
      <c r="AE20" s="11">
        <v>16.585549741993585</v>
      </c>
      <c r="AF20" s="9"/>
    </row>
    <row r="21" spans="2:32">
      <c r="B21" s="19" t="s">
        <v>82</v>
      </c>
      <c r="C21" s="60" t="s">
        <v>154</v>
      </c>
      <c r="D21" s="60" t="s">
        <v>189</v>
      </c>
      <c r="E21" s="60" t="s">
        <v>175</v>
      </c>
      <c r="F21" s="37">
        <v>15.069172533938302</v>
      </c>
      <c r="G21" s="37">
        <v>16.665975264684693</v>
      </c>
      <c r="H21" s="37">
        <v>18.169873109278566</v>
      </c>
      <c r="I21" s="37">
        <v>19.947840368022369</v>
      </c>
      <c r="J21" s="37">
        <v>21.697355505381957</v>
      </c>
      <c r="K21" s="37">
        <v>23.16351073997637</v>
      </c>
      <c r="L21" s="37">
        <v>23.865523285966333</v>
      </c>
      <c r="M21" s="37">
        <v>24.450243413188737</v>
      </c>
      <c r="N21" s="37">
        <v>23.714814140960755</v>
      </c>
      <c r="O21" s="37">
        <v>16.079267553554132</v>
      </c>
      <c r="P21" s="37">
        <v>13.944067071820999</v>
      </c>
      <c r="Q21" s="37">
        <v>17.150135491528914</v>
      </c>
      <c r="R21" s="37">
        <v>22.338848289218852</v>
      </c>
      <c r="S21" s="37">
        <v>29.57713451</v>
      </c>
      <c r="T21" s="37">
        <v>29.594555349559769</v>
      </c>
      <c r="U21" s="37">
        <v>30.393608343997879</v>
      </c>
      <c r="V21" s="37">
        <v>31.092661335909828</v>
      </c>
      <c r="W21" s="37">
        <v>32.08290743926473</v>
      </c>
      <c r="X21" s="37">
        <v>32.996042317311542</v>
      </c>
      <c r="Y21" s="37">
        <v>33.720627886424339</v>
      </c>
      <c r="Z21" s="37">
        <v>34.523867545306089</v>
      </c>
      <c r="AA21" s="37">
        <v>35.617521620790548</v>
      </c>
      <c r="AB21" s="37">
        <v>36.496156840253043</v>
      </c>
      <c r="AC21" s="37">
        <v>37.55141884935712</v>
      </c>
      <c r="AD21" s="37">
        <v>38.440131744945795</v>
      </c>
      <c r="AE21" s="11">
        <v>39.349031878173683</v>
      </c>
      <c r="AF21" s="9"/>
    </row>
    <row r="22" spans="2:32">
      <c r="B22" s="19" t="s">
        <v>82</v>
      </c>
      <c r="C22" s="60" t="s">
        <v>154</v>
      </c>
      <c r="D22" s="60" t="s">
        <v>189</v>
      </c>
      <c r="E22" s="60" t="s">
        <v>176</v>
      </c>
      <c r="F22" s="37">
        <v>0.98943703752430912</v>
      </c>
      <c r="G22" s="37">
        <v>1.0585350466002439</v>
      </c>
      <c r="H22" s="37">
        <v>1.1171812559840204</v>
      </c>
      <c r="I22" s="37">
        <v>1.1595691102911063</v>
      </c>
      <c r="J22" s="37">
        <v>1.1676982878294515</v>
      </c>
      <c r="K22" s="37">
        <v>1.1827953318292357</v>
      </c>
      <c r="L22" s="37">
        <v>1.1665369767525451</v>
      </c>
      <c r="M22" s="37">
        <v>1.2013763090597391</v>
      </c>
      <c r="N22" s="37">
        <v>0.26080795379663857</v>
      </c>
      <c r="O22" s="37">
        <v>0.17433650832065511</v>
      </c>
      <c r="P22" s="37">
        <v>0.15729621464880522</v>
      </c>
      <c r="Q22" s="37">
        <v>0.2147388214831038</v>
      </c>
      <c r="R22" s="37">
        <v>0.266479018721756</v>
      </c>
      <c r="S22" s="37">
        <v>0.36909249999999999</v>
      </c>
      <c r="T22" s="37">
        <v>0.30920488078173114</v>
      </c>
      <c r="U22" s="37">
        <v>0.31755341256283787</v>
      </c>
      <c r="V22" s="37">
        <v>0.32485714105178309</v>
      </c>
      <c r="W22" s="37">
        <v>0.33520326467877587</v>
      </c>
      <c r="X22" s="37">
        <v>0.34474372770547596</v>
      </c>
      <c r="Y22" s="37">
        <v>0.35231422139485041</v>
      </c>
      <c r="Z22" s="37">
        <v>0.36070649558279105</v>
      </c>
      <c r="AA22" s="37">
        <v>0.37213302907965795</v>
      </c>
      <c r="AB22" s="37">
        <v>0.38131303854679033</v>
      </c>
      <c r="AC22" s="37">
        <v>0.39233845048031918</v>
      </c>
      <c r="AD22" s="37">
        <v>0.40162375183673138</v>
      </c>
      <c r="AE22" s="11">
        <v>0.41111997011126644</v>
      </c>
      <c r="AF22" s="9"/>
    </row>
    <row r="23" spans="2:32">
      <c r="B23" s="19" t="s">
        <v>82</v>
      </c>
      <c r="C23" s="60" t="s">
        <v>154</v>
      </c>
      <c r="D23" s="60" t="s">
        <v>189</v>
      </c>
      <c r="E23" s="60" t="s">
        <v>177</v>
      </c>
      <c r="F23" s="37">
        <v>1.8755173892039427</v>
      </c>
      <c r="G23" s="37">
        <v>2.0061648853559202</v>
      </c>
      <c r="H23" s="37">
        <v>2.1176507487389409</v>
      </c>
      <c r="I23" s="37">
        <v>2.197781213045487</v>
      </c>
      <c r="J23" s="37">
        <v>2.2128782570452712</v>
      </c>
      <c r="K23" s="37">
        <v>2.242491689506386</v>
      </c>
      <c r="L23" s="37">
        <v>2.2111362904299114</v>
      </c>
      <c r="M23" s="37">
        <v>2.2773310218135796</v>
      </c>
      <c r="N23" s="37">
        <v>2.2715619068078383</v>
      </c>
      <c r="O23" s="37">
        <v>1.4794161624285029</v>
      </c>
      <c r="P23" s="37">
        <v>1.3063223052915844</v>
      </c>
      <c r="Q23" s="37">
        <v>1.6236698780929233</v>
      </c>
      <c r="R23" s="37">
        <v>2.2304196255648803</v>
      </c>
      <c r="S23" s="37">
        <v>2.8034124999999999</v>
      </c>
      <c r="T23" s="37">
        <v>2.6183732457687019</v>
      </c>
      <c r="U23" s="37">
        <v>2.6890693234044565</v>
      </c>
      <c r="V23" s="37">
        <v>2.7509179178427585</v>
      </c>
      <c r="W23" s="37">
        <v>2.8385297732372932</v>
      </c>
      <c r="X23" s="37">
        <v>2.9193192261016896</v>
      </c>
      <c r="Y23" s="37">
        <v>2.9834268109606477</v>
      </c>
      <c r="Z23" s="37">
        <v>3.0544933030202297</v>
      </c>
      <c r="AA23" s="37">
        <v>3.1512541611426346</v>
      </c>
      <c r="AB23" s="37">
        <v>3.2289912625877126</v>
      </c>
      <c r="AC23" s="37">
        <v>3.3223553891737656</v>
      </c>
      <c r="AD23" s="37">
        <v>3.4009841112982775</v>
      </c>
      <c r="AE23" s="11">
        <v>3.48139889583583</v>
      </c>
      <c r="AF23" s="9"/>
    </row>
    <row r="24" spans="2:32">
      <c r="B24" s="19" t="s">
        <v>82</v>
      </c>
      <c r="C24" s="60" t="s">
        <v>154</v>
      </c>
      <c r="D24" s="60" t="s">
        <v>189</v>
      </c>
      <c r="E24" s="60" t="s">
        <v>178</v>
      </c>
      <c r="F24" s="37">
        <v>6.6287636269821073</v>
      </c>
      <c r="G24" s="37">
        <v>7.1681926222051615</v>
      </c>
      <c r="H24" s="37">
        <v>7.3383246949719583</v>
      </c>
      <c r="I24" s="37">
        <v>8.1471778600373117</v>
      </c>
      <c r="J24" s="37">
        <v>8.6128636018768052</v>
      </c>
      <c r="K24" s="37">
        <v>7.6762662183517403</v>
      </c>
      <c r="L24" s="37">
        <v>5.2648037671554642</v>
      </c>
      <c r="M24" s="37">
        <v>5.0464772846970485</v>
      </c>
      <c r="N24" s="37">
        <v>5.4499970836048153</v>
      </c>
      <c r="O24" s="37">
        <v>2.9084622861411384</v>
      </c>
      <c r="P24" s="37">
        <v>2.6817382330619948</v>
      </c>
      <c r="Q24" s="37">
        <v>2.9935008795238316</v>
      </c>
      <c r="R24" s="37">
        <v>5.1133712072304709</v>
      </c>
      <c r="S24" s="37">
        <v>5.1616600000000004</v>
      </c>
      <c r="T24" s="37">
        <v>4.771443982353289</v>
      </c>
      <c r="U24" s="37">
        <v>4.900272969876827</v>
      </c>
      <c r="V24" s="37">
        <v>5.0129792481839939</v>
      </c>
      <c r="W24" s="37">
        <v>5.1726337439212253</v>
      </c>
      <c r="X24" s="37">
        <v>5.3198558213429141</v>
      </c>
      <c r="Y24" s="37">
        <v>5.4366786427236287</v>
      </c>
      <c r="Z24" s="37">
        <v>5.5661826339642291</v>
      </c>
      <c r="AA24" s="37">
        <v>5.7425092959332895</v>
      </c>
      <c r="AB24" s="37">
        <v>5.8841690938613009</v>
      </c>
      <c r="AC24" s="37">
        <v>6.0543059147620619</v>
      </c>
      <c r="AD24" s="37">
        <v>6.1975905070666197</v>
      </c>
      <c r="AE24" s="11">
        <v>6.3441298289123464</v>
      </c>
      <c r="AF24" s="9"/>
    </row>
    <row r="25" spans="2:32">
      <c r="B25" s="19" t="s">
        <v>82</v>
      </c>
      <c r="C25" s="60" t="s">
        <v>154</v>
      </c>
      <c r="D25" s="60" t="s">
        <v>189</v>
      </c>
      <c r="E25" s="60" t="s">
        <v>179</v>
      </c>
      <c r="F25" s="37">
        <v>0.14806716230557443</v>
      </c>
      <c r="G25" s="37">
        <v>0.15677699538237291</v>
      </c>
      <c r="H25" s="37">
        <v>0.15155109553629381</v>
      </c>
      <c r="I25" s="37">
        <v>0.1904550166126604</v>
      </c>
      <c r="J25" s="37">
        <v>0.23110090430438673</v>
      </c>
      <c r="K25" s="37">
        <v>0.22587500445830763</v>
      </c>
      <c r="L25" s="37">
        <v>0.17245469492061019</v>
      </c>
      <c r="M25" s="37">
        <v>0.17884190584359577</v>
      </c>
      <c r="N25" s="37">
        <v>9.4172109467391463E-2</v>
      </c>
      <c r="O25" s="37">
        <v>7.591853242291062E-2</v>
      </c>
      <c r="P25" s="37">
        <v>2.017123803680701E-2</v>
      </c>
      <c r="Q25" s="37">
        <v>0.16161273859772432</v>
      </c>
      <c r="R25" s="37">
        <v>0</v>
      </c>
      <c r="S25" s="37">
        <v>0.27893249999999997</v>
      </c>
      <c r="T25" s="37">
        <v>0.24</v>
      </c>
      <c r="U25" s="37">
        <v>0.24647999999999998</v>
      </c>
      <c r="V25" s="37">
        <v>0.25214903999999994</v>
      </c>
      <c r="W25" s="37">
        <v>0.26017953959690338</v>
      </c>
      <c r="X25" s="37">
        <v>0.26758469801684542</v>
      </c>
      <c r="Y25" s="37">
        <v>0.27346079699968279</v>
      </c>
      <c r="Z25" s="37">
        <v>0.27997474917279724</v>
      </c>
      <c r="AA25" s="37">
        <v>0.28884384603929819</v>
      </c>
      <c r="AB25" s="37">
        <v>0.29596922603505255</v>
      </c>
      <c r="AC25" s="37">
        <v>0.30452697860790023</v>
      </c>
      <c r="AD25" s="37">
        <v>0.31173408452390294</v>
      </c>
      <c r="AE25" s="11">
        <v>0.31910490085812904</v>
      </c>
      <c r="AF25" s="9"/>
    </row>
    <row r="26" spans="2:32">
      <c r="B26" s="19" t="s">
        <v>79</v>
      </c>
      <c r="C26" s="60" t="s">
        <v>154</v>
      </c>
      <c r="D26" s="60" t="s">
        <v>190</v>
      </c>
      <c r="E26" s="60" t="s">
        <v>180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0</v>
      </c>
      <c r="Z26" s="37">
        <v>0</v>
      </c>
      <c r="AA26" s="37">
        <v>0</v>
      </c>
      <c r="AB26" s="37">
        <v>0</v>
      </c>
      <c r="AC26" s="37">
        <v>0</v>
      </c>
      <c r="AD26" s="37">
        <v>0</v>
      </c>
      <c r="AE26" s="11">
        <v>0</v>
      </c>
      <c r="AF26" s="9"/>
    </row>
    <row r="27" spans="2:32">
      <c r="B27" s="19" t="s">
        <v>79</v>
      </c>
      <c r="C27" s="60" t="s">
        <v>154</v>
      </c>
      <c r="D27" s="60" t="s">
        <v>190</v>
      </c>
      <c r="E27" s="60" t="s">
        <v>181</v>
      </c>
      <c r="F27" s="37">
        <v>0.47787950814701075</v>
      </c>
      <c r="G27" s="37">
        <v>0.56904242768416835</v>
      </c>
      <c r="H27" s="37">
        <v>0.72175483429736864</v>
      </c>
      <c r="I27" s="37">
        <v>0.84253118629564105</v>
      </c>
      <c r="J27" s="37">
        <v>0.99350162629348171</v>
      </c>
      <c r="K27" s="37">
        <v>1.0242763698315032</v>
      </c>
      <c r="L27" s="37">
        <v>0.7989820209116486</v>
      </c>
      <c r="M27" s="37">
        <v>1.1073101118303152</v>
      </c>
      <c r="N27" s="37">
        <v>1.0525426407975187</v>
      </c>
      <c r="O27" s="37">
        <v>1.138470114511545</v>
      </c>
      <c r="P27" s="37">
        <v>0.93313629908978357</v>
      </c>
      <c r="Q27" s="37">
        <v>1.0966180601025668</v>
      </c>
      <c r="R27" s="37">
        <v>1.0271796475237693</v>
      </c>
      <c r="S27" s="37">
        <v>0.62943060368330461</v>
      </c>
      <c r="T27" s="37">
        <v>0.64831352179380375</v>
      </c>
      <c r="U27" s="37">
        <v>0.66581798688223637</v>
      </c>
      <c r="V27" s="37">
        <v>0.68113180058052769</v>
      </c>
      <c r="W27" s="37">
        <v>0.70282464006149514</v>
      </c>
      <c r="X27" s="37">
        <v>0.7228282414559688</v>
      </c>
      <c r="Y27" s="37">
        <v>0.73870138489751991</v>
      </c>
      <c r="Z27" s="37">
        <v>0.75629756520647085</v>
      </c>
      <c r="AA27" s="37">
        <v>0.78025571280918604</v>
      </c>
      <c r="AB27" s="37">
        <v>0.79950354697238035</v>
      </c>
      <c r="AC27" s="37">
        <v>0.8226206582604757</v>
      </c>
      <c r="AD27" s="37">
        <v>0.84208925917024513</v>
      </c>
      <c r="AE27" s="11">
        <v>0.86200009207081774</v>
      </c>
      <c r="AF27" s="9"/>
    </row>
    <row r="28" spans="2:32">
      <c r="B28" s="19" t="s">
        <v>79</v>
      </c>
      <c r="C28" s="60" t="s">
        <v>154</v>
      </c>
      <c r="D28" s="60" t="s">
        <v>190</v>
      </c>
      <c r="E28" s="60" t="s">
        <v>182</v>
      </c>
      <c r="F28" s="37">
        <v>3.5077401077959807</v>
      </c>
      <c r="G28" s="37">
        <v>3.8631012973293588</v>
      </c>
      <c r="H28" s="37">
        <v>4.2289142865548959</v>
      </c>
      <c r="I28" s="37">
        <v>4.2573664079391049</v>
      </c>
      <c r="J28" s="37">
        <v>4.491370589935757</v>
      </c>
      <c r="K28" s="37">
        <v>4.4414342136287788</v>
      </c>
      <c r="L28" s="37">
        <v>4.0332333700961565</v>
      </c>
      <c r="M28" s="37">
        <v>4.3525939162454348</v>
      </c>
      <c r="N28" s="37">
        <v>4.7630758302215384</v>
      </c>
      <c r="O28" s="37">
        <v>5.2140192621427994</v>
      </c>
      <c r="P28" s="37">
        <v>4.8432446410198446</v>
      </c>
      <c r="Q28" s="37">
        <v>5.4102095818988687</v>
      </c>
      <c r="R28" s="37">
        <v>5.3611925865387002</v>
      </c>
      <c r="S28" s="37">
        <v>5.5783577579202097</v>
      </c>
      <c r="T28" s="37">
        <v>5.7457084906578162</v>
      </c>
      <c r="U28" s="37">
        <v>5.9008426199055766</v>
      </c>
      <c r="V28" s="37">
        <v>6.0365620001634044</v>
      </c>
      <c r="W28" s="37">
        <v>6.2288157906557053</v>
      </c>
      <c r="X28" s="37">
        <v>6.4060986306895691</v>
      </c>
      <c r="Y28" s="37">
        <v>6.5467750965963782</v>
      </c>
      <c r="Z28" s="37">
        <v>6.7027220562163885</v>
      </c>
      <c r="AA28" s="37">
        <v>6.9150522444260609</v>
      </c>
      <c r="AB28" s="37">
        <v>7.0856370625125997</v>
      </c>
      <c r="AC28" s="37">
        <v>7.2905135275907655</v>
      </c>
      <c r="AD28" s="37">
        <v>7.4630549011517946</v>
      </c>
      <c r="AE28" s="11">
        <v>7.6395155761294706</v>
      </c>
      <c r="AF28" s="9"/>
    </row>
    <row r="29" spans="2:32">
      <c r="B29" s="19" t="s">
        <v>81</v>
      </c>
      <c r="C29" s="60" t="s">
        <v>154</v>
      </c>
      <c r="D29" s="60" t="s">
        <v>191</v>
      </c>
      <c r="E29" s="60" t="s">
        <v>183</v>
      </c>
      <c r="F29" s="37">
        <v>0</v>
      </c>
      <c r="G29" s="37">
        <v>0</v>
      </c>
      <c r="H29" s="37">
        <v>0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  <c r="S29" s="37">
        <v>0</v>
      </c>
      <c r="T29" s="37">
        <v>0</v>
      </c>
      <c r="U29" s="37">
        <v>0</v>
      </c>
      <c r="V29" s="37">
        <v>0</v>
      </c>
      <c r="W29" s="37">
        <v>0</v>
      </c>
      <c r="X29" s="37">
        <v>0</v>
      </c>
      <c r="Y29" s="37">
        <v>0</v>
      </c>
      <c r="Z29" s="37">
        <v>0</v>
      </c>
      <c r="AA29" s="37">
        <v>0</v>
      </c>
      <c r="AB29" s="37">
        <v>1.04</v>
      </c>
      <c r="AC29" s="37">
        <v>0.96</v>
      </c>
      <c r="AD29" s="37">
        <v>0.89</v>
      </c>
      <c r="AE29" s="11">
        <v>0.39</v>
      </c>
      <c r="AF29" s="9"/>
    </row>
    <row r="30" spans="2:32">
      <c r="B30" s="19" t="s">
        <v>81</v>
      </c>
      <c r="C30" s="60" t="s">
        <v>154</v>
      </c>
      <c r="D30" s="60" t="s">
        <v>191</v>
      </c>
      <c r="E30" s="60" t="s">
        <v>184</v>
      </c>
      <c r="F30" s="37">
        <v>6.0819000000000001</v>
      </c>
      <c r="G30" s="37">
        <v>6.0819000000000001</v>
      </c>
      <c r="H30" s="37">
        <v>6.0819000000000001</v>
      </c>
      <c r="I30" s="37">
        <v>6.0819000000000001</v>
      </c>
      <c r="J30" s="37">
        <v>6.0819000000000001</v>
      </c>
      <c r="K30" s="37">
        <v>6.0819000000000001</v>
      </c>
      <c r="L30" s="37">
        <v>6.0819000000000001</v>
      </c>
      <c r="M30" s="37">
        <v>6.0819000000000001</v>
      </c>
      <c r="N30" s="37">
        <v>6.0819000000000001</v>
      </c>
      <c r="O30" s="37">
        <v>6.6056999999999997</v>
      </c>
      <c r="P30" s="37">
        <v>6.1866599999999998</v>
      </c>
      <c r="Q30" s="37">
        <v>5.9538599999999997</v>
      </c>
      <c r="R30" s="37">
        <v>6.2070299999999996</v>
      </c>
      <c r="S30" s="37">
        <v>6.2070299999999996</v>
      </c>
      <c r="T30" s="37">
        <v>6.2070299999999996</v>
      </c>
      <c r="U30" s="37">
        <v>6.2070299999999996</v>
      </c>
      <c r="V30" s="37">
        <v>6.2070299999999996</v>
      </c>
      <c r="W30" s="37">
        <v>6.2070299999999996</v>
      </c>
      <c r="X30" s="37">
        <v>6.2070299999999996</v>
      </c>
      <c r="Y30" s="37">
        <v>6.2070299999999996</v>
      </c>
      <c r="Z30" s="37">
        <v>6.2070299999999996</v>
      </c>
      <c r="AA30" s="37">
        <v>6.2070299999999996</v>
      </c>
      <c r="AB30" s="37">
        <v>2.5170300000000001</v>
      </c>
      <c r="AC30" s="37">
        <v>2.5170300000000001</v>
      </c>
      <c r="AD30" s="37">
        <v>2.5170300000000001</v>
      </c>
      <c r="AE30" s="11">
        <v>2.2416529999999999</v>
      </c>
      <c r="AF30" s="9"/>
    </row>
    <row r="31" spans="2:32">
      <c r="B31" s="19" t="s">
        <v>193</v>
      </c>
      <c r="C31" s="60" t="s">
        <v>154</v>
      </c>
      <c r="D31" s="60" t="s">
        <v>192</v>
      </c>
      <c r="E31" s="60" t="s">
        <v>185</v>
      </c>
      <c r="F31" s="37">
        <v>3.5977417162562322E-2</v>
      </c>
      <c r="G31" s="37">
        <v>5.0368384027587247E-2</v>
      </c>
      <c r="H31" s="37">
        <v>4.3172900595074781E-2</v>
      </c>
      <c r="I31" s="37">
        <v>0.10433450977143073</v>
      </c>
      <c r="J31" s="37">
        <v>0.16909386066404292</v>
      </c>
      <c r="K31" s="37">
        <v>0.16549611894778668</v>
      </c>
      <c r="L31" s="37">
        <v>1.4462921699350053</v>
      </c>
      <c r="M31" s="37">
        <v>0.76272124384632112</v>
      </c>
      <c r="N31" s="37">
        <v>0.91979864717806825</v>
      </c>
      <c r="O31" s="37">
        <v>6.5717789285822841</v>
      </c>
      <c r="P31" s="37">
        <v>4.8232404770645925</v>
      </c>
      <c r="Q31" s="37">
        <v>1.8856843657413787</v>
      </c>
      <c r="R31" s="37">
        <v>0.6907664095211965</v>
      </c>
      <c r="S31" s="37">
        <v>1.7808821495468348</v>
      </c>
      <c r="T31" s="37">
        <v>3.55</v>
      </c>
      <c r="U31" s="37">
        <v>3.55</v>
      </c>
      <c r="V31" s="37">
        <v>3.55</v>
      </c>
      <c r="W31" s="37">
        <v>3.55</v>
      </c>
      <c r="X31" s="37">
        <v>3.55</v>
      </c>
      <c r="Y31" s="37">
        <v>3.55</v>
      </c>
      <c r="Z31" s="37">
        <v>1.615</v>
      </c>
      <c r="AA31" s="37">
        <v>3.55</v>
      </c>
      <c r="AB31" s="37">
        <v>3.55</v>
      </c>
      <c r="AC31" s="37">
        <v>3.55</v>
      </c>
      <c r="AD31" s="37">
        <v>3.55</v>
      </c>
      <c r="AE31" s="11">
        <v>3.55</v>
      </c>
      <c r="AF31" s="9"/>
    </row>
    <row r="32" spans="2:32">
      <c r="B32" s="19" t="s">
        <v>222</v>
      </c>
      <c r="C32" s="60" t="s">
        <v>154</v>
      </c>
      <c r="D32" s="60" t="s">
        <v>218</v>
      </c>
      <c r="E32" s="60" t="s">
        <v>195</v>
      </c>
      <c r="F32" s="41">
        <v>8.1529844154218445</v>
      </c>
      <c r="G32" s="41">
        <v>8.7197042209522007</v>
      </c>
      <c r="H32" s="41">
        <v>6.2710798152949163</v>
      </c>
      <c r="I32" s="41">
        <v>6.7425721125189417</v>
      </c>
      <c r="J32" s="41">
        <v>6.8621871534403072</v>
      </c>
      <c r="K32" s="41">
        <v>6.8662517422094806</v>
      </c>
      <c r="L32" s="41">
        <v>4.0692340134802567</v>
      </c>
      <c r="M32" s="41">
        <v>3.6523233368708357</v>
      </c>
      <c r="N32" s="41">
        <v>3.8285522927913922</v>
      </c>
      <c r="O32" s="41">
        <v>3.849281695514172</v>
      </c>
      <c r="P32" s="41">
        <v>1.7414440253750914</v>
      </c>
      <c r="Q32" s="41">
        <v>2.3650680736738634</v>
      </c>
      <c r="R32" s="41">
        <v>4.3396384764364102</v>
      </c>
      <c r="S32" s="41">
        <v>3.46</v>
      </c>
      <c r="T32" s="41">
        <v>3.65</v>
      </c>
      <c r="U32" s="41">
        <v>3.72</v>
      </c>
      <c r="V32" s="41">
        <v>3.78</v>
      </c>
      <c r="W32" s="41">
        <v>3.87</v>
      </c>
      <c r="X32" s="41">
        <v>3.94</v>
      </c>
      <c r="Y32" s="41">
        <v>4.01</v>
      </c>
      <c r="Z32" s="41">
        <v>4.08</v>
      </c>
      <c r="AA32" s="41">
        <v>4.17</v>
      </c>
      <c r="AB32" s="41">
        <v>4.24</v>
      </c>
      <c r="AC32" s="41">
        <v>4.32</v>
      </c>
      <c r="AD32" s="41">
        <v>4.4000000000000004</v>
      </c>
      <c r="AE32" s="42">
        <v>4.47</v>
      </c>
      <c r="AF32" s="9"/>
    </row>
    <row r="33" spans="2:32">
      <c r="B33" s="19" t="s">
        <v>222</v>
      </c>
      <c r="C33" s="60" t="s">
        <v>154</v>
      </c>
      <c r="D33" s="60" t="s">
        <v>218</v>
      </c>
      <c r="E33" s="60" t="s">
        <v>196</v>
      </c>
      <c r="F33" s="41">
        <v>4.7630758302215384</v>
      </c>
      <c r="G33" s="41">
        <v>4.7630758302215384</v>
      </c>
      <c r="H33" s="41">
        <v>4.7630758302215384</v>
      </c>
      <c r="I33" s="41">
        <v>4.7630758302215384</v>
      </c>
      <c r="J33" s="41">
        <v>4.7630758302215384</v>
      </c>
      <c r="K33" s="41">
        <v>4.7630758302215384</v>
      </c>
      <c r="L33" s="41">
        <v>4.7630758302215384</v>
      </c>
      <c r="M33" s="41">
        <v>4.7630758302215384</v>
      </c>
      <c r="N33" s="41">
        <v>4.7630758302215384</v>
      </c>
      <c r="O33" s="41">
        <v>5.2140192621427994</v>
      </c>
      <c r="P33" s="41">
        <v>4.8432446410198446</v>
      </c>
      <c r="Q33" s="41">
        <v>5.4102095818988687</v>
      </c>
      <c r="R33" s="41">
        <v>5.3645577792123946</v>
      </c>
      <c r="S33" s="41">
        <v>5.76</v>
      </c>
      <c r="T33" s="41">
        <v>5.94</v>
      </c>
      <c r="U33" s="41">
        <v>6.08</v>
      </c>
      <c r="V33" s="41">
        <v>6.2</v>
      </c>
      <c r="W33" s="41">
        <v>6.36</v>
      </c>
      <c r="X33" s="41">
        <v>6.49</v>
      </c>
      <c r="Y33" s="41">
        <v>6.58</v>
      </c>
      <c r="Z33" s="41">
        <v>6.67</v>
      </c>
      <c r="AA33" s="41">
        <v>6.81</v>
      </c>
      <c r="AB33" s="41">
        <v>6.9</v>
      </c>
      <c r="AC33" s="41">
        <v>7.02</v>
      </c>
      <c r="AD33" s="41">
        <v>7.1</v>
      </c>
      <c r="AE33" s="42">
        <v>7.19</v>
      </c>
      <c r="AF33" s="9"/>
    </row>
    <row r="34" spans="2:32">
      <c r="B34" s="19">
        <v>2</v>
      </c>
      <c r="C34" s="60" t="s">
        <v>154</v>
      </c>
      <c r="D34" s="60" t="s">
        <v>219</v>
      </c>
      <c r="E34" s="60" t="s">
        <v>197</v>
      </c>
      <c r="F34" s="41">
        <v>4.4807647654625642</v>
      </c>
      <c r="G34" s="41">
        <v>4.4807647654625642</v>
      </c>
      <c r="H34" s="41">
        <v>4.4807647654625642</v>
      </c>
      <c r="I34" s="41">
        <v>4.4807647654625642</v>
      </c>
      <c r="J34" s="41">
        <v>4.4807647654625642</v>
      </c>
      <c r="K34" s="41">
        <v>4.4807647654625642</v>
      </c>
      <c r="L34" s="41">
        <v>4.4807647654625642</v>
      </c>
      <c r="M34" s="41">
        <v>4.4807647654625642</v>
      </c>
      <c r="N34" s="41">
        <v>4.4807647654625642</v>
      </c>
      <c r="O34" s="41">
        <v>4.2873983137370137</v>
      </c>
      <c r="P34" s="41">
        <v>3.3116198028808568</v>
      </c>
      <c r="Q34" s="41">
        <v>3.9848753614033661</v>
      </c>
      <c r="R34" s="41">
        <v>3.9848753614033661</v>
      </c>
      <c r="S34" s="41">
        <v>3.9848753614033661</v>
      </c>
      <c r="T34" s="41">
        <v>3.9848753614033661</v>
      </c>
      <c r="U34" s="41">
        <v>3.9848753614033661</v>
      </c>
      <c r="V34" s="41">
        <v>3.9848753614033661</v>
      </c>
      <c r="W34" s="41">
        <v>3.9848753614033661</v>
      </c>
      <c r="X34" s="41">
        <v>3.9848753614033661</v>
      </c>
      <c r="Y34" s="41">
        <v>3.9848753614033661</v>
      </c>
      <c r="Z34" s="41">
        <v>3.9848753614033661</v>
      </c>
      <c r="AA34" s="41">
        <v>3.9848753614033661</v>
      </c>
      <c r="AB34" s="41">
        <v>3.9848753614033661</v>
      </c>
      <c r="AC34" s="41">
        <v>3.9848753614033661</v>
      </c>
      <c r="AD34" s="41">
        <v>3.9848753614033661</v>
      </c>
      <c r="AE34" s="42">
        <v>3.9848753614033661</v>
      </c>
      <c r="AF34" s="9"/>
    </row>
    <row r="35" spans="2:32">
      <c r="B35" s="19">
        <v>2</v>
      </c>
      <c r="C35" s="60" t="s">
        <v>154</v>
      </c>
      <c r="D35" s="60" t="s">
        <v>219</v>
      </c>
      <c r="E35" s="60" t="s">
        <v>198</v>
      </c>
      <c r="F35" s="41">
        <v>4.4807647654625642</v>
      </c>
      <c r="G35" s="41">
        <v>4.4807647654625642</v>
      </c>
      <c r="H35" s="41">
        <v>4.4807647654625642</v>
      </c>
      <c r="I35" s="41">
        <v>4.4807647654625642</v>
      </c>
      <c r="J35" s="41">
        <v>4.4807647654625642</v>
      </c>
      <c r="K35" s="41">
        <v>4.4807647654625642</v>
      </c>
      <c r="L35" s="41">
        <v>4.4807647654625642</v>
      </c>
      <c r="M35" s="41">
        <v>4.4807647654625642</v>
      </c>
      <c r="N35" s="41">
        <v>4.4807647654625642</v>
      </c>
      <c r="O35" s="41">
        <v>4.2873983137370137</v>
      </c>
      <c r="P35" s="41">
        <v>3.3116198028808568</v>
      </c>
      <c r="Q35" s="41">
        <v>3.9848753614033661</v>
      </c>
      <c r="R35" s="41">
        <v>3.9848753614033661</v>
      </c>
      <c r="S35" s="41">
        <v>3.9848753614033661</v>
      </c>
      <c r="T35" s="41">
        <v>3.9848753614033661</v>
      </c>
      <c r="U35" s="41">
        <v>3.9848753614033661</v>
      </c>
      <c r="V35" s="41">
        <v>3.9848753614033661</v>
      </c>
      <c r="W35" s="41">
        <v>3.9848753614033661</v>
      </c>
      <c r="X35" s="41">
        <v>3.9848753614033661</v>
      </c>
      <c r="Y35" s="41">
        <v>3.9848753614033661</v>
      </c>
      <c r="Z35" s="41">
        <v>3.9848753614033661</v>
      </c>
      <c r="AA35" s="41">
        <v>3.9848753614033661</v>
      </c>
      <c r="AB35" s="41">
        <v>3.9848753614033661</v>
      </c>
      <c r="AC35" s="41">
        <v>3.9848753614033661</v>
      </c>
      <c r="AD35" s="41">
        <v>3.9848753614033661</v>
      </c>
      <c r="AE35" s="42">
        <v>3.9848753614033661</v>
      </c>
      <c r="AF35" s="9"/>
    </row>
    <row r="36" spans="2:32">
      <c r="B36" s="19" t="s">
        <v>88</v>
      </c>
      <c r="C36" s="60" t="s">
        <v>154</v>
      </c>
      <c r="D36" s="60" t="s">
        <v>220</v>
      </c>
      <c r="E36" s="60" t="s">
        <v>199</v>
      </c>
      <c r="F36" s="41">
        <v>16.3</v>
      </c>
      <c r="G36" s="41">
        <v>16.3</v>
      </c>
      <c r="H36" s="41">
        <v>16.3</v>
      </c>
      <c r="I36" s="41">
        <v>16.3</v>
      </c>
      <c r="J36" s="41">
        <v>16.3</v>
      </c>
      <c r="K36" s="41">
        <v>16.3</v>
      </c>
      <c r="L36" s="41">
        <v>16.3</v>
      </c>
      <c r="M36" s="41">
        <v>16.3</v>
      </c>
      <c r="N36" s="41">
        <v>16.3</v>
      </c>
      <c r="O36" s="41">
        <v>16.3</v>
      </c>
      <c r="P36" s="41">
        <v>16.3</v>
      </c>
      <c r="Q36" s="41">
        <v>16.3</v>
      </c>
      <c r="R36" s="41">
        <v>16.3</v>
      </c>
      <c r="S36" s="41">
        <v>16.3</v>
      </c>
      <c r="T36" s="41">
        <v>16.3</v>
      </c>
      <c r="U36" s="41">
        <v>16.3</v>
      </c>
      <c r="V36" s="41">
        <v>16.3</v>
      </c>
      <c r="W36" s="41">
        <v>16.3</v>
      </c>
      <c r="X36" s="41">
        <v>16.3</v>
      </c>
      <c r="Y36" s="41">
        <v>16.3</v>
      </c>
      <c r="Z36" s="41">
        <v>16.3</v>
      </c>
      <c r="AA36" s="41">
        <v>16.3</v>
      </c>
      <c r="AB36" s="41">
        <v>16.3</v>
      </c>
      <c r="AC36" s="41">
        <v>16.3</v>
      </c>
      <c r="AD36" s="41">
        <v>16.3</v>
      </c>
      <c r="AE36" s="42">
        <v>16.3</v>
      </c>
      <c r="AF36" s="9"/>
    </row>
    <row r="37" spans="2:32">
      <c r="B37" s="19" t="s">
        <v>81</v>
      </c>
      <c r="C37" s="60" t="s">
        <v>154</v>
      </c>
      <c r="D37" s="60" t="s">
        <v>191</v>
      </c>
      <c r="E37" s="60" t="s">
        <v>200</v>
      </c>
      <c r="F37" s="41">
        <v>0</v>
      </c>
      <c r="G37" s="41">
        <v>0</v>
      </c>
      <c r="H37" s="41">
        <v>0</v>
      </c>
      <c r="I37" s="41">
        <v>0</v>
      </c>
      <c r="J37" s="41">
        <v>0</v>
      </c>
      <c r="K37" s="41">
        <v>0</v>
      </c>
      <c r="L37" s="41">
        <v>0</v>
      </c>
      <c r="M37" s="41">
        <v>0</v>
      </c>
      <c r="N37" s="41">
        <v>0</v>
      </c>
      <c r="O37" s="41">
        <v>0</v>
      </c>
      <c r="P37" s="41">
        <v>0</v>
      </c>
      <c r="Q37" s="41">
        <v>0</v>
      </c>
      <c r="R37" s="41">
        <v>0</v>
      </c>
      <c r="S37" s="41">
        <v>0</v>
      </c>
      <c r="T37" s="41">
        <v>0</v>
      </c>
      <c r="U37" s="41">
        <v>0</v>
      </c>
      <c r="V37" s="41">
        <v>0</v>
      </c>
      <c r="W37" s="41">
        <v>0</v>
      </c>
      <c r="X37" s="41">
        <v>0</v>
      </c>
      <c r="Y37" s="41">
        <v>0</v>
      </c>
      <c r="Z37" s="41">
        <v>0</v>
      </c>
      <c r="AA37" s="41">
        <v>0</v>
      </c>
      <c r="AB37" s="41">
        <v>0</v>
      </c>
      <c r="AC37" s="41">
        <v>0</v>
      </c>
      <c r="AD37" s="41">
        <v>0</v>
      </c>
      <c r="AE37" s="42">
        <v>0</v>
      </c>
      <c r="AF37" s="9"/>
    </row>
    <row r="38" spans="2:32">
      <c r="B38" s="19" t="s">
        <v>81</v>
      </c>
      <c r="C38" s="60" t="s">
        <v>154</v>
      </c>
      <c r="D38" s="60" t="s">
        <v>191</v>
      </c>
      <c r="E38" s="60" t="s">
        <v>201</v>
      </c>
      <c r="F38" s="41">
        <v>0</v>
      </c>
      <c r="G38" s="41">
        <v>0</v>
      </c>
      <c r="H38" s="41">
        <v>0</v>
      </c>
      <c r="I38" s="41">
        <v>0</v>
      </c>
      <c r="J38" s="41">
        <v>0</v>
      </c>
      <c r="K38" s="41">
        <v>0</v>
      </c>
      <c r="L38" s="41">
        <v>0</v>
      </c>
      <c r="M38" s="41">
        <v>0</v>
      </c>
      <c r="N38" s="41">
        <v>0</v>
      </c>
      <c r="O38" s="41">
        <v>0</v>
      </c>
      <c r="P38" s="41">
        <v>0</v>
      </c>
      <c r="Q38" s="41">
        <v>0</v>
      </c>
      <c r="R38" s="41">
        <v>0</v>
      </c>
      <c r="S38" s="41">
        <v>0</v>
      </c>
      <c r="T38" s="41">
        <v>0</v>
      </c>
      <c r="U38" s="41">
        <v>0</v>
      </c>
      <c r="V38" s="41">
        <v>0</v>
      </c>
      <c r="W38" s="41">
        <v>0</v>
      </c>
      <c r="X38" s="41">
        <v>0</v>
      </c>
      <c r="Y38" s="41">
        <v>0</v>
      </c>
      <c r="Z38" s="41">
        <v>0</v>
      </c>
      <c r="AA38" s="41">
        <v>0</v>
      </c>
      <c r="AB38" s="41">
        <v>0</v>
      </c>
      <c r="AC38" s="41">
        <v>0</v>
      </c>
      <c r="AD38" s="41">
        <v>0</v>
      </c>
      <c r="AE38" s="42">
        <v>0</v>
      </c>
      <c r="AF38" s="9"/>
    </row>
    <row r="39" spans="2:32">
      <c r="B39" s="19" t="s">
        <v>193</v>
      </c>
      <c r="C39" s="60" t="s">
        <v>154</v>
      </c>
      <c r="D39" s="60" t="s">
        <v>192</v>
      </c>
      <c r="E39" s="60" t="s">
        <v>202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1">
        <v>0</v>
      </c>
      <c r="Q39" s="41">
        <v>0</v>
      </c>
      <c r="R39" s="41">
        <v>0</v>
      </c>
      <c r="S39" s="41">
        <v>0</v>
      </c>
      <c r="T39" s="41">
        <v>0</v>
      </c>
      <c r="U39" s="41">
        <v>0</v>
      </c>
      <c r="V39" s="41">
        <v>0</v>
      </c>
      <c r="W39" s="41">
        <v>0</v>
      </c>
      <c r="X39" s="41">
        <v>0</v>
      </c>
      <c r="Y39" s="41">
        <v>0</v>
      </c>
      <c r="Z39" s="41">
        <v>0</v>
      </c>
      <c r="AA39" s="41">
        <v>0</v>
      </c>
      <c r="AB39" s="41">
        <v>0</v>
      </c>
      <c r="AC39" s="41">
        <v>0</v>
      </c>
      <c r="AD39" s="41">
        <v>0</v>
      </c>
      <c r="AE39" s="42">
        <v>0</v>
      </c>
      <c r="AF39" s="9"/>
    </row>
    <row r="40" spans="2:32">
      <c r="B40" s="19" t="s">
        <v>193</v>
      </c>
      <c r="C40" s="60" t="s">
        <v>154</v>
      </c>
      <c r="D40" s="60" t="s">
        <v>192</v>
      </c>
      <c r="E40" s="60" t="s">
        <v>203</v>
      </c>
      <c r="F40" s="41">
        <v>713.10887332979996</v>
      </c>
      <c r="G40" s="41">
        <v>699.75960250076014</v>
      </c>
      <c r="H40" s="41">
        <v>736.50348497408072</v>
      </c>
      <c r="I40" s="41">
        <v>801.80400682853133</v>
      </c>
      <c r="J40" s="41">
        <v>883.13642809967564</v>
      </c>
      <c r="K40" s="41">
        <v>874.57175890749045</v>
      </c>
      <c r="L40" s="41">
        <v>824.97796936819987</v>
      </c>
      <c r="M40" s="41">
        <v>775.76741248428834</v>
      </c>
      <c r="N40" s="41">
        <v>753.92003052583027</v>
      </c>
      <c r="O40" s="41">
        <v>796.96985310197272</v>
      </c>
      <c r="P40" s="41">
        <v>735.29581033893191</v>
      </c>
      <c r="Q40" s="41">
        <v>682.98298374602746</v>
      </c>
      <c r="R40" s="41">
        <v>685.57</v>
      </c>
      <c r="S40" s="41">
        <v>638.6</v>
      </c>
      <c r="T40" s="41">
        <v>586.91</v>
      </c>
      <c r="U40" s="41">
        <v>541.05999999999995</v>
      </c>
      <c r="V40" s="41">
        <v>317.37</v>
      </c>
      <c r="W40" s="41">
        <v>323.52</v>
      </c>
      <c r="X40" s="41">
        <v>341.26</v>
      </c>
      <c r="Y40" s="41">
        <v>359.94</v>
      </c>
      <c r="Z40" s="41">
        <v>379.08</v>
      </c>
      <c r="AA40" s="41">
        <v>381.88</v>
      </c>
      <c r="AB40" s="41">
        <v>357.9</v>
      </c>
      <c r="AC40" s="41">
        <v>335</v>
      </c>
      <c r="AD40" s="41">
        <v>311.81</v>
      </c>
      <c r="AE40" s="42">
        <v>286.07</v>
      </c>
      <c r="AF40" s="9"/>
    </row>
    <row r="41" spans="2:32">
      <c r="B41" s="19" t="s">
        <v>193</v>
      </c>
      <c r="C41" s="60" t="s">
        <v>154</v>
      </c>
      <c r="D41" s="60" t="s">
        <v>192</v>
      </c>
      <c r="E41" s="60" t="s">
        <v>204</v>
      </c>
      <c r="F41" s="41">
        <v>59.186219034538041</v>
      </c>
      <c r="G41" s="41">
        <v>64.632767985229364</v>
      </c>
      <c r="H41" s="41">
        <v>51.271884045420478</v>
      </c>
      <c r="I41" s="41">
        <v>34.705781533349736</v>
      </c>
      <c r="J41" s="41">
        <v>12.588612073666091</v>
      </c>
      <c r="K41" s="41">
        <v>22.093943238145517</v>
      </c>
      <c r="L41" s="41">
        <v>69.208333628240837</v>
      </c>
      <c r="M41" s="41">
        <v>92.376489612524836</v>
      </c>
      <c r="N41" s="41">
        <v>92.112073053208121</v>
      </c>
      <c r="O41" s="41">
        <v>85.703651555256656</v>
      </c>
      <c r="P41" s="41">
        <v>85.165860315981391</v>
      </c>
      <c r="Q41" s="41">
        <v>88.949461306124121</v>
      </c>
      <c r="R41" s="41">
        <v>91.65</v>
      </c>
      <c r="S41" s="41">
        <v>89.88</v>
      </c>
      <c r="T41" s="41">
        <v>91.46</v>
      </c>
      <c r="U41" s="41">
        <v>90.16</v>
      </c>
      <c r="V41" s="41">
        <v>91.68</v>
      </c>
      <c r="W41" s="41">
        <v>90.04</v>
      </c>
      <c r="X41" s="41">
        <v>91.36</v>
      </c>
      <c r="Y41" s="41">
        <v>90.61</v>
      </c>
      <c r="Z41" s="41">
        <v>91.51</v>
      </c>
      <c r="AA41" s="41">
        <v>90.24</v>
      </c>
      <c r="AB41" s="41">
        <v>91.39</v>
      </c>
      <c r="AC41" s="41">
        <v>90.45</v>
      </c>
      <c r="AD41" s="41">
        <v>91.37</v>
      </c>
      <c r="AE41" s="42">
        <v>90.76</v>
      </c>
      <c r="AF41" s="9"/>
    </row>
    <row r="42" spans="2:32">
      <c r="B42" s="19" t="s">
        <v>193</v>
      </c>
      <c r="C42" s="60" t="s">
        <v>154</v>
      </c>
      <c r="D42" s="60" t="s">
        <v>192</v>
      </c>
      <c r="E42" s="60" t="s">
        <v>205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</v>
      </c>
      <c r="T42" s="41">
        <v>0</v>
      </c>
      <c r="U42" s="41">
        <v>0</v>
      </c>
      <c r="V42" s="41">
        <v>0</v>
      </c>
      <c r="W42" s="41">
        <v>0</v>
      </c>
      <c r="X42" s="41">
        <v>0</v>
      </c>
      <c r="Y42" s="41">
        <v>0</v>
      </c>
      <c r="Z42" s="41">
        <v>0</v>
      </c>
      <c r="AA42" s="41">
        <v>0</v>
      </c>
      <c r="AB42" s="41">
        <v>0</v>
      </c>
      <c r="AC42" s="41">
        <v>0</v>
      </c>
      <c r="AD42" s="41">
        <v>0</v>
      </c>
      <c r="AE42" s="42">
        <v>0</v>
      </c>
      <c r="AF42" s="9"/>
    </row>
    <row r="43" spans="2:32">
      <c r="B43" s="19" t="s">
        <v>193</v>
      </c>
      <c r="C43" s="60" t="s">
        <v>154</v>
      </c>
      <c r="D43" s="60" t="s">
        <v>192</v>
      </c>
      <c r="E43" s="60" t="s">
        <v>206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0.12451092049162038</v>
      </c>
      <c r="P43" s="41">
        <v>0</v>
      </c>
      <c r="Q43" s="41">
        <v>3.9361462349684806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  <c r="X43" s="41">
        <v>0</v>
      </c>
      <c r="Y43" s="41">
        <v>0</v>
      </c>
      <c r="Z43" s="41">
        <v>0</v>
      </c>
      <c r="AA43" s="41">
        <v>0</v>
      </c>
      <c r="AB43" s="41">
        <v>0</v>
      </c>
      <c r="AC43" s="41">
        <v>0</v>
      </c>
      <c r="AD43" s="41">
        <v>0</v>
      </c>
      <c r="AE43" s="42">
        <v>0</v>
      </c>
      <c r="AF43" s="9"/>
    </row>
    <row r="44" spans="2:32">
      <c r="B44" s="19" t="s">
        <v>193</v>
      </c>
      <c r="C44" s="60" t="s">
        <v>154</v>
      </c>
      <c r="D44" s="60" t="s">
        <v>192</v>
      </c>
      <c r="E44" s="60" t="s">
        <v>207</v>
      </c>
      <c r="F44" s="41">
        <v>0</v>
      </c>
      <c r="G44" s="41">
        <v>0</v>
      </c>
      <c r="H44" s="41">
        <v>0</v>
      </c>
      <c r="I44" s="41">
        <v>0</v>
      </c>
      <c r="J44" s="41">
        <v>0</v>
      </c>
      <c r="K44" s="41">
        <v>0</v>
      </c>
      <c r="L44" s="41">
        <v>0</v>
      </c>
      <c r="M44" s="41">
        <v>0</v>
      </c>
      <c r="N44" s="41">
        <v>0</v>
      </c>
      <c r="O44" s="41">
        <v>0.17331841572061829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1">
        <v>0</v>
      </c>
      <c r="W44" s="41">
        <v>0</v>
      </c>
      <c r="X44" s="41">
        <v>0</v>
      </c>
      <c r="Y44" s="41">
        <v>0</v>
      </c>
      <c r="Z44" s="41">
        <v>0</v>
      </c>
      <c r="AA44" s="41">
        <v>0</v>
      </c>
      <c r="AB44" s="41">
        <v>0</v>
      </c>
      <c r="AC44" s="41">
        <v>0</v>
      </c>
      <c r="AD44" s="41">
        <v>0</v>
      </c>
      <c r="AE44" s="42">
        <v>0</v>
      </c>
      <c r="AF44" s="9"/>
    </row>
    <row r="45" spans="2:32">
      <c r="B45" s="19" t="s">
        <v>193</v>
      </c>
      <c r="C45" s="60" t="s">
        <v>154</v>
      </c>
      <c r="D45" s="60" t="s">
        <v>192</v>
      </c>
      <c r="E45" s="60" t="s">
        <v>208</v>
      </c>
      <c r="F45" s="41">
        <v>33.213496799524926</v>
      </c>
      <c r="G45" s="41">
        <v>34.682555311811605</v>
      </c>
      <c r="H45" s="41">
        <v>35.443214067185345</v>
      </c>
      <c r="I45" s="41">
        <v>35.901931942563401</v>
      </c>
      <c r="J45" s="41">
        <v>35.61741072872131</v>
      </c>
      <c r="K45" s="41">
        <v>32.104444721079254</v>
      </c>
      <c r="L45" s="41">
        <v>29.886340564187904</v>
      </c>
      <c r="M45" s="41">
        <v>33.016073916450829</v>
      </c>
      <c r="N45" s="41">
        <v>30.911147622538447</v>
      </c>
      <c r="O45" s="41">
        <v>31.780154282943105</v>
      </c>
      <c r="P45" s="41">
        <v>29.868855667073657</v>
      </c>
      <c r="Q45" s="41">
        <v>32.50662425289385</v>
      </c>
      <c r="R45" s="41">
        <v>34.889800000000001</v>
      </c>
      <c r="S45" s="41">
        <v>34.900599999999997</v>
      </c>
      <c r="T45" s="41">
        <v>34.8977</v>
      </c>
      <c r="U45" s="41">
        <v>34.913600000000002</v>
      </c>
      <c r="V45" s="41">
        <v>34.922600000000003</v>
      </c>
      <c r="W45" s="41">
        <v>34.911099999999998</v>
      </c>
      <c r="X45" s="41">
        <v>34.919600000000003</v>
      </c>
      <c r="Y45" s="41">
        <v>34.938600000000001</v>
      </c>
      <c r="Z45" s="41">
        <v>34.935000000000002</v>
      </c>
      <c r="AA45" s="41">
        <v>34.922600000000003</v>
      </c>
      <c r="AB45" s="41">
        <v>34.938299999999998</v>
      </c>
      <c r="AC45" s="41">
        <v>34.9313</v>
      </c>
      <c r="AD45" s="41">
        <v>34.942500000000003</v>
      </c>
      <c r="AE45" s="42">
        <v>34.942100000000003</v>
      </c>
      <c r="AF45" s="9"/>
    </row>
    <row r="46" spans="2:32">
      <c r="B46" s="19" t="s">
        <v>89</v>
      </c>
      <c r="C46" s="60" t="s">
        <v>154</v>
      </c>
      <c r="D46" s="60" t="s">
        <v>187</v>
      </c>
      <c r="E46" s="60" t="s">
        <v>209</v>
      </c>
      <c r="F46" s="41">
        <v>0</v>
      </c>
      <c r="G46" s="41">
        <v>0</v>
      </c>
      <c r="H46" s="41">
        <v>0</v>
      </c>
      <c r="I46" s="41">
        <v>0</v>
      </c>
      <c r="J46" s="41">
        <v>0</v>
      </c>
      <c r="K46" s="41">
        <v>0</v>
      </c>
      <c r="L46" s="41">
        <v>0</v>
      </c>
      <c r="M46" s="41">
        <v>0</v>
      </c>
      <c r="N46" s="41">
        <v>0</v>
      </c>
      <c r="O46" s="41">
        <v>0</v>
      </c>
      <c r="P46" s="41">
        <v>0</v>
      </c>
      <c r="Q46" s="41">
        <v>0</v>
      </c>
      <c r="R46" s="41">
        <v>0</v>
      </c>
      <c r="S46" s="41">
        <v>0</v>
      </c>
      <c r="T46" s="41">
        <v>0</v>
      </c>
      <c r="U46" s="41">
        <v>0</v>
      </c>
      <c r="V46" s="41">
        <v>0</v>
      </c>
      <c r="W46" s="41">
        <v>0</v>
      </c>
      <c r="X46" s="41">
        <v>0</v>
      </c>
      <c r="Y46" s="41">
        <v>0</v>
      </c>
      <c r="Z46" s="41">
        <v>0</v>
      </c>
      <c r="AA46" s="41">
        <v>0</v>
      </c>
      <c r="AB46" s="41">
        <v>0</v>
      </c>
      <c r="AC46" s="41">
        <v>0</v>
      </c>
      <c r="AD46" s="41">
        <v>0</v>
      </c>
      <c r="AE46" s="42">
        <v>0</v>
      </c>
      <c r="AF46" s="9"/>
    </row>
    <row r="47" spans="2:32">
      <c r="B47" s="19" t="s">
        <v>89</v>
      </c>
      <c r="C47" s="60" t="s">
        <v>154</v>
      </c>
      <c r="D47" s="60" t="s">
        <v>187</v>
      </c>
      <c r="E47" s="60" t="s">
        <v>210</v>
      </c>
      <c r="F47" s="41">
        <v>0</v>
      </c>
      <c r="G47" s="41">
        <v>0</v>
      </c>
      <c r="H47" s="41">
        <v>0</v>
      </c>
      <c r="I47" s="41">
        <v>0</v>
      </c>
      <c r="J47" s="41">
        <v>0</v>
      </c>
      <c r="K47" s="41">
        <v>0</v>
      </c>
      <c r="L47" s="41">
        <v>0</v>
      </c>
      <c r="M47" s="41">
        <v>0</v>
      </c>
      <c r="N47" s="41">
        <v>0</v>
      </c>
      <c r="O47" s="41">
        <v>0</v>
      </c>
      <c r="P47" s="41">
        <v>0</v>
      </c>
      <c r="Q47" s="41">
        <v>0</v>
      </c>
      <c r="R47" s="41">
        <v>0</v>
      </c>
      <c r="S47" s="41">
        <v>0</v>
      </c>
      <c r="T47" s="41">
        <v>0</v>
      </c>
      <c r="U47" s="41">
        <v>0</v>
      </c>
      <c r="V47" s="41">
        <v>0</v>
      </c>
      <c r="W47" s="41">
        <v>0</v>
      </c>
      <c r="X47" s="41">
        <v>0</v>
      </c>
      <c r="Y47" s="41">
        <v>0</v>
      </c>
      <c r="Z47" s="41">
        <v>0</v>
      </c>
      <c r="AA47" s="41">
        <v>0</v>
      </c>
      <c r="AB47" s="41">
        <v>0</v>
      </c>
      <c r="AC47" s="41">
        <v>0</v>
      </c>
      <c r="AD47" s="41">
        <v>0</v>
      </c>
      <c r="AE47" s="42">
        <v>0</v>
      </c>
      <c r="AF47" s="9"/>
    </row>
    <row r="48" spans="2:32">
      <c r="B48" s="19" t="s">
        <v>89</v>
      </c>
      <c r="C48" s="60" t="s">
        <v>154</v>
      </c>
      <c r="D48" s="60" t="s">
        <v>187</v>
      </c>
      <c r="E48" s="60" t="s">
        <v>213</v>
      </c>
      <c r="F48" s="41">
        <v>1.6162785786570382</v>
      </c>
      <c r="G48" s="41">
        <v>1.6162785786570382</v>
      </c>
      <c r="H48" s="41">
        <v>1.6162785786570382</v>
      </c>
      <c r="I48" s="41">
        <v>1.6162785786570382</v>
      </c>
      <c r="J48" s="41">
        <v>1.6162785786570382</v>
      </c>
      <c r="K48" s="41">
        <v>1.6162785786570382</v>
      </c>
      <c r="L48" s="41">
        <v>1.6162785786570382</v>
      </c>
      <c r="M48" s="41">
        <v>1.6162785786570382</v>
      </c>
      <c r="N48" s="41">
        <v>1.6162785786570382</v>
      </c>
      <c r="O48" s="41">
        <v>1.5668813159082935</v>
      </c>
      <c r="P48" s="41">
        <v>1.4792549398191686</v>
      </c>
      <c r="Q48" s="41">
        <v>1.5084116925338837</v>
      </c>
      <c r="R48" s="41">
        <v>1.5084116925338837</v>
      </c>
      <c r="S48" s="41">
        <v>1.5084116925338837</v>
      </c>
      <c r="T48" s="41">
        <v>1.5084116925338837</v>
      </c>
      <c r="U48" s="41">
        <v>1.5084116925338837</v>
      </c>
      <c r="V48" s="41">
        <v>1.5084116925338837</v>
      </c>
      <c r="W48" s="41">
        <v>1.5084116925338837</v>
      </c>
      <c r="X48" s="41">
        <v>1.5084116925338837</v>
      </c>
      <c r="Y48" s="41">
        <v>1.5084116925338837</v>
      </c>
      <c r="Z48" s="41">
        <v>1.5084116925338837</v>
      </c>
      <c r="AA48" s="41">
        <v>1.5084116925338837</v>
      </c>
      <c r="AB48" s="41">
        <v>1.5084116925338837</v>
      </c>
      <c r="AC48" s="41">
        <v>1.5084116925338837</v>
      </c>
      <c r="AD48" s="41">
        <v>1.5084116925338837</v>
      </c>
      <c r="AE48" s="42">
        <v>1.5084116925338837</v>
      </c>
      <c r="AF48" s="9"/>
    </row>
    <row r="49" spans="2:32">
      <c r="B49" s="19" t="s">
        <v>80</v>
      </c>
      <c r="C49" s="60" t="s">
        <v>154</v>
      </c>
      <c r="D49" s="60" t="s">
        <v>186</v>
      </c>
      <c r="E49" s="60" t="s">
        <v>214</v>
      </c>
      <c r="F49" s="41">
        <v>0</v>
      </c>
      <c r="G49" s="41">
        <v>0</v>
      </c>
      <c r="H49" s="41">
        <v>0</v>
      </c>
      <c r="I49" s="41">
        <v>2.9032776922661651E-3</v>
      </c>
      <c r="J49" s="41">
        <v>2.9032776922661651E-3</v>
      </c>
      <c r="K49" s="41">
        <v>1.2774421845971128E-2</v>
      </c>
      <c r="L49" s="41">
        <v>1.9161632768956688E-2</v>
      </c>
      <c r="M49" s="41">
        <v>2.0322943845863157E-2</v>
      </c>
      <c r="N49" s="41">
        <v>2.1965065231681419E-2</v>
      </c>
      <c r="O49" s="41">
        <v>2.0567028672531788E-2</v>
      </c>
      <c r="P49" s="41">
        <v>1.9008262653815083E-2</v>
      </c>
      <c r="Q49" s="41">
        <v>2.3492363900933837E-2</v>
      </c>
      <c r="R49" s="41">
        <v>3.5442220787604901E-2</v>
      </c>
      <c r="S49" s="41">
        <v>0.02</v>
      </c>
      <c r="T49" s="41">
        <v>0.02</v>
      </c>
      <c r="U49" s="41">
        <v>0.02</v>
      </c>
      <c r="V49" s="41">
        <v>0.03</v>
      </c>
      <c r="W49" s="41">
        <v>0.03</v>
      </c>
      <c r="X49" s="41">
        <v>0.03</v>
      </c>
      <c r="Y49" s="41">
        <v>0.03</v>
      </c>
      <c r="Z49" s="41">
        <v>0.03</v>
      </c>
      <c r="AA49" s="41">
        <v>0.03</v>
      </c>
      <c r="AB49" s="41">
        <v>0.03</v>
      </c>
      <c r="AC49" s="41">
        <v>0.03</v>
      </c>
      <c r="AD49" s="41">
        <v>0.03</v>
      </c>
      <c r="AE49" s="42">
        <v>0.03</v>
      </c>
      <c r="AF49" s="9"/>
    </row>
    <row r="50" spans="2:32">
      <c r="B50" s="19" t="s">
        <v>85</v>
      </c>
      <c r="C50" s="60" t="s">
        <v>154</v>
      </c>
      <c r="D50" s="60" t="s">
        <v>188</v>
      </c>
      <c r="E50" s="60" t="s">
        <v>215</v>
      </c>
      <c r="F50" s="41">
        <v>0.35071594522575272</v>
      </c>
      <c r="G50" s="41">
        <v>0.36871626691780296</v>
      </c>
      <c r="H50" s="41">
        <v>0.43374968722456508</v>
      </c>
      <c r="I50" s="41">
        <v>0.33852217891823483</v>
      </c>
      <c r="J50" s="41">
        <v>0.31007005753402644</v>
      </c>
      <c r="K50" s="41">
        <v>0.37742609999460147</v>
      </c>
      <c r="L50" s="41">
        <v>0.36871626691780296</v>
      </c>
      <c r="M50" s="41">
        <v>0.39774904384046461</v>
      </c>
      <c r="N50" s="41">
        <v>0.37022597131778134</v>
      </c>
      <c r="O50" s="41">
        <v>0.36906466024087492</v>
      </c>
      <c r="P50" s="41">
        <v>0.18720334559732232</v>
      </c>
      <c r="Q50" s="41">
        <v>0.18720334559732232</v>
      </c>
      <c r="R50" s="41">
        <v>0.36</v>
      </c>
      <c r="S50" s="41">
        <v>0.38</v>
      </c>
      <c r="T50" s="41">
        <v>0.39</v>
      </c>
      <c r="U50" s="41">
        <v>0.4</v>
      </c>
      <c r="V50" s="41">
        <v>0.41</v>
      </c>
      <c r="W50" s="41">
        <v>0.42</v>
      </c>
      <c r="X50" s="41">
        <v>0.43</v>
      </c>
      <c r="Y50" s="41">
        <v>0.44</v>
      </c>
      <c r="Z50" s="41">
        <v>0.45</v>
      </c>
      <c r="AA50" s="41">
        <v>0.47</v>
      </c>
      <c r="AB50" s="41">
        <v>0.48</v>
      </c>
      <c r="AC50" s="41">
        <v>0.49</v>
      </c>
      <c r="AD50" s="41">
        <v>0.5</v>
      </c>
      <c r="AE50" s="42">
        <v>0.51</v>
      </c>
      <c r="AF50" s="9"/>
    </row>
    <row r="51" spans="2:32">
      <c r="B51" s="19" t="s">
        <v>85</v>
      </c>
      <c r="C51" s="60" t="s">
        <v>154</v>
      </c>
      <c r="D51" s="60" t="s">
        <v>188</v>
      </c>
      <c r="E51" s="60" t="s">
        <v>165</v>
      </c>
      <c r="F51" s="41">
        <v>2.6988869427306272</v>
      </c>
      <c r="G51" s="41">
        <v>0</v>
      </c>
      <c r="H51" s="41">
        <v>4.4565312576285638</v>
      </c>
      <c r="I51" s="41">
        <v>4.5233066445506855</v>
      </c>
      <c r="J51" s="41">
        <v>4.9855084531594587</v>
      </c>
      <c r="K51" s="41">
        <v>5.9615904132993434</v>
      </c>
      <c r="L51" s="41">
        <v>11.28794366753085</v>
      </c>
      <c r="M51" s="41">
        <v>11.991117524597714</v>
      </c>
      <c r="N51" s="41">
        <v>11.479559995220416</v>
      </c>
      <c r="O51" s="41">
        <v>11.546335382142539</v>
      </c>
      <c r="P51" s="41">
        <v>9.8560471097051785</v>
      </c>
      <c r="Q51" s="41">
        <v>11.926664759829405</v>
      </c>
      <c r="R51" s="41">
        <v>12.25</v>
      </c>
      <c r="S51" s="41">
        <v>12.63</v>
      </c>
      <c r="T51" s="41">
        <v>13.01</v>
      </c>
      <c r="U51" s="41">
        <v>13.36</v>
      </c>
      <c r="V51" s="41">
        <v>13.67</v>
      </c>
      <c r="W51" s="41">
        <v>14.1</v>
      </c>
      <c r="X51" s="41">
        <v>14.5</v>
      </c>
      <c r="Y51" s="41">
        <v>14.82</v>
      </c>
      <c r="Z51" s="41">
        <v>15.17</v>
      </c>
      <c r="AA51" s="41">
        <v>15.65</v>
      </c>
      <c r="AB51" s="41">
        <v>16.04</v>
      </c>
      <c r="AC51" s="41">
        <v>16.5</v>
      </c>
      <c r="AD51" s="41">
        <v>16.899999999999999</v>
      </c>
      <c r="AE51" s="42">
        <v>17.29</v>
      </c>
      <c r="AF51" s="9"/>
    </row>
    <row r="52" spans="2:32">
      <c r="B52" s="19" t="s">
        <v>85</v>
      </c>
      <c r="C52" s="60" t="s">
        <v>154</v>
      </c>
      <c r="D52" s="60" t="s">
        <v>188</v>
      </c>
      <c r="E52" s="60" t="s">
        <v>166</v>
      </c>
      <c r="F52" s="41">
        <v>1.0451799692158195E-2</v>
      </c>
      <c r="G52" s="41">
        <v>1.3935732922877591E-2</v>
      </c>
      <c r="H52" s="41">
        <v>1.9161632768956688E-2</v>
      </c>
      <c r="I52" s="41">
        <v>2.0322943845863157E-2</v>
      </c>
      <c r="J52" s="41">
        <v>2.1484254922769622E-2</v>
      </c>
      <c r="K52" s="41">
        <v>2.1484254922769622E-2</v>
      </c>
      <c r="L52" s="41">
        <v>2.090359938431639E-2</v>
      </c>
      <c r="M52" s="41">
        <v>2.4387532615035786E-2</v>
      </c>
      <c r="N52" s="41">
        <v>3.077474353802135E-2</v>
      </c>
      <c r="O52" s="41">
        <v>3.4839332307193978E-3</v>
      </c>
      <c r="P52" s="41">
        <v>9.8711441537049603E-3</v>
      </c>
      <c r="Q52" s="41">
        <v>1.9742288307409921E-2</v>
      </c>
      <c r="R52" s="41">
        <v>0.02</v>
      </c>
      <c r="S52" s="41">
        <v>0.02</v>
      </c>
      <c r="T52" s="41">
        <v>0.02</v>
      </c>
      <c r="U52" s="41">
        <v>0.02</v>
      </c>
      <c r="V52" s="41">
        <v>0.02</v>
      </c>
      <c r="W52" s="41">
        <v>0.02</v>
      </c>
      <c r="X52" s="41">
        <v>0.02</v>
      </c>
      <c r="Y52" s="41">
        <v>0.02</v>
      </c>
      <c r="Z52" s="41">
        <v>0.03</v>
      </c>
      <c r="AA52" s="41">
        <v>0.03</v>
      </c>
      <c r="AB52" s="41">
        <v>0.03</v>
      </c>
      <c r="AC52" s="41">
        <v>0.03</v>
      </c>
      <c r="AD52" s="41">
        <v>0.03</v>
      </c>
      <c r="AE52" s="42">
        <v>0.03</v>
      </c>
      <c r="AF52" s="9"/>
    </row>
    <row r="53" spans="2:32">
      <c r="B53" s="19" t="s">
        <v>84</v>
      </c>
      <c r="C53" s="60" t="s">
        <v>154</v>
      </c>
      <c r="D53" s="60" t="s">
        <v>221</v>
      </c>
      <c r="E53" s="60" t="s">
        <v>216</v>
      </c>
      <c r="F53" s="41">
        <v>39.596601919999998</v>
      </c>
      <c r="G53" s="41">
        <v>39.596601919999998</v>
      </c>
      <c r="H53" s="41">
        <v>39.596601919999998</v>
      </c>
      <c r="I53" s="41">
        <v>39.596601919999998</v>
      </c>
      <c r="J53" s="41">
        <v>39.596601919999998</v>
      </c>
      <c r="K53" s="41">
        <v>39.596601919999998</v>
      </c>
      <c r="L53" s="41">
        <v>39.596601919999998</v>
      </c>
      <c r="M53" s="41">
        <v>39.596601919999998</v>
      </c>
      <c r="N53" s="41">
        <v>39.596601919999998</v>
      </c>
      <c r="O53" s="41">
        <v>34.032803080000001</v>
      </c>
      <c r="P53" s="41">
        <v>11.02039993</v>
      </c>
      <c r="Q53" s="41">
        <v>42.307769970000003</v>
      </c>
      <c r="R53" s="41">
        <v>31.739393724999999</v>
      </c>
      <c r="S53" s="41">
        <v>31.739393724999999</v>
      </c>
      <c r="T53" s="41">
        <v>31.739393724999999</v>
      </c>
      <c r="U53" s="41">
        <v>31.739393724999999</v>
      </c>
      <c r="V53" s="41">
        <v>31.739393724999999</v>
      </c>
      <c r="W53" s="41">
        <v>31.739393724999999</v>
      </c>
      <c r="X53" s="41">
        <v>31.739393724999999</v>
      </c>
      <c r="Y53" s="41">
        <v>31.739393724999999</v>
      </c>
      <c r="Z53" s="41">
        <v>31.739393724999999</v>
      </c>
      <c r="AA53" s="41">
        <v>31.739393724999999</v>
      </c>
      <c r="AB53" s="41">
        <v>31.739393724999999</v>
      </c>
      <c r="AC53" s="41">
        <v>31.739393724999999</v>
      </c>
      <c r="AD53" s="41">
        <v>31.739393724999999</v>
      </c>
      <c r="AE53" s="42">
        <v>31.739393724999999</v>
      </c>
      <c r="AF53" s="9"/>
    </row>
    <row r="54" spans="2:32">
      <c r="B54" s="16" t="s">
        <v>80</v>
      </c>
      <c r="C54" s="36" t="s">
        <v>157</v>
      </c>
      <c r="D54" s="36" t="s">
        <v>186</v>
      </c>
      <c r="E54" s="36" t="s">
        <v>158</v>
      </c>
      <c r="F54" s="37">
        <v>11.358783643222145</v>
      </c>
      <c r="G54" s="37">
        <v>11.114908317071787</v>
      </c>
      <c r="H54" s="37">
        <v>10.476187224773231</v>
      </c>
      <c r="I54" s="37">
        <v>9.9774041172419032</v>
      </c>
      <c r="J54" s="37">
        <v>9.8403694101669394</v>
      </c>
      <c r="K54" s="37">
        <v>8.9072559598725949</v>
      </c>
      <c r="L54" s="37">
        <v>8.6302832680304018</v>
      </c>
      <c r="M54" s="37">
        <v>8.3742141755725275</v>
      </c>
      <c r="N54" s="37">
        <v>8.083132134801458</v>
      </c>
      <c r="O54" s="37">
        <v>7.7306765455825008</v>
      </c>
      <c r="P54" s="37">
        <v>7.3405654446948496</v>
      </c>
      <c r="Q54" s="37">
        <v>6.9271079265726101</v>
      </c>
      <c r="R54" s="37">
        <v>6.496374164214771</v>
      </c>
      <c r="S54" s="37">
        <v>6.0521726772980475</v>
      </c>
      <c r="T54" s="37">
        <v>6.2337378576169895</v>
      </c>
      <c r="U54" s="37">
        <v>6.402048779772648</v>
      </c>
      <c r="V54" s="37">
        <v>6.5492959017074179</v>
      </c>
      <c r="W54" s="37">
        <v>5.9032020000000003</v>
      </c>
      <c r="X54" s="37">
        <v>5.7377525040000004</v>
      </c>
      <c r="Y54" s="37">
        <v>5.5279511100000001</v>
      </c>
      <c r="Z54" s="37">
        <v>5.3156013400000006</v>
      </c>
      <c r="AA54" s="37">
        <v>5.0244385868850001</v>
      </c>
      <c r="AB54" s="37">
        <v>4.7409637806160001</v>
      </c>
      <c r="AC54" s="37">
        <v>4.4651750629200002</v>
      </c>
      <c r="AD54" s="37">
        <v>4.1970733798880007</v>
      </c>
      <c r="AE54" s="11">
        <v>3.936658731520001</v>
      </c>
      <c r="AF54" s="9"/>
    </row>
    <row r="55" spans="2:32">
      <c r="B55" s="16" t="s">
        <v>80</v>
      </c>
      <c r="C55" s="36" t="s">
        <v>157</v>
      </c>
      <c r="D55" s="36" t="s">
        <v>186</v>
      </c>
      <c r="E55" s="36" t="s">
        <v>159</v>
      </c>
      <c r="F55" s="37">
        <v>31.79495531908368</v>
      </c>
      <c r="G55" s="37">
        <v>32.987621795066623</v>
      </c>
      <c r="H55" s="37">
        <v>34.129190583665675</v>
      </c>
      <c r="I55" s="37">
        <v>35.294566249341315</v>
      </c>
      <c r="J55" s="37">
        <v>36.504652391477855</v>
      </c>
      <c r="K55" s="37">
        <v>36.546459590246485</v>
      </c>
      <c r="L55" s="37">
        <v>35.947803730101199</v>
      </c>
      <c r="M55" s="37">
        <v>36.038966649638361</v>
      </c>
      <c r="N55" s="37">
        <v>37.18817750384455</v>
      </c>
      <c r="O55" s="37">
        <v>38.367604452895222</v>
      </c>
      <c r="P55" s="37">
        <v>39.136214531015874</v>
      </c>
      <c r="Q55" s="37">
        <v>39.917656399749696</v>
      </c>
      <c r="R55" s="37">
        <v>41.277060262024975</v>
      </c>
      <c r="S55" s="37">
        <v>40.99</v>
      </c>
      <c r="T55" s="37">
        <v>41.51</v>
      </c>
      <c r="U55" s="37">
        <v>42.04</v>
      </c>
      <c r="V55" s="37">
        <v>42.55</v>
      </c>
      <c r="W55" s="37">
        <v>43.06</v>
      </c>
      <c r="X55" s="37">
        <v>43.526429999999998</v>
      </c>
      <c r="Y55" s="37">
        <v>43.829300000000003</v>
      </c>
      <c r="Z55" s="37">
        <v>43.8688</v>
      </c>
      <c r="AA55" s="37">
        <v>43.803280000000001</v>
      </c>
      <c r="AB55" s="37">
        <v>43.395679999999999</v>
      </c>
      <c r="AC55" s="37">
        <v>42.989688999999998</v>
      </c>
      <c r="AD55" s="37">
        <v>42.404760000000003</v>
      </c>
      <c r="AE55" s="11">
        <v>41.768500000000003</v>
      </c>
      <c r="AF55" s="9"/>
    </row>
    <row r="56" spans="2:32">
      <c r="B56" s="16" t="s">
        <v>80</v>
      </c>
      <c r="C56" s="36" t="s">
        <v>157</v>
      </c>
      <c r="D56" s="36" t="s">
        <v>186</v>
      </c>
      <c r="E56" s="36" t="s">
        <v>160</v>
      </c>
      <c r="F56" s="37">
        <v>18.399514089706368</v>
      </c>
      <c r="G56" s="37">
        <v>19.251331946627335</v>
      </c>
      <c r="H56" s="37">
        <v>20.250503961403826</v>
      </c>
      <c r="I56" s="37">
        <v>21.159735055743393</v>
      </c>
      <c r="J56" s="37">
        <v>22.896031741691992</v>
      </c>
      <c r="K56" s="37">
        <v>24.924099043161522</v>
      </c>
      <c r="L56" s="37">
        <v>25.561618113788224</v>
      </c>
      <c r="M56" s="37">
        <v>26.256082137778293</v>
      </c>
      <c r="N56" s="37">
        <v>26.624217749157641</v>
      </c>
      <c r="O56" s="37">
        <v>27.545137433144468</v>
      </c>
      <c r="P56" s="37">
        <v>29.009550701123523</v>
      </c>
      <c r="Q56" s="37">
        <v>28.635027878821187</v>
      </c>
      <c r="R56" s="37">
        <v>28.180955247750759</v>
      </c>
      <c r="S56" s="37">
        <v>29.40164</v>
      </c>
      <c r="T56" s="37">
        <v>29.779800000000002</v>
      </c>
      <c r="U56" s="37">
        <v>30.15437</v>
      </c>
      <c r="V56" s="37">
        <v>30.524940000000001</v>
      </c>
      <c r="W56" s="37">
        <v>30.891380000000002</v>
      </c>
      <c r="X56" s="37">
        <v>31.262076559999997</v>
      </c>
      <c r="Y56" s="37">
        <v>31.668483555279998</v>
      </c>
      <c r="Z56" s="37">
        <v>32.301853226385596</v>
      </c>
      <c r="AA56" s="37">
        <v>32.793995570451997</v>
      </c>
      <c r="AB56" s="37">
        <v>33.5033533450855</v>
      </c>
      <c r="AC56" s="37">
        <v>34.087440532057698</v>
      </c>
      <c r="AD56" s="37">
        <v>34.636314937378302</v>
      </c>
      <c r="AE56" s="11">
        <v>35.182054568772998</v>
      </c>
      <c r="AF56" s="9"/>
    </row>
    <row r="57" spans="2:32">
      <c r="B57" s="16" t="s">
        <v>89</v>
      </c>
      <c r="C57" s="36" t="s">
        <v>157</v>
      </c>
      <c r="D57" s="36" t="s">
        <v>187</v>
      </c>
      <c r="E57" s="36" t="s">
        <v>161</v>
      </c>
      <c r="F57" s="37">
        <v>23.857974763966439</v>
      </c>
      <c r="G57" s="37">
        <v>25.835106872399699</v>
      </c>
      <c r="H57" s="37">
        <v>28.75812685297327</v>
      </c>
      <c r="I57" s="37">
        <v>28.89458090450978</v>
      </c>
      <c r="J57" s="37">
        <v>30.289315507874445</v>
      </c>
      <c r="K57" s="37">
        <v>30.867067768635412</v>
      </c>
      <c r="L57" s="37">
        <v>32.08818636600256</v>
      </c>
      <c r="M57" s="37">
        <v>34.068802407666539</v>
      </c>
      <c r="N57" s="37">
        <v>35.971610607177787</v>
      </c>
      <c r="O57" s="37">
        <v>37.38028094346533</v>
      </c>
      <c r="P57" s="37">
        <v>36.49129731409343</v>
      </c>
      <c r="Q57" s="37">
        <v>40.945505949568179</v>
      </c>
      <c r="R57" s="37">
        <v>42.48766946417043</v>
      </c>
      <c r="S57" s="37">
        <v>43.412210000000002</v>
      </c>
      <c r="T57" s="37">
        <v>44.144528927234731</v>
      </c>
      <c r="U57" s="37">
        <v>45.336431208270064</v>
      </c>
      <c r="V57" s="37">
        <v>46.379169126060269</v>
      </c>
      <c r="W57" s="37">
        <v>47.856263383375484</v>
      </c>
      <c r="X57" s="37">
        <v>49.218335175375024</v>
      </c>
      <c r="Y57" s="37">
        <v>50.299158598404844</v>
      </c>
      <c r="Z57" s="37">
        <v>51.497305890640988</v>
      </c>
      <c r="AA57" s="37">
        <v>53.128647987231403</v>
      </c>
      <c r="AB57" s="37">
        <v>54.439258584481898</v>
      </c>
      <c r="AC57" s="37">
        <v>56.013333401166037</v>
      </c>
      <c r="AD57" s="37">
        <v>57.338976299460313</v>
      </c>
      <c r="AE57" s="11">
        <v>58.69473136147522</v>
      </c>
      <c r="AF57" s="9"/>
    </row>
    <row r="58" spans="2:32">
      <c r="B58" s="16" t="s">
        <v>89</v>
      </c>
      <c r="C58" s="36" t="s">
        <v>157</v>
      </c>
      <c r="D58" s="36" t="s">
        <v>187</v>
      </c>
      <c r="E58" s="36" t="s">
        <v>162</v>
      </c>
      <c r="F58" s="37">
        <v>9.7480451795528751</v>
      </c>
      <c r="G58" s="37">
        <v>10.056953926009996</v>
      </c>
      <c r="H58" s="37">
        <v>10.290958108006649</v>
      </c>
      <c r="I58" s="37">
        <v>10.507542623849703</v>
      </c>
      <c r="J58" s="37">
        <v>10.703804195846898</v>
      </c>
      <c r="K58" s="37">
        <v>9.4641046212492448</v>
      </c>
      <c r="L58" s="37">
        <v>9.1342922754078089</v>
      </c>
      <c r="M58" s="37">
        <v>9.1482280083306868</v>
      </c>
      <c r="N58" s="37">
        <v>9.4607379223717292</v>
      </c>
      <c r="O58" s="37">
        <v>9.7371299586754692</v>
      </c>
      <c r="P58" s="37">
        <v>9.2977422803691905</v>
      </c>
      <c r="Q58" s="37">
        <v>10.852196815581699</v>
      </c>
      <c r="R58" s="37">
        <v>10.928405422853453</v>
      </c>
      <c r="S58" s="37">
        <v>11.51</v>
      </c>
      <c r="T58" s="37">
        <v>10.648729018024609</v>
      </c>
      <c r="U58" s="37">
        <v>10.936244701511272</v>
      </c>
      <c r="V58" s="37">
        <v>11.187778329646031</v>
      </c>
      <c r="W58" s="37">
        <v>11.544089221674284</v>
      </c>
      <c r="X58" s="37">
        <v>11.872653910630561</v>
      </c>
      <c r="Y58" s="37">
        <v>12.133374684594415</v>
      </c>
      <c r="Z58" s="37">
        <v>12.422396815960532</v>
      </c>
      <c r="AA58" s="37">
        <v>12.815916020818783</v>
      </c>
      <c r="AB58" s="37">
        <v>13.132067023840623</v>
      </c>
      <c r="AC58" s="37">
        <v>13.511771974472115</v>
      </c>
      <c r="AD58" s="37">
        <v>13.831549132404261</v>
      </c>
      <c r="AE58" s="11">
        <v>12.9954</v>
      </c>
      <c r="AF58" s="9"/>
    </row>
    <row r="59" spans="2:32">
      <c r="B59" s="16" t="s">
        <v>89</v>
      </c>
      <c r="C59" s="36" t="s">
        <v>157</v>
      </c>
      <c r="D59" s="36" t="s">
        <v>187</v>
      </c>
      <c r="E59" s="36" t="s">
        <v>163</v>
      </c>
      <c r="F59" s="37">
        <v>2.4648827607339743</v>
      </c>
      <c r="G59" s="37">
        <v>2.7720495405757344</v>
      </c>
      <c r="H59" s="37">
        <v>2.4033332736579314</v>
      </c>
      <c r="I59" s="37">
        <v>2.5548843691942253</v>
      </c>
      <c r="J59" s="37">
        <v>3.6691623474859791</v>
      </c>
      <c r="K59" s="37">
        <v>4.2178818313242843</v>
      </c>
      <c r="L59" s="37">
        <v>3.4055447330282118</v>
      </c>
      <c r="M59" s="37">
        <v>3.7562606782539643</v>
      </c>
      <c r="N59" s="37">
        <v>3.9680445141082998</v>
      </c>
      <c r="O59" s="37">
        <v>4.1453383632536003</v>
      </c>
      <c r="P59" s="37">
        <v>3.6902606348657798</v>
      </c>
      <c r="Q59" s="37">
        <v>4.1259797721259996</v>
      </c>
      <c r="R59" s="37">
        <v>4.250161394448031</v>
      </c>
      <c r="S59" s="37">
        <v>4.37</v>
      </c>
      <c r="T59" s="37">
        <v>4.0184672997532909</v>
      </c>
      <c r="U59" s="37">
        <v>4.1269659168466291</v>
      </c>
      <c r="V59" s="37">
        <v>4.2218861329341015</v>
      </c>
      <c r="W59" s="37">
        <v>4.3563457163959285</v>
      </c>
      <c r="X59" s="37">
        <v>4.4803348287293865</v>
      </c>
      <c r="Y59" s="37">
        <v>4.5787219604487426</v>
      </c>
      <c r="Z59" s="37">
        <v>4.6877890596146479</v>
      </c>
      <c r="AA59" s="37">
        <v>4.8362897918495582</v>
      </c>
      <c r="AB59" s="37">
        <v>4.955594402313122</v>
      </c>
      <c r="AC59" s="37">
        <v>5.0988821059521561</v>
      </c>
      <c r="AD59" s="37">
        <v>5.2195551036576369</v>
      </c>
      <c r="AE59" s="11">
        <v>5.3429692053725324</v>
      </c>
      <c r="AF59" s="9"/>
    </row>
    <row r="60" spans="2:32">
      <c r="B60" s="16" t="s">
        <v>89</v>
      </c>
      <c r="C60" s="36" t="s">
        <v>157</v>
      </c>
      <c r="D60" s="36" t="s">
        <v>187</v>
      </c>
      <c r="E60" s="36" t="s">
        <v>164</v>
      </c>
      <c r="F60" s="37">
        <v>0</v>
      </c>
      <c r="G60" s="37">
        <v>6.5033420306762096E-2</v>
      </c>
      <c r="H60" s="37">
        <v>1.2292477749054942</v>
      </c>
      <c r="I60" s="37">
        <v>1.8151292132048065</v>
      </c>
      <c r="J60" s="37">
        <v>2.0346170067401284</v>
      </c>
      <c r="K60" s="37">
        <v>0.81001447614226008</v>
      </c>
      <c r="L60" s="37">
        <v>2.3086864208900546</v>
      </c>
      <c r="M60" s="37">
        <v>2.1112635378159554</v>
      </c>
      <c r="N60" s="37">
        <v>1.96337828327746</v>
      </c>
      <c r="O60" s="37">
        <v>1.5793630784291599</v>
      </c>
      <c r="P60" s="37">
        <v>0.94433599472857999</v>
      </c>
      <c r="Q60" s="37">
        <v>1.6548595399193</v>
      </c>
      <c r="R60" s="37">
        <v>1.7430600387346675</v>
      </c>
      <c r="S60" s="37">
        <v>1.75</v>
      </c>
      <c r="T60" s="37">
        <v>1.4072709564398711</v>
      </c>
      <c r="U60" s="37">
        <v>1.4452672722637474</v>
      </c>
      <c r="V60" s="37">
        <v>1.4785084195258134</v>
      </c>
      <c r="W60" s="37">
        <v>1.5255962897275814</v>
      </c>
      <c r="X60" s="37">
        <v>1.5690173912785008</v>
      </c>
      <c r="Y60" s="37">
        <v>1.6034726555939711</v>
      </c>
      <c r="Z60" s="37">
        <v>1.6416680543642308</v>
      </c>
      <c r="AA60" s="37">
        <v>1.6936731478228919</v>
      </c>
      <c r="AB60" s="37">
        <v>1.7354537324963202</v>
      </c>
      <c r="AC60" s="37">
        <v>1.7856332185303501</v>
      </c>
      <c r="AD60" s="37">
        <v>1.8278930136785858</v>
      </c>
      <c r="AE60" s="11">
        <v>1.8711127459802899</v>
      </c>
      <c r="AF60" s="9"/>
    </row>
    <row r="61" spans="2:32">
      <c r="B61" s="16" t="s">
        <v>89</v>
      </c>
      <c r="C61" s="36" t="s">
        <v>157</v>
      </c>
      <c r="D61" s="36" t="s">
        <v>187</v>
      </c>
      <c r="E61" s="36" t="s">
        <v>211</v>
      </c>
      <c r="F61" s="37">
        <v>27.569524965759427</v>
      </c>
      <c r="G61" s="37">
        <v>28.78832094097276</v>
      </c>
      <c r="H61" s="37">
        <v>31.857085461698087</v>
      </c>
      <c r="I61" s="37">
        <v>35.930964719485964</v>
      </c>
      <c r="J61" s="37">
        <v>37.977775492533603</v>
      </c>
      <c r="K61" s="37">
        <v>33.522405545981954</v>
      </c>
      <c r="L61" s="37">
        <v>22.441755905678942</v>
      </c>
      <c r="M61" s="37">
        <v>21.529546054768918</v>
      </c>
      <c r="N61" s="37">
        <v>25.5848234317269</v>
      </c>
      <c r="O61" s="37">
        <v>22.023940567740599</v>
      </c>
      <c r="P61" s="37">
        <v>21.491393792287099</v>
      </c>
      <c r="Q61" s="37">
        <v>20.510462487417801</v>
      </c>
      <c r="R61" s="37">
        <v>28.440348612007746</v>
      </c>
      <c r="S61" s="37">
        <v>21.75</v>
      </c>
      <c r="T61" s="37">
        <v>22.61</v>
      </c>
      <c r="U61" s="37">
        <v>22.99</v>
      </c>
      <c r="V61" s="37">
        <v>23.72</v>
      </c>
      <c r="W61" s="37">
        <v>24.24</v>
      </c>
      <c r="X61" s="37">
        <v>24.8</v>
      </c>
      <c r="Y61" s="37">
        <v>25.395</v>
      </c>
      <c r="Z61" s="37">
        <v>26.1</v>
      </c>
      <c r="AA61" s="37">
        <v>25.951720000000002</v>
      </c>
      <c r="AB61" s="37">
        <v>25.434999999999999</v>
      </c>
      <c r="AC61" s="37">
        <v>24.398700000000002</v>
      </c>
      <c r="AD61" s="37">
        <v>23.2807</v>
      </c>
      <c r="AE61" s="11">
        <v>22.212900000000001</v>
      </c>
      <c r="AF61" s="9"/>
    </row>
    <row r="62" spans="2:32">
      <c r="B62" s="16" t="s">
        <v>89</v>
      </c>
      <c r="C62" s="36" t="s">
        <v>157</v>
      </c>
      <c r="D62" s="36" t="s">
        <v>187</v>
      </c>
      <c r="E62" s="36" t="s">
        <v>212</v>
      </c>
      <c r="F62" s="37">
        <v>1.0451799692158195E-2</v>
      </c>
      <c r="G62" s="37">
        <v>1.3935732922877591E-2</v>
      </c>
      <c r="H62" s="37">
        <v>1.9161632768956688E-2</v>
      </c>
      <c r="I62" s="37">
        <v>2.0322943845863157E-2</v>
      </c>
      <c r="J62" s="37">
        <v>2.1484254922769622E-2</v>
      </c>
      <c r="K62" s="37">
        <v>2.1484254922769622E-2</v>
      </c>
      <c r="L62" s="37">
        <v>2.090359938431639E-2</v>
      </c>
      <c r="M62" s="37">
        <v>2.4387532615035786E-2</v>
      </c>
      <c r="N62" s="37">
        <v>3.077474353802135E-2</v>
      </c>
      <c r="O62" s="37">
        <v>3.4839332307193978E-3</v>
      </c>
      <c r="P62" s="37">
        <v>9.8711441537049603E-3</v>
      </c>
      <c r="Q62" s="37">
        <v>1.9742288307409921E-2</v>
      </c>
      <c r="R62" s="37">
        <v>2.8452121384208419E-2</v>
      </c>
      <c r="S62" s="37">
        <v>3.1936054614927815E-2</v>
      </c>
      <c r="T62" s="37">
        <v>3.2894136253375651E-2</v>
      </c>
      <c r="U62" s="37">
        <v>3.3782277932216789E-2</v>
      </c>
      <c r="V62" s="37">
        <v>3.4559270324657769E-2</v>
      </c>
      <c r="W62" s="37">
        <v>3.5659921774337855E-2</v>
      </c>
      <c r="X62" s="37">
        <v>3.6674864649518718E-2</v>
      </c>
      <c r="Y62" s="37">
        <v>3.7480236318601104E-2</v>
      </c>
      <c r="Z62" s="37">
        <v>3.8373031444977765E-2</v>
      </c>
      <c r="AA62" s="37">
        <v>3.9588620114857226E-2</v>
      </c>
      <c r="AB62" s="37">
        <v>4.0565216866679819E-2</v>
      </c>
      <c r="AC62" s="37">
        <v>4.1738133029821184E-2</v>
      </c>
      <c r="AD62" s="37">
        <v>4.2725931046460781E-2</v>
      </c>
      <c r="AE62" s="11">
        <v>4.3736167033113449E-2</v>
      </c>
      <c r="AF62" s="9"/>
    </row>
    <row r="63" spans="2:32">
      <c r="B63" s="16" t="s">
        <v>89</v>
      </c>
      <c r="C63" s="36" t="s">
        <v>157</v>
      </c>
      <c r="D63" s="36" t="s">
        <v>187</v>
      </c>
      <c r="E63" s="36" t="s">
        <v>167</v>
      </c>
      <c r="F63" s="37">
        <v>5.2665457337708235</v>
      </c>
      <c r="G63" s="37">
        <v>6.1195287197586232</v>
      </c>
      <c r="H63" s="37">
        <v>6.4319213994464626</v>
      </c>
      <c r="I63" s="37">
        <v>6.2153368836034071</v>
      </c>
      <c r="J63" s="37">
        <v>8.1692427704985366</v>
      </c>
      <c r="K63" s="37">
        <v>8.5472495260315906</v>
      </c>
      <c r="L63" s="37">
        <v>8.7220268431060131</v>
      </c>
      <c r="M63" s="37">
        <v>9.8937897197046372</v>
      </c>
      <c r="N63" s="37">
        <v>7.1739991775896943</v>
      </c>
      <c r="O63" s="37">
        <v>9.5622354072478402</v>
      </c>
      <c r="P63" s="37">
        <v>7.4515525249703387</v>
      </c>
      <c r="Q63" s="37">
        <v>11.777436286446925</v>
      </c>
      <c r="R63" s="37">
        <v>7.6298137752754815</v>
      </c>
      <c r="S63" s="37">
        <v>7.67</v>
      </c>
      <c r="T63" s="37">
        <v>7.67</v>
      </c>
      <c r="U63" s="37">
        <v>7.67</v>
      </c>
      <c r="V63" s="37">
        <v>7.67</v>
      </c>
      <c r="W63" s="37">
        <v>7.67</v>
      </c>
      <c r="X63" s="37">
        <v>7.67</v>
      </c>
      <c r="Y63" s="37">
        <v>7.67</v>
      </c>
      <c r="Z63" s="37">
        <v>7.67</v>
      </c>
      <c r="AA63" s="37">
        <v>7.67</v>
      </c>
      <c r="AB63" s="37">
        <v>7.67</v>
      </c>
      <c r="AC63" s="37">
        <v>7.67</v>
      </c>
      <c r="AD63" s="37">
        <v>7.67</v>
      </c>
      <c r="AE63" s="11">
        <v>7.67</v>
      </c>
      <c r="AF63" s="9"/>
    </row>
    <row r="64" spans="2:32">
      <c r="B64" s="16" t="s">
        <v>194</v>
      </c>
      <c r="C64" s="36" t="s">
        <v>157</v>
      </c>
      <c r="D64" s="36" t="s">
        <v>187</v>
      </c>
      <c r="E64" s="36" t="s">
        <v>168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  <c r="K64" s="37">
        <v>0</v>
      </c>
      <c r="L64" s="37">
        <v>0</v>
      </c>
      <c r="M64" s="37">
        <v>0</v>
      </c>
      <c r="N64" s="37">
        <v>0</v>
      </c>
      <c r="O64" s="37">
        <v>0</v>
      </c>
      <c r="P64" s="37">
        <v>0</v>
      </c>
      <c r="Q64" s="37">
        <v>0</v>
      </c>
      <c r="R64" s="37">
        <v>0</v>
      </c>
      <c r="S64" s="37">
        <v>0</v>
      </c>
      <c r="T64" s="37">
        <v>0</v>
      </c>
      <c r="U64" s="37">
        <v>0</v>
      </c>
      <c r="V64" s="37">
        <v>0</v>
      </c>
      <c r="W64" s="37">
        <v>0</v>
      </c>
      <c r="X64" s="37">
        <v>4.3080000000000002E-3</v>
      </c>
      <c r="Y64" s="37">
        <v>8.6160000000000004E-3</v>
      </c>
      <c r="Z64" s="37">
        <v>1.2924000000000001E-2</v>
      </c>
      <c r="AA64" s="37">
        <v>1.7232000000000001E-2</v>
      </c>
      <c r="AB64" s="37">
        <v>2.154E-2</v>
      </c>
      <c r="AC64" s="37">
        <v>2.154E-2</v>
      </c>
      <c r="AD64" s="37">
        <v>2.154E-2</v>
      </c>
      <c r="AE64" s="11">
        <v>2.154E-2</v>
      </c>
      <c r="AF64" s="9"/>
    </row>
    <row r="65" spans="2:32">
      <c r="B65" s="16" t="s">
        <v>89</v>
      </c>
      <c r="C65" s="36" t="s">
        <v>157</v>
      </c>
      <c r="D65" s="36" t="s">
        <v>187</v>
      </c>
      <c r="E65" s="36" t="s">
        <v>169</v>
      </c>
      <c r="F65" s="37">
        <v>1.611899774746175</v>
      </c>
      <c r="G65" s="37">
        <v>1.6415132072072898</v>
      </c>
      <c r="H65" s="37">
        <v>1.6868043392066419</v>
      </c>
      <c r="I65" s="37">
        <v>1.71699842720621</v>
      </c>
      <c r="J65" s="37">
        <v>1.8830659112038348</v>
      </c>
      <c r="K65" s="37">
        <v>1.9202278656648415</v>
      </c>
      <c r="L65" s="37">
        <v>1.958551131202755</v>
      </c>
      <c r="M65" s="37">
        <v>1.998035707817575</v>
      </c>
      <c r="N65" s="37">
        <v>2.0379768422691695</v>
      </c>
      <c r="O65" s="37">
        <v>2.0787363758628818</v>
      </c>
      <c r="P65" s="37">
        <v>2.1203111033801396</v>
      </c>
      <c r="Q65" s="37">
        <v>2.1627173296284621</v>
      </c>
      <c r="R65" s="37">
        <v>2.2059103905838322</v>
      </c>
      <c r="S65" s="37">
        <v>2.2500402115062781</v>
      </c>
      <c r="T65" s="37">
        <v>2.3175414178514666</v>
      </c>
      <c r="U65" s="37">
        <v>2.3801150361334562</v>
      </c>
      <c r="V65" s="37">
        <v>2.4348576819645253</v>
      </c>
      <c r="W65" s="37">
        <v>2.5124035795556221</v>
      </c>
      <c r="X65" s="37">
        <v>2.5839109184888192</v>
      </c>
      <c r="Y65" s="37">
        <v>2.6406530133559873</v>
      </c>
      <c r="Z65" s="37">
        <v>2.7035544881688884</v>
      </c>
      <c r="AA65" s="37">
        <v>2.6182400000000001</v>
      </c>
      <c r="AB65" s="37">
        <v>2.5611000000000002</v>
      </c>
      <c r="AC65" s="37">
        <v>2.4906000000000001</v>
      </c>
      <c r="AD65" s="37">
        <v>2.3925299999999998</v>
      </c>
      <c r="AE65" s="11">
        <v>2.31853</v>
      </c>
      <c r="AF65" s="9"/>
    </row>
    <row r="66" spans="2:32">
      <c r="B66" s="16" t="s">
        <v>89</v>
      </c>
      <c r="C66" s="36" t="s">
        <v>157</v>
      </c>
      <c r="D66" s="36" t="s">
        <v>187</v>
      </c>
      <c r="E66" s="36" t="s">
        <v>170</v>
      </c>
      <c r="F66" s="37">
        <v>1.2489900632129043</v>
      </c>
      <c r="G66" s="37">
        <v>1.646739107053369</v>
      </c>
      <c r="H66" s="37">
        <v>1.7036433498217856</v>
      </c>
      <c r="I66" s="37">
        <v>2.2419110339679329</v>
      </c>
      <c r="J66" s="37">
        <v>2.083972727508653</v>
      </c>
      <c r="K66" s="37">
        <v>2.1385543481232574</v>
      </c>
      <c r="L66" s="37">
        <v>1.338411016134702</v>
      </c>
      <c r="M66" s="37">
        <v>1.4371224576717516</v>
      </c>
      <c r="N66" s="37">
        <v>2.0131327518173499</v>
      </c>
      <c r="O66" s="37">
        <v>1.85229116766581</v>
      </c>
      <c r="P66" s="37">
        <v>1.9887452192023201</v>
      </c>
      <c r="Q66" s="37">
        <v>2.2581693890446202</v>
      </c>
      <c r="R66" s="37">
        <v>2.7493867010974822</v>
      </c>
      <c r="S66" s="37">
        <v>2.4674200000000002</v>
      </c>
      <c r="T66" s="37">
        <v>3.0083182791723551</v>
      </c>
      <c r="U66" s="37">
        <v>3.0895428727100085</v>
      </c>
      <c r="V66" s="37">
        <v>3.1606023587823384</v>
      </c>
      <c r="W66" s="37">
        <v>3.2612619368167173</v>
      </c>
      <c r="X66" s="37">
        <v>3.3540830761287124</v>
      </c>
      <c r="Y66" s="37">
        <v>3.4277379760466107</v>
      </c>
      <c r="Z66" s="37">
        <v>3.5093881485134215</v>
      </c>
      <c r="AA66" s="37">
        <v>3.620559257776943</v>
      </c>
      <c r="AB66" s="37">
        <v>3.7098734698072637</v>
      </c>
      <c r="AC66" s="37">
        <v>3.8171419843636469</v>
      </c>
      <c r="AD66" s="37">
        <v>3.9074806029763227</v>
      </c>
      <c r="AE66" s="11">
        <v>3.9998712759374668</v>
      </c>
      <c r="AF66" s="9"/>
    </row>
    <row r="67" spans="2:32">
      <c r="B67" s="16" t="s">
        <v>89</v>
      </c>
      <c r="C67" s="36" t="s">
        <v>157</v>
      </c>
      <c r="D67" s="36" t="s">
        <v>187</v>
      </c>
      <c r="E67" s="36" t="s">
        <v>171</v>
      </c>
      <c r="F67" s="37">
        <v>1.0422766915235533</v>
      </c>
      <c r="G67" s="37">
        <v>0.82220824244977797</v>
      </c>
      <c r="H67" s="37">
        <v>1.3111202058274003</v>
      </c>
      <c r="I67" s="37">
        <v>0.96911409367844592</v>
      </c>
      <c r="J67" s="37">
        <v>0.90872591767930966</v>
      </c>
      <c r="K67" s="37">
        <v>1.0132439146008916</v>
      </c>
      <c r="L67" s="37">
        <v>0.71652893445128962</v>
      </c>
      <c r="M67" s="37">
        <v>2.4695280050416</v>
      </c>
      <c r="N67" s="37">
        <v>1.36845009233172</v>
      </c>
      <c r="O67" s="37">
        <v>1.05043927998158</v>
      </c>
      <c r="P67" s="37">
        <v>1.5998269764069799</v>
      </c>
      <c r="Q67" s="37">
        <v>1.83258674971262</v>
      </c>
      <c r="R67" s="37">
        <v>2.4914138153647514</v>
      </c>
      <c r="S67" s="37">
        <v>2.0024999999999999</v>
      </c>
      <c r="T67" s="37">
        <v>1.5478186295224763</v>
      </c>
      <c r="U67" s="37">
        <v>1.589609732519583</v>
      </c>
      <c r="V67" s="37">
        <v>1.6261707563675334</v>
      </c>
      <c r="W67" s="37">
        <v>1.6779614100361162</v>
      </c>
      <c r="X67" s="37">
        <v>1.725719085690081</v>
      </c>
      <c r="Y67" s="37">
        <v>1.7636154835007214</v>
      </c>
      <c r="Z67" s="37">
        <v>1.8056255523564086</v>
      </c>
      <c r="AA67" s="37">
        <v>1.8628245246772821</v>
      </c>
      <c r="AB67" s="37">
        <v>1.9087778409266796</v>
      </c>
      <c r="AC67" s="37">
        <v>1.9639688778395861</v>
      </c>
      <c r="AD67" s="37">
        <v>2.010449264513464</v>
      </c>
      <c r="AE67" s="11">
        <v>2.0579854596672296</v>
      </c>
      <c r="AF67" s="9"/>
    </row>
    <row r="68" spans="2:32">
      <c r="B68" s="16" t="s">
        <v>89</v>
      </c>
      <c r="C68" s="36" t="s">
        <v>157</v>
      </c>
      <c r="D68" s="36" t="s">
        <v>187</v>
      </c>
      <c r="E68" s="36" t="s">
        <v>172</v>
      </c>
      <c r="F68" s="37">
        <v>4.5895013759343533</v>
      </c>
      <c r="G68" s="37">
        <v>6.289080136986966</v>
      </c>
      <c r="H68" s="37">
        <v>2.9236006361120284</v>
      </c>
      <c r="I68" s="37">
        <v>3.2458644599535726</v>
      </c>
      <c r="J68" s="37">
        <v>2.8469541050362017</v>
      </c>
      <c r="K68" s="37">
        <v>0.76878793291208058</v>
      </c>
      <c r="L68" s="37">
        <v>3.9565868390203298</v>
      </c>
      <c r="M68" s="37">
        <v>3.4589650425659095</v>
      </c>
      <c r="N68" s="37">
        <v>5.7711699514977699</v>
      </c>
      <c r="O68" s="37">
        <v>7.8918634455827599</v>
      </c>
      <c r="P68" s="37">
        <v>8.4675547275755392</v>
      </c>
      <c r="Q68" s="37">
        <v>8.6230478354968394</v>
      </c>
      <c r="R68" s="37">
        <v>9.8256294383473204</v>
      </c>
      <c r="S68" s="37">
        <v>9.42</v>
      </c>
      <c r="T68" s="37">
        <v>10.487248712780765</v>
      </c>
      <c r="U68" s="37">
        <v>10.770404428025845</v>
      </c>
      <c r="V68" s="37">
        <v>11.018123729870439</v>
      </c>
      <c r="W68" s="37">
        <v>11.36903142387299</v>
      </c>
      <c r="X68" s="37">
        <v>11.692613665987469</v>
      </c>
      <c r="Y68" s="37">
        <v>11.949380797212191</v>
      </c>
      <c r="Z68" s="37">
        <v>12.234020116139732</v>
      </c>
      <c r="AA68" s="37">
        <v>12.621571885709482</v>
      </c>
      <c r="AB68" s="37">
        <v>12.932928686495103</v>
      </c>
      <c r="AC68" s="37">
        <v>13.306875685052992</v>
      </c>
      <c r="AD68" s="37">
        <v>13.621803652721633</v>
      </c>
      <c r="AE68" s="11">
        <v>13.943885253193534</v>
      </c>
      <c r="AF68" s="9"/>
    </row>
    <row r="69" spans="2:32">
      <c r="B69" s="16" t="s">
        <v>89</v>
      </c>
      <c r="C69" s="36" t="s">
        <v>157</v>
      </c>
      <c r="D69" s="36" t="s">
        <v>187</v>
      </c>
      <c r="E69" s="36" t="s">
        <v>173</v>
      </c>
      <c r="F69" s="37">
        <v>8.2209211134208733</v>
      </c>
      <c r="G69" s="37">
        <v>8.6262186792612283</v>
      </c>
      <c r="H69" s="37">
        <v>10.230569932007514</v>
      </c>
      <c r="I69" s="37">
        <v>7.6211039421986833</v>
      </c>
      <c r="J69" s="37">
        <v>1.6432551738226495</v>
      </c>
      <c r="K69" s="37">
        <v>2.0711983056626821</v>
      </c>
      <c r="L69" s="37">
        <v>0.49065392999298191</v>
      </c>
      <c r="M69" s="37">
        <v>0</v>
      </c>
      <c r="N69" s="37">
        <v>2.5489150909015899</v>
      </c>
      <c r="O69" s="37">
        <v>2.9144162332636498</v>
      </c>
      <c r="P69" s="37">
        <v>0.67387279405921596</v>
      </c>
      <c r="Q69" s="37">
        <v>3.15597120181679</v>
      </c>
      <c r="R69" s="37">
        <v>5.8671400903808903</v>
      </c>
      <c r="S69" s="37">
        <v>3.4450000000000003</v>
      </c>
      <c r="T69" s="37">
        <v>3.3575941986627438</v>
      </c>
      <c r="U69" s="37">
        <v>3.4482492420266375</v>
      </c>
      <c r="V69" s="37">
        <v>3.5275589745932501</v>
      </c>
      <c r="W69" s="37">
        <v>3.6399054698387774</v>
      </c>
      <c r="X69" s="37">
        <v>3.7435034571345112</v>
      </c>
      <c r="Y69" s="37">
        <v>3.8257099398659391</v>
      </c>
      <c r="Z69" s="37">
        <v>3.9168399733110042</v>
      </c>
      <c r="AA69" s="37">
        <v>4.0409184240874279</v>
      </c>
      <c r="AB69" s="37">
        <v>4.1406023179916467</v>
      </c>
      <c r="AC69" s="37">
        <v>4.2603250696257495</v>
      </c>
      <c r="AD69" s="37">
        <v>4.3611523071787435</v>
      </c>
      <c r="AE69" s="11">
        <v>4.4642698495254356</v>
      </c>
      <c r="AF69" s="9"/>
    </row>
    <row r="70" spans="2:32">
      <c r="B70" s="16" t="s">
        <v>89</v>
      </c>
      <c r="C70" s="36" t="s">
        <v>157</v>
      </c>
      <c r="D70" s="36" t="s">
        <v>187</v>
      </c>
      <c r="E70" s="36" t="s">
        <v>174</v>
      </c>
      <c r="F70" s="37">
        <v>24.95947832041222</v>
      </c>
      <c r="G70" s="37">
        <v>28.615285590513778</v>
      </c>
      <c r="H70" s="37">
        <v>30.633063586638762</v>
      </c>
      <c r="I70" s="37">
        <v>32.528903919688567</v>
      </c>
      <c r="J70" s="37">
        <v>36.134774813483148</v>
      </c>
      <c r="K70" s="37">
        <v>31.228235513553326</v>
      </c>
      <c r="L70" s="37">
        <v>27.9730805649845</v>
      </c>
      <c r="M70" s="37">
        <v>29.660465559729598</v>
      </c>
      <c r="N70" s="37">
        <v>34.952288680728103</v>
      </c>
      <c r="O70" s="37">
        <v>32.606013465490697</v>
      </c>
      <c r="P70" s="37">
        <v>25.107180831039599</v>
      </c>
      <c r="Q70" s="37">
        <v>20.302984914974299</v>
      </c>
      <c r="R70" s="37">
        <v>17.793156875403486</v>
      </c>
      <c r="S70" s="37">
        <v>22.182499999999997</v>
      </c>
      <c r="T70" s="37">
        <v>12.474054542484652</v>
      </c>
      <c r="U70" s="37">
        <v>12.810854015131737</v>
      </c>
      <c r="V70" s="37">
        <v>13.105503657479765</v>
      </c>
      <c r="W70" s="37">
        <v>13.522890699042993</v>
      </c>
      <c r="X70" s="37">
        <v>13.907775490818397</v>
      </c>
      <c r="Y70" s="37">
        <v>14.213187070855694</v>
      </c>
      <c r="Z70" s="37">
        <v>14.551751215416385</v>
      </c>
      <c r="AA70" s="37">
        <v>15.012724540646856</v>
      </c>
      <c r="AB70" s="37">
        <v>15.383067785242561</v>
      </c>
      <c r="AC70" s="37">
        <v>15.827858920054188</v>
      </c>
      <c r="AD70" s="37">
        <v>16.202449887927862</v>
      </c>
      <c r="AE70" s="11">
        <v>16.585549741993585</v>
      </c>
      <c r="AF70" s="9"/>
    </row>
    <row r="71" spans="2:32">
      <c r="B71" s="16" t="s">
        <v>82</v>
      </c>
      <c r="C71" s="36" t="s">
        <v>157</v>
      </c>
      <c r="D71" s="36" t="s">
        <v>189</v>
      </c>
      <c r="E71" s="36" t="s">
        <v>175</v>
      </c>
      <c r="F71" s="37">
        <v>15.069172533938302</v>
      </c>
      <c r="G71" s="37">
        <v>16.665975264684693</v>
      </c>
      <c r="H71" s="37">
        <v>18.169873109278566</v>
      </c>
      <c r="I71" s="37">
        <v>19.947840368022369</v>
      </c>
      <c r="J71" s="37">
        <v>21.697355505381957</v>
      </c>
      <c r="K71" s="37">
        <v>23.16351073997637</v>
      </c>
      <c r="L71" s="37">
        <v>23.865523285966333</v>
      </c>
      <c r="M71" s="37">
        <v>24.450243413188737</v>
      </c>
      <c r="N71" s="37">
        <v>24.9629622536429</v>
      </c>
      <c r="O71" s="37">
        <v>26.060401221319498</v>
      </c>
      <c r="P71" s="37">
        <v>23.917782284427101</v>
      </c>
      <c r="Q71" s="37">
        <v>25.150513992563301</v>
      </c>
      <c r="R71" s="37">
        <v>26.593867010974826</v>
      </c>
      <c r="S71" s="37">
        <v>26.244130000000002</v>
      </c>
      <c r="T71" s="37">
        <v>26.928867500000003</v>
      </c>
      <c r="U71" s="37">
        <v>27.569065000000002</v>
      </c>
      <c r="V71" s="37">
        <v>28.211665</v>
      </c>
      <c r="W71" s="37">
        <v>28.951492500000001</v>
      </c>
      <c r="X71" s="37">
        <v>29.685220000000001</v>
      </c>
      <c r="Y71" s="37">
        <v>30.3404025</v>
      </c>
      <c r="Z71" s="37">
        <v>31.055710000000001</v>
      </c>
      <c r="AA71" s="37">
        <v>31.62687</v>
      </c>
      <c r="AB71" s="37">
        <v>31.596</v>
      </c>
      <c r="AC71" s="37">
        <v>31.4238</v>
      </c>
      <c r="AD71" s="37">
        <v>31.233599999999999</v>
      </c>
      <c r="AE71" s="11">
        <v>31.160499999999999</v>
      </c>
      <c r="AF71" s="9"/>
    </row>
    <row r="72" spans="2:32">
      <c r="B72" s="16" t="s">
        <v>82</v>
      </c>
      <c r="C72" s="36" t="s">
        <v>157</v>
      </c>
      <c r="D72" s="36" t="s">
        <v>189</v>
      </c>
      <c r="E72" s="36" t="s">
        <v>176</v>
      </c>
      <c r="F72" s="37">
        <v>0.98943703752430912</v>
      </c>
      <c r="G72" s="37">
        <v>1.0585350466002439</v>
      </c>
      <c r="H72" s="37">
        <v>1.1171812559840204</v>
      </c>
      <c r="I72" s="37">
        <v>1.1595691102911063</v>
      </c>
      <c r="J72" s="37">
        <v>1.1676982878294515</v>
      </c>
      <c r="K72" s="37">
        <v>1.1827953318292357</v>
      </c>
      <c r="L72" s="37">
        <v>1.1665369767525451</v>
      </c>
      <c r="M72" s="37">
        <v>1.2013763090597391</v>
      </c>
      <c r="N72" s="37">
        <v>0.27453468820698801</v>
      </c>
      <c r="O72" s="37">
        <v>0.28255511883412499</v>
      </c>
      <c r="P72" s="37">
        <v>0.269804827871021</v>
      </c>
      <c r="Q72" s="37">
        <v>0.31491248201071098</v>
      </c>
      <c r="R72" s="37">
        <v>0.31723692704970952</v>
      </c>
      <c r="S72" s="37">
        <v>0.32750000000000001</v>
      </c>
      <c r="T72" s="37">
        <v>0.33499999999999996</v>
      </c>
      <c r="U72" s="37">
        <v>0.34499999999999997</v>
      </c>
      <c r="V72" s="37">
        <v>0.35499999999999998</v>
      </c>
      <c r="W72" s="37">
        <v>0.36499999999999999</v>
      </c>
      <c r="X72" s="37">
        <v>0.375</v>
      </c>
      <c r="Y72" s="37">
        <v>0.38500000000000001</v>
      </c>
      <c r="Z72" s="37">
        <v>0.39500000000000002</v>
      </c>
      <c r="AA72" s="37">
        <v>0.40500000000000003</v>
      </c>
      <c r="AB72" s="37">
        <v>0.41</v>
      </c>
      <c r="AC72" s="37">
        <v>0.42</v>
      </c>
      <c r="AD72" s="37">
        <v>0.43</v>
      </c>
      <c r="AE72" s="11">
        <v>0.44</v>
      </c>
      <c r="AF72" s="9"/>
    </row>
    <row r="73" spans="2:32">
      <c r="B73" s="16" t="s">
        <v>82</v>
      </c>
      <c r="C73" s="36" t="s">
        <v>157</v>
      </c>
      <c r="D73" s="36" t="s">
        <v>189</v>
      </c>
      <c r="E73" s="36" t="s">
        <v>177</v>
      </c>
      <c r="F73" s="37">
        <v>1.8755173892039427</v>
      </c>
      <c r="G73" s="37">
        <v>2.0061648853559202</v>
      </c>
      <c r="H73" s="37">
        <v>2.1176507487389409</v>
      </c>
      <c r="I73" s="37">
        <v>2.197781213045487</v>
      </c>
      <c r="J73" s="37">
        <v>2.2128782570452712</v>
      </c>
      <c r="K73" s="37">
        <v>2.242491689506386</v>
      </c>
      <c r="L73" s="37">
        <v>2.2111362904299114</v>
      </c>
      <c r="M73" s="37">
        <v>2.2773310218135796</v>
      </c>
      <c r="N73" s="37">
        <v>2.39111779663983</v>
      </c>
      <c r="O73" s="37">
        <v>2.3977571514238298</v>
      </c>
      <c r="P73" s="37">
        <v>2.2406900605344502</v>
      </c>
      <c r="Q73" s="37">
        <v>2.3810967562588701</v>
      </c>
      <c r="R73" s="37">
        <v>2.6552614590058101</v>
      </c>
      <c r="S73" s="37">
        <v>2.4874999999999998</v>
      </c>
      <c r="T73" s="37">
        <v>2.5525000000000002</v>
      </c>
      <c r="U73" s="37">
        <v>2.6124999999999998</v>
      </c>
      <c r="V73" s="37">
        <v>2.6725000000000003</v>
      </c>
      <c r="W73" s="37">
        <v>2.7424999999999997</v>
      </c>
      <c r="X73" s="37">
        <v>2.8</v>
      </c>
      <c r="Y73" s="37">
        <v>2.85</v>
      </c>
      <c r="Z73" s="37">
        <v>2.9</v>
      </c>
      <c r="AA73" s="37">
        <v>2.889068</v>
      </c>
      <c r="AB73" s="37">
        <v>2.7902</v>
      </c>
      <c r="AC73" s="37">
        <v>2.6960000000000002</v>
      </c>
      <c r="AD73" s="37">
        <v>2.6486000000000001</v>
      </c>
      <c r="AE73" s="11">
        <v>2.6425000000000001</v>
      </c>
      <c r="AF73" s="9"/>
    </row>
    <row r="74" spans="2:32">
      <c r="B74" s="16" t="s">
        <v>82</v>
      </c>
      <c r="C74" s="36" t="s">
        <v>157</v>
      </c>
      <c r="D74" s="36" t="s">
        <v>189</v>
      </c>
      <c r="E74" s="36" t="s">
        <v>178</v>
      </c>
      <c r="F74" s="37">
        <v>6.6287636269821073</v>
      </c>
      <c r="G74" s="37">
        <v>7.1681926222051615</v>
      </c>
      <c r="H74" s="37">
        <v>7.3383246949719583</v>
      </c>
      <c r="I74" s="37">
        <v>8.1471778600373117</v>
      </c>
      <c r="J74" s="37">
        <v>8.6128636018768052</v>
      </c>
      <c r="K74" s="37">
        <v>7.6762662183517403</v>
      </c>
      <c r="L74" s="37">
        <v>5.2648037671554642</v>
      </c>
      <c r="M74" s="37">
        <v>5.0464772846970485</v>
      </c>
      <c r="N74" s="37">
        <v>5.7368390353734897</v>
      </c>
      <c r="O74" s="37">
        <v>4.7138772871007104</v>
      </c>
      <c r="P74" s="37">
        <v>4.5998940532795798</v>
      </c>
      <c r="Q74" s="37">
        <v>4.3899411636953101</v>
      </c>
      <c r="R74" s="37">
        <v>6.0873466752743708</v>
      </c>
      <c r="S74" s="37">
        <v>4.58</v>
      </c>
      <c r="T74" s="37">
        <v>4.7</v>
      </c>
      <c r="U74" s="37">
        <v>4.8125</v>
      </c>
      <c r="V74" s="37">
        <v>4.9250000000000007</v>
      </c>
      <c r="W74" s="37">
        <v>5.0549999999999997</v>
      </c>
      <c r="X74" s="37">
        <v>5.16</v>
      </c>
      <c r="Y74" s="37">
        <v>5.24</v>
      </c>
      <c r="Z74" s="37">
        <v>5.37</v>
      </c>
      <c r="AA74" s="37">
        <v>5.4100359999999998</v>
      </c>
      <c r="AB74" s="37">
        <v>5.1909400000000003</v>
      </c>
      <c r="AC74" s="37">
        <v>5.11252</v>
      </c>
      <c r="AD74" s="37">
        <v>5.0898399999999997</v>
      </c>
      <c r="AE74" s="11">
        <v>5.1660000000000004</v>
      </c>
      <c r="AF74" s="9"/>
    </row>
    <row r="75" spans="2:32">
      <c r="B75" s="16" t="s">
        <v>82</v>
      </c>
      <c r="C75" s="36" t="s">
        <v>157</v>
      </c>
      <c r="D75" s="36" t="s">
        <v>189</v>
      </c>
      <c r="E75" s="36" t="s">
        <v>179</v>
      </c>
      <c r="F75" s="37">
        <v>0.14806716230557443</v>
      </c>
      <c r="G75" s="37">
        <v>0.15677699538237291</v>
      </c>
      <c r="H75" s="37">
        <v>0.15155109553629381</v>
      </c>
      <c r="I75" s="37">
        <v>0.1904550166126604</v>
      </c>
      <c r="J75" s="37">
        <v>0.23110090430438673</v>
      </c>
      <c r="K75" s="37">
        <v>0.22587500445830763</v>
      </c>
      <c r="L75" s="37">
        <v>0.17245469492061019</v>
      </c>
      <c r="M75" s="37">
        <v>0.17884190584359577</v>
      </c>
      <c r="N75" s="37">
        <v>9.9128536281464702E-2</v>
      </c>
      <c r="O75" s="37">
        <v>0.123044623051719</v>
      </c>
      <c r="P75" s="37">
        <v>3.4599036083716998E-2</v>
      </c>
      <c r="Q75" s="37">
        <v>0.23700357618085399</v>
      </c>
      <c r="R75" s="37">
        <v>0</v>
      </c>
      <c r="S75" s="37">
        <v>0.2475</v>
      </c>
      <c r="T75" s="37">
        <v>0.2525</v>
      </c>
      <c r="U75" s="37">
        <v>0.25750000000000001</v>
      </c>
      <c r="V75" s="37">
        <v>0.26500000000000001</v>
      </c>
      <c r="W75" s="37">
        <v>0.27500000000000002</v>
      </c>
      <c r="X75" s="37">
        <v>0.28300000000000003</v>
      </c>
      <c r="Y75" s="37">
        <v>0.29100000000000004</v>
      </c>
      <c r="Z75" s="37">
        <v>0.29900000000000004</v>
      </c>
      <c r="AA75" s="37">
        <v>0.30700000000000005</v>
      </c>
      <c r="AB75" s="37">
        <v>0.31</v>
      </c>
      <c r="AC75" s="37">
        <v>0.32</v>
      </c>
      <c r="AD75" s="37">
        <v>0.32</v>
      </c>
      <c r="AE75" s="11">
        <v>0.33</v>
      </c>
      <c r="AF75" s="9"/>
    </row>
    <row r="76" spans="2:32">
      <c r="B76" s="16" t="s">
        <v>79</v>
      </c>
      <c r="C76" s="36" t="s">
        <v>157</v>
      </c>
      <c r="D76" s="36" t="s">
        <v>190</v>
      </c>
      <c r="E76" s="36" t="s">
        <v>180</v>
      </c>
      <c r="F76" s="37">
        <v>0</v>
      </c>
      <c r="G76" s="37">
        <v>0</v>
      </c>
      <c r="H76" s="37">
        <v>0</v>
      </c>
      <c r="I76" s="37">
        <v>0</v>
      </c>
      <c r="J76" s="37">
        <v>0</v>
      </c>
      <c r="K76" s="37">
        <v>0</v>
      </c>
      <c r="L76" s="37">
        <v>0</v>
      </c>
      <c r="M76" s="37">
        <v>0</v>
      </c>
      <c r="N76" s="37">
        <v>0</v>
      </c>
      <c r="O76" s="37">
        <v>0</v>
      </c>
      <c r="P76" s="37">
        <v>0</v>
      </c>
      <c r="Q76" s="37">
        <v>0</v>
      </c>
      <c r="R76" s="37">
        <v>0</v>
      </c>
      <c r="S76" s="37">
        <v>0</v>
      </c>
      <c r="T76" s="37">
        <v>0</v>
      </c>
      <c r="U76" s="37">
        <v>0</v>
      </c>
      <c r="V76" s="37">
        <v>0</v>
      </c>
      <c r="W76" s="37">
        <v>0</v>
      </c>
      <c r="X76" s="37">
        <v>0</v>
      </c>
      <c r="Y76" s="37">
        <v>0</v>
      </c>
      <c r="Z76" s="37">
        <v>0</v>
      </c>
      <c r="AA76" s="37">
        <v>3.2500000000000001E-2</v>
      </c>
      <c r="AB76" s="37">
        <v>7.5600000000000001E-2</v>
      </c>
      <c r="AC76" s="37">
        <v>0.15912000000000001</v>
      </c>
      <c r="AD76" s="37">
        <v>0.25868000000000002</v>
      </c>
      <c r="AE76" s="11">
        <v>0.34823999999999999</v>
      </c>
      <c r="AF76" s="9"/>
    </row>
    <row r="77" spans="2:32">
      <c r="B77" s="16" t="s">
        <v>79</v>
      </c>
      <c r="C77" s="36" t="s">
        <v>157</v>
      </c>
      <c r="D77" s="36" t="s">
        <v>190</v>
      </c>
      <c r="E77" s="36" t="s">
        <v>181</v>
      </c>
      <c r="F77" s="37">
        <v>0.47787950814701075</v>
      </c>
      <c r="G77" s="37">
        <v>0.56904242768416835</v>
      </c>
      <c r="H77" s="37">
        <v>0.72175483429736864</v>
      </c>
      <c r="I77" s="37">
        <v>0.84253118629564105</v>
      </c>
      <c r="J77" s="37">
        <v>0.99350162629348171</v>
      </c>
      <c r="K77" s="37">
        <v>1.0242763698315032</v>
      </c>
      <c r="L77" s="37">
        <v>0.7989820209116486</v>
      </c>
      <c r="M77" s="37">
        <v>1.1073101118303152</v>
      </c>
      <c r="N77" s="37">
        <v>1.0525426407975187</v>
      </c>
      <c r="O77" s="37">
        <v>1.138470114511545</v>
      </c>
      <c r="P77" s="37">
        <v>0.93313629908978357</v>
      </c>
      <c r="Q77" s="37">
        <v>1.0966180601025668</v>
      </c>
      <c r="R77" s="37">
        <v>1.0271796475237693</v>
      </c>
      <c r="S77" s="37">
        <v>1.17</v>
      </c>
      <c r="T77" s="37">
        <v>1.2</v>
      </c>
      <c r="U77" s="37">
        <v>1.23</v>
      </c>
      <c r="V77" s="37">
        <v>1.26</v>
      </c>
      <c r="W77" s="37">
        <v>1.29</v>
      </c>
      <c r="X77" s="37">
        <v>1.3179661016949153</v>
      </c>
      <c r="Y77" s="37">
        <v>1.3239361702127661</v>
      </c>
      <c r="Z77" s="37">
        <v>1.3257121439280359</v>
      </c>
      <c r="AA77" s="37">
        <v>1.3113728634361232</v>
      </c>
      <c r="AB77" s="37">
        <v>1.2782608695652173</v>
      </c>
      <c r="AC77" s="37">
        <v>1.2201481481481482</v>
      </c>
      <c r="AD77" s="37">
        <v>1.162465352112676</v>
      </c>
      <c r="AE77" s="11">
        <v>1.1256417246175243</v>
      </c>
      <c r="AF77" s="9"/>
    </row>
    <row r="78" spans="2:32">
      <c r="B78" s="16" t="s">
        <v>79</v>
      </c>
      <c r="C78" s="36" t="s">
        <v>157</v>
      </c>
      <c r="D78" s="36" t="s">
        <v>190</v>
      </c>
      <c r="E78" s="36" t="s">
        <v>182</v>
      </c>
      <c r="F78" s="37">
        <v>3.5077401077959807</v>
      </c>
      <c r="G78" s="37">
        <v>3.8631012973293588</v>
      </c>
      <c r="H78" s="37">
        <v>4.2289142865548959</v>
      </c>
      <c r="I78" s="37">
        <v>4.2573664079391049</v>
      </c>
      <c r="J78" s="37">
        <v>4.491370589935757</v>
      </c>
      <c r="K78" s="37">
        <v>4.4414342136287788</v>
      </c>
      <c r="L78" s="37">
        <v>4.0332333700961565</v>
      </c>
      <c r="M78" s="37">
        <v>4.3525939162454348</v>
      </c>
      <c r="N78" s="37">
        <v>4.7630758302215384</v>
      </c>
      <c r="O78" s="37">
        <v>5.2140192621427994</v>
      </c>
      <c r="P78" s="37">
        <v>4.8432446410198446</v>
      </c>
      <c r="Q78" s="37">
        <v>5.4102095818988687</v>
      </c>
      <c r="R78" s="37">
        <v>5.3611925865387002</v>
      </c>
      <c r="S78" s="37">
        <v>5.76</v>
      </c>
      <c r="T78" s="37">
        <v>5.94</v>
      </c>
      <c r="U78" s="37">
        <v>6.08</v>
      </c>
      <c r="V78" s="37">
        <v>6.2</v>
      </c>
      <c r="W78" s="37">
        <v>6.36</v>
      </c>
      <c r="X78" s="37">
        <v>6.4408333333333339</v>
      </c>
      <c r="Y78" s="37">
        <v>6.5305263157894737</v>
      </c>
      <c r="Z78" s="37">
        <v>6.5711851851851852</v>
      </c>
      <c r="AA78" s="37">
        <v>6.5435217391304352</v>
      </c>
      <c r="AB78" s="37">
        <v>6.3233571428571436</v>
      </c>
      <c r="AC78" s="37">
        <v>6.0792211267605634</v>
      </c>
      <c r="AD78" s="37">
        <v>5.8471458333333324</v>
      </c>
      <c r="AE78" s="11">
        <v>5.6219890410958913</v>
      </c>
      <c r="AF78" s="9"/>
    </row>
    <row r="79" spans="2:32">
      <c r="B79" s="16" t="s">
        <v>81</v>
      </c>
      <c r="C79" s="36" t="s">
        <v>157</v>
      </c>
      <c r="D79" s="36" t="s">
        <v>191</v>
      </c>
      <c r="E79" s="36" t="s">
        <v>183</v>
      </c>
      <c r="F79" s="37">
        <v>0</v>
      </c>
      <c r="G79" s="37">
        <v>0</v>
      </c>
      <c r="H79" s="37">
        <v>0</v>
      </c>
      <c r="I79" s="37">
        <v>0</v>
      </c>
      <c r="J79" s="37">
        <v>0</v>
      </c>
      <c r="K79" s="37">
        <v>0</v>
      </c>
      <c r="L79" s="37">
        <v>0</v>
      </c>
      <c r="M79" s="37">
        <v>0</v>
      </c>
      <c r="N79" s="37">
        <v>0</v>
      </c>
      <c r="O79" s="37">
        <v>0</v>
      </c>
      <c r="P79" s="37">
        <v>0</v>
      </c>
      <c r="Q79" s="37">
        <v>0</v>
      </c>
      <c r="R79" s="37">
        <v>0</v>
      </c>
      <c r="S79" s="37">
        <v>0</v>
      </c>
      <c r="T79" s="37">
        <v>0</v>
      </c>
      <c r="U79" s="37">
        <v>0</v>
      </c>
      <c r="V79" s="37">
        <v>0</v>
      </c>
      <c r="W79" s="37">
        <v>0</v>
      </c>
      <c r="X79" s="37">
        <v>0</v>
      </c>
      <c r="Y79" s="37">
        <v>0</v>
      </c>
      <c r="Z79" s="37">
        <v>0</v>
      </c>
      <c r="AA79" s="37">
        <v>0</v>
      </c>
      <c r="AB79" s="37">
        <v>1.04</v>
      </c>
      <c r="AC79" s="37">
        <v>0.96</v>
      </c>
      <c r="AD79" s="37">
        <v>0.89</v>
      </c>
      <c r="AE79" s="11">
        <v>0.39</v>
      </c>
      <c r="AF79" s="9"/>
    </row>
    <row r="80" spans="2:32">
      <c r="B80" s="16" t="s">
        <v>81</v>
      </c>
      <c r="C80" s="36" t="s">
        <v>157</v>
      </c>
      <c r="D80" s="36" t="s">
        <v>191</v>
      </c>
      <c r="E80" s="36" t="s">
        <v>184</v>
      </c>
      <c r="F80" s="37">
        <v>6.0819000000000001</v>
      </c>
      <c r="G80" s="37">
        <v>6.0819000000000001</v>
      </c>
      <c r="H80" s="37">
        <v>6.0819000000000001</v>
      </c>
      <c r="I80" s="37">
        <v>6.0819000000000001</v>
      </c>
      <c r="J80" s="37">
        <v>6.0819000000000001</v>
      </c>
      <c r="K80" s="37">
        <v>6.0819000000000001</v>
      </c>
      <c r="L80" s="37">
        <v>6.0819000000000001</v>
      </c>
      <c r="M80" s="37">
        <v>6.0819000000000001</v>
      </c>
      <c r="N80" s="37">
        <v>6.0819000000000001</v>
      </c>
      <c r="O80" s="37">
        <v>6.6056999999999997</v>
      </c>
      <c r="P80" s="37">
        <v>6.1866599999999998</v>
      </c>
      <c r="Q80" s="37">
        <v>5.9538599999999997</v>
      </c>
      <c r="R80" s="37">
        <v>6.2070299999999996</v>
      </c>
      <c r="S80" s="37">
        <v>6.2070299999999996</v>
      </c>
      <c r="T80" s="37">
        <v>6.2070299999999996</v>
      </c>
      <c r="U80" s="37">
        <v>6.2070299999999996</v>
      </c>
      <c r="V80" s="37">
        <v>6.2070299999999996</v>
      </c>
      <c r="W80" s="37">
        <v>6.2070299999999996</v>
      </c>
      <c r="X80" s="37">
        <v>6.2070299999999996</v>
      </c>
      <c r="Y80" s="37">
        <v>6.2070299999999996</v>
      </c>
      <c r="Z80" s="37">
        <v>6.2070299999999996</v>
      </c>
      <c r="AA80" s="37">
        <v>6.2070299999999996</v>
      </c>
      <c r="AB80" s="37">
        <v>2.5170300000000001</v>
      </c>
      <c r="AC80" s="37">
        <v>2.5170300000000001</v>
      </c>
      <c r="AD80" s="37">
        <v>2.5170300000000001</v>
      </c>
      <c r="AE80" s="11">
        <v>2.2416529999999999</v>
      </c>
      <c r="AF80" s="9"/>
    </row>
    <row r="81" spans="2:32">
      <c r="B81" s="16" t="s">
        <v>193</v>
      </c>
      <c r="C81" s="36" t="s">
        <v>157</v>
      </c>
      <c r="D81" s="36" t="s">
        <v>192</v>
      </c>
      <c r="E81" s="36" t="s">
        <v>185</v>
      </c>
      <c r="F81" s="37">
        <v>3.5977417162562322E-2</v>
      </c>
      <c r="G81" s="37">
        <v>5.0368384027587247E-2</v>
      </c>
      <c r="H81" s="37">
        <v>4.3172900595074781E-2</v>
      </c>
      <c r="I81" s="37">
        <v>0.10433450977143073</v>
      </c>
      <c r="J81" s="37">
        <v>0.16909386066404292</v>
      </c>
      <c r="K81" s="37">
        <v>0.16549611894778668</v>
      </c>
      <c r="L81" s="37">
        <v>1.4462921699350053</v>
      </c>
      <c r="M81" s="37">
        <v>0.76272124384632112</v>
      </c>
      <c r="N81" s="37">
        <v>0.91979864717806825</v>
      </c>
      <c r="O81" s="37">
        <v>6.5717789285822841</v>
      </c>
      <c r="P81" s="37">
        <v>4.8232404770645925</v>
      </c>
      <c r="Q81" s="37">
        <v>1.8856843657413787</v>
      </c>
      <c r="R81" s="37">
        <v>0.6907664095211965</v>
      </c>
      <c r="S81" s="37">
        <v>1.7808821495468348</v>
      </c>
      <c r="T81" s="37">
        <v>3.55</v>
      </c>
      <c r="U81" s="37">
        <v>3.55</v>
      </c>
      <c r="V81" s="37">
        <v>3.55</v>
      </c>
      <c r="W81" s="37">
        <v>3.55</v>
      </c>
      <c r="X81" s="37">
        <v>3.55</v>
      </c>
      <c r="Y81" s="37">
        <v>3.55</v>
      </c>
      <c r="Z81" s="37">
        <v>1.615</v>
      </c>
      <c r="AA81" s="37">
        <v>3.55</v>
      </c>
      <c r="AB81" s="37">
        <v>3.55</v>
      </c>
      <c r="AC81" s="37">
        <v>3.55</v>
      </c>
      <c r="AD81" s="37">
        <v>3.55</v>
      </c>
      <c r="AE81" s="11">
        <v>3.55</v>
      </c>
      <c r="AF81" s="9"/>
    </row>
    <row r="82" spans="2:32">
      <c r="B82" s="16" t="s">
        <v>222</v>
      </c>
      <c r="C82" s="36" t="s">
        <v>157</v>
      </c>
      <c r="D82" s="36" t="s">
        <v>218</v>
      </c>
      <c r="E82" s="36" t="s">
        <v>195</v>
      </c>
      <c r="F82" s="41">
        <v>8.1529844154218445</v>
      </c>
      <c r="G82" s="41">
        <v>8.7197042209522007</v>
      </c>
      <c r="H82" s="41">
        <v>6.2710798152949163</v>
      </c>
      <c r="I82" s="41">
        <v>6.7425721125189417</v>
      </c>
      <c r="J82" s="41">
        <v>6.8621871534403072</v>
      </c>
      <c r="K82" s="41">
        <v>6.8662517422094806</v>
      </c>
      <c r="L82" s="41">
        <v>4.0692340134802567</v>
      </c>
      <c r="M82" s="41">
        <v>3.6523233368708357</v>
      </c>
      <c r="N82" s="41">
        <v>3.8285522927913922</v>
      </c>
      <c r="O82" s="41">
        <v>3.849281695514172</v>
      </c>
      <c r="P82" s="41">
        <v>1.7414440253750914</v>
      </c>
      <c r="Q82" s="41">
        <v>2.3650680736738634</v>
      </c>
      <c r="R82" s="41">
        <v>4.3396384764364102</v>
      </c>
      <c r="S82" s="41">
        <v>3.46</v>
      </c>
      <c r="T82" s="41">
        <v>3.65</v>
      </c>
      <c r="U82" s="41">
        <v>3.72</v>
      </c>
      <c r="V82" s="41">
        <v>3.78</v>
      </c>
      <c r="W82" s="41">
        <v>3.87</v>
      </c>
      <c r="X82" s="41">
        <v>3.94</v>
      </c>
      <c r="Y82" s="41">
        <v>4.01</v>
      </c>
      <c r="Z82" s="41">
        <v>4.08</v>
      </c>
      <c r="AA82" s="41">
        <v>4.17</v>
      </c>
      <c r="AB82" s="41">
        <v>4.24</v>
      </c>
      <c r="AC82" s="41">
        <v>4.32</v>
      </c>
      <c r="AD82" s="41">
        <v>4.4000000000000004</v>
      </c>
      <c r="AE82" s="42">
        <v>4.47</v>
      </c>
    </row>
    <row r="83" spans="2:32">
      <c r="B83" s="16" t="s">
        <v>222</v>
      </c>
      <c r="C83" s="36" t="s">
        <v>157</v>
      </c>
      <c r="D83" s="36" t="s">
        <v>218</v>
      </c>
      <c r="E83" s="36" t="s">
        <v>196</v>
      </c>
      <c r="F83" s="41">
        <v>4.7630758302215384</v>
      </c>
      <c r="G83" s="41">
        <v>4.7630758302215384</v>
      </c>
      <c r="H83" s="41">
        <v>4.7630758302215384</v>
      </c>
      <c r="I83" s="41">
        <v>4.7630758302215384</v>
      </c>
      <c r="J83" s="41">
        <v>4.7630758302215384</v>
      </c>
      <c r="K83" s="41">
        <v>4.7630758302215384</v>
      </c>
      <c r="L83" s="41">
        <v>4.7630758302215384</v>
      </c>
      <c r="M83" s="41">
        <v>4.7630758302215384</v>
      </c>
      <c r="N83" s="41">
        <v>4.7630758302215384</v>
      </c>
      <c r="O83" s="41">
        <v>5.2140192621427994</v>
      </c>
      <c r="P83" s="41">
        <v>4.8432446410198446</v>
      </c>
      <c r="Q83" s="41">
        <v>5.4102095818988687</v>
      </c>
      <c r="R83" s="41">
        <v>5.3645577792123946</v>
      </c>
      <c r="S83" s="41">
        <v>5.76</v>
      </c>
      <c r="T83" s="41">
        <v>5.94</v>
      </c>
      <c r="U83" s="41">
        <v>6.08</v>
      </c>
      <c r="V83" s="41">
        <v>6.2</v>
      </c>
      <c r="W83" s="41">
        <v>6.36</v>
      </c>
      <c r="X83" s="41">
        <v>6.49</v>
      </c>
      <c r="Y83" s="41">
        <v>6.58</v>
      </c>
      <c r="Z83" s="41">
        <v>6.67</v>
      </c>
      <c r="AA83" s="41">
        <v>6.81</v>
      </c>
      <c r="AB83" s="41">
        <v>6.9</v>
      </c>
      <c r="AC83" s="41">
        <v>7.02</v>
      </c>
      <c r="AD83" s="41">
        <v>7.1</v>
      </c>
      <c r="AE83" s="42">
        <v>7.19</v>
      </c>
    </row>
    <row r="84" spans="2:32">
      <c r="B84" s="16">
        <v>2</v>
      </c>
      <c r="C84" s="36" t="s">
        <v>157</v>
      </c>
      <c r="D84" s="36" t="s">
        <v>219</v>
      </c>
      <c r="E84" s="36" t="s">
        <v>197</v>
      </c>
      <c r="F84" s="41">
        <v>4.4807647654625642</v>
      </c>
      <c r="G84" s="41">
        <v>4.4807647654625642</v>
      </c>
      <c r="H84" s="41">
        <v>4.4807647654625642</v>
      </c>
      <c r="I84" s="41">
        <v>4.4807647654625642</v>
      </c>
      <c r="J84" s="41">
        <v>4.4807647654625642</v>
      </c>
      <c r="K84" s="41">
        <v>4.4807647654625642</v>
      </c>
      <c r="L84" s="41">
        <v>4.4807647654625642</v>
      </c>
      <c r="M84" s="41">
        <v>4.4807647654625642</v>
      </c>
      <c r="N84" s="41">
        <v>4.4807647654625642</v>
      </c>
      <c r="O84" s="41">
        <v>4.2873983137370137</v>
      </c>
      <c r="P84" s="41">
        <v>3.3116198028808568</v>
      </c>
      <c r="Q84" s="41">
        <v>3.9848753614033661</v>
      </c>
      <c r="R84" s="41">
        <v>3.9848753614033661</v>
      </c>
      <c r="S84" s="41">
        <v>3.9848753614033661</v>
      </c>
      <c r="T84" s="41">
        <v>3.9848753614033661</v>
      </c>
      <c r="U84" s="41">
        <v>3.9848753614033661</v>
      </c>
      <c r="V84" s="41">
        <v>3.9848753614033661</v>
      </c>
      <c r="W84" s="41">
        <v>3.9848753614033661</v>
      </c>
      <c r="X84" s="41">
        <v>3.9848753614033661</v>
      </c>
      <c r="Y84" s="41">
        <v>3.9848753614033661</v>
      </c>
      <c r="Z84" s="41">
        <v>3.9848753614033661</v>
      </c>
      <c r="AA84" s="41">
        <v>3.9848753614033661</v>
      </c>
      <c r="AB84" s="41">
        <v>3.9848753614033661</v>
      </c>
      <c r="AC84" s="41">
        <v>3.9848753614033661</v>
      </c>
      <c r="AD84" s="41">
        <v>3.9848753614033661</v>
      </c>
      <c r="AE84" s="42">
        <v>3.9848753614033661</v>
      </c>
    </row>
    <row r="85" spans="2:32">
      <c r="B85" s="16">
        <v>2</v>
      </c>
      <c r="C85" s="36" t="s">
        <v>157</v>
      </c>
      <c r="D85" s="36" t="s">
        <v>219</v>
      </c>
      <c r="E85" s="36" t="s">
        <v>198</v>
      </c>
      <c r="F85" s="41">
        <v>4.4807647654625642</v>
      </c>
      <c r="G85" s="41">
        <v>4.4807647654625642</v>
      </c>
      <c r="H85" s="41">
        <v>4.4807647654625642</v>
      </c>
      <c r="I85" s="41">
        <v>4.4807647654625642</v>
      </c>
      <c r="J85" s="41">
        <v>4.4807647654625642</v>
      </c>
      <c r="K85" s="41">
        <v>4.4807647654625642</v>
      </c>
      <c r="L85" s="41">
        <v>4.4807647654625642</v>
      </c>
      <c r="M85" s="41">
        <v>4.4807647654625642</v>
      </c>
      <c r="N85" s="41">
        <v>4.4807647654625642</v>
      </c>
      <c r="O85" s="41">
        <v>4.2873983137370137</v>
      </c>
      <c r="P85" s="41">
        <v>3.3116198028808568</v>
      </c>
      <c r="Q85" s="41">
        <v>3.9848753614033661</v>
      </c>
      <c r="R85" s="41">
        <v>3.9848753614033661</v>
      </c>
      <c r="S85" s="41">
        <v>3.9848753614033661</v>
      </c>
      <c r="T85" s="41">
        <v>3.9848753614033661</v>
      </c>
      <c r="U85" s="41">
        <v>3.9848753614033661</v>
      </c>
      <c r="V85" s="41">
        <v>3.9848753614033661</v>
      </c>
      <c r="W85" s="41">
        <v>3.9848753614033661</v>
      </c>
      <c r="X85" s="41">
        <v>3.9848753614033661</v>
      </c>
      <c r="Y85" s="41">
        <v>3.9848753614033661</v>
      </c>
      <c r="Z85" s="41">
        <v>3.9848753614033661</v>
      </c>
      <c r="AA85" s="41">
        <v>3.9848753614033661</v>
      </c>
      <c r="AB85" s="41">
        <v>3.9848753614033661</v>
      </c>
      <c r="AC85" s="41">
        <v>3.9848753614033661</v>
      </c>
      <c r="AD85" s="41">
        <v>3.9848753614033661</v>
      </c>
      <c r="AE85" s="42">
        <v>3.9848753614033661</v>
      </c>
    </row>
    <row r="86" spans="2:32">
      <c r="B86" s="16" t="s">
        <v>88</v>
      </c>
      <c r="C86" s="36" t="s">
        <v>157</v>
      </c>
      <c r="D86" s="36" t="s">
        <v>220</v>
      </c>
      <c r="E86" s="36" t="s">
        <v>199</v>
      </c>
      <c r="F86" s="41">
        <v>16.3</v>
      </c>
      <c r="G86" s="41">
        <v>16.3</v>
      </c>
      <c r="H86" s="41">
        <v>16.3</v>
      </c>
      <c r="I86" s="41">
        <v>16.3</v>
      </c>
      <c r="J86" s="41">
        <v>16.3</v>
      </c>
      <c r="K86" s="41">
        <v>16.3</v>
      </c>
      <c r="L86" s="41">
        <v>16.3</v>
      </c>
      <c r="M86" s="41">
        <v>16.3</v>
      </c>
      <c r="N86" s="41">
        <v>16.3</v>
      </c>
      <c r="O86" s="41">
        <v>16.3</v>
      </c>
      <c r="P86" s="41">
        <v>16.3</v>
      </c>
      <c r="Q86" s="41">
        <v>16.3</v>
      </c>
      <c r="R86" s="41">
        <v>16.3</v>
      </c>
      <c r="S86" s="41">
        <v>16.3</v>
      </c>
      <c r="T86" s="41">
        <v>16.3</v>
      </c>
      <c r="U86" s="41">
        <v>16.3</v>
      </c>
      <c r="V86" s="41">
        <v>16.3</v>
      </c>
      <c r="W86" s="41">
        <v>16.3</v>
      </c>
      <c r="X86" s="41">
        <v>16.3</v>
      </c>
      <c r="Y86" s="41">
        <v>16.3</v>
      </c>
      <c r="Z86" s="41">
        <v>16.3</v>
      </c>
      <c r="AA86" s="41">
        <v>16.3</v>
      </c>
      <c r="AB86" s="41">
        <v>16.3</v>
      </c>
      <c r="AC86" s="41">
        <v>16.3</v>
      </c>
      <c r="AD86" s="41">
        <v>16.3</v>
      </c>
      <c r="AE86" s="42">
        <v>16.3</v>
      </c>
    </row>
    <row r="87" spans="2:32">
      <c r="B87" s="16" t="s">
        <v>81</v>
      </c>
      <c r="C87" s="36" t="s">
        <v>157</v>
      </c>
      <c r="D87" s="36" t="s">
        <v>191</v>
      </c>
      <c r="E87" s="36" t="s">
        <v>200</v>
      </c>
      <c r="F87" s="41">
        <v>0</v>
      </c>
      <c r="G87" s="41">
        <v>0</v>
      </c>
      <c r="H87" s="41">
        <v>0</v>
      </c>
      <c r="I87" s="41">
        <v>0</v>
      </c>
      <c r="J87" s="41">
        <v>0</v>
      </c>
      <c r="K87" s="41">
        <v>0</v>
      </c>
      <c r="L87" s="41">
        <v>0</v>
      </c>
      <c r="M87" s="41">
        <v>0</v>
      </c>
      <c r="N87" s="41">
        <v>0</v>
      </c>
      <c r="O87" s="41">
        <v>0</v>
      </c>
      <c r="P87" s="41">
        <v>0</v>
      </c>
      <c r="Q87" s="41">
        <v>0</v>
      </c>
      <c r="R87" s="41">
        <v>0</v>
      </c>
      <c r="S87" s="41">
        <v>0</v>
      </c>
      <c r="T87" s="41">
        <v>0</v>
      </c>
      <c r="U87" s="41">
        <v>0</v>
      </c>
      <c r="V87" s="41">
        <v>0</v>
      </c>
      <c r="W87" s="41">
        <v>0</v>
      </c>
      <c r="X87" s="41">
        <v>0</v>
      </c>
      <c r="Y87" s="41">
        <v>0</v>
      </c>
      <c r="Z87" s="41">
        <v>0</v>
      </c>
      <c r="AA87" s="41">
        <v>0</v>
      </c>
      <c r="AB87" s="41">
        <v>0</v>
      </c>
      <c r="AC87" s="41">
        <v>0</v>
      </c>
      <c r="AD87" s="41">
        <v>0</v>
      </c>
      <c r="AE87" s="42">
        <v>0</v>
      </c>
    </row>
    <row r="88" spans="2:32">
      <c r="B88" s="16" t="s">
        <v>81</v>
      </c>
      <c r="C88" s="36" t="s">
        <v>157</v>
      </c>
      <c r="D88" s="36" t="s">
        <v>191</v>
      </c>
      <c r="E88" s="36" t="s">
        <v>201</v>
      </c>
      <c r="F88" s="41">
        <v>0</v>
      </c>
      <c r="G88" s="41">
        <v>0</v>
      </c>
      <c r="H88" s="41">
        <v>0</v>
      </c>
      <c r="I88" s="41">
        <v>0</v>
      </c>
      <c r="J88" s="41">
        <v>0</v>
      </c>
      <c r="K88" s="41">
        <v>0</v>
      </c>
      <c r="L88" s="41">
        <v>0</v>
      </c>
      <c r="M88" s="41">
        <v>0</v>
      </c>
      <c r="N88" s="41">
        <v>0</v>
      </c>
      <c r="O88" s="41">
        <v>0</v>
      </c>
      <c r="P88" s="41">
        <v>0</v>
      </c>
      <c r="Q88" s="41">
        <v>0</v>
      </c>
      <c r="R88" s="41">
        <v>0</v>
      </c>
      <c r="S88" s="41">
        <v>0</v>
      </c>
      <c r="T88" s="41">
        <v>0</v>
      </c>
      <c r="U88" s="41">
        <v>0</v>
      </c>
      <c r="V88" s="41">
        <v>0</v>
      </c>
      <c r="W88" s="41">
        <v>0</v>
      </c>
      <c r="X88" s="41">
        <v>0</v>
      </c>
      <c r="Y88" s="41">
        <v>0</v>
      </c>
      <c r="Z88" s="41">
        <v>0</v>
      </c>
      <c r="AA88" s="41">
        <v>0</v>
      </c>
      <c r="AB88" s="41">
        <v>0</v>
      </c>
      <c r="AC88" s="41">
        <v>0</v>
      </c>
      <c r="AD88" s="41">
        <v>0</v>
      </c>
      <c r="AE88" s="42">
        <v>0</v>
      </c>
    </row>
    <row r="89" spans="2:32">
      <c r="B89" s="16" t="s">
        <v>193</v>
      </c>
      <c r="C89" s="36" t="s">
        <v>157</v>
      </c>
      <c r="D89" s="36" t="s">
        <v>192</v>
      </c>
      <c r="E89" s="36" t="s">
        <v>202</v>
      </c>
      <c r="F89" s="41">
        <v>0</v>
      </c>
      <c r="G89" s="41">
        <v>0</v>
      </c>
      <c r="H89" s="41">
        <v>0</v>
      </c>
      <c r="I89" s="41">
        <v>0</v>
      </c>
      <c r="J89" s="41">
        <v>0</v>
      </c>
      <c r="K89" s="41">
        <v>0</v>
      </c>
      <c r="L89" s="41">
        <v>0</v>
      </c>
      <c r="M89" s="41">
        <v>0</v>
      </c>
      <c r="N89" s="41">
        <v>0</v>
      </c>
      <c r="O89" s="41">
        <v>0</v>
      </c>
      <c r="P89" s="41">
        <v>0</v>
      </c>
      <c r="Q89" s="41">
        <v>0</v>
      </c>
      <c r="R89" s="41">
        <v>0</v>
      </c>
      <c r="S89" s="41">
        <v>0</v>
      </c>
      <c r="T89" s="41">
        <v>0</v>
      </c>
      <c r="U89" s="41">
        <v>0</v>
      </c>
      <c r="V89" s="41">
        <v>0</v>
      </c>
      <c r="W89" s="41">
        <v>0</v>
      </c>
      <c r="X89" s="41">
        <v>0</v>
      </c>
      <c r="Y89" s="41">
        <v>0</v>
      </c>
      <c r="Z89" s="41">
        <v>0</v>
      </c>
      <c r="AA89" s="41">
        <v>0</v>
      </c>
      <c r="AB89" s="41">
        <v>0</v>
      </c>
      <c r="AC89" s="41">
        <v>0</v>
      </c>
      <c r="AD89" s="41">
        <v>0</v>
      </c>
      <c r="AE89" s="42">
        <v>0</v>
      </c>
    </row>
    <row r="90" spans="2:32">
      <c r="B90" s="16" t="s">
        <v>193</v>
      </c>
      <c r="C90" s="36" t="s">
        <v>157</v>
      </c>
      <c r="D90" s="36" t="s">
        <v>192</v>
      </c>
      <c r="E90" s="36" t="s">
        <v>203</v>
      </c>
      <c r="F90" s="41">
        <v>713.10887332979996</v>
      </c>
      <c r="G90" s="41">
        <v>699.75960250076014</v>
      </c>
      <c r="H90" s="41">
        <v>736.50348497408072</v>
      </c>
      <c r="I90" s="41">
        <v>801.80400682853133</v>
      </c>
      <c r="J90" s="41">
        <v>883.13642809967564</v>
      </c>
      <c r="K90" s="41">
        <v>874.57175890749045</v>
      </c>
      <c r="L90" s="41">
        <v>824.97796936819987</v>
      </c>
      <c r="M90" s="41">
        <v>775.76741248428834</v>
      </c>
      <c r="N90" s="41">
        <v>753.92003052583027</v>
      </c>
      <c r="O90" s="41">
        <v>796.96985310197272</v>
      </c>
      <c r="P90" s="41">
        <v>735.29581033893191</v>
      </c>
      <c r="Q90" s="41">
        <v>682.98298374602746</v>
      </c>
      <c r="R90" s="41">
        <v>685.57</v>
      </c>
      <c r="S90" s="41">
        <v>638.6</v>
      </c>
      <c r="T90" s="41">
        <v>586.91</v>
      </c>
      <c r="U90" s="41">
        <v>541.05999999999995</v>
      </c>
      <c r="V90" s="41">
        <v>317.37</v>
      </c>
      <c r="W90" s="41">
        <v>323.52</v>
      </c>
      <c r="X90" s="41">
        <v>341.26</v>
      </c>
      <c r="Y90" s="41">
        <v>359.94</v>
      </c>
      <c r="Z90" s="41">
        <v>379.08</v>
      </c>
      <c r="AA90" s="41">
        <v>381.88</v>
      </c>
      <c r="AB90" s="41">
        <v>357.9</v>
      </c>
      <c r="AC90" s="41">
        <v>335</v>
      </c>
      <c r="AD90" s="41">
        <v>311.81</v>
      </c>
      <c r="AE90" s="42">
        <v>286.07</v>
      </c>
    </row>
    <row r="91" spans="2:32">
      <c r="B91" s="16" t="s">
        <v>193</v>
      </c>
      <c r="C91" s="36" t="s">
        <v>157</v>
      </c>
      <c r="D91" s="36" t="s">
        <v>192</v>
      </c>
      <c r="E91" s="36" t="s">
        <v>204</v>
      </c>
      <c r="F91" s="41">
        <v>59.186219034538041</v>
      </c>
      <c r="G91" s="41">
        <v>64.632767985229364</v>
      </c>
      <c r="H91" s="41">
        <v>51.271884045420478</v>
      </c>
      <c r="I91" s="41">
        <v>34.705781533349736</v>
      </c>
      <c r="J91" s="41">
        <v>12.588612073666091</v>
      </c>
      <c r="K91" s="41">
        <v>22.093943238145517</v>
      </c>
      <c r="L91" s="41">
        <v>69.208333628240837</v>
      </c>
      <c r="M91" s="41">
        <v>92.376489612524836</v>
      </c>
      <c r="N91" s="41">
        <v>92.112073053208121</v>
      </c>
      <c r="O91" s="41">
        <v>85.703651555256656</v>
      </c>
      <c r="P91" s="41">
        <v>85.165860315981391</v>
      </c>
      <c r="Q91" s="41">
        <v>88.949461306124121</v>
      </c>
      <c r="R91" s="41">
        <v>91.65</v>
      </c>
      <c r="S91" s="41">
        <v>89.88</v>
      </c>
      <c r="T91" s="41">
        <v>91.46</v>
      </c>
      <c r="U91" s="41">
        <v>90.16</v>
      </c>
      <c r="V91" s="41">
        <v>91.68</v>
      </c>
      <c r="W91" s="41">
        <v>90.04</v>
      </c>
      <c r="X91" s="41">
        <v>91.36</v>
      </c>
      <c r="Y91" s="41">
        <v>90.61</v>
      </c>
      <c r="Z91" s="41">
        <v>91.51</v>
      </c>
      <c r="AA91" s="41">
        <v>90.24</v>
      </c>
      <c r="AB91" s="41">
        <v>91.39</v>
      </c>
      <c r="AC91" s="41">
        <v>90.45</v>
      </c>
      <c r="AD91" s="41">
        <v>91.37</v>
      </c>
      <c r="AE91" s="42">
        <v>90.76</v>
      </c>
    </row>
    <row r="92" spans="2:32">
      <c r="B92" s="16" t="s">
        <v>193</v>
      </c>
      <c r="C92" s="36" t="s">
        <v>157</v>
      </c>
      <c r="D92" s="36" t="s">
        <v>192</v>
      </c>
      <c r="E92" s="36" t="s">
        <v>205</v>
      </c>
      <c r="F92" s="41">
        <v>0</v>
      </c>
      <c r="G92" s="41">
        <v>0</v>
      </c>
      <c r="H92" s="41">
        <v>0</v>
      </c>
      <c r="I92" s="41">
        <v>0</v>
      </c>
      <c r="J92" s="41">
        <v>0</v>
      </c>
      <c r="K92" s="41">
        <v>0</v>
      </c>
      <c r="L92" s="41">
        <v>0</v>
      </c>
      <c r="M92" s="41">
        <v>0</v>
      </c>
      <c r="N92" s="41">
        <v>0</v>
      </c>
      <c r="O92" s="41">
        <v>0</v>
      </c>
      <c r="P92" s="41">
        <v>0</v>
      </c>
      <c r="Q92" s="41">
        <v>0</v>
      </c>
      <c r="R92" s="41">
        <v>0</v>
      </c>
      <c r="S92" s="41">
        <v>0</v>
      </c>
      <c r="T92" s="41">
        <v>0</v>
      </c>
      <c r="U92" s="41">
        <v>0</v>
      </c>
      <c r="V92" s="41">
        <v>0</v>
      </c>
      <c r="W92" s="41">
        <v>0</v>
      </c>
      <c r="X92" s="41">
        <v>0</v>
      </c>
      <c r="Y92" s="41">
        <v>0</v>
      </c>
      <c r="Z92" s="41">
        <v>0</v>
      </c>
      <c r="AA92" s="41">
        <v>0</v>
      </c>
      <c r="AB92" s="41">
        <v>0</v>
      </c>
      <c r="AC92" s="41">
        <v>0</v>
      </c>
      <c r="AD92" s="41">
        <v>0</v>
      </c>
      <c r="AE92" s="42">
        <v>0</v>
      </c>
    </row>
    <row r="93" spans="2:32">
      <c r="B93" s="16" t="s">
        <v>193</v>
      </c>
      <c r="C93" s="36" t="s">
        <v>157</v>
      </c>
      <c r="D93" s="36" t="s">
        <v>192</v>
      </c>
      <c r="E93" s="36" t="s">
        <v>206</v>
      </c>
      <c r="F93" s="41">
        <v>0</v>
      </c>
      <c r="G93" s="41">
        <v>0</v>
      </c>
      <c r="H93" s="41">
        <v>0</v>
      </c>
      <c r="I93" s="41">
        <v>0</v>
      </c>
      <c r="J93" s="41">
        <v>0</v>
      </c>
      <c r="K93" s="41">
        <v>0</v>
      </c>
      <c r="L93" s="41">
        <v>0</v>
      </c>
      <c r="M93" s="41">
        <v>0</v>
      </c>
      <c r="N93" s="41">
        <v>0</v>
      </c>
      <c r="O93" s="41">
        <v>0.12451092049162038</v>
      </c>
      <c r="P93" s="41">
        <v>0</v>
      </c>
      <c r="Q93" s="41">
        <v>3.9361462349684806</v>
      </c>
      <c r="R93" s="41">
        <v>0</v>
      </c>
      <c r="S93" s="41">
        <v>0</v>
      </c>
      <c r="T93" s="41">
        <v>0</v>
      </c>
      <c r="U93" s="41">
        <v>0</v>
      </c>
      <c r="V93" s="41">
        <v>0</v>
      </c>
      <c r="W93" s="41">
        <v>0</v>
      </c>
      <c r="X93" s="41">
        <v>0</v>
      </c>
      <c r="Y93" s="41">
        <v>0</v>
      </c>
      <c r="Z93" s="41">
        <v>0</v>
      </c>
      <c r="AA93" s="41">
        <v>0</v>
      </c>
      <c r="AB93" s="41">
        <v>0</v>
      </c>
      <c r="AC93" s="41">
        <v>0</v>
      </c>
      <c r="AD93" s="41">
        <v>0</v>
      </c>
      <c r="AE93" s="42">
        <v>0</v>
      </c>
    </row>
    <row r="94" spans="2:32">
      <c r="B94" s="16" t="s">
        <v>193</v>
      </c>
      <c r="C94" s="36" t="s">
        <v>157</v>
      </c>
      <c r="D94" s="36" t="s">
        <v>192</v>
      </c>
      <c r="E94" s="36" t="s">
        <v>207</v>
      </c>
      <c r="F94" s="41">
        <v>0</v>
      </c>
      <c r="G94" s="41">
        <v>0</v>
      </c>
      <c r="H94" s="41">
        <v>0</v>
      </c>
      <c r="I94" s="41">
        <v>0</v>
      </c>
      <c r="J94" s="41">
        <v>0</v>
      </c>
      <c r="K94" s="41">
        <v>0</v>
      </c>
      <c r="L94" s="41">
        <v>0</v>
      </c>
      <c r="M94" s="41">
        <v>0</v>
      </c>
      <c r="N94" s="41">
        <v>0</v>
      </c>
      <c r="O94" s="41">
        <v>0.17331841572061829</v>
      </c>
      <c r="P94" s="41">
        <v>0</v>
      </c>
      <c r="Q94" s="41">
        <v>0</v>
      </c>
      <c r="R94" s="41">
        <v>0</v>
      </c>
      <c r="S94" s="41">
        <v>0</v>
      </c>
      <c r="T94" s="41">
        <v>0</v>
      </c>
      <c r="U94" s="41">
        <v>0</v>
      </c>
      <c r="V94" s="41">
        <v>0</v>
      </c>
      <c r="W94" s="41">
        <v>0</v>
      </c>
      <c r="X94" s="41">
        <v>0</v>
      </c>
      <c r="Y94" s="41">
        <v>0</v>
      </c>
      <c r="Z94" s="41">
        <v>0</v>
      </c>
      <c r="AA94" s="41">
        <v>0</v>
      </c>
      <c r="AB94" s="41">
        <v>0</v>
      </c>
      <c r="AC94" s="41">
        <v>0</v>
      </c>
      <c r="AD94" s="41">
        <v>0</v>
      </c>
      <c r="AE94" s="42">
        <v>0</v>
      </c>
    </row>
    <row r="95" spans="2:32">
      <c r="B95" s="16" t="s">
        <v>193</v>
      </c>
      <c r="C95" s="36" t="s">
        <v>157</v>
      </c>
      <c r="D95" s="36" t="s">
        <v>192</v>
      </c>
      <c r="E95" s="36" t="s">
        <v>208</v>
      </c>
      <c r="F95" s="41">
        <v>33.213496799524926</v>
      </c>
      <c r="G95" s="41">
        <v>34.682555311811605</v>
      </c>
      <c r="H95" s="41">
        <v>35.443214067185345</v>
      </c>
      <c r="I95" s="41">
        <v>35.901931942563401</v>
      </c>
      <c r="J95" s="41">
        <v>35.61741072872131</v>
      </c>
      <c r="K95" s="41">
        <v>32.104444721079254</v>
      </c>
      <c r="L95" s="41">
        <v>29.886340564187904</v>
      </c>
      <c r="M95" s="41">
        <v>33.016073916450829</v>
      </c>
      <c r="N95" s="41">
        <v>30.911147622538447</v>
      </c>
      <c r="O95" s="41">
        <v>31.780154282943105</v>
      </c>
      <c r="P95" s="41">
        <v>29.868855667073657</v>
      </c>
      <c r="Q95" s="41">
        <v>32.50662425289385</v>
      </c>
      <c r="R95" s="41">
        <v>34.889800000000001</v>
      </c>
      <c r="S95" s="41">
        <v>34.900599999999997</v>
      </c>
      <c r="T95" s="41">
        <v>34.8977</v>
      </c>
      <c r="U95" s="41">
        <v>34.913600000000002</v>
      </c>
      <c r="V95" s="41">
        <v>34.922600000000003</v>
      </c>
      <c r="W95" s="41">
        <v>34.911099999999998</v>
      </c>
      <c r="X95" s="41">
        <v>34.919600000000003</v>
      </c>
      <c r="Y95" s="41">
        <v>34.938600000000001</v>
      </c>
      <c r="Z95" s="41">
        <v>34.935000000000002</v>
      </c>
      <c r="AA95" s="41">
        <v>34.922600000000003</v>
      </c>
      <c r="AB95" s="41">
        <v>34.938299999999998</v>
      </c>
      <c r="AC95" s="41">
        <v>34.9313</v>
      </c>
      <c r="AD95" s="41">
        <v>34.942500000000003</v>
      </c>
      <c r="AE95" s="42">
        <v>34.942100000000003</v>
      </c>
    </row>
    <row r="96" spans="2:32">
      <c r="B96" s="16" t="s">
        <v>89</v>
      </c>
      <c r="C96" s="36" t="s">
        <v>157</v>
      </c>
      <c r="D96" s="36" t="s">
        <v>187</v>
      </c>
      <c r="E96" s="36" t="s">
        <v>209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1">
        <v>0</v>
      </c>
      <c r="P96" s="41">
        <v>0</v>
      </c>
      <c r="Q96" s="41">
        <v>0</v>
      </c>
      <c r="R96" s="41">
        <v>0</v>
      </c>
      <c r="S96" s="41">
        <v>0</v>
      </c>
      <c r="T96" s="41">
        <v>0</v>
      </c>
      <c r="U96" s="41">
        <v>0</v>
      </c>
      <c r="V96" s="41">
        <v>0</v>
      </c>
      <c r="W96" s="41">
        <v>0</v>
      </c>
      <c r="X96" s="41">
        <v>0</v>
      </c>
      <c r="Y96" s="41">
        <v>0</v>
      </c>
      <c r="Z96" s="41">
        <v>0</v>
      </c>
      <c r="AA96" s="41">
        <v>0</v>
      </c>
      <c r="AB96" s="41">
        <v>0</v>
      </c>
      <c r="AC96" s="41">
        <v>0</v>
      </c>
      <c r="AD96" s="41">
        <v>0</v>
      </c>
      <c r="AE96" s="42">
        <v>0</v>
      </c>
    </row>
    <row r="97" spans="2:31">
      <c r="B97" s="16" t="s">
        <v>89</v>
      </c>
      <c r="C97" s="36" t="s">
        <v>157</v>
      </c>
      <c r="D97" s="36" t="s">
        <v>187</v>
      </c>
      <c r="E97" s="36" t="s">
        <v>210</v>
      </c>
      <c r="F97" s="41">
        <v>0</v>
      </c>
      <c r="G97" s="41">
        <v>0</v>
      </c>
      <c r="H97" s="41">
        <v>0</v>
      </c>
      <c r="I97" s="41">
        <v>0</v>
      </c>
      <c r="J97" s="41">
        <v>0</v>
      </c>
      <c r="K97" s="41">
        <v>0</v>
      </c>
      <c r="L97" s="41">
        <v>0</v>
      </c>
      <c r="M97" s="41">
        <v>0</v>
      </c>
      <c r="N97" s="41">
        <v>0</v>
      </c>
      <c r="O97" s="41">
        <v>0</v>
      </c>
      <c r="P97" s="41">
        <v>0</v>
      </c>
      <c r="Q97" s="41">
        <v>0</v>
      </c>
      <c r="R97" s="41">
        <v>0</v>
      </c>
      <c r="S97" s="41">
        <v>0</v>
      </c>
      <c r="T97" s="41">
        <v>0</v>
      </c>
      <c r="U97" s="41">
        <v>0</v>
      </c>
      <c r="V97" s="41">
        <v>0</v>
      </c>
      <c r="W97" s="41">
        <v>0</v>
      </c>
      <c r="X97" s="41">
        <v>0</v>
      </c>
      <c r="Y97" s="41">
        <v>0</v>
      </c>
      <c r="Z97" s="41">
        <v>0</v>
      </c>
      <c r="AA97" s="41">
        <v>0</v>
      </c>
      <c r="AB97" s="41">
        <v>0</v>
      </c>
      <c r="AC97" s="41">
        <v>0</v>
      </c>
      <c r="AD97" s="41">
        <v>0</v>
      </c>
      <c r="AE97" s="42">
        <v>0</v>
      </c>
    </row>
    <row r="98" spans="2:31">
      <c r="B98" s="16" t="s">
        <v>89</v>
      </c>
      <c r="C98" s="36" t="s">
        <v>157</v>
      </c>
      <c r="D98" s="36" t="s">
        <v>187</v>
      </c>
      <c r="E98" s="36" t="s">
        <v>213</v>
      </c>
      <c r="F98" s="41">
        <v>1.6162785786570382</v>
      </c>
      <c r="G98" s="41">
        <v>1.6162785786570382</v>
      </c>
      <c r="H98" s="41">
        <v>1.6162785786570382</v>
      </c>
      <c r="I98" s="41">
        <v>1.6162785786570382</v>
      </c>
      <c r="J98" s="41">
        <v>1.6162785786570382</v>
      </c>
      <c r="K98" s="41">
        <v>1.6162785786570382</v>
      </c>
      <c r="L98" s="41">
        <v>1.6162785786570382</v>
      </c>
      <c r="M98" s="41">
        <v>1.6162785786570382</v>
      </c>
      <c r="N98" s="41">
        <v>1.6162785786570382</v>
      </c>
      <c r="O98" s="41">
        <v>1.5668813159082935</v>
      </c>
      <c r="P98" s="41">
        <v>1.4792549398191686</v>
      </c>
      <c r="Q98" s="41">
        <v>1.5084116925338837</v>
      </c>
      <c r="R98" s="41">
        <v>1.5084116925338837</v>
      </c>
      <c r="S98" s="41">
        <v>1.5084116925338837</v>
      </c>
      <c r="T98" s="41">
        <v>1.5084116925338837</v>
      </c>
      <c r="U98" s="41">
        <v>1.5084116925338837</v>
      </c>
      <c r="V98" s="41">
        <v>1.5084116925338837</v>
      </c>
      <c r="W98" s="41">
        <v>1.5084116925338837</v>
      </c>
      <c r="X98" s="41">
        <v>1.5084116925338837</v>
      </c>
      <c r="Y98" s="41">
        <v>1.5084116925338837</v>
      </c>
      <c r="Z98" s="41">
        <v>1.5084116925338837</v>
      </c>
      <c r="AA98" s="41">
        <v>1.5084116925338837</v>
      </c>
      <c r="AB98" s="41">
        <v>1.5084116925338837</v>
      </c>
      <c r="AC98" s="41">
        <v>1.5084116925338837</v>
      </c>
      <c r="AD98" s="41">
        <v>1.5084116925338837</v>
      </c>
      <c r="AE98" s="42">
        <v>1.5084116925338837</v>
      </c>
    </row>
    <row r="99" spans="2:31">
      <c r="B99" s="16" t="s">
        <v>80</v>
      </c>
      <c r="C99" s="36" t="s">
        <v>157</v>
      </c>
      <c r="D99" s="36" t="s">
        <v>186</v>
      </c>
      <c r="E99" s="36" t="s">
        <v>214</v>
      </c>
      <c r="F99" s="41">
        <v>0</v>
      </c>
      <c r="G99" s="41">
        <v>0</v>
      </c>
      <c r="H99" s="41">
        <v>0</v>
      </c>
      <c r="I99" s="41">
        <v>2.9032776922661651E-3</v>
      </c>
      <c r="J99" s="41">
        <v>2.9032776922661651E-3</v>
      </c>
      <c r="K99" s="41">
        <v>1.2774421845971128E-2</v>
      </c>
      <c r="L99" s="41">
        <v>1.9161632768956688E-2</v>
      </c>
      <c r="M99" s="41">
        <v>2.0322943845863157E-2</v>
      </c>
      <c r="N99" s="41">
        <v>2.1965065231681419E-2</v>
      </c>
      <c r="O99" s="41">
        <v>2.0567028672531788E-2</v>
      </c>
      <c r="P99" s="41">
        <v>1.9008262653815083E-2</v>
      </c>
      <c r="Q99" s="41">
        <v>2.3492363900933837E-2</v>
      </c>
      <c r="R99" s="41">
        <v>3.5442220787604901E-2</v>
      </c>
      <c r="S99" s="41">
        <v>0.02</v>
      </c>
      <c r="T99" s="41">
        <v>0.02</v>
      </c>
      <c r="U99" s="41">
        <v>0.02</v>
      </c>
      <c r="V99" s="41">
        <v>0.03</v>
      </c>
      <c r="W99" s="41">
        <v>0.03</v>
      </c>
      <c r="X99" s="41">
        <v>0.03</v>
      </c>
      <c r="Y99" s="41">
        <v>0.03</v>
      </c>
      <c r="Z99" s="41">
        <v>0.03</v>
      </c>
      <c r="AA99" s="41">
        <v>0.03</v>
      </c>
      <c r="AB99" s="41">
        <v>0.03</v>
      </c>
      <c r="AC99" s="41">
        <v>0.03</v>
      </c>
      <c r="AD99" s="41">
        <v>0.03</v>
      </c>
      <c r="AE99" s="42">
        <v>0.03</v>
      </c>
    </row>
    <row r="100" spans="2:31">
      <c r="B100" s="16" t="s">
        <v>85</v>
      </c>
      <c r="C100" s="36" t="s">
        <v>157</v>
      </c>
      <c r="D100" s="36" t="s">
        <v>188</v>
      </c>
      <c r="E100" s="36" t="s">
        <v>215</v>
      </c>
      <c r="F100" s="41">
        <v>0.35071594522575272</v>
      </c>
      <c r="G100" s="41">
        <v>0.36871626691780296</v>
      </c>
      <c r="H100" s="41">
        <v>0.43374968722456508</v>
      </c>
      <c r="I100" s="41">
        <v>0.33852217891823483</v>
      </c>
      <c r="J100" s="41">
        <v>0.31007005753402644</v>
      </c>
      <c r="K100" s="41">
        <v>0.37742609999460147</v>
      </c>
      <c r="L100" s="41">
        <v>0.36871626691780296</v>
      </c>
      <c r="M100" s="41">
        <v>0.39774904384046461</v>
      </c>
      <c r="N100" s="41">
        <v>0.37022597131778134</v>
      </c>
      <c r="O100" s="41">
        <v>0.36906466024087492</v>
      </c>
      <c r="P100" s="41">
        <v>0.18720334559732232</v>
      </c>
      <c r="Q100" s="41">
        <v>0.18720334559732232</v>
      </c>
      <c r="R100" s="41">
        <v>0.36</v>
      </c>
      <c r="S100" s="41">
        <v>0.38</v>
      </c>
      <c r="T100" s="41">
        <v>0.39</v>
      </c>
      <c r="U100" s="41">
        <v>0.4</v>
      </c>
      <c r="V100" s="41">
        <v>0.41</v>
      </c>
      <c r="W100" s="41">
        <v>0.42</v>
      </c>
      <c r="X100" s="41">
        <v>0.43</v>
      </c>
      <c r="Y100" s="41">
        <v>0.44</v>
      </c>
      <c r="Z100" s="41">
        <v>0.45</v>
      </c>
      <c r="AA100" s="41">
        <v>0.47</v>
      </c>
      <c r="AB100" s="41">
        <v>0.48</v>
      </c>
      <c r="AC100" s="41">
        <v>0.49</v>
      </c>
      <c r="AD100" s="41">
        <v>0.5</v>
      </c>
      <c r="AE100" s="42">
        <v>0.51</v>
      </c>
    </row>
    <row r="101" spans="2:31">
      <c r="B101" s="16" t="s">
        <v>85</v>
      </c>
      <c r="C101" s="36" t="s">
        <v>157</v>
      </c>
      <c r="D101" s="36" t="s">
        <v>188</v>
      </c>
      <c r="E101" s="36" t="s">
        <v>165</v>
      </c>
      <c r="F101" s="41">
        <v>2.6988869427306272</v>
      </c>
      <c r="G101" s="41">
        <v>0</v>
      </c>
      <c r="H101" s="41">
        <v>4.4565312576285638</v>
      </c>
      <c r="I101" s="41">
        <v>4.5233066445506855</v>
      </c>
      <c r="J101" s="41">
        <v>4.9855084531594587</v>
      </c>
      <c r="K101" s="41">
        <v>5.9615904132993434</v>
      </c>
      <c r="L101" s="41">
        <v>11.28794366753085</v>
      </c>
      <c r="M101" s="41">
        <v>11.991117524597714</v>
      </c>
      <c r="N101" s="41">
        <v>11.479559995220416</v>
      </c>
      <c r="O101" s="41">
        <v>11.546335382142539</v>
      </c>
      <c r="P101" s="41">
        <v>9.8560471097051785</v>
      </c>
      <c r="Q101" s="41">
        <v>11.926664759829405</v>
      </c>
      <c r="R101" s="41">
        <v>12.25</v>
      </c>
      <c r="S101" s="41">
        <v>12.63</v>
      </c>
      <c r="T101" s="41">
        <v>13.01</v>
      </c>
      <c r="U101" s="41">
        <v>13.36</v>
      </c>
      <c r="V101" s="41">
        <v>13.67</v>
      </c>
      <c r="W101" s="41">
        <v>14.1</v>
      </c>
      <c r="X101" s="41">
        <v>14.5</v>
      </c>
      <c r="Y101" s="41">
        <v>14.82</v>
      </c>
      <c r="Z101" s="41">
        <v>15.17</v>
      </c>
      <c r="AA101" s="41">
        <v>15.65</v>
      </c>
      <c r="AB101" s="41">
        <v>16.04</v>
      </c>
      <c r="AC101" s="41">
        <v>16.5</v>
      </c>
      <c r="AD101" s="41">
        <v>16.899999999999999</v>
      </c>
      <c r="AE101" s="42">
        <v>17.29</v>
      </c>
    </row>
    <row r="102" spans="2:31">
      <c r="B102" s="16" t="s">
        <v>85</v>
      </c>
      <c r="C102" s="36" t="s">
        <v>157</v>
      </c>
      <c r="D102" s="36" t="s">
        <v>188</v>
      </c>
      <c r="E102" s="36" t="s">
        <v>166</v>
      </c>
      <c r="F102" s="41">
        <v>1.0451799692158195E-2</v>
      </c>
      <c r="G102" s="41">
        <v>1.3935732922877591E-2</v>
      </c>
      <c r="H102" s="41">
        <v>1.9161632768956688E-2</v>
      </c>
      <c r="I102" s="41">
        <v>2.0322943845863157E-2</v>
      </c>
      <c r="J102" s="41">
        <v>2.1484254922769622E-2</v>
      </c>
      <c r="K102" s="41">
        <v>2.1484254922769622E-2</v>
      </c>
      <c r="L102" s="41">
        <v>2.090359938431639E-2</v>
      </c>
      <c r="M102" s="41">
        <v>2.4387532615035786E-2</v>
      </c>
      <c r="N102" s="41">
        <v>3.077474353802135E-2</v>
      </c>
      <c r="O102" s="41">
        <v>3.4839332307193978E-3</v>
      </c>
      <c r="P102" s="41">
        <v>9.8711441537049603E-3</v>
      </c>
      <c r="Q102" s="41">
        <v>1.9742288307409921E-2</v>
      </c>
      <c r="R102" s="41">
        <v>0.02</v>
      </c>
      <c r="S102" s="41">
        <v>0.02</v>
      </c>
      <c r="T102" s="41">
        <v>0.02</v>
      </c>
      <c r="U102" s="41">
        <v>0.02</v>
      </c>
      <c r="V102" s="41">
        <v>0.02</v>
      </c>
      <c r="W102" s="41">
        <v>0.02</v>
      </c>
      <c r="X102" s="41">
        <v>0.02</v>
      </c>
      <c r="Y102" s="41">
        <v>0.02</v>
      </c>
      <c r="Z102" s="41">
        <v>0.03</v>
      </c>
      <c r="AA102" s="41">
        <v>0.03</v>
      </c>
      <c r="AB102" s="41">
        <v>0.03</v>
      </c>
      <c r="AC102" s="41">
        <v>0.03</v>
      </c>
      <c r="AD102" s="41">
        <v>0.03</v>
      </c>
      <c r="AE102" s="42">
        <v>0.03</v>
      </c>
    </row>
    <row r="103" spans="2:31" ht="15" thickBot="1">
      <c r="B103" s="17" t="s">
        <v>84</v>
      </c>
      <c r="C103" s="18" t="s">
        <v>157</v>
      </c>
      <c r="D103" s="18" t="s">
        <v>221</v>
      </c>
      <c r="E103" s="18" t="s">
        <v>216</v>
      </c>
      <c r="F103" s="43">
        <v>39.596601919999998</v>
      </c>
      <c r="G103" s="43">
        <v>39.596601919999998</v>
      </c>
      <c r="H103" s="43">
        <v>39.596601919999998</v>
      </c>
      <c r="I103" s="43">
        <v>39.596601919999998</v>
      </c>
      <c r="J103" s="43">
        <v>39.596601919999998</v>
      </c>
      <c r="K103" s="43">
        <v>39.596601919999998</v>
      </c>
      <c r="L103" s="43">
        <v>39.596601919999998</v>
      </c>
      <c r="M103" s="43">
        <v>39.596601919999998</v>
      </c>
      <c r="N103" s="43">
        <v>39.596601919999998</v>
      </c>
      <c r="O103" s="43">
        <v>34.032803080000001</v>
      </c>
      <c r="P103" s="43">
        <v>11.02039993</v>
      </c>
      <c r="Q103" s="43">
        <v>42.307769970000003</v>
      </c>
      <c r="R103" s="43">
        <v>31.739393724999999</v>
      </c>
      <c r="S103" s="43">
        <v>31.739393724999999</v>
      </c>
      <c r="T103" s="43">
        <v>31.739393724999999</v>
      </c>
      <c r="U103" s="43">
        <v>31.739393724999999</v>
      </c>
      <c r="V103" s="43">
        <v>31.739393724999999</v>
      </c>
      <c r="W103" s="43">
        <v>31.739393724999999</v>
      </c>
      <c r="X103" s="43">
        <v>31.739393724999999</v>
      </c>
      <c r="Y103" s="43">
        <v>31.739393724999999</v>
      </c>
      <c r="Z103" s="43">
        <v>31.739393724999999</v>
      </c>
      <c r="AA103" s="43">
        <v>31.739393724999999</v>
      </c>
      <c r="AB103" s="43">
        <v>31.739393724999999</v>
      </c>
      <c r="AC103" s="43">
        <v>31.739393724999999</v>
      </c>
      <c r="AD103" s="43">
        <v>31.739393724999999</v>
      </c>
      <c r="AE103" s="44">
        <v>31.739393724999999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2AE69-92EB-46A5-BD4C-C8F41BD378FE}">
  <dimension ref="C1:AF81"/>
  <sheetViews>
    <sheetView topLeftCell="A45" zoomScale="85" zoomScaleNormal="85" workbookViewId="0">
      <selection activeCell="S36" sqref="S36"/>
    </sheetView>
  </sheetViews>
  <sheetFormatPr baseColWidth="10" defaultColWidth="9.109375" defaultRowHeight="14.4"/>
  <cols>
    <col min="3" max="3" width="14.21875" bestFit="1" customWidth="1"/>
    <col min="4" max="4" width="45.77734375" bestFit="1" customWidth="1"/>
    <col min="5" max="5" width="58.21875" customWidth="1"/>
    <col min="6" max="6" width="58.33203125" customWidth="1"/>
    <col min="7" max="14" width="10.109375" bestFit="1" customWidth="1"/>
    <col min="15" max="18" width="10.88671875" bestFit="1" customWidth="1"/>
    <col min="19" max="32" width="11.6640625" bestFit="1" customWidth="1"/>
    <col min="33" max="33" width="11" bestFit="1" customWidth="1"/>
    <col min="34" max="34" width="17.21875" bestFit="1" customWidth="1"/>
  </cols>
  <sheetData>
    <row r="1" spans="3:32" ht="15" customHeight="1"/>
    <row r="2" spans="3:32" ht="18.600000000000001" thickBot="1">
      <c r="D2" s="22" t="s">
        <v>306</v>
      </c>
    </row>
    <row r="3" spans="3:32" ht="15" thickBot="1">
      <c r="C3" s="5" t="s">
        <v>78</v>
      </c>
      <c r="D3" s="6" t="s">
        <v>0</v>
      </c>
      <c r="E3" s="6" t="s">
        <v>27</v>
      </c>
      <c r="F3" s="6" t="s">
        <v>28</v>
      </c>
      <c r="G3" s="6">
        <v>2010</v>
      </c>
      <c r="H3" s="6">
        <v>2011</v>
      </c>
      <c r="I3" s="6">
        <v>2012</v>
      </c>
      <c r="J3" s="6">
        <v>2013</v>
      </c>
      <c r="K3" s="6">
        <v>2014</v>
      </c>
      <c r="L3" s="6">
        <v>2015</v>
      </c>
      <c r="M3" s="6">
        <v>2016</v>
      </c>
      <c r="N3" s="6">
        <v>2017</v>
      </c>
      <c r="O3" s="6">
        <v>2018</v>
      </c>
      <c r="P3" s="6">
        <v>2019</v>
      </c>
      <c r="Q3" s="6">
        <v>2020</v>
      </c>
      <c r="R3" s="6">
        <v>2021</v>
      </c>
      <c r="S3" s="6">
        <v>2022</v>
      </c>
      <c r="T3" s="6">
        <v>2023</v>
      </c>
      <c r="U3" s="6">
        <v>2024</v>
      </c>
      <c r="V3" s="6">
        <v>2025</v>
      </c>
      <c r="W3" s="6">
        <v>2026</v>
      </c>
      <c r="X3" s="6">
        <v>2027</v>
      </c>
      <c r="Y3" s="6">
        <v>2028</v>
      </c>
      <c r="Z3" s="6">
        <v>2029</v>
      </c>
      <c r="AA3" s="6">
        <v>2030</v>
      </c>
      <c r="AB3" s="6">
        <v>2031</v>
      </c>
      <c r="AC3" s="6">
        <v>2032</v>
      </c>
      <c r="AD3" s="6">
        <v>2033</v>
      </c>
      <c r="AE3" s="6">
        <v>2034</v>
      </c>
      <c r="AF3" s="7">
        <v>2035</v>
      </c>
    </row>
    <row r="4" spans="3:32">
      <c r="C4" s="19" t="s">
        <v>87</v>
      </c>
      <c r="D4" s="60" t="s">
        <v>154</v>
      </c>
      <c r="E4" s="60" t="s">
        <v>286</v>
      </c>
      <c r="F4" s="60" t="s">
        <v>286</v>
      </c>
      <c r="G4" s="37">
        <v>0</v>
      </c>
      <c r="H4" s="37">
        <v>0</v>
      </c>
      <c r="I4" s="37">
        <v>0</v>
      </c>
      <c r="J4" s="37">
        <v>0</v>
      </c>
      <c r="K4" s="37">
        <v>0</v>
      </c>
      <c r="L4" s="37">
        <v>0</v>
      </c>
      <c r="M4" s="37">
        <v>0</v>
      </c>
      <c r="N4" s="37">
        <v>0</v>
      </c>
      <c r="O4" s="37">
        <v>0</v>
      </c>
      <c r="P4" s="37">
        <v>0</v>
      </c>
      <c r="Q4" s="37">
        <v>0</v>
      </c>
      <c r="R4" s="37">
        <v>0</v>
      </c>
      <c r="S4" s="37">
        <v>0</v>
      </c>
      <c r="T4" s="37">
        <v>0</v>
      </c>
      <c r="U4" s="37">
        <v>25.615115999999997</v>
      </c>
      <c r="V4" s="37">
        <v>25.615115999999997</v>
      </c>
      <c r="W4" s="37">
        <v>25.615115999999997</v>
      </c>
      <c r="X4" s="37">
        <v>25.615115999999997</v>
      </c>
      <c r="Y4" s="37">
        <v>25.615115999999997</v>
      </c>
      <c r="Z4" s="37">
        <v>25.615115999999997</v>
      </c>
      <c r="AA4" s="37">
        <v>25.615115999999997</v>
      </c>
      <c r="AB4" s="37">
        <v>25.615115999999997</v>
      </c>
      <c r="AC4" s="37">
        <v>25.615115999999997</v>
      </c>
      <c r="AD4" s="37">
        <v>25.615115999999997</v>
      </c>
      <c r="AE4" s="37">
        <v>25.615115999999997</v>
      </c>
      <c r="AF4" s="11">
        <v>25.615115999999997</v>
      </c>
    </row>
    <row r="5" spans="3:32">
      <c r="C5" s="19" t="s">
        <v>87</v>
      </c>
      <c r="D5" s="60" t="s">
        <v>154</v>
      </c>
      <c r="E5" s="60" t="s">
        <v>234</v>
      </c>
      <c r="F5" s="60" t="s">
        <v>235</v>
      </c>
      <c r="G5" s="37">
        <v>0.18216936647841961</v>
      </c>
      <c r="H5" s="37">
        <v>0.2348939059266518</v>
      </c>
      <c r="I5" s="37">
        <v>0.25820507730064407</v>
      </c>
      <c r="J5" s="37">
        <v>0.23287941036666826</v>
      </c>
      <c r="K5" s="37">
        <v>0.24171299141600849</v>
      </c>
      <c r="L5" s="37">
        <v>0.27626808671220043</v>
      </c>
      <c r="M5" s="37">
        <v>0.33407385608164503</v>
      </c>
      <c r="N5" s="37">
        <v>0.42383174341439295</v>
      </c>
      <c r="O5" s="37">
        <v>0.37536420945599996</v>
      </c>
      <c r="P5" s="37">
        <v>0.54149037019199997</v>
      </c>
      <c r="Q5" s="37">
        <v>0.51342339326399999</v>
      </c>
      <c r="R5" s="37">
        <v>0.540984658896</v>
      </c>
      <c r="S5" s="37">
        <v>898767.01223999995</v>
      </c>
      <c r="T5" s="37">
        <v>898767.01223999995</v>
      </c>
      <c r="U5" s="37">
        <v>898767.01223999995</v>
      </c>
      <c r="V5" s="37">
        <v>898767.01223999995</v>
      </c>
      <c r="W5" s="37">
        <v>898767.01223999995</v>
      </c>
      <c r="X5" s="37">
        <v>898767.01223999995</v>
      </c>
      <c r="Y5" s="37">
        <v>898767.01223999995</v>
      </c>
      <c r="Z5" s="37">
        <v>898767.01223999995</v>
      </c>
      <c r="AA5" s="37">
        <v>898767.01223999995</v>
      </c>
      <c r="AB5" s="37">
        <v>898767.01223999995</v>
      </c>
      <c r="AC5" s="37">
        <v>898767.01223999995</v>
      </c>
      <c r="AD5" s="37">
        <v>898767.01223999995</v>
      </c>
      <c r="AE5" s="37">
        <v>898767.01223999995</v>
      </c>
      <c r="AF5" s="11">
        <v>898767.01223999995</v>
      </c>
    </row>
    <row r="6" spans="3:32">
      <c r="C6" s="19" t="s">
        <v>87</v>
      </c>
      <c r="D6" s="60" t="s">
        <v>154</v>
      </c>
      <c r="E6" s="60" t="s">
        <v>236</v>
      </c>
      <c r="F6" s="60" t="s">
        <v>235</v>
      </c>
      <c r="G6" s="37">
        <v>1.1219325971908893</v>
      </c>
      <c r="H6" s="37">
        <v>1.4466413096285764</v>
      </c>
      <c r="I6" s="37">
        <v>1.5901459068595813</v>
      </c>
      <c r="J6" s="37">
        <v>1.4342875693416863</v>
      </c>
      <c r="K6" s="37">
        <v>1.488716836451625</v>
      </c>
      <c r="L6" s="37">
        <v>1.7017044702283837</v>
      </c>
      <c r="M6" s="37">
        <v>2.0574786727171426</v>
      </c>
      <c r="N6" s="37">
        <v>2.610057424111726</v>
      </c>
      <c r="O6" s="37">
        <v>3.19448358576</v>
      </c>
      <c r="P6" s="37">
        <v>4.2461234078399999</v>
      </c>
      <c r="Q6" s="37">
        <v>3.1619389068000001</v>
      </c>
      <c r="R6" s="37">
        <v>3.8377195934400001</v>
      </c>
      <c r="S6" s="37">
        <v>6.26746464</v>
      </c>
      <c r="T6" s="37">
        <v>6.26746464</v>
      </c>
      <c r="U6" s="37">
        <v>7.3909346399999993</v>
      </c>
      <c r="V6" s="37">
        <v>7.3909346399999993</v>
      </c>
      <c r="W6" s="37">
        <v>7.3909346399999993</v>
      </c>
      <c r="X6" s="37">
        <v>7.3909346399999993</v>
      </c>
      <c r="Y6" s="37">
        <v>7.3909346399999993</v>
      </c>
      <c r="Z6" s="37">
        <v>7.3909346399999993</v>
      </c>
      <c r="AA6" s="37">
        <v>7.3909346399999993</v>
      </c>
      <c r="AB6" s="37">
        <v>7.3909346399999993</v>
      </c>
      <c r="AC6" s="37">
        <v>7.3909346399999993</v>
      </c>
      <c r="AD6" s="37">
        <v>7.3909346399999993</v>
      </c>
      <c r="AE6" s="37">
        <v>7.3909346399999993</v>
      </c>
      <c r="AF6" s="11">
        <v>7.3909346399999993</v>
      </c>
    </row>
    <row r="7" spans="3:32">
      <c r="C7" s="19" t="s">
        <v>87</v>
      </c>
      <c r="D7" s="60" t="s">
        <v>154</v>
      </c>
      <c r="E7" s="60" t="s">
        <v>288</v>
      </c>
      <c r="F7" s="60" t="s">
        <v>235</v>
      </c>
      <c r="G7" s="37">
        <v>0</v>
      </c>
      <c r="H7" s="37">
        <v>0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37">
        <v>0</v>
      </c>
      <c r="X7" s="37">
        <v>0.361235450736</v>
      </c>
      <c r="Y7" s="37">
        <v>0.361235450736</v>
      </c>
      <c r="Z7" s="37">
        <v>0.361235450736</v>
      </c>
      <c r="AA7" s="37">
        <v>0.361235450736</v>
      </c>
      <c r="AB7" s="37">
        <v>0.361235450736</v>
      </c>
      <c r="AC7" s="37">
        <v>0.361235450736</v>
      </c>
      <c r="AD7" s="37">
        <v>0.361235450736</v>
      </c>
      <c r="AE7" s="37">
        <v>0.361235450736</v>
      </c>
      <c r="AF7" s="11">
        <v>0.361235450736</v>
      </c>
    </row>
    <row r="8" spans="3:32">
      <c r="C8" s="19" t="s">
        <v>87</v>
      </c>
      <c r="D8" s="60" t="s">
        <v>154</v>
      </c>
      <c r="E8" s="60" t="s">
        <v>237</v>
      </c>
      <c r="F8" s="60" t="s">
        <v>235</v>
      </c>
      <c r="G8" s="37">
        <v>4.6011834885168001</v>
      </c>
      <c r="H8" s="37">
        <v>5.9530192281503993</v>
      </c>
      <c r="I8" s="37">
        <v>6.4585419609455998</v>
      </c>
      <c r="J8" s="37">
        <v>5.8232924168831994</v>
      </c>
      <c r="K8" s="37">
        <v>5.8468973904000006</v>
      </c>
      <c r="L8" s="37">
        <v>6.2403815231999999</v>
      </c>
      <c r="M8" s="37">
        <v>4.3500758400000006</v>
      </c>
      <c r="N8" s="37">
        <v>5.6353255199999994</v>
      </c>
      <c r="O8" s="37">
        <v>6.5245505270399997</v>
      </c>
      <c r="P8" s="37">
        <v>7.2393051369600006</v>
      </c>
      <c r="Q8" s="37">
        <v>6.6742626412799995</v>
      </c>
      <c r="R8" s="37">
        <v>7.1982550411199995</v>
      </c>
      <c r="S8" s="37">
        <v>1617780.6220320002</v>
      </c>
      <c r="T8" s="37">
        <v>1617780.6220320002</v>
      </c>
      <c r="U8" s="37">
        <v>1617780.6220320002</v>
      </c>
      <c r="V8" s="37">
        <v>1617780.6220320002</v>
      </c>
      <c r="W8" s="37">
        <v>1617780.6220320002</v>
      </c>
      <c r="X8" s="37">
        <v>1617780.6220320002</v>
      </c>
      <c r="Y8" s="37">
        <v>1617780.6220320002</v>
      </c>
      <c r="Z8" s="37">
        <v>1617780.6220320002</v>
      </c>
      <c r="AA8" s="37">
        <v>1617780.6220320002</v>
      </c>
      <c r="AB8" s="37">
        <v>1617780.6220320002</v>
      </c>
      <c r="AC8" s="37">
        <v>1617780.6220320002</v>
      </c>
      <c r="AD8" s="37">
        <v>1617780.6220320002</v>
      </c>
      <c r="AE8" s="37">
        <v>1617780.6220320002</v>
      </c>
      <c r="AF8" s="11">
        <v>1617780.6220320002</v>
      </c>
    </row>
    <row r="9" spans="3:32">
      <c r="C9" s="19" t="s">
        <v>87</v>
      </c>
      <c r="D9" s="60" t="s">
        <v>154</v>
      </c>
      <c r="E9" s="60" t="s">
        <v>238</v>
      </c>
      <c r="F9" s="60" t="s">
        <v>235</v>
      </c>
      <c r="G9" s="37">
        <v>15.172312554000001</v>
      </c>
      <c r="H9" s="37">
        <v>19.629642330000003</v>
      </c>
      <c r="I9" s="37">
        <v>21.297920382000001</v>
      </c>
      <c r="J9" s="37">
        <v>19.204521282000005</v>
      </c>
      <c r="K9" s="37">
        <v>20.080528290000004</v>
      </c>
      <c r="L9" s="37">
        <v>21.429965555999999</v>
      </c>
      <c r="M9" s="37">
        <v>14.032215197999999</v>
      </c>
      <c r="N9" s="37">
        <v>17.526581388000004</v>
      </c>
      <c r="O9" s="37">
        <v>17.642523491999999</v>
      </c>
      <c r="P9" s="37">
        <v>20.180367324000002</v>
      </c>
      <c r="Q9" s="37">
        <v>18.705326112000002</v>
      </c>
      <c r="R9" s="37">
        <v>19.742363820000001</v>
      </c>
      <c r="S9" s="37">
        <v>1740012.9356966401</v>
      </c>
      <c r="T9" s="37">
        <v>1740012.9356966401</v>
      </c>
      <c r="U9" s="37">
        <v>1740012.9356966401</v>
      </c>
      <c r="V9" s="37">
        <v>1740012.9356966401</v>
      </c>
      <c r="W9" s="37">
        <v>1740012.9356966401</v>
      </c>
      <c r="X9" s="37">
        <v>1740012.9356966401</v>
      </c>
      <c r="Y9" s="37">
        <v>1740012.9356966401</v>
      </c>
      <c r="Z9" s="37">
        <v>1740012.9356966401</v>
      </c>
      <c r="AA9" s="37">
        <v>1740012.9356966401</v>
      </c>
      <c r="AB9" s="37">
        <v>1740012.9356966401</v>
      </c>
      <c r="AC9" s="37">
        <v>1740012.9356966401</v>
      </c>
      <c r="AD9" s="37">
        <v>1740012.9356966401</v>
      </c>
      <c r="AE9" s="37">
        <v>1740012.9356966401</v>
      </c>
      <c r="AF9" s="11">
        <v>1740012.9356966401</v>
      </c>
    </row>
    <row r="10" spans="3:32">
      <c r="C10" s="19" t="s">
        <v>87</v>
      </c>
      <c r="D10" s="60" t="s">
        <v>154</v>
      </c>
      <c r="E10" s="60" t="s">
        <v>239</v>
      </c>
      <c r="F10" s="60" t="s">
        <v>235</v>
      </c>
      <c r="G10" s="37">
        <v>0.59041338575798941</v>
      </c>
      <c r="H10" s="37">
        <v>0.58830440919698779</v>
      </c>
      <c r="I10" s="37">
        <v>0.59606628547892659</v>
      </c>
      <c r="J10" s="37">
        <v>0.59629271741930889</v>
      </c>
      <c r="K10" s="37">
        <v>0.59190625680678843</v>
      </c>
      <c r="L10" s="37">
        <v>0.63390674881814868</v>
      </c>
      <c r="M10" s="37">
        <v>0.74498789186731929</v>
      </c>
      <c r="N10" s="37">
        <v>0.55332687950478898</v>
      </c>
      <c r="O10" s="37">
        <v>0.97124203198079995</v>
      </c>
      <c r="P10" s="37">
        <v>0.97645675430015977</v>
      </c>
      <c r="Q10" s="37">
        <v>1.0889848037376</v>
      </c>
      <c r="R10" s="37">
        <v>1.3444089737903997</v>
      </c>
      <c r="S10" s="37">
        <v>1797534.0244799999</v>
      </c>
      <c r="T10" s="37">
        <v>1797534.0244799999</v>
      </c>
      <c r="U10" s="37">
        <v>1797534.0244799999</v>
      </c>
      <c r="V10" s="37">
        <v>1797534.0244799999</v>
      </c>
      <c r="W10" s="37">
        <v>1797534.0244799999</v>
      </c>
      <c r="X10" s="37">
        <v>1797534.0244799999</v>
      </c>
      <c r="Y10" s="37">
        <v>1797534.0244799999</v>
      </c>
      <c r="Z10" s="37">
        <v>1797534.0244799999</v>
      </c>
      <c r="AA10" s="37">
        <v>1797534.0244799999</v>
      </c>
      <c r="AB10" s="37">
        <v>1797534.0244799999</v>
      </c>
      <c r="AC10" s="37">
        <v>1797534.0244799999</v>
      </c>
      <c r="AD10" s="37">
        <v>1797534.0244799999</v>
      </c>
      <c r="AE10" s="37">
        <v>1797534.0244799999</v>
      </c>
      <c r="AF10" s="11">
        <v>1797534.0244799999</v>
      </c>
    </row>
    <row r="11" spans="3:32">
      <c r="C11" s="19" t="s">
        <v>87</v>
      </c>
      <c r="D11" s="60" t="s">
        <v>154</v>
      </c>
      <c r="E11" s="60" t="s">
        <v>240</v>
      </c>
      <c r="F11" s="60" t="s">
        <v>235</v>
      </c>
      <c r="G11" s="37">
        <v>2.034592792833219</v>
      </c>
      <c r="H11" s="37">
        <v>2.8961787980552081</v>
      </c>
      <c r="I11" s="37">
        <v>2.9343899369986737</v>
      </c>
      <c r="J11" s="37">
        <v>2.9355046445797921</v>
      </c>
      <c r="K11" s="37">
        <v>2.9139104256246329</v>
      </c>
      <c r="L11" s="37">
        <v>3.1206757202060955</v>
      </c>
      <c r="M11" s="37">
        <v>4.0342719072885149</v>
      </c>
      <c r="N11" s="37">
        <v>4.0974213879304955</v>
      </c>
      <c r="O11" s="37">
        <v>1.4002052874623998</v>
      </c>
      <c r="P11" s="37">
        <v>4.8368004330816001</v>
      </c>
      <c r="Q11" s="37">
        <v>4.8687594695999996</v>
      </c>
      <c r="R11" s="37">
        <v>5.5438941160512005</v>
      </c>
      <c r="S11" s="37">
        <v>5.5438941160512005</v>
      </c>
      <c r="T11" s="37">
        <v>5.5438941160512005</v>
      </c>
      <c r="U11" s="37">
        <v>6.7911705100512005</v>
      </c>
      <c r="V11" s="37">
        <v>6.7911705100512005</v>
      </c>
      <c r="W11" s="37">
        <v>6.7911705100512005</v>
      </c>
      <c r="X11" s="37">
        <v>6.7911705100512005</v>
      </c>
      <c r="Y11" s="37">
        <v>10.0174587825312</v>
      </c>
      <c r="Z11" s="37">
        <v>10.0174587825312</v>
      </c>
      <c r="AA11" s="37">
        <v>10.0174587825312</v>
      </c>
      <c r="AB11" s="37">
        <v>10.0174587825312</v>
      </c>
      <c r="AC11" s="37">
        <v>10.0174587825312</v>
      </c>
      <c r="AD11" s="37">
        <v>10.0174587825312</v>
      </c>
      <c r="AE11" s="37">
        <v>10.0174587825312</v>
      </c>
      <c r="AF11" s="11">
        <v>10.0174587825312</v>
      </c>
    </row>
    <row r="12" spans="3:32">
      <c r="C12" s="19" t="s">
        <v>87</v>
      </c>
      <c r="D12" s="60" t="s">
        <v>154</v>
      </c>
      <c r="E12" s="60" t="s">
        <v>241</v>
      </c>
      <c r="F12" s="60" t="s">
        <v>235</v>
      </c>
      <c r="G12" s="37">
        <v>3.6551955972835528</v>
      </c>
      <c r="H12" s="37">
        <v>4.7124520232154161</v>
      </c>
      <c r="I12" s="37">
        <v>5.1803578992532167</v>
      </c>
      <c r="J12" s="37">
        <v>4.6727665674131291</v>
      </c>
      <c r="K12" s="37">
        <v>4.8495955813374367</v>
      </c>
      <c r="L12" s="37">
        <v>5.5430823092677883</v>
      </c>
      <c r="M12" s="37">
        <v>6.7022303557634926</v>
      </c>
      <c r="N12" s="37">
        <v>8.5028473645332028</v>
      </c>
      <c r="O12" s="37">
        <v>9.7871163049223995</v>
      </c>
      <c r="P12" s="37">
        <v>11.979938725063201</v>
      </c>
      <c r="Q12" s="37">
        <v>11.372584461753602</v>
      </c>
      <c r="R12" s="37">
        <v>12.065994370000801</v>
      </c>
      <c r="S12" s="37">
        <v>1797534.0244799999</v>
      </c>
      <c r="T12" s="37">
        <v>1797534.0244799999</v>
      </c>
      <c r="U12" s="37">
        <v>1797534.0244799999</v>
      </c>
      <c r="V12" s="37">
        <v>1797534.0244799999</v>
      </c>
      <c r="W12" s="37">
        <v>1797534.0244799999</v>
      </c>
      <c r="X12" s="37">
        <v>1797534.0244799999</v>
      </c>
      <c r="Y12" s="37">
        <v>1797534.0244799999</v>
      </c>
      <c r="Z12" s="37">
        <v>1797534.0244799999</v>
      </c>
      <c r="AA12" s="37">
        <v>1797534.0244799999</v>
      </c>
      <c r="AB12" s="37">
        <v>1797534.0244799999</v>
      </c>
      <c r="AC12" s="37">
        <v>1797534.0244799999</v>
      </c>
      <c r="AD12" s="37">
        <v>1797534.0244799999</v>
      </c>
      <c r="AE12" s="37">
        <v>1797534.0244799999</v>
      </c>
      <c r="AF12" s="11">
        <v>1797534.0244799999</v>
      </c>
    </row>
    <row r="13" spans="3:32">
      <c r="C13" s="19" t="s">
        <v>87</v>
      </c>
      <c r="D13" s="60" t="s">
        <v>154</v>
      </c>
      <c r="E13" s="60" t="s">
        <v>242</v>
      </c>
      <c r="F13" s="60" t="s">
        <v>235</v>
      </c>
      <c r="G13" s="37">
        <v>3.1516199439331278</v>
      </c>
      <c r="H13" s="37">
        <v>4.0630107524035823</v>
      </c>
      <c r="I13" s="37">
        <v>4.4662298483663614</v>
      </c>
      <c r="J13" s="37">
        <v>4.0286958960105981</v>
      </c>
      <c r="K13" s="37">
        <v>4.1817168112280045</v>
      </c>
      <c r="L13" s="37">
        <v>4.7792390839134846</v>
      </c>
      <c r="M13" s="37">
        <v>5.7790174141221273</v>
      </c>
      <c r="N13" s="37">
        <v>7.332135128874568</v>
      </c>
      <c r="O13" s="37">
        <v>4.4404028279999999</v>
      </c>
      <c r="P13" s="37">
        <v>6.9167104632000003</v>
      </c>
      <c r="Q13" s="37">
        <v>8.881105247999999</v>
      </c>
      <c r="R13" s="37">
        <v>9.5034931037798387</v>
      </c>
      <c r="S13" s="37">
        <v>1078520.414688</v>
      </c>
      <c r="T13" s="37">
        <v>1078520.414688</v>
      </c>
      <c r="U13" s="37">
        <v>1078520.414688</v>
      </c>
      <c r="V13" s="37">
        <v>1078520.414688</v>
      </c>
      <c r="W13" s="37">
        <v>1078520.414688</v>
      </c>
      <c r="X13" s="37">
        <v>1078520.414688</v>
      </c>
      <c r="Y13" s="37">
        <v>1078520.414688</v>
      </c>
      <c r="Z13" s="37">
        <v>1078520.414688</v>
      </c>
      <c r="AA13" s="37">
        <v>1078520.414688</v>
      </c>
      <c r="AB13" s="37">
        <v>1078520.414688</v>
      </c>
      <c r="AC13" s="37">
        <v>1078520.414688</v>
      </c>
      <c r="AD13" s="37">
        <v>1078520.414688</v>
      </c>
      <c r="AE13" s="37">
        <v>1078520.414688</v>
      </c>
      <c r="AF13" s="11">
        <v>1078520.414688</v>
      </c>
    </row>
    <row r="14" spans="3:32">
      <c r="C14" s="19" t="s">
        <v>87</v>
      </c>
      <c r="D14" s="60" t="s">
        <v>154</v>
      </c>
      <c r="E14" s="60" t="s">
        <v>243</v>
      </c>
      <c r="F14" s="60" t="s">
        <v>235</v>
      </c>
      <c r="G14" s="37">
        <v>11.811353966948978</v>
      </c>
      <c r="H14" s="37">
        <v>15.226387754398401</v>
      </c>
      <c r="I14" s="37">
        <v>16.737541296248263</v>
      </c>
      <c r="J14" s="37">
        <v>15.097521760232267</v>
      </c>
      <c r="K14" s="37">
        <v>15.67112172140755</v>
      </c>
      <c r="L14" s="37">
        <v>17.909666525558208</v>
      </c>
      <c r="M14" s="37">
        <v>21.65599981527026</v>
      </c>
      <c r="N14" s="37">
        <v>27.47529000776051</v>
      </c>
      <c r="O14" s="37">
        <v>29.996627877595589</v>
      </c>
      <c r="P14" s="37">
        <v>31.657485027396977</v>
      </c>
      <c r="Q14" s="37">
        <v>33.282624819138114</v>
      </c>
      <c r="R14" s="37">
        <v>33.127849600877049</v>
      </c>
      <c r="S14" s="37">
        <v>1497945.0204</v>
      </c>
      <c r="T14" s="37">
        <v>1497945.0204</v>
      </c>
      <c r="U14" s="37">
        <v>1497945.0204</v>
      </c>
      <c r="V14" s="37">
        <v>1497945.0204</v>
      </c>
      <c r="W14" s="37">
        <v>1497945.0204</v>
      </c>
      <c r="X14" s="37">
        <v>1497945.0204</v>
      </c>
      <c r="Y14" s="37">
        <v>1497945.0204</v>
      </c>
      <c r="Z14" s="37">
        <v>1497945.0204</v>
      </c>
      <c r="AA14" s="37">
        <v>1497945.0204</v>
      </c>
      <c r="AB14" s="37">
        <v>1497945.0204</v>
      </c>
      <c r="AC14" s="37">
        <v>1497945.0204</v>
      </c>
      <c r="AD14" s="37">
        <v>1497945.0204</v>
      </c>
      <c r="AE14" s="37">
        <v>1497945.0204</v>
      </c>
      <c r="AF14" s="11">
        <v>1497945.0204</v>
      </c>
    </row>
    <row r="15" spans="3:32">
      <c r="C15" s="19" t="s">
        <v>87</v>
      </c>
      <c r="D15" s="60" t="s">
        <v>154</v>
      </c>
      <c r="E15" s="60" t="s">
        <v>244</v>
      </c>
      <c r="F15" s="60" t="s">
        <v>23</v>
      </c>
      <c r="G15" s="37">
        <v>0.75197592000000002</v>
      </c>
      <c r="H15" s="37">
        <v>0.75197592000000002</v>
      </c>
      <c r="I15" s="37">
        <v>0.75197592000000002</v>
      </c>
      <c r="J15" s="37">
        <v>0.75197592000000002</v>
      </c>
      <c r="K15" s="37">
        <v>2.2289644800000001</v>
      </c>
      <c r="L15" s="37">
        <v>5.1859375200000004</v>
      </c>
      <c r="M15" s="37">
        <v>5.41961928</v>
      </c>
      <c r="N15" s="37">
        <v>5.1409987199999998</v>
      </c>
      <c r="O15" s="37">
        <v>5.1140354400000003</v>
      </c>
      <c r="P15" s="37">
        <v>4.8713659199999997</v>
      </c>
      <c r="Q15" s="37">
        <v>4.9732272000000002</v>
      </c>
      <c r="R15" s="37">
        <v>4.9193006400000003</v>
      </c>
      <c r="S15" s="37">
        <v>118.63843200000001</v>
      </c>
      <c r="T15" s="37">
        <v>118.63843200000001</v>
      </c>
      <c r="U15" s="37">
        <v>118.63843200000001</v>
      </c>
      <c r="V15" s="37">
        <v>118.63843200000001</v>
      </c>
      <c r="W15" s="37">
        <v>118.63843200000001</v>
      </c>
      <c r="X15" s="37">
        <v>118.63843200000001</v>
      </c>
      <c r="Y15" s="37">
        <v>118.63843200000001</v>
      </c>
      <c r="Z15" s="37">
        <v>118.63843200000001</v>
      </c>
      <c r="AA15" s="37">
        <v>118.63843200000001</v>
      </c>
      <c r="AB15" s="37">
        <v>118.63843200000001</v>
      </c>
      <c r="AC15" s="37">
        <v>118.63843200000001</v>
      </c>
      <c r="AD15" s="37">
        <v>118.63843200000001</v>
      </c>
      <c r="AE15" s="37">
        <v>118.63843200000001</v>
      </c>
      <c r="AF15" s="11">
        <v>118.63843200000001</v>
      </c>
    </row>
    <row r="16" spans="3:32">
      <c r="C16" s="19" t="s">
        <v>87</v>
      </c>
      <c r="D16" s="60" t="s">
        <v>154</v>
      </c>
      <c r="E16" s="60" t="s">
        <v>245</v>
      </c>
      <c r="F16" s="60" t="s">
        <v>245</v>
      </c>
      <c r="G16" s="37">
        <v>5.3626967999999993</v>
      </c>
      <c r="H16" s="37">
        <v>5.3626967999999993</v>
      </c>
      <c r="I16" s="37">
        <v>3.5741325600000002</v>
      </c>
      <c r="J16" s="37">
        <v>12.49897824</v>
      </c>
      <c r="K16" s="37">
        <v>16.225902719999997</v>
      </c>
      <c r="L16" s="37">
        <v>20.07865584</v>
      </c>
      <c r="M16" s="37">
        <v>17.037797040000001</v>
      </c>
      <c r="N16" s="37">
        <v>0.24425188705008</v>
      </c>
      <c r="O16" s="37">
        <v>0.26515689551999999</v>
      </c>
      <c r="P16" s="37">
        <v>0.28774763028</v>
      </c>
      <c r="Q16" s="37">
        <v>0.25774199351999999</v>
      </c>
      <c r="R16" s="37">
        <v>0.21607024427999999</v>
      </c>
      <c r="S16" s="37">
        <v>13.746239654399998</v>
      </c>
      <c r="T16" s="37">
        <v>13.746239654399998</v>
      </c>
      <c r="U16" s="37">
        <v>13.746239654399998</v>
      </c>
      <c r="V16" s="37">
        <v>13.746239654399998</v>
      </c>
      <c r="W16" s="37">
        <v>13.746239654399998</v>
      </c>
      <c r="X16" s="37">
        <v>13.746239654399998</v>
      </c>
      <c r="Y16" s="37">
        <v>13.746239654399998</v>
      </c>
      <c r="Z16" s="37">
        <v>13.746239654399998</v>
      </c>
      <c r="AA16" s="37">
        <v>13.746239654399998</v>
      </c>
      <c r="AB16" s="37">
        <v>13.746239654399998</v>
      </c>
      <c r="AC16" s="37">
        <v>13.746239654399998</v>
      </c>
      <c r="AD16" s="37">
        <v>13.746239654399998</v>
      </c>
      <c r="AE16" s="37">
        <v>13.746239654399998</v>
      </c>
      <c r="AF16" s="11">
        <v>13.746239654399998</v>
      </c>
    </row>
    <row r="17" spans="3:32">
      <c r="C17" s="19" t="s">
        <v>87</v>
      </c>
      <c r="D17" s="60" t="s">
        <v>154</v>
      </c>
      <c r="E17" s="60" t="s">
        <v>295</v>
      </c>
      <c r="F17" s="60" t="s">
        <v>235</v>
      </c>
      <c r="G17" s="37">
        <v>6.2712060641096495E-3</v>
      </c>
      <c r="H17" s="37">
        <v>8.0838249802819336E-3</v>
      </c>
      <c r="I17" s="37">
        <v>8.88620307278052E-3</v>
      </c>
      <c r="J17" s="37">
        <v>8.0149149800517617E-3</v>
      </c>
      <c r="K17" s="37">
        <v>8.3191254426886341E-3</v>
      </c>
      <c r="L17" s="37">
        <v>9.5100294076485691E-3</v>
      </c>
      <c r="M17" s="37">
        <v>1.1496007527214384E-2</v>
      </c>
      <c r="N17" s="37">
        <v>1.4587312136953504E-2</v>
      </c>
      <c r="O17" s="37">
        <v>1.7195622105600005E-2</v>
      </c>
      <c r="P17" s="37">
        <v>2.0257332508800005E-2</v>
      </c>
      <c r="Q17" s="37">
        <v>1.7550099360000005E-2</v>
      </c>
      <c r="R17" s="37">
        <v>1.2917568182400002E-2</v>
      </c>
      <c r="S17" s="37">
        <v>1467986.1199919998</v>
      </c>
      <c r="T17" s="37">
        <v>1467986.1199919998</v>
      </c>
      <c r="U17" s="37">
        <v>1467986.1199919998</v>
      </c>
      <c r="V17" s="37">
        <v>1467986.1199919998</v>
      </c>
      <c r="W17" s="37">
        <v>1467986.1199919998</v>
      </c>
      <c r="X17" s="37">
        <v>1467986.1199919998</v>
      </c>
      <c r="Y17" s="37">
        <v>1467986.1199919998</v>
      </c>
      <c r="Z17" s="37">
        <v>1467986.1199919998</v>
      </c>
      <c r="AA17" s="37">
        <v>1467986.1199919998</v>
      </c>
      <c r="AB17" s="37">
        <v>1467986.1199919998</v>
      </c>
      <c r="AC17" s="37">
        <v>1467986.1199919998</v>
      </c>
      <c r="AD17" s="37">
        <v>1467986.1199919998</v>
      </c>
      <c r="AE17" s="37">
        <v>1467986.1199919998</v>
      </c>
      <c r="AF17" s="11">
        <v>1467986.1199919998</v>
      </c>
    </row>
    <row r="18" spans="3:32">
      <c r="C18" s="19" t="s">
        <v>87</v>
      </c>
      <c r="D18" s="60" t="s">
        <v>154</v>
      </c>
      <c r="E18" s="60" t="s">
        <v>296</v>
      </c>
      <c r="F18" s="60" t="s">
        <v>235</v>
      </c>
      <c r="G18" s="37">
        <v>1.9597363761980253E-2</v>
      </c>
      <c r="H18" s="37">
        <v>2.5261721112344555E-2</v>
      </c>
      <c r="I18" s="37">
        <v>2.7769474130559069E-2</v>
      </c>
      <c r="J18" s="37">
        <v>2.5050169407314304E-2</v>
      </c>
      <c r="K18" s="37">
        <v>2.6001012059529659E-2</v>
      </c>
      <c r="L18" s="37">
        <v>2.9715188150230644E-2</v>
      </c>
      <c r="M18" s="37">
        <v>3.5929705166504212E-2</v>
      </c>
      <c r="N18" s="37">
        <v>4.5587292581228185E-2</v>
      </c>
      <c r="O18" s="37">
        <v>3.6889961327999987E-2</v>
      </c>
      <c r="P18" s="37">
        <v>4.1416496855999997E-2</v>
      </c>
      <c r="Q18" s="37">
        <v>5.5439200007999997E-2</v>
      </c>
      <c r="R18" s="37">
        <v>5.4865780919999989E-2</v>
      </c>
      <c r="S18" s="37">
        <v>1258273.8171359999</v>
      </c>
      <c r="T18" s="37">
        <v>1258273.8171359999</v>
      </c>
      <c r="U18" s="37">
        <v>1258273.8171359999</v>
      </c>
      <c r="V18" s="37">
        <v>1258273.8171359999</v>
      </c>
      <c r="W18" s="37">
        <v>1258273.8171359999</v>
      </c>
      <c r="X18" s="37">
        <v>1258273.8171359999</v>
      </c>
      <c r="Y18" s="37">
        <v>1258273.8171359999</v>
      </c>
      <c r="Z18" s="37">
        <v>1258273.8171359999</v>
      </c>
      <c r="AA18" s="37">
        <v>1258273.8171359999</v>
      </c>
      <c r="AB18" s="37">
        <v>1258273.8171359999</v>
      </c>
      <c r="AC18" s="37">
        <v>1258273.8171359999</v>
      </c>
      <c r="AD18" s="37">
        <v>1258273.8171359999</v>
      </c>
      <c r="AE18" s="37">
        <v>1258273.8171359999</v>
      </c>
      <c r="AF18" s="11">
        <v>1258273.8171359999</v>
      </c>
    </row>
    <row r="19" spans="3:32">
      <c r="C19" s="19" t="s">
        <v>87</v>
      </c>
      <c r="D19" s="60" t="s">
        <v>154</v>
      </c>
      <c r="E19" s="60" t="s">
        <v>297</v>
      </c>
      <c r="F19" s="60" t="s">
        <v>23</v>
      </c>
      <c r="G19" s="37">
        <v>4.2368156835839997E-4</v>
      </c>
      <c r="H19" s="37">
        <v>4.2368156835839997E-4</v>
      </c>
      <c r="I19" s="37">
        <v>4.2368156835839997E-4</v>
      </c>
      <c r="J19" s="37">
        <v>3.4530047821209595E-3</v>
      </c>
      <c r="K19" s="37">
        <v>4.6622625918105601E-3</v>
      </c>
      <c r="L19" s="37">
        <v>1.0491601206666238E-2</v>
      </c>
      <c r="M19" s="37">
        <v>1.1366112267924481E-2</v>
      </c>
      <c r="N19" s="37">
        <v>1.0781784771563519E-2</v>
      </c>
      <c r="O19" s="37">
        <v>9.1983168527040009E-3</v>
      </c>
      <c r="P19" s="37">
        <v>1.3552163956800001E-2</v>
      </c>
      <c r="Q19" s="37">
        <v>1.1545071320160001E-2</v>
      </c>
      <c r="R19" s="37">
        <v>9.6632075403360017E-3</v>
      </c>
      <c r="S19" s="37">
        <v>1617780.6220320002</v>
      </c>
      <c r="T19" s="37">
        <v>1617780.6220320002</v>
      </c>
      <c r="U19" s="37">
        <v>1617780.6220320002</v>
      </c>
      <c r="V19" s="37">
        <v>1617780.6220320002</v>
      </c>
      <c r="W19" s="37">
        <v>1617780.6220320002</v>
      </c>
      <c r="X19" s="37">
        <v>1617780.6220320002</v>
      </c>
      <c r="Y19" s="37">
        <v>1617780.6220320002</v>
      </c>
      <c r="Z19" s="37">
        <v>1617780.6220320002</v>
      </c>
      <c r="AA19" s="37">
        <v>1617780.6220320002</v>
      </c>
      <c r="AB19" s="37">
        <v>1617780.6220320002</v>
      </c>
      <c r="AC19" s="37">
        <v>1617780.6220320002</v>
      </c>
      <c r="AD19" s="37">
        <v>1617780.6220320002</v>
      </c>
      <c r="AE19" s="37">
        <v>1617780.6220320002</v>
      </c>
      <c r="AF19" s="11">
        <v>1617780.6220320002</v>
      </c>
    </row>
    <row r="20" spans="3:32">
      <c r="C20" s="19" t="s">
        <v>87</v>
      </c>
      <c r="D20" s="60" t="s">
        <v>154</v>
      </c>
      <c r="E20" s="60" t="s">
        <v>298</v>
      </c>
      <c r="F20" s="60" t="s">
        <v>245</v>
      </c>
      <c r="G20" s="37">
        <v>7.5612227328000011E-4</v>
      </c>
      <c r="H20" s="37">
        <v>7.5612227328000011E-4</v>
      </c>
      <c r="I20" s="37">
        <v>5.0302695168000006E-4</v>
      </c>
      <c r="J20" s="37">
        <v>1.4348843796671999E-2</v>
      </c>
      <c r="K20" s="37">
        <v>2.0143322773199995E-2</v>
      </c>
      <c r="L20" s="37">
        <v>2.4938688194639996E-2</v>
      </c>
      <c r="M20" s="37">
        <v>2.1160943923679995E-2</v>
      </c>
      <c r="N20" s="37">
        <v>1.8386880787439993E-2</v>
      </c>
      <c r="O20" s="37">
        <v>2.3585230404000006E-2</v>
      </c>
      <c r="P20" s="37">
        <v>1.9949232096000004E-2</v>
      </c>
      <c r="Q20" s="37">
        <v>1.9656680508000006E-2</v>
      </c>
      <c r="R20" s="37">
        <v>7.0212381120000021E-3</v>
      </c>
      <c r="S20" s="37">
        <v>509301.30693600007</v>
      </c>
      <c r="T20" s="37">
        <v>509301.30693600007</v>
      </c>
      <c r="U20" s="37">
        <v>509301.30693600007</v>
      </c>
      <c r="V20" s="37">
        <v>509301.30693600007</v>
      </c>
      <c r="W20" s="37">
        <v>509301.30693600007</v>
      </c>
      <c r="X20" s="37">
        <v>509301.30693600007</v>
      </c>
      <c r="Y20" s="37">
        <v>509301.30693600007</v>
      </c>
      <c r="Z20" s="37">
        <v>509301.30693600007</v>
      </c>
      <c r="AA20" s="37">
        <v>509301.30693600007</v>
      </c>
      <c r="AB20" s="37">
        <v>509301.30693600007</v>
      </c>
      <c r="AC20" s="37">
        <v>509301.30693600007</v>
      </c>
      <c r="AD20" s="37">
        <v>509301.30693600007</v>
      </c>
      <c r="AE20" s="37">
        <v>509301.30693600007</v>
      </c>
      <c r="AF20" s="11">
        <v>509301.30693600007</v>
      </c>
    </row>
    <row r="21" spans="3:32">
      <c r="C21" s="19" t="s">
        <v>87</v>
      </c>
      <c r="D21" s="60" t="s">
        <v>154</v>
      </c>
      <c r="E21" s="60" t="s">
        <v>299</v>
      </c>
      <c r="F21" s="60" t="s">
        <v>23</v>
      </c>
      <c r="G21" s="37">
        <v>9.9052305407999996E-5</v>
      </c>
      <c r="H21" s="37">
        <v>9.9052305407999996E-5</v>
      </c>
      <c r="I21" s="37">
        <v>9.9052305407999996E-5</v>
      </c>
      <c r="J21" s="37">
        <v>8.0727628907519998E-4</v>
      </c>
      <c r="K21" s="37">
        <v>1.0899880774272001E-3</v>
      </c>
      <c r="L21" s="37">
        <v>2.46203349047424E-3</v>
      </c>
      <c r="M21" s="37">
        <v>2.6697426373324803E-3</v>
      </c>
      <c r="N21" s="37">
        <v>2.5292298669465601E-3</v>
      </c>
      <c r="O21" s="37">
        <v>2.7147546456335997E-3</v>
      </c>
      <c r="P21" s="37">
        <v>2.6058533131439999E-3</v>
      </c>
      <c r="Q21" s="37">
        <v>2.6603039793887998E-3</v>
      </c>
      <c r="R21" s="37">
        <v>2.6606724775487998E-3</v>
      </c>
      <c r="S21" s="37">
        <v>89876.701224000004</v>
      </c>
      <c r="T21" s="37">
        <v>89876.701224000004</v>
      </c>
      <c r="U21" s="37">
        <v>89876.701224000004</v>
      </c>
      <c r="V21" s="37">
        <v>89876.701224000004</v>
      </c>
      <c r="W21" s="37">
        <v>89876.701224000004</v>
      </c>
      <c r="X21" s="37">
        <v>89876.701224000004</v>
      </c>
      <c r="Y21" s="37">
        <v>89876.701224000004</v>
      </c>
      <c r="Z21" s="37">
        <v>89876.701224000004</v>
      </c>
      <c r="AA21" s="37">
        <v>89876.701224000004</v>
      </c>
      <c r="AB21" s="37">
        <v>89876.701224000004</v>
      </c>
      <c r="AC21" s="37">
        <v>89876.701224000004</v>
      </c>
      <c r="AD21" s="37">
        <v>89876.701224000004</v>
      </c>
      <c r="AE21" s="37">
        <v>89876.701224000004</v>
      </c>
      <c r="AF21" s="11">
        <v>89876.701224000004</v>
      </c>
    </row>
    <row r="22" spans="3:32">
      <c r="C22" s="19" t="s">
        <v>87</v>
      </c>
      <c r="D22" s="60" t="s">
        <v>154</v>
      </c>
      <c r="E22" s="60" t="s">
        <v>300</v>
      </c>
      <c r="F22" s="60" t="s">
        <v>235</v>
      </c>
      <c r="G22" s="37">
        <v>2.6045041163904578E-4</v>
      </c>
      <c r="H22" s="37">
        <v>3.3825088292637308E-4</v>
      </c>
      <c r="I22" s="37">
        <v>3.6930349475316007E-4</v>
      </c>
      <c r="J22" s="37">
        <v>3.3397718136789602E-4</v>
      </c>
      <c r="K22" s="37">
        <v>3.461894146281543E-4</v>
      </c>
      <c r="L22" s="37">
        <v>3.9589021432078278E-4</v>
      </c>
      <c r="M22" s="37">
        <v>4.8161587997736579E-4</v>
      </c>
      <c r="N22" s="37">
        <v>6.0702334635355775E-4</v>
      </c>
      <c r="O22" s="37">
        <v>4.9672353599999998E-3</v>
      </c>
      <c r="P22" s="37">
        <v>1.5464939039999999E-2</v>
      </c>
      <c r="Q22" s="37">
        <v>4.2542064000000002E-4</v>
      </c>
      <c r="R22" s="37">
        <v>1.198368E-3</v>
      </c>
      <c r="S22" s="37">
        <v>239671.20326400001</v>
      </c>
      <c r="T22" s="37">
        <v>239671.20326400001</v>
      </c>
      <c r="U22" s="37">
        <v>239671.20326400001</v>
      </c>
      <c r="V22" s="37">
        <v>239671.20326400001</v>
      </c>
      <c r="W22" s="37">
        <v>239671.20326400001</v>
      </c>
      <c r="X22" s="37">
        <v>239671.20326400001</v>
      </c>
      <c r="Y22" s="37">
        <v>239671.20326400001</v>
      </c>
      <c r="Z22" s="37">
        <v>239671.20326400001</v>
      </c>
      <c r="AA22" s="37">
        <v>239671.20326400001</v>
      </c>
      <c r="AB22" s="37">
        <v>239671.20326400001</v>
      </c>
      <c r="AC22" s="37">
        <v>239671.20326400001</v>
      </c>
      <c r="AD22" s="37">
        <v>239671.20326400001</v>
      </c>
      <c r="AE22" s="37">
        <v>239671.20326400001</v>
      </c>
      <c r="AF22" s="11">
        <v>239671.20326400001</v>
      </c>
    </row>
    <row r="23" spans="3:32">
      <c r="C23" s="19" t="s">
        <v>87</v>
      </c>
      <c r="D23" s="60" t="s">
        <v>154</v>
      </c>
      <c r="E23" s="60" t="s">
        <v>307</v>
      </c>
      <c r="F23" s="60" t="s">
        <v>261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4.7455372800000006E-2</v>
      </c>
      <c r="N23" s="37">
        <v>0.15578783999999998</v>
      </c>
      <c r="O23" s="37">
        <v>0.16380210575520002</v>
      </c>
      <c r="P23" s="37">
        <v>0.14807658159359999</v>
      </c>
      <c r="Q23" s="37">
        <v>0.15825575905920003</v>
      </c>
      <c r="R23" s="37">
        <v>0.15157533680639998</v>
      </c>
      <c r="S23" s="37">
        <v>2.2527820440000004</v>
      </c>
      <c r="T23" s="37">
        <v>4.4938799999999999</v>
      </c>
      <c r="U23" s="37">
        <v>4.4938799999999999</v>
      </c>
      <c r="V23" s="37">
        <v>4.4938799999999999</v>
      </c>
      <c r="W23" s="37">
        <v>4.4938799999999999</v>
      </c>
      <c r="X23" s="37">
        <v>4.4938799999999999</v>
      </c>
      <c r="Y23" s="37">
        <v>4.4938799999999999</v>
      </c>
      <c r="Z23" s="37">
        <v>4.4938799999999999</v>
      </c>
      <c r="AA23" s="37">
        <v>4.4938799999999999</v>
      </c>
      <c r="AB23" s="37">
        <v>4.4938799999999999</v>
      </c>
      <c r="AC23" s="37">
        <v>4.4938799999999999</v>
      </c>
      <c r="AD23" s="37">
        <v>4.4938799999999999</v>
      </c>
      <c r="AE23" s="37">
        <v>4.4938799999999999</v>
      </c>
      <c r="AF23" s="11">
        <v>4.4938799999999999</v>
      </c>
    </row>
    <row r="24" spans="3:32">
      <c r="C24" s="19" t="s">
        <v>87</v>
      </c>
      <c r="D24" s="60" t="s">
        <v>154</v>
      </c>
      <c r="E24" s="60" t="s">
        <v>308</v>
      </c>
      <c r="F24" s="60" t="s">
        <v>265</v>
      </c>
      <c r="G24" s="37">
        <v>1.7376335999999999E-2</v>
      </c>
      <c r="H24" s="37">
        <v>1.7376335999999999E-2</v>
      </c>
      <c r="I24" s="37">
        <v>1.7376335999999999E-2</v>
      </c>
      <c r="J24" s="37">
        <v>1.7376335999999999E-2</v>
      </c>
      <c r="K24" s="37">
        <v>1.7376335999999999E-2</v>
      </c>
      <c r="L24" s="37">
        <v>1.7376335999999999E-2</v>
      </c>
      <c r="M24" s="37">
        <v>1.7376335999999999E-2</v>
      </c>
      <c r="N24" s="37">
        <v>1.7376335999999999E-2</v>
      </c>
      <c r="O24" s="37">
        <v>1.7376335999999999E-2</v>
      </c>
      <c r="P24" s="37">
        <v>1.7376335999999999E-2</v>
      </c>
      <c r="Q24" s="37">
        <v>1.7376335999999999E-2</v>
      </c>
      <c r="R24" s="37">
        <v>1.7376335999999999E-2</v>
      </c>
      <c r="S24" s="37">
        <v>1.7376335999999999E-2</v>
      </c>
      <c r="T24" s="37">
        <v>17.376335999999998</v>
      </c>
      <c r="U24" s="37">
        <v>17.376335999999998</v>
      </c>
      <c r="V24" s="37">
        <v>17.376335999999998</v>
      </c>
      <c r="W24" s="37">
        <v>17.376335999999998</v>
      </c>
      <c r="X24" s="37">
        <v>17.376335999999998</v>
      </c>
      <c r="Y24" s="37">
        <v>17.376335999999998</v>
      </c>
      <c r="Z24" s="37">
        <v>17.376335999999998</v>
      </c>
      <c r="AA24" s="37">
        <v>17.376335999999998</v>
      </c>
      <c r="AB24" s="37">
        <v>17.376335999999998</v>
      </c>
      <c r="AC24" s="37">
        <v>17.376335999999998</v>
      </c>
      <c r="AD24" s="37">
        <v>17.376335999999998</v>
      </c>
      <c r="AE24" s="37">
        <v>17.376335999999998</v>
      </c>
      <c r="AF24" s="11">
        <v>17.376335999999998</v>
      </c>
    </row>
    <row r="25" spans="3:32">
      <c r="C25" s="19" t="s">
        <v>87</v>
      </c>
      <c r="D25" s="60" t="s">
        <v>154</v>
      </c>
      <c r="E25" s="60" t="s">
        <v>307</v>
      </c>
      <c r="F25" s="60" t="s">
        <v>4</v>
      </c>
      <c r="G25" s="37">
        <v>2.2229726400000001</v>
      </c>
      <c r="H25" s="37">
        <v>1.87544592</v>
      </c>
      <c r="I25" s="37">
        <v>1.9503439200000001</v>
      </c>
      <c r="J25" s="37">
        <v>2.2289644800000001</v>
      </c>
      <c r="K25" s="37">
        <v>2.1900175200000001</v>
      </c>
      <c r="L25" s="37">
        <v>2.1091276799999998</v>
      </c>
      <c r="M25" s="37">
        <v>1.7705887200000001</v>
      </c>
      <c r="N25" s="37">
        <v>1.29124152</v>
      </c>
      <c r="O25" s="37">
        <v>2.5645075199999998</v>
      </c>
      <c r="P25" s="37">
        <v>0.32355936000000002</v>
      </c>
      <c r="Q25" s="37">
        <v>1.0995026400000003</v>
      </c>
      <c r="R25" s="37">
        <v>0.52428600000000003</v>
      </c>
      <c r="S25" s="37">
        <v>269630.103672</v>
      </c>
      <c r="T25" s="37">
        <v>299589.00408000004</v>
      </c>
      <c r="U25" s="37">
        <v>299589.00408000004</v>
      </c>
      <c r="V25" s="37">
        <v>299589.00408000004</v>
      </c>
      <c r="W25" s="37">
        <v>299589.00408000004</v>
      </c>
      <c r="X25" s="37">
        <v>299589.00408000004</v>
      </c>
      <c r="Y25" s="37">
        <v>299589.00408000004</v>
      </c>
      <c r="Z25" s="37">
        <v>299589.00408000004</v>
      </c>
      <c r="AA25" s="37">
        <v>299589.00408000004</v>
      </c>
      <c r="AB25" s="37">
        <v>299589.00408000004</v>
      </c>
      <c r="AC25" s="37">
        <v>299589.00408000004</v>
      </c>
      <c r="AD25" s="37">
        <v>299589.00408000004</v>
      </c>
      <c r="AE25" s="37">
        <v>299589.00408000004</v>
      </c>
      <c r="AF25" s="11">
        <v>299589.00408000004</v>
      </c>
    </row>
    <row r="26" spans="3:32">
      <c r="C26" s="19" t="s">
        <v>87</v>
      </c>
      <c r="D26" s="60" t="s">
        <v>154</v>
      </c>
      <c r="E26" s="60" t="s">
        <v>309</v>
      </c>
      <c r="F26" s="60" t="s">
        <v>4</v>
      </c>
      <c r="G26" s="37">
        <v>27562.188375359998</v>
      </c>
      <c r="H26" s="37">
        <v>23068.353314160002</v>
      </c>
      <c r="I26" s="37">
        <v>23967.120326400003</v>
      </c>
      <c r="J26" s="37">
        <v>27562.188375359998</v>
      </c>
      <c r="K26" s="37">
        <v>26963.010367199997</v>
      </c>
      <c r="L26" s="37">
        <v>26064.243354959995</v>
      </c>
      <c r="M26" s="37">
        <v>21869.99729784</v>
      </c>
      <c r="N26" s="37">
        <v>15878.21721624</v>
      </c>
      <c r="O26" s="37">
        <v>79091.497077119988</v>
      </c>
      <c r="P26" s="37">
        <v>45237.939616080002</v>
      </c>
      <c r="Q26" s="37">
        <v>15279.039208080001</v>
      </c>
      <c r="R26" s="37">
        <v>10186.026138719999</v>
      </c>
      <c r="S26" s="37">
        <v>89876.701224000004</v>
      </c>
      <c r="T26" s="37">
        <v>299589.00408000004</v>
      </c>
      <c r="U26" s="37">
        <v>299589.00408000004</v>
      </c>
      <c r="V26" s="37">
        <v>299589.00408000004</v>
      </c>
      <c r="W26" s="37">
        <v>299589.00408000004</v>
      </c>
      <c r="X26" s="37">
        <v>299589.00408000004</v>
      </c>
      <c r="Y26" s="37">
        <v>299589.00408000004</v>
      </c>
      <c r="Z26" s="37">
        <v>299589.00408000004</v>
      </c>
      <c r="AA26" s="37">
        <v>299589.00408000004</v>
      </c>
      <c r="AB26" s="37">
        <v>299589.00408000004</v>
      </c>
      <c r="AC26" s="37">
        <v>299589.00408000004</v>
      </c>
      <c r="AD26" s="37">
        <v>299589.00408000004</v>
      </c>
      <c r="AE26" s="37">
        <v>299589.00408000004</v>
      </c>
      <c r="AF26" s="11">
        <v>299589.00408000004</v>
      </c>
    </row>
    <row r="27" spans="3:32">
      <c r="C27" s="19" t="s">
        <v>87</v>
      </c>
      <c r="D27" s="60" t="s">
        <v>154</v>
      </c>
      <c r="E27" s="60" t="s">
        <v>307</v>
      </c>
      <c r="F27" s="60" t="s">
        <v>3</v>
      </c>
      <c r="G27" s="37">
        <v>914645.22945624008</v>
      </c>
      <c r="H27" s="37">
        <v>770842.50749783998</v>
      </c>
      <c r="I27" s="37">
        <v>801999.76392216003</v>
      </c>
      <c r="J27" s="37">
        <v>916442.76348072011</v>
      </c>
      <c r="K27" s="37">
        <v>901163.72427264007</v>
      </c>
      <c r="L27" s="37">
        <v>867609.75581568002</v>
      </c>
      <c r="M27" s="37">
        <v>727701.69091032003</v>
      </c>
      <c r="N27" s="37">
        <v>530871.71522975992</v>
      </c>
      <c r="O27" s="37">
        <v>816080.44711391989</v>
      </c>
      <c r="P27" s="37">
        <v>552142.53451944003</v>
      </c>
      <c r="Q27" s="37">
        <v>450881.45114039996</v>
      </c>
      <c r="R27" s="37">
        <v>356211.32585112005</v>
      </c>
      <c r="S27" s="37">
        <v>808890.31101600011</v>
      </c>
      <c r="T27" s="37">
        <v>898767.01223999995</v>
      </c>
      <c r="U27" s="37">
        <v>898767.01223999995</v>
      </c>
      <c r="V27" s="37">
        <v>898767.01223999995</v>
      </c>
      <c r="W27" s="37">
        <v>898767.01223999995</v>
      </c>
      <c r="X27" s="37">
        <v>898767.01223999995</v>
      </c>
      <c r="Y27" s="37">
        <v>898767.01223999995</v>
      </c>
      <c r="Z27" s="37">
        <v>898767.01223999995</v>
      </c>
      <c r="AA27" s="37">
        <v>898767.01223999995</v>
      </c>
      <c r="AB27" s="37">
        <v>898767.01223999995</v>
      </c>
      <c r="AC27" s="37">
        <v>898767.01223999995</v>
      </c>
      <c r="AD27" s="37">
        <v>898767.01223999995</v>
      </c>
      <c r="AE27" s="37">
        <v>898767.01223999995</v>
      </c>
      <c r="AF27" s="11">
        <v>898767.01223999995</v>
      </c>
    </row>
    <row r="28" spans="3:32">
      <c r="C28" s="19" t="s">
        <v>87</v>
      </c>
      <c r="D28" s="60" t="s">
        <v>154</v>
      </c>
      <c r="E28" s="60" t="s">
        <v>309</v>
      </c>
      <c r="F28" s="60" t="s">
        <v>271</v>
      </c>
      <c r="G28" s="37">
        <v>1308.4676264878788</v>
      </c>
      <c r="H28" s="37">
        <v>0</v>
      </c>
      <c r="I28" s="37">
        <v>0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v>0</v>
      </c>
      <c r="AA28" s="37">
        <v>0</v>
      </c>
      <c r="AB28" s="37">
        <v>0</v>
      </c>
      <c r="AC28" s="37">
        <v>0</v>
      </c>
      <c r="AD28" s="37">
        <v>0</v>
      </c>
      <c r="AE28" s="37">
        <v>0</v>
      </c>
      <c r="AF28" s="11">
        <v>0</v>
      </c>
    </row>
    <row r="29" spans="3:32">
      <c r="C29" s="19" t="s">
        <v>87</v>
      </c>
      <c r="D29" s="60" t="s">
        <v>154</v>
      </c>
      <c r="E29" s="60" t="s">
        <v>262</v>
      </c>
      <c r="F29" s="60" t="s">
        <v>263</v>
      </c>
      <c r="G29" s="37">
        <v>2.6919269935200001</v>
      </c>
      <c r="H29" s="37">
        <v>2.6919269935200001</v>
      </c>
      <c r="I29" s="37">
        <v>2.6919269935200001</v>
      </c>
      <c r="J29" s="37">
        <v>2.6919269935200001</v>
      </c>
      <c r="K29" s="37">
        <v>3.6246677385599995</v>
      </c>
      <c r="L29" s="37">
        <v>3.6246677385599995</v>
      </c>
      <c r="M29" s="37">
        <v>3.6246677385599995</v>
      </c>
      <c r="N29" s="37">
        <v>2.1139127634239996</v>
      </c>
      <c r="O29" s="37">
        <v>1.3760467278480002</v>
      </c>
      <c r="P29" s="37">
        <v>1.4880153431520002</v>
      </c>
      <c r="Q29" s="37">
        <v>1.5347049588000001</v>
      </c>
      <c r="R29" s="37">
        <v>1.3410295161120001</v>
      </c>
      <c r="S29" s="37">
        <v>958684.81305600004</v>
      </c>
      <c r="T29" s="37">
        <v>958684.81305600004</v>
      </c>
      <c r="U29" s="37">
        <v>958684.81305600004</v>
      </c>
      <c r="V29" s="37">
        <v>958684.81305600004</v>
      </c>
      <c r="W29" s="37">
        <v>958684.81305600004</v>
      </c>
      <c r="X29" s="37">
        <v>958684.81305600004</v>
      </c>
      <c r="Y29" s="37">
        <v>958684.81305600004</v>
      </c>
      <c r="Z29" s="37">
        <v>958684.81305600004</v>
      </c>
      <c r="AA29" s="37">
        <v>958684.81305600004</v>
      </c>
      <c r="AB29" s="37">
        <v>958684.81305600004</v>
      </c>
      <c r="AC29" s="37">
        <v>958684.81305600004</v>
      </c>
      <c r="AD29" s="37">
        <v>958684.81305600004</v>
      </c>
      <c r="AE29" s="37">
        <v>958684.81305600004</v>
      </c>
      <c r="AF29" s="11">
        <v>958684.81305600004</v>
      </c>
    </row>
    <row r="30" spans="3:32">
      <c r="C30" s="19" t="s">
        <v>87</v>
      </c>
      <c r="D30" s="60" t="s">
        <v>154</v>
      </c>
      <c r="E30" s="60" t="s">
        <v>307</v>
      </c>
      <c r="F30" s="60" t="s">
        <v>273</v>
      </c>
      <c r="G30" s="37">
        <v>1.2363441414712704</v>
      </c>
      <c r="H30" s="37">
        <v>1.2591661627891815</v>
      </c>
      <c r="I30" s="37">
        <v>1.3670758366511844</v>
      </c>
      <c r="J30" s="37">
        <v>1.3765979297684965</v>
      </c>
      <c r="K30" s="37">
        <v>1.4578014540968292</v>
      </c>
      <c r="L30" s="37">
        <v>1.5086450024627558</v>
      </c>
      <c r="M30" s="37">
        <v>1.5882585586845237</v>
      </c>
      <c r="N30" s="37">
        <v>1.477248668458744</v>
      </c>
      <c r="O30" s="37">
        <v>1.5047906975999998</v>
      </c>
      <c r="P30" s="37">
        <v>1.5047906975999998</v>
      </c>
      <c r="Q30" s="37">
        <v>1.5047906975999998</v>
      </c>
      <c r="R30" s="37">
        <v>1.5047906975999998</v>
      </c>
      <c r="S30" s="37">
        <v>1.5047906975999998</v>
      </c>
      <c r="T30" s="37">
        <v>1.5381780860571364</v>
      </c>
      <c r="U30" s="37">
        <v>1.5819912761142827</v>
      </c>
      <c r="V30" s="37">
        <v>1.6258044661714293</v>
      </c>
      <c r="W30" s="37">
        <v>1.6696176562285605</v>
      </c>
      <c r="X30" s="37">
        <v>1.7134308462857071</v>
      </c>
      <c r="Y30" s="37">
        <v>1.7572440363428534</v>
      </c>
      <c r="Z30" s="37">
        <v>1.8010572264</v>
      </c>
      <c r="AA30" s="37">
        <v>1.8448704164571312</v>
      </c>
      <c r="AB30" s="37">
        <v>1.888683606514278</v>
      </c>
      <c r="AC30" s="37">
        <v>1.9324967965714246</v>
      </c>
      <c r="AD30" s="37">
        <v>1.9763099866285712</v>
      </c>
      <c r="AE30" s="37">
        <v>2.0201231766857024</v>
      </c>
      <c r="AF30" s="11">
        <v>2.0639363667428485</v>
      </c>
    </row>
    <row r="31" spans="3:32">
      <c r="C31" s="19" t="s">
        <v>87</v>
      </c>
      <c r="D31" s="60" t="s">
        <v>154</v>
      </c>
      <c r="E31" s="60" t="s">
        <v>307</v>
      </c>
      <c r="F31" s="60" t="s">
        <v>253</v>
      </c>
      <c r="G31" s="37">
        <v>9.8447454977700097</v>
      </c>
      <c r="H31" s="37">
        <v>8.4511879894367183</v>
      </c>
      <c r="I31" s="37">
        <v>9.5452403807250708</v>
      </c>
      <c r="J31" s="37">
        <v>10.983665886630623</v>
      </c>
      <c r="K31" s="37">
        <v>11.436874806757309</v>
      </c>
      <c r="L31" s="37">
        <v>11.397065173885069</v>
      </c>
      <c r="M31" s="37">
        <v>10.061184392935779</v>
      </c>
      <c r="N31" s="37">
        <v>6.8267955461536758</v>
      </c>
      <c r="O31" s="37">
        <v>6.1735396749127194</v>
      </c>
      <c r="P31" s="37">
        <v>6.0828023657095187</v>
      </c>
      <c r="Q31" s="37">
        <v>5.8899855836527184</v>
      </c>
      <c r="R31" s="37">
        <v>6.2424410384447988</v>
      </c>
      <c r="S31" s="37">
        <v>6.9936061426559997</v>
      </c>
      <c r="T31" s="37">
        <v>6.9936061426559997</v>
      </c>
      <c r="U31" s="37">
        <v>6.9936061426559997</v>
      </c>
      <c r="V31" s="37">
        <v>6.9936061426559997</v>
      </c>
      <c r="W31" s="37">
        <v>6.9936061426559997</v>
      </c>
      <c r="X31" s="37">
        <v>6.9936061426559997</v>
      </c>
      <c r="Y31" s="37">
        <v>6.9936061426559997</v>
      </c>
      <c r="Z31" s="37">
        <v>6.9936061426559997</v>
      </c>
      <c r="AA31" s="37">
        <v>6.9936061426559997</v>
      </c>
      <c r="AB31" s="37">
        <v>6.9936061426559997</v>
      </c>
      <c r="AC31" s="37">
        <v>6.9936061426559997</v>
      </c>
      <c r="AD31" s="37">
        <v>6.9936061426559997</v>
      </c>
      <c r="AE31" s="37">
        <v>6.9936061426559997</v>
      </c>
      <c r="AF31" s="11">
        <v>6.9936061426559997</v>
      </c>
    </row>
    <row r="32" spans="3:32">
      <c r="C32" s="19" t="s">
        <v>87</v>
      </c>
      <c r="D32" s="60" t="s">
        <v>154</v>
      </c>
      <c r="E32" s="60" t="s">
        <v>308</v>
      </c>
      <c r="F32" s="60" t="s">
        <v>253</v>
      </c>
      <c r="G32" s="37">
        <v>8.0347730144495422E-2</v>
      </c>
      <c r="H32" s="37">
        <v>6.8971394182322579E-2</v>
      </c>
      <c r="I32" s="37">
        <v>7.7907875504522606E-2</v>
      </c>
      <c r="J32" s="37">
        <v>8.9640179219241362E-2</v>
      </c>
      <c r="K32" s="37">
        <v>9.3336387367223203E-2</v>
      </c>
      <c r="L32" s="37">
        <v>9.3013089882555716E-2</v>
      </c>
      <c r="M32" s="37">
        <v>8.2110959684785878E-2</v>
      </c>
      <c r="N32" s="37">
        <v>5.57137986244923E-2</v>
      </c>
      <c r="O32" s="37">
        <v>4.6219052485440004E-2</v>
      </c>
      <c r="P32" s="37">
        <v>2.6999842207680001E-2</v>
      </c>
      <c r="Q32" s="37">
        <v>2.3986533888000001E-2</v>
      </c>
      <c r="R32" s="37">
        <v>6.9860779948800007E-3</v>
      </c>
      <c r="S32" s="37">
        <v>4.6473909408000003E-2</v>
      </c>
      <c r="T32" s="37">
        <v>4.6473909408000003E-2</v>
      </c>
      <c r="U32" s="37">
        <v>4.6473909408000003E-2</v>
      </c>
      <c r="V32" s="37">
        <v>4.6473909408000003E-2</v>
      </c>
      <c r="W32" s="37">
        <v>4.6473909408000003E-2</v>
      </c>
      <c r="X32" s="37">
        <v>4.6473909408000003E-2</v>
      </c>
      <c r="Y32" s="37">
        <v>4.6473909408000003E-2</v>
      </c>
      <c r="Z32" s="37">
        <v>4.6473909408000003E-2</v>
      </c>
      <c r="AA32" s="37">
        <v>4.6473909408000003E-2</v>
      </c>
      <c r="AB32" s="37">
        <v>4.6473909408000003E-2</v>
      </c>
      <c r="AC32" s="37">
        <v>4.6473909408000003E-2</v>
      </c>
      <c r="AD32" s="37">
        <v>4.6473909408000003E-2</v>
      </c>
      <c r="AE32" s="37">
        <v>4.6473909408000003E-2</v>
      </c>
      <c r="AF32" s="11">
        <v>4.6473909408000003E-2</v>
      </c>
    </row>
    <row r="33" spans="3:32">
      <c r="C33" s="19" t="s">
        <v>87</v>
      </c>
      <c r="D33" s="60" t="s">
        <v>154</v>
      </c>
      <c r="E33" s="60" t="s">
        <v>308</v>
      </c>
      <c r="F33" s="60" t="s">
        <v>4</v>
      </c>
      <c r="G33" s="37">
        <v>3.4008362399606411E-4</v>
      </c>
      <c r="H33" s="37">
        <v>3.4636132245911047E-4</v>
      </c>
      <c r="I33" s="37">
        <v>3.7604424950202242E-4</v>
      </c>
      <c r="J33" s="37">
        <v>3.7866351045594249E-4</v>
      </c>
      <c r="K33" s="37">
        <v>4.0100032421879037E-4</v>
      </c>
      <c r="L33" s="37">
        <v>4.1498595945181442E-4</v>
      </c>
      <c r="M33" s="37">
        <v>4.3688541754840322E-4</v>
      </c>
      <c r="N33" s="37">
        <v>4.0634970786933121E-4</v>
      </c>
      <c r="O33" s="37">
        <v>4.3440840000000009E-4</v>
      </c>
      <c r="P33" s="37">
        <v>4.3440840000000009E-4</v>
      </c>
      <c r="Q33" s="37">
        <v>4.3440840000000009E-4</v>
      </c>
      <c r="R33" s="37">
        <v>4.3440840000000009E-5</v>
      </c>
      <c r="S33" s="37">
        <v>4.3440840000000009E-5</v>
      </c>
      <c r="T33" s="37">
        <v>4.3440840000000009E-5</v>
      </c>
      <c r="U33" s="37">
        <v>4.3440840000000009E-5</v>
      </c>
      <c r="V33" s="37">
        <v>4.3440840000000009E-5</v>
      </c>
      <c r="W33" s="37">
        <v>4.3440840000000009E-5</v>
      </c>
      <c r="X33" s="37">
        <v>4.3440840000000009E-5</v>
      </c>
      <c r="Y33" s="37">
        <v>4.3440840000000009E-5</v>
      </c>
      <c r="Z33" s="37">
        <v>4.3440840000000009E-5</v>
      </c>
      <c r="AA33" s="37">
        <v>4.3440840000000009E-5</v>
      </c>
      <c r="AB33" s="37">
        <v>4.3440840000000009E-5</v>
      </c>
      <c r="AC33" s="37">
        <v>4.3440840000000009E-5</v>
      </c>
      <c r="AD33" s="37">
        <v>4.3440840000000009E-5</v>
      </c>
      <c r="AE33" s="37">
        <v>4.3440840000000009E-5</v>
      </c>
      <c r="AF33" s="11">
        <v>4.3440840000000009E-5</v>
      </c>
    </row>
    <row r="34" spans="3:32">
      <c r="C34" s="19" t="s">
        <v>87</v>
      </c>
      <c r="D34" s="60" t="s">
        <v>154</v>
      </c>
      <c r="E34" s="60" t="s">
        <v>307</v>
      </c>
      <c r="F34" s="60" t="s">
        <v>4</v>
      </c>
      <c r="G34" s="37">
        <v>0.72190241001898969</v>
      </c>
      <c r="H34" s="37">
        <v>0.61973830763619331</v>
      </c>
      <c r="I34" s="37">
        <v>0.70000109931821386</v>
      </c>
      <c r="J34" s="37">
        <v>0.80550098307148277</v>
      </c>
      <c r="K34" s="37">
        <v>0.83869314451201471</v>
      </c>
      <c r="L34" s="37">
        <v>0.83575537240118847</v>
      </c>
      <c r="M34" s="37">
        <v>0.73778337286019469</v>
      </c>
      <c r="N34" s="37">
        <v>0.50068329690528068</v>
      </c>
      <c r="O34" s="37">
        <v>0.43266597292799996</v>
      </c>
      <c r="P34" s="37">
        <v>0.39758494809599992</v>
      </c>
      <c r="Q34" s="37">
        <v>0.43036945045199992</v>
      </c>
      <c r="R34" s="37">
        <v>0.13740772100400001</v>
      </c>
      <c r="S34" s="37">
        <v>1319090.38496424</v>
      </c>
      <c r="T34" s="37">
        <v>1319090.38496424</v>
      </c>
      <c r="U34" s="37">
        <v>1319090.38496424</v>
      </c>
      <c r="V34" s="37">
        <v>1319090.38496424</v>
      </c>
      <c r="W34" s="37">
        <v>1319090.38496424</v>
      </c>
      <c r="X34" s="37">
        <v>1319090.38496424</v>
      </c>
      <c r="Y34" s="37">
        <v>1319090.38496424</v>
      </c>
      <c r="Z34" s="37">
        <v>1319090.38496424</v>
      </c>
      <c r="AA34" s="37">
        <v>1319090.38496424</v>
      </c>
      <c r="AB34" s="37">
        <v>1319090.38496424</v>
      </c>
      <c r="AC34" s="37">
        <v>1319090.38496424</v>
      </c>
      <c r="AD34" s="37">
        <v>1319090.38496424</v>
      </c>
      <c r="AE34" s="37">
        <v>1319090.38496424</v>
      </c>
      <c r="AF34" s="11">
        <v>1319090.38496424</v>
      </c>
    </row>
    <row r="35" spans="3:32">
      <c r="C35" s="19" t="s">
        <v>87</v>
      </c>
      <c r="D35" s="60" t="s">
        <v>154</v>
      </c>
      <c r="E35" s="60" t="s">
        <v>308</v>
      </c>
      <c r="F35" s="60" t="s">
        <v>4</v>
      </c>
      <c r="G35" s="37">
        <v>5.7521663999999998E-6</v>
      </c>
      <c r="H35" s="37">
        <v>5.7521663999999998E-6</v>
      </c>
      <c r="I35" s="37">
        <v>5.7521663999999998E-6</v>
      </c>
      <c r="J35" s="37">
        <v>5.7521663999999998E-6</v>
      </c>
      <c r="K35" s="37">
        <v>5.7521663999999998E-6</v>
      </c>
      <c r="L35" s="37">
        <v>5.7521663999999998E-6</v>
      </c>
      <c r="M35" s="37">
        <v>5.7521663999999998E-6</v>
      </c>
      <c r="N35" s="37">
        <v>5.7521663999999998E-6</v>
      </c>
      <c r="O35" s="37">
        <v>5.7521663999999998E-6</v>
      </c>
      <c r="P35" s="37">
        <v>5.7521663999999998E-6</v>
      </c>
      <c r="Q35" s="37">
        <v>5.7521663999999998E-6</v>
      </c>
      <c r="R35" s="37">
        <v>5.7521663999999998E-6</v>
      </c>
      <c r="S35" s="37">
        <v>5.7521663999999998E-6</v>
      </c>
      <c r="T35" s="37">
        <v>5.7521663999999998E-6</v>
      </c>
      <c r="U35" s="37">
        <v>5.7521663999999998E-6</v>
      </c>
      <c r="V35" s="37">
        <v>5.7521663999999998E-6</v>
      </c>
      <c r="W35" s="37">
        <v>5.7521663999999998E-6</v>
      </c>
      <c r="X35" s="37">
        <v>5.7521663999999998E-6</v>
      </c>
      <c r="Y35" s="37">
        <v>5.7521663999999998E-6</v>
      </c>
      <c r="Z35" s="37">
        <v>5.7521663999999998E-6</v>
      </c>
      <c r="AA35" s="37">
        <v>5.7521663999999998E-6</v>
      </c>
      <c r="AB35" s="37">
        <v>5.7521663999999998E-6</v>
      </c>
      <c r="AC35" s="37">
        <v>5.7521663999999998E-6</v>
      </c>
      <c r="AD35" s="37">
        <v>5.7521663999999998E-6</v>
      </c>
      <c r="AE35" s="37">
        <v>5.7521663999999998E-6</v>
      </c>
      <c r="AF35" s="11">
        <v>5.7521663999999998E-6</v>
      </c>
    </row>
    <row r="36" spans="3:32">
      <c r="C36" s="19" t="s">
        <v>87</v>
      </c>
      <c r="D36" s="60" t="s">
        <v>154</v>
      </c>
      <c r="E36" s="60" t="s">
        <v>307</v>
      </c>
      <c r="F36" s="60" t="s">
        <v>4</v>
      </c>
      <c r="G36" s="37">
        <v>0.25425583062632345</v>
      </c>
      <c r="H36" s="37">
        <v>0.2183037121310745</v>
      </c>
      <c r="I36" s="37">
        <v>0.24657124525040036</v>
      </c>
      <c r="J36" s="37">
        <v>0.28369257144606524</v>
      </c>
      <c r="K36" s="37">
        <v>0.2954002850710577</v>
      </c>
      <c r="L36" s="37">
        <v>0.29435918295178476</v>
      </c>
      <c r="M36" s="37">
        <v>0.25984153431352164</v>
      </c>
      <c r="N36" s="37">
        <v>0.17637839705304831</v>
      </c>
      <c r="O36" s="37">
        <v>0.16733276751599999</v>
      </c>
      <c r="P36" s="37">
        <v>0.19716344853984</v>
      </c>
      <c r="Q36" s="37">
        <v>0.17212550851152</v>
      </c>
      <c r="R36" s="37">
        <v>0.19005697051199999</v>
      </c>
      <c r="S36" s="37">
        <v>689054.70938400005</v>
      </c>
      <c r="T36" s="37">
        <v>689054.70938400005</v>
      </c>
      <c r="U36" s="37">
        <v>689054.70938400005</v>
      </c>
      <c r="V36" s="37">
        <v>689054.70938400005</v>
      </c>
      <c r="W36" s="37">
        <v>689054.70938400005</v>
      </c>
      <c r="X36" s="37">
        <v>689054.70938400005</v>
      </c>
      <c r="Y36" s="37">
        <v>689054.70938400005</v>
      </c>
      <c r="Z36" s="37">
        <v>689054.70938400005</v>
      </c>
      <c r="AA36" s="37">
        <v>689054.70938400005</v>
      </c>
      <c r="AB36" s="37">
        <v>689054.70938400005</v>
      </c>
      <c r="AC36" s="37">
        <v>689054.70938400005</v>
      </c>
      <c r="AD36" s="37">
        <v>689054.70938400005</v>
      </c>
      <c r="AE36" s="37">
        <v>689054.70938400005</v>
      </c>
      <c r="AF36" s="11">
        <v>689054.70938400005</v>
      </c>
    </row>
    <row r="37" spans="3:32">
      <c r="C37" s="19" t="s">
        <v>87</v>
      </c>
      <c r="D37" s="60" t="s">
        <v>154</v>
      </c>
      <c r="E37" s="60" t="s">
        <v>307</v>
      </c>
      <c r="F37" s="60" t="s">
        <v>4</v>
      </c>
      <c r="G37" s="37">
        <v>7.3695614339097011</v>
      </c>
      <c r="H37" s="37">
        <v>6.3261279921157003</v>
      </c>
      <c r="I37" s="37">
        <v>7.1452660744753622</v>
      </c>
      <c r="J37" s="37">
        <v>8.2231057556015266</v>
      </c>
      <c r="K37" s="37">
        <v>8.561260202339227</v>
      </c>
      <c r="L37" s="37">
        <v>8.5317668177708921</v>
      </c>
      <c r="M37" s="37">
        <v>7.531334962865615</v>
      </c>
      <c r="N37" s="37">
        <v>5.1103146627750879</v>
      </c>
      <c r="O37" s="37">
        <v>3.3801887802474</v>
      </c>
      <c r="P37" s="37">
        <v>4.6111466502039464</v>
      </c>
      <c r="Q37" s="37">
        <v>4.3917009599022627</v>
      </c>
      <c r="R37" s="37">
        <v>4.6526468132190093</v>
      </c>
      <c r="S37" s="37">
        <v>4.6526468132190093</v>
      </c>
      <c r="T37" s="37">
        <v>4.6526468132190093</v>
      </c>
      <c r="U37" s="37">
        <v>4.6526468132190093</v>
      </c>
      <c r="V37" s="37">
        <v>4.6526468132190093</v>
      </c>
      <c r="W37" s="37">
        <v>4.6526468132190093</v>
      </c>
      <c r="X37" s="37">
        <v>4.6526468132190093</v>
      </c>
      <c r="Y37" s="37">
        <v>4.6526468132190093</v>
      </c>
      <c r="Z37" s="37">
        <v>4.6526468132190093</v>
      </c>
      <c r="AA37" s="37">
        <v>4.6526468132190093</v>
      </c>
      <c r="AB37" s="37">
        <v>4.6526468132190093</v>
      </c>
      <c r="AC37" s="37">
        <v>4.6526468132190093</v>
      </c>
      <c r="AD37" s="37">
        <v>4.6526468132190093</v>
      </c>
      <c r="AE37" s="37">
        <v>4.6526468132190093</v>
      </c>
      <c r="AF37" s="11">
        <v>4.6526468132190093</v>
      </c>
    </row>
    <row r="38" spans="3:32">
      <c r="C38" s="19" t="s">
        <v>87</v>
      </c>
      <c r="D38" s="60" t="s">
        <v>154</v>
      </c>
      <c r="E38" s="60" t="s">
        <v>309</v>
      </c>
      <c r="F38" s="60" t="s">
        <v>4</v>
      </c>
      <c r="G38" s="37">
        <v>0.97406466796800006</v>
      </c>
      <c r="H38" s="37">
        <v>0.82095637881600003</v>
      </c>
      <c r="I38" s="37">
        <v>0.85417513977600001</v>
      </c>
      <c r="J38" s="37">
        <v>0.97602759475199996</v>
      </c>
      <c r="K38" s="37">
        <v>0.95972020300800009</v>
      </c>
      <c r="L38" s="37">
        <v>0.92408553216</v>
      </c>
      <c r="M38" s="37">
        <v>0.77490309657600009</v>
      </c>
      <c r="N38" s="37">
        <v>0.56532291379200006</v>
      </c>
      <c r="O38" s="37">
        <v>0.564567941952</v>
      </c>
      <c r="P38" s="37">
        <v>0.55414933056000004</v>
      </c>
      <c r="Q38" s="37">
        <v>0.49375158336000002</v>
      </c>
      <c r="R38" s="37">
        <v>0.50356621728000006</v>
      </c>
      <c r="S38" s="37">
        <v>0.55867916160000008</v>
      </c>
      <c r="T38" s="37">
        <v>0.55867916160000008</v>
      </c>
      <c r="U38" s="37">
        <v>0.55867916160000008</v>
      </c>
      <c r="V38" s="37">
        <v>0.55867916160000008</v>
      </c>
      <c r="W38" s="37">
        <v>0.55867916160000008</v>
      </c>
      <c r="X38" s="37">
        <v>0.55867916160000008</v>
      </c>
      <c r="Y38" s="37">
        <v>0.55867916160000008</v>
      </c>
      <c r="Z38" s="37">
        <v>0.55867916160000008</v>
      </c>
      <c r="AA38" s="37">
        <v>0.55867916160000008</v>
      </c>
      <c r="AB38" s="37">
        <v>0.55867916160000008</v>
      </c>
      <c r="AC38" s="37">
        <v>0.55867916160000008</v>
      </c>
      <c r="AD38" s="37">
        <v>0.55867916160000008</v>
      </c>
      <c r="AE38" s="37">
        <v>0.55867916160000008</v>
      </c>
      <c r="AF38" s="11">
        <v>0.55867916160000008</v>
      </c>
    </row>
    <row r="39" spans="3:32">
      <c r="C39" s="19" t="s">
        <v>87</v>
      </c>
      <c r="D39" s="60" t="s">
        <v>154</v>
      </c>
      <c r="E39" s="60" t="s">
        <v>310</v>
      </c>
      <c r="F39" s="60" t="s">
        <v>3</v>
      </c>
      <c r="G39" s="37">
        <v>0.41904250427165612</v>
      </c>
      <c r="H39" s="37">
        <v>0.35973074685201267</v>
      </c>
      <c r="I39" s="37">
        <v>0.4063122235196322</v>
      </c>
      <c r="J39" s="37">
        <v>0.46752904976821436</v>
      </c>
      <c r="K39" s="37">
        <v>0.48681352580630033</v>
      </c>
      <c r="L39" s="37">
        <v>0.4851074016539722</v>
      </c>
      <c r="M39" s="37">
        <v>0.42823649586600243</v>
      </c>
      <c r="N39" s="37">
        <v>0.290610470812315</v>
      </c>
      <c r="O39" s="37">
        <v>0.25751010931199997</v>
      </c>
      <c r="P39" s="37">
        <v>0.237837700224</v>
      </c>
      <c r="Q39" s="37">
        <v>0.24978782591999998</v>
      </c>
      <c r="R39" s="37">
        <v>0.255353046912</v>
      </c>
      <c r="S39" s="37">
        <v>0.25884748799999996</v>
      </c>
      <c r="T39" s="37">
        <v>0.25884748799999996</v>
      </c>
      <c r="U39" s="37">
        <v>0.25884748799999996</v>
      </c>
      <c r="V39" s="37">
        <v>0.25884748799999996</v>
      </c>
      <c r="W39" s="37">
        <v>0.25884748799999996</v>
      </c>
      <c r="X39" s="37">
        <v>0.25884748799999996</v>
      </c>
      <c r="Y39" s="37">
        <v>0.25884748799999996</v>
      </c>
      <c r="Z39" s="37">
        <v>0.25884748799999996</v>
      </c>
      <c r="AA39" s="37">
        <v>0.25884748799999996</v>
      </c>
      <c r="AB39" s="37">
        <v>0.25884748799999996</v>
      </c>
      <c r="AC39" s="37">
        <v>0.25884748799999996</v>
      </c>
      <c r="AD39" s="37">
        <v>0.25884748799999996</v>
      </c>
      <c r="AE39" s="37">
        <v>0.25884748799999996</v>
      </c>
      <c r="AF39" s="11">
        <v>0.25884748799999996</v>
      </c>
    </row>
    <row r="40" spans="3:32">
      <c r="C40" s="19" t="s">
        <v>87</v>
      </c>
      <c r="D40" s="60" t="s">
        <v>154</v>
      </c>
      <c r="E40" s="60" t="s">
        <v>307</v>
      </c>
      <c r="F40" s="60" t="s">
        <v>271</v>
      </c>
      <c r="G40" s="37">
        <v>3.3513659986786508</v>
      </c>
      <c r="H40" s="37">
        <v>2.8768027001697289</v>
      </c>
      <c r="I40" s="37">
        <v>3.2493094535576699</v>
      </c>
      <c r="J40" s="37">
        <v>3.7389830432238229</v>
      </c>
      <c r="K40" s="37">
        <v>3.8932200629241538</v>
      </c>
      <c r="L40" s="37">
        <v>3.8795225306385994</v>
      </c>
      <c r="M40" s="37">
        <v>3.4247699930898681</v>
      </c>
      <c r="N40" s="37">
        <v>2.3242647087471311</v>
      </c>
      <c r="O40" s="37">
        <v>2.1563680176460802</v>
      </c>
      <c r="P40" s="37">
        <v>2.0464345128225605</v>
      </c>
      <c r="Q40" s="37">
        <v>1.9795682507832002</v>
      </c>
      <c r="R40" s="37">
        <v>2.2155275690855998</v>
      </c>
      <c r="S40" s="37">
        <v>2.2528779134400003</v>
      </c>
      <c r="T40" s="37">
        <v>2.2528779134400003</v>
      </c>
      <c r="U40" s="37">
        <v>2.2528779134400003</v>
      </c>
      <c r="V40" s="37">
        <v>2.2528779134400003</v>
      </c>
      <c r="W40" s="37">
        <v>2.2528779134400003</v>
      </c>
      <c r="X40" s="37">
        <v>2.2528779134400003</v>
      </c>
      <c r="Y40" s="37">
        <v>2.2528779134400003</v>
      </c>
      <c r="Z40" s="37">
        <v>2.2528779134400003</v>
      </c>
      <c r="AA40" s="37">
        <v>2.2528779134400003</v>
      </c>
      <c r="AB40" s="37">
        <v>2.2528779134400003</v>
      </c>
      <c r="AC40" s="37">
        <v>2.2528779134400003</v>
      </c>
      <c r="AD40" s="37">
        <v>2.2528779134400003</v>
      </c>
      <c r="AE40" s="37">
        <v>2.2528779134400003</v>
      </c>
      <c r="AF40" s="11">
        <v>2.2528779134400003</v>
      </c>
    </row>
    <row r="41" spans="3:32">
      <c r="C41" s="19" t="s">
        <v>87</v>
      </c>
      <c r="D41" s="60" t="s">
        <v>154</v>
      </c>
      <c r="E41" s="60" t="s">
        <v>309</v>
      </c>
      <c r="F41" s="60" t="s">
        <v>271</v>
      </c>
      <c r="G41" s="37">
        <v>0.72312650365651621</v>
      </c>
      <c r="H41" s="37">
        <v>0.62068131194032461</v>
      </c>
      <c r="I41" s="37">
        <v>0.70112135607403836</v>
      </c>
      <c r="J41" s="37">
        <v>0.80686271605596793</v>
      </c>
      <c r="K41" s="37">
        <v>0.84003038000791908</v>
      </c>
      <c r="L41" s="37">
        <v>0.83718443937603093</v>
      </c>
      <c r="M41" s="37">
        <v>0.73901834127127142</v>
      </c>
      <c r="N41" s="37">
        <v>0.50156347211699204</v>
      </c>
      <c r="O41" s="37">
        <v>0.53544070893599993</v>
      </c>
      <c r="P41" s="37">
        <v>0.48763840859999996</v>
      </c>
      <c r="Q41" s="37">
        <v>0.466484517072</v>
      </c>
      <c r="R41" s="37">
        <v>0.6309952777440001</v>
      </c>
      <c r="S41" s="37">
        <v>0.80211264120000014</v>
      </c>
      <c r="T41" s="37">
        <v>0.80211264120000014</v>
      </c>
      <c r="U41" s="37">
        <v>0.80211264120000014</v>
      </c>
      <c r="V41" s="37">
        <v>0.80211264120000014</v>
      </c>
      <c r="W41" s="37">
        <v>0.80211264120000014</v>
      </c>
      <c r="X41" s="37">
        <v>0.80211264120000014</v>
      </c>
      <c r="Y41" s="37">
        <v>0.80211264120000014</v>
      </c>
      <c r="Z41" s="37">
        <v>0.80211264120000014</v>
      </c>
      <c r="AA41" s="37">
        <v>0.80211264120000014</v>
      </c>
      <c r="AB41" s="37">
        <v>0.80211264120000014</v>
      </c>
      <c r="AC41" s="37">
        <v>0.80211264120000014</v>
      </c>
      <c r="AD41" s="37">
        <v>0.80211264120000014</v>
      </c>
      <c r="AE41" s="37">
        <v>0.80211264120000014</v>
      </c>
      <c r="AF41" s="11">
        <v>0.80211264120000014</v>
      </c>
    </row>
    <row r="42" spans="3:32">
      <c r="C42" s="19" t="s">
        <v>87</v>
      </c>
      <c r="D42" s="60" t="s">
        <v>154</v>
      </c>
      <c r="E42" s="60" t="s">
        <v>308</v>
      </c>
      <c r="F42" s="60" t="s">
        <v>271</v>
      </c>
      <c r="G42" s="37">
        <v>5.7389111549335819E-2</v>
      </c>
      <c r="H42" s="37">
        <v>4.9271780518300071E-2</v>
      </c>
      <c r="I42" s="37">
        <v>5.5640242895068269E-2</v>
      </c>
      <c r="J42" s="37">
        <v>6.4022944621110703E-2</v>
      </c>
      <c r="K42" s="37">
        <v>6.6655407153433169E-2</v>
      </c>
      <c r="L42" s="37">
        <v>6.6442860681795946E-2</v>
      </c>
      <c r="M42" s="37">
        <v>5.865899043768099E-2</v>
      </c>
      <c r="N42" s="37">
        <v>3.9784728191663059E-2</v>
      </c>
      <c r="O42" s="37">
        <v>0.10566010656000001</v>
      </c>
      <c r="P42" s="37">
        <v>9.7427318400000018E-2</v>
      </c>
      <c r="Q42" s="37">
        <v>1.8227177280000003E-2</v>
      </c>
      <c r="R42" s="37">
        <v>0.10080671615999999</v>
      </c>
      <c r="S42" s="37">
        <v>0.104258016</v>
      </c>
      <c r="T42" s="37">
        <v>0.104258016</v>
      </c>
      <c r="U42" s="37">
        <v>0.104258016</v>
      </c>
      <c r="V42" s="37">
        <v>0.104258016</v>
      </c>
      <c r="W42" s="37">
        <v>0.104258016</v>
      </c>
      <c r="X42" s="37">
        <v>0.104258016</v>
      </c>
      <c r="Y42" s="37">
        <v>0.104258016</v>
      </c>
      <c r="Z42" s="37">
        <v>0.104258016</v>
      </c>
      <c r="AA42" s="37">
        <v>0.104258016</v>
      </c>
      <c r="AB42" s="37">
        <v>0.104258016</v>
      </c>
      <c r="AC42" s="37">
        <v>0.104258016</v>
      </c>
      <c r="AD42" s="37">
        <v>0.104258016</v>
      </c>
      <c r="AE42" s="37">
        <v>0.104258016</v>
      </c>
      <c r="AF42" s="11">
        <v>0.104258016</v>
      </c>
    </row>
    <row r="43" spans="3:32">
      <c r="C43" s="16" t="s">
        <v>87</v>
      </c>
      <c r="D43" s="36" t="s">
        <v>157</v>
      </c>
      <c r="E43" s="36" t="s">
        <v>286</v>
      </c>
      <c r="F43" s="36" t="s">
        <v>286</v>
      </c>
      <c r="G43" s="37">
        <v>0</v>
      </c>
      <c r="H43" s="37">
        <v>0</v>
      </c>
      <c r="I43" s="37">
        <v>0</v>
      </c>
      <c r="J43" s="37">
        <v>0</v>
      </c>
      <c r="K43" s="37">
        <v>0</v>
      </c>
      <c r="L43" s="37">
        <v>0</v>
      </c>
      <c r="M43" s="37">
        <v>0</v>
      </c>
      <c r="N43" s="37">
        <v>0</v>
      </c>
      <c r="O43" s="37">
        <v>0</v>
      </c>
      <c r="P43" s="37">
        <v>0</v>
      </c>
      <c r="Q43" s="37">
        <v>0</v>
      </c>
      <c r="R43" s="37">
        <v>0</v>
      </c>
      <c r="S43" s="37">
        <v>0</v>
      </c>
      <c r="T43" s="37">
        <v>0</v>
      </c>
      <c r="U43" s="37">
        <v>25.615115999999997</v>
      </c>
      <c r="V43" s="37">
        <v>25.615115999999997</v>
      </c>
      <c r="W43" s="37">
        <v>25.615115999999997</v>
      </c>
      <c r="X43" s="37">
        <v>25.615115999999997</v>
      </c>
      <c r="Y43" s="37">
        <v>25.615115999999997</v>
      </c>
      <c r="Z43" s="37">
        <v>25.615115999999997</v>
      </c>
      <c r="AA43" s="37">
        <v>25.615115999999997</v>
      </c>
      <c r="AB43" s="37">
        <v>25.615115999999997</v>
      </c>
      <c r="AC43" s="37">
        <v>25.615115999999997</v>
      </c>
      <c r="AD43" s="37">
        <v>25.615115999999997</v>
      </c>
      <c r="AE43" s="37">
        <v>25.615115999999997</v>
      </c>
      <c r="AF43" s="11">
        <v>25.615115999999997</v>
      </c>
    </row>
    <row r="44" spans="3:32">
      <c r="C44" s="16" t="s">
        <v>87</v>
      </c>
      <c r="D44" s="36" t="s">
        <v>157</v>
      </c>
      <c r="E44" s="36" t="s">
        <v>234</v>
      </c>
      <c r="F44" s="36" t="s">
        <v>235</v>
      </c>
      <c r="G44" s="37">
        <v>0.18216936647841961</v>
      </c>
      <c r="H44" s="37">
        <v>0.2348939059266518</v>
      </c>
      <c r="I44" s="37">
        <v>0.25820507730064407</v>
      </c>
      <c r="J44" s="37">
        <v>0.23287941036666826</v>
      </c>
      <c r="K44" s="37">
        <v>0.24171299141600849</v>
      </c>
      <c r="L44" s="37">
        <v>0.27626808671220043</v>
      </c>
      <c r="M44" s="37">
        <v>0.33407385608164503</v>
      </c>
      <c r="N44" s="37">
        <v>0.42383174341439295</v>
      </c>
      <c r="O44" s="37">
        <v>0.37536420945599996</v>
      </c>
      <c r="P44" s="37">
        <v>0.54149037019199997</v>
      </c>
      <c r="Q44" s="37">
        <v>0.51342339326399999</v>
      </c>
      <c r="R44" s="37">
        <v>0.540984658896</v>
      </c>
      <c r="S44" s="37">
        <v>898767.01223999995</v>
      </c>
      <c r="T44" s="37">
        <v>898767.01223999995</v>
      </c>
      <c r="U44" s="37">
        <v>898767.01223999995</v>
      </c>
      <c r="V44" s="37">
        <v>898767.01223999995</v>
      </c>
      <c r="W44" s="37">
        <v>898767.01223999995</v>
      </c>
      <c r="X44" s="37">
        <v>898767.01223999995</v>
      </c>
      <c r="Y44" s="37">
        <v>898767.01223999995</v>
      </c>
      <c r="Z44" s="37">
        <v>898767.01223999995</v>
      </c>
      <c r="AA44" s="37">
        <v>898767.01223999995</v>
      </c>
      <c r="AB44" s="37">
        <v>898767.01223999995</v>
      </c>
      <c r="AC44" s="37">
        <v>898767.01223999995</v>
      </c>
      <c r="AD44" s="37">
        <v>898767.01223999995</v>
      </c>
      <c r="AE44" s="37">
        <v>898767.01223999995</v>
      </c>
      <c r="AF44" s="11">
        <v>898767.01223999995</v>
      </c>
    </row>
    <row r="45" spans="3:32">
      <c r="C45" s="16" t="s">
        <v>87</v>
      </c>
      <c r="D45" s="36" t="s">
        <v>157</v>
      </c>
      <c r="E45" s="36" t="s">
        <v>236</v>
      </c>
      <c r="F45" s="36" t="s">
        <v>235</v>
      </c>
      <c r="G45" s="37">
        <v>1.1219325971908893</v>
      </c>
      <c r="H45" s="37">
        <v>1.4466413096285764</v>
      </c>
      <c r="I45" s="37">
        <v>1.5901459068595813</v>
      </c>
      <c r="J45" s="37">
        <v>1.4342875693416863</v>
      </c>
      <c r="K45" s="37">
        <v>1.488716836451625</v>
      </c>
      <c r="L45" s="37">
        <v>1.7017044702283837</v>
      </c>
      <c r="M45" s="37">
        <v>2.0574786727171426</v>
      </c>
      <c r="N45" s="37">
        <v>2.610057424111726</v>
      </c>
      <c r="O45" s="37">
        <v>3.19448358576</v>
      </c>
      <c r="P45" s="37">
        <v>4.2461234078399999</v>
      </c>
      <c r="Q45" s="37">
        <v>3.1619389068000001</v>
      </c>
      <c r="R45" s="37">
        <v>3.8377195934400001</v>
      </c>
      <c r="S45" s="37">
        <v>6.26746464</v>
      </c>
      <c r="T45" s="37">
        <v>6.26746464</v>
      </c>
      <c r="U45" s="37">
        <v>7.3909346399999993</v>
      </c>
      <c r="V45" s="37">
        <v>7.3909346399999993</v>
      </c>
      <c r="W45" s="37">
        <v>7.3909346399999993</v>
      </c>
      <c r="X45" s="37">
        <v>7.3909346399999993</v>
      </c>
      <c r="Y45" s="37">
        <v>7.3909346399999993</v>
      </c>
      <c r="Z45" s="37">
        <v>7.3909346399999993</v>
      </c>
      <c r="AA45" s="37">
        <v>7.3909346399999993</v>
      </c>
      <c r="AB45" s="37">
        <v>7.3909346399999993</v>
      </c>
      <c r="AC45" s="37">
        <v>7.3909346399999993</v>
      </c>
      <c r="AD45" s="37">
        <v>7.3909346399999993</v>
      </c>
      <c r="AE45" s="37">
        <v>7.3909346399999993</v>
      </c>
      <c r="AF45" s="11">
        <v>7.3909346399999993</v>
      </c>
    </row>
    <row r="46" spans="3:32">
      <c r="C46" s="16" t="s">
        <v>87</v>
      </c>
      <c r="D46" s="36" t="s">
        <v>157</v>
      </c>
      <c r="E46" s="36" t="s">
        <v>288</v>
      </c>
      <c r="F46" s="36" t="s">
        <v>235</v>
      </c>
      <c r="G46" s="37">
        <v>0</v>
      </c>
      <c r="H46" s="37">
        <v>0</v>
      </c>
      <c r="I46" s="37">
        <v>0</v>
      </c>
      <c r="J46" s="37">
        <v>0</v>
      </c>
      <c r="K46" s="37">
        <v>0</v>
      </c>
      <c r="L46" s="37">
        <v>0</v>
      </c>
      <c r="M46" s="37">
        <v>0</v>
      </c>
      <c r="N46" s="37">
        <v>0</v>
      </c>
      <c r="O46" s="37">
        <v>0</v>
      </c>
      <c r="P46" s="37">
        <v>0</v>
      </c>
      <c r="Q46" s="37">
        <v>0</v>
      </c>
      <c r="R46" s="37">
        <v>0</v>
      </c>
      <c r="S46" s="37">
        <v>0</v>
      </c>
      <c r="T46" s="37">
        <v>0</v>
      </c>
      <c r="U46" s="37">
        <v>0</v>
      </c>
      <c r="V46" s="37">
        <v>0</v>
      </c>
      <c r="W46" s="37">
        <v>0</v>
      </c>
      <c r="X46" s="37">
        <v>0.361235450736</v>
      </c>
      <c r="Y46" s="37">
        <v>0.361235450736</v>
      </c>
      <c r="Z46" s="37">
        <v>0.361235450736</v>
      </c>
      <c r="AA46" s="37">
        <v>0.361235450736</v>
      </c>
      <c r="AB46" s="37">
        <v>0.361235450736</v>
      </c>
      <c r="AC46" s="37">
        <v>0.361235450736</v>
      </c>
      <c r="AD46" s="37">
        <v>0.361235450736</v>
      </c>
      <c r="AE46" s="37">
        <v>0.361235450736</v>
      </c>
      <c r="AF46" s="11">
        <v>0.361235450736</v>
      </c>
    </row>
    <row r="47" spans="3:32">
      <c r="C47" s="16" t="s">
        <v>87</v>
      </c>
      <c r="D47" s="36" t="s">
        <v>157</v>
      </c>
      <c r="E47" s="36" t="s">
        <v>237</v>
      </c>
      <c r="F47" s="36" t="s">
        <v>235</v>
      </c>
      <c r="G47" s="37">
        <v>4.6011834885168001</v>
      </c>
      <c r="H47" s="37">
        <v>5.9530192281503993</v>
      </c>
      <c r="I47" s="37">
        <v>6.4585419609455998</v>
      </c>
      <c r="J47" s="37">
        <v>5.8232924168831994</v>
      </c>
      <c r="K47" s="37">
        <v>5.8468973904000006</v>
      </c>
      <c r="L47" s="37">
        <v>6.2403815231999999</v>
      </c>
      <c r="M47" s="37">
        <v>4.3500758400000006</v>
      </c>
      <c r="N47" s="37">
        <v>5.6353255199999994</v>
      </c>
      <c r="O47" s="37">
        <v>6.5245505270399997</v>
      </c>
      <c r="P47" s="37">
        <v>7.2393051369600006</v>
      </c>
      <c r="Q47" s="37">
        <v>6.6742626412799995</v>
      </c>
      <c r="R47" s="37">
        <v>7.1982550411199995</v>
      </c>
      <c r="S47" s="37">
        <v>1617780.6220320002</v>
      </c>
      <c r="T47" s="37">
        <v>1617780.6220320002</v>
      </c>
      <c r="U47" s="37">
        <v>1617780.6220320002</v>
      </c>
      <c r="V47" s="37">
        <v>1617780.6220320002</v>
      </c>
      <c r="W47" s="37">
        <v>1617780.6220320002</v>
      </c>
      <c r="X47" s="37">
        <v>1617780.6220320002</v>
      </c>
      <c r="Y47" s="37">
        <v>1617780.6220320002</v>
      </c>
      <c r="Z47" s="37">
        <v>1617780.6220320002</v>
      </c>
      <c r="AA47" s="37">
        <v>1617780.6220320002</v>
      </c>
      <c r="AB47" s="37">
        <v>1617780.6220320002</v>
      </c>
      <c r="AC47" s="37">
        <v>1617780.6220320002</v>
      </c>
      <c r="AD47" s="37">
        <v>1617780.6220320002</v>
      </c>
      <c r="AE47" s="37">
        <v>1617780.6220320002</v>
      </c>
      <c r="AF47" s="11">
        <v>1617780.6220320002</v>
      </c>
    </row>
    <row r="48" spans="3:32">
      <c r="C48" s="16" t="s">
        <v>87</v>
      </c>
      <c r="D48" s="36" t="s">
        <v>157</v>
      </c>
      <c r="E48" s="36" t="s">
        <v>238</v>
      </c>
      <c r="F48" s="36" t="s">
        <v>235</v>
      </c>
      <c r="G48" s="37">
        <v>15.172312554000001</v>
      </c>
      <c r="H48" s="37">
        <v>19.629642330000003</v>
      </c>
      <c r="I48" s="37">
        <v>21.297920382000001</v>
      </c>
      <c r="J48" s="37">
        <v>19.204521282000005</v>
      </c>
      <c r="K48" s="37">
        <v>20.080528290000004</v>
      </c>
      <c r="L48" s="37">
        <v>21.429965555999999</v>
      </c>
      <c r="M48" s="37">
        <v>14.032215197999999</v>
      </c>
      <c r="N48" s="37">
        <v>17.526581388000004</v>
      </c>
      <c r="O48" s="37">
        <v>17.642523491999999</v>
      </c>
      <c r="P48" s="37">
        <v>20.180367324000002</v>
      </c>
      <c r="Q48" s="37">
        <v>18.705326112000002</v>
      </c>
      <c r="R48" s="37">
        <v>19.742363820000001</v>
      </c>
      <c r="S48" s="37">
        <v>1740012.9356966401</v>
      </c>
      <c r="T48" s="37">
        <v>1740012.9356966401</v>
      </c>
      <c r="U48" s="37">
        <v>1740012.9356966401</v>
      </c>
      <c r="V48" s="37">
        <v>1740012.9356966401</v>
      </c>
      <c r="W48" s="37">
        <v>1740012.9356966401</v>
      </c>
      <c r="X48" s="37">
        <v>1740012.9356966401</v>
      </c>
      <c r="Y48" s="37">
        <v>1740012.9356966401</v>
      </c>
      <c r="Z48" s="37">
        <v>1740012.9356966401</v>
      </c>
      <c r="AA48" s="37">
        <v>1740012.9356966401</v>
      </c>
      <c r="AB48" s="37">
        <v>1740012.9356966401</v>
      </c>
      <c r="AC48" s="37">
        <v>1740012.9356966401</v>
      </c>
      <c r="AD48" s="37">
        <v>1740012.9356966401</v>
      </c>
      <c r="AE48" s="37">
        <v>1740012.9356966401</v>
      </c>
      <c r="AF48" s="11">
        <v>1740012.9356966401</v>
      </c>
    </row>
    <row r="49" spans="3:32">
      <c r="C49" s="16" t="s">
        <v>87</v>
      </c>
      <c r="D49" s="36" t="s">
        <v>157</v>
      </c>
      <c r="E49" s="36" t="s">
        <v>239</v>
      </c>
      <c r="F49" s="36" t="s">
        <v>235</v>
      </c>
      <c r="G49" s="37">
        <v>0.59041338575798941</v>
      </c>
      <c r="H49" s="37">
        <v>0.58830440919698779</v>
      </c>
      <c r="I49" s="37">
        <v>0.59606628547892659</v>
      </c>
      <c r="J49" s="37">
        <v>0.59629271741930889</v>
      </c>
      <c r="K49" s="37">
        <v>0.59190625680678843</v>
      </c>
      <c r="L49" s="37">
        <v>0.63390674881814868</v>
      </c>
      <c r="M49" s="37">
        <v>0.74498789186731929</v>
      </c>
      <c r="N49" s="37">
        <v>0.55332687950478898</v>
      </c>
      <c r="O49" s="37">
        <v>0.97124203198079995</v>
      </c>
      <c r="P49" s="37">
        <v>0.97645675430015977</v>
      </c>
      <c r="Q49" s="37">
        <v>1.0889848037376</v>
      </c>
      <c r="R49" s="37">
        <v>1.3444089737903997</v>
      </c>
      <c r="S49" s="37">
        <v>1797534.0244799999</v>
      </c>
      <c r="T49" s="37">
        <v>1797534.0244799999</v>
      </c>
      <c r="U49" s="37">
        <v>1797534.0244799999</v>
      </c>
      <c r="V49" s="37">
        <v>1797534.0244799999</v>
      </c>
      <c r="W49" s="37">
        <v>1797534.0244799999</v>
      </c>
      <c r="X49" s="37">
        <v>1797534.0244799999</v>
      </c>
      <c r="Y49" s="37">
        <v>1797534.0244799999</v>
      </c>
      <c r="Z49" s="37">
        <v>1797534.0244799999</v>
      </c>
      <c r="AA49" s="37">
        <v>1797534.0244799999</v>
      </c>
      <c r="AB49" s="37">
        <v>1797534.0244799999</v>
      </c>
      <c r="AC49" s="37">
        <v>1797534.0244799999</v>
      </c>
      <c r="AD49" s="37">
        <v>1797534.0244799999</v>
      </c>
      <c r="AE49" s="37">
        <v>1797534.0244799999</v>
      </c>
      <c r="AF49" s="11">
        <v>1797534.0244799999</v>
      </c>
    </row>
    <row r="50" spans="3:32">
      <c r="C50" s="16" t="s">
        <v>87</v>
      </c>
      <c r="D50" s="36" t="s">
        <v>157</v>
      </c>
      <c r="E50" s="36" t="s">
        <v>240</v>
      </c>
      <c r="F50" s="36" t="s">
        <v>235</v>
      </c>
      <c r="G50" s="37">
        <v>2.034592792833219</v>
      </c>
      <c r="H50" s="37">
        <v>2.8961787980552081</v>
      </c>
      <c r="I50" s="37">
        <v>2.9343899369986737</v>
      </c>
      <c r="J50" s="37">
        <v>2.9355046445797921</v>
      </c>
      <c r="K50" s="37">
        <v>2.9139104256246329</v>
      </c>
      <c r="L50" s="37">
        <v>3.1206757202060955</v>
      </c>
      <c r="M50" s="37">
        <v>4.0342719072885149</v>
      </c>
      <c r="N50" s="37">
        <v>4.0974213879304955</v>
      </c>
      <c r="O50" s="37">
        <v>1.4002052874623998</v>
      </c>
      <c r="P50" s="37">
        <v>4.8368004330816001</v>
      </c>
      <c r="Q50" s="37">
        <v>4.8687594695999996</v>
      </c>
      <c r="R50" s="37">
        <v>5.5438941160512005</v>
      </c>
      <c r="S50" s="37">
        <v>5.5438941160512005</v>
      </c>
      <c r="T50" s="37">
        <v>5.5438941160512005</v>
      </c>
      <c r="U50" s="37">
        <v>6.7911705100512005</v>
      </c>
      <c r="V50" s="37">
        <v>6.7911705100512005</v>
      </c>
      <c r="W50" s="37">
        <v>6.7911705100512005</v>
      </c>
      <c r="X50" s="37">
        <v>6.7911705100512005</v>
      </c>
      <c r="Y50" s="37">
        <v>10.0174587825312</v>
      </c>
      <c r="Z50" s="37">
        <v>10.0174587825312</v>
      </c>
      <c r="AA50" s="37">
        <v>10.0174587825312</v>
      </c>
      <c r="AB50" s="37">
        <v>10.0174587825312</v>
      </c>
      <c r="AC50" s="37">
        <v>10.0174587825312</v>
      </c>
      <c r="AD50" s="37">
        <v>10.0174587825312</v>
      </c>
      <c r="AE50" s="37">
        <v>10.0174587825312</v>
      </c>
      <c r="AF50" s="11">
        <v>10.0174587825312</v>
      </c>
    </row>
    <row r="51" spans="3:32">
      <c r="C51" s="16" t="s">
        <v>87</v>
      </c>
      <c r="D51" s="36" t="s">
        <v>157</v>
      </c>
      <c r="E51" s="36" t="s">
        <v>241</v>
      </c>
      <c r="F51" s="36" t="s">
        <v>235</v>
      </c>
      <c r="G51" s="37">
        <v>3.6551955972835528</v>
      </c>
      <c r="H51" s="37">
        <v>4.7124520232154161</v>
      </c>
      <c r="I51" s="37">
        <v>5.1803578992532167</v>
      </c>
      <c r="J51" s="37">
        <v>4.6727665674131291</v>
      </c>
      <c r="K51" s="37">
        <v>4.8495955813374367</v>
      </c>
      <c r="L51" s="37">
        <v>5.5430823092677883</v>
      </c>
      <c r="M51" s="37">
        <v>6.7022303557634926</v>
      </c>
      <c r="N51" s="37">
        <v>8.5028473645332028</v>
      </c>
      <c r="O51" s="37">
        <v>9.7871163049223995</v>
      </c>
      <c r="P51" s="37">
        <v>11.979938725063201</v>
      </c>
      <c r="Q51" s="37">
        <v>11.372584461753602</v>
      </c>
      <c r="R51" s="37">
        <v>12.065994370000801</v>
      </c>
      <c r="S51" s="37">
        <v>1797534.0244799999</v>
      </c>
      <c r="T51" s="37">
        <v>1797534.0244799999</v>
      </c>
      <c r="U51" s="37">
        <v>1797534.0244799999</v>
      </c>
      <c r="V51" s="37">
        <v>1797534.0244799999</v>
      </c>
      <c r="W51" s="37">
        <v>1797534.0244799999</v>
      </c>
      <c r="X51" s="37">
        <v>1797534.0244799999</v>
      </c>
      <c r="Y51" s="37">
        <v>1797534.0244799999</v>
      </c>
      <c r="Z51" s="37">
        <v>1797534.0244799999</v>
      </c>
      <c r="AA51" s="37">
        <v>1797534.0244799999</v>
      </c>
      <c r="AB51" s="37">
        <v>1797534.0244799999</v>
      </c>
      <c r="AC51" s="37">
        <v>1797534.0244799999</v>
      </c>
      <c r="AD51" s="37">
        <v>1797534.0244799999</v>
      </c>
      <c r="AE51" s="37">
        <v>1797534.0244799999</v>
      </c>
      <c r="AF51" s="11">
        <v>1797534.0244799999</v>
      </c>
    </row>
    <row r="52" spans="3:32">
      <c r="C52" s="16" t="s">
        <v>87</v>
      </c>
      <c r="D52" s="36" t="s">
        <v>157</v>
      </c>
      <c r="E52" s="36" t="s">
        <v>242</v>
      </c>
      <c r="F52" s="36" t="s">
        <v>235</v>
      </c>
      <c r="G52" s="37">
        <v>3.1516199439331278</v>
      </c>
      <c r="H52" s="37">
        <v>4.0630107524035823</v>
      </c>
      <c r="I52" s="37">
        <v>4.4662298483663614</v>
      </c>
      <c r="J52" s="37">
        <v>4.0286958960105981</v>
      </c>
      <c r="K52" s="37">
        <v>4.1817168112280045</v>
      </c>
      <c r="L52" s="37">
        <v>4.7792390839134846</v>
      </c>
      <c r="M52" s="37">
        <v>5.7790174141221273</v>
      </c>
      <c r="N52" s="37">
        <v>7.332135128874568</v>
      </c>
      <c r="O52" s="37">
        <v>4.4404028279999999</v>
      </c>
      <c r="P52" s="37">
        <v>6.9167104632000003</v>
      </c>
      <c r="Q52" s="37">
        <v>8.881105247999999</v>
      </c>
      <c r="R52" s="37">
        <v>9.5034931037798387</v>
      </c>
      <c r="S52" s="37">
        <v>1078520.414688</v>
      </c>
      <c r="T52" s="37">
        <v>1078520.414688</v>
      </c>
      <c r="U52" s="37">
        <v>1078520.414688</v>
      </c>
      <c r="V52" s="37">
        <v>1078520.414688</v>
      </c>
      <c r="W52" s="37">
        <v>1078520.414688</v>
      </c>
      <c r="X52" s="37">
        <v>1078520.414688</v>
      </c>
      <c r="Y52" s="37">
        <v>1078520.414688</v>
      </c>
      <c r="Z52" s="37">
        <v>1078520.414688</v>
      </c>
      <c r="AA52" s="37">
        <v>1078520.414688</v>
      </c>
      <c r="AB52" s="37">
        <v>1078520.414688</v>
      </c>
      <c r="AC52" s="37">
        <v>1078520.414688</v>
      </c>
      <c r="AD52" s="37">
        <v>1078520.414688</v>
      </c>
      <c r="AE52" s="37">
        <v>1078520.414688</v>
      </c>
      <c r="AF52" s="11">
        <v>1078520.414688</v>
      </c>
    </row>
    <row r="53" spans="3:32">
      <c r="C53" s="16" t="s">
        <v>87</v>
      </c>
      <c r="D53" s="36" t="s">
        <v>157</v>
      </c>
      <c r="E53" s="36" t="s">
        <v>243</v>
      </c>
      <c r="F53" s="36" t="s">
        <v>235</v>
      </c>
      <c r="G53" s="37">
        <v>11.811353966948978</v>
      </c>
      <c r="H53" s="37">
        <v>15.226387754398401</v>
      </c>
      <c r="I53" s="37">
        <v>16.737541296248263</v>
      </c>
      <c r="J53" s="37">
        <v>15.097521760232267</v>
      </c>
      <c r="K53" s="37">
        <v>15.67112172140755</v>
      </c>
      <c r="L53" s="37">
        <v>17.909666525558208</v>
      </c>
      <c r="M53" s="37">
        <v>21.65599981527026</v>
      </c>
      <c r="N53" s="37">
        <v>27.47529000776051</v>
      </c>
      <c r="O53" s="37">
        <v>29.996627877595589</v>
      </c>
      <c r="P53" s="37">
        <v>31.657485027396977</v>
      </c>
      <c r="Q53" s="37">
        <v>33.282624819138114</v>
      </c>
      <c r="R53" s="37">
        <v>33.127849600877049</v>
      </c>
      <c r="S53" s="37">
        <v>1497945.0204</v>
      </c>
      <c r="T53" s="37">
        <v>1497945.0204</v>
      </c>
      <c r="U53" s="37">
        <v>1497945.0204</v>
      </c>
      <c r="V53" s="37">
        <v>1497945.0204</v>
      </c>
      <c r="W53" s="37">
        <v>1497945.0204</v>
      </c>
      <c r="X53" s="37">
        <v>1497945.0204</v>
      </c>
      <c r="Y53" s="37">
        <v>1497945.0204</v>
      </c>
      <c r="Z53" s="37">
        <v>1497945.0204</v>
      </c>
      <c r="AA53" s="37">
        <v>1497945.0204</v>
      </c>
      <c r="AB53" s="37">
        <v>1497945.0204</v>
      </c>
      <c r="AC53" s="37">
        <v>1497945.0204</v>
      </c>
      <c r="AD53" s="37">
        <v>1497945.0204</v>
      </c>
      <c r="AE53" s="37">
        <v>1497945.0204</v>
      </c>
      <c r="AF53" s="11">
        <v>1497945.0204</v>
      </c>
    </row>
    <row r="54" spans="3:32">
      <c r="C54" s="16" t="s">
        <v>87</v>
      </c>
      <c r="D54" s="36" t="s">
        <v>157</v>
      </c>
      <c r="E54" s="36" t="s">
        <v>244</v>
      </c>
      <c r="F54" s="36" t="s">
        <v>23</v>
      </c>
      <c r="G54" s="37">
        <v>0.75197592000000002</v>
      </c>
      <c r="H54" s="37">
        <v>0.75197592000000002</v>
      </c>
      <c r="I54" s="37">
        <v>0.75197592000000002</v>
      </c>
      <c r="J54" s="37">
        <v>0.75197592000000002</v>
      </c>
      <c r="K54" s="37">
        <v>2.2289644800000001</v>
      </c>
      <c r="L54" s="37">
        <v>5.1859375200000004</v>
      </c>
      <c r="M54" s="37">
        <v>5.41961928</v>
      </c>
      <c r="N54" s="37">
        <v>5.1409987199999998</v>
      </c>
      <c r="O54" s="37">
        <v>5.1140354400000003</v>
      </c>
      <c r="P54" s="37">
        <v>4.8713659199999997</v>
      </c>
      <c r="Q54" s="37">
        <v>4.9732272000000002</v>
      </c>
      <c r="R54" s="37">
        <v>4.9193006400000003</v>
      </c>
      <c r="S54" s="37">
        <v>118.63843200000001</v>
      </c>
      <c r="T54" s="37">
        <v>118.63843200000001</v>
      </c>
      <c r="U54" s="37">
        <v>118.63843200000001</v>
      </c>
      <c r="V54" s="37">
        <v>118.63843200000001</v>
      </c>
      <c r="W54" s="37">
        <v>118.63843200000001</v>
      </c>
      <c r="X54" s="37">
        <v>118.63843200000001</v>
      </c>
      <c r="Y54" s="37">
        <v>118.63843200000001</v>
      </c>
      <c r="Z54" s="37">
        <v>118.63843200000001</v>
      </c>
      <c r="AA54" s="37">
        <v>118.63843200000001</v>
      </c>
      <c r="AB54" s="37">
        <v>118.63843200000001</v>
      </c>
      <c r="AC54" s="37">
        <v>118.63843200000001</v>
      </c>
      <c r="AD54" s="37">
        <v>118.63843200000001</v>
      </c>
      <c r="AE54" s="37">
        <v>118.63843200000001</v>
      </c>
      <c r="AF54" s="11">
        <v>118.63843200000001</v>
      </c>
    </row>
    <row r="55" spans="3:32">
      <c r="C55" s="16" t="s">
        <v>87</v>
      </c>
      <c r="D55" s="36" t="s">
        <v>157</v>
      </c>
      <c r="E55" s="36" t="s">
        <v>245</v>
      </c>
      <c r="F55" s="36" t="s">
        <v>245</v>
      </c>
      <c r="G55" s="37">
        <v>5.3626967999999993</v>
      </c>
      <c r="H55" s="37">
        <v>5.3626967999999993</v>
      </c>
      <c r="I55" s="37">
        <v>3.5741325600000002</v>
      </c>
      <c r="J55" s="37">
        <v>12.49897824</v>
      </c>
      <c r="K55" s="37">
        <v>16.225902719999997</v>
      </c>
      <c r="L55" s="37">
        <v>20.07865584</v>
      </c>
      <c r="M55" s="37">
        <v>17.037797040000001</v>
      </c>
      <c r="N55" s="37">
        <v>0.24425188705008</v>
      </c>
      <c r="O55" s="37">
        <v>0.26515689551999999</v>
      </c>
      <c r="P55" s="37">
        <v>0.28774763028</v>
      </c>
      <c r="Q55" s="37">
        <v>0.25774199351999999</v>
      </c>
      <c r="R55" s="37">
        <v>0.21607024427999999</v>
      </c>
      <c r="S55" s="37">
        <v>13.746239654399998</v>
      </c>
      <c r="T55" s="37">
        <v>13.746239654399998</v>
      </c>
      <c r="U55" s="37">
        <v>13.746239654399998</v>
      </c>
      <c r="V55" s="37">
        <v>13.746239654399998</v>
      </c>
      <c r="W55" s="37">
        <v>13.746239654399998</v>
      </c>
      <c r="X55" s="37">
        <v>13.746239654399998</v>
      </c>
      <c r="Y55" s="37">
        <v>13.746239654399998</v>
      </c>
      <c r="Z55" s="37">
        <v>13.746239654399998</v>
      </c>
      <c r="AA55" s="37">
        <v>13.746239654399998</v>
      </c>
      <c r="AB55" s="37">
        <v>13.746239654399998</v>
      </c>
      <c r="AC55" s="37">
        <v>13.746239654399998</v>
      </c>
      <c r="AD55" s="37">
        <v>13.746239654399998</v>
      </c>
      <c r="AE55" s="37">
        <v>13.746239654399998</v>
      </c>
      <c r="AF55" s="11">
        <v>13.746239654399998</v>
      </c>
    </row>
    <row r="56" spans="3:32">
      <c r="C56" s="16" t="s">
        <v>87</v>
      </c>
      <c r="D56" s="36" t="s">
        <v>157</v>
      </c>
      <c r="E56" s="36" t="s">
        <v>295</v>
      </c>
      <c r="F56" s="36" t="s">
        <v>235</v>
      </c>
      <c r="G56" s="37">
        <v>6.2712060641096495E-3</v>
      </c>
      <c r="H56" s="37">
        <v>8.0838249802819336E-3</v>
      </c>
      <c r="I56" s="37">
        <v>8.88620307278052E-3</v>
      </c>
      <c r="J56" s="37">
        <v>8.0149149800517617E-3</v>
      </c>
      <c r="K56" s="37">
        <v>8.3191254426886341E-3</v>
      </c>
      <c r="L56" s="37">
        <v>9.5100294076485691E-3</v>
      </c>
      <c r="M56" s="37">
        <v>1.1496007527214384E-2</v>
      </c>
      <c r="N56" s="37">
        <v>1.4587312136953504E-2</v>
      </c>
      <c r="O56" s="37">
        <v>1.7195622105600005E-2</v>
      </c>
      <c r="P56" s="37">
        <v>2.0257332508800005E-2</v>
      </c>
      <c r="Q56" s="37">
        <v>1.7550099360000005E-2</v>
      </c>
      <c r="R56" s="37">
        <v>1.2917568182400002E-2</v>
      </c>
      <c r="S56" s="37">
        <v>1467986.1199919998</v>
      </c>
      <c r="T56" s="37">
        <v>1467986.1199919998</v>
      </c>
      <c r="U56" s="37">
        <v>1467986.1199919998</v>
      </c>
      <c r="V56" s="37">
        <v>1467986.1199919998</v>
      </c>
      <c r="W56" s="37">
        <v>1467986.1199919998</v>
      </c>
      <c r="X56" s="37">
        <v>1467986.1199919998</v>
      </c>
      <c r="Y56" s="37">
        <v>1467986.1199919998</v>
      </c>
      <c r="Z56" s="37">
        <v>1467986.1199919998</v>
      </c>
      <c r="AA56" s="37">
        <v>1467986.1199919998</v>
      </c>
      <c r="AB56" s="37">
        <v>1467986.1199919998</v>
      </c>
      <c r="AC56" s="37">
        <v>1467986.1199919998</v>
      </c>
      <c r="AD56" s="37">
        <v>1467986.1199919998</v>
      </c>
      <c r="AE56" s="37">
        <v>1467986.1199919998</v>
      </c>
      <c r="AF56" s="11">
        <v>1467986.1199919998</v>
      </c>
    </row>
    <row r="57" spans="3:32">
      <c r="C57" s="16" t="s">
        <v>87</v>
      </c>
      <c r="D57" s="36" t="s">
        <v>157</v>
      </c>
      <c r="E57" s="36" t="s">
        <v>296</v>
      </c>
      <c r="F57" s="36" t="s">
        <v>235</v>
      </c>
      <c r="G57" s="37">
        <v>1.9597363761980253E-2</v>
      </c>
      <c r="H57" s="37">
        <v>2.5261721112344555E-2</v>
      </c>
      <c r="I57" s="37">
        <v>2.7769474130559069E-2</v>
      </c>
      <c r="J57" s="37">
        <v>2.5050169407314304E-2</v>
      </c>
      <c r="K57" s="37">
        <v>2.6001012059529659E-2</v>
      </c>
      <c r="L57" s="37">
        <v>2.9715188150230644E-2</v>
      </c>
      <c r="M57" s="37">
        <v>3.5929705166504212E-2</v>
      </c>
      <c r="N57" s="37">
        <v>4.5587292581228185E-2</v>
      </c>
      <c r="O57" s="37">
        <v>3.6889961327999987E-2</v>
      </c>
      <c r="P57" s="37">
        <v>4.1416496855999997E-2</v>
      </c>
      <c r="Q57" s="37">
        <v>5.5439200007999997E-2</v>
      </c>
      <c r="R57" s="37">
        <v>5.4865780919999989E-2</v>
      </c>
      <c r="S57" s="37">
        <v>1258273.8171359999</v>
      </c>
      <c r="T57" s="37">
        <v>1258273.8171359999</v>
      </c>
      <c r="U57" s="37">
        <v>1258273.8171359999</v>
      </c>
      <c r="V57" s="37">
        <v>1258273.8171359999</v>
      </c>
      <c r="W57" s="37">
        <v>1258273.8171359999</v>
      </c>
      <c r="X57" s="37">
        <v>1258273.8171359999</v>
      </c>
      <c r="Y57" s="37">
        <v>1258273.8171359999</v>
      </c>
      <c r="Z57" s="37">
        <v>1258273.8171359999</v>
      </c>
      <c r="AA57" s="37">
        <v>1258273.8171359999</v>
      </c>
      <c r="AB57" s="37">
        <v>1258273.8171359999</v>
      </c>
      <c r="AC57" s="37">
        <v>1258273.8171359999</v>
      </c>
      <c r="AD57" s="37">
        <v>1258273.8171359999</v>
      </c>
      <c r="AE57" s="37">
        <v>1258273.8171359999</v>
      </c>
      <c r="AF57" s="11">
        <v>1258273.8171359999</v>
      </c>
    </row>
    <row r="58" spans="3:32">
      <c r="C58" s="16" t="s">
        <v>87</v>
      </c>
      <c r="D58" s="36" t="s">
        <v>157</v>
      </c>
      <c r="E58" s="36" t="s">
        <v>297</v>
      </c>
      <c r="F58" s="36" t="s">
        <v>23</v>
      </c>
      <c r="G58" s="37">
        <v>4.2368156835839997E-4</v>
      </c>
      <c r="H58" s="37">
        <v>4.2368156835839997E-4</v>
      </c>
      <c r="I58" s="37">
        <v>4.2368156835839997E-4</v>
      </c>
      <c r="J58" s="37">
        <v>3.4530047821209595E-3</v>
      </c>
      <c r="K58" s="37">
        <v>4.6622625918105601E-3</v>
      </c>
      <c r="L58" s="37">
        <v>1.0491601206666238E-2</v>
      </c>
      <c r="M58" s="37">
        <v>1.1366112267924481E-2</v>
      </c>
      <c r="N58" s="37">
        <v>1.0781784771563519E-2</v>
      </c>
      <c r="O58" s="37">
        <v>9.1983168527040009E-3</v>
      </c>
      <c r="P58" s="37">
        <v>1.3552163956800001E-2</v>
      </c>
      <c r="Q58" s="37">
        <v>1.1545071320160001E-2</v>
      </c>
      <c r="R58" s="37">
        <v>9.6632075403360017E-3</v>
      </c>
      <c r="S58" s="37">
        <v>1617780.6220320002</v>
      </c>
      <c r="T58" s="37">
        <v>1617780.6220320002</v>
      </c>
      <c r="U58" s="37">
        <v>1617780.6220320002</v>
      </c>
      <c r="V58" s="37">
        <v>1617780.6220320002</v>
      </c>
      <c r="W58" s="37">
        <v>1617780.6220320002</v>
      </c>
      <c r="X58" s="37">
        <v>1617780.6220320002</v>
      </c>
      <c r="Y58" s="37">
        <v>1617780.6220320002</v>
      </c>
      <c r="Z58" s="37">
        <v>1617780.6220320002</v>
      </c>
      <c r="AA58" s="37">
        <v>1617780.6220320002</v>
      </c>
      <c r="AB58" s="37">
        <v>1617780.6220320002</v>
      </c>
      <c r="AC58" s="37">
        <v>1617780.6220320002</v>
      </c>
      <c r="AD58" s="37">
        <v>1617780.6220320002</v>
      </c>
      <c r="AE58" s="37">
        <v>1617780.6220320002</v>
      </c>
      <c r="AF58" s="11">
        <v>1617780.6220320002</v>
      </c>
    </row>
    <row r="59" spans="3:32">
      <c r="C59" s="16" t="s">
        <v>87</v>
      </c>
      <c r="D59" s="36" t="s">
        <v>157</v>
      </c>
      <c r="E59" s="36" t="s">
        <v>298</v>
      </c>
      <c r="F59" s="36" t="s">
        <v>245</v>
      </c>
      <c r="G59" s="37">
        <v>7.5612227328000011E-4</v>
      </c>
      <c r="H59" s="37">
        <v>7.5612227328000011E-4</v>
      </c>
      <c r="I59" s="37">
        <v>5.0302695168000006E-4</v>
      </c>
      <c r="J59" s="37">
        <v>1.4348843796671999E-2</v>
      </c>
      <c r="K59" s="37">
        <v>2.0143322773199995E-2</v>
      </c>
      <c r="L59" s="37">
        <v>2.4938688194639996E-2</v>
      </c>
      <c r="M59" s="37">
        <v>2.1160943923679995E-2</v>
      </c>
      <c r="N59" s="37">
        <v>1.8386880787439993E-2</v>
      </c>
      <c r="O59" s="37">
        <v>2.3585230404000006E-2</v>
      </c>
      <c r="P59" s="37">
        <v>1.9949232096000004E-2</v>
      </c>
      <c r="Q59" s="37">
        <v>1.9656680508000006E-2</v>
      </c>
      <c r="R59" s="37">
        <v>7.0212381120000021E-3</v>
      </c>
      <c r="S59" s="37">
        <v>509301.30693600007</v>
      </c>
      <c r="T59" s="37">
        <v>509301.30693600007</v>
      </c>
      <c r="U59" s="37">
        <v>509301.30693600007</v>
      </c>
      <c r="V59" s="37">
        <v>509301.30693600007</v>
      </c>
      <c r="W59" s="37">
        <v>509301.30693600007</v>
      </c>
      <c r="X59" s="37">
        <v>509301.30693600007</v>
      </c>
      <c r="Y59" s="37">
        <v>509301.30693600007</v>
      </c>
      <c r="Z59" s="37">
        <v>509301.30693600007</v>
      </c>
      <c r="AA59" s="37">
        <v>509301.30693600007</v>
      </c>
      <c r="AB59" s="37">
        <v>509301.30693600007</v>
      </c>
      <c r="AC59" s="37">
        <v>509301.30693600007</v>
      </c>
      <c r="AD59" s="37">
        <v>509301.30693600007</v>
      </c>
      <c r="AE59" s="37">
        <v>509301.30693600007</v>
      </c>
      <c r="AF59" s="11">
        <v>509301.30693600007</v>
      </c>
    </row>
    <row r="60" spans="3:32">
      <c r="C60" s="16" t="s">
        <v>87</v>
      </c>
      <c r="D60" s="36" t="s">
        <v>157</v>
      </c>
      <c r="E60" s="36" t="s">
        <v>299</v>
      </c>
      <c r="F60" s="36" t="s">
        <v>23</v>
      </c>
      <c r="G60" s="37">
        <v>9.9052305407999996E-5</v>
      </c>
      <c r="H60" s="37">
        <v>9.9052305407999996E-5</v>
      </c>
      <c r="I60" s="37">
        <v>9.9052305407999996E-5</v>
      </c>
      <c r="J60" s="37">
        <v>8.0727628907519998E-4</v>
      </c>
      <c r="K60" s="37">
        <v>1.0899880774272001E-3</v>
      </c>
      <c r="L60" s="37">
        <v>2.46203349047424E-3</v>
      </c>
      <c r="M60" s="37">
        <v>2.6697426373324803E-3</v>
      </c>
      <c r="N60" s="37">
        <v>2.5292298669465601E-3</v>
      </c>
      <c r="O60" s="37">
        <v>2.7147546456335997E-3</v>
      </c>
      <c r="P60" s="37">
        <v>2.6058533131439999E-3</v>
      </c>
      <c r="Q60" s="37">
        <v>2.6603039793887998E-3</v>
      </c>
      <c r="R60" s="37">
        <v>2.6606724775487998E-3</v>
      </c>
      <c r="S60" s="37">
        <v>89876.701224000004</v>
      </c>
      <c r="T60" s="37">
        <v>89876.701224000004</v>
      </c>
      <c r="U60" s="37">
        <v>89876.701224000004</v>
      </c>
      <c r="V60" s="37">
        <v>89876.701224000004</v>
      </c>
      <c r="W60" s="37">
        <v>89876.701224000004</v>
      </c>
      <c r="X60" s="37">
        <v>89876.701224000004</v>
      </c>
      <c r="Y60" s="37">
        <v>89876.701224000004</v>
      </c>
      <c r="Z60" s="37">
        <v>89876.701224000004</v>
      </c>
      <c r="AA60" s="37">
        <v>89876.701224000004</v>
      </c>
      <c r="AB60" s="37">
        <v>89876.701224000004</v>
      </c>
      <c r="AC60" s="37">
        <v>89876.701224000004</v>
      </c>
      <c r="AD60" s="37">
        <v>89876.701224000004</v>
      </c>
      <c r="AE60" s="37">
        <v>89876.701224000004</v>
      </c>
      <c r="AF60" s="11">
        <v>89876.701224000004</v>
      </c>
    </row>
    <row r="61" spans="3:32">
      <c r="C61" s="16" t="s">
        <v>87</v>
      </c>
      <c r="D61" s="36" t="s">
        <v>157</v>
      </c>
      <c r="E61" s="36" t="s">
        <v>300</v>
      </c>
      <c r="F61" s="36" t="s">
        <v>235</v>
      </c>
      <c r="G61" s="37">
        <v>2.6045041163904578E-4</v>
      </c>
      <c r="H61" s="37">
        <v>3.3825088292637308E-4</v>
      </c>
      <c r="I61" s="37">
        <v>3.6930349475316007E-4</v>
      </c>
      <c r="J61" s="37">
        <v>3.3397718136789602E-4</v>
      </c>
      <c r="K61" s="37">
        <v>3.461894146281543E-4</v>
      </c>
      <c r="L61" s="37">
        <v>3.9589021432078278E-4</v>
      </c>
      <c r="M61" s="37">
        <v>4.8161587997736579E-4</v>
      </c>
      <c r="N61" s="37">
        <v>6.0702334635355775E-4</v>
      </c>
      <c r="O61" s="37">
        <v>4.9672353599999998E-3</v>
      </c>
      <c r="P61" s="37">
        <v>1.5464939039999999E-2</v>
      </c>
      <c r="Q61" s="37">
        <v>4.2542064000000002E-4</v>
      </c>
      <c r="R61" s="37">
        <v>1.198368E-3</v>
      </c>
      <c r="S61" s="37">
        <v>239671.20326400001</v>
      </c>
      <c r="T61" s="37">
        <v>239671.20326400001</v>
      </c>
      <c r="U61" s="37">
        <v>239671.20326400001</v>
      </c>
      <c r="V61" s="37">
        <v>239671.20326400001</v>
      </c>
      <c r="W61" s="37">
        <v>239671.20326400001</v>
      </c>
      <c r="X61" s="37">
        <v>239671.20326400001</v>
      </c>
      <c r="Y61" s="37">
        <v>239671.20326400001</v>
      </c>
      <c r="Z61" s="37">
        <v>239671.20326400001</v>
      </c>
      <c r="AA61" s="37">
        <v>239671.20326400001</v>
      </c>
      <c r="AB61" s="37">
        <v>239671.20326400001</v>
      </c>
      <c r="AC61" s="37">
        <v>239671.20326400001</v>
      </c>
      <c r="AD61" s="37">
        <v>239671.20326400001</v>
      </c>
      <c r="AE61" s="37">
        <v>239671.20326400001</v>
      </c>
      <c r="AF61" s="11">
        <v>239671.20326400001</v>
      </c>
    </row>
    <row r="62" spans="3:32">
      <c r="C62" s="16" t="s">
        <v>87</v>
      </c>
      <c r="D62" s="36" t="s">
        <v>157</v>
      </c>
      <c r="E62" s="36" t="s">
        <v>307</v>
      </c>
      <c r="F62" s="36" t="s">
        <v>261</v>
      </c>
      <c r="G62" s="37">
        <v>0</v>
      </c>
      <c r="H62" s="37">
        <v>0</v>
      </c>
      <c r="I62" s="37">
        <v>0</v>
      </c>
      <c r="J62" s="37">
        <v>0</v>
      </c>
      <c r="K62" s="37">
        <v>0</v>
      </c>
      <c r="L62" s="37">
        <v>0</v>
      </c>
      <c r="M62" s="37">
        <v>4.7455372800000006E-2</v>
      </c>
      <c r="N62" s="37">
        <v>0.15578783999999998</v>
      </c>
      <c r="O62" s="37">
        <v>0.16380210575520002</v>
      </c>
      <c r="P62" s="37">
        <v>0.14807658159359999</v>
      </c>
      <c r="Q62" s="37">
        <v>0.15825575905920003</v>
      </c>
      <c r="R62" s="37">
        <v>0.15157533680639998</v>
      </c>
      <c r="S62" s="37">
        <v>2.2527820440000004</v>
      </c>
      <c r="T62" s="37">
        <v>4.4938799999999999</v>
      </c>
      <c r="U62" s="37">
        <v>4.4938799999999999</v>
      </c>
      <c r="V62" s="37">
        <v>4.4938799999999999</v>
      </c>
      <c r="W62" s="37">
        <v>4.4938799999999999</v>
      </c>
      <c r="X62" s="37">
        <v>4.4938799999999999</v>
      </c>
      <c r="Y62" s="37">
        <v>4.4938799999999999</v>
      </c>
      <c r="Z62" s="37">
        <v>4.4938799999999999</v>
      </c>
      <c r="AA62" s="37">
        <v>4.4938799999999999</v>
      </c>
      <c r="AB62" s="37">
        <v>4.4938799999999999</v>
      </c>
      <c r="AC62" s="37">
        <v>4.4938799999999999</v>
      </c>
      <c r="AD62" s="37">
        <v>4.4938799999999999</v>
      </c>
      <c r="AE62" s="37">
        <v>4.4938799999999999</v>
      </c>
      <c r="AF62" s="11">
        <v>4.4938799999999999</v>
      </c>
    </row>
    <row r="63" spans="3:32">
      <c r="C63" s="16" t="s">
        <v>87</v>
      </c>
      <c r="D63" s="36" t="s">
        <v>157</v>
      </c>
      <c r="E63" s="36" t="s">
        <v>308</v>
      </c>
      <c r="F63" s="36" t="s">
        <v>265</v>
      </c>
      <c r="G63" s="37">
        <v>1.7376335999999999E-2</v>
      </c>
      <c r="H63" s="37">
        <v>1.7376335999999999E-2</v>
      </c>
      <c r="I63" s="37">
        <v>1.7376335999999999E-2</v>
      </c>
      <c r="J63" s="37">
        <v>1.7376335999999999E-2</v>
      </c>
      <c r="K63" s="37">
        <v>1.7376335999999999E-2</v>
      </c>
      <c r="L63" s="37">
        <v>1.7376335999999999E-2</v>
      </c>
      <c r="M63" s="37">
        <v>1.7376335999999999E-2</v>
      </c>
      <c r="N63" s="37">
        <v>1.7376335999999999E-2</v>
      </c>
      <c r="O63" s="37">
        <v>1.7376335999999999E-2</v>
      </c>
      <c r="P63" s="37">
        <v>1.7376335999999999E-2</v>
      </c>
      <c r="Q63" s="37">
        <v>1.7376335999999999E-2</v>
      </c>
      <c r="R63" s="37">
        <v>1.7376335999999999E-2</v>
      </c>
      <c r="S63" s="37">
        <v>1.7376335999999999E-2</v>
      </c>
      <c r="T63" s="37">
        <v>17.376335999999998</v>
      </c>
      <c r="U63" s="37">
        <v>17.376335999999998</v>
      </c>
      <c r="V63" s="37">
        <v>17.376335999999998</v>
      </c>
      <c r="W63" s="37">
        <v>17.376335999999998</v>
      </c>
      <c r="X63" s="37">
        <v>17.376335999999998</v>
      </c>
      <c r="Y63" s="37">
        <v>17.376335999999998</v>
      </c>
      <c r="Z63" s="37">
        <v>17.376335999999998</v>
      </c>
      <c r="AA63" s="37">
        <v>17.376335999999998</v>
      </c>
      <c r="AB63" s="37">
        <v>17.376335999999998</v>
      </c>
      <c r="AC63" s="37">
        <v>17.376335999999998</v>
      </c>
      <c r="AD63" s="37">
        <v>17.376335999999998</v>
      </c>
      <c r="AE63" s="37">
        <v>17.376335999999998</v>
      </c>
      <c r="AF63" s="11">
        <v>17.376335999999998</v>
      </c>
    </row>
    <row r="64" spans="3:32">
      <c r="C64" s="16" t="s">
        <v>87</v>
      </c>
      <c r="D64" s="36" t="s">
        <v>157</v>
      </c>
      <c r="E64" s="36" t="s">
        <v>307</v>
      </c>
      <c r="F64" s="36" t="s">
        <v>4</v>
      </c>
      <c r="G64" s="37">
        <v>2.2229726400000001</v>
      </c>
      <c r="H64" s="37">
        <v>1.87544592</v>
      </c>
      <c r="I64" s="37">
        <v>1.9503439200000001</v>
      </c>
      <c r="J64" s="37">
        <v>2.2289644800000001</v>
      </c>
      <c r="K64" s="37">
        <v>2.1900175200000001</v>
      </c>
      <c r="L64" s="37">
        <v>2.1091276799999998</v>
      </c>
      <c r="M64" s="37">
        <v>1.7705887200000001</v>
      </c>
      <c r="N64" s="37">
        <v>1.29124152</v>
      </c>
      <c r="O64" s="37">
        <v>2.5645075199999998</v>
      </c>
      <c r="P64" s="37">
        <v>0.32355936000000002</v>
      </c>
      <c r="Q64" s="37">
        <v>1.0995026400000003</v>
      </c>
      <c r="R64" s="37">
        <v>0.52428600000000003</v>
      </c>
      <c r="S64" s="37">
        <v>269630.103672</v>
      </c>
      <c r="T64" s="37">
        <v>299589.00408000004</v>
      </c>
      <c r="U64" s="37">
        <v>299589.00408000004</v>
      </c>
      <c r="V64" s="37">
        <v>299589.00408000004</v>
      </c>
      <c r="W64" s="37">
        <v>299589.00408000004</v>
      </c>
      <c r="X64" s="37">
        <v>299589.00408000004</v>
      </c>
      <c r="Y64" s="37">
        <v>299589.00408000004</v>
      </c>
      <c r="Z64" s="37">
        <v>299589.00408000004</v>
      </c>
      <c r="AA64" s="37">
        <v>299589.00408000004</v>
      </c>
      <c r="AB64" s="37">
        <v>299589.00408000004</v>
      </c>
      <c r="AC64" s="37">
        <v>299589.00408000004</v>
      </c>
      <c r="AD64" s="37">
        <v>299589.00408000004</v>
      </c>
      <c r="AE64" s="37">
        <v>299589.00408000004</v>
      </c>
      <c r="AF64" s="11">
        <v>299589.00408000004</v>
      </c>
    </row>
    <row r="65" spans="3:32">
      <c r="C65" s="16" t="s">
        <v>87</v>
      </c>
      <c r="D65" s="36" t="s">
        <v>157</v>
      </c>
      <c r="E65" s="36" t="s">
        <v>309</v>
      </c>
      <c r="F65" s="36" t="s">
        <v>4</v>
      </c>
      <c r="G65" s="37">
        <v>27562.188375359998</v>
      </c>
      <c r="H65" s="37">
        <v>23068.353314160002</v>
      </c>
      <c r="I65" s="37">
        <v>23967.120326400003</v>
      </c>
      <c r="J65" s="37">
        <v>27562.188375359998</v>
      </c>
      <c r="K65" s="37">
        <v>26963.010367199997</v>
      </c>
      <c r="L65" s="37">
        <v>26064.243354959995</v>
      </c>
      <c r="M65" s="37">
        <v>21869.99729784</v>
      </c>
      <c r="N65" s="37">
        <v>15878.21721624</v>
      </c>
      <c r="O65" s="37">
        <v>79091.497077119988</v>
      </c>
      <c r="P65" s="37">
        <v>45237.939616080002</v>
      </c>
      <c r="Q65" s="37">
        <v>15279.039208080001</v>
      </c>
      <c r="R65" s="37">
        <v>10186.026138719999</v>
      </c>
      <c r="S65" s="37">
        <v>89876.701224000004</v>
      </c>
      <c r="T65" s="37">
        <v>299589.00408000004</v>
      </c>
      <c r="U65" s="37">
        <v>299589.00408000004</v>
      </c>
      <c r="V65" s="37">
        <v>299589.00408000004</v>
      </c>
      <c r="W65" s="37">
        <v>299589.00408000004</v>
      </c>
      <c r="X65" s="37">
        <v>299589.00408000004</v>
      </c>
      <c r="Y65" s="37">
        <v>299589.00408000004</v>
      </c>
      <c r="Z65" s="37">
        <v>299589.00408000004</v>
      </c>
      <c r="AA65" s="37">
        <v>299589.00408000004</v>
      </c>
      <c r="AB65" s="37">
        <v>299589.00408000004</v>
      </c>
      <c r="AC65" s="37">
        <v>299589.00408000004</v>
      </c>
      <c r="AD65" s="37">
        <v>299589.00408000004</v>
      </c>
      <c r="AE65" s="37">
        <v>299589.00408000004</v>
      </c>
      <c r="AF65" s="11">
        <v>299589.00408000004</v>
      </c>
    </row>
    <row r="66" spans="3:32">
      <c r="C66" s="16" t="s">
        <v>87</v>
      </c>
      <c r="D66" s="36" t="s">
        <v>157</v>
      </c>
      <c r="E66" s="36" t="s">
        <v>307</v>
      </c>
      <c r="F66" s="36" t="s">
        <v>3</v>
      </c>
      <c r="G66" s="37">
        <v>914645.22945624008</v>
      </c>
      <c r="H66" s="37">
        <v>770842.50749783998</v>
      </c>
      <c r="I66" s="37">
        <v>801999.76392216003</v>
      </c>
      <c r="J66" s="37">
        <v>916442.76348072011</v>
      </c>
      <c r="K66" s="37">
        <v>901163.72427264007</v>
      </c>
      <c r="L66" s="37">
        <v>867609.75581568002</v>
      </c>
      <c r="M66" s="37">
        <v>727701.69091032003</v>
      </c>
      <c r="N66" s="37">
        <v>530871.71522975992</v>
      </c>
      <c r="O66" s="37">
        <v>816080.44711391989</v>
      </c>
      <c r="P66" s="37">
        <v>552142.53451944003</v>
      </c>
      <c r="Q66" s="37">
        <v>450881.45114039996</v>
      </c>
      <c r="R66" s="37">
        <v>356211.32585112005</v>
      </c>
      <c r="S66" s="37">
        <v>808890.31101600011</v>
      </c>
      <c r="T66" s="37">
        <v>898767.01223999995</v>
      </c>
      <c r="U66" s="37">
        <v>898767.01223999995</v>
      </c>
      <c r="V66" s="37">
        <v>898767.01223999995</v>
      </c>
      <c r="W66" s="37">
        <v>898767.01223999995</v>
      </c>
      <c r="X66" s="37">
        <v>898767.01223999995</v>
      </c>
      <c r="Y66" s="37">
        <v>898767.01223999995</v>
      </c>
      <c r="Z66" s="37">
        <v>898767.01223999995</v>
      </c>
      <c r="AA66" s="37">
        <v>898767.01223999995</v>
      </c>
      <c r="AB66" s="37">
        <v>898767.01223999995</v>
      </c>
      <c r="AC66" s="37">
        <v>898767.01223999995</v>
      </c>
      <c r="AD66" s="37">
        <v>898767.01223999995</v>
      </c>
      <c r="AE66" s="37">
        <v>898767.01223999995</v>
      </c>
      <c r="AF66" s="11">
        <v>898767.01223999995</v>
      </c>
    </row>
    <row r="67" spans="3:32">
      <c r="C67" s="16" t="s">
        <v>87</v>
      </c>
      <c r="D67" s="36" t="s">
        <v>157</v>
      </c>
      <c r="E67" s="36" t="s">
        <v>309</v>
      </c>
      <c r="F67" s="36" t="s">
        <v>271</v>
      </c>
      <c r="G67" s="37">
        <v>1308.4676264878788</v>
      </c>
      <c r="H67" s="37">
        <v>0</v>
      </c>
      <c r="I67" s="37">
        <v>0</v>
      </c>
      <c r="J67" s="37">
        <v>0</v>
      </c>
      <c r="K67" s="37">
        <v>0</v>
      </c>
      <c r="L67" s="37">
        <v>0</v>
      </c>
      <c r="M67" s="37">
        <v>0</v>
      </c>
      <c r="N67" s="37">
        <v>0</v>
      </c>
      <c r="O67" s="37">
        <v>0</v>
      </c>
      <c r="P67" s="37">
        <v>0</v>
      </c>
      <c r="Q67" s="37">
        <v>0</v>
      </c>
      <c r="R67" s="37">
        <v>0</v>
      </c>
      <c r="S67" s="37">
        <v>0</v>
      </c>
      <c r="T67" s="37">
        <v>0</v>
      </c>
      <c r="U67" s="37">
        <v>0</v>
      </c>
      <c r="V67" s="37">
        <v>0</v>
      </c>
      <c r="W67" s="37">
        <v>0</v>
      </c>
      <c r="X67" s="37">
        <v>0</v>
      </c>
      <c r="Y67" s="37">
        <v>0</v>
      </c>
      <c r="Z67" s="37">
        <v>0</v>
      </c>
      <c r="AA67" s="37">
        <v>0</v>
      </c>
      <c r="AB67" s="37">
        <v>0</v>
      </c>
      <c r="AC67" s="37">
        <v>0</v>
      </c>
      <c r="AD67" s="37">
        <v>0</v>
      </c>
      <c r="AE67" s="37">
        <v>0</v>
      </c>
      <c r="AF67" s="11">
        <v>0</v>
      </c>
    </row>
    <row r="68" spans="3:32">
      <c r="C68" s="16" t="s">
        <v>87</v>
      </c>
      <c r="D68" s="36" t="s">
        <v>157</v>
      </c>
      <c r="E68" s="36" t="s">
        <v>262</v>
      </c>
      <c r="F68" s="36" t="s">
        <v>263</v>
      </c>
      <c r="G68" s="37">
        <v>2.6919269935200001</v>
      </c>
      <c r="H68" s="37">
        <v>2.6919269935200001</v>
      </c>
      <c r="I68" s="37">
        <v>2.6919269935200001</v>
      </c>
      <c r="J68" s="37">
        <v>2.6919269935200001</v>
      </c>
      <c r="K68" s="37">
        <v>3.6246677385599995</v>
      </c>
      <c r="L68" s="37">
        <v>3.6246677385599995</v>
      </c>
      <c r="M68" s="37">
        <v>3.6246677385599995</v>
      </c>
      <c r="N68" s="37">
        <v>2.1139127634239996</v>
      </c>
      <c r="O68" s="37">
        <v>1.3760467278480002</v>
      </c>
      <c r="P68" s="37">
        <v>1.4880153431520002</v>
      </c>
      <c r="Q68" s="37">
        <v>1.5347049588000001</v>
      </c>
      <c r="R68" s="37">
        <v>1.3410295161120001</v>
      </c>
      <c r="S68" s="37">
        <v>958684.81305600004</v>
      </c>
      <c r="T68" s="37">
        <v>958684.81305600004</v>
      </c>
      <c r="U68" s="37">
        <v>958684.81305600004</v>
      </c>
      <c r="V68" s="37">
        <v>958684.81305600004</v>
      </c>
      <c r="W68" s="37">
        <v>958684.81305600004</v>
      </c>
      <c r="X68" s="37">
        <v>958684.81305600004</v>
      </c>
      <c r="Y68" s="37">
        <v>958684.81305600004</v>
      </c>
      <c r="Z68" s="37">
        <v>958684.81305600004</v>
      </c>
      <c r="AA68" s="37">
        <v>958684.81305600004</v>
      </c>
      <c r="AB68" s="37">
        <v>958684.81305600004</v>
      </c>
      <c r="AC68" s="37">
        <v>958684.81305600004</v>
      </c>
      <c r="AD68" s="37">
        <v>958684.81305600004</v>
      </c>
      <c r="AE68" s="37">
        <v>958684.81305600004</v>
      </c>
      <c r="AF68" s="11">
        <v>958684.81305600004</v>
      </c>
    </row>
    <row r="69" spans="3:32">
      <c r="C69" s="16" t="s">
        <v>87</v>
      </c>
      <c r="D69" s="36" t="s">
        <v>157</v>
      </c>
      <c r="E69" s="36" t="s">
        <v>307</v>
      </c>
      <c r="F69" s="36" t="s">
        <v>273</v>
      </c>
      <c r="G69" s="37">
        <v>1.2363441414712704</v>
      </c>
      <c r="H69" s="37">
        <v>1.2591661627891815</v>
      </c>
      <c r="I69" s="37">
        <v>1.3670758366511844</v>
      </c>
      <c r="J69" s="37">
        <v>1.3765979297684965</v>
      </c>
      <c r="K69" s="37">
        <v>1.4578014540968292</v>
      </c>
      <c r="L69" s="37">
        <v>1.5086450024627558</v>
      </c>
      <c r="M69" s="37">
        <v>1.5882585586845237</v>
      </c>
      <c r="N69" s="37">
        <v>1.477248668458744</v>
      </c>
      <c r="O69" s="37">
        <v>1.5047906975999998</v>
      </c>
      <c r="P69" s="37">
        <v>1.5047906975999998</v>
      </c>
      <c r="Q69" s="37">
        <v>1.5047906975999998</v>
      </c>
      <c r="R69" s="37">
        <v>1.5047906975999998</v>
      </c>
      <c r="S69" s="37">
        <v>1.5047906975999998</v>
      </c>
      <c r="T69" s="37">
        <v>1.5381780860571364</v>
      </c>
      <c r="U69" s="37">
        <v>1.5819912761142827</v>
      </c>
      <c r="V69" s="37">
        <v>1.6258044661714293</v>
      </c>
      <c r="W69" s="37">
        <v>1.6696176562285605</v>
      </c>
      <c r="X69" s="37">
        <v>1.7134308462857071</v>
      </c>
      <c r="Y69" s="37">
        <v>1.7572440363428534</v>
      </c>
      <c r="Z69" s="37">
        <v>1.8010572264</v>
      </c>
      <c r="AA69" s="37">
        <v>1.8448704164571312</v>
      </c>
      <c r="AB69" s="37">
        <v>1.888683606514278</v>
      </c>
      <c r="AC69" s="37">
        <v>1.9324967965714246</v>
      </c>
      <c r="AD69" s="37">
        <v>1.9763099866285712</v>
      </c>
      <c r="AE69" s="37">
        <v>2.0201231766857024</v>
      </c>
      <c r="AF69" s="11">
        <v>2.0639363667428485</v>
      </c>
    </row>
    <row r="70" spans="3:32">
      <c r="C70" s="16" t="s">
        <v>87</v>
      </c>
      <c r="D70" s="36" t="s">
        <v>157</v>
      </c>
      <c r="E70" s="36" t="s">
        <v>307</v>
      </c>
      <c r="F70" s="36" t="s">
        <v>253</v>
      </c>
      <c r="G70" s="37">
        <v>9.8447454977700097</v>
      </c>
      <c r="H70" s="37">
        <v>8.4511879894367183</v>
      </c>
      <c r="I70" s="37">
        <v>9.5452403807250708</v>
      </c>
      <c r="J70" s="37">
        <v>10.983665886630623</v>
      </c>
      <c r="K70" s="37">
        <v>11.436874806757309</v>
      </c>
      <c r="L70" s="37">
        <v>11.397065173885069</v>
      </c>
      <c r="M70" s="37">
        <v>10.061184392935779</v>
      </c>
      <c r="N70" s="37">
        <v>6.8267955461536758</v>
      </c>
      <c r="O70" s="37">
        <v>6.1735396749127194</v>
      </c>
      <c r="P70" s="37">
        <v>6.0828023657095187</v>
      </c>
      <c r="Q70" s="37">
        <v>5.8899855836527184</v>
      </c>
      <c r="R70" s="37">
        <v>6.2424410384447988</v>
      </c>
      <c r="S70" s="37">
        <v>6.9936061426559997</v>
      </c>
      <c r="T70" s="37">
        <v>6.9936061426559997</v>
      </c>
      <c r="U70" s="37">
        <v>6.9936061426559997</v>
      </c>
      <c r="V70" s="37">
        <v>6.9936061426559997</v>
      </c>
      <c r="W70" s="37">
        <v>6.9936061426559997</v>
      </c>
      <c r="X70" s="37">
        <v>6.9936061426559997</v>
      </c>
      <c r="Y70" s="37">
        <v>6.9936061426559997</v>
      </c>
      <c r="Z70" s="37">
        <v>6.9936061426559997</v>
      </c>
      <c r="AA70" s="37">
        <v>6.9936061426559997</v>
      </c>
      <c r="AB70" s="37">
        <v>6.9936061426559997</v>
      </c>
      <c r="AC70" s="37">
        <v>6.9936061426559997</v>
      </c>
      <c r="AD70" s="37">
        <v>6.9936061426559997</v>
      </c>
      <c r="AE70" s="37">
        <v>6.9936061426559997</v>
      </c>
      <c r="AF70" s="11">
        <v>6.9936061426559997</v>
      </c>
    </row>
    <row r="71" spans="3:32">
      <c r="C71" s="16" t="s">
        <v>87</v>
      </c>
      <c r="D71" s="36" t="s">
        <v>157</v>
      </c>
      <c r="E71" s="36" t="s">
        <v>308</v>
      </c>
      <c r="F71" s="36" t="s">
        <v>253</v>
      </c>
      <c r="G71" s="37">
        <v>8.0347730144495422E-2</v>
      </c>
      <c r="H71" s="37">
        <v>6.8971394182322579E-2</v>
      </c>
      <c r="I71" s="37">
        <v>7.7907875504522606E-2</v>
      </c>
      <c r="J71" s="37">
        <v>8.9640179219241362E-2</v>
      </c>
      <c r="K71" s="37">
        <v>9.3336387367223203E-2</v>
      </c>
      <c r="L71" s="37">
        <v>9.3013089882555716E-2</v>
      </c>
      <c r="M71" s="37">
        <v>8.2110959684785878E-2</v>
      </c>
      <c r="N71" s="37">
        <v>5.57137986244923E-2</v>
      </c>
      <c r="O71" s="37">
        <v>4.6219052485440004E-2</v>
      </c>
      <c r="P71" s="37">
        <v>2.6999842207680001E-2</v>
      </c>
      <c r="Q71" s="37">
        <v>2.3986533888000001E-2</v>
      </c>
      <c r="R71" s="37">
        <v>6.9860779948800007E-3</v>
      </c>
      <c r="S71" s="37">
        <v>4.6473909408000003E-2</v>
      </c>
      <c r="T71" s="37">
        <v>4.6473909408000003E-2</v>
      </c>
      <c r="U71" s="37">
        <v>4.6473909408000003E-2</v>
      </c>
      <c r="V71" s="37">
        <v>4.6473909408000003E-2</v>
      </c>
      <c r="W71" s="37">
        <v>4.6473909408000003E-2</v>
      </c>
      <c r="X71" s="37">
        <v>4.6473909408000003E-2</v>
      </c>
      <c r="Y71" s="37">
        <v>4.6473909408000003E-2</v>
      </c>
      <c r="Z71" s="37">
        <v>4.6473909408000003E-2</v>
      </c>
      <c r="AA71" s="37">
        <v>4.6473909408000003E-2</v>
      </c>
      <c r="AB71" s="37">
        <v>4.6473909408000003E-2</v>
      </c>
      <c r="AC71" s="37">
        <v>4.6473909408000003E-2</v>
      </c>
      <c r="AD71" s="37">
        <v>4.6473909408000003E-2</v>
      </c>
      <c r="AE71" s="37">
        <v>4.6473909408000003E-2</v>
      </c>
      <c r="AF71" s="11">
        <v>4.6473909408000003E-2</v>
      </c>
    </row>
    <row r="72" spans="3:32">
      <c r="C72" s="16" t="s">
        <v>87</v>
      </c>
      <c r="D72" s="36" t="s">
        <v>157</v>
      </c>
      <c r="E72" s="36" t="s">
        <v>308</v>
      </c>
      <c r="F72" s="36" t="s">
        <v>4</v>
      </c>
      <c r="G72" s="37">
        <v>3.4008362399606411E-4</v>
      </c>
      <c r="H72" s="37">
        <v>3.4636132245911047E-4</v>
      </c>
      <c r="I72" s="37">
        <v>3.7604424950202242E-4</v>
      </c>
      <c r="J72" s="37">
        <v>3.7866351045594249E-4</v>
      </c>
      <c r="K72" s="37">
        <v>4.0100032421879037E-4</v>
      </c>
      <c r="L72" s="37">
        <v>4.1498595945181442E-4</v>
      </c>
      <c r="M72" s="37">
        <v>4.3688541754840322E-4</v>
      </c>
      <c r="N72" s="37">
        <v>4.0634970786933121E-4</v>
      </c>
      <c r="O72" s="37">
        <v>4.3440840000000009E-4</v>
      </c>
      <c r="P72" s="37">
        <v>4.3440840000000009E-4</v>
      </c>
      <c r="Q72" s="37">
        <v>4.3440840000000009E-4</v>
      </c>
      <c r="R72" s="37">
        <v>4.3440840000000009E-5</v>
      </c>
      <c r="S72" s="37">
        <v>4.3440840000000009E-5</v>
      </c>
      <c r="T72" s="37">
        <v>4.3440840000000009E-5</v>
      </c>
      <c r="U72" s="37">
        <v>4.3440840000000009E-5</v>
      </c>
      <c r="V72" s="37">
        <v>4.3440840000000009E-5</v>
      </c>
      <c r="W72" s="37">
        <v>4.3440840000000009E-5</v>
      </c>
      <c r="X72" s="37">
        <v>4.3440840000000009E-5</v>
      </c>
      <c r="Y72" s="37">
        <v>4.3440840000000009E-5</v>
      </c>
      <c r="Z72" s="37">
        <v>4.3440840000000009E-5</v>
      </c>
      <c r="AA72" s="37">
        <v>4.3440840000000009E-5</v>
      </c>
      <c r="AB72" s="37">
        <v>4.3440840000000009E-5</v>
      </c>
      <c r="AC72" s="37">
        <v>4.3440840000000009E-5</v>
      </c>
      <c r="AD72" s="37">
        <v>4.3440840000000009E-5</v>
      </c>
      <c r="AE72" s="37">
        <v>4.3440840000000009E-5</v>
      </c>
      <c r="AF72" s="11">
        <v>4.3440840000000009E-5</v>
      </c>
    </row>
    <row r="73" spans="3:32">
      <c r="C73" s="16" t="s">
        <v>87</v>
      </c>
      <c r="D73" s="36" t="s">
        <v>157</v>
      </c>
      <c r="E73" s="36" t="s">
        <v>307</v>
      </c>
      <c r="F73" s="36" t="s">
        <v>4</v>
      </c>
      <c r="G73" s="37">
        <v>0.72190241001898969</v>
      </c>
      <c r="H73" s="37">
        <v>0.61973830763619331</v>
      </c>
      <c r="I73" s="37">
        <v>0.70000109931821386</v>
      </c>
      <c r="J73" s="37">
        <v>0.80550098307148277</v>
      </c>
      <c r="K73" s="37">
        <v>0.83869314451201471</v>
      </c>
      <c r="L73" s="37">
        <v>0.83575537240118847</v>
      </c>
      <c r="M73" s="37">
        <v>0.73778337286019469</v>
      </c>
      <c r="N73" s="37">
        <v>0.50068329690528068</v>
      </c>
      <c r="O73" s="37">
        <v>0.43266597292799996</v>
      </c>
      <c r="P73" s="37">
        <v>0.39758494809599992</v>
      </c>
      <c r="Q73" s="37">
        <v>0.43036945045199992</v>
      </c>
      <c r="R73" s="37">
        <v>0.13740772100400001</v>
      </c>
      <c r="S73" s="37">
        <v>1319090.38496424</v>
      </c>
      <c r="T73" s="37">
        <v>1319090.38496424</v>
      </c>
      <c r="U73" s="37">
        <v>1319090.38496424</v>
      </c>
      <c r="V73" s="37">
        <v>1319090.38496424</v>
      </c>
      <c r="W73" s="37">
        <v>1319090.38496424</v>
      </c>
      <c r="X73" s="37">
        <v>1319090.38496424</v>
      </c>
      <c r="Y73" s="37">
        <v>1319090.38496424</v>
      </c>
      <c r="Z73" s="37">
        <v>1319090.38496424</v>
      </c>
      <c r="AA73" s="37">
        <v>1319090.38496424</v>
      </c>
      <c r="AB73" s="37">
        <v>1319090.38496424</v>
      </c>
      <c r="AC73" s="37">
        <v>1319090.38496424</v>
      </c>
      <c r="AD73" s="37">
        <v>1319090.38496424</v>
      </c>
      <c r="AE73" s="37">
        <v>1319090.38496424</v>
      </c>
      <c r="AF73" s="11">
        <v>1319090.38496424</v>
      </c>
    </row>
    <row r="74" spans="3:32">
      <c r="C74" s="16" t="s">
        <v>87</v>
      </c>
      <c r="D74" s="36" t="s">
        <v>157</v>
      </c>
      <c r="E74" s="36" t="s">
        <v>308</v>
      </c>
      <c r="F74" s="36" t="s">
        <v>4</v>
      </c>
      <c r="G74" s="37">
        <v>5.7521663999999998E-6</v>
      </c>
      <c r="H74" s="37">
        <v>5.7521663999999998E-6</v>
      </c>
      <c r="I74" s="37">
        <v>5.7521663999999998E-6</v>
      </c>
      <c r="J74" s="37">
        <v>5.7521663999999998E-6</v>
      </c>
      <c r="K74" s="37">
        <v>5.7521663999999998E-6</v>
      </c>
      <c r="L74" s="37">
        <v>5.7521663999999998E-6</v>
      </c>
      <c r="M74" s="37">
        <v>5.7521663999999998E-6</v>
      </c>
      <c r="N74" s="37">
        <v>5.7521663999999998E-6</v>
      </c>
      <c r="O74" s="37">
        <v>5.7521663999999998E-6</v>
      </c>
      <c r="P74" s="37">
        <v>5.7521663999999998E-6</v>
      </c>
      <c r="Q74" s="37">
        <v>5.7521663999999998E-6</v>
      </c>
      <c r="R74" s="37">
        <v>5.7521663999999998E-6</v>
      </c>
      <c r="S74" s="37">
        <v>5.7521663999999998E-6</v>
      </c>
      <c r="T74" s="37">
        <v>5.7521663999999998E-6</v>
      </c>
      <c r="U74" s="37">
        <v>5.7521663999999998E-6</v>
      </c>
      <c r="V74" s="37">
        <v>5.7521663999999998E-6</v>
      </c>
      <c r="W74" s="37">
        <v>5.7521663999999998E-6</v>
      </c>
      <c r="X74" s="37">
        <v>5.7521663999999998E-6</v>
      </c>
      <c r="Y74" s="37">
        <v>5.7521663999999998E-6</v>
      </c>
      <c r="Z74" s="37">
        <v>5.7521663999999998E-6</v>
      </c>
      <c r="AA74" s="37">
        <v>5.7521663999999998E-6</v>
      </c>
      <c r="AB74" s="37">
        <v>5.7521663999999998E-6</v>
      </c>
      <c r="AC74" s="37">
        <v>5.7521663999999998E-6</v>
      </c>
      <c r="AD74" s="37">
        <v>5.7521663999999998E-6</v>
      </c>
      <c r="AE74" s="37">
        <v>5.7521663999999998E-6</v>
      </c>
      <c r="AF74" s="11">
        <v>5.7521663999999998E-6</v>
      </c>
    </row>
    <row r="75" spans="3:32">
      <c r="C75" s="16" t="s">
        <v>87</v>
      </c>
      <c r="D75" s="36" t="s">
        <v>157</v>
      </c>
      <c r="E75" s="36" t="s">
        <v>307</v>
      </c>
      <c r="F75" s="36" t="s">
        <v>4</v>
      </c>
      <c r="G75" s="37">
        <v>0.25425583062632345</v>
      </c>
      <c r="H75" s="37">
        <v>0.2183037121310745</v>
      </c>
      <c r="I75" s="37">
        <v>0.24657124525040036</v>
      </c>
      <c r="J75" s="37">
        <v>0.28369257144606524</v>
      </c>
      <c r="K75" s="37">
        <v>0.2954002850710577</v>
      </c>
      <c r="L75" s="37">
        <v>0.29435918295178476</v>
      </c>
      <c r="M75" s="37">
        <v>0.25984153431352164</v>
      </c>
      <c r="N75" s="37">
        <v>0.17637839705304831</v>
      </c>
      <c r="O75" s="37">
        <v>0.16733276751599999</v>
      </c>
      <c r="P75" s="37">
        <v>0.19716344853984</v>
      </c>
      <c r="Q75" s="37">
        <v>0.17212550851152</v>
      </c>
      <c r="R75" s="37">
        <v>0.19005697051199999</v>
      </c>
      <c r="S75" s="37">
        <v>689054.70938400005</v>
      </c>
      <c r="T75" s="37">
        <v>689054.70938400005</v>
      </c>
      <c r="U75" s="37">
        <v>689054.70938400005</v>
      </c>
      <c r="V75" s="37">
        <v>689054.70938400005</v>
      </c>
      <c r="W75" s="37">
        <v>689054.70938400005</v>
      </c>
      <c r="X75" s="37">
        <v>689054.70938400005</v>
      </c>
      <c r="Y75" s="37">
        <v>689054.70938400005</v>
      </c>
      <c r="Z75" s="37">
        <v>689054.70938400005</v>
      </c>
      <c r="AA75" s="37">
        <v>689054.70938400005</v>
      </c>
      <c r="AB75" s="37">
        <v>689054.70938400005</v>
      </c>
      <c r="AC75" s="37">
        <v>689054.70938400005</v>
      </c>
      <c r="AD75" s="37">
        <v>689054.70938400005</v>
      </c>
      <c r="AE75" s="37">
        <v>689054.70938400005</v>
      </c>
      <c r="AF75" s="11">
        <v>689054.70938400005</v>
      </c>
    </row>
    <row r="76" spans="3:32">
      <c r="C76" s="16" t="s">
        <v>87</v>
      </c>
      <c r="D76" s="36" t="s">
        <v>157</v>
      </c>
      <c r="E76" s="36" t="s">
        <v>307</v>
      </c>
      <c r="F76" s="36" t="s">
        <v>4</v>
      </c>
      <c r="G76" s="37">
        <v>7.3695614339097011</v>
      </c>
      <c r="H76" s="37">
        <v>6.3261279921157003</v>
      </c>
      <c r="I76" s="37">
        <v>7.1452660744753622</v>
      </c>
      <c r="J76" s="37">
        <v>8.2231057556015266</v>
      </c>
      <c r="K76" s="37">
        <v>8.561260202339227</v>
      </c>
      <c r="L76" s="37">
        <v>8.5317668177708921</v>
      </c>
      <c r="M76" s="37">
        <v>7.531334962865615</v>
      </c>
      <c r="N76" s="37">
        <v>5.1103146627750879</v>
      </c>
      <c r="O76" s="37">
        <v>3.3801887802474</v>
      </c>
      <c r="P76" s="37">
        <v>4.6111466502039464</v>
      </c>
      <c r="Q76" s="37">
        <v>4.3917009599022627</v>
      </c>
      <c r="R76" s="37">
        <v>4.6526468132190093</v>
      </c>
      <c r="S76" s="37">
        <v>4.6526468132190093</v>
      </c>
      <c r="T76" s="37">
        <v>4.6526468132190093</v>
      </c>
      <c r="U76" s="37">
        <v>4.6526468132190093</v>
      </c>
      <c r="V76" s="37">
        <v>4.6526468132190093</v>
      </c>
      <c r="W76" s="37">
        <v>4.6526468132190093</v>
      </c>
      <c r="X76" s="37">
        <v>4.6526468132190093</v>
      </c>
      <c r="Y76" s="37">
        <v>4.6526468132190093</v>
      </c>
      <c r="Z76" s="37">
        <v>4.6526468132190093</v>
      </c>
      <c r="AA76" s="37">
        <v>4.6526468132190093</v>
      </c>
      <c r="AB76" s="37">
        <v>4.6526468132190093</v>
      </c>
      <c r="AC76" s="37">
        <v>4.6526468132190093</v>
      </c>
      <c r="AD76" s="37">
        <v>4.6526468132190093</v>
      </c>
      <c r="AE76" s="37">
        <v>4.6526468132190093</v>
      </c>
      <c r="AF76" s="11">
        <v>4.6526468132190093</v>
      </c>
    </row>
    <row r="77" spans="3:32">
      <c r="C77" s="16" t="s">
        <v>87</v>
      </c>
      <c r="D77" s="36" t="s">
        <v>157</v>
      </c>
      <c r="E77" s="36" t="s">
        <v>309</v>
      </c>
      <c r="F77" s="36" t="s">
        <v>4</v>
      </c>
      <c r="G77" s="37">
        <v>0.97406466796800006</v>
      </c>
      <c r="H77" s="37">
        <v>0.82095637881600003</v>
      </c>
      <c r="I77" s="37">
        <v>0.85417513977600001</v>
      </c>
      <c r="J77" s="37">
        <v>0.97602759475199996</v>
      </c>
      <c r="K77" s="37">
        <v>0.95972020300800009</v>
      </c>
      <c r="L77" s="37">
        <v>0.92408553216</v>
      </c>
      <c r="M77" s="37">
        <v>0.77490309657600009</v>
      </c>
      <c r="N77" s="37">
        <v>0.56532291379200006</v>
      </c>
      <c r="O77" s="37">
        <v>0.564567941952</v>
      </c>
      <c r="P77" s="37">
        <v>0.55414933056000004</v>
      </c>
      <c r="Q77" s="37">
        <v>0.49375158336000002</v>
      </c>
      <c r="R77" s="37">
        <v>0.50356621728000006</v>
      </c>
      <c r="S77" s="37">
        <v>0.55867916160000008</v>
      </c>
      <c r="T77" s="37">
        <v>0.55867916160000008</v>
      </c>
      <c r="U77" s="37">
        <v>0.55867916160000008</v>
      </c>
      <c r="V77" s="37">
        <v>0.55867916160000008</v>
      </c>
      <c r="W77" s="37">
        <v>0.55867916160000008</v>
      </c>
      <c r="X77" s="37">
        <v>0.55867916160000008</v>
      </c>
      <c r="Y77" s="37">
        <v>0.55867916160000008</v>
      </c>
      <c r="Z77" s="37">
        <v>0.55867916160000008</v>
      </c>
      <c r="AA77" s="37">
        <v>0.55867916160000008</v>
      </c>
      <c r="AB77" s="37">
        <v>0.55867916160000008</v>
      </c>
      <c r="AC77" s="37">
        <v>0.55867916160000008</v>
      </c>
      <c r="AD77" s="37">
        <v>0.55867916160000008</v>
      </c>
      <c r="AE77" s="37">
        <v>0.55867916160000008</v>
      </c>
      <c r="AF77" s="11">
        <v>0.55867916160000008</v>
      </c>
    </row>
    <row r="78" spans="3:32">
      <c r="C78" s="16" t="s">
        <v>87</v>
      </c>
      <c r="D78" s="36" t="s">
        <v>157</v>
      </c>
      <c r="E78" s="36" t="s">
        <v>310</v>
      </c>
      <c r="F78" s="36" t="s">
        <v>3</v>
      </c>
      <c r="G78" s="37">
        <v>0.41904250427165612</v>
      </c>
      <c r="H78" s="37">
        <v>0.35973074685201267</v>
      </c>
      <c r="I78" s="37">
        <v>0.4063122235196322</v>
      </c>
      <c r="J78" s="37">
        <v>0.46752904976821436</v>
      </c>
      <c r="K78" s="37">
        <v>0.48681352580630033</v>
      </c>
      <c r="L78" s="37">
        <v>0.4851074016539722</v>
      </c>
      <c r="M78" s="37">
        <v>0.42823649586600243</v>
      </c>
      <c r="N78" s="37">
        <v>0.290610470812315</v>
      </c>
      <c r="O78" s="37">
        <v>0.25751010931199997</v>
      </c>
      <c r="P78" s="37">
        <v>0.237837700224</v>
      </c>
      <c r="Q78" s="37">
        <v>0.24978782591999998</v>
      </c>
      <c r="R78" s="37">
        <v>0.255353046912</v>
      </c>
      <c r="S78" s="37">
        <v>0.25884748799999996</v>
      </c>
      <c r="T78" s="37">
        <v>0.25884748799999996</v>
      </c>
      <c r="U78" s="37">
        <v>0.25884748799999996</v>
      </c>
      <c r="V78" s="37">
        <v>0.25884748799999996</v>
      </c>
      <c r="W78" s="37">
        <v>0.25884748799999996</v>
      </c>
      <c r="X78" s="37">
        <v>0.25884748799999996</v>
      </c>
      <c r="Y78" s="37">
        <v>0.25884748799999996</v>
      </c>
      <c r="Z78" s="37">
        <v>0.25884748799999996</v>
      </c>
      <c r="AA78" s="37">
        <v>0.25884748799999996</v>
      </c>
      <c r="AB78" s="37">
        <v>0.25884748799999996</v>
      </c>
      <c r="AC78" s="37">
        <v>0.25884748799999996</v>
      </c>
      <c r="AD78" s="37">
        <v>0.25884748799999996</v>
      </c>
      <c r="AE78" s="37">
        <v>0.25884748799999996</v>
      </c>
      <c r="AF78" s="11">
        <v>0.25884748799999996</v>
      </c>
    </row>
    <row r="79" spans="3:32">
      <c r="C79" s="16" t="s">
        <v>87</v>
      </c>
      <c r="D79" s="36" t="s">
        <v>157</v>
      </c>
      <c r="E79" s="36" t="s">
        <v>307</v>
      </c>
      <c r="F79" s="36" t="s">
        <v>271</v>
      </c>
      <c r="G79" s="37">
        <v>3.3513659986786508</v>
      </c>
      <c r="H79" s="37">
        <v>2.8768027001697289</v>
      </c>
      <c r="I79" s="37">
        <v>3.2493094535576699</v>
      </c>
      <c r="J79" s="37">
        <v>3.7389830432238229</v>
      </c>
      <c r="K79" s="37">
        <v>3.8932200629241538</v>
      </c>
      <c r="L79" s="37">
        <v>3.8795225306385994</v>
      </c>
      <c r="M79" s="37">
        <v>3.4247699930898681</v>
      </c>
      <c r="N79" s="37">
        <v>2.3242647087471311</v>
      </c>
      <c r="O79" s="37">
        <v>2.1563680176460802</v>
      </c>
      <c r="P79" s="37">
        <v>2.0464345128225605</v>
      </c>
      <c r="Q79" s="37">
        <v>1.9795682507832002</v>
      </c>
      <c r="R79" s="37">
        <v>2.2155275690855998</v>
      </c>
      <c r="S79" s="37">
        <v>2.2528779134400003</v>
      </c>
      <c r="T79" s="37">
        <v>2.2528779134400003</v>
      </c>
      <c r="U79" s="37">
        <v>2.2528779134400003</v>
      </c>
      <c r="V79" s="37">
        <v>2.2528779134400003</v>
      </c>
      <c r="W79" s="37">
        <v>2.2528779134400003</v>
      </c>
      <c r="X79" s="37">
        <v>2.2528779134400003</v>
      </c>
      <c r="Y79" s="37">
        <v>2.2528779134400003</v>
      </c>
      <c r="Z79" s="37">
        <v>2.2528779134400003</v>
      </c>
      <c r="AA79" s="37">
        <v>2.2528779134400003</v>
      </c>
      <c r="AB79" s="37">
        <v>2.2528779134400003</v>
      </c>
      <c r="AC79" s="37">
        <v>2.2528779134400003</v>
      </c>
      <c r="AD79" s="37">
        <v>2.2528779134400003</v>
      </c>
      <c r="AE79" s="37">
        <v>2.2528779134400003</v>
      </c>
      <c r="AF79" s="11">
        <v>2.2528779134400003</v>
      </c>
    </row>
    <row r="80" spans="3:32">
      <c r="C80" s="16" t="s">
        <v>87</v>
      </c>
      <c r="D80" s="36" t="s">
        <v>157</v>
      </c>
      <c r="E80" s="36" t="s">
        <v>309</v>
      </c>
      <c r="F80" s="36" t="s">
        <v>271</v>
      </c>
      <c r="G80" s="37">
        <v>0.72312650365651621</v>
      </c>
      <c r="H80" s="37">
        <v>0.62068131194032461</v>
      </c>
      <c r="I80" s="37">
        <v>0.70112135607403836</v>
      </c>
      <c r="J80" s="37">
        <v>0.80686271605596793</v>
      </c>
      <c r="K80" s="37">
        <v>0.84003038000791908</v>
      </c>
      <c r="L80" s="37">
        <v>0.83718443937603093</v>
      </c>
      <c r="M80" s="37">
        <v>0.73901834127127142</v>
      </c>
      <c r="N80" s="37">
        <v>0.50156347211699204</v>
      </c>
      <c r="O80" s="37">
        <v>0.53544070893599993</v>
      </c>
      <c r="P80" s="37">
        <v>0.48763840859999996</v>
      </c>
      <c r="Q80" s="37">
        <v>0.466484517072</v>
      </c>
      <c r="R80" s="37">
        <v>0.6309952777440001</v>
      </c>
      <c r="S80" s="37">
        <v>0.80211264120000014</v>
      </c>
      <c r="T80" s="37">
        <v>0.80211264120000014</v>
      </c>
      <c r="U80" s="37">
        <v>0.80211264120000014</v>
      </c>
      <c r="V80" s="37">
        <v>0.80211264120000014</v>
      </c>
      <c r="W80" s="37">
        <v>0.80211264120000014</v>
      </c>
      <c r="X80" s="37">
        <v>0.80211264120000014</v>
      </c>
      <c r="Y80" s="37">
        <v>0.80211264120000014</v>
      </c>
      <c r="Z80" s="37">
        <v>0.80211264120000014</v>
      </c>
      <c r="AA80" s="37">
        <v>0.80211264120000014</v>
      </c>
      <c r="AB80" s="37">
        <v>0.80211264120000014</v>
      </c>
      <c r="AC80" s="37">
        <v>0.80211264120000014</v>
      </c>
      <c r="AD80" s="37">
        <v>0.80211264120000014</v>
      </c>
      <c r="AE80" s="37">
        <v>0.80211264120000014</v>
      </c>
      <c r="AF80" s="11">
        <v>0.80211264120000014</v>
      </c>
    </row>
    <row r="81" spans="3:32" ht="15" thickBot="1">
      <c r="C81" s="17" t="s">
        <v>87</v>
      </c>
      <c r="D81" s="18" t="s">
        <v>157</v>
      </c>
      <c r="E81" s="18" t="s">
        <v>308</v>
      </c>
      <c r="F81" s="18" t="s">
        <v>271</v>
      </c>
      <c r="G81" s="12">
        <v>5.7389111549335819E-2</v>
      </c>
      <c r="H81" s="12">
        <v>4.9271780518300071E-2</v>
      </c>
      <c r="I81" s="12">
        <v>5.5640242895068269E-2</v>
      </c>
      <c r="J81" s="12">
        <v>6.4022944621110703E-2</v>
      </c>
      <c r="K81" s="12">
        <v>6.6655407153433169E-2</v>
      </c>
      <c r="L81" s="12">
        <v>6.6442860681795946E-2</v>
      </c>
      <c r="M81" s="12">
        <v>5.865899043768099E-2</v>
      </c>
      <c r="N81" s="12">
        <v>3.9784728191663059E-2</v>
      </c>
      <c r="O81" s="12">
        <v>0.10566010656000001</v>
      </c>
      <c r="P81" s="12">
        <v>9.7427318400000018E-2</v>
      </c>
      <c r="Q81" s="12">
        <v>1.8227177280000003E-2</v>
      </c>
      <c r="R81" s="12">
        <v>0.10080671615999999</v>
      </c>
      <c r="S81" s="12">
        <v>0.104258016</v>
      </c>
      <c r="T81" s="12">
        <v>0.104258016</v>
      </c>
      <c r="U81" s="12">
        <v>0.104258016</v>
      </c>
      <c r="V81" s="12">
        <v>0.104258016</v>
      </c>
      <c r="W81" s="12">
        <v>0.104258016</v>
      </c>
      <c r="X81" s="12">
        <v>0.104258016</v>
      </c>
      <c r="Y81" s="12">
        <v>0.104258016</v>
      </c>
      <c r="Z81" s="12">
        <v>0.104258016</v>
      </c>
      <c r="AA81" s="12">
        <v>0.104258016</v>
      </c>
      <c r="AB81" s="12">
        <v>0.104258016</v>
      </c>
      <c r="AC81" s="12">
        <v>0.104258016</v>
      </c>
      <c r="AD81" s="12">
        <v>0.104258016</v>
      </c>
      <c r="AE81" s="12">
        <v>0.104258016</v>
      </c>
      <c r="AF81" s="13">
        <v>0.104258016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52A1-975E-4C57-92D5-6088F721CA02}">
  <dimension ref="C1:J37"/>
  <sheetViews>
    <sheetView workbookViewId="0">
      <selection activeCell="B10" sqref="B10"/>
    </sheetView>
  </sheetViews>
  <sheetFormatPr baseColWidth="10" defaultColWidth="8.88671875" defaultRowHeight="14.4"/>
  <cols>
    <col min="3" max="3" width="46" bestFit="1" customWidth="1"/>
    <col min="4" max="4" width="21.21875" bestFit="1" customWidth="1"/>
    <col min="5" max="5" width="10.77734375" bestFit="1" customWidth="1"/>
    <col min="6" max="6" width="6" customWidth="1"/>
    <col min="7" max="7" width="12" bestFit="1" customWidth="1"/>
    <col min="8" max="8" width="13.88671875" bestFit="1" customWidth="1"/>
    <col min="9" max="9" width="15" bestFit="1" customWidth="1"/>
    <col min="10" max="10" width="13" bestFit="1" customWidth="1"/>
  </cols>
  <sheetData>
    <row r="1" spans="3:10" ht="15" thickBot="1"/>
    <row r="2" spans="3:10" ht="15" thickBot="1">
      <c r="C2" s="82" t="s">
        <v>231</v>
      </c>
      <c r="G2" s="10"/>
    </row>
    <row r="3" spans="3:10">
      <c r="C3" s="49" t="s">
        <v>97</v>
      </c>
      <c r="D3" s="50" t="s">
        <v>98</v>
      </c>
      <c r="E3" s="50" t="s">
        <v>99</v>
      </c>
      <c r="F3" s="50" t="s">
        <v>55</v>
      </c>
      <c r="G3" s="50" t="s">
        <v>100</v>
      </c>
      <c r="H3" s="50" t="s">
        <v>101</v>
      </c>
      <c r="I3" s="51" t="s">
        <v>109</v>
      </c>
      <c r="J3" s="55" t="s">
        <v>108</v>
      </c>
    </row>
    <row r="4" spans="3:10">
      <c r="C4" s="77" t="s">
        <v>104</v>
      </c>
      <c r="D4" s="78" t="s">
        <v>223</v>
      </c>
      <c r="E4" s="48" t="s">
        <v>230</v>
      </c>
      <c r="F4" s="45">
        <v>0.95799999999999996</v>
      </c>
      <c r="G4" s="46">
        <v>1594</v>
      </c>
      <c r="H4" s="45">
        <v>2027</v>
      </c>
      <c r="I4" s="47" t="s">
        <v>110</v>
      </c>
      <c r="J4" s="52" t="s">
        <v>105</v>
      </c>
    </row>
    <row r="5" spans="3:10">
      <c r="C5" s="77" t="s">
        <v>111</v>
      </c>
      <c r="D5" s="78" t="s">
        <v>223</v>
      </c>
      <c r="E5" s="48" t="s">
        <v>230</v>
      </c>
      <c r="F5" s="45">
        <v>14.8</v>
      </c>
      <c r="G5" s="46">
        <v>24633</v>
      </c>
      <c r="H5" s="45">
        <v>2027</v>
      </c>
      <c r="I5" s="47" t="s">
        <v>110</v>
      </c>
      <c r="J5" s="52" t="s">
        <v>105</v>
      </c>
    </row>
    <row r="6" spans="3:10">
      <c r="C6" s="77" t="s">
        <v>112</v>
      </c>
      <c r="D6" s="79" t="s">
        <v>223</v>
      </c>
      <c r="E6" s="48" t="s">
        <v>230</v>
      </c>
      <c r="F6" s="45">
        <v>19.73</v>
      </c>
      <c r="G6" s="46">
        <v>32838</v>
      </c>
      <c r="H6" s="45">
        <v>2028</v>
      </c>
      <c r="I6" s="45" t="s">
        <v>110</v>
      </c>
      <c r="J6" s="52" t="s">
        <v>105</v>
      </c>
    </row>
    <row r="7" spans="3:10">
      <c r="C7" s="77" t="s">
        <v>106</v>
      </c>
      <c r="D7" s="78" t="s">
        <v>223</v>
      </c>
      <c r="E7" s="48" t="s">
        <v>230</v>
      </c>
      <c r="F7" s="45">
        <v>2.2599999999999998</v>
      </c>
      <c r="G7" s="46">
        <v>3761</v>
      </c>
      <c r="H7" s="45">
        <v>2029</v>
      </c>
      <c r="I7" s="45" t="s">
        <v>110</v>
      </c>
      <c r="J7" s="52" t="s">
        <v>105</v>
      </c>
    </row>
    <row r="8" spans="3:10">
      <c r="C8" s="77" t="s">
        <v>113</v>
      </c>
      <c r="D8" s="78" t="s">
        <v>223</v>
      </c>
      <c r="E8" s="45" t="s">
        <v>230</v>
      </c>
      <c r="F8" s="45">
        <v>100</v>
      </c>
      <c r="G8" s="45">
        <v>166440</v>
      </c>
      <c r="H8" s="45">
        <v>2029</v>
      </c>
      <c r="I8" s="45" t="s">
        <v>110</v>
      </c>
      <c r="J8" s="52" t="s">
        <v>114</v>
      </c>
    </row>
    <row r="9" spans="3:10">
      <c r="C9" s="77" t="s">
        <v>115</v>
      </c>
      <c r="D9" s="78" t="s">
        <v>223</v>
      </c>
      <c r="E9" s="45" t="s">
        <v>230</v>
      </c>
      <c r="F9" s="45">
        <v>45</v>
      </c>
      <c r="G9" s="45">
        <v>74898</v>
      </c>
      <c r="H9" s="45">
        <v>2029</v>
      </c>
      <c r="I9" s="45" t="s">
        <v>110</v>
      </c>
      <c r="J9" s="52" t="s">
        <v>114</v>
      </c>
    </row>
    <row r="10" spans="3:10">
      <c r="C10" s="77" t="s">
        <v>116</v>
      </c>
      <c r="D10" s="78" t="s">
        <v>223</v>
      </c>
      <c r="E10" s="45" t="s">
        <v>230</v>
      </c>
      <c r="F10" s="45">
        <v>75</v>
      </c>
      <c r="G10" s="45">
        <v>124830</v>
      </c>
      <c r="H10" s="45">
        <v>2029</v>
      </c>
      <c r="I10" s="45" t="s">
        <v>110</v>
      </c>
      <c r="J10" s="52" t="s">
        <v>114</v>
      </c>
    </row>
    <row r="11" spans="3:10">
      <c r="C11" s="77" t="s">
        <v>117</v>
      </c>
      <c r="D11" s="78" t="s">
        <v>223</v>
      </c>
      <c r="E11" s="45" t="s">
        <v>230</v>
      </c>
      <c r="F11" s="45">
        <v>160</v>
      </c>
      <c r="G11" s="45">
        <v>266304</v>
      </c>
      <c r="H11" s="45">
        <v>2029</v>
      </c>
      <c r="I11" s="45" t="s">
        <v>110</v>
      </c>
      <c r="J11" s="52" t="s">
        <v>105</v>
      </c>
    </row>
    <row r="12" spans="3:10">
      <c r="C12" s="77" t="s">
        <v>107</v>
      </c>
      <c r="D12" s="78" t="s">
        <v>223</v>
      </c>
      <c r="E12" s="45" t="s">
        <v>230</v>
      </c>
      <c r="F12" s="45">
        <v>0.22600000000000001</v>
      </c>
      <c r="G12" s="45">
        <v>376</v>
      </c>
      <c r="H12" s="45">
        <v>2029</v>
      </c>
      <c r="I12" s="45" t="s">
        <v>110</v>
      </c>
      <c r="J12" s="52" t="s">
        <v>105</v>
      </c>
    </row>
    <row r="13" spans="3:10">
      <c r="C13" s="77" t="s">
        <v>118</v>
      </c>
      <c r="D13" s="78" t="s">
        <v>223</v>
      </c>
      <c r="E13" s="45" t="s">
        <v>230</v>
      </c>
      <c r="F13" s="45">
        <v>126.6</v>
      </c>
      <c r="G13" s="45">
        <v>210713</v>
      </c>
      <c r="H13" s="45">
        <v>2030</v>
      </c>
      <c r="I13" s="45" t="s">
        <v>110</v>
      </c>
      <c r="J13" s="52" t="s">
        <v>114</v>
      </c>
    </row>
    <row r="14" spans="3:10">
      <c r="C14" s="77" t="s">
        <v>119</v>
      </c>
      <c r="D14" s="78" t="s">
        <v>223</v>
      </c>
      <c r="E14" s="45" t="s">
        <v>230</v>
      </c>
      <c r="F14" s="45">
        <v>153.30000000000001</v>
      </c>
      <c r="G14" s="45">
        <v>255152</v>
      </c>
      <c r="H14" s="45">
        <v>2030</v>
      </c>
      <c r="I14" s="45" t="s">
        <v>110</v>
      </c>
      <c r="J14" s="52" t="s">
        <v>114</v>
      </c>
    </row>
    <row r="15" spans="3:10">
      <c r="C15" s="77" t="s">
        <v>120</v>
      </c>
      <c r="D15" s="78" t="s">
        <v>223</v>
      </c>
      <c r="E15" s="45" t="s">
        <v>230</v>
      </c>
      <c r="F15" s="45">
        <v>200</v>
      </c>
      <c r="G15" s="45">
        <v>332880</v>
      </c>
      <c r="H15" s="45">
        <v>2031</v>
      </c>
      <c r="I15" s="45" t="s">
        <v>110</v>
      </c>
      <c r="J15" s="52" t="s">
        <v>105</v>
      </c>
    </row>
    <row r="16" spans="3:10">
      <c r="C16" s="77" t="s">
        <v>121</v>
      </c>
      <c r="D16" s="78" t="s">
        <v>223</v>
      </c>
      <c r="E16" s="45" t="s">
        <v>230</v>
      </c>
      <c r="F16" s="45">
        <v>100</v>
      </c>
      <c r="G16" s="45">
        <v>166440</v>
      </c>
      <c r="H16" s="45">
        <v>2031</v>
      </c>
      <c r="I16" s="45" t="s">
        <v>110</v>
      </c>
      <c r="J16" s="52" t="s">
        <v>105</v>
      </c>
    </row>
    <row r="17" spans="3:10">
      <c r="C17" s="77" t="s">
        <v>122</v>
      </c>
      <c r="D17" s="78" t="s">
        <v>223</v>
      </c>
      <c r="E17" s="45" t="s">
        <v>230</v>
      </c>
      <c r="F17" s="45">
        <v>180</v>
      </c>
      <c r="G17" s="45">
        <v>299592</v>
      </c>
      <c r="H17" s="45">
        <v>2032</v>
      </c>
      <c r="I17" s="45" t="s">
        <v>110</v>
      </c>
      <c r="J17" s="52" t="s">
        <v>105</v>
      </c>
    </row>
    <row r="18" spans="3:10">
      <c r="C18" s="77" t="s">
        <v>123</v>
      </c>
      <c r="D18" s="78" t="s">
        <v>59</v>
      </c>
      <c r="E18" s="45" t="s">
        <v>230</v>
      </c>
      <c r="F18" s="45">
        <v>16.5</v>
      </c>
      <c r="G18" s="45">
        <v>59200</v>
      </c>
      <c r="H18" s="45">
        <v>2013</v>
      </c>
      <c r="I18" s="45" t="s">
        <v>124</v>
      </c>
      <c r="J18" s="52" t="s">
        <v>56</v>
      </c>
    </row>
    <row r="19" spans="3:10">
      <c r="C19" s="77" t="s">
        <v>125</v>
      </c>
      <c r="D19" s="78" t="s">
        <v>59</v>
      </c>
      <c r="E19" s="45" t="s">
        <v>230</v>
      </c>
      <c r="F19" s="45">
        <v>80.5</v>
      </c>
      <c r="G19" s="45">
        <v>315000</v>
      </c>
      <c r="H19" s="45">
        <v>2029</v>
      </c>
      <c r="I19" s="45" t="s">
        <v>124</v>
      </c>
      <c r="J19" s="52" t="s">
        <v>105</v>
      </c>
    </row>
    <row r="20" spans="3:10">
      <c r="C20" s="77" t="s">
        <v>126</v>
      </c>
      <c r="D20" s="78" t="s">
        <v>59</v>
      </c>
      <c r="E20" s="45" t="s">
        <v>230</v>
      </c>
      <c r="F20" s="45">
        <v>150</v>
      </c>
      <c r="G20" s="45">
        <v>200000</v>
      </c>
      <c r="H20" s="45">
        <v>2030</v>
      </c>
      <c r="I20" s="45" t="s">
        <v>124</v>
      </c>
      <c r="J20" s="52" t="s">
        <v>105</v>
      </c>
    </row>
    <row r="21" spans="3:10">
      <c r="C21" s="77" t="s">
        <v>127</v>
      </c>
      <c r="D21" s="78" t="s">
        <v>224</v>
      </c>
      <c r="E21" s="45" t="s">
        <v>102</v>
      </c>
      <c r="F21" s="45">
        <v>170</v>
      </c>
      <c r="G21" s="45">
        <v>663525</v>
      </c>
      <c r="H21" s="45">
        <v>2010</v>
      </c>
      <c r="I21" s="45" t="s">
        <v>128</v>
      </c>
      <c r="J21" s="52" t="s">
        <v>56</v>
      </c>
    </row>
    <row r="22" spans="3:10">
      <c r="C22" s="77" t="s">
        <v>103</v>
      </c>
      <c r="D22" s="78" t="s">
        <v>225</v>
      </c>
      <c r="E22" s="45" t="s">
        <v>102</v>
      </c>
      <c r="F22" s="45">
        <v>1500</v>
      </c>
      <c r="G22" s="45">
        <v>3264000</v>
      </c>
      <c r="H22" s="45">
        <v>2015</v>
      </c>
      <c r="I22" s="45" t="s">
        <v>129</v>
      </c>
      <c r="J22" s="52" t="s">
        <v>56</v>
      </c>
    </row>
    <row r="23" spans="3:10">
      <c r="C23" s="77" t="s">
        <v>130</v>
      </c>
      <c r="D23" s="78" t="s">
        <v>226</v>
      </c>
      <c r="E23" s="45" t="s">
        <v>60</v>
      </c>
      <c r="F23" s="45">
        <v>65</v>
      </c>
      <c r="G23" s="45">
        <v>397500</v>
      </c>
      <c r="H23" s="45">
        <v>2015</v>
      </c>
      <c r="I23" s="45" t="s">
        <v>131</v>
      </c>
      <c r="J23" s="52" t="s">
        <v>56</v>
      </c>
    </row>
    <row r="24" spans="3:10">
      <c r="C24" s="77" t="s">
        <v>132</v>
      </c>
      <c r="D24" s="78" t="s">
        <v>226</v>
      </c>
      <c r="E24" s="45" t="s">
        <v>60</v>
      </c>
      <c r="F24" s="45">
        <v>270</v>
      </c>
      <c r="G24" s="45">
        <v>1300000</v>
      </c>
      <c r="H24" s="45">
        <v>2019</v>
      </c>
      <c r="I24" s="45" t="s">
        <v>131</v>
      </c>
      <c r="J24" s="52" t="s">
        <v>56</v>
      </c>
    </row>
    <row r="25" spans="3:10">
      <c r="C25" s="77" t="s">
        <v>133</v>
      </c>
      <c r="D25" s="78" t="s">
        <v>226</v>
      </c>
      <c r="E25" s="45" t="s">
        <v>102</v>
      </c>
      <c r="F25" s="45">
        <v>180</v>
      </c>
      <c r="G25" s="45">
        <v>829000</v>
      </c>
      <c r="H25" s="45">
        <v>2019</v>
      </c>
      <c r="I25" s="45" t="s">
        <v>134</v>
      </c>
      <c r="J25" s="52" t="s">
        <v>56</v>
      </c>
    </row>
    <row r="26" spans="3:10">
      <c r="C26" s="77" t="s">
        <v>135</v>
      </c>
      <c r="D26" s="78" t="s">
        <v>227</v>
      </c>
      <c r="E26" s="45" t="s">
        <v>60</v>
      </c>
      <c r="F26" s="45">
        <v>49</v>
      </c>
      <c r="G26" s="45">
        <v>152509</v>
      </c>
      <c r="H26" s="45">
        <v>2022</v>
      </c>
      <c r="I26" s="45" t="s">
        <v>136</v>
      </c>
      <c r="J26" s="52" t="s">
        <v>56</v>
      </c>
    </row>
    <row r="27" spans="3:10">
      <c r="C27" s="77" t="s">
        <v>137</v>
      </c>
      <c r="D27" s="78" t="s">
        <v>224</v>
      </c>
      <c r="E27" s="45" t="s">
        <v>60</v>
      </c>
      <c r="F27" s="45">
        <v>205.4</v>
      </c>
      <c r="G27" s="45">
        <v>1100000</v>
      </c>
      <c r="H27" s="45">
        <v>2025</v>
      </c>
      <c r="I27" s="45" t="s">
        <v>138</v>
      </c>
      <c r="J27" s="52" t="s">
        <v>56</v>
      </c>
    </row>
    <row r="28" spans="3:10">
      <c r="C28" s="77" t="s">
        <v>139</v>
      </c>
      <c r="D28" s="78" t="s">
        <v>228</v>
      </c>
      <c r="E28" s="45" t="s">
        <v>60</v>
      </c>
      <c r="F28" s="45">
        <v>29</v>
      </c>
      <c r="G28" s="45">
        <v>119462</v>
      </c>
      <c r="H28" s="45">
        <v>2026</v>
      </c>
      <c r="I28" s="45" t="s">
        <v>140</v>
      </c>
      <c r="J28" s="52" t="s">
        <v>105</v>
      </c>
    </row>
    <row r="29" spans="3:10">
      <c r="C29" s="77" t="s">
        <v>141</v>
      </c>
      <c r="D29" s="78" t="s">
        <v>227</v>
      </c>
      <c r="E29" s="45" t="s">
        <v>102</v>
      </c>
      <c r="F29" s="45">
        <v>7.2</v>
      </c>
      <c r="G29" s="45">
        <v>33800</v>
      </c>
      <c r="H29" s="45">
        <v>2026</v>
      </c>
      <c r="I29" s="45" t="s">
        <v>142</v>
      </c>
      <c r="J29" s="52" t="s">
        <v>105</v>
      </c>
    </row>
    <row r="30" spans="3:10">
      <c r="C30" s="77" t="s">
        <v>143</v>
      </c>
      <c r="D30" s="78" t="s">
        <v>225</v>
      </c>
      <c r="E30" s="45" t="s">
        <v>102</v>
      </c>
      <c r="F30" s="45">
        <v>487</v>
      </c>
      <c r="G30" s="45">
        <v>2456387</v>
      </c>
      <c r="H30" s="45">
        <v>2026</v>
      </c>
      <c r="I30" s="45" t="s">
        <v>129</v>
      </c>
      <c r="J30" s="52" t="s">
        <v>56</v>
      </c>
    </row>
    <row r="31" spans="3:10">
      <c r="C31" s="77" t="s">
        <v>144</v>
      </c>
      <c r="D31" s="78" t="s">
        <v>229</v>
      </c>
      <c r="E31" s="45" t="s">
        <v>102</v>
      </c>
      <c r="F31" s="45">
        <v>2400</v>
      </c>
      <c r="G31" s="45">
        <v>3600000</v>
      </c>
      <c r="H31" s="45">
        <v>2030</v>
      </c>
      <c r="I31" s="45" t="s">
        <v>145</v>
      </c>
      <c r="J31" s="52" t="s">
        <v>105</v>
      </c>
    </row>
    <row r="32" spans="3:10">
      <c r="C32" s="77" t="s">
        <v>146</v>
      </c>
      <c r="D32" s="78" t="s">
        <v>229</v>
      </c>
      <c r="E32" s="45" t="s">
        <v>102</v>
      </c>
      <c r="F32" s="45">
        <v>595.6</v>
      </c>
      <c r="G32" s="45">
        <v>595650</v>
      </c>
      <c r="H32" s="45">
        <v>2030</v>
      </c>
      <c r="I32" s="45" t="s">
        <v>145</v>
      </c>
      <c r="J32" s="52" t="s">
        <v>105</v>
      </c>
    </row>
    <row r="33" spans="3:10">
      <c r="C33" s="77" t="s">
        <v>147</v>
      </c>
      <c r="D33" s="78" t="s">
        <v>227</v>
      </c>
      <c r="E33" s="45" t="s">
        <v>102</v>
      </c>
      <c r="F33" s="45">
        <v>7.2</v>
      </c>
      <c r="G33" s="45">
        <v>337770</v>
      </c>
      <c r="H33" s="45">
        <v>2031</v>
      </c>
      <c r="I33" s="45" t="s">
        <v>142</v>
      </c>
      <c r="J33" s="52" t="s">
        <v>114</v>
      </c>
    </row>
    <row r="34" spans="3:10">
      <c r="C34" s="77" t="s">
        <v>148</v>
      </c>
      <c r="D34" s="78" t="s">
        <v>227</v>
      </c>
      <c r="E34" s="45" t="s">
        <v>102</v>
      </c>
      <c r="F34" s="45">
        <v>50</v>
      </c>
      <c r="G34" s="45">
        <v>194444</v>
      </c>
      <c r="H34" s="45">
        <v>2031</v>
      </c>
      <c r="I34" s="45" t="s">
        <v>142</v>
      </c>
      <c r="J34" s="52" t="s">
        <v>105</v>
      </c>
    </row>
    <row r="35" spans="3:10">
      <c r="C35" s="77" t="s">
        <v>149</v>
      </c>
      <c r="D35" s="78" t="s">
        <v>224</v>
      </c>
      <c r="E35" s="45" t="s">
        <v>102</v>
      </c>
      <c r="F35" s="45">
        <v>92.2</v>
      </c>
      <c r="G35" s="45">
        <v>379807</v>
      </c>
      <c r="H35" s="45">
        <v>2029</v>
      </c>
      <c r="I35" s="45" t="s">
        <v>128</v>
      </c>
      <c r="J35" s="52" t="s">
        <v>114</v>
      </c>
    </row>
    <row r="36" spans="3:10">
      <c r="C36" s="77" t="s">
        <v>150</v>
      </c>
      <c r="D36" s="78" t="s">
        <v>224</v>
      </c>
      <c r="E36" s="45" t="s">
        <v>102</v>
      </c>
      <c r="F36" s="45">
        <v>166.3</v>
      </c>
      <c r="G36" s="45">
        <v>685054</v>
      </c>
      <c r="H36" s="45">
        <v>2030</v>
      </c>
      <c r="I36" s="45" t="s">
        <v>128</v>
      </c>
      <c r="J36" s="52" t="s">
        <v>114</v>
      </c>
    </row>
    <row r="37" spans="3:10" ht="15" thickBot="1">
      <c r="C37" s="80" t="s">
        <v>151</v>
      </c>
      <c r="D37" s="81" t="s">
        <v>61</v>
      </c>
      <c r="E37" s="53" t="s">
        <v>230</v>
      </c>
      <c r="F37" s="53">
        <v>50</v>
      </c>
      <c r="G37" s="53">
        <v>394000</v>
      </c>
      <c r="H37" s="53">
        <v>2034</v>
      </c>
      <c r="I37" s="53" t="s">
        <v>152</v>
      </c>
      <c r="J37" s="54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2D4FC-F807-4BFD-AFED-46C5FD02F947}">
  <sheetPr>
    <tabColor rgb="FF92D050"/>
  </sheetPr>
  <dimension ref="B4:Q51"/>
  <sheetViews>
    <sheetView zoomScale="85" zoomScaleNormal="85" workbookViewId="0">
      <selection activeCell="B6" sqref="B6:C51"/>
    </sheetView>
  </sheetViews>
  <sheetFormatPr baseColWidth="10" defaultColWidth="9.109375" defaultRowHeight="14.4"/>
  <cols>
    <col min="2" max="2" width="35.6640625" customWidth="1"/>
    <col min="3" max="3" width="39.6640625" bestFit="1" customWidth="1"/>
    <col min="4" max="4" width="12.77734375" bestFit="1" customWidth="1"/>
    <col min="5" max="5" width="6.6640625" bestFit="1" customWidth="1"/>
    <col min="6" max="10" width="8.109375" bestFit="1" customWidth="1"/>
    <col min="11" max="17" width="6.6640625" bestFit="1" customWidth="1"/>
    <col min="18" max="18" width="11" bestFit="1" customWidth="1"/>
  </cols>
  <sheetData>
    <row r="4" spans="2:17" ht="18.600000000000001" thickBot="1">
      <c r="B4" s="22" t="s">
        <v>232</v>
      </c>
    </row>
    <row r="5" spans="2:17" ht="15" thickBot="1">
      <c r="B5" s="5" t="s">
        <v>233</v>
      </c>
      <c r="C5" s="6" t="s">
        <v>22</v>
      </c>
      <c r="D5" s="6">
        <v>2010</v>
      </c>
      <c r="E5" s="6">
        <v>2011</v>
      </c>
      <c r="F5" s="6">
        <v>2012</v>
      </c>
      <c r="G5" s="6">
        <v>2013</v>
      </c>
      <c r="H5" s="6">
        <v>2014</v>
      </c>
      <c r="I5" s="6">
        <v>2015</v>
      </c>
      <c r="J5" s="6">
        <v>2016</v>
      </c>
      <c r="K5" s="6">
        <v>2017</v>
      </c>
      <c r="L5" s="6">
        <v>2018</v>
      </c>
      <c r="M5" s="6">
        <v>2019</v>
      </c>
      <c r="N5" s="6">
        <v>2020</v>
      </c>
      <c r="O5" s="6">
        <v>2021</v>
      </c>
      <c r="P5" s="6">
        <v>2022</v>
      </c>
      <c r="Q5" s="7">
        <v>2023</v>
      </c>
    </row>
    <row r="6" spans="2:17">
      <c r="B6" s="73" t="s">
        <v>234</v>
      </c>
      <c r="C6" s="74" t="s">
        <v>235</v>
      </c>
      <c r="D6" s="56">
        <v>1.79156800448E-2</v>
      </c>
      <c r="E6" s="56">
        <v>1.7851684630400003E-2</v>
      </c>
      <c r="F6" s="56">
        <v>1.8087213321600001E-2</v>
      </c>
      <c r="G6" s="56">
        <v>1.8094084240000002E-2</v>
      </c>
      <c r="H6" s="56">
        <v>1.7960980169600002E-2</v>
      </c>
      <c r="I6" s="56">
        <v>1.9235455638400002E-2</v>
      </c>
      <c r="J6" s="56">
        <v>3.5523926438400001E-2</v>
      </c>
      <c r="K6" s="56">
        <v>3.6079991462399999E-2</v>
      </c>
      <c r="L6" s="56">
        <v>4.2200000000000001E-2</v>
      </c>
      <c r="M6" s="56">
        <v>4.2200000000000001E-2</v>
      </c>
      <c r="N6" s="56">
        <v>4.2200000000000001E-2</v>
      </c>
      <c r="O6" s="56">
        <v>4.2200000000000001E-2</v>
      </c>
      <c r="P6" s="56">
        <v>4.2200000000000001E-2</v>
      </c>
      <c r="Q6" s="57">
        <v>4.2200000000000001E-2</v>
      </c>
    </row>
    <row r="7" spans="2:17">
      <c r="B7" s="73" t="s">
        <v>236</v>
      </c>
      <c r="C7" s="74" t="s">
        <v>235</v>
      </c>
      <c r="D7" s="56">
        <v>9.7017314635200025E-2</v>
      </c>
      <c r="E7" s="56">
        <v>9.6670765509599993E-2</v>
      </c>
      <c r="F7" s="56">
        <v>9.7946204738400017E-2</v>
      </c>
      <c r="G7" s="56">
        <v>9.798341226E-2</v>
      </c>
      <c r="H7" s="56">
        <v>9.7262624690400035E-2</v>
      </c>
      <c r="I7" s="56">
        <v>0.10416418730160003</v>
      </c>
      <c r="J7" s="56">
        <v>0.19236980900160006</v>
      </c>
      <c r="K7" s="56">
        <v>0.19538102237760002</v>
      </c>
      <c r="L7" s="56">
        <v>0.21299999999999999</v>
      </c>
      <c r="M7" s="56">
        <v>0.21299999999999999</v>
      </c>
      <c r="N7" s="56">
        <v>0.21299999999999999</v>
      </c>
      <c r="O7" s="56">
        <v>0.21299999999999999</v>
      </c>
      <c r="P7" s="56">
        <v>0.21299999999999999</v>
      </c>
      <c r="Q7" s="57">
        <v>0.21299999999999999</v>
      </c>
    </row>
    <row r="8" spans="2:17">
      <c r="B8" s="73" t="s">
        <v>237</v>
      </c>
      <c r="C8" s="74" t="s">
        <v>235</v>
      </c>
      <c r="D8" s="56">
        <v>0.34365999999999997</v>
      </c>
      <c r="E8" s="56">
        <v>0.34365999999999997</v>
      </c>
      <c r="F8" s="56">
        <v>0.34365999999999997</v>
      </c>
      <c r="G8" s="56">
        <v>0.34365999999999997</v>
      </c>
      <c r="H8" s="56">
        <v>0.33</v>
      </c>
      <c r="I8" s="56">
        <v>0.33</v>
      </c>
      <c r="J8" s="56">
        <v>0.33</v>
      </c>
      <c r="K8" s="56">
        <v>0.33</v>
      </c>
      <c r="L8" s="56">
        <v>0.40300000000000002</v>
      </c>
      <c r="M8" s="56">
        <v>0.40300000000000002</v>
      </c>
      <c r="N8" s="56">
        <v>0.40300000000000002</v>
      </c>
      <c r="O8" s="56">
        <v>0.40300000000000002</v>
      </c>
      <c r="P8" s="56">
        <v>0.40300000000000002</v>
      </c>
      <c r="Q8" s="57">
        <v>0.40300000000000002</v>
      </c>
    </row>
    <row r="9" spans="2:17">
      <c r="B9" s="73" t="s">
        <v>238</v>
      </c>
      <c r="C9" s="74" t="s">
        <v>235</v>
      </c>
      <c r="D9" s="56">
        <v>1.075</v>
      </c>
      <c r="E9" s="56">
        <v>1.075</v>
      </c>
      <c r="F9" s="56">
        <v>1.075</v>
      </c>
      <c r="G9" s="56">
        <v>1.075</v>
      </c>
      <c r="H9" s="56">
        <v>1.075</v>
      </c>
      <c r="I9" s="56">
        <v>1.075</v>
      </c>
      <c r="J9" s="56">
        <v>1.075</v>
      </c>
      <c r="K9" s="56">
        <v>1.075</v>
      </c>
      <c r="L9" s="56">
        <v>1.075</v>
      </c>
      <c r="M9" s="56">
        <v>1.075</v>
      </c>
      <c r="N9" s="56">
        <v>1.075</v>
      </c>
      <c r="O9" s="56">
        <v>1.075</v>
      </c>
      <c r="P9" s="56">
        <v>1.075</v>
      </c>
      <c r="Q9" s="57">
        <v>1.075</v>
      </c>
    </row>
    <row r="10" spans="2:17" ht="28.8">
      <c r="B10" s="73" t="s">
        <v>239</v>
      </c>
      <c r="C10" s="74" t="s">
        <v>235</v>
      </c>
      <c r="D10" s="56">
        <v>1.79156800448E-2</v>
      </c>
      <c r="E10" s="56">
        <v>1.7851684630400003E-2</v>
      </c>
      <c r="F10" s="56">
        <v>1.8087213321600001E-2</v>
      </c>
      <c r="G10" s="56">
        <v>1.8094084240000002E-2</v>
      </c>
      <c r="H10" s="56">
        <v>1.7960980169600002E-2</v>
      </c>
      <c r="I10" s="56">
        <v>1.9235455638400002E-2</v>
      </c>
      <c r="J10" s="56">
        <v>3.5523926438400001E-2</v>
      </c>
      <c r="K10" s="56">
        <v>3.6079991462399999E-2</v>
      </c>
      <c r="L10" s="56">
        <v>5.4393999999999998E-2</v>
      </c>
      <c r="M10" s="56">
        <v>5.4393999999999998E-2</v>
      </c>
      <c r="N10" s="56">
        <v>5.4393999999999998E-2</v>
      </c>
      <c r="O10" s="56">
        <v>5.4393999999999998E-2</v>
      </c>
      <c r="P10" s="56">
        <v>5.4393999999999998E-2</v>
      </c>
      <c r="Q10" s="57">
        <v>5.4393999999999998E-2</v>
      </c>
    </row>
    <row r="11" spans="2:17" ht="28.8">
      <c r="B11" s="73" t="s">
        <v>240</v>
      </c>
      <c r="C11" s="74" t="s">
        <v>235</v>
      </c>
      <c r="D11" s="56">
        <v>9.7017314635200025E-2</v>
      </c>
      <c r="E11" s="56">
        <v>9.6670765509599993E-2</v>
      </c>
      <c r="F11" s="56">
        <v>9.7946204738400017E-2</v>
      </c>
      <c r="G11" s="56">
        <v>9.798341226E-2</v>
      </c>
      <c r="H11" s="56">
        <v>9.7262624690400035E-2</v>
      </c>
      <c r="I11" s="56">
        <v>0.10416418730160003</v>
      </c>
      <c r="J11" s="56">
        <v>0.19236980900160006</v>
      </c>
      <c r="K11" s="56">
        <v>0.19538102237760002</v>
      </c>
      <c r="L11" s="56">
        <v>0.33335999999999999</v>
      </c>
      <c r="M11" s="56">
        <v>0.33335999999999999</v>
      </c>
      <c r="N11" s="56">
        <v>0.33335999999999999</v>
      </c>
      <c r="O11" s="56">
        <v>0.33335999999999999</v>
      </c>
      <c r="P11" s="56">
        <v>0.33335999999999999</v>
      </c>
      <c r="Q11" s="57">
        <v>0.33335999999999999</v>
      </c>
    </row>
    <row r="12" spans="2:17" ht="28.8">
      <c r="B12" s="73" t="s">
        <v>241</v>
      </c>
      <c r="C12" s="74" t="s">
        <v>235</v>
      </c>
      <c r="D12" s="56">
        <v>0.22394600056000005</v>
      </c>
      <c r="E12" s="56">
        <v>0.22314605788</v>
      </c>
      <c r="F12" s="56">
        <v>0.22609016652000002</v>
      </c>
      <c r="G12" s="56">
        <v>0.22617605300000002</v>
      </c>
      <c r="H12" s="56">
        <v>0.22451225212000006</v>
      </c>
      <c r="I12" s="56">
        <v>0.24044319548000004</v>
      </c>
      <c r="J12" s="56">
        <v>0.44404908048000008</v>
      </c>
      <c r="K12" s="56">
        <v>0.45099989328000006</v>
      </c>
      <c r="L12" s="56">
        <v>0.54239000000000004</v>
      </c>
      <c r="M12" s="56">
        <v>0.54239000000000004</v>
      </c>
      <c r="N12" s="56">
        <v>0.54239000000000004</v>
      </c>
      <c r="O12" s="56">
        <v>0.54239000000000004</v>
      </c>
      <c r="P12" s="56">
        <v>0.54239000000000004</v>
      </c>
      <c r="Q12" s="57">
        <v>0.54239000000000004</v>
      </c>
    </row>
    <row r="13" spans="2:17" ht="28.8">
      <c r="B13" s="73" t="s">
        <v>242</v>
      </c>
      <c r="C13" s="74" t="s">
        <v>235</v>
      </c>
      <c r="D13" s="56">
        <v>0.20826978052080003</v>
      </c>
      <c r="E13" s="56">
        <v>0.20752583382839998</v>
      </c>
      <c r="F13" s="56">
        <v>0.2102638548636</v>
      </c>
      <c r="G13" s="56">
        <v>0.21034372929</v>
      </c>
      <c r="H13" s="56">
        <v>0.20879639447160003</v>
      </c>
      <c r="I13" s="56">
        <v>0.22361217179640003</v>
      </c>
      <c r="J13" s="56">
        <v>0.41296564484640003</v>
      </c>
      <c r="K13" s="56">
        <v>0.41942990075039999</v>
      </c>
      <c r="L13" s="56">
        <v>0.41</v>
      </c>
      <c r="M13" s="56">
        <v>0.41</v>
      </c>
      <c r="N13" s="56">
        <v>0.41</v>
      </c>
      <c r="O13" s="56">
        <v>0.41</v>
      </c>
      <c r="P13" s="56">
        <v>0.41</v>
      </c>
      <c r="Q13" s="57">
        <v>0.41</v>
      </c>
    </row>
    <row r="14" spans="2:17" ht="28.8">
      <c r="B14" s="73" t="s">
        <v>243</v>
      </c>
      <c r="C14" s="74" t="s">
        <v>235</v>
      </c>
      <c r="D14" s="56">
        <v>0.87338940218400019</v>
      </c>
      <c r="E14" s="56">
        <v>0.87026962573200006</v>
      </c>
      <c r="F14" s="56">
        <v>0.88175164942800011</v>
      </c>
      <c r="G14" s="56">
        <v>0.88208660670000005</v>
      </c>
      <c r="H14" s="56">
        <v>0.8755977832680002</v>
      </c>
      <c r="I14" s="56">
        <v>0.93772846237200025</v>
      </c>
      <c r="J14" s="56">
        <v>1.7317914138720003</v>
      </c>
      <c r="K14" s="56">
        <v>1.7588995837920001</v>
      </c>
      <c r="L14" s="56">
        <v>1.9869999899999999</v>
      </c>
      <c r="M14" s="56">
        <v>1.9869999899999999</v>
      </c>
      <c r="N14" s="56">
        <v>1.9869999899999999</v>
      </c>
      <c r="O14" s="56">
        <v>1.9869999899999999</v>
      </c>
      <c r="P14" s="56">
        <v>1.9869999899999999</v>
      </c>
      <c r="Q14" s="57">
        <v>1.9869999899999999</v>
      </c>
    </row>
    <row r="15" spans="2:17">
      <c r="B15" s="73" t="s">
        <v>244</v>
      </c>
      <c r="C15" s="74" t="s">
        <v>23</v>
      </c>
      <c r="D15" s="56">
        <v>2.1120000000000002E-3</v>
      </c>
      <c r="E15" s="56">
        <v>2.1120000000000002E-3</v>
      </c>
      <c r="F15" s="56">
        <v>2.1120000000000002E-3</v>
      </c>
      <c r="G15" s="56">
        <v>1.7212799999999997E-2</v>
      </c>
      <c r="H15" s="56">
        <v>2.3240799999999999E-2</v>
      </c>
      <c r="I15" s="56">
        <v>2.2475200000000001E-2</v>
      </c>
      <c r="J15" s="56">
        <v>2.3302400000000001E-2</v>
      </c>
      <c r="K15" s="56">
        <v>2.3302400000000001E-2</v>
      </c>
      <c r="L15" s="56">
        <v>2.4460819999999991E-2</v>
      </c>
      <c r="M15" s="56">
        <v>2.4460819999999991E-2</v>
      </c>
      <c r="N15" s="56">
        <v>2.4460819999999991E-2</v>
      </c>
      <c r="O15" s="56">
        <v>2.4460819999999991E-2</v>
      </c>
      <c r="P15" s="56">
        <v>2.4460819999999991E-2</v>
      </c>
      <c r="Q15" s="57">
        <v>2.4460819999999991E-2</v>
      </c>
    </row>
    <row r="16" spans="2:17">
      <c r="B16" s="73" t="s">
        <v>245</v>
      </c>
      <c r="C16" s="74" t="s">
        <v>245</v>
      </c>
      <c r="D16" s="56">
        <v>1.872E-3</v>
      </c>
      <c r="E16" s="56">
        <v>1.872E-3</v>
      </c>
      <c r="F16" s="56">
        <v>1.872E-3</v>
      </c>
      <c r="G16" s="56">
        <v>1.5256800000000001E-2</v>
      </c>
      <c r="H16" s="56">
        <v>1.6497000000000001E-2</v>
      </c>
      <c r="I16" s="56">
        <v>1.6497000000000001E-2</v>
      </c>
      <c r="J16" s="56">
        <v>1.6497000000000001E-2</v>
      </c>
      <c r="K16" s="56">
        <v>1.6497000000000001E-2</v>
      </c>
      <c r="L16" s="56">
        <v>1.6500000000000001E-2</v>
      </c>
      <c r="M16" s="56">
        <v>1.6500000000000001E-2</v>
      </c>
      <c r="N16" s="56">
        <v>1.6500000000000001E-2</v>
      </c>
      <c r="O16" s="56">
        <v>1.6500000000000001E-2</v>
      </c>
      <c r="P16" s="56">
        <v>1.6500000000000001E-2</v>
      </c>
      <c r="Q16" s="57">
        <v>1.6500000000000001E-2</v>
      </c>
    </row>
    <row r="17" spans="2:17" ht="28.8">
      <c r="B17" s="73" t="s">
        <v>246</v>
      </c>
      <c r="C17" s="74" t="s">
        <v>235</v>
      </c>
      <c r="D17" s="56">
        <v>5.6239893600000003E-4</v>
      </c>
      <c r="E17" s="56">
        <v>5.6039002799999991E-4</v>
      </c>
      <c r="F17" s="56">
        <v>5.6778361200000003E-4</v>
      </c>
      <c r="G17" s="56">
        <v>5.6799930000000012E-4</v>
      </c>
      <c r="H17" s="56">
        <v>5.6382097200000005E-4</v>
      </c>
      <c r="I17" s="56">
        <v>6.0382858800000019E-4</v>
      </c>
      <c r="J17" s="56">
        <v>1.115147088E-3</v>
      </c>
      <c r="K17" s="56">
        <v>1.1326027680000001E-3</v>
      </c>
      <c r="L17" s="56">
        <v>1.1600000000000002E-3</v>
      </c>
      <c r="M17" s="56">
        <v>1.1600000000000002E-3</v>
      </c>
      <c r="N17" s="56">
        <v>1.1600000000000002E-3</v>
      </c>
      <c r="O17" s="56">
        <v>1.1600000000000002E-3</v>
      </c>
      <c r="P17" s="56">
        <v>1.1600000000000002E-3</v>
      </c>
      <c r="Q17" s="57">
        <v>1.1600000000000002E-3</v>
      </c>
    </row>
    <row r="18" spans="2:17">
      <c r="B18" s="73" t="s">
        <v>247</v>
      </c>
      <c r="C18" s="74" t="s">
        <v>235</v>
      </c>
      <c r="D18" s="56">
        <v>1.4207973120000002E-3</v>
      </c>
      <c r="E18" s="56">
        <v>1.4157221759999998E-3</v>
      </c>
      <c r="F18" s="56">
        <v>1.434400704E-3</v>
      </c>
      <c r="G18" s="56">
        <v>1.4349456E-3</v>
      </c>
      <c r="H18" s="56">
        <v>1.424389824E-3</v>
      </c>
      <c r="I18" s="56">
        <v>1.5254616960000003E-3</v>
      </c>
      <c r="J18" s="56">
        <v>2.8172136960000001E-3</v>
      </c>
      <c r="K18" s="56">
        <v>2.8613122560000002E-3</v>
      </c>
      <c r="L18" s="56">
        <v>2.8999999999999998E-3</v>
      </c>
      <c r="M18" s="56">
        <v>2.8999999999999998E-3</v>
      </c>
      <c r="N18" s="56">
        <v>2.8999999999999998E-3</v>
      </c>
      <c r="O18" s="56">
        <v>2.8999999999999998E-3</v>
      </c>
      <c r="P18" s="56">
        <v>2.8999999999999998E-3</v>
      </c>
      <c r="Q18" s="57">
        <v>2.8999999999999998E-3</v>
      </c>
    </row>
    <row r="19" spans="2:17">
      <c r="B19" s="73" t="s">
        <v>248</v>
      </c>
      <c r="C19" s="74" t="s">
        <v>23</v>
      </c>
      <c r="D19" s="56">
        <v>5.1839999999999998E-5</v>
      </c>
      <c r="E19" s="56">
        <v>5.1839999999999998E-5</v>
      </c>
      <c r="F19" s="56">
        <v>5.1839999999999998E-5</v>
      </c>
      <c r="G19" s="56">
        <v>4.2249599999999996E-4</v>
      </c>
      <c r="H19" s="56">
        <v>5.70456E-4</v>
      </c>
      <c r="I19" s="56">
        <v>5.5166399999999989E-4</v>
      </c>
      <c r="J19" s="56">
        <v>5.7196799999999996E-4</v>
      </c>
      <c r="K19" s="56">
        <v>5.7196799999999996E-4</v>
      </c>
      <c r="L19" s="56">
        <v>5.7260000000000004E-4</v>
      </c>
      <c r="M19" s="56">
        <v>5.7260000000000004E-4</v>
      </c>
      <c r="N19" s="56">
        <v>5.7260000000000004E-4</v>
      </c>
      <c r="O19" s="56">
        <v>5.7260000000000004E-4</v>
      </c>
      <c r="P19" s="56">
        <v>5.7260000000000004E-4</v>
      </c>
      <c r="Q19" s="57">
        <v>5.7260000000000004E-4</v>
      </c>
    </row>
    <row r="20" spans="2:17">
      <c r="B20" s="73" t="s">
        <v>249</v>
      </c>
      <c r="C20" s="74" t="s">
        <v>245</v>
      </c>
      <c r="D20" s="56">
        <v>5.2800000000000004E-4</v>
      </c>
      <c r="E20" s="56">
        <v>5.2800000000000004E-4</v>
      </c>
      <c r="F20" s="56">
        <v>5.2800000000000004E-4</v>
      </c>
      <c r="G20" s="56">
        <v>4.3031999999999992E-3</v>
      </c>
      <c r="H20" s="56">
        <v>4.6529999999999992E-3</v>
      </c>
      <c r="I20" s="56">
        <v>4.6529999999999992E-3</v>
      </c>
      <c r="J20" s="56">
        <v>4.6529999999999992E-3</v>
      </c>
      <c r="K20" s="56">
        <v>4.6529999999999992E-3</v>
      </c>
      <c r="L20" s="56">
        <v>4.6500000000000005E-3</v>
      </c>
      <c r="M20" s="56">
        <v>4.6500000000000005E-3</v>
      </c>
      <c r="N20" s="56">
        <v>4.6500000000000005E-3</v>
      </c>
      <c r="O20" s="56">
        <v>4.6500000000000005E-3</v>
      </c>
      <c r="P20" s="56">
        <v>4.6500000000000005E-3</v>
      </c>
      <c r="Q20" s="57">
        <v>4.6500000000000005E-3</v>
      </c>
    </row>
    <row r="21" spans="2:17">
      <c r="B21" s="73" t="s">
        <v>250</v>
      </c>
      <c r="C21" s="74" t="s">
        <v>23</v>
      </c>
      <c r="D21" s="56">
        <v>2.3615999999999999E-4</v>
      </c>
      <c r="E21" s="56">
        <v>2.3615999999999999E-4</v>
      </c>
      <c r="F21" s="56">
        <v>2.3615999999999999E-4</v>
      </c>
      <c r="G21" s="56">
        <v>1.9247039999999997E-3</v>
      </c>
      <c r="H21" s="56">
        <v>2.5987440000000001E-3</v>
      </c>
      <c r="I21" s="56">
        <v>2.513136E-3</v>
      </c>
      <c r="J21" s="56">
        <v>2.6056320000000001E-3</v>
      </c>
      <c r="K21" s="56">
        <v>2.6056320000000001E-3</v>
      </c>
      <c r="L21" s="56">
        <v>2.5964199999999999E-3</v>
      </c>
      <c r="M21" s="56">
        <v>2.5964199999999999E-3</v>
      </c>
      <c r="N21" s="56">
        <v>2.5964199999999999E-3</v>
      </c>
      <c r="O21" s="56">
        <v>2.5964199999999999E-3</v>
      </c>
      <c r="P21" s="56">
        <v>2.5964199999999999E-3</v>
      </c>
      <c r="Q21" s="57">
        <v>2.5964199999999999E-3</v>
      </c>
    </row>
    <row r="22" spans="2:17">
      <c r="B22" s="73" t="s">
        <v>251</v>
      </c>
      <c r="C22" s="74" t="s">
        <v>235</v>
      </c>
      <c r="D22" s="56">
        <v>9.7679815200000012E-4</v>
      </c>
      <c r="E22" s="56">
        <v>9.7330899600000002E-4</v>
      </c>
      <c r="F22" s="56">
        <v>9.8615048400000011E-4</v>
      </c>
      <c r="G22" s="56">
        <v>9.8652510000000007E-4</v>
      </c>
      <c r="H22" s="56">
        <v>9.7926800400000014E-4</v>
      </c>
      <c r="I22" s="56">
        <v>1.0487549160000003E-3</v>
      </c>
      <c r="J22" s="56">
        <v>1.9368344160000002E-3</v>
      </c>
      <c r="K22" s="56">
        <v>1.967152176E-3</v>
      </c>
      <c r="L22" s="56">
        <v>2E-3</v>
      </c>
      <c r="M22" s="56">
        <v>2E-3</v>
      </c>
      <c r="N22" s="56">
        <v>2E-3</v>
      </c>
      <c r="O22" s="56">
        <v>2E-3</v>
      </c>
      <c r="P22" s="56">
        <v>2E-3</v>
      </c>
      <c r="Q22" s="57">
        <v>2E-3</v>
      </c>
    </row>
    <row r="23" spans="2:17">
      <c r="B23" s="73" t="s">
        <v>252</v>
      </c>
      <c r="C23" s="74" t="s">
        <v>253</v>
      </c>
      <c r="D23" s="56">
        <v>26</v>
      </c>
      <c r="E23" s="56">
        <v>26</v>
      </c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7"/>
    </row>
    <row r="24" spans="2:17">
      <c r="B24" s="73" t="s">
        <v>254</v>
      </c>
      <c r="C24" s="74" t="s">
        <v>255</v>
      </c>
      <c r="D24" s="56">
        <v>3</v>
      </c>
      <c r="E24" s="56">
        <v>3</v>
      </c>
      <c r="F24" s="56">
        <v>3</v>
      </c>
      <c r="G24" s="56">
        <v>3</v>
      </c>
      <c r="H24" s="56">
        <v>3</v>
      </c>
      <c r="I24" s="56">
        <v>3</v>
      </c>
      <c r="J24" s="56">
        <v>3</v>
      </c>
      <c r="K24" s="56">
        <v>3</v>
      </c>
      <c r="L24" s="56">
        <v>3</v>
      </c>
      <c r="M24" s="56">
        <v>3</v>
      </c>
      <c r="N24" s="56">
        <v>3</v>
      </c>
      <c r="O24" s="56">
        <v>3</v>
      </c>
      <c r="P24" s="56">
        <v>3</v>
      </c>
      <c r="Q24" s="57">
        <v>3</v>
      </c>
    </row>
    <row r="25" spans="2:17">
      <c r="B25" s="73" t="s">
        <v>256</v>
      </c>
      <c r="C25" s="74" t="s">
        <v>255</v>
      </c>
      <c r="D25" s="56">
        <v>3</v>
      </c>
      <c r="E25" s="56">
        <v>3</v>
      </c>
      <c r="F25" s="56">
        <v>3</v>
      </c>
      <c r="G25" s="56">
        <v>3</v>
      </c>
      <c r="H25" s="56">
        <v>3</v>
      </c>
      <c r="I25" s="56">
        <v>3</v>
      </c>
      <c r="J25" s="56">
        <v>3</v>
      </c>
      <c r="K25" s="56">
        <v>3</v>
      </c>
      <c r="L25" s="56">
        <v>3</v>
      </c>
      <c r="M25" s="56">
        <v>3</v>
      </c>
      <c r="N25" s="56">
        <v>3</v>
      </c>
      <c r="O25" s="56">
        <v>3</v>
      </c>
      <c r="P25" s="56">
        <v>3</v>
      </c>
      <c r="Q25" s="57">
        <v>3</v>
      </c>
    </row>
    <row r="26" spans="2:17">
      <c r="B26" s="73" t="s">
        <v>257</v>
      </c>
      <c r="C26" s="74" t="s">
        <v>4</v>
      </c>
      <c r="D26" s="56">
        <v>80</v>
      </c>
      <c r="E26" s="56">
        <v>80</v>
      </c>
      <c r="F26" s="56">
        <v>80</v>
      </c>
      <c r="G26" s="56">
        <v>80</v>
      </c>
      <c r="H26" s="56">
        <v>80</v>
      </c>
      <c r="I26" s="56">
        <v>80</v>
      </c>
      <c r="J26" s="56">
        <v>80</v>
      </c>
      <c r="K26" s="56">
        <v>80</v>
      </c>
      <c r="L26" s="56">
        <v>80</v>
      </c>
      <c r="M26" s="56">
        <v>80</v>
      </c>
      <c r="N26" s="56">
        <v>80</v>
      </c>
      <c r="O26" s="56">
        <v>80</v>
      </c>
      <c r="P26" s="56">
        <v>80</v>
      </c>
      <c r="Q26" s="57">
        <v>80</v>
      </c>
    </row>
    <row r="27" spans="2:17">
      <c r="B27" s="73" t="s">
        <v>257</v>
      </c>
      <c r="C27" s="74" t="s">
        <v>258</v>
      </c>
      <c r="D27" s="56">
        <v>66</v>
      </c>
      <c r="E27" s="56">
        <v>66</v>
      </c>
      <c r="F27" s="56">
        <v>66</v>
      </c>
      <c r="G27" s="56">
        <v>66</v>
      </c>
      <c r="H27" s="56">
        <v>66</v>
      </c>
      <c r="I27" s="56">
        <v>66</v>
      </c>
      <c r="J27" s="56">
        <v>66</v>
      </c>
      <c r="K27" s="56">
        <v>66</v>
      </c>
      <c r="L27" s="56">
        <v>66</v>
      </c>
      <c r="M27" s="56">
        <v>66</v>
      </c>
      <c r="N27" s="56">
        <v>66</v>
      </c>
      <c r="O27" s="56">
        <v>66</v>
      </c>
      <c r="P27" s="56">
        <v>66</v>
      </c>
      <c r="Q27" s="57">
        <v>66</v>
      </c>
    </row>
    <row r="28" spans="2:17">
      <c r="B28" s="73" t="s">
        <v>257</v>
      </c>
      <c r="C28" s="74" t="s">
        <v>7</v>
      </c>
      <c r="D28" s="56">
        <v>7</v>
      </c>
      <c r="E28" s="56">
        <v>7</v>
      </c>
      <c r="F28" s="56">
        <v>7</v>
      </c>
      <c r="G28" s="56">
        <v>7</v>
      </c>
      <c r="H28" s="56">
        <v>7</v>
      </c>
      <c r="I28" s="56">
        <v>7</v>
      </c>
      <c r="J28" s="56">
        <v>7</v>
      </c>
      <c r="K28" s="56">
        <v>7</v>
      </c>
      <c r="L28" s="56">
        <v>7</v>
      </c>
      <c r="M28" s="56">
        <v>7</v>
      </c>
      <c r="N28" s="56">
        <v>7</v>
      </c>
      <c r="O28" s="56">
        <v>7</v>
      </c>
      <c r="P28" s="56">
        <v>7</v>
      </c>
      <c r="Q28" s="57">
        <v>7</v>
      </c>
    </row>
    <row r="29" spans="2:17">
      <c r="B29" s="73" t="s">
        <v>257</v>
      </c>
      <c r="C29" s="74" t="s">
        <v>3</v>
      </c>
      <c r="D29" s="56">
        <v>137</v>
      </c>
      <c r="E29" s="56">
        <v>137</v>
      </c>
      <c r="F29" s="56">
        <v>137</v>
      </c>
      <c r="G29" s="56">
        <v>137</v>
      </c>
      <c r="H29" s="56">
        <v>137</v>
      </c>
      <c r="I29" s="56">
        <v>137</v>
      </c>
      <c r="J29" s="56">
        <v>137</v>
      </c>
      <c r="K29" s="56">
        <v>137</v>
      </c>
      <c r="L29" s="56">
        <v>137</v>
      </c>
      <c r="M29" s="56">
        <v>137</v>
      </c>
      <c r="N29" s="56">
        <v>137</v>
      </c>
      <c r="O29" s="56">
        <v>137</v>
      </c>
      <c r="P29" s="56">
        <v>137</v>
      </c>
      <c r="Q29" s="57">
        <v>137</v>
      </c>
    </row>
    <row r="30" spans="2:17">
      <c r="B30" s="73" t="s">
        <v>257</v>
      </c>
      <c r="C30" s="74" t="s">
        <v>259</v>
      </c>
      <c r="D30" s="56">
        <v>17</v>
      </c>
      <c r="E30" s="56">
        <v>17</v>
      </c>
      <c r="F30" s="56">
        <v>17</v>
      </c>
      <c r="G30" s="56">
        <v>17</v>
      </c>
      <c r="H30" s="56">
        <v>17</v>
      </c>
      <c r="I30" s="56">
        <v>17</v>
      </c>
      <c r="J30" s="56">
        <v>17</v>
      </c>
      <c r="K30" s="56">
        <v>17</v>
      </c>
      <c r="L30" s="56">
        <v>17</v>
      </c>
      <c r="M30" s="56">
        <v>17</v>
      </c>
      <c r="N30" s="56">
        <v>17</v>
      </c>
      <c r="O30" s="56">
        <v>17</v>
      </c>
      <c r="P30" s="56">
        <v>17</v>
      </c>
      <c r="Q30" s="57">
        <v>17</v>
      </c>
    </row>
    <row r="31" spans="2:17">
      <c r="B31" s="73" t="s">
        <v>260</v>
      </c>
      <c r="C31" s="74" t="s">
        <v>261</v>
      </c>
      <c r="D31" s="56">
        <v>0</v>
      </c>
      <c r="E31" s="56">
        <v>0</v>
      </c>
      <c r="F31" s="56">
        <v>0</v>
      </c>
      <c r="G31" s="56">
        <v>0</v>
      </c>
      <c r="H31" s="56">
        <v>0</v>
      </c>
      <c r="I31" s="56">
        <v>0</v>
      </c>
      <c r="J31" s="56">
        <v>1.7600000000000001E-3</v>
      </c>
      <c r="K31" s="56">
        <v>6.4999999999999997E-3</v>
      </c>
      <c r="L31" s="56">
        <v>7.26E-3</v>
      </c>
      <c r="M31" s="56">
        <v>7.26E-3</v>
      </c>
      <c r="N31" s="56">
        <v>7.26E-3</v>
      </c>
      <c r="O31" s="56">
        <v>7.26E-3</v>
      </c>
      <c r="P31" s="56">
        <v>7.26E-3</v>
      </c>
      <c r="Q31" s="57">
        <v>7.26E-3</v>
      </c>
    </row>
    <row r="32" spans="2:17">
      <c r="B32" s="73" t="s">
        <v>262</v>
      </c>
      <c r="C32" s="74" t="s">
        <v>263</v>
      </c>
      <c r="D32" s="56">
        <v>0.1013</v>
      </c>
      <c r="E32" s="56">
        <v>0.1013</v>
      </c>
      <c r="F32" s="56">
        <v>0.1013</v>
      </c>
      <c r="G32" s="56">
        <v>0.1013</v>
      </c>
      <c r="H32" s="56">
        <v>0.13639999999999999</v>
      </c>
      <c r="I32" s="56">
        <v>0.13639999999999999</v>
      </c>
      <c r="J32" s="56">
        <v>0.13639999999999999</v>
      </c>
      <c r="K32" s="56">
        <v>0.13639999999999999</v>
      </c>
      <c r="L32" s="56">
        <v>0.14430000000000001</v>
      </c>
      <c r="M32" s="56">
        <v>0.14430000000000001</v>
      </c>
      <c r="N32" s="56">
        <v>0.14430000000000001</v>
      </c>
      <c r="O32" s="56">
        <v>0.14430000000000001</v>
      </c>
      <c r="P32" s="56">
        <v>0.14430000000000001</v>
      </c>
      <c r="Q32" s="57">
        <v>0.14430000000000001</v>
      </c>
    </row>
    <row r="33" spans="2:17">
      <c r="B33" s="73" t="s">
        <v>264</v>
      </c>
      <c r="C33" s="74" t="s">
        <v>265</v>
      </c>
      <c r="D33" s="56">
        <v>1E-3</v>
      </c>
      <c r="E33" s="56">
        <v>1E-3</v>
      </c>
      <c r="F33" s="56">
        <v>1E-3</v>
      </c>
      <c r="G33" s="56">
        <v>1E-3</v>
      </c>
      <c r="H33" s="56">
        <v>1E-3</v>
      </c>
      <c r="I33" s="56">
        <v>1E-3</v>
      </c>
      <c r="J33" s="56">
        <v>1E-3</v>
      </c>
      <c r="K33" s="56">
        <v>1E-3</v>
      </c>
      <c r="L33" s="56">
        <v>1E-3</v>
      </c>
      <c r="M33" s="56">
        <v>1E-3</v>
      </c>
      <c r="N33" s="56">
        <v>1E-3</v>
      </c>
      <c r="O33" s="56">
        <v>1E-3</v>
      </c>
      <c r="P33" s="56">
        <v>1E-3</v>
      </c>
      <c r="Q33" s="57">
        <v>1E-3</v>
      </c>
    </row>
    <row r="34" spans="2:17">
      <c r="B34" s="73" t="s">
        <v>266</v>
      </c>
      <c r="C34" s="74" t="s">
        <v>3</v>
      </c>
      <c r="D34" s="56">
        <v>0.3689312480000001</v>
      </c>
      <c r="E34" s="56">
        <v>0.37574145279999999</v>
      </c>
      <c r="F34" s="56">
        <v>0.40794223680000002</v>
      </c>
      <c r="G34" s="56">
        <v>0.4107836768</v>
      </c>
      <c r="H34" s="56">
        <v>0.43501521280000005</v>
      </c>
      <c r="I34" s="56">
        <v>0.45018718080000003</v>
      </c>
      <c r="J34" s="56">
        <v>0.47394426240000009</v>
      </c>
      <c r="K34" s="56">
        <v>0.4408183584</v>
      </c>
      <c r="L34" s="56">
        <v>0.43722</v>
      </c>
      <c r="M34" s="56">
        <v>0.43722</v>
      </c>
      <c r="N34" s="56">
        <v>0.43722</v>
      </c>
      <c r="O34" s="56">
        <v>0.43722</v>
      </c>
      <c r="P34" s="56">
        <v>0.43722</v>
      </c>
      <c r="Q34" s="57">
        <v>0.43722</v>
      </c>
    </row>
    <row r="35" spans="2:17">
      <c r="B35" s="73" t="s">
        <v>267</v>
      </c>
      <c r="C35" s="74" t="s">
        <v>3</v>
      </c>
      <c r="D35" s="56">
        <v>0.35056284900000001</v>
      </c>
      <c r="E35" s="56">
        <v>0.35703398639999995</v>
      </c>
      <c r="F35" s="56">
        <v>0.3876315534</v>
      </c>
      <c r="G35" s="56">
        <v>0.39033152339999999</v>
      </c>
      <c r="H35" s="56">
        <v>0.41335661639999993</v>
      </c>
      <c r="I35" s="56">
        <v>0.4277732004</v>
      </c>
      <c r="J35" s="56">
        <v>0.45034746120000002</v>
      </c>
      <c r="K35" s="56">
        <v>0.41887083419999999</v>
      </c>
      <c r="L35" s="56">
        <v>0.44600000000000001</v>
      </c>
      <c r="M35" s="56">
        <v>0.44600000000000001</v>
      </c>
      <c r="N35" s="56">
        <v>0.44600000000000001</v>
      </c>
      <c r="O35" s="56">
        <v>0.44600000000000001</v>
      </c>
      <c r="P35" s="56">
        <v>0.44600000000000001</v>
      </c>
      <c r="Q35" s="57">
        <v>0.44600000000000001</v>
      </c>
    </row>
    <row r="36" spans="2:17">
      <c r="B36" s="73" t="s">
        <v>268</v>
      </c>
      <c r="C36" s="74" t="s">
        <v>4</v>
      </c>
      <c r="D36" s="56">
        <v>0.21674710820000004</v>
      </c>
      <c r="E36" s="56">
        <v>0.22074810351999999</v>
      </c>
      <c r="F36" s="56">
        <v>0.23966606412000002</v>
      </c>
      <c r="G36" s="56">
        <v>0.24133541012000001</v>
      </c>
      <c r="H36" s="56">
        <v>0.25557143752</v>
      </c>
      <c r="I36" s="56">
        <v>0.26448496871999999</v>
      </c>
      <c r="J36" s="56">
        <v>0.27844225416000007</v>
      </c>
      <c r="K36" s="56">
        <v>0.25898078556000004</v>
      </c>
      <c r="L36" s="56">
        <v>0.30998559999999997</v>
      </c>
      <c r="M36" s="56">
        <v>0.30998559999999997</v>
      </c>
      <c r="N36" s="56">
        <v>0.30998559999999997</v>
      </c>
      <c r="O36" s="56">
        <v>0.30998559999999997</v>
      </c>
      <c r="P36" s="56">
        <v>0.30998559999999997</v>
      </c>
      <c r="Q36" s="57">
        <v>0.30998559999999997</v>
      </c>
    </row>
    <row r="37" spans="2:17">
      <c r="B37" s="73" t="s">
        <v>269</v>
      </c>
      <c r="C37" s="74" t="s">
        <v>4</v>
      </c>
      <c r="D37" s="56">
        <v>0.45101532414400014</v>
      </c>
      <c r="E37" s="56">
        <v>0.45934074179840007</v>
      </c>
      <c r="F37" s="56">
        <v>0.49870592735040009</v>
      </c>
      <c r="G37" s="56">
        <v>0.50217956367040006</v>
      </c>
      <c r="H37" s="56">
        <v>0.53180241107840009</v>
      </c>
      <c r="I37" s="56">
        <v>0.55035001338239997</v>
      </c>
      <c r="J37" s="56">
        <v>0.57939284430719995</v>
      </c>
      <c r="K37" s="56">
        <v>0.53889670739520001</v>
      </c>
      <c r="L37" s="56">
        <v>0.54523499999999991</v>
      </c>
      <c r="M37" s="56">
        <v>0.54523499999999991</v>
      </c>
      <c r="N37" s="56">
        <v>0.54523499999999991</v>
      </c>
      <c r="O37" s="56">
        <v>0.54523499999999991</v>
      </c>
      <c r="P37" s="56">
        <v>0.54523499999999991</v>
      </c>
      <c r="Q37" s="57">
        <v>0.54523499999999991</v>
      </c>
    </row>
    <row r="38" spans="2:17">
      <c r="B38" s="73" t="s">
        <v>270</v>
      </c>
      <c r="C38" s="74" t="s">
        <v>271</v>
      </c>
      <c r="D38" s="56">
        <v>0.22822462185600007</v>
      </c>
      <c r="E38" s="56">
        <v>0.23243748380160004</v>
      </c>
      <c r="F38" s="56">
        <v>0.25235721624960006</v>
      </c>
      <c r="G38" s="56">
        <v>0.25411495992960004</v>
      </c>
      <c r="H38" s="56">
        <v>0.2691048345216</v>
      </c>
      <c r="I38" s="56">
        <v>0.27849036821759998</v>
      </c>
      <c r="J38" s="56">
        <v>0.29318674049280002</v>
      </c>
      <c r="K38" s="56">
        <v>0.2726947194048</v>
      </c>
      <c r="L38" s="56">
        <v>0.27535999999999999</v>
      </c>
      <c r="M38" s="56">
        <v>0.27535999999999999</v>
      </c>
      <c r="N38" s="56">
        <v>0.27535999999999999</v>
      </c>
      <c r="O38" s="56">
        <v>0.27535999999999999</v>
      </c>
      <c r="P38" s="56">
        <v>0.27535999999999999</v>
      </c>
      <c r="Q38" s="57">
        <v>0.27535999999999999</v>
      </c>
    </row>
    <row r="39" spans="2:17">
      <c r="B39" s="73" t="s">
        <v>272</v>
      </c>
      <c r="C39" s="74" t="s">
        <v>273</v>
      </c>
      <c r="D39" s="56">
        <v>7.1151026400000011E-2</v>
      </c>
      <c r="E39" s="56">
        <v>7.2464423040000003E-2</v>
      </c>
      <c r="F39" s="56">
        <v>7.8674574240000003E-2</v>
      </c>
      <c r="G39" s="56">
        <v>7.922256624E-2</v>
      </c>
      <c r="H39" s="56">
        <v>8.3895791039999987E-2</v>
      </c>
      <c r="I39" s="56">
        <v>8.6821813440000006E-2</v>
      </c>
      <c r="J39" s="56">
        <v>9.1403536320000006E-2</v>
      </c>
      <c r="K39" s="56">
        <v>8.5014969119999992E-2</v>
      </c>
      <c r="L39" s="56">
        <v>8.6599999999999996E-2</v>
      </c>
      <c r="M39" s="56">
        <v>8.6599999999999996E-2</v>
      </c>
      <c r="N39" s="56">
        <v>8.6599999999999996E-2</v>
      </c>
      <c r="O39" s="56">
        <v>8.6599999999999996E-2</v>
      </c>
      <c r="P39" s="56">
        <v>8.6599999999999996E-2</v>
      </c>
      <c r="Q39" s="57">
        <v>8.6599999999999996E-2</v>
      </c>
    </row>
    <row r="40" spans="2:17">
      <c r="B40" s="73" t="s">
        <v>274</v>
      </c>
      <c r="C40" s="74" t="s">
        <v>4</v>
      </c>
      <c r="D40" s="56">
        <v>1.9764173999999995E-2</v>
      </c>
      <c r="E40" s="56">
        <v>2.0129006399999996E-2</v>
      </c>
      <c r="F40" s="56">
        <v>2.1854048399999996E-2</v>
      </c>
      <c r="G40" s="56">
        <v>2.2006268400000001E-2</v>
      </c>
      <c r="H40" s="56">
        <v>2.3304386399999998E-2</v>
      </c>
      <c r="I40" s="56">
        <v>2.4117170399999995E-2</v>
      </c>
      <c r="J40" s="56">
        <v>2.5389871199999997E-2</v>
      </c>
      <c r="K40" s="56">
        <v>2.3615269199999997E-2</v>
      </c>
      <c r="L40" s="56">
        <v>2.7581999999999999E-2</v>
      </c>
      <c r="M40" s="56">
        <v>2.7581999999999999E-2</v>
      </c>
      <c r="N40" s="56">
        <v>2.7581999999999999E-2</v>
      </c>
      <c r="O40" s="56">
        <v>2.7581999999999999E-2</v>
      </c>
      <c r="P40" s="56">
        <v>2.7581999999999999E-2</v>
      </c>
      <c r="Q40" s="57">
        <v>2.7581999999999999E-2</v>
      </c>
    </row>
    <row r="41" spans="2:17">
      <c r="B41" s="73" t="s">
        <v>275</v>
      </c>
      <c r="C41" s="74" t="s">
        <v>4</v>
      </c>
      <c r="D41" s="56">
        <v>1.0870295699999998E-2</v>
      </c>
      <c r="E41" s="56">
        <v>1.1070953519999998E-2</v>
      </c>
      <c r="F41" s="56">
        <v>1.2019726619999999E-2</v>
      </c>
      <c r="G41" s="56">
        <v>1.2103447619999999E-2</v>
      </c>
      <c r="H41" s="56">
        <v>1.2817412519999998E-2</v>
      </c>
      <c r="I41" s="56">
        <v>1.3264443719999998E-2</v>
      </c>
      <c r="J41" s="56">
        <v>1.3964429159999998E-2</v>
      </c>
      <c r="K41" s="56">
        <v>1.2988398059999998E-2</v>
      </c>
      <c r="L41" s="56">
        <v>3.2799999999999996E-2</v>
      </c>
      <c r="M41" s="56">
        <v>3.2799999999999996E-2</v>
      </c>
      <c r="N41" s="56">
        <v>3.2799999999999996E-2</v>
      </c>
      <c r="O41" s="56">
        <v>3.2799999999999996E-2</v>
      </c>
      <c r="P41" s="56">
        <v>3.2799999999999996E-2</v>
      </c>
      <c r="Q41" s="57">
        <v>3.2799999999999996E-2</v>
      </c>
    </row>
    <row r="42" spans="2:17">
      <c r="B42" s="73" t="s">
        <v>276</v>
      </c>
      <c r="C42" s="74" t="s">
        <v>4</v>
      </c>
      <c r="D42" s="56">
        <v>2.3999999999999998E-4</v>
      </c>
      <c r="E42" s="56">
        <v>2.3999999999999998E-4</v>
      </c>
      <c r="F42" s="56">
        <v>2.3999999999999998E-4</v>
      </c>
      <c r="G42" s="56">
        <v>2.3999999999999998E-4</v>
      </c>
      <c r="H42" s="56">
        <v>2.3999999999999998E-4</v>
      </c>
      <c r="I42" s="56">
        <v>2.3999999999999998E-4</v>
      </c>
      <c r="J42" s="56">
        <v>2.3999999999999998E-4</v>
      </c>
      <c r="K42" s="56">
        <v>2.3999999999999998E-4</v>
      </c>
      <c r="L42" s="56">
        <v>2.3999999999999998E-4</v>
      </c>
      <c r="M42" s="56">
        <v>2.3999999999999998E-4</v>
      </c>
      <c r="N42" s="56">
        <v>2.3999999999999998E-4</v>
      </c>
      <c r="O42" s="56">
        <v>2.3999999999999998E-4</v>
      </c>
      <c r="P42" s="56">
        <v>2.3999999999999998E-4</v>
      </c>
      <c r="Q42" s="57">
        <v>2.3999999999999998E-4</v>
      </c>
    </row>
    <row r="43" spans="2:17">
      <c r="B43" s="73" t="s">
        <v>277</v>
      </c>
      <c r="C43" s="74" t="s">
        <v>4</v>
      </c>
      <c r="D43" s="56">
        <v>2.8378897300000007E-3</v>
      </c>
      <c r="E43" s="56">
        <v>2.8902751280000002E-3</v>
      </c>
      <c r="F43" s="56">
        <v>3.1379697180000002E-3</v>
      </c>
      <c r="G43" s="56">
        <v>3.1598266180000007E-3</v>
      </c>
      <c r="H43" s="56">
        <v>3.346220228E-3</v>
      </c>
      <c r="I43" s="56">
        <v>3.4629259080000002E-3</v>
      </c>
      <c r="J43" s="56">
        <v>3.6456699240000005E-3</v>
      </c>
      <c r="K43" s="56">
        <v>3.3908591340000003E-3</v>
      </c>
      <c r="L43" s="56">
        <v>3.6250000000000002E-3</v>
      </c>
      <c r="M43" s="56">
        <v>3.6250000000000002E-3</v>
      </c>
      <c r="N43" s="56">
        <v>3.6250000000000002E-3</v>
      </c>
      <c r="O43" s="56">
        <v>3.6250000000000002E-3</v>
      </c>
      <c r="P43" s="56">
        <v>3.6250000000000002E-3</v>
      </c>
      <c r="Q43" s="57">
        <v>3.6250000000000002E-3</v>
      </c>
    </row>
    <row r="44" spans="2:17">
      <c r="B44" s="73" t="s">
        <v>278</v>
      </c>
      <c r="C44" s="74" t="s">
        <v>253</v>
      </c>
      <c r="D44" s="56">
        <v>0.34883767109999997</v>
      </c>
      <c r="E44" s="56">
        <v>0.35527696295999994</v>
      </c>
      <c r="F44" s="56">
        <v>0.38572395425999989</v>
      </c>
      <c r="G44" s="56">
        <v>0.38841063725999997</v>
      </c>
      <c r="H44" s="56">
        <v>0.41132241995999991</v>
      </c>
      <c r="I44" s="56">
        <v>0.42566805755999992</v>
      </c>
      <c r="J44" s="56">
        <v>0.44813122667999994</v>
      </c>
      <c r="K44" s="56">
        <v>0.41680950137999989</v>
      </c>
      <c r="L44" s="56">
        <v>0.37858699999999995</v>
      </c>
      <c r="M44" s="56">
        <v>0.37858699999999995</v>
      </c>
      <c r="N44" s="56">
        <v>0.37858699999999995</v>
      </c>
      <c r="O44" s="56">
        <v>0.37858699999999995</v>
      </c>
      <c r="P44" s="56">
        <v>0.37858699999999995</v>
      </c>
      <c r="Q44" s="57">
        <v>0.37858699999999995</v>
      </c>
    </row>
    <row r="45" spans="2:17">
      <c r="B45" s="73" t="s">
        <v>279</v>
      </c>
      <c r="C45" s="74" t="s">
        <v>253</v>
      </c>
      <c r="D45" s="56">
        <v>4.0957621600000013E-3</v>
      </c>
      <c r="E45" s="56">
        <v>4.1713669760000006E-3</v>
      </c>
      <c r="F45" s="56">
        <v>4.5288502560000008E-3</v>
      </c>
      <c r="G45" s="56">
        <v>4.5603950560000007E-3</v>
      </c>
      <c r="H45" s="56">
        <v>4.8294061760000007E-3</v>
      </c>
      <c r="I45" s="56">
        <v>4.9978407360000005E-3</v>
      </c>
      <c r="J45" s="56">
        <v>5.2615846080000007E-3</v>
      </c>
      <c r="K45" s="56">
        <v>4.8938309280000007E-3</v>
      </c>
      <c r="L45" s="56">
        <v>5.0039999999999998E-3</v>
      </c>
      <c r="M45" s="56">
        <v>5.0039999999999998E-3</v>
      </c>
      <c r="N45" s="56">
        <v>5.0039999999999998E-3</v>
      </c>
      <c r="O45" s="56">
        <v>5.0039999999999998E-3</v>
      </c>
      <c r="P45" s="56">
        <v>5.0039999999999998E-3</v>
      </c>
      <c r="Q45" s="57">
        <v>5.0039999999999998E-3</v>
      </c>
    </row>
    <row r="46" spans="2:17">
      <c r="B46" s="73" t="s">
        <v>280</v>
      </c>
      <c r="C46" s="74" t="s">
        <v>4</v>
      </c>
      <c r="D46" s="56">
        <v>5.04E-2</v>
      </c>
      <c r="E46" s="56">
        <v>5.04E-2</v>
      </c>
      <c r="F46" s="56">
        <v>5.04E-2</v>
      </c>
      <c r="G46" s="56">
        <v>5.04E-2</v>
      </c>
      <c r="H46" s="56">
        <v>5.04E-2</v>
      </c>
      <c r="I46" s="56">
        <v>5.04E-2</v>
      </c>
      <c r="J46" s="56">
        <v>5.04E-2</v>
      </c>
      <c r="K46" s="56">
        <v>5.04E-2</v>
      </c>
      <c r="L46" s="56">
        <v>5.04E-2</v>
      </c>
      <c r="M46" s="56">
        <v>5.04E-2</v>
      </c>
      <c r="N46" s="56">
        <v>5.04E-2</v>
      </c>
      <c r="O46" s="56">
        <v>5.04E-2</v>
      </c>
      <c r="P46" s="56">
        <v>5.04E-2</v>
      </c>
      <c r="Q46" s="57">
        <v>5.04E-2</v>
      </c>
    </row>
    <row r="47" spans="2:17">
      <c r="B47" s="73" t="s">
        <v>281</v>
      </c>
      <c r="C47" s="74" t="s">
        <v>4</v>
      </c>
      <c r="D47" s="56">
        <v>0.43777645409999999</v>
      </c>
      <c r="E47" s="56">
        <v>0.44585749175999995</v>
      </c>
      <c r="F47" s="56">
        <v>0.48406717205999994</v>
      </c>
      <c r="G47" s="56">
        <v>0.48743884506000001</v>
      </c>
      <c r="H47" s="56">
        <v>0.51619215876000002</v>
      </c>
      <c r="I47" s="56">
        <v>0.53419532435999983</v>
      </c>
      <c r="J47" s="56">
        <v>0.56238564708000005</v>
      </c>
      <c r="K47" s="56">
        <v>0.52307821278</v>
      </c>
      <c r="L47" s="56">
        <v>0.53094777999999998</v>
      </c>
      <c r="M47" s="56">
        <v>0.53094777999999998</v>
      </c>
      <c r="N47" s="56">
        <v>0.53094777999999998</v>
      </c>
      <c r="O47" s="56">
        <v>0.53094777999999998</v>
      </c>
      <c r="P47" s="56">
        <v>0.53094777999999998</v>
      </c>
      <c r="Q47" s="57">
        <v>0.53094777999999998</v>
      </c>
    </row>
    <row r="48" spans="2:17" ht="28.8">
      <c r="B48" s="73" t="s">
        <v>282</v>
      </c>
      <c r="C48" s="74" t="s">
        <v>271</v>
      </c>
      <c r="D48" s="56">
        <v>9.2539882500000028E-3</v>
      </c>
      <c r="E48" s="56">
        <v>9.4248101999999997E-3</v>
      </c>
      <c r="F48" s="56">
        <v>1.0232509950000001E-2</v>
      </c>
      <c r="G48" s="56">
        <v>1.0303782450000002E-2</v>
      </c>
      <c r="H48" s="56">
        <v>1.0911587699999999E-2</v>
      </c>
      <c r="I48" s="56">
        <v>1.1292149700000002E-2</v>
      </c>
      <c r="J48" s="56">
        <v>1.18880541E-2</v>
      </c>
      <c r="K48" s="56">
        <v>1.105714935E-2</v>
      </c>
      <c r="L48" s="56">
        <v>1.2E-2</v>
      </c>
      <c r="M48" s="56">
        <v>1.2E-2</v>
      </c>
      <c r="N48" s="56">
        <v>1.2E-2</v>
      </c>
      <c r="O48" s="56">
        <v>1.2E-2</v>
      </c>
      <c r="P48" s="56">
        <v>1.2E-2</v>
      </c>
      <c r="Q48" s="57">
        <v>1.2E-2</v>
      </c>
    </row>
    <row r="49" spans="2:17">
      <c r="B49" s="73" t="s">
        <v>283</v>
      </c>
      <c r="C49" s="74" t="s">
        <v>271</v>
      </c>
      <c r="D49" s="56">
        <v>0.15910160069999998</v>
      </c>
      <c r="E49" s="56">
        <v>0.16203850151999999</v>
      </c>
      <c r="F49" s="56">
        <v>0.17592508961999997</v>
      </c>
      <c r="G49" s="56">
        <v>0.17715046061999998</v>
      </c>
      <c r="H49" s="56">
        <v>0.18760031051999998</v>
      </c>
      <c r="I49" s="56">
        <v>0.19414322171999995</v>
      </c>
      <c r="J49" s="56">
        <v>0.20438846315999998</v>
      </c>
      <c r="K49" s="56">
        <v>0.19010291705999999</v>
      </c>
      <c r="L49" s="56">
        <v>0.19107200000000002</v>
      </c>
      <c r="M49" s="56">
        <v>0.19107200000000002</v>
      </c>
      <c r="N49" s="56">
        <v>0.19107200000000002</v>
      </c>
      <c r="O49" s="56">
        <v>0.19107200000000002</v>
      </c>
      <c r="P49" s="56">
        <v>0.19107200000000002</v>
      </c>
      <c r="Q49" s="57">
        <v>0.19107200000000002</v>
      </c>
    </row>
    <row r="50" spans="2:17" ht="28.8">
      <c r="B50" s="73" t="s">
        <v>284</v>
      </c>
      <c r="C50" s="74" t="s">
        <v>271</v>
      </c>
      <c r="D50" s="56">
        <v>5.6726305916000024E-2</v>
      </c>
      <c r="E50" s="56">
        <v>5.7773432617600005E-2</v>
      </c>
      <c r="F50" s="56">
        <v>6.2724576045600014E-2</v>
      </c>
      <c r="G50" s="56">
        <v>6.3161471525600019E-2</v>
      </c>
      <c r="H50" s="56">
        <v>6.6887275537600016E-2</v>
      </c>
      <c r="I50" s="56">
        <v>6.9220094193600021E-2</v>
      </c>
      <c r="J50" s="56">
        <v>7.2872946820800005E-2</v>
      </c>
      <c r="K50" s="56">
        <v>6.7779558352800015E-2</v>
      </c>
      <c r="L50" s="56">
        <v>4.5850000000000002E-2</v>
      </c>
      <c r="M50" s="56">
        <v>4.5850000000000002E-2</v>
      </c>
      <c r="N50" s="56">
        <v>4.5850000000000002E-2</v>
      </c>
      <c r="O50" s="56">
        <v>4.5850000000000002E-2</v>
      </c>
      <c r="P50" s="56">
        <v>4.5850000000000002E-2</v>
      </c>
      <c r="Q50" s="57">
        <v>4.5850000000000002E-2</v>
      </c>
    </row>
    <row r="51" spans="2:17" ht="15" thickBot="1">
      <c r="B51" s="75" t="s">
        <v>285</v>
      </c>
      <c r="C51" s="76" t="s">
        <v>3</v>
      </c>
      <c r="D51" s="58">
        <v>1.1858504399999999E-2</v>
      </c>
      <c r="E51" s="58">
        <v>1.2077403839999999E-2</v>
      </c>
      <c r="F51" s="58">
        <v>1.3112429039999998E-2</v>
      </c>
      <c r="G51" s="58">
        <v>1.3203761039999999E-2</v>
      </c>
      <c r="H51" s="58">
        <v>1.3982631839999999E-2</v>
      </c>
      <c r="I51" s="58">
        <v>1.4470302239999996E-2</v>
      </c>
      <c r="J51" s="58">
        <v>1.5233922719999999E-2</v>
      </c>
      <c r="K51" s="58">
        <v>1.4169161519999999E-2</v>
      </c>
      <c r="L51" s="58">
        <v>1.44E-2</v>
      </c>
      <c r="M51" s="58">
        <v>1.44E-2</v>
      </c>
      <c r="N51" s="58">
        <v>1.44E-2</v>
      </c>
      <c r="O51" s="58">
        <v>1.44E-2</v>
      </c>
      <c r="P51" s="58">
        <v>1.44E-2</v>
      </c>
      <c r="Q51" s="59">
        <v>1.44E-2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11491-8D46-43A4-9538-E82A64150E3C}">
  <sheetPr>
    <tabColor rgb="FF92D050"/>
  </sheetPr>
  <dimension ref="B5:AD12"/>
  <sheetViews>
    <sheetView workbookViewId="0">
      <selection activeCell="G20" sqref="G20"/>
    </sheetView>
  </sheetViews>
  <sheetFormatPr baseColWidth="10" defaultColWidth="9.109375" defaultRowHeight="14.4"/>
  <cols>
    <col min="2" max="2" width="15" bestFit="1" customWidth="1"/>
    <col min="3" max="3" width="35.109375" bestFit="1" customWidth="1"/>
    <col min="4" max="4" width="22" bestFit="1" customWidth="1"/>
    <col min="5" max="31" width="8" bestFit="1" customWidth="1"/>
    <col min="32" max="32" width="10.6640625" bestFit="1" customWidth="1"/>
  </cols>
  <sheetData>
    <row r="5" spans="2:30" ht="18.600000000000001" thickBot="1">
      <c r="C5" s="22" t="s">
        <v>67</v>
      </c>
    </row>
    <row r="6" spans="2:30" ht="15" thickBot="1">
      <c r="B6" s="5" t="s">
        <v>78</v>
      </c>
      <c r="C6" s="6" t="s">
        <v>0</v>
      </c>
      <c r="D6" s="6" t="s">
        <v>28</v>
      </c>
      <c r="E6" s="6">
        <v>2010</v>
      </c>
      <c r="F6" s="6">
        <v>2011</v>
      </c>
      <c r="G6" s="6">
        <v>2012</v>
      </c>
      <c r="H6" s="6">
        <v>2013</v>
      </c>
      <c r="I6" s="6">
        <v>2014</v>
      </c>
      <c r="J6" s="6">
        <v>2015</v>
      </c>
      <c r="K6" s="6">
        <v>2016</v>
      </c>
      <c r="L6" s="6">
        <v>2017</v>
      </c>
      <c r="M6" s="6">
        <v>2018</v>
      </c>
      <c r="N6" s="6">
        <v>2019</v>
      </c>
      <c r="O6" s="6">
        <v>2020</v>
      </c>
      <c r="P6" s="6">
        <v>2021</v>
      </c>
      <c r="Q6" s="6">
        <v>2022</v>
      </c>
      <c r="R6" s="6">
        <v>2023</v>
      </c>
      <c r="S6" s="6">
        <v>2024</v>
      </c>
      <c r="T6" s="6">
        <v>2025</v>
      </c>
      <c r="U6" s="6">
        <v>2026</v>
      </c>
      <c r="V6" s="6">
        <v>2027</v>
      </c>
      <c r="W6" s="6">
        <v>2028</v>
      </c>
      <c r="X6" s="6">
        <v>2029</v>
      </c>
      <c r="Y6" s="6">
        <v>2030</v>
      </c>
      <c r="Z6" s="6">
        <v>2031</v>
      </c>
      <c r="AA6" s="6">
        <v>2032</v>
      </c>
      <c r="AB6" s="6">
        <v>2033</v>
      </c>
      <c r="AC6" s="6">
        <v>2034</v>
      </c>
      <c r="AD6" s="7">
        <v>2035</v>
      </c>
    </row>
    <row r="7" spans="2:30">
      <c r="B7" s="16" t="s">
        <v>90</v>
      </c>
      <c r="C7" s="36" t="s">
        <v>153</v>
      </c>
      <c r="D7" s="36" t="s">
        <v>32</v>
      </c>
      <c r="E7" s="37">
        <v>1038.01</v>
      </c>
      <c r="F7" s="37">
        <v>1050</v>
      </c>
      <c r="G7" s="37">
        <v>1048.1500000000001</v>
      </c>
      <c r="H7" s="37">
        <v>1090.97</v>
      </c>
      <c r="I7" s="37">
        <v>1156.82</v>
      </c>
      <c r="J7" s="37">
        <v>1127.25</v>
      </c>
      <c r="K7" s="37">
        <v>1137.1600000000001</v>
      </c>
      <c r="L7" s="37">
        <v>1096.25</v>
      </c>
      <c r="M7" s="37">
        <v>1065.1400000000001</v>
      </c>
      <c r="N7" s="37">
        <v>1096</v>
      </c>
      <c r="O7" s="37">
        <v>992.03</v>
      </c>
      <c r="P7" s="37">
        <v>972.29</v>
      </c>
      <c r="Q7" s="37">
        <v>988.48</v>
      </c>
      <c r="R7" s="37">
        <v>977.29</v>
      </c>
      <c r="S7" s="37">
        <v>940.97</v>
      </c>
      <c r="T7" s="37">
        <v>897.73</v>
      </c>
      <c r="U7" s="37">
        <v>687.2</v>
      </c>
      <c r="V7" s="37">
        <v>692.88</v>
      </c>
      <c r="W7" s="37">
        <v>705.14</v>
      </c>
      <c r="X7" s="37">
        <v>723.08</v>
      </c>
      <c r="Y7" s="37">
        <v>741.4</v>
      </c>
      <c r="Z7" s="37">
        <v>715.21</v>
      </c>
      <c r="AA7" s="37">
        <v>687.32</v>
      </c>
      <c r="AB7" s="37">
        <v>665.72</v>
      </c>
      <c r="AC7" s="37">
        <v>643.86</v>
      </c>
      <c r="AD7" s="11">
        <v>619.33000000000004</v>
      </c>
    </row>
    <row r="8" spans="2:30">
      <c r="B8" s="16" t="s">
        <v>90</v>
      </c>
      <c r="C8" s="36" t="s">
        <v>153</v>
      </c>
      <c r="D8" s="36" t="s">
        <v>31</v>
      </c>
      <c r="E8" s="37">
        <v>56.61</v>
      </c>
      <c r="F8" s="37">
        <v>56.61</v>
      </c>
      <c r="G8" s="37">
        <v>56.61</v>
      </c>
      <c r="H8" s="37">
        <v>56.61</v>
      </c>
      <c r="I8" s="37">
        <v>60.82</v>
      </c>
      <c r="J8" s="37">
        <v>58.28</v>
      </c>
      <c r="K8" s="37">
        <v>61.56</v>
      </c>
      <c r="L8" s="37">
        <v>57.19</v>
      </c>
      <c r="M8" s="37">
        <v>52.89</v>
      </c>
      <c r="N8" s="37">
        <v>50.42</v>
      </c>
      <c r="O8" s="37">
        <v>44.94</v>
      </c>
      <c r="P8" s="37">
        <v>45.37</v>
      </c>
      <c r="Q8" s="37">
        <v>47.13</v>
      </c>
      <c r="R8" s="37">
        <v>48.26</v>
      </c>
      <c r="S8" s="37">
        <v>48.26</v>
      </c>
      <c r="T8" s="37">
        <v>48.26</v>
      </c>
      <c r="U8" s="37">
        <v>48.26</v>
      </c>
      <c r="V8" s="37">
        <v>48.26</v>
      </c>
      <c r="W8" s="37">
        <v>48.26</v>
      </c>
      <c r="X8" s="37">
        <v>48.26</v>
      </c>
      <c r="Y8" s="37">
        <v>48.26</v>
      </c>
      <c r="Z8" s="37">
        <v>48.26</v>
      </c>
      <c r="AA8" s="37">
        <v>48.26</v>
      </c>
      <c r="AB8" s="37">
        <v>48.26</v>
      </c>
      <c r="AC8" s="37">
        <v>48.26</v>
      </c>
      <c r="AD8" s="11">
        <v>48.26</v>
      </c>
    </row>
    <row r="9" spans="2:30">
      <c r="B9" s="16" t="s">
        <v>90</v>
      </c>
      <c r="C9" s="36" t="s">
        <v>153</v>
      </c>
      <c r="D9" s="36" t="s">
        <v>58</v>
      </c>
      <c r="E9" s="37">
        <v>1094.6199999999999</v>
      </c>
      <c r="F9" s="37">
        <v>1106.6099999999999</v>
      </c>
      <c r="G9" s="37">
        <v>1104.76</v>
      </c>
      <c r="H9" s="37">
        <v>1147.58</v>
      </c>
      <c r="I9" s="37">
        <v>1217.6399999999999</v>
      </c>
      <c r="J9" s="37">
        <v>1185.53</v>
      </c>
      <c r="K9" s="37">
        <v>1198.72</v>
      </c>
      <c r="L9" s="37">
        <v>1153.44</v>
      </c>
      <c r="M9" s="37">
        <v>1118.0300000000002</v>
      </c>
      <c r="N9" s="37">
        <v>1146.42</v>
      </c>
      <c r="O9" s="37">
        <v>1036.97</v>
      </c>
      <c r="P9" s="37">
        <v>1017.66</v>
      </c>
      <c r="Q9" s="37">
        <v>1035.6100000000001</v>
      </c>
      <c r="R9" s="37">
        <v>1025.55</v>
      </c>
      <c r="S9" s="37">
        <v>989.23</v>
      </c>
      <c r="T9" s="37">
        <v>945.99</v>
      </c>
      <c r="U9" s="37">
        <v>735.46</v>
      </c>
      <c r="V9" s="37">
        <v>741.14</v>
      </c>
      <c r="W9" s="37">
        <v>753.4</v>
      </c>
      <c r="X9" s="37">
        <v>771.34</v>
      </c>
      <c r="Y9" s="37">
        <v>789.66</v>
      </c>
      <c r="Z9" s="37">
        <v>763.47</v>
      </c>
      <c r="AA9" s="37">
        <v>735.58</v>
      </c>
      <c r="AB9" s="37">
        <v>713.98</v>
      </c>
      <c r="AC9" s="37">
        <v>692.12</v>
      </c>
      <c r="AD9" s="11">
        <v>667.59</v>
      </c>
    </row>
    <row r="10" spans="2:30">
      <c r="B10" s="19" t="s">
        <v>90</v>
      </c>
      <c r="C10" s="60" t="s">
        <v>154</v>
      </c>
      <c r="D10" s="60" t="s">
        <v>32</v>
      </c>
      <c r="E10" s="37">
        <v>1038.01</v>
      </c>
      <c r="F10" s="37">
        <v>1050</v>
      </c>
      <c r="G10" s="37">
        <v>1048.1500000000001</v>
      </c>
      <c r="H10" s="37">
        <v>1090.97</v>
      </c>
      <c r="I10" s="37">
        <v>1156.82</v>
      </c>
      <c r="J10" s="37">
        <v>1127.25</v>
      </c>
      <c r="K10" s="37">
        <v>1137.1600000000001</v>
      </c>
      <c r="L10" s="37">
        <v>1096.25</v>
      </c>
      <c r="M10" s="37">
        <v>1065.1400000000001</v>
      </c>
      <c r="N10" s="37">
        <v>1096</v>
      </c>
      <c r="O10" s="37">
        <v>992.03</v>
      </c>
      <c r="P10" s="37">
        <v>972.29</v>
      </c>
      <c r="Q10" s="37">
        <v>988.48</v>
      </c>
      <c r="R10" s="37">
        <v>977.29</v>
      </c>
      <c r="S10" s="37">
        <v>940.97</v>
      </c>
      <c r="T10" s="37">
        <v>897.73</v>
      </c>
      <c r="U10" s="37">
        <v>687.2</v>
      </c>
      <c r="V10" s="37">
        <v>692.88</v>
      </c>
      <c r="W10" s="37">
        <v>705.14</v>
      </c>
      <c r="X10" s="37">
        <v>723.08</v>
      </c>
      <c r="Y10" s="37">
        <v>741.4</v>
      </c>
      <c r="Z10" s="37">
        <v>715.21</v>
      </c>
      <c r="AA10" s="37">
        <v>687.32</v>
      </c>
      <c r="AB10" s="37">
        <v>665.72</v>
      </c>
      <c r="AC10" s="37">
        <v>643.86</v>
      </c>
      <c r="AD10" s="11">
        <v>619.33000000000004</v>
      </c>
    </row>
    <row r="11" spans="2:30">
      <c r="B11" s="19" t="s">
        <v>90</v>
      </c>
      <c r="C11" s="60" t="s">
        <v>154</v>
      </c>
      <c r="D11" s="60" t="s">
        <v>31</v>
      </c>
      <c r="E11" s="37">
        <v>56.61</v>
      </c>
      <c r="F11" s="37">
        <v>56.61</v>
      </c>
      <c r="G11" s="37">
        <v>56.61</v>
      </c>
      <c r="H11" s="37">
        <v>56.61</v>
      </c>
      <c r="I11" s="37">
        <v>60.82</v>
      </c>
      <c r="J11" s="37">
        <v>58.28</v>
      </c>
      <c r="K11" s="37">
        <v>61.56</v>
      </c>
      <c r="L11" s="37">
        <v>57.19</v>
      </c>
      <c r="M11" s="37">
        <v>52.89</v>
      </c>
      <c r="N11" s="37">
        <v>50.42</v>
      </c>
      <c r="O11" s="37">
        <v>44.94</v>
      </c>
      <c r="P11" s="37">
        <v>45.37</v>
      </c>
      <c r="Q11" s="37">
        <v>47.13</v>
      </c>
      <c r="R11" s="37">
        <v>48.26</v>
      </c>
      <c r="S11" s="37">
        <v>48.26</v>
      </c>
      <c r="T11" s="37">
        <v>48.26</v>
      </c>
      <c r="U11" s="37">
        <v>48.26</v>
      </c>
      <c r="V11" s="37">
        <v>48.26</v>
      </c>
      <c r="W11" s="37">
        <v>48.26</v>
      </c>
      <c r="X11" s="37">
        <v>48.26</v>
      </c>
      <c r="Y11" s="37">
        <v>48.26</v>
      </c>
      <c r="Z11" s="37">
        <v>48.26</v>
      </c>
      <c r="AA11" s="37">
        <v>48.26</v>
      </c>
      <c r="AB11" s="37">
        <v>48.26</v>
      </c>
      <c r="AC11" s="37">
        <v>48.26</v>
      </c>
      <c r="AD11" s="11">
        <v>48.26</v>
      </c>
    </row>
    <row r="12" spans="2:30" ht="15" thickBot="1">
      <c r="B12" s="20" t="s">
        <v>90</v>
      </c>
      <c r="C12" s="21" t="s">
        <v>154</v>
      </c>
      <c r="D12" s="21" t="s">
        <v>58</v>
      </c>
      <c r="E12" s="12">
        <v>1094.6199999999999</v>
      </c>
      <c r="F12" s="12">
        <v>1106.6099999999999</v>
      </c>
      <c r="G12" s="12">
        <v>1104.76</v>
      </c>
      <c r="H12" s="12">
        <v>1147.58</v>
      </c>
      <c r="I12" s="12">
        <v>1217.6399999999999</v>
      </c>
      <c r="J12" s="12">
        <v>1185.53</v>
      </c>
      <c r="K12" s="12">
        <v>1198.72</v>
      </c>
      <c r="L12" s="12">
        <v>1153.44</v>
      </c>
      <c r="M12" s="12">
        <v>1118.0300000000002</v>
      </c>
      <c r="N12" s="12">
        <v>1146.42</v>
      </c>
      <c r="O12" s="12">
        <v>1036.97</v>
      </c>
      <c r="P12" s="12">
        <v>1017.66</v>
      </c>
      <c r="Q12" s="12">
        <v>1035.6100000000001</v>
      </c>
      <c r="R12" s="12">
        <v>1025.55</v>
      </c>
      <c r="S12" s="12">
        <v>989.23</v>
      </c>
      <c r="T12" s="12">
        <v>945.99</v>
      </c>
      <c r="U12" s="12">
        <v>735.46</v>
      </c>
      <c r="V12" s="12">
        <v>741.14</v>
      </c>
      <c r="W12" s="12">
        <v>753.4</v>
      </c>
      <c r="X12" s="12">
        <v>771.34</v>
      </c>
      <c r="Y12" s="12">
        <v>789.66</v>
      </c>
      <c r="Z12" s="12">
        <v>763.47</v>
      </c>
      <c r="AA12" s="12">
        <v>735.58</v>
      </c>
      <c r="AB12" s="12">
        <v>713.98</v>
      </c>
      <c r="AC12" s="12">
        <v>692.12</v>
      </c>
      <c r="AD12" s="13">
        <v>667.59</v>
      </c>
    </row>
  </sheetData>
  <autoFilter ref="C6:AD12" xr:uid="{FCA11491-8D46-43A4-9538-E82A64150E3C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7D134-0EB5-4885-B27B-DE81647A5602}">
  <sheetPr>
    <tabColor rgb="FFFFC000"/>
  </sheetPr>
  <dimension ref="B4:AC17"/>
  <sheetViews>
    <sheetView topLeftCell="A6" workbookViewId="0">
      <selection activeCell="B2" sqref="B2"/>
    </sheetView>
  </sheetViews>
  <sheetFormatPr baseColWidth="10" defaultColWidth="9.109375" defaultRowHeight="14.4"/>
  <cols>
    <col min="2" max="2" width="33.77734375" bestFit="1" customWidth="1"/>
    <col min="3" max="3" width="15.21875" bestFit="1" customWidth="1"/>
    <col min="4" max="30" width="8" bestFit="1" customWidth="1"/>
    <col min="31" max="31" width="10.6640625" bestFit="1" customWidth="1"/>
  </cols>
  <sheetData>
    <row r="4" spans="2:29" ht="18.600000000000001" thickBot="1">
      <c r="B4" s="22" t="s">
        <v>68</v>
      </c>
    </row>
    <row r="5" spans="2:29" ht="15" thickBot="1">
      <c r="B5" s="5" t="s">
        <v>0</v>
      </c>
      <c r="C5" s="6" t="s">
        <v>52</v>
      </c>
      <c r="D5" s="6">
        <v>2010</v>
      </c>
      <c r="E5" s="6">
        <v>2011</v>
      </c>
      <c r="F5" s="6">
        <v>2012</v>
      </c>
      <c r="G5" s="6">
        <v>2013</v>
      </c>
      <c r="H5" s="6">
        <v>2014</v>
      </c>
      <c r="I5" s="6">
        <v>2015</v>
      </c>
      <c r="J5" s="6">
        <v>2016</v>
      </c>
      <c r="K5" s="6">
        <v>2017</v>
      </c>
      <c r="L5" s="6">
        <v>2018</v>
      </c>
      <c r="M5" s="6">
        <v>2019</v>
      </c>
      <c r="N5" s="6">
        <v>2020</v>
      </c>
      <c r="O5" s="6">
        <v>2021</v>
      </c>
      <c r="P5" s="6">
        <v>2022</v>
      </c>
      <c r="Q5" s="6">
        <v>2023</v>
      </c>
      <c r="R5" s="6">
        <v>2024</v>
      </c>
      <c r="S5" s="6">
        <v>2025</v>
      </c>
      <c r="T5" s="6">
        <v>2026</v>
      </c>
      <c r="U5" s="6">
        <v>2027</v>
      </c>
      <c r="V5" s="6">
        <v>2028</v>
      </c>
      <c r="W5" s="6">
        <v>2029</v>
      </c>
      <c r="X5" s="6">
        <v>2030</v>
      </c>
      <c r="Y5" s="6">
        <v>2031</v>
      </c>
      <c r="Z5" s="6">
        <v>2032</v>
      </c>
      <c r="AA5" s="6">
        <v>2033</v>
      </c>
      <c r="AB5" s="6">
        <v>2034</v>
      </c>
      <c r="AC5" s="7">
        <v>2035</v>
      </c>
    </row>
    <row r="6" spans="2:29">
      <c r="B6" s="16" t="s">
        <v>153</v>
      </c>
      <c r="C6" s="36" t="s">
        <v>51</v>
      </c>
      <c r="D6" s="37">
        <v>72.177899999999994</v>
      </c>
      <c r="E6" s="37">
        <v>72.177899999999994</v>
      </c>
      <c r="F6" s="37">
        <v>72.177899999999994</v>
      </c>
      <c r="G6" s="37">
        <v>72.177899999999994</v>
      </c>
      <c r="H6" s="37">
        <v>66.990499999999997</v>
      </c>
      <c r="I6" s="37">
        <v>65.958299999999994</v>
      </c>
      <c r="J6" s="37">
        <v>86.094200000000001</v>
      </c>
      <c r="K6" s="37">
        <v>85.875200000000007</v>
      </c>
      <c r="L6" s="37">
        <v>83.288499999999999</v>
      </c>
      <c r="M6" s="37">
        <v>79.676299999999998</v>
      </c>
      <c r="N6" s="37">
        <v>59.950899999999997</v>
      </c>
      <c r="O6" s="37">
        <v>76.844899999999996</v>
      </c>
      <c r="P6" s="37">
        <v>79.534700000000001</v>
      </c>
      <c r="Q6" s="37">
        <v>71.898499999999999</v>
      </c>
      <c r="R6" s="37">
        <v>76.092699999999994</v>
      </c>
      <c r="S6" s="37">
        <v>76.092699999999994</v>
      </c>
      <c r="T6" s="37">
        <v>76.092699999999994</v>
      </c>
      <c r="U6" s="37">
        <v>76.092699999999994</v>
      </c>
      <c r="V6" s="37">
        <v>76.092699999999994</v>
      </c>
      <c r="W6" s="37">
        <v>76.092699999999994</v>
      </c>
      <c r="X6" s="37">
        <v>76.092699999999994</v>
      </c>
      <c r="Y6" s="37">
        <v>76.092699999999994</v>
      </c>
      <c r="Z6" s="37">
        <v>76.092699999999994</v>
      </c>
      <c r="AA6" s="37">
        <v>76.092699999999994</v>
      </c>
      <c r="AB6" s="37">
        <v>76.092699999999994</v>
      </c>
      <c r="AC6" s="11">
        <v>76.092699999999994</v>
      </c>
    </row>
    <row r="7" spans="2:29">
      <c r="B7" s="16" t="s">
        <v>153</v>
      </c>
      <c r="C7" s="36" t="s">
        <v>50</v>
      </c>
      <c r="D7" s="37">
        <v>111.134</v>
      </c>
      <c r="E7" s="37">
        <v>111.134</v>
      </c>
      <c r="F7" s="37">
        <v>111.134</v>
      </c>
      <c r="G7" s="37">
        <v>111.134</v>
      </c>
      <c r="H7" s="37">
        <v>97.389099999999999</v>
      </c>
      <c r="I7" s="37">
        <v>98.531999999999996</v>
      </c>
      <c r="J7" s="37">
        <v>116.086</v>
      </c>
      <c r="K7" s="37">
        <v>119.91200000000001</v>
      </c>
      <c r="L7" s="37">
        <v>137.815</v>
      </c>
      <c r="M7" s="37">
        <v>110.562</v>
      </c>
      <c r="N7" s="37">
        <v>100.602</v>
      </c>
      <c r="O7" s="37">
        <v>130.429</v>
      </c>
      <c r="P7" s="37">
        <v>136.36099999999999</v>
      </c>
      <c r="Q7" s="37">
        <v>125.483</v>
      </c>
      <c r="R7" s="37">
        <v>130.75800000000001</v>
      </c>
      <c r="S7" s="37">
        <v>130.75800000000001</v>
      </c>
      <c r="T7" s="37">
        <v>130.75800000000001</v>
      </c>
      <c r="U7" s="37">
        <v>130.75800000000001</v>
      </c>
      <c r="V7" s="37">
        <v>130.75800000000001</v>
      </c>
      <c r="W7" s="37">
        <v>130.75800000000001</v>
      </c>
      <c r="X7" s="37">
        <v>130.75800000000001</v>
      </c>
      <c r="Y7" s="37">
        <v>130.75800000000001</v>
      </c>
      <c r="Z7" s="37">
        <v>130.75800000000001</v>
      </c>
      <c r="AA7" s="37">
        <v>130.75800000000001</v>
      </c>
      <c r="AB7" s="37">
        <v>130.75800000000001</v>
      </c>
      <c r="AC7" s="11">
        <v>130.75800000000001</v>
      </c>
    </row>
    <row r="8" spans="2:29">
      <c r="B8" s="16" t="s">
        <v>153</v>
      </c>
      <c r="C8" s="36" t="s">
        <v>49</v>
      </c>
      <c r="D8" s="37">
        <v>54.996899999999997</v>
      </c>
      <c r="E8" s="37">
        <v>54.996899999999997</v>
      </c>
      <c r="F8" s="37">
        <v>54.996899999999997</v>
      </c>
      <c r="G8" s="37">
        <v>54.996899999999997</v>
      </c>
      <c r="H8" s="37">
        <v>42.908799999999999</v>
      </c>
      <c r="I8" s="37">
        <v>41.1599</v>
      </c>
      <c r="J8" s="37">
        <v>67.538300000000007</v>
      </c>
      <c r="K8" s="37">
        <v>63.712800000000001</v>
      </c>
      <c r="L8" s="37">
        <v>67.367599999999996</v>
      </c>
      <c r="M8" s="37">
        <v>62.07</v>
      </c>
      <c r="N8" s="37">
        <v>47.588299999999997</v>
      </c>
      <c r="O8" s="37">
        <v>54.959499999999998</v>
      </c>
      <c r="P8" s="37">
        <v>58.669499999999999</v>
      </c>
      <c r="Q8" s="37">
        <v>57.005899999999997</v>
      </c>
      <c r="R8" s="37">
        <v>56.878300000000003</v>
      </c>
      <c r="S8" s="37">
        <v>56.878300000000003</v>
      </c>
      <c r="T8" s="37">
        <v>56.878300000000003</v>
      </c>
      <c r="U8" s="37">
        <v>56.878300000000003</v>
      </c>
      <c r="V8" s="37">
        <v>56.878300000000003</v>
      </c>
      <c r="W8" s="37">
        <v>56.878300000000003</v>
      </c>
      <c r="X8" s="37">
        <v>56.878300000000003</v>
      </c>
      <c r="Y8" s="37">
        <v>56.878300000000003</v>
      </c>
      <c r="Z8" s="37">
        <v>56.878300000000003</v>
      </c>
      <c r="AA8" s="37">
        <v>56.878300000000003</v>
      </c>
      <c r="AB8" s="37">
        <v>56.878300000000003</v>
      </c>
      <c r="AC8" s="11">
        <v>56.878300000000003</v>
      </c>
    </row>
    <row r="9" spans="2:29">
      <c r="B9" s="16" t="s">
        <v>153</v>
      </c>
      <c r="C9" s="36" t="s">
        <v>48</v>
      </c>
      <c r="D9" s="37">
        <v>16.5945</v>
      </c>
      <c r="E9" s="37">
        <v>16.760400000000001</v>
      </c>
      <c r="F9" s="37">
        <v>16.760400000000001</v>
      </c>
      <c r="G9" s="37">
        <v>16.760400000000001</v>
      </c>
      <c r="H9" s="37">
        <v>15.622</v>
      </c>
      <c r="I9" s="37">
        <v>15.551</v>
      </c>
      <c r="J9" s="37">
        <v>15.214700000000001</v>
      </c>
      <c r="K9" s="37">
        <v>17.511600000000001</v>
      </c>
      <c r="L9" s="37">
        <v>16.679400000000001</v>
      </c>
      <c r="M9" s="37">
        <v>16.4541</v>
      </c>
      <c r="N9" s="37">
        <v>8.7766000000000002</v>
      </c>
      <c r="O9" s="37">
        <v>12.6426</v>
      </c>
      <c r="P9" s="37">
        <v>16.9206</v>
      </c>
      <c r="Q9" s="37">
        <v>16.8813</v>
      </c>
      <c r="R9" s="37">
        <v>15.4815</v>
      </c>
      <c r="S9" s="37">
        <v>15.4815</v>
      </c>
      <c r="T9" s="37">
        <v>15.4815</v>
      </c>
      <c r="U9" s="37">
        <v>15.4815</v>
      </c>
      <c r="V9" s="37">
        <v>15.4815</v>
      </c>
      <c r="W9" s="37">
        <v>15.4815</v>
      </c>
      <c r="X9" s="37">
        <v>15.4815</v>
      </c>
      <c r="Y9" s="37">
        <v>15.4815</v>
      </c>
      <c r="Z9" s="37">
        <v>15.4815</v>
      </c>
      <c r="AA9" s="37">
        <v>15.4815</v>
      </c>
      <c r="AB9" s="37">
        <v>15.4815</v>
      </c>
      <c r="AC9" s="11">
        <v>15.4815</v>
      </c>
    </row>
    <row r="10" spans="2:29">
      <c r="B10" s="16" t="s">
        <v>153</v>
      </c>
      <c r="C10" s="36" t="s">
        <v>47</v>
      </c>
      <c r="D10" s="37">
        <v>6.0336999999999996</v>
      </c>
      <c r="E10" s="37">
        <v>6.0336999999999996</v>
      </c>
      <c r="F10" s="37">
        <v>6.0336999999999996</v>
      </c>
      <c r="G10" s="37">
        <v>6.0336999999999996</v>
      </c>
      <c r="H10" s="37">
        <v>3.8479999999999999</v>
      </c>
      <c r="I10" s="37">
        <v>1.4051</v>
      </c>
      <c r="J10" s="37">
        <v>6.7045000000000003</v>
      </c>
      <c r="K10" s="37">
        <v>6.7922000000000002</v>
      </c>
      <c r="L10" s="37">
        <v>5.9215999999999998</v>
      </c>
      <c r="M10" s="37">
        <v>3.4177</v>
      </c>
      <c r="N10" s="37">
        <v>3.944</v>
      </c>
      <c r="O10" s="37">
        <v>4.0928000000000004</v>
      </c>
      <c r="P10" s="37">
        <v>4.7233000000000001</v>
      </c>
      <c r="Q10" s="37">
        <v>4.7690000000000001</v>
      </c>
      <c r="R10" s="37">
        <v>4.5284000000000004</v>
      </c>
      <c r="S10" s="37">
        <v>4.5284000000000004</v>
      </c>
      <c r="T10" s="37">
        <v>4.5284000000000004</v>
      </c>
      <c r="U10" s="37">
        <v>4.5284000000000004</v>
      </c>
      <c r="V10" s="37">
        <v>4.5284000000000004</v>
      </c>
      <c r="W10" s="37">
        <v>4.5284000000000004</v>
      </c>
      <c r="X10" s="37">
        <v>4.5284000000000004</v>
      </c>
      <c r="Y10" s="37">
        <v>4.5284000000000004</v>
      </c>
      <c r="Z10" s="37">
        <v>4.5284000000000004</v>
      </c>
      <c r="AA10" s="37">
        <v>4.5284000000000004</v>
      </c>
      <c r="AB10" s="37">
        <v>4.5284000000000004</v>
      </c>
      <c r="AC10" s="11">
        <v>4.5284000000000004</v>
      </c>
    </row>
    <row r="11" spans="2:29">
      <c r="B11" s="16" t="s">
        <v>155</v>
      </c>
      <c r="C11" s="36"/>
      <c r="D11" s="37">
        <v>260.93699999999995</v>
      </c>
      <c r="E11" s="37">
        <v>261.10289999999998</v>
      </c>
      <c r="F11" s="37">
        <v>261.10289999999998</v>
      </c>
      <c r="G11" s="37">
        <v>261.10289999999998</v>
      </c>
      <c r="H11" s="37">
        <v>226.75839999999999</v>
      </c>
      <c r="I11" s="37">
        <v>222.60629999999998</v>
      </c>
      <c r="J11" s="37">
        <v>291.6377</v>
      </c>
      <c r="K11" s="37">
        <v>293.80379999999997</v>
      </c>
      <c r="L11" s="37">
        <v>311.07209999999998</v>
      </c>
      <c r="M11" s="37">
        <v>272.18009999999998</v>
      </c>
      <c r="N11" s="37">
        <v>220.86179999999999</v>
      </c>
      <c r="O11" s="37">
        <v>278.96880000000004</v>
      </c>
      <c r="P11" s="37">
        <v>296.20909999999998</v>
      </c>
      <c r="Q11" s="37">
        <v>276.03770000000003</v>
      </c>
      <c r="R11" s="37">
        <v>283.7389</v>
      </c>
      <c r="S11" s="37">
        <v>283.7389</v>
      </c>
      <c r="T11" s="37">
        <v>283.7389</v>
      </c>
      <c r="U11" s="37">
        <v>283.7389</v>
      </c>
      <c r="V11" s="37">
        <v>283.7389</v>
      </c>
      <c r="W11" s="37">
        <v>283.7389</v>
      </c>
      <c r="X11" s="37">
        <v>283.7389</v>
      </c>
      <c r="Y11" s="37">
        <v>283.7389</v>
      </c>
      <c r="Z11" s="37">
        <v>283.7389</v>
      </c>
      <c r="AA11" s="37">
        <v>283.7389</v>
      </c>
      <c r="AB11" s="37">
        <v>283.7389</v>
      </c>
      <c r="AC11" s="11">
        <v>283.7389</v>
      </c>
    </row>
    <row r="12" spans="2:29">
      <c r="B12" s="19" t="s">
        <v>154</v>
      </c>
      <c r="C12" s="60" t="s">
        <v>51</v>
      </c>
      <c r="D12" s="37">
        <v>72.177899999999994</v>
      </c>
      <c r="E12" s="37">
        <v>72.177899999999994</v>
      </c>
      <c r="F12" s="37">
        <v>72.177899999999994</v>
      </c>
      <c r="G12" s="37">
        <v>72.177899999999994</v>
      </c>
      <c r="H12" s="37">
        <v>66.990499999999997</v>
      </c>
      <c r="I12" s="37">
        <v>65.958299999999994</v>
      </c>
      <c r="J12" s="37">
        <v>86.094200000000001</v>
      </c>
      <c r="K12" s="37">
        <v>85.875200000000007</v>
      </c>
      <c r="L12" s="37">
        <v>83.288499999999999</v>
      </c>
      <c r="M12" s="37">
        <v>79.676299999999998</v>
      </c>
      <c r="N12" s="37">
        <v>59.950899999999997</v>
      </c>
      <c r="O12" s="37">
        <v>76.844899999999996</v>
      </c>
      <c r="P12" s="37">
        <v>79.534700000000001</v>
      </c>
      <c r="Q12" s="37">
        <v>71.898499999999999</v>
      </c>
      <c r="R12" s="37">
        <v>76.092699999999994</v>
      </c>
      <c r="S12" s="37">
        <v>76.092699999999994</v>
      </c>
      <c r="T12" s="37">
        <v>76.092699999999994</v>
      </c>
      <c r="U12" s="37">
        <v>76.092699999999994</v>
      </c>
      <c r="V12" s="37">
        <v>76.092699999999994</v>
      </c>
      <c r="W12" s="37">
        <v>76.092699999999994</v>
      </c>
      <c r="X12" s="37">
        <v>76.092699999999994</v>
      </c>
      <c r="Y12" s="37">
        <v>76.092699999999994</v>
      </c>
      <c r="Z12" s="37">
        <v>76.092699999999994</v>
      </c>
      <c r="AA12" s="37">
        <v>76.092699999999994</v>
      </c>
      <c r="AB12" s="37">
        <v>76.092699999999994</v>
      </c>
      <c r="AC12" s="11">
        <v>76.092699999999994</v>
      </c>
    </row>
    <row r="13" spans="2:29">
      <c r="B13" s="19" t="s">
        <v>154</v>
      </c>
      <c r="C13" s="60" t="s">
        <v>50</v>
      </c>
      <c r="D13" s="37">
        <v>111.134</v>
      </c>
      <c r="E13" s="37">
        <v>111.134</v>
      </c>
      <c r="F13" s="37">
        <v>111.134</v>
      </c>
      <c r="G13" s="37">
        <v>111.134</v>
      </c>
      <c r="H13" s="37">
        <v>97.389099999999999</v>
      </c>
      <c r="I13" s="37">
        <v>98.531999999999996</v>
      </c>
      <c r="J13" s="37">
        <v>116.086</v>
      </c>
      <c r="K13" s="37">
        <v>119.91200000000001</v>
      </c>
      <c r="L13" s="37">
        <v>137.815</v>
      </c>
      <c r="M13" s="37">
        <v>110.562</v>
      </c>
      <c r="N13" s="37">
        <v>100.602</v>
      </c>
      <c r="O13" s="37">
        <v>130.429</v>
      </c>
      <c r="P13" s="37">
        <v>136.36099999999999</v>
      </c>
      <c r="Q13" s="37">
        <v>125.483</v>
      </c>
      <c r="R13" s="37">
        <v>130.75800000000001</v>
      </c>
      <c r="S13" s="37">
        <v>130.75800000000001</v>
      </c>
      <c r="T13" s="37">
        <v>130.75800000000001</v>
      </c>
      <c r="U13" s="37">
        <v>130.75800000000001</v>
      </c>
      <c r="V13" s="37">
        <v>130.75800000000001</v>
      </c>
      <c r="W13" s="37">
        <v>130.75800000000001</v>
      </c>
      <c r="X13" s="37">
        <v>130.75800000000001</v>
      </c>
      <c r="Y13" s="37">
        <v>130.75800000000001</v>
      </c>
      <c r="Z13" s="37">
        <v>130.75800000000001</v>
      </c>
      <c r="AA13" s="37">
        <v>130.75800000000001</v>
      </c>
      <c r="AB13" s="37">
        <v>130.75800000000001</v>
      </c>
      <c r="AC13" s="11">
        <v>130.75800000000001</v>
      </c>
    </row>
    <row r="14" spans="2:29">
      <c r="B14" s="19" t="s">
        <v>154</v>
      </c>
      <c r="C14" s="60" t="s">
        <v>49</v>
      </c>
      <c r="D14" s="37">
        <v>54.996899999999997</v>
      </c>
      <c r="E14" s="37">
        <v>54.996899999999997</v>
      </c>
      <c r="F14" s="37">
        <v>54.996899999999997</v>
      </c>
      <c r="G14" s="37">
        <v>54.996899999999997</v>
      </c>
      <c r="H14" s="37">
        <v>42.908799999999999</v>
      </c>
      <c r="I14" s="37">
        <v>41.1599</v>
      </c>
      <c r="J14" s="37">
        <v>67.538300000000007</v>
      </c>
      <c r="K14" s="37">
        <v>63.712800000000001</v>
      </c>
      <c r="L14" s="37">
        <v>67.367599999999996</v>
      </c>
      <c r="M14" s="37">
        <v>62.07</v>
      </c>
      <c r="N14" s="37">
        <v>47.588299999999997</v>
      </c>
      <c r="O14" s="37">
        <v>54.959499999999998</v>
      </c>
      <c r="P14" s="37">
        <v>58.669499999999999</v>
      </c>
      <c r="Q14" s="37">
        <v>57.005899999999997</v>
      </c>
      <c r="R14" s="37">
        <v>56.878300000000003</v>
      </c>
      <c r="S14" s="37">
        <v>56.878300000000003</v>
      </c>
      <c r="T14" s="37">
        <v>56.878300000000003</v>
      </c>
      <c r="U14" s="37">
        <v>56.878300000000003</v>
      </c>
      <c r="V14" s="37">
        <v>56.878300000000003</v>
      </c>
      <c r="W14" s="37">
        <v>56.878300000000003</v>
      </c>
      <c r="X14" s="37">
        <v>56.878300000000003</v>
      </c>
      <c r="Y14" s="37">
        <v>56.878300000000003</v>
      </c>
      <c r="Z14" s="37">
        <v>56.878300000000003</v>
      </c>
      <c r="AA14" s="37">
        <v>56.878300000000003</v>
      </c>
      <c r="AB14" s="37">
        <v>56.878300000000003</v>
      </c>
      <c r="AC14" s="11">
        <v>56.878300000000003</v>
      </c>
    </row>
    <row r="15" spans="2:29">
      <c r="B15" s="19" t="s">
        <v>154</v>
      </c>
      <c r="C15" s="60" t="s">
        <v>48</v>
      </c>
      <c r="D15" s="37">
        <v>16.5945</v>
      </c>
      <c r="E15" s="37">
        <v>16.760400000000001</v>
      </c>
      <c r="F15" s="37">
        <v>16.760400000000001</v>
      </c>
      <c r="G15" s="37">
        <v>16.760400000000001</v>
      </c>
      <c r="H15" s="37">
        <v>15.622</v>
      </c>
      <c r="I15" s="37">
        <v>15.551</v>
      </c>
      <c r="J15" s="37">
        <v>15.214700000000001</v>
      </c>
      <c r="K15" s="37">
        <v>17.511600000000001</v>
      </c>
      <c r="L15" s="37">
        <v>16.679400000000001</v>
      </c>
      <c r="M15" s="37">
        <v>16.4541</v>
      </c>
      <c r="N15" s="37">
        <v>8.7766000000000002</v>
      </c>
      <c r="O15" s="37">
        <v>12.6426</v>
      </c>
      <c r="P15" s="37">
        <v>16.9206</v>
      </c>
      <c r="Q15" s="37">
        <v>16.8813</v>
      </c>
      <c r="R15" s="37">
        <v>15.4815</v>
      </c>
      <c r="S15" s="37">
        <v>15.4815</v>
      </c>
      <c r="T15" s="37">
        <v>15.4815</v>
      </c>
      <c r="U15" s="37">
        <v>15.4815</v>
      </c>
      <c r="V15" s="37">
        <v>15.4815</v>
      </c>
      <c r="W15" s="37">
        <v>15.4815</v>
      </c>
      <c r="X15" s="37">
        <v>15.4815</v>
      </c>
      <c r="Y15" s="37">
        <v>15.4815</v>
      </c>
      <c r="Z15" s="37">
        <v>15.4815</v>
      </c>
      <c r="AA15" s="37">
        <v>15.4815</v>
      </c>
      <c r="AB15" s="37">
        <v>15.4815</v>
      </c>
      <c r="AC15" s="11">
        <v>15.4815</v>
      </c>
    </row>
    <row r="16" spans="2:29">
      <c r="B16" s="19" t="s">
        <v>154</v>
      </c>
      <c r="C16" s="60" t="s">
        <v>47</v>
      </c>
      <c r="D16" s="37">
        <v>6.0336999999999996</v>
      </c>
      <c r="E16" s="37">
        <v>6.0336999999999996</v>
      </c>
      <c r="F16" s="37">
        <v>6.0336999999999996</v>
      </c>
      <c r="G16" s="37">
        <v>6.0336999999999996</v>
      </c>
      <c r="H16" s="37">
        <v>3.8479999999999999</v>
      </c>
      <c r="I16" s="37">
        <v>1.4051</v>
      </c>
      <c r="J16" s="37">
        <v>6.7045000000000003</v>
      </c>
      <c r="K16" s="37">
        <v>6.7922000000000002</v>
      </c>
      <c r="L16" s="37">
        <v>5.9215999999999998</v>
      </c>
      <c r="M16" s="37">
        <v>3.4177</v>
      </c>
      <c r="N16" s="37">
        <v>3.944</v>
      </c>
      <c r="O16" s="37">
        <v>4.0928000000000004</v>
      </c>
      <c r="P16" s="37">
        <v>4.7233000000000001</v>
      </c>
      <c r="Q16" s="37">
        <v>4.7690000000000001</v>
      </c>
      <c r="R16" s="37">
        <v>4.5284000000000004</v>
      </c>
      <c r="S16" s="37">
        <v>4.5284000000000004</v>
      </c>
      <c r="T16" s="37">
        <v>4.5284000000000004</v>
      </c>
      <c r="U16" s="37">
        <v>4.5284000000000004</v>
      </c>
      <c r="V16" s="37">
        <v>4.5284000000000004</v>
      </c>
      <c r="W16" s="37">
        <v>4.5284000000000004</v>
      </c>
      <c r="X16" s="37">
        <v>4.5284000000000004</v>
      </c>
      <c r="Y16" s="37">
        <v>4.5284000000000004</v>
      </c>
      <c r="Z16" s="37">
        <v>4.5284000000000004</v>
      </c>
      <c r="AA16" s="37">
        <v>4.5284000000000004</v>
      </c>
      <c r="AB16" s="37">
        <v>4.5284000000000004</v>
      </c>
      <c r="AC16" s="11">
        <v>4.5284000000000004</v>
      </c>
    </row>
    <row r="17" spans="2:29" ht="15" thickBot="1">
      <c r="B17" s="20" t="s">
        <v>156</v>
      </c>
      <c r="C17" s="21"/>
      <c r="D17" s="12">
        <v>260.93699999999995</v>
      </c>
      <c r="E17" s="12">
        <v>261.10289999999998</v>
      </c>
      <c r="F17" s="12">
        <v>261.10289999999998</v>
      </c>
      <c r="G17" s="12">
        <v>261.10289999999998</v>
      </c>
      <c r="H17" s="12">
        <v>226.75839999999999</v>
      </c>
      <c r="I17" s="12">
        <v>222.60629999999998</v>
      </c>
      <c r="J17" s="12">
        <v>291.6377</v>
      </c>
      <c r="K17" s="12">
        <v>293.80379999999997</v>
      </c>
      <c r="L17" s="12">
        <v>311.07209999999998</v>
      </c>
      <c r="M17" s="12">
        <v>272.18009999999998</v>
      </c>
      <c r="N17" s="12">
        <v>220.86179999999999</v>
      </c>
      <c r="O17" s="12">
        <v>278.96880000000004</v>
      </c>
      <c r="P17" s="12">
        <v>296.20909999999998</v>
      </c>
      <c r="Q17" s="12">
        <v>276.03770000000003</v>
      </c>
      <c r="R17" s="12">
        <v>283.7389</v>
      </c>
      <c r="S17" s="12">
        <v>283.7389</v>
      </c>
      <c r="T17" s="12">
        <v>283.7389</v>
      </c>
      <c r="U17" s="12">
        <v>283.7389</v>
      </c>
      <c r="V17" s="12">
        <v>283.7389</v>
      </c>
      <c r="W17" s="12">
        <v>283.7389</v>
      </c>
      <c r="X17" s="12">
        <v>283.7389</v>
      </c>
      <c r="Y17" s="12">
        <v>283.7389</v>
      </c>
      <c r="Z17" s="12">
        <v>283.7389</v>
      </c>
      <c r="AA17" s="12">
        <v>283.7389</v>
      </c>
      <c r="AB17" s="12">
        <v>283.7389</v>
      </c>
      <c r="AC17" s="13">
        <v>283.7389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C3BC8-81E6-4A66-96D6-29C7E8925DBA}">
  <dimension ref="B3:AD55"/>
  <sheetViews>
    <sheetView zoomScale="70" zoomScaleNormal="70" workbookViewId="0">
      <selection activeCell="B5" sqref="B5:C55"/>
    </sheetView>
  </sheetViews>
  <sheetFormatPr baseColWidth="10" defaultColWidth="9.109375" defaultRowHeight="14.4"/>
  <cols>
    <col min="2" max="2" width="36" customWidth="1"/>
    <col min="3" max="3" width="48.33203125" customWidth="1"/>
    <col min="4" max="4" width="7.88671875" customWidth="1"/>
    <col min="5" max="29" width="5.33203125" bestFit="1" customWidth="1"/>
  </cols>
  <sheetData>
    <row r="3" spans="2:30" ht="18.600000000000001" thickBot="1">
      <c r="B3" s="22" t="s">
        <v>37</v>
      </c>
    </row>
    <row r="4" spans="2:30" ht="15" thickBot="1">
      <c r="B4" s="61" t="s">
        <v>233</v>
      </c>
      <c r="C4" s="62" t="s">
        <v>22</v>
      </c>
      <c r="D4" s="62">
        <v>2010</v>
      </c>
      <c r="E4" s="62">
        <v>2011</v>
      </c>
      <c r="F4" s="62">
        <v>2012</v>
      </c>
      <c r="G4" s="62">
        <v>2013</v>
      </c>
      <c r="H4" s="62">
        <v>2014</v>
      </c>
      <c r="I4" s="62">
        <v>2015</v>
      </c>
      <c r="J4" s="62">
        <v>2016</v>
      </c>
      <c r="K4" s="62">
        <v>2017</v>
      </c>
      <c r="L4" s="62">
        <v>2018</v>
      </c>
      <c r="M4" s="62">
        <v>2019</v>
      </c>
      <c r="N4" s="62">
        <v>2020</v>
      </c>
      <c r="O4" s="62">
        <v>2021</v>
      </c>
      <c r="P4" s="62">
        <v>2022</v>
      </c>
      <c r="Q4" s="62">
        <v>2023</v>
      </c>
      <c r="R4" s="62">
        <v>2024</v>
      </c>
      <c r="S4" s="62">
        <v>2025</v>
      </c>
      <c r="T4" s="62">
        <v>2026</v>
      </c>
      <c r="U4" s="62">
        <v>2027</v>
      </c>
      <c r="V4" s="62">
        <v>2028</v>
      </c>
      <c r="W4" s="62">
        <v>2029</v>
      </c>
      <c r="X4" s="62">
        <v>2030</v>
      </c>
      <c r="Y4" s="62">
        <v>2031</v>
      </c>
      <c r="Z4" s="62">
        <v>2032</v>
      </c>
      <c r="AA4" s="62">
        <v>2033</v>
      </c>
      <c r="AB4" s="62">
        <v>2034</v>
      </c>
      <c r="AC4" s="63">
        <v>2035</v>
      </c>
    </row>
    <row r="5" spans="2:30">
      <c r="B5" s="69" t="s">
        <v>286</v>
      </c>
      <c r="C5" s="70" t="s">
        <v>286</v>
      </c>
      <c r="D5" s="64">
        <v>0.95</v>
      </c>
      <c r="E5" s="64">
        <v>0.95</v>
      </c>
      <c r="F5" s="64">
        <v>0.95</v>
      </c>
      <c r="G5" s="64">
        <v>0.95</v>
      </c>
      <c r="H5" s="64">
        <v>0.95</v>
      </c>
      <c r="I5" s="64">
        <v>0.95</v>
      </c>
      <c r="J5" s="64">
        <v>0.95</v>
      </c>
      <c r="K5" s="64">
        <v>0.95</v>
      </c>
      <c r="L5" s="64">
        <v>0.95</v>
      </c>
      <c r="M5" s="64">
        <v>0.95</v>
      </c>
      <c r="N5" s="64">
        <v>0.95</v>
      </c>
      <c r="O5" s="64">
        <v>0.95</v>
      </c>
      <c r="P5" s="64">
        <v>0.95</v>
      </c>
      <c r="Q5" s="64">
        <v>0.95</v>
      </c>
      <c r="R5" s="64">
        <v>0.95</v>
      </c>
      <c r="S5" s="64">
        <v>0.95</v>
      </c>
      <c r="T5" s="64">
        <v>0.95</v>
      </c>
      <c r="U5" s="64">
        <v>0.95</v>
      </c>
      <c r="V5" s="64">
        <v>0.95</v>
      </c>
      <c r="W5" s="64">
        <v>0.95</v>
      </c>
      <c r="X5" s="64">
        <v>0.95</v>
      </c>
      <c r="Y5" s="64">
        <v>0.95</v>
      </c>
      <c r="Z5" s="64">
        <v>0.95</v>
      </c>
      <c r="AA5" s="64">
        <v>0.95</v>
      </c>
      <c r="AB5" s="64">
        <v>0.95</v>
      </c>
      <c r="AC5" s="65">
        <v>0.95</v>
      </c>
      <c r="AD5" s="8"/>
    </row>
    <row r="6" spans="2:30">
      <c r="B6" s="69" t="s">
        <v>234</v>
      </c>
      <c r="C6" s="70" t="s">
        <v>235</v>
      </c>
      <c r="D6" s="64">
        <v>0.33939999999999998</v>
      </c>
      <c r="E6" s="64">
        <v>0.43919999999999998</v>
      </c>
      <c r="F6" s="64">
        <v>0.47649999999999998</v>
      </c>
      <c r="G6" s="64">
        <v>0.42959999999999998</v>
      </c>
      <c r="H6" s="64">
        <v>0.44919999999999999</v>
      </c>
      <c r="I6" s="64">
        <v>0.47939999999999999</v>
      </c>
      <c r="J6" s="64">
        <v>0.31390000000000001</v>
      </c>
      <c r="K6" s="64">
        <v>0.3921</v>
      </c>
      <c r="L6" s="64">
        <v>0.2969</v>
      </c>
      <c r="M6" s="64">
        <v>0.42830000000000001</v>
      </c>
      <c r="N6" s="64">
        <v>0.40610000000000002</v>
      </c>
      <c r="O6" s="64">
        <v>0.4279</v>
      </c>
      <c r="P6" s="64">
        <v>0.3</v>
      </c>
      <c r="Q6" s="64">
        <v>0.3</v>
      </c>
      <c r="R6" s="64">
        <v>0.3</v>
      </c>
      <c r="S6" s="64">
        <v>0.3</v>
      </c>
      <c r="T6" s="64">
        <v>0.3</v>
      </c>
      <c r="U6" s="64">
        <v>0.3</v>
      </c>
      <c r="V6" s="64">
        <v>0.3</v>
      </c>
      <c r="W6" s="64">
        <v>0.3</v>
      </c>
      <c r="X6" s="64">
        <v>0.3</v>
      </c>
      <c r="Y6" s="64">
        <v>0.3</v>
      </c>
      <c r="Z6" s="64">
        <v>0.3</v>
      </c>
      <c r="AA6" s="64">
        <v>0.3</v>
      </c>
      <c r="AB6" s="64">
        <v>0.3</v>
      </c>
      <c r="AC6" s="65">
        <v>0.3</v>
      </c>
      <c r="AD6" s="8"/>
    </row>
    <row r="7" spans="2:30">
      <c r="B7" s="69" t="s">
        <v>236</v>
      </c>
      <c r="C7" s="70" t="s">
        <v>235</v>
      </c>
      <c r="D7" s="64">
        <v>0.38600000000000001</v>
      </c>
      <c r="E7" s="64">
        <v>0.4995</v>
      </c>
      <c r="F7" s="64">
        <v>0.54190000000000005</v>
      </c>
      <c r="G7" s="64">
        <v>0.48859999999999998</v>
      </c>
      <c r="H7" s="64">
        <v>0.51090000000000002</v>
      </c>
      <c r="I7" s="64">
        <v>0.54530000000000001</v>
      </c>
      <c r="J7" s="64">
        <v>0.35699999999999998</v>
      </c>
      <c r="K7" s="64">
        <v>0.44590000000000002</v>
      </c>
      <c r="L7" s="64">
        <v>0.50060000000000004</v>
      </c>
      <c r="M7" s="64">
        <v>0.66539999999999999</v>
      </c>
      <c r="N7" s="64">
        <v>0.4955</v>
      </c>
      <c r="O7" s="64">
        <v>0.60140000000000005</v>
      </c>
      <c r="P7" s="64">
        <v>0.5</v>
      </c>
      <c r="Q7" s="64">
        <v>0.5</v>
      </c>
      <c r="R7" s="64">
        <v>0.5</v>
      </c>
      <c r="S7" s="64">
        <v>0.5</v>
      </c>
      <c r="T7" s="64">
        <v>0.5</v>
      </c>
      <c r="U7" s="64">
        <v>0.5</v>
      </c>
      <c r="V7" s="64">
        <v>0.5</v>
      </c>
      <c r="W7" s="64">
        <v>0.5</v>
      </c>
      <c r="X7" s="64">
        <v>0.5</v>
      </c>
      <c r="Y7" s="64">
        <v>0.5</v>
      </c>
      <c r="Z7" s="64">
        <v>0.5</v>
      </c>
      <c r="AA7" s="64">
        <v>0.5</v>
      </c>
      <c r="AB7" s="64">
        <v>0.5</v>
      </c>
      <c r="AC7" s="65">
        <v>0.5</v>
      </c>
      <c r="AD7" s="8"/>
    </row>
    <row r="8" spans="2:30">
      <c r="B8" s="69" t="s">
        <v>287</v>
      </c>
      <c r="C8" s="70" t="s">
        <v>235</v>
      </c>
      <c r="D8" s="64">
        <v>0.501</v>
      </c>
      <c r="E8" s="64">
        <v>0.501</v>
      </c>
      <c r="F8" s="64">
        <v>0.501</v>
      </c>
      <c r="G8" s="64">
        <v>0.501</v>
      </c>
      <c r="H8" s="64">
        <v>0.501</v>
      </c>
      <c r="I8" s="64">
        <v>0.501</v>
      </c>
      <c r="J8" s="64">
        <v>0.501</v>
      </c>
      <c r="K8" s="64">
        <v>0.501</v>
      </c>
      <c r="L8" s="64">
        <v>0.501</v>
      </c>
      <c r="M8" s="64">
        <v>0.66579999999999995</v>
      </c>
      <c r="N8" s="64">
        <v>0.49580000000000002</v>
      </c>
      <c r="O8" s="64">
        <v>0.49580000000000002</v>
      </c>
      <c r="P8" s="64">
        <v>0.49580000000000002</v>
      </c>
      <c r="Q8" s="64">
        <v>0.49580000000000002</v>
      </c>
      <c r="R8" s="64">
        <v>0.49580000000000002</v>
      </c>
      <c r="S8" s="64">
        <v>0.49580000000000002</v>
      </c>
      <c r="T8" s="64">
        <v>0.49580000000000002</v>
      </c>
      <c r="U8" s="64">
        <v>0.49580000000000002</v>
      </c>
      <c r="V8" s="64">
        <v>0.49580000000000002</v>
      </c>
      <c r="W8" s="64">
        <v>0.49580000000000002</v>
      </c>
      <c r="X8" s="64">
        <v>0.49580000000000002</v>
      </c>
      <c r="Y8" s="64">
        <v>0.49580000000000002</v>
      </c>
      <c r="Z8" s="64">
        <v>0.49580000000000002</v>
      </c>
      <c r="AA8" s="64">
        <v>0.49580000000000002</v>
      </c>
      <c r="AB8" s="64">
        <v>0.49580000000000002</v>
      </c>
      <c r="AC8" s="65">
        <v>0.49580000000000002</v>
      </c>
      <c r="AD8" s="8"/>
    </row>
    <row r="9" spans="2:30">
      <c r="B9" s="69" t="s">
        <v>288</v>
      </c>
      <c r="C9" s="70" t="s">
        <v>235</v>
      </c>
      <c r="D9" s="64">
        <v>0.54079999999999995</v>
      </c>
      <c r="E9" s="64">
        <v>0.54079999999999995</v>
      </c>
      <c r="F9" s="64">
        <v>0.54079999999999995</v>
      </c>
      <c r="G9" s="64">
        <v>0.54079999999999995</v>
      </c>
      <c r="H9" s="64">
        <v>0.54079999999999995</v>
      </c>
      <c r="I9" s="64">
        <v>0.54079999999999995</v>
      </c>
      <c r="J9" s="64">
        <v>0.54079999999999995</v>
      </c>
      <c r="K9" s="64">
        <v>0.54079999999999995</v>
      </c>
      <c r="L9" s="64">
        <v>0.54079999999999995</v>
      </c>
      <c r="M9" s="64">
        <v>0.6</v>
      </c>
      <c r="N9" s="64">
        <v>0.55310000000000004</v>
      </c>
      <c r="O9" s="64">
        <v>0.55310000000000004</v>
      </c>
      <c r="P9" s="64">
        <v>0.55310000000000004</v>
      </c>
      <c r="Q9" s="64">
        <v>0.55310000000000004</v>
      </c>
      <c r="R9" s="64">
        <v>0.55310000000000004</v>
      </c>
      <c r="S9" s="64">
        <v>0.55310000000000004</v>
      </c>
      <c r="T9" s="64">
        <v>0.55310000000000004</v>
      </c>
      <c r="U9" s="64">
        <v>0.55310000000000004</v>
      </c>
      <c r="V9" s="64">
        <v>0.55310000000000004</v>
      </c>
      <c r="W9" s="64">
        <v>0.55310000000000004</v>
      </c>
      <c r="X9" s="64">
        <v>0.55310000000000004</v>
      </c>
      <c r="Y9" s="64">
        <v>0.55310000000000004</v>
      </c>
      <c r="Z9" s="64">
        <v>0.55310000000000004</v>
      </c>
      <c r="AA9" s="64">
        <v>0.55310000000000004</v>
      </c>
      <c r="AB9" s="64">
        <v>0.55310000000000004</v>
      </c>
      <c r="AC9" s="65">
        <v>0.55310000000000004</v>
      </c>
      <c r="AD9" s="8"/>
    </row>
    <row r="10" spans="2:30">
      <c r="B10" s="69" t="s">
        <v>237</v>
      </c>
      <c r="C10" s="70" t="s">
        <v>235</v>
      </c>
      <c r="D10" s="64">
        <v>0.44690000000000002</v>
      </c>
      <c r="E10" s="64">
        <v>0.57820000000000005</v>
      </c>
      <c r="F10" s="64">
        <v>0.62729999999999997</v>
      </c>
      <c r="G10" s="64">
        <v>0.56559999999999999</v>
      </c>
      <c r="H10" s="64">
        <v>0.59140000000000004</v>
      </c>
      <c r="I10" s="64">
        <v>0.63119999999999998</v>
      </c>
      <c r="J10" s="64">
        <v>0.44</v>
      </c>
      <c r="K10" s="64">
        <v>0.56999999999999995</v>
      </c>
      <c r="L10" s="64">
        <v>0.54039999999999999</v>
      </c>
      <c r="M10" s="64">
        <v>0.59960000000000002</v>
      </c>
      <c r="N10" s="64">
        <v>0.55279999999999996</v>
      </c>
      <c r="O10" s="64">
        <v>0.59619999999999995</v>
      </c>
      <c r="P10" s="64">
        <v>0.54</v>
      </c>
      <c r="Q10" s="64">
        <v>0.54</v>
      </c>
      <c r="R10" s="64">
        <v>0.54</v>
      </c>
      <c r="S10" s="64">
        <v>0.54</v>
      </c>
      <c r="T10" s="64">
        <v>0.54</v>
      </c>
      <c r="U10" s="64">
        <v>0.54</v>
      </c>
      <c r="V10" s="64">
        <v>0.54</v>
      </c>
      <c r="W10" s="64">
        <v>0.54</v>
      </c>
      <c r="X10" s="64">
        <v>0.54</v>
      </c>
      <c r="Y10" s="64">
        <v>0.54</v>
      </c>
      <c r="Z10" s="64">
        <v>0.54</v>
      </c>
      <c r="AA10" s="64">
        <v>0.54</v>
      </c>
      <c r="AB10" s="64">
        <v>0.54</v>
      </c>
      <c r="AC10" s="65">
        <v>0.54</v>
      </c>
      <c r="AD10" s="8"/>
    </row>
    <row r="11" spans="2:30">
      <c r="B11" s="69" t="s">
        <v>238</v>
      </c>
      <c r="C11" s="70" t="s">
        <v>235</v>
      </c>
      <c r="D11" s="64">
        <v>0.47110000000000002</v>
      </c>
      <c r="E11" s="64">
        <v>0.60950000000000004</v>
      </c>
      <c r="F11" s="64">
        <v>0.6613</v>
      </c>
      <c r="G11" s="64">
        <v>0.59630000000000005</v>
      </c>
      <c r="H11" s="64">
        <v>0.62350000000000005</v>
      </c>
      <c r="I11" s="64">
        <v>0.66539999999999999</v>
      </c>
      <c r="J11" s="64">
        <v>0.43569999999999998</v>
      </c>
      <c r="K11" s="64">
        <v>0.54420000000000002</v>
      </c>
      <c r="L11" s="64">
        <v>0.54779999999999995</v>
      </c>
      <c r="M11" s="64">
        <v>0.62660000000000005</v>
      </c>
      <c r="N11" s="64">
        <v>0.58079999999999998</v>
      </c>
      <c r="O11" s="64">
        <v>0.61299999999999999</v>
      </c>
      <c r="P11" s="64">
        <v>0.58079999999999998</v>
      </c>
      <c r="Q11" s="64">
        <v>0.58079999999999998</v>
      </c>
      <c r="R11" s="64">
        <v>0.58079999999999998</v>
      </c>
      <c r="S11" s="64">
        <v>0.58079999999999998</v>
      </c>
      <c r="T11" s="64">
        <v>0.58079999999999998</v>
      </c>
      <c r="U11" s="64">
        <v>0.58079999999999998</v>
      </c>
      <c r="V11" s="64">
        <v>0.58079999999999998</v>
      </c>
      <c r="W11" s="64">
        <v>0.58079999999999998</v>
      </c>
      <c r="X11" s="64">
        <v>0.58079999999999998</v>
      </c>
      <c r="Y11" s="64">
        <v>0.58079999999999998</v>
      </c>
      <c r="Z11" s="64">
        <v>0.58079999999999998</v>
      </c>
      <c r="AA11" s="64">
        <v>0.58079999999999998</v>
      </c>
      <c r="AB11" s="64">
        <v>0.58079999999999998</v>
      </c>
      <c r="AC11" s="65">
        <v>0.58079999999999998</v>
      </c>
      <c r="AD11" s="8"/>
    </row>
    <row r="12" spans="2:30">
      <c r="B12" s="69" t="s">
        <v>239</v>
      </c>
      <c r="C12" s="70" t="s">
        <v>235</v>
      </c>
      <c r="D12" s="64">
        <v>1.1000000000000001</v>
      </c>
      <c r="E12" s="64">
        <v>1.1000000000000001</v>
      </c>
      <c r="F12" s="64">
        <v>1.1000000000000001</v>
      </c>
      <c r="G12" s="64">
        <v>1.1000000000000001</v>
      </c>
      <c r="H12" s="64">
        <v>1.1000000000000001</v>
      </c>
      <c r="I12" s="64">
        <v>1.1000000000000001</v>
      </c>
      <c r="J12" s="64">
        <v>0.7</v>
      </c>
      <c r="K12" s="64">
        <v>0.51190000000000002</v>
      </c>
      <c r="L12" s="64">
        <v>0.59599999999999997</v>
      </c>
      <c r="M12" s="64">
        <v>0.59919999999999995</v>
      </c>
      <c r="N12" s="64">
        <v>0.56320000000000003</v>
      </c>
      <c r="O12" s="64">
        <v>0.69530000000000003</v>
      </c>
      <c r="P12" s="64">
        <v>0.6</v>
      </c>
      <c r="Q12" s="64">
        <v>0.6</v>
      </c>
      <c r="R12" s="64">
        <v>0.6</v>
      </c>
      <c r="S12" s="64">
        <v>0.6</v>
      </c>
      <c r="T12" s="64">
        <v>0.6</v>
      </c>
      <c r="U12" s="64">
        <v>0.6</v>
      </c>
      <c r="V12" s="64">
        <v>0.6</v>
      </c>
      <c r="W12" s="64">
        <v>0.6</v>
      </c>
      <c r="X12" s="64">
        <v>0.6</v>
      </c>
      <c r="Y12" s="64">
        <v>0.6</v>
      </c>
      <c r="Z12" s="64">
        <v>0.6</v>
      </c>
      <c r="AA12" s="64">
        <v>0.6</v>
      </c>
      <c r="AB12" s="64">
        <v>0.6</v>
      </c>
      <c r="AC12" s="65">
        <v>0.6</v>
      </c>
      <c r="AD12" s="8"/>
    </row>
    <row r="13" spans="2:30">
      <c r="B13" s="69" t="s">
        <v>240</v>
      </c>
      <c r="C13" s="70" t="s">
        <v>235</v>
      </c>
      <c r="D13" s="64">
        <v>0.7</v>
      </c>
      <c r="E13" s="64">
        <v>1</v>
      </c>
      <c r="F13" s="64">
        <v>1</v>
      </c>
      <c r="G13" s="64">
        <v>1</v>
      </c>
      <c r="H13" s="64">
        <v>1</v>
      </c>
      <c r="I13" s="64">
        <v>1</v>
      </c>
      <c r="J13" s="64">
        <v>0.7</v>
      </c>
      <c r="K13" s="64">
        <v>0.7</v>
      </c>
      <c r="L13" s="64">
        <v>0.14019999999999999</v>
      </c>
      <c r="M13" s="64">
        <v>0.48430000000000001</v>
      </c>
      <c r="N13" s="64">
        <v>0.48749999999999999</v>
      </c>
      <c r="O13" s="64">
        <v>0.55510000000000004</v>
      </c>
      <c r="P13" s="64">
        <v>0.55510000000000004</v>
      </c>
      <c r="Q13" s="64">
        <v>0.55510000000000004</v>
      </c>
      <c r="R13" s="64">
        <v>0.55510000000000004</v>
      </c>
      <c r="S13" s="64">
        <v>0.55510000000000004</v>
      </c>
      <c r="T13" s="64">
        <v>0.55510000000000004</v>
      </c>
      <c r="U13" s="64">
        <v>0.55510000000000004</v>
      </c>
      <c r="V13" s="64">
        <v>0.55510000000000004</v>
      </c>
      <c r="W13" s="64">
        <v>0.55510000000000004</v>
      </c>
      <c r="X13" s="64">
        <v>0.55510000000000004</v>
      </c>
      <c r="Y13" s="64">
        <v>0.55510000000000004</v>
      </c>
      <c r="Z13" s="64">
        <v>0.55510000000000004</v>
      </c>
      <c r="AA13" s="64">
        <v>0.55510000000000004</v>
      </c>
      <c r="AB13" s="64">
        <v>0.55510000000000004</v>
      </c>
      <c r="AC13" s="65">
        <v>0.55510000000000004</v>
      </c>
      <c r="AD13" s="8"/>
    </row>
    <row r="14" spans="2:30">
      <c r="B14" s="69" t="s">
        <v>289</v>
      </c>
      <c r="C14" s="70" t="s">
        <v>235</v>
      </c>
      <c r="D14" s="64">
        <v>0.14030000000000001</v>
      </c>
      <c r="E14" s="64">
        <v>0.14030000000000001</v>
      </c>
      <c r="F14" s="64">
        <v>0.14030000000000001</v>
      </c>
      <c r="G14" s="64">
        <v>0.14030000000000001</v>
      </c>
      <c r="H14" s="64">
        <v>0.14030000000000001</v>
      </c>
      <c r="I14" s="64">
        <v>0.14030000000000001</v>
      </c>
      <c r="J14" s="64">
        <v>0.14030000000000001</v>
      </c>
      <c r="K14" s="64">
        <v>0.14030000000000001</v>
      </c>
      <c r="L14" s="64">
        <v>0.14030000000000001</v>
      </c>
      <c r="M14" s="64">
        <v>0.48459999999999998</v>
      </c>
      <c r="N14" s="64">
        <v>0.48780000000000001</v>
      </c>
      <c r="O14" s="64">
        <v>0.3706666666666667</v>
      </c>
      <c r="P14" s="64">
        <v>0.14000000000000001</v>
      </c>
      <c r="Q14" s="64">
        <v>0.14000000000000001</v>
      </c>
      <c r="R14" s="64">
        <v>0.14000000000000001</v>
      </c>
      <c r="S14" s="64">
        <v>0.14000000000000001</v>
      </c>
      <c r="T14" s="64">
        <v>0.14000000000000001</v>
      </c>
      <c r="U14" s="64">
        <v>0.14000000000000001</v>
      </c>
      <c r="V14" s="64">
        <v>0.14000000000000001</v>
      </c>
      <c r="W14" s="64">
        <v>0.14000000000000001</v>
      </c>
      <c r="X14" s="64">
        <v>0.14000000000000001</v>
      </c>
      <c r="Y14" s="64">
        <v>0.14000000000000001</v>
      </c>
      <c r="Z14" s="64">
        <v>0.14000000000000001</v>
      </c>
      <c r="AA14" s="64">
        <v>0.14000000000000001</v>
      </c>
      <c r="AB14" s="64">
        <v>0.14000000000000001</v>
      </c>
      <c r="AC14" s="65">
        <v>0.14000000000000001</v>
      </c>
      <c r="AD14" s="8"/>
    </row>
    <row r="15" spans="2:30">
      <c r="B15" s="69" t="s">
        <v>241</v>
      </c>
      <c r="C15" s="70" t="s">
        <v>235</v>
      </c>
      <c r="D15" s="64">
        <v>0.54479999999999995</v>
      </c>
      <c r="E15" s="64">
        <v>0.70489999999999997</v>
      </c>
      <c r="F15" s="64">
        <v>0.76480000000000004</v>
      </c>
      <c r="G15" s="64">
        <v>0.68959999999999999</v>
      </c>
      <c r="H15" s="64">
        <v>0.72099999999999997</v>
      </c>
      <c r="I15" s="64">
        <v>0.76949999999999996</v>
      </c>
      <c r="J15" s="64">
        <v>0.50380000000000003</v>
      </c>
      <c r="K15" s="64">
        <v>0.62929999999999997</v>
      </c>
      <c r="L15" s="64">
        <v>0.60229999999999995</v>
      </c>
      <c r="M15" s="64">
        <v>0.72389999999999999</v>
      </c>
      <c r="N15" s="64">
        <v>0.68720000000000003</v>
      </c>
      <c r="O15" s="64">
        <v>0.72909999999999997</v>
      </c>
      <c r="P15" s="64">
        <v>0.6</v>
      </c>
      <c r="Q15" s="64">
        <v>0.6</v>
      </c>
      <c r="R15" s="64">
        <v>0.6</v>
      </c>
      <c r="S15" s="64">
        <v>0.6</v>
      </c>
      <c r="T15" s="64">
        <v>0.6</v>
      </c>
      <c r="U15" s="64">
        <v>0.6</v>
      </c>
      <c r="V15" s="64">
        <v>0.6</v>
      </c>
      <c r="W15" s="64">
        <v>0.6</v>
      </c>
      <c r="X15" s="64">
        <v>0.6</v>
      </c>
      <c r="Y15" s="64">
        <v>0.6</v>
      </c>
      <c r="Z15" s="64">
        <v>0.6</v>
      </c>
      <c r="AA15" s="64">
        <v>0.6</v>
      </c>
      <c r="AB15" s="64">
        <v>0.6</v>
      </c>
      <c r="AC15" s="65">
        <v>0.6</v>
      </c>
      <c r="AD15" s="8"/>
    </row>
    <row r="16" spans="2:30">
      <c r="B16" s="69" t="s">
        <v>242</v>
      </c>
      <c r="C16" s="70" t="s">
        <v>235</v>
      </c>
      <c r="D16" s="64">
        <v>0.50509999999999999</v>
      </c>
      <c r="E16" s="64">
        <v>0.65349999999999997</v>
      </c>
      <c r="F16" s="64">
        <v>0.70899999999999996</v>
      </c>
      <c r="G16" s="64">
        <v>0.63929999999999998</v>
      </c>
      <c r="H16" s="64">
        <v>0.66849999999999998</v>
      </c>
      <c r="I16" s="64">
        <v>0.71340000000000003</v>
      </c>
      <c r="J16" s="64">
        <v>0.46710000000000002</v>
      </c>
      <c r="K16" s="64">
        <v>0.58350000000000002</v>
      </c>
      <c r="L16" s="64">
        <v>0.36149999999999999</v>
      </c>
      <c r="M16" s="64">
        <v>0.56310000000000004</v>
      </c>
      <c r="N16" s="64">
        <v>0.625</v>
      </c>
      <c r="O16" s="64">
        <v>0.66879999999999995</v>
      </c>
      <c r="P16" s="64">
        <v>0.36</v>
      </c>
      <c r="Q16" s="64">
        <v>0.36</v>
      </c>
      <c r="R16" s="64">
        <v>0.36</v>
      </c>
      <c r="S16" s="64">
        <v>0.36</v>
      </c>
      <c r="T16" s="64">
        <v>0.36</v>
      </c>
      <c r="U16" s="64">
        <v>0.36</v>
      </c>
      <c r="V16" s="64">
        <v>0.36</v>
      </c>
      <c r="W16" s="64">
        <v>0.36</v>
      </c>
      <c r="X16" s="64">
        <v>0.36</v>
      </c>
      <c r="Y16" s="64">
        <v>0.36</v>
      </c>
      <c r="Z16" s="64">
        <v>0.36</v>
      </c>
      <c r="AA16" s="64">
        <v>0.36</v>
      </c>
      <c r="AB16" s="64">
        <v>0.36</v>
      </c>
      <c r="AC16" s="65">
        <v>0.36</v>
      </c>
      <c r="AD16" s="8"/>
    </row>
    <row r="17" spans="2:30">
      <c r="B17" s="69" t="s">
        <v>243</v>
      </c>
      <c r="C17" s="70" t="s">
        <v>235</v>
      </c>
      <c r="D17" s="64">
        <v>0.45140000000000002</v>
      </c>
      <c r="E17" s="64">
        <v>0.58399999999999996</v>
      </c>
      <c r="F17" s="64">
        <v>0.63360000000000005</v>
      </c>
      <c r="G17" s="64">
        <v>0.57130000000000003</v>
      </c>
      <c r="H17" s="64">
        <v>0.59740000000000004</v>
      </c>
      <c r="I17" s="64">
        <v>0.63749999999999996</v>
      </c>
      <c r="J17" s="64">
        <v>0.41739999999999999</v>
      </c>
      <c r="K17" s="64">
        <v>0.52139999999999997</v>
      </c>
      <c r="L17" s="64">
        <v>0.50390000000000001</v>
      </c>
      <c r="M17" s="64">
        <v>0.53180000000000005</v>
      </c>
      <c r="N17" s="64">
        <v>0.55910000000000004</v>
      </c>
      <c r="O17" s="64">
        <v>0.55649999999999999</v>
      </c>
      <c r="P17" s="64">
        <v>0.5</v>
      </c>
      <c r="Q17" s="64">
        <v>0.5</v>
      </c>
      <c r="R17" s="64">
        <v>0.5</v>
      </c>
      <c r="S17" s="64">
        <v>0.5</v>
      </c>
      <c r="T17" s="64">
        <v>0.5</v>
      </c>
      <c r="U17" s="64">
        <v>0.5</v>
      </c>
      <c r="V17" s="64">
        <v>0.5</v>
      </c>
      <c r="W17" s="64">
        <v>0.5</v>
      </c>
      <c r="X17" s="64">
        <v>0.5</v>
      </c>
      <c r="Y17" s="64">
        <v>0.5</v>
      </c>
      <c r="Z17" s="64">
        <v>0.5</v>
      </c>
      <c r="AA17" s="64">
        <v>0.5</v>
      </c>
      <c r="AB17" s="64">
        <v>0.5</v>
      </c>
      <c r="AC17" s="65">
        <v>0.5</v>
      </c>
      <c r="AD17" s="8"/>
    </row>
    <row r="18" spans="2:30">
      <c r="B18" s="69" t="s">
        <v>244</v>
      </c>
      <c r="C18" s="70" t="s">
        <v>23</v>
      </c>
      <c r="D18" s="64">
        <v>2.5100000000000001E-2</v>
      </c>
      <c r="E18" s="64">
        <v>2.5100000000000001E-2</v>
      </c>
      <c r="F18" s="64">
        <v>2.5100000000000001E-2</v>
      </c>
      <c r="G18" s="64">
        <v>2.5100000000000001E-2</v>
      </c>
      <c r="H18" s="64">
        <v>7.4399999999999994E-2</v>
      </c>
      <c r="I18" s="64">
        <v>0.1731</v>
      </c>
      <c r="J18" s="64">
        <v>0.18090000000000001</v>
      </c>
      <c r="K18" s="64">
        <v>0.1716</v>
      </c>
      <c r="L18" s="64">
        <v>0.17069999999999999</v>
      </c>
      <c r="M18" s="64">
        <v>0.16259999999999999</v>
      </c>
      <c r="N18" s="64">
        <v>0.16600000000000001</v>
      </c>
      <c r="O18" s="64">
        <v>0.16420000000000001</v>
      </c>
      <c r="P18" s="64">
        <v>0.22</v>
      </c>
      <c r="Q18" s="64">
        <v>0.22</v>
      </c>
      <c r="R18" s="64">
        <v>0.22</v>
      </c>
      <c r="S18" s="64">
        <v>0.22</v>
      </c>
      <c r="T18" s="64">
        <v>0.22</v>
      </c>
      <c r="U18" s="64">
        <v>0.22</v>
      </c>
      <c r="V18" s="64">
        <v>0.22</v>
      </c>
      <c r="W18" s="64">
        <v>0.22</v>
      </c>
      <c r="X18" s="64">
        <v>0.22</v>
      </c>
      <c r="Y18" s="64">
        <v>0.22</v>
      </c>
      <c r="Z18" s="64">
        <v>0.22</v>
      </c>
      <c r="AA18" s="64">
        <v>0.22</v>
      </c>
      <c r="AB18" s="64">
        <v>0.22</v>
      </c>
      <c r="AC18" s="65">
        <v>0.22</v>
      </c>
      <c r="AD18" s="8"/>
    </row>
    <row r="19" spans="2:30">
      <c r="B19" s="69" t="s">
        <v>245</v>
      </c>
      <c r="C19" s="70" t="s">
        <v>245</v>
      </c>
      <c r="D19" s="64">
        <v>0.17899999999999999</v>
      </c>
      <c r="E19" s="64">
        <v>0.17899999999999999</v>
      </c>
      <c r="F19" s="64">
        <v>0.1193</v>
      </c>
      <c r="G19" s="64">
        <v>0.41720000000000002</v>
      </c>
      <c r="H19" s="64">
        <v>0.54159999999999997</v>
      </c>
      <c r="I19" s="64">
        <v>0.67020000000000002</v>
      </c>
      <c r="J19" s="64">
        <v>0.56869999999999998</v>
      </c>
      <c r="K19" s="64">
        <v>0.49419999999999997</v>
      </c>
      <c r="L19" s="64">
        <v>0.53639999999999999</v>
      </c>
      <c r="M19" s="64">
        <v>0.58209999999999995</v>
      </c>
      <c r="N19" s="64">
        <v>0.52139999999999997</v>
      </c>
      <c r="O19" s="64">
        <v>0.43709999999999999</v>
      </c>
      <c r="P19" s="64">
        <v>0.52139999999999997</v>
      </c>
      <c r="Q19" s="64">
        <v>0.52139999999999997</v>
      </c>
      <c r="R19" s="64">
        <v>0.52139999999999997</v>
      </c>
      <c r="S19" s="64">
        <v>0.52139999999999997</v>
      </c>
      <c r="T19" s="64">
        <v>0.52139999999999997</v>
      </c>
      <c r="U19" s="64">
        <v>0.52139999999999997</v>
      </c>
      <c r="V19" s="64">
        <v>0.52139999999999997</v>
      </c>
      <c r="W19" s="64">
        <v>0.52139999999999997</v>
      </c>
      <c r="X19" s="64">
        <v>0.52139999999999997</v>
      </c>
      <c r="Y19" s="64">
        <v>0.52139999999999997</v>
      </c>
      <c r="Z19" s="64">
        <v>0.52139999999999997</v>
      </c>
      <c r="AA19" s="64">
        <v>0.52139999999999997</v>
      </c>
      <c r="AB19" s="64">
        <v>0.52139999999999997</v>
      </c>
      <c r="AC19" s="65">
        <v>0.52139999999999997</v>
      </c>
      <c r="AD19" s="8"/>
    </row>
    <row r="20" spans="2:30">
      <c r="B20" s="69" t="s">
        <v>290</v>
      </c>
      <c r="C20" s="70" t="s">
        <v>245</v>
      </c>
      <c r="D20" s="64">
        <v>0.53669999999999995</v>
      </c>
      <c r="E20" s="64">
        <v>0.53669999999999995</v>
      </c>
      <c r="F20" s="64">
        <v>0.53669999999999995</v>
      </c>
      <c r="G20" s="64">
        <v>0.53669999999999995</v>
      </c>
      <c r="H20" s="64">
        <v>0.53669999999999995</v>
      </c>
      <c r="I20" s="64">
        <v>0.53669999999999995</v>
      </c>
      <c r="J20" s="64">
        <v>0.53669999999999995</v>
      </c>
      <c r="K20" s="64">
        <v>0.53669999999999995</v>
      </c>
      <c r="L20" s="64">
        <v>0.53669999999999995</v>
      </c>
      <c r="M20" s="64">
        <v>0.58250000000000002</v>
      </c>
      <c r="N20" s="64">
        <v>0.52170000000000005</v>
      </c>
      <c r="O20" s="64">
        <v>0.52170000000000005</v>
      </c>
      <c r="P20" s="64">
        <v>0.52170000000000005</v>
      </c>
      <c r="Q20" s="64">
        <v>0.52170000000000005</v>
      </c>
      <c r="R20" s="64">
        <v>0.52170000000000005</v>
      </c>
      <c r="S20" s="64">
        <v>0.52170000000000005</v>
      </c>
      <c r="T20" s="64">
        <v>0.52170000000000005</v>
      </c>
      <c r="U20" s="64">
        <v>0.52170000000000005</v>
      </c>
      <c r="V20" s="64">
        <v>0.52170000000000005</v>
      </c>
      <c r="W20" s="64">
        <v>0.52170000000000005</v>
      </c>
      <c r="X20" s="64">
        <v>0.52170000000000005</v>
      </c>
      <c r="Y20" s="64">
        <v>0.52170000000000005</v>
      </c>
      <c r="Z20" s="64">
        <v>0.52170000000000005</v>
      </c>
      <c r="AA20" s="64">
        <v>0.52170000000000005</v>
      </c>
      <c r="AB20" s="64">
        <v>0.52170000000000005</v>
      </c>
      <c r="AC20" s="65">
        <v>0.52170000000000005</v>
      </c>
      <c r="AD20" s="8"/>
    </row>
    <row r="21" spans="2:30">
      <c r="B21" s="69" t="s">
        <v>291</v>
      </c>
      <c r="C21" s="70" t="s">
        <v>23</v>
      </c>
      <c r="D21" s="64">
        <v>0.17080000000000001</v>
      </c>
      <c r="E21" s="64">
        <v>0.17080000000000001</v>
      </c>
      <c r="F21" s="64">
        <v>0.17080000000000001</v>
      </c>
      <c r="G21" s="64">
        <v>0.17080000000000001</v>
      </c>
      <c r="H21" s="64">
        <v>0.17080000000000001</v>
      </c>
      <c r="I21" s="64">
        <v>0.17080000000000001</v>
      </c>
      <c r="J21" s="64">
        <v>0.17080000000000001</v>
      </c>
      <c r="K21" s="64">
        <v>0.17080000000000001</v>
      </c>
      <c r="L21" s="64">
        <v>0.17080000000000001</v>
      </c>
      <c r="M21" s="64">
        <v>0.1628</v>
      </c>
      <c r="N21" s="64">
        <v>0.16619999999999999</v>
      </c>
      <c r="O21" s="64">
        <v>0.16619999999999999</v>
      </c>
      <c r="P21" s="64">
        <v>0.16619999999999999</v>
      </c>
      <c r="Q21" s="64">
        <v>0.16619999999999999</v>
      </c>
      <c r="R21" s="64">
        <v>0.16619999999999999</v>
      </c>
      <c r="S21" s="64">
        <v>0.16619999999999999</v>
      </c>
      <c r="T21" s="64">
        <v>0.16619999999999999</v>
      </c>
      <c r="U21" s="64">
        <v>0.16619999999999999</v>
      </c>
      <c r="V21" s="64">
        <v>0.16619999999999999</v>
      </c>
      <c r="W21" s="64">
        <v>0.16619999999999999</v>
      </c>
      <c r="X21" s="64">
        <v>0.16619999999999999</v>
      </c>
      <c r="Y21" s="64">
        <v>0.16619999999999999</v>
      </c>
      <c r="Z21" s="64">
        <v>0.16619999999999999</v>
      </c>
      <c r="AA21" s="64">
        <v>0.16619999999999999</v>
      </c>
      <c r="AB21" s="64">
        <v>0.16619999999999999</v>
      </c>
      <c r="AC21" s="65">
        <v>0.16619999999999999</v>
      </c>
      <c r="AD21" s="8"/>
    </row>
    <row r="22" spans="2:30">
      <c r="B22" s="69" t="s">
        <v>292</v>
      </c>
      <c r="C22" s="70" t="s">
        <v>23</v>
      </c>
      <c r="D22" s="64">
        <v>0.17080000000000001</v>
      </c>
      <c r="E22" s="64">
        <v>0.17080000000000001</v>
      </c>
      <c r="F22" s="64">
        <v>0.17080000000000001</v>
      </c>
      <c r="G22" s="64">
        <v>0.17080000000000001</v>
      </c>
      <c r="H22" s="64">
        <v>0.17080000000000001</v>
      </c>
      <c r="I22" s="64">
        <v>0.17080000000000001</v>
      </c>
      <c r="J22" s="64">
        <v>0.17080000000000001</v>
      </c>
      <c r="K22" s="64">
        <v>0.17080000000000001</v>
      </c>
      <c r="L22" s="64">
        <v>0.17080000000000001</v>
      </c>
      <c r="M22" s="64">
        <v>0.1628</v>
      </c>
      <c r="N22" s="64">
        <v>0.16619999999999999</v>
      </c>
      <c r="O22" s="64">
        <v>0.16619999999999999</v>
      </c>
      <c r="P22" s="64">
        <v>0.16619999999999999</v>
      </c>
      <c r="Q22" s="64">
        <v>0.16619999999999999</v>
      </c>
      <c r="R22" s="64">
        <v>0.16619999999999999</v>
      </c>
      <c r="S22" s="64">
        <v>0.16619999999999999</v>
      </c>
      <c r="T22" s="64">
        <v>0.16619999999999999</v>
      </c>
      <c r="U22" s="64">
        <v>0.16619999999999999</v>
      </c>
      <c r="V22" s="64">
        <v>0.16619999999999999</v>
      </c>
      <c r="W22" s="64">
        <v>0.16619999999999999</v>
      </c>
      <c r="X22" s="64">
        <v>0.16619999999999999</v>
      </c>
      <c r="Y22" s="64">
        <v>0.16619999999999999</v>
      </c>
      <c r="Z22" s="64">
        <v>0.16619999999999999</v>
      </c>
      <c r="AA22" s="64">
        <v>0.16619999999999999</v>
      </c>
      <c r="AB22" s="64">
        <v>0.16619999999999999</v>
      </c>
      <c r="AC22" s="65">
        <v>0.16619999999999999</v>
      </c>
      <c r="AD22" s="8"/>
    </row>
    <row r="23" spans="2:30">
      <c r="B23" s="69" t="s">
        <v>293</v>
      </c>
      <c r="C23" s="70" t="s">
        <v>245</v>
      </c>
      <c r="D23" s="64">
        <v>0.53669999999999995</v>
      </c>
      <c r="E23" s="64">
        <v>0.53669999999999995</v>
      </c>
      <c r="F23" s="64">
        <v>0.53669999999999995</v>
      </c>
      <c r="G23" s="64">
        <v>0.53669999999999995</v>
      </c>
      <c r="H23" s="64">
        <v>0.53669999999999995</v>
      </c>
      <c r="I23" s="64">
        <v>0.53669999999999995</v>
      </c>
      <c r="J23" s="64">
        <v>0.53669999999999995</v>
      </c>
      <c r="K23" s="64">
        <v>0.53669999999999995</v>
      </c>
      <c r="L23" s="64">
        <v>0.53669999999999995</v>
      </c>
      <c r="M23" s="64">
        <v>0.58250000000000002</v>
      </c>
      <c r="N23" s="64">
        <v>0.52170000000000005</v>
      </c>
      <c r="O23" s="64">
        <v>0.52170000000000005</v>
      </c>
      <c r="P23" s="64">
        <v>0.52170000000000005</v>
      </c>
      <c r="Q23" s="64">
        <v>0.52170000000000005</v>
      </c>
      <c r="R23" s="64">
        <v>0.52170000000000005</v>
      </c>
      <c r="S23" s="64">
        <v>0.52170000000000005</v>
      </c>
      <c r="T23" s="64">
        <v>0.52170000000000005</v>
      </c>
      <c r="U23" s="64">
        <v>0.52170000000000005</v>
      </c>
      <c r="V23" s="64">
        <v>0.52170000000000005</v>
      </c>
      <c r="W23" s="64">
        <v>0.52170000000000005</v>
      </c>
      <c r="X23" s="64">
        <v>0.52170000000000005</v>
      </c>
      <c r="Y23" s="64">
        <v>0.52170000000000005</v>
      </c>
      <c r="Z23" s="64">
        <v>0.52170000000000005</v>
      </c>
      <c r="AA23" s="64">
        <v>0.52170000000000005</v>
      </c>
      <c r="AB23" s="64">
        <v>0.52170000000000005</v>
      </c>
      <c r="AC23" s="65">
        <v>0.52170000000000005</v>
      </c>
      <c r="AD23" s="8"/>
    </row>
    <row r="24" spans="2:30">
      <c r="B24" s="69" t="s">
        <v>294</v>
      </c>
      <c r="C24" s="70" t="s">
        <v>245</v>
      </c>
      <c r="D24" s="64">
        <v>0.53669999999999995</v>
      </c>
      <c r="E24" s="64">
        <v>0.53669999999999995</v>
      </c>
      <c r="F24" s="64">
        <v>0.53669999999999995</v>
      </c>
      <c r="G24" s="64">
        <v>0.53669999999999995</v>
      </c>
      <c r="H24" s="64">
        <v>0.53669999999999995</v>
      </c>
      <c r="I24" s="64">
        <v>0.53669999999999995</v>
      </c>
      <c r="J24" s="64">
        <v>0.53669999999999995</v>
      </c>
      <c r="K24" s="64">
        <v>0.53669999999999995</v>
      </c>
      <c r="L24" s="64">
        <v>0.53669999999999995</v>
      </c>
      <c r="M24" s="64">
        <v>0.58250000000000002</v>
      </c>
      <c r="N24" s="64">
        <v>0.52170000000000005</v>
      </c>
      <c r="O24" s="64">
        <v>0.52170000000000005</v>
      </c>
      <c r="P24" s="64">
        <v>0.52170000000000005</v>
      </c>
      <c r="Q24" s="64">
        <v>0.52170000000000005</v>
      </c>
      <c r="R24" s="64">
        <v>0.52170000000000005</v>
      </c>
      <c r="S24" s="64">
        <v>0.52170000000000005</v>
      </c>
      <c r="T24" s="64">
        <v>0.52170000000000005</v>
      </c>
      <c r="U24" s="64">
        <v>0.52170000000000005</v>
      </c>
      <c r="V24" s="64">
        <v>0.52170000000000005</v>
      </c>
      <c r="W24" s="64">
        <v>0.52170000000000005</v>
      </c>
      <c r="X24" s="64">
        <v>0.52170000000000005</v>
      </c>
      <c r="Y24" s="64">
        <v>0.52170000000000005</v>
      </c>
      <c r="Z24" s="64">
        <v>0.52170000000000005</v>
      </c>
      <c r="AA24" s="64">
        <v>0.52170000000000005</v>
      </c>
      <c r="AB24" s="64">
        <v>0.52170000000000005</v>
      </c>
      <c r="AC24" s="65">
        <v>0.52170000000000005</v>
      </c>
      <c r="AD24" s="8"/>
    </row>
    <row r="25" spans="2:30">
      <c r="B25" s="69" t="s">
        <v>295</v>
      </c>
      <c r="C25" s="70" t="s">
        <v>235</v>
      </c>
      <c r="D25" s="64">
        <v>0.37219999999999998</v>
      </c>
      <c r="E25" s="64">
        <v>0.48149999999999998</v>
      </c>
      <c r="F25" s="64">
        <v>0.52239999999999998</v>
      </c>
      <c r="G25" s="64">
        <v>0.47099999999999997</v>
      </c>
      <c r="H25" s="64">
        <v>0.49249999999999999</v>
      </c>
      <c r="I25" s="64">
        <v>0.52569999999999995</v>
      </c>
      <c r="J25" s="64">
        <v>0.34410000000000002</v>
      </c>
      <c r="K25" s="64">
        <v>0.4299</v>
      </c>
      <c r="L25" s="64">
        <v>0.49480000000000002</v>
      </c>
      <c r="M25" s="64">
        <v>0.58289999999999997</v>
      </c>
      <c r="N25" s="64">
        <v>0.505</v>
      </c>
      <c r="O25" s="64">
        <v>0.37169999999999997</v>
      </c>
      <c r="P25" s="64">
        <v>0.49</v>
      </c>
      <c r="Q25" s="64">
        <v>0.49</v>
      </c>
      <c r="R25" s="64">
        <v>0.49</v>
      </c>
      <c r="S25" s="64">
        <v>0.49</v>
      </c>
      <c r="T25" s="64">
        <v>0.49</v>
      </c>
      <c r="U25" s="64">
        <v>0.49</v>
      </c>
      <c r="V25" s="64">
        <v>0.49</v>
      </c>
      <c r="W25" s="64">
        <v>0.49</v>
      </c>
      <c r="X25" s="64">
        <v>0.49</v>
      </c>
      <c r="Y25" s="64">
        <v>0.49</v>
      </c>
      <c r="Z25" s="64">
        <v>0.49</v>
      </c>
      <c r="AA25" s="64">
        <v>0.49</v>
      </c>
      <c r="AB25" s="64">
        <v>0.49</v>
      </c>
      <c r="AC25" s="65">
        <v>0.49</v>
      </c>
      <c r="AD25" s="8"/>
    </row>
    <row r="26" spans="2:30">
      <c r="B26" s="69" t="s">
        <v>296</v>
      </c>
      <c r="C26" s="70" t="s">
        <v>235</v>
      </c>
      <c r="D26" s="64">
        <v>0.46039999999999998</v>
      </c>
      <c r="E26" s="64">
        <v>0.59560000000000002</v>
      </c>
      <c r="F26" s="64">
        <v>0.6462</v>
      </c>
      <c r="G26" s="64">
        <v>0.5827</v>
      </c>
      <c r="H26" s="64">
        <v>0.60929999999999995</v>
      </c>
      <c r="I26" s="64">
        <v>0.6502</v>
      </c>
      <c r="J26" s="64">
        <v>0.42570000000000002</v>
      </c>
      <c r="K26" s="64">
        <v>0.53180000000000005</v>
      </c>
      <c r="L26" s="64">
        <v>0.42459999999999998</v>
      </c>
      <c r="M26" s="64">
        <v>0.47670000000000001</v>
      </c>
      <c r="N26" s="64">
        <v>0.6381</v>
      </c>
      <c r="O26" s="64">
        <v>0.63149999999999995</v>
      </c>
      <c r="P26" s="64">
        <v>0.42</v>
      </c>
      <c r="Q26" s="64">
        <v>0.42</v>
      </c>
      <c r="R26" s="64">
        <v>0.42</v>
      </c>
      <c r="S26" s="64">
        <v>0.42</v>
      </c>
      <c r="T26" s="64">
        <v>0.42</v>
      </c>
      <c r="U26" s="64">
        <v>0.42</v>
      </c>
      <c r="V26" s="64">
        <v>0.42</v>
      </c>
      <c r="W26" s="64">
        <v>0.42</v>
      </c>
      <c r="X26" s="64">
        <v>0.42</v>
      </c>
      <c r="Y26" s="64">
        <v>0.42</v>
      </c>
      <c r="Z26" s="64">
        <v>0.42</v>
      </c>
      <c r="AA26" s="64">
        <v>0.42</v>
      </c>
      <c r="AB26" s="64">
        <v>0.42</v>
      </c>
      <c r="AC26" s="65">
        <v>0.42</v>
      </c>
      <c r="AD26" s="8"/>
    </row>
    <row r="27" spans="2:30">
      <c r="B27" s="69" t="s">
        <v>297</v>
      </c>
      <c r="C27" s="70" t="s">
        <v>23</v>
      </c>
      <c r="D27" s="64">
        <v>0.27279999999999999</v>
      </c>
      <c r="E27" s="64">
        <v>0.27279999999999999</v>
      </c>
      <c r="F27" s="64">
        <v>0.27279999999999999</v>
      </c>
      <c r="G27" s="64">
        <v>0.27279999999999999</v>
      </c>
      <c r="H27" s="64">
        <v>0.27279999999999999</v>
      </c>
      <c r="I27" s="64">
        <v>0.63480000000000003</v>
      </c>
      <c r="J27" s="64">
        <v>0.6633</v>
      </c>
      <c r="K27" s="64">
        <v>0.62919999999999998</v>
      </c>
      <c r="L27" s="64">
        <v>0.53620000000000001</v>
      </c>
      <c r="M27" s="64">
        <v>0.79</v>
      </c>
      <c r="N27" s="64">
        <v>0.67300000000000004</v>
      </c>
      <c r="O27" s="64">
        <v>0.56330000000000002</v>
      </c>
      <c r="P27" s="64">
        <v>0.54</v>
      </c>
      <c r="Q27" s="64">
        <v>0.54</v>
      </c>
      <c r="R27" s="64">
        <v>0.54</v>
      </c>
      <c r="S27" s="64">
        <v>0.54</v>
      </c>
      <c r="T27" s="64">
        <v>0.54</v>
      </c>
      <c r="U27" s="64">
        <v>0.54</v>
      </c>
      <c r="V27" s="64">
        <v>0.54</v>
      </c>
      <c r="W27" s="64">
        <v>0.54</v>
      </c>
      <c r="X27" s="64">
        <v>0.54</v>
      </c>
      <c r="Y27" s="64">
        <v>0.54</v>
      </c>
      <c r="Z27" s="64">
        <v>0.54</v>
      </c>
      <c r="AA27" s="64">
        <v>0.54</v>
      </c>
      <c r="AB27" s="64">
        <v>0.54</v>
      </c>
      <c r="AC27" s="65">
        <v>0.54</v>
      </c>
      <c r="AD27" s="8"/>
    </row>
    <row r="28" spans="2:30">
      <c r="B28" s="69" t="s">
        <v>298</v>
      </c>
      <c r="C28" s="70" t="s">
        <v>245</v>
      </c>
      <c r="D28" s="64">
        <v>4.7800000000000002E-2</v>
      </c>
      <c r="E28" s="64">
        <v>4.7800000000000002E-2</v>
      </c>
      <c r="F28" s="64">
        <v>3.1800000000000002E-2</v>
      </c>
      <c r="G28" s="64">
        <v>0.1113</v>
      </c>
      <c r="H28" s="64">
        <v>0.14449999999999999</v>
      </c>
      <c r="I28" s="64">
        <v>0.1789</v>
      </c>
      <c r="J28" s="64">
        <v>0.15179999999999999</v>
      </c>
      <c r="K28" s="64">
        <v>0.13189999999999999</v>
      </c>
      <c r="L28" s="64">
        <v>0.16930000000000001</v>
      </c>
      <c r="M28" s="64">
        <v>0.14319999999999999</v>
      </c>
      <c r="N28" s="64">
        <v>0.1411</v>
      </c>
      <c r="O28" s="64">
        <v>5.04E-2</v>
      </c>
      <c r="P28" s="64">
        <v>0.17</v>
      </c>
      <c r="Q28" s="64">
        <v>0.17</v>
      </c>
      <c r="R28" s="64">
        <v>0.17</v>
      </c>
      <c r="S28" s="64">
        <v>0.17</v>
      </c>
      <c r="T28" s="64">
        <v>0.17</v>
      </c>
      <c r="U28" s="64">
        <v>0.17</v>
      </c>
      <c r="V28" s="64">
        <v>0.17</v>
      </c>
      <c r="W28" s="64">
        <v>0.17</v>
      </c>
      <c r="X28" s="64">
        <v>0.17</v>
      </c>
      <c r="Y28" s="64">
        <v>0.17</v>
      </c>
      <c r="Z28" s="64">
        <v>0.17</v>
      </c>
      <c r="AA28" s="64">
        <v>0.17</v>
      </c>
      <c r="AB28" s="64">
        <v>0.17</v>
      </c>
      <c r="AC28" s="65">
        <v>0.17</v>
      </c>
      <c r="AD28" s="8"/>
    </row>
    <row r="29" spans="2:30">
      <c r="B29" s="69" t="s">
        <v>299</v>
      </c>
      <c r="C29" s="70" t="s">
        <v>23</v>
      </c>
      <c r="D29" s="64">
        <v>1.4E-2</v>
      </c>
      <c r="E29" s="64">
        <v>1.4E-2</v>
      </c>
      <c r="F29" s="64">
        <v>1.4E-2</v>
      </c>
      <c r="G29" s="64">
        <v>1.4E-2</v>
      </c>
      <c r="H29" s="64">
        <v>1.4E-2</v>
      </c>
      <c r="I29" s="64">
        <v>3.27E-2</v>
      </c>
      <c r="J29" s="64">
        <v>3.4200000000000001E-2</v>
      </c>
      <c r="K29" s="64">
        <v>3.2399999999999998E-2</v>
      </c>
      <c r="L29" s="64">
        <v>3.49E-2</v>
      </c>
      <c r="M29" s="64">
        <v>3.3500000000000002E-2</v>
      </c>
      <c r="N29" s="64">
        <v>3.4200000000000001E-2</v>
      </c>
      <c r="O29" s="64">
        <v>3.39E-2</v>
      </c>
      <c r="P29" s="64">
        <v>0.03</v>
      </c>
      <c r="Q29" s="64">
        <v>0.03</v>
      </c>
      <c r="R29" s="64">
        <v>0.03</v>
      </c>
      <c r="S29" s="64">
        <v>0.03</v>
      </c>
      <c r="T29" s="64">
        <v>0.03</v>
      </c>
      <c r="U29" s="64">
        <v>0.03</v>
      </c>
      <c r="V29" s="64">
        <v>0.03</v>
      </c>
      <c r="W29" s="64">
        <v>0.03</v>
      </c>
      <c r="X29" s="64">
        <v>0.03</v>
      </c>
      <c r="Y29" s="64">
        <v>0.03</v>
      </c>
      <c r="Z29" s="64">
        <v>0.03</v>
      </c>
      <c r="AA29" s="64">
        <v>0.03</v>
      </c>
      <c r="AB29" s="64">
        <v>0.03</v>
      </c>
      <c r="AC29" s="65">
        <v>0.03</v>
      </c>
      <c r="AD29" s="8"/>
    </row>
    <row r="30" spans="2:30">
      <c r="B30" s="69" t="s">
        <v>300</v>
      </c>
      <c r="C30" s="70" t="s">
        <v>235</v>
      </c>
      <c r="D30" s="64">
        <v>8.8999999999999999E-3</v>
      </c>
      <c r="E30" s="64">
        <v>1.1599999999999999E-2</v>
      </c>
      <c r="F30" s="64">
        <v>1.2500000000000001E-2</v>
      </c>
      <c r="G30" s="64">
        <v>1.1299999999999999E-2</v>
      </c>
      <c r="H30" s="64">
        <v>1.18E-2</v>
      </c>
      <c r="I30" s="64">
        <v>1.26E-2</v>
      </c>
      <c r="J30" s="64">
        <v>8.3000000000000001E-3</v>
      </c>
      <c r="K30" s="64">
        <v>1.03E-2</v>
      </c>
      <c r="L30" s="64">
        <v>8.2900000000000001E-2</v>
      </c>
      <c r="M30" s="64">
        <v>0.2581</v>
      </c>
      <c r="N30" s="64">
        <v>7.1000000000000004E-3</v>
      </c>
      <c r="O30" s="64">
        <v>0.02</v>
      </c>
      <c r="P30" s="64">
        <v>0.08</v>
      </c>
      <c r="Q30" s="64">
        <v>0.08</v>
      </c>
      <c r="R30" s="64">
        <v>0.08</v>
      </c>
      <c r="S30" s="64">
        <v>0.08</v>
      </c>
      <c r="T30" s="64">
        <v>0.08</v>
      </c>
      <c r="U30" s="64">
        <v>0.08</v>
      </c>
      <c r="V30" s="64">
        <v>0.08</v>
      </c>
      <c r="W30" s="64">
        <v>0.08</v>
      </c>
      <c r="X30" s="64">
        <v>0.08</v>
      </c>
      <c r="Y30" s="64">
        <v>0.08</v>
      </c>
      <c r="Z30" s="64">
        <v>0.08</v>
      </c>
      <c r="AA30" s="64">
        <v>0.08</v>
      </c>
      <c r="AB30" s="64">
        <v>0.08</v>
      </c>
      <c r="AC30" s="65">
        <v>0.08</v>
      </c>
      <c r="AD30" s="8"/>
    </row>
    <row r="31" spans="2:30">
      <c r="B31" s="69" t="s">
        <v>301</v>
      </c>
      <c r="C31" s="70" t="s">
        <v>235</v>
      </c>
      <c r="D31" s="64">
        <v>0</v>
      </c>
      <c r="E31" s="64">
        <v>0</v>
      </c>
      <c r="F31" s="64">
        <v>0</v>
      </c>
      <c r="G31" s="64">
        <v>0</v>
      </c>
      <c r="H31" s="64">
        <v>0</v>
      </c>
      <c r="I31" s="64">
        <v>0</v>
      </c>
      <c r="J31" s="64">
        <v>0</v>
      </c>
      <c r="K31" s="64">
        <v>0</v>
      </c>
      <c r="L31" s="64">
        <v>0</v>
      </c>
      <c r="M31" s="64">
        <v>0</v>
      </c>
      <c r="N31" s="64">
        <v>0</v>
      </c>
      <c r="O31" s="64">
        <v>0</v>
      </c>
      <c r="P31" s="64">
        <v>7.1000000000000004E-3</v>
      </c>
      <c r="Q31" s="64">
        <v>7.1000000000000004E-3</v>
      </c>
      <c r="R31" s="64">
        <v>7.1000000000000004E-3</v>
      </c>
      <c r="S31" s="64">
        <v>7.1000000000000004E-3</v>
      </c>
      <c r="T31" s="64">
        <v>7.1000000000000004E-3</v>
      </c>
      <c r="U31" s="64">
        <v>7.1000000000000004E-3</v>
      </c>
      <c r="V31" s="64">
        <v>7.1000000000000004E-3</v>
      </c>
      <c r="W31" s="64">
        <v>7.1000000000000004E-3</v>
      </c>
      <c r="X31" s="64">
        <v>7.1000000000000004E-3</v>
      </c>
      <c r="Y31" s="64">
        <v>7.1000000000000004E-3</v>
      </c>
      <c r="Z31" s="64">
        <v>7.1000000000000004E-3</v>
      </c>
      <c r="AA31" s="64">
        <v>7.1000000000000004E-3</v>
      </c>
      <c r="AB31" s="64">
        <v>7.1000000000000004E-3</v>
      </c>
      <c r="AC31" s="65">
        <v>7.1000000000000004E-3</v>
      </c>
      <c r="AD31" s="8"/>
    </row>
    <row r="32" spans="2:30">
      <c r="B32" s="69" t="s">
        <v>260</v>
      </c>
      <c r="C32" s="70" t="s">
        <v>261</v>
      </c>
      <c r="D32" s="64">
        <v>0.88700000000000001</v>
      </c>
      <c r="E32" s="64">
        <v>0.88700000000000001</v>
      </c>
      <c r="F32" s="64">
        <v>0.88700000000000001</v>
      </c>
      <c r="G32" s="64">
        <v>0.88700000000000001</v>
      </c>
      <c r="H32" s="64">
        <v>0.88700000000000001</v>
      </c>
      <c r="I32" s="64">
        <v>0.88700000000000001</v>
      </c>
      <c r="J32" s="64">
        <v>0.9</v>
      </c>
      <c r="K32" s="64">
        <v>0.8</v>
      </c>
      <c r="L32" s="64">
        <v>0.75309999999999999</v>
      </c>
      <c r="M32" s="64">
        <v>0.68079999999999996</v>
      </c>
      <c r="N32" s="64">
        <v>0.72760000000000002</v>
      </c>
      <c r="O32" s="64">
        <v>0.60809999999999997</v>
      </c>
      <c r="P32" s="64">
        <v>0.75</v>
      </c>
      <c r="Q32" s="64">
        <v>0.75</v>
      </c>
      <c r="R32" s="64">
        <v>0.75</v>
      </c>
      <c r="S32" s="64">
        <v>0.75</v>
      </c>
      <c r="T32" s="64">
        <v>0.75</v>
      </c>
      <c r="U32" s="64">
        <v>0.75</v>
      </c>
      <c r="V32" s="64">
        <v>0.75</v>
      </c>
      <c r="W32" s="64">
        <v>0.75</v>
      </c>
      <c r="X32" s="64">
        <v>0.75</v>
      </c>
      <c r="Y32" s="64">
        <v>0.75</v>
      </c>
      <c r="Z32" s="64">
        <v>0.75</v>
      </c>
      <c r="AA32" s="64">
        <v>0.75</v>
      </c>
      <c r="AB32" s="64">
        <v>0.75</v>
      </c>
      <c r="AC32" s="65">
        <v>0.75</v>
      </c>
      <c r="AD32" s="8"/>
    </row>
    <row r="33" spans="2:30">
      <c r="B33" s="69" t="s">
        <v>302</v>
      </c>
      <c r="C33" s="70" t="s">
        <v>263</v>
      </c>
      <c r="D33" s="64">
        <v>0.88700000000000001</v>
      </c>
      <c r="E33" s="64">
        <v>0.88700000000000001</v>
      </c>
      <c r="F33" s="64">
        <v>0.88700000000000001</v>
      </c>
      <c r="G33" s="64">
        <v>0.88700000000000001</v>
      </c>
      <c r="H33" s="64">
        <v>0.88700000000000001</v>
      </c>
      <c r="I33" s="64">
        <v>0.88700000000000001</v>
      </c>
      <c r="J33" s="64">
        <v>0.88700000000000001</v>
      </c>
      <c r="K33" s="64">
        <v>0.51729999999999998</v>
      </c>
      <c r="L33" s="64">
        <v>0.31850000000000001</v>
      </c>
      <c r="M33" s="64">
        <v>0.34439999999999998</v>
      </c>
      <c r="N33" s="64">
        <v>0.35520000000000002</v>
      </c>
      <c r="O33" s="64">
        <v>0.35520000000000002</v>
      </c>
      <c r="P33" s="64">
        <v>0.35520000000000002</v>
      </c>
      <c r="Q33" s="64">
        <v>0.35520000000000002</v>
      </c>
      <c r="R33" s="64">
        <v>0.35520000000000002</v>
      </c>
      <c r="S33" s="64">
        <v>0.35520000000000002</v>
      </c>
      <c r="T33" s="64">
        <v>0.35520000000000002</v>
      </c>
      <c r="U33" s="64">
        <v>0.35520000000000002</v>
      </c>
      <c r="V33" s="64">
        <v>0.35520000000000002</v>
      </c>
      <c r="W33" s="64">
        <v>0.35520000000000002</v>
      </c>
      <c r="X33" s="64">
        <v>0.35520000000000002</v>
      </c>
      <c r="Y33" s="64">
        <v>0.35520000000000002</v>
      </c>
      <c r="Z33" s="64">
        <v>0.35520000000000002</v>
      </c>
      <c r="AA33" s="64">
        <v>0.35520000000000002</v>
      </c>
      <c r="AB33" s="64">
        <v>0.35520000000000002</v>
      </c>
      <c r="AC33" s="65">
        <v>0.35520000000000002</v>
      </c>
      <c r="AD33" s="8"/>
    </row>
    <row r="34" spans="2:30">
      <c r="B34" s="69" t="s">
        <v>262</v>
      </c>
      <c r="C34" s="70" t="s">
        <v>263</v>
      </c>
      <c r="D34" s="64">
        <v>0.88700000000000001</v>
      </c>
      <c r="E34" s="64">
        <v>0.88700000000000001</v>
      </c>
      <c r="F34" s="64">
        <v>0.88700000000000001</v>
      </c>
      <c r="G34" s="64">
        <v>0.88700000000000001</v>
      </c>
      <c r="H34" s="64">
        <v>0.88700000000000001</v>
      </c>
      <c r="I34" s="64">
        <v>0.88700000000000001</v>
      </c>
      <c r="J34" s="64">
        <v>0.88700000000000001</v>
      </c>
      <c r="K34" s="64">
        <v>0.51729999999999998</v>
      </c>
      <c r="L34" s="64">
        <v>0.31830000000000003</v>
      </c>
      <c r="M34" s="64">
        <v>0.34420000000000001</v>
      </c>
      <c r="N34" s="64">
        <v>0.35499999999999998</v>
      </c>
      <c r="O34" s="64">
        <v>0.31019999999999998</v>
      </c>
      <c r="P34" s="64">
        <v>0.32</v>
      </c>
      <c r="Q34" s="64">
        <v>0.32</v>
      </c>
      <c r="R34" s="64">
        <v>0.32</v>
      </c>
      <c r="S34" s="64">
        <v>0.32</v>
      </c>
      <c r="T34" s="64">
        <v>0.32</v>
      </c>
      <c r="U34" s="64">
        <v>0.32</v>
      </c>
      <c r="V34" s="64">
        <v>0.32</v>
      </c>
      <c r="W34" s="64">
        <v>0.32</v>
      </c>
      <c r="X34" s="64">
        <v>0.32</v>
      </c>
      <c r="Y34" s="64">
        <v>0.32</v>
      </c>
      <c r="Z34" s="64">
        <v>0.32</v>
      </c>
      <c r="AA34" s="64">
        <v>0.32</v>
      </c>
      <c r="AB34" s="64">
        <v>0.32</v>
      </c>
      <c r="AC34" s="65">
        <v>0.32</v>
      </c>
      <c r="AD34" s="8"/>
    </row>
    <row r="35" spans="2:30">
      <c r="B35" s="69" t="s">
        <v>264</v>
      </c>
      <c r="C35" s="70" t="s">
        <v>265</v>
      </c>
      <c r="D35" s="64">
        <v>0.57999999999999996</v>
      </c>
      <c r="E35" s="64">
        <v>0.57999999999999996</v>
      </c>
      <c r="F35" s="64">
        <v>0.57999999999999996</v>
      </c>
      <c r="G35" s="64">
        <v>0.57999999999999996</v>
      </c>
      <c r="H35" s="64">
        <v>0.57999999999999996</v>
      </c>
      <c r="I35" s="64">
        <v>0.57999999999999996</v>
      </c>
      <c r="J35" s="64">
        <v>0.57999999999999996</v>
      </c>
      <c r="K35" s="64">
        <v>0.57999999999999996</v>
      </c>
      <c r="L35" s="64">
        <v>0.57999999999999996</v>
      </c>
      <c r="M35" s="64">
        <v>0.57999999999999996</v>
      </c>
      <c r="N35" s="64">
        <v>0.57999999999999996</v>
      </c>
      <c r="O35" s="64">
        <v>0.57999999999999996</v>
      </c>
      <c r="P35" s="64">
        <v>0.57999999999999996</v>
      </c>
      <c r="Q35" s="64">
        <v>0.57999999999999996</v>
      </c>
      <c r="R35" s="64">
        <v>0.57999999999999996</v>
      </c>
      <c r="S35" s="64">
        <v>0.57999999999999996</v>
      </c>
      <c r="T35" s="64">
        <v>0.57999999999999996</v>
      </c>
      <c r="U35" s="64">
        <v>0.57999999999999996</v>
      </c>
      <c r="V35" s="64">
        <v>0.57999999999999996</v>
      </c>
      <c r="W35" s="64">
        <v>0.57999999999999996</v>
      </c>
      <c r="X35" s="64">
        <v>0.57999999999999996</v>
      </c>
      <c r="Y35" s="64">
        <v>0.57999999999999996</v>
      </c>
      <c r="Z35" s="64">
        <v>0.57999999999999996</v>
      </c>
      <c r="AA35" s="64">
        <v>0.57999999999999996</v>
      </c>
      <c r="AB35" s="64">
        <v>0.57999999999999996</v>
      </c>
      <c r="AC35" s="65">
        <v>0.57999999999999996</v>
      </c>
      <c r="AD35" s="8"/>
    </row>
    <row r="36" spans="2:30">
      <c r="B36" s="69" t="s">
        <v>303</v>
      </c>
      <c r="C36" s="70" t="s">
        <v>304</v>
      </c>
      <c r="D36" s="64">
        <v>0.27260000000000001</v>
      </c>
      <c r="E36" s="64">
        <v>0.27260000000000001</v>
      </c>
      <c r="F36" s="64">
        <v>0.27260000000000001</v>
      </c>
      <c r="G36" s="64">
        <v>0.27260000000000001</v>
      </c>
      <c r="H36" s="64">
        <v>0.27260000000000001</v>
      </c>
      <c r="I36" s="64">
        <v>0.27260000000000001</v>
      </c>
      <c r="J36" s="64">
        <v>0.27260000000000001</v>
      </c>
      <c r="K36" s="64">
        <v>0.27260000000000001</v>
      </c>
      <c r="L36" s="64">
        <v>0.27260000000000001</v>
      </c>
      <c r="M36" s="64">
        <v>0.1845</v>
      </c>
      <c r="N36" s="64">
        <v>0.15049999999999999</v>
      </c>
      <c r="O36" s="64">
        <v>0.15049999999999999</v>
      </c>
      <c r="P36" s="64">
        <v>0.15049999999999999</v>
      </c>
      <c r="Q36" s="64">
        <v>0.15049999999999999</v>
      </c>
      <c r="R36" s="64">
        <v>0.15049999999999999</v>
      </c>
      <c r="S36" s="64">
        <v>0.15049999999999999</v>
      </c>
      <c r="T36" s="64">
        <v>0.15049999999999999</v>
      </c>
      <c r="U36" s="64">
        <v>0.15049999999999999</v>
      </c>
      <c r="V36" s="64">
        <v>0.15049999999999999</v>
      </c>
      <c r="W36" s="64">
        <v>0.15049999999999999</v>
      </c>
      <c r="X36" s="64">
        <v>0.15049999999999999</v>
      </c>
      <c r="Y36" s="64">
        <v>0.15049999999999999</v>
      </c>
      <c r="Z36" s="64">
        <v>0.15049999999999999</v>
      </c>
      <c r="AA36" s="64">
        <v>0.15049999999999999</v>
      </c>
      <c r="AB36" s="64">
        <v>0.15049999999999999</v>
      </c>
      <c r="AC36" s="65">
        <v>0.15049999999999999</v>
      </c>
      <c r="AD36" s="8"/>
    </row>
    <row r="37" spans="2:30">
      <c r="B37" s="69" t="s">
        <v>266</v>
      </c>
      <c r="C37" s="70" t="s">
        <v>3</v>
      </c>
      <c r="D37" s="64">
        <v>0.30530000000000002</v>
      </c>
      <c r="E37" s="64">
        <v>0.25729999999999997</v>
      </c>
      <c r="F37" s="64">
        <v>0.26769999999999999</v>
      </c>
      <c r="G37" s="64">
        <v>0.30590000000000001</v>
      </c>
      <c r="H37" s="64">
        <v>0.30080000000000001</v>
      </c>
      <c r="I37" s="64">
        <v>0.28960000000000002</v>
      </c>
      <c r="J37" s="64">
        <v>0.2429</v>
      </c>
      <c r="K37" s="64">
        <v>0.1772</v>
      </c>
      <c r="L37" s="64">
        <v>0.27239999999999998</v>
      </c>
      <c r="M37" s="64">
        <v>0.18429999999999999</v>
      </c>
      <c r="N37" s="64">
        <v>0.15049999999999999</v>
      </c>
      <c r="O37" s="64">
        <v>0.11890000000000001</v>
      </c>
      <c r="P37" s="64">
        <v>0.27</v>
      </c>
      <c r="Q37" s="64">
        <v>0.3</v>
      </c>
      <c r="R37" s="64">
        <v>0.3</v>
      </c>
      <c r="S37" s="64">
        <v>0.3</v>
      </c>
      <c r="T37" s="64">
        <v>0.3</v>
      </c>
      <c r="U37" s="64">
        <v>0.3</v>
      </c>
      <c r="V37" s="64">
        <v>0.3</v>
      </c>
      <c r="W37" s="64">
        <v>0.3</v>
      </c>
      <c r="X37" s="64">
        <v>0.3</v>
      </c>
      <c r="Y37" s="64">
        <v>0.3</v>
      </c>
      <c r="Z37" s="64">
        <v>0.3</v>
      </c>
      <c r="AA37" s="64">
        <v>0.3</v>
      </c>
      <c r="AB37" s="64">
        <v>0.3</v>
      </c>
      <c r="AC37" s="65">
        <v>0.3</v>
      </c>
      <c r="AD37" s="8"/>
    </row>
    <row r="38" spans="2:30">
      <c r="B38" s="69" t="s">
        <v>267</v>
      </c>
      <c r="C38" s="70" t="s">
        <v>3</v>
      </c>
      <c r="D38" s="64">
        <v>0.6</v>
      </c>
      <c r="E38" s="64">
        <v>0.6</v>
      </c>
      <c r="F38" s="64">
        <v>0.6</v>
      </c>
      <c r="G38" s="64">
        <v>0.6</v>
      </c>
      <c r="H38" s="64">
        <v>0.6</v>
      </c>
      <c r="I38" s="64">
        <v>0.6</v>
      </c>
      <c r="J38" s="64">
        <v>0.46</v>
      </c>
      <c r="K38" s="64">
        <v>0.46</v>
      </c>
      <c r="L38" s="64">
        <v>0.46</v>
      </c>
      <c r="M38" s="64">
        <v>0.33229999999999998</v>
      </c>
      <c r="N38" s="64">
        <v>0.24779999999999999</v>
      </c>
      <c r="O38" s="64">
        <v>0.22700000000000001</v>
      </c>
      <c r="P38" s="64">
        <v>0.46</v>
      </c>
      <c r="Q38" s="64">
        <v>0.46</v>
      </c>
      <c r="R38" s="64">
        <v>0.46</v>
      </c>
      <c r="S38" s="64">
        <v>0.46</v>
      </c>
      <c r="T38" s="64">
        <v>0.46</v>
      </c>
      <c r="U38" s="64">
        <v>0.46</v>
      </c>
      <c r="V38" s="64">
        <v>0.46</v>
      </c>
      <c r="W38" s="64">
        <v>0.46</v>
      </c>
      <c r="X38" s="64">
        <v>0.46</v>
      </c>
      <c r="Y38" s="64">
        <v>0.46</v>
      </c>
      <c r="Z38" s="64">
        <v>0.46</v>
      </c>
      <c r="AA38" s="64">
        <v>0.46</v>
      </c>
      <c r="AB38" s="64">
        <v>0.46</v>
      </c>
      <c r="AC38" s="65">
        <v>0.46</v>
      </c>
      <c r="AD38" s="8"/>
    </row>
    <row r="39" spans="2:30">
      <c r="B39" s="69" t="s">
        <v>268</v>
      </c>
      <c r="C39" s="70" t="s">
        <v>4</v>
      </c>
      <c r="D39" s="64">
        <v>7.4200000000000002E-2</v>
      </c>
      <c r="E39" s="64">
        <v>6.2600000000000003E-2</v>
      </c>
      <c r="F39" s="64">
        <v>6.5100000000000005E-2</v>
      </c>
      <c r="G39" s="64">
        <v>7.4399999999999994E-2</v>
      </c>
      <c r="H39" s="64">
        <v>7.3099999999999998E-2</v>
      </c>
      <c r="I39" s="64">
        <v>7.0400000000000004E-2</v>
      </c>
      <c r="J39" s="64">
        <v>5.91E-2</v>
      </c>
      <c r="K39" s="64">
        <v>4.3099999999999999E-2</v>
      </c>
      <c r="L39" s="64">
        <v>8.5599999999999996E-2</v>
      </c>
      <c r="M39" s="64">
        <v>1.0800000000000001E-2</v>
      </c>
      <c r="N39" s="64">
        <v>3.6700000000000003E-2</v>
      </c>
      <c r="O39" s="64">
        <v>1.7500000000000002E-2</v>
      </c>
      <c r="P39" s="64">
        <v>0.09</v>
      </c>
      <c r="Q39" s="64">
        <v>0.1</v>
      </c>
      <c r="R39" s="64">
        <v>0.1</v>
      </c>
      <c r="S39" s="64">
        <v>0.1</v>
      </c>
      <c r="T39" s="64">
        <v>0.1</v>
      </c>
      <c r="U39" s="64">
        <v>0.1</v>
      </c>
      <c r="V39" s="64">
        <v>0.1</v>
      </c>
      <c r="W39" s="64">
        <v>0.1</v>
      </c>
      <c r="X39" s="64">
        <v>0.1</v>
      </c>
      <c r="Y39" s="64">
        <v>0.1</v>
      </c>
      <c r="Z39" s="64">
        <v>0.1</v>
      </c>
      <c r="AA39" s="64">
        <v>0.1</v>
      </c>
      <c r="AB39" s="64">
        <v>0.1</v>
      </c>
      <c r="AC39" s="65">
        <v>0.1</v>
      </c>
      <c r="AD39" s="8"/>
    </row>
    <row r="40" spans="2:30">
      <c r="B40" s="69" t="s">
        <v>269</v>
      </c>
      <c r="C40" s="70" t="s">
        <v>4</v>
      </c>
      <c r="D40" s="64">
        <v>9.1999999999999998E-3</v>
      </c>
      <c r="E40" s="64">
        <v>7.7000000000000002E-3</v>
      </c>
      <c r="F40" s="64">
        <v>8.0000000000000002E-3</v>
      </c>
      <c r="G40" s="64">
        <v>9.1999999999999998E-3</v>
      </c>
      <c r="H40" s="64">
        <v>8.9999999999999993E-3</v>
      </c>
      <c r="I40" s="64">
        <v>8.6999999999999994E-3</v>
      </c>
      <c r="J40" s="64">
        <v>7.3000000000000001E-3</v>
      </c>
      <c r="K40" s="64">
        <v>5.3E-3</v>
      </c>
      <c r="L40" s="64">
        <v>2.64E-2</v>
      </c>
      <c r="M40" s="64">
        <v>1.5100000000000001E-2</v>
      </c>
      <c r="N40" s="64">
        <v>5.1000000000000004E-3</v>
      </c>
      <c r="O40" s="64">
        <v>3.3999999999999998E-3</v>
      </c>
      <c r="P40" s="64">
        <v>0.03</v>
      </c>
      <c r="Q40" s="64">
        <v>0.1</v>
      </c>
      <c r="R40" s="64">
        <v>0.1</v>
      </c>
      <c r="S40" s="64">
        <v>0.1</v>
      </c>
      <c r="T40" s="64">
        <v>0.1</v>
      </c>
      <c r="U40" s="64">
        <v>0.1</v>
      </c>
      <c r="V40" s="64">
        <v>0.1</v>
      </c>
      <c r="W40" s="64">
        <v>0.1</v>
      </c>
      <c r="X40" s="64">
        <v>0.1</v>
      </c>
      <c r="Y40" s="64">
        <v>0.1</v>
      </c>
      <c r="Z40" s="64">
        <v>0.1</v>
      </c>
      <c r="AA40" s="64">
        <v>0.1</v>
      </c>
      <c r="AB40" s="64">
        <v>0.1</v>
      </c>
      <c r="AC40" s="65">
        <v>0.1</v>
      </c>
      <c r="AD40" s="8"/>
    </row>
    <row r="41" spans="2:30">
      <c r="B41" s="69" t="s">
        <v>270</v>
      </c>
      <c r="C41" s="70" t="s">
        <v>271</v>
      </c>
      <c r="D41" s="64">
        <v>0.58620000000000005</v>
      </c>
      <c r="E41" s="64">
        <v>0.49409999999999998</v>
      </c>
      <c r="F41" s="64">
        <v>0.51400000000000001</v>
      </c>
      <c r="G41" s="64">
        <v>0.58740000000000003</v>
      </c>
      <c r="H41" s="64">
        <v>0.57750000000000001</v>
      </c>
      <c r="I41" s="64">
        <v>0.55610000000000004</v>
      </c>
      <c r="J41" s="64">
        <v>0.46629999999999999</v>
      </c>
      <c r="K41" s="64">
        <v>0.3402</v>
      </c>
      <c r="L41" s="64">
        <v>0.39250000000000002</v>
      </c>
      <c r="M41" s="64">
        <v>0.35770000000000002</v>
      </c>
      <c r="N41" s="64">
        <v>0.29880000000000001</v>
      </c>
      <c r="O41" s="64">
        <v>0.2525</v>
      </c>
      <c r="P41" s="64">
        <v>0.39</v>
      </c>
      <c r="Q41" s="64">
        <v>0.39</v>
      </c>
      <c r="R41" s="64">
        <v>0.39</v>
      </c>
      <c r="S41" s="64">
        <v>0.39</v>
      </c>
      <c r="T41" s="64">
        <v>0.39</v>
      </c>
      <c r="U41" s="64">
        <v>0.39</v>
      </c>
      <c r="V41" s="64">
        <v>0.39</v>
      </c>
      <c r="W41" s="64">
        <v>0.39</v>
      </c>
      <c r="X41" s="64">
        <v>0.39</v>
      </c>
      <c r="Y41" s="64">
        <v>0.39</v>
      </c>
      <c r="Z41" s="64">
        <v>0.39</v>
      </c>
      <c r="AA41" s="64">
        <v>0.39</v>
      </c>
      <c r="AB41" s="64">
        <v>0.39</v>
      </c>
      <c r="AC41" s="65">
        <v>0.39</v>
      </c>
      <c r="AD41" s="8"/>
    </row>
    <row r="42" spans="2:30">
      <c r="B42" s="69" t="s">
        <v>305</v>
      </c>
      <c r="C42" s="70" t="s">
        <v>253</v>
      </c>
      <c r="D42" s="64">
        <v>0.30530000000000002</v>
      </c>
      <c r="E42" s="64">
        <v>0.25729999999999997</v>
      </c>
      <c r="F42" s="64">
        <v>0.26769999999999999</v>
      </c>
      <c r="G42" s="64">
        <v>0.30590000000000001</v>
      </c>
      <c r="H42" s="64">
        <v>0.30080000000000001</v>
      </c>
      <c r="I42" s="64">
        <v>0.28960000000000002</v>
      </c>
      <c r="J42" s="64">
        <v>0.2429</v>
      </c>
      <c r="K42" s="64">
        <v>0.1772</v>
      </c>
      <c r="L42" s="64">
        <v>0.27260000000000001</v>
      </c>
      <c r="M42" s="64">
        <v>0.1845</v>
      </c>
      <c r="N42" s="64">
        <v>0.15049999999999999</v>
      </c>
      <c r="O42" s="64">
        <v>0.15049999999999999</v>
      </c>
      <c r="P42" s="64">
        <v>0.15049999999999999</v>
      </c>
      <c r="Q42" s="64">
        <v>0.15049999999999999</v>
      </c>
      <c r="R42" s="64">
        <v>0.15049999999999999</v>
      </c>
      <c r="S42" s="64">
        <v>0.15049999999999999</v>
      </c>
      <c r="T42" s="64">
        <v>0.15049999999999999</v>
      </c>
      <c r="U42" s="64">
        <v>0.15049999999999999</v>
      </c>
      <c r="V42" s="64">
        <v>0.15049999999999999</v>
      </c>
      <c r="W42" s="64">
        <v>0.15049999999999999</v>
      </c>
      <c r="X42" s="64">
        <v>0.15049999999999999</v>
      </c>
      <c r="Y42" s="64">
        <v>0.15049999999999999</v>
      </c>
      <c r="Z42" s="64">
        <v>0.15049999999999999</v>
      </c>
      <c r="AA42" s="64">
        <v>0.15049999999999999</v>
      </c>
      <c r="AB42" s="64">
        <v>0.15049999999999999</v>
      </c>
      <c r="AC42" s="65">
        <v>0.15049999999999999</v>
      </c>
      <c r="AD42" s="8"/>
    </row>
    <row r="43" spans="2:30">
      <c r="B43" s="69" t="s">
        <v>272</v>
      </c>
      <c r="C43" s="70" t="s">
        <v>273</v>
      </c>
      <c r="D43" s="64">
        <v>0.57999999999999996</v>
      </c>
      <c r="E43" s="64">
        <v>0.57999999999999996</v>
      </c>
      <c r="F43" s="64">
        <v>0.57999999999999996</v>
      </c>
      <c r="G43" s="64">
        <v>0.57999999999999996</v>
      </c>
      <c r="H43" s="64">
        <v>0.57999999999999996</v>
      </c>
      <c r="I43" s="64">
        <v>0.57999999999999996</v>
      </c>
      <c r="J43" s="64">
        <v>0.57999999999999996</v>
      </c>
      <c r="K43" s="64">
        <v>0.57999999999999996</v>
      </c>
      <c r="L43" s="64">
        <v>0.57999999999999996</v>
      </c>
      <c r="M43" s="64">
        <v>0.57999999999999996</v>
      </c>
      <c r="N43" s="64">
        <v>0.57999999999999996</v>
      </c>
      <c r="O43" s="64">
        <v>0.57999999999999996</v>
      </c>
      <c r="P43" s="64">
        <v>0.57999999999999996</v>
      </c>
      <c r="Q43" s="64">
        <v>0.57999999999999996</v>
      </c>
      <c r="R43" s="64">
        <v>0.57999999999999996</v>
      </c>
      <c r="S43" s="64">
        <v>0.57999999999999996</v>
      </c>
      <c r="T43" s="64">
        <v>0.57999999999999996</v>
      </c>
      <c r="U43" s="64">
        <v>0.57999999999999996</v>
      </c>
      <c r="V43" s="64">
        <v>0.57999999999999996</v>
      </c>
      <c r="W43" s="64">
        <v>0.57999999999999996</v>
      </c>
      <c r="X43" s="64">
        <v>0.57999999999999996</v>
      </c>
      <c r="Y43" s="64">
        <v>0.57999999999999996</v>
      </c>
      <c r="Z43" s="64">
        <v>0.57999999999999996</v>
      </c>
      <c r="AA43" s="64">
        <v>0.57999999999999996</v>
      </c>
      <c r="AB43" s="64">
        <v>0.57999999999999996</v>
      </c>
      <c r="AC43" s="65">
        <v>0.57999999999999996</v>
      </c>
      <c r="AD43" s="8"/>
    </row>
    <row r="44" spans="2:30">
      <c r="B44" s="69" t="s">
        <v>274</v>
      </c>
      <c r="C44" s="70" t="s">
        <v>4</v>
      </c>
      <c r="D44" s="64">
        <v>0.4294</v>
      </c>
      <c r="E44" s="64">
        <v>0.36199999999999999</v>
      </c>
      <c r="F44" s="64">
        <v>0.37659999999999999</v>
      </c>
      <c r="G44" s="64">
        <v>0.43030000000000002</v>
      </c>
      <c r="H44" s="64">
        <v>0.42309999999999998</v>
      </c>
      <c r="I44" s="64">
        <v>0.40739999999999998</v>
      </c>
      <c r="J44" s="64">
        <v>0.34160000000000001</v>
      </c>
      <c r="K44" s="64">
        <v>0.24929999999999999</v>
      </c>
      <c r="L44" s="64">
        <v>0.20250000000000001</v>
      </c>
      <c r="M44" s="64">
        <v>0.23860000000000001</v>
      </c>
      <c r="N44" s="64">
        <v>0.20830000000000001</v>
      </c>
      <c r="O44" s="64">
        <v>0.23</v>
      </c>
      <c r="P44" s="64">
        <v>0.23</v>
      </c>
      <c r="Q44" s="64">
        <v>0.23</v>
      </c>
      <c r="R44" s="64">
        <v>0.23</v>
      </c>
      <c r="S44" s="64">
        <v>0.23</v>
      </c>
      <c r="T44" s="64">
        <v>0.23</v>
      </c>
      <c r="U44" s="64">
        <v>0.23</v>
      </c>
      <c r="V44" s="64">
        <v>0.23</v>
      </c>
      <c r="W44" s="64">
        <v>0.23</v>
      </c>
      <c r="X44" s="64">
        <v>0.23</v>
      </c>
      <c r="Y44" s="64">
        <v>0.23</v>
      </c>
      <c r="Z44" s="64">
        <v>0.23</v>
      </c>
      <c r="AA44" s="64">
        <v>0.23</v>
      </c>
      <c r="AB44" s="64">
        <v>0.23</v>
      </c>
      <c r="AC44" s="65">
        <v>0.23</v>
      </c>
      <c r="AD44" s="8"/>
    </row>
    <row r="45" spans="2:30">
      <c r="B45" s="69" t="s">
        <v>275</v>
      </c>
      <c r="C45" s="70" t="s">
        <v>4</v>
      </c>
      <c r="D45" s="64">
        <v>2.2166999999999999</v>
      </c>
      <c r="E45" s="64">
        <v>1.8685</v>
      </c>
      <c r="F45" s="64">
        <v>1.9439</v>
      </c>
      <c r="G45" s="64">
        <v>2.2214</v>
      </c>
      <c r="H45" s="64">
        <v>2.1840999999999999</v>
      </c>
      <c r="I45" s="64">
        <v>2.1031</v>
      </c>
      <c r="J45" s="64">
        <v>1.7635000000000001</v>
      </c>
      <c r="K45" s="64">
        <v>1.2867</v>
      </c>
      <c r="L45" s="64">
        <v>0.44030000000000002</v>
      </c>
      <c r="M45" s="64">
        <v>0.40460000000000002</v>
      </c>
      <c r="N45" s="64">
        <v>0.4269</v>
      </c>
      <c r="O45" s="64">
        <v>0.1363</v>
      </c>
      <c r="P45" s="64">
        <v>0.44030000000000002</v>
      </c>
      <c r="Q45" s="64">
        <v>0.44030000000000002</v>
      </c>
      <c r="R45" s="64">
        <v>0.44030000000000002</v>
      </c>
      <c r="S45" s="64">
        <v>0.44030000000000002</v>
      </c>
      <c r="T45" s="64">
        <v>0.44030000000000002</v>
      </c>
      <c r="U45" s="64">
        <v>0.44030000000000002</v>
      </c>
      <c r="V45" s="64">
        <v>0.44030000000000002</v>
      </c>
      <c r="W45" s="64">
        <v>0.44030000000000002</v>
      </c>
      <c r="X45" s="64">
        <v>0.44030000000000002</v>
      </c>
      <c r="Y45" s="64">
        <v>0.44030000000000002</v>
      </c>
      <c r="Z45" s="64">
        <v>0.44030000000000002</v>
      </c>
      <c r="AA45" s="64">
        <v>0.44030000000000002</v>
      </c>
      <c r="AB45" s="64">
        <v>0.44030000000000002</v>
      </c>
      <c r="AC45" s="65">
        <v>0.44030000000000002</v>
      </c>
      <c r="AD45" s="8"/>
    </row>
    <row r="46" spans="2:30">
      <c r="B46" s="69" t="s">
        <v>276</v>
      </c>
      <c r="C46" s="70" t="s">
        <v>4</v>
      </c>
      <c r="D46" s="64">
        <v>8.0000000000000004E-4</v>
      </c>
      <c r="E46" s="64">
        <v>8.0000000000000004E-4</v>
      </c>
      <c r="F46" s="64">
        <v>8.0000000000000004E-4</v>
      </c>
      <c r="G46" s="64">
        <v>8.0000000000000004E-4</v>
      </c>
      <c r="H46" s="64">
        <v>8.0000000000000004E-4</v>
      </c>
      <c r="I46" s="64">
        <v>8.0000000000000004E-4</v>
      </c>
      <c r="J46" s="64">
        <v>8.0000000000000004E-4</v>
      </c>
      <c r="K46" s="64">
        <v>8.0000000000000004E-4</v>
      </c>
      <c r="L46" s="64">
        <v>8.0000000000000004E-4</v>
      </c>
      <c r="M46" s="64">
        <v>8.0000000000000004E-4</v>
      </c>
      <c r="N46" s="64">
        <v>8.0000000000000004E-4</v>
      </c>
      <c r="O46" s="64">
        <v>8.0000000000000004E-4</v>
      </c>
      <c r="P46" s="64">
        <v>8.0000000000000004E-4</v>
      </c>
      <c r="Q46" s="64">
        <v>8.0000000000000004E-4</v>
      </c>
      <c r="R46" s="64">
        <v>8.0000000000000004E-4</v>
      </c>
      <c r="S46" s="64">
        <v>8.0000000000000004E-4</v>
      </c>
      <c r="T46" s="64">
        <v>8.0000000000000004E-4</v>
      </c>
      <c r="U46" s="64">
        <v>8.0000000000000004E-4</v>
      </c>
      <c r="V46" s="64">
        <v>8.0000000000000004E-4</v>
      </c>
      <c r="W46" s="64">
        <v>8.0000000000000004E-4</v>
      </c>
      <c r="X46" s="64">
        <v>8.0000000000000004E-4</v>
      </c>
      <c r="Y46" s="64">
        <v>8.0000000000000004E-4</v>
      </c>
      <c r="Z46" s="64">
        <v>8.0000000000000004E-4</v>
      </c>
      <c r="AA46" s="64">
        <v>8.0000000000000004E-4</v>
      </c>
      <c r="AB46" s="64">
        <v>8.0000000000000004E-4</v>
      </c>
      <c r="AC46" s="65">
        <v>8.0000000000000004E-4</v>
      </c>
      <c r="AD46" s="8"/>
    </row>
    <row r="47" spans="2:30">
      <c r="B47" s="69" t="s">
        <v>277</v>
      </c>
      <c r="C47" s="70" t="s">
        <v>4</v>
      </c>
      <c r="D47" s="64">
        <v>4.0000000000000001E-3</v>
      </c>
      <c r="E47" s="64">
        <v>4.0000000000000001E-3</v>
      </c>
      <c r="F47" s="64">
        <v>4.0000000000000001E-3</v>
      </c>
      <c r="G47" s="64">
        <v>4.0000000000000001E-3</v>
      </c>
      <c r="H47" s="64">
        <v>4.0000000000000001E-3</v>
      </c>
      <c r="I47" s="64">
        <v>4.0000000000000001E-3</v>
      </c>
      <c r="J47" s="64">
        <v>4.0000000000000001E-3</v>
      </c>
      <c r="K47" s="64">
        <v>4.0000000000000001E-3</v>
      </c>
      <c r="L47" s="64">
        <v>4.0000000000000001E-3</v>
      </c>
      <c r="M47" s="64">
        <v>4.0000000000000001E-3</v>
      </c>
      <c r="N47" s="64">
        <v>4.0000000000000001E-3</v>
      </c>
      <c r="O47" s="64">
        <v>4.0000000000000002E-4</v>
      </c>
      <c r="P47" s="64">
        <v>4.0000000000000002E-4</v>
      </c>
      <c r="Q47" s="64">
        <v>4.0000000000000002E-4</v>
      </c>
      <c r="R47" s="64">
        <v>4.0000000000000002E-4</v>
      </c>
      <c r="S47" s="64">
        <v>4.0000000000000002E-4</v>
      </c>
      <c r="T47" s="64">
        <v>4.0000000000000002E-4</v>
      </c>
      <c r="U47" s="64">
        <v>4.0000000000000002E-4</v>
      </c>
      <c r="V47" s="64">
        <v>4.0000000000000002E-4</v>
      </c>
      <c r="W47" s="64">
        <v>4.0000000000000002E-4</v>
      </c>
      <c r="X47" s="64">
        <v>4.0000000000000002E-4</v>
      </c>
      <c r="Y47" s="64">
        <v>4.0000000000000002E-4</v>
      </c>
      <c r="Z47" s="64">
        <v>4.0000000000000002E-4</v>
      </c>
      <c r="AA47" s="64">
        <v>4.0000000000000002E-4</v>
      </c>
      <c r="AB47" s="64">
        <v>4.0000000000000002E-4</v>
      </c>
      <c r="AC47" s="65">
        <v>4.0000000000000002E-4</v>
      </c>
      <c r="AD47" s="8"/>
    </row>
    <row r="48" spans="2:30">
      <c r="B48" s="69" t="s">
        <v>278</v>
      </c>
      <c r="C48" s="70" t="s">
        <v>253</v>
      </c>
      <c r="D48" s="64">
        <v>0.94199999999999995</v>
      </c>
      <c r="E48" s="64">
        <v>0.79400000000000004</v>
      </c>
      <c r="F48" s="64">
        <v>0.82599999999999996</v>
      </c>
      <c r="G48" s="64">
        <v>0.94389999999999996</v>
      </c>
      <c r="H48" s="64">
        <v>0.92810000000000004</v>
      </c>
      <c r="I48" s="64">
        <v>0.89370000000000005</v>
      </c>
      <c r="J48" s="64">
        <v>0.74939999999999996</v>
      </c>
      <c r="K48" s="64">
        <v>0.54669999999999996</v>
      </c>
      <c r="L48" s="64">
        <v>0.54430000000000001</v>
      </c>
      <c r="M48" s="64">
        <v>0.5363</v>
      </c>
      <c r="N48" s="64">
        <v>0.51929999999999998</v>
      </c>
      <c r="O48" s="64">
        <v>0.48199999999999998</v>
      </c>
      <c r="P48" s="64">
        <v>0.54</v>
      </c>
      <c r="Q48" s="64">
        <v>0.54</v>
      </c>
      <c r="R48" s="64">
        <v>0.54</v>
      </c>
      <c r="S48" s="64">
        <v>0.54</v>
      </c>
      <c r="T48" s="64">
        <v>0.54</v>
      </c>
      <c r="U48" s="64">
        <v>0.54</v>
      </c>
      <c r="V48" s="64">
        <v>0.54</v>
      </c>
      <c r="W48" s="64">
        <v>0.54</v>
      </c>
      <c r="X48" s="64">
        <v>0.54</v>
      </c>
      <c r="Y48" s="64">
        <v>0.54</v>
      </c>
      <c r="Z48" s="64">
        <v>0.54</v>
      </c>
      <c r="AA48" s="64">
        <v>0.54</v>
      </c>
      <c r="AB48" s="64">
        <v>0.54</v>
      </c>
      <c r="AC48" s="65">
        <v>0.54</v>
      </c>
      <c r="AD48" s="8"/>
    </row>
    <row r="49" spans="2:30">
      <c r="B49" s="69" t="s">
        <v>279</v>
      </c>
      <c r="C49" s="70" t="s">
        <v>253</v>
      </c>
      <c r="D49" s="64">
        <v>0.65480000000000005</v>
      </c>
      <c r="E49" s="64">
        <v>0.55189999999999995</v>
      </c>
      <c r="F49" s="64">
        <v>0.57420000000000004</v>
      </c>
      <c r="G49" s="64">
        <v>0.65610000000000002</v>
      </c>
      <c r="H49" s="64">
        <v>0.64510000000000001</v>
      </c>
      <c r="I49" s="64">
        <v>0.62119999999999997</v>
      </c>
      <c r="J49" s="64">
        <v>0.52090000000000003</v>
      </c>
      <c r="K49" s="64">
        <v>0.38</v>
      </c>
      <c r="L49" s="64">
        <v>0.30830000000000002</v>
      </c>
      <c r="M49" s="64">
        <v>0.18010000000000001</v>
      </c>
      <c r="N49" s="64">
        <v>0.16</v>
      </c>
      <c r="O49" s="64">
        <v>4.6600000000000003E-2</v>
      </c>
      <c r="P49" s="64">
        <v>0.31</v>
      </c>
      <c r="Q49" s="64">
        <v>0.31</v>
      </c>
      <c r="R49" s="64">
        <v>0.31</v>
      </c>
      <c r="S49" s="64">
        <v>0.31</v>
      </c>
      <c r="T49" s="64">
        <v>0.31</v>
      </c>
      <c r="U49" s="64">
        <v>0.31</v>
      </c>
      <c r="V49" s="64">
        <v>0.31</v>
      </c>
      <c r="W49" s="64">
        <v>0.31</v>
      </c>
      <c r="X49" s="64">
        <v>0.31</v>
      </c>
      <c r="Y49" s="64">
        <v>0.31</v>
      </c>
      <c r="Z49" s="64">
        <v>0.31</v>
      </c>
      <c r="AA49" s="64">
        <v>0.31</v>
      </c>
      <c r="AB49" s="64">
        <v>0.31</v>
      </c>
      <c r="AC49" s="65">
        <v>0.31</v>
      </c>
      <c r="AD49" s="8"/>
    </row>
    <row r="50" spans="2:30">
      <c r="B50" s="69" t="s">
        <v>280</v>
      </c>
      <c r="C50" s="70" t="s">
        <v>4</v>
      </c>
      <c r="D50" s="64">
        <v>0.64510000000000001</v>
      </c>
      <c r="E50" s="64">
        <v>0.54369999999999996</v>
      </c>
      <c r="F50" s="64">
        <v>0.56569999999999998</v>
      </c>
      <c r="G50" s="64">
        <v>0.64639999999999997</v>
      </c>
      <c r="H50" s="64">
        <v>0.63560000000000005</v>
      </c>
      <c r="I50" s="64">
        <v>0.61199999999999999</v>
      </c>
      <c r="J50" s="64">
        <v>0.51319999999999999</v>
      </c>
      <c r="K50" s="64">
        <v>0.37440000000000001</v>
      </c>
      <c r="L50" s="64">
        <v>0.37390000000000001</v>
      </c>
      <c r="M50" s="64">
        <v>0.36699999999999999</v>
      </c>
      <c r="N50" s="64">
        <v>0.32700000000000001</v>
      </c>
      <c r="O50" s="64">
        <v>0.33350000000000002</v>
      </c>
      <c r="P50" s="64">
        <v>0.37</v>
      </c>
      <c r="Q50" s="64">
        <v>0.37</v>
      </c>
      <c r="R50" s="64">
        <v>0.37</v>
      </c>
      <c r="S50" s="64">
        <v>0.37</v>
      </c>
      <c r="T50" s="64">
        <v>0.37</v>
      </c>
      <c r="U50" s="64">
        <v>0.37</v>
      </c>
      <c r="V50" s="64">
        <v>0.37</v>
      </c>
      <c r="W50" s="64">
        <v>0.37</v>
      </c>
      <c r="X50" s="64">
        <v>0.37</v>
      </c>
      <c r="Y50" s="64">
        <v>0.37</v>
      </c>
      <c r="Z50" s="64">
        <v>0.37</v>
      </c>
      <c r="AA50" s="64">
        <v>0.37</v>
      </c>
      <c r="AB50" s="64">
        <v>0.37</v>
      </c>
      <c r="AC50" s="65">
        <v>0.37</v>
      </c>
      <c r="AD50" s="8"/>
    </row>
    <row r="51" spans="2:30">
      <c r="B51" s="69" t="s">
        <v>281</v>
      </c>
      <c r="C51" s="70" t="s">
        <v>4</v>
      </c>
      <c r="D51" s="64">
        <v>0.56189999999999996</v>
      </c>
      <c r="E51" s="64">
        <v>0.47360000000000002</v>
      </c>
      <c r="F51" s="64">
        <v>0.49270000000000003</v>
      </c>
      <c r="G51" s="64">
        <v>0.56310000000000004</v>
      </c>
      <c r="H51" s="64">
        <v>0.55359999999999998</v>
      </c>
      <c r="I51" s="64">
        <v>0.53310000000000002</v>
      </c>
      <c r="J51" s="64">
        <v>0.44700000000000001</v>
      </c>
      <c r="K51" s="64">
        <v>0.3261</v>
      </c>
      <c r="L51" s="64">
        <v>0.21249999999999999</v>
      </c>
      <c r="M51" s="64">
        <v>0.2606</v>
      </c>
      <c r="N51" s="64">
        <v>0.24740000000000001</v>
      </c>
      <c r="O51" s="64">
        <v>0.2621</v>
      </c>
      <c r="P51" s="64">
        <v>0.2621</v>
      </c>
      <c r="Q51" s="64">
        <v>0.2621</v>
      </c>
      <c r="R51" s="64">
        <v>0.2621</v>
      </c>
      <c r="S51" s="64">
        <v>0.2621</v>
      </c>
      <c r="T51" s="64">
        <v>0.2621</v>
      </c>
      <c r="U51" s="64">
        <v>0.2621</v>
      </c>
      <c r="V51" s="64">
        <v>0.2621</v>
      </c>
      <c r="W51" s="64">
        <v>0.2621</v>
      </c>
      <c r="X51" s="64">
        <v>0.2621</v>
      </c>
      <c r="Y51" s="64">
        <v>0.2621</v>
      </c>
      <c r="Z51" s="64">
        <v>0.2621</v>
      </c>
      <c r="AA51" s="64">
        <v>0.2621</v>
      </c>
      <c r="AB51" s="64">
        <v>0.2621</v>
      </c>
      <c r="AC51" s="65">
        <v>0.2621</v>
      </c>
      <c r="AD51" s="8"/>
    </row>
    <row r="52" spans="2:30">
      <c r="B52" s="69" t="s">
        <v>282</v>
      </c>
      <c r="C52" s="70" t="s">
        <v>271</v>
      </c>
      <c r="D52" s="64">
        <v>0.20699999999999999</v>
      </c>
      <c r="E52" s="64">
        <v>0.17449999999999999</v>
      </c>
      <c r="F52" s="64">
        <v>0.18149999999999999</v>
      </c>
      <c r="G52" s="64">
        <v>0.2074</v>
      </c>
      <c r="H52" s="64">
        <v>0.2039</v>
      </c>
      <c r="I52" s="64">
        <v>0.19639999999999999</v>
      </c>
      <c r="J52" s="64">
        <v>0.16470000000000001</v>
      </c>
      <c r="K52" s="64">
        <v>0.1201</v>
      </c>
      <c r="L52" s="64">
        <v>0.29389999999999999</v>
      </c>
      <c r="M52" s="64">
        <v>0.27100000000000002</v>
      </c>
      <c r="N52" s="64">
        <v>5.0700000000000002E-2</v>
      </c>
      <c r="O52" s="64">
        <v>0.28039999999999998</v>
      </c>
      <c r="P52" s="64">
        <v>0.28999999999999998</v>
      </c>
      <c r="Q52" s="64">
        <v>0.28999999999999998</v>
      </c>
      <c r="R52" s="64">
        <v>0.28999999999999998</v>
      </c>
      <c r="S52" s="64">
        <v>0.28999999999999998</v>
      </c>
      <c r="T52" s="64">
        <v>0.28999999999999998</v>
      </c>
      <c r="U52" s="64">
        <v>0.28999999999999998</v>
      </c>
      <c r="V52" s="64">
        <v>0.28999999999999998</v>
      </c>
      <c r="W52" s="64">
        <v>0.28999999999999998</v>
      </c>
      <c r="X52" s="64">
        <v>0.28999999999999998</v>
      </c>
      <c r="Y52" s="64">
        <v>0.28999999999999998</v>
      </c>
      <c r="Z52" s="64">
        <v>0.28999999999999998</v>
      </c>
      <c r="AA52" s="64">
        <v>0.28999999999999998</v>
      </c>
      <c r="AB52" s="64">
        <v>0.28999999999999998</v>
      </c>
      <c r="AC52" s="65">
        <v>0.28999999999999998</v>
      </c>
      <c r="AD52" s="8"/>
    </row>
    <row r="53" spans="2:30">
      <c r="B53" s="69" t="s">
        <v>283</v>
      </c>
      <c r="C53" s="70" t="s">
        <v>271</v>
      </c>
      <c r="D53" s="64">
        <v>0.70309999999999995</v>
      </c>
      <c r="E53" s="64">
        <v>0.59260000000000002</v>
      </c>
      <c r="F53" s="64">
        <v>0.61650000000000005</v>
      </c>
      <c r="G53" s="64">
        <v>0.70450000000000002</v>
      </c>
      <c r="H53" s="64">
        <v>0.69269999999999998</v>
      </c>
      <c r="I53" s="64">
        <v>0.66700000000000004</v>
      </c>
      <c r="J53" s="64">
        <v>0.55930000000000002</v>
      </c>
      <c r="K53" s="64">
        <v>0.40810000000000002</v>
      </c>
      <c r="L53" s="64">
        <v>0.37669999999999998</v>
      </c>
      <c r="M53" s="64">
        <v>0.34789999999999999</v>
      </c>
      <c r="N53" s="64">
        <v>0.33389999999999997</v>
      </c>
      <c r="O53" s="64">
        <v>0.37369999999999998</v>
      </c>
      <c r="P53" s="64">
        <v>0.38</v>
      </c>
      <c r="Q53" s="64">
        <v>0.38</v>
      </c>
      <c r="R53" s="64">
        <v>0.38</v>
      </c>
      <c r="S53" s="64">
        <v>0.38</v>
      </c>
      <c r="T53" s="64">
        <v>0.38</v>
      </c>
      <c r="U53" s="64">
        <v>0.38</v>
      </c>
      <c r="V53" s="64">
        <v>0.38</v>
      </c>
      <c r="W53" s="64">
        <v>0.38</v>
      </c>
      <c r="X53" s="64">
        <v>0.38</v>
      </c>
      <c r="Y53" s="64">
        <v>0.38</v>
      </c>
      <c r="Z53" s="64">
        <v>0.38</v>
      </c>
      <c r="AA53" s="64">
        <v>0.38</v>
      </c>
      <c r="AB53" s="64">
        <v>0.38</v>
      </c>
      <c r="AC53" s="65">
        <v>0.38</v>
      </c>
      <c r="AD53" s="8"/>
    </row>
    <row r="54" spans="2:30">
      <c r="B54" s="69" t="s">
        <v>284</v>
      </c>
      <c r="C54" s="70" t="s">
        <v>271</v>
      </c>
      <c r="D54" s="64">
        <v>0.42549999999999999</v>
      </c>
      <c r="E54" s="64">
        <v>0.35859999999999997</v>
      </c>
      <c r="F54" s="64">
        <v>0.37309999999999999</v>
      </c>
      <c r="G54" s="64">
        <v>0.4264</v>
      </c>
      <c r="H54" s="64">
        <v>0.41920000000000002</v>
      </c>
      <c r="I54" s="64">
        <v>0.4037</v>
      </c>
      <c r="J54" s="64">
        <v>0.33850000000000002</v>
      </c>
      <c r="K54" s="64">
        <v>0.247</v>
      </c>
      <c r="L54" s="64">
        <v>0.38979999999999998</v>
      </c>
      <c r="M54" s="64">
        <v>0.35499999999999998</v>
      </c>
      <c r="N54" s="64">
        <v>0.33960000000000001</v>
      </c>
      <c r="O54" s="64">
        <v>0.30680000000000002</v>
      </c>
      <c r="P54" s="64">
        <v>0.39</v>
      </c>
      <c r="Q54" s="64">
        <v>0.39</v>
      </c>
      <c r="R54" s="64">
        <v>0.39</v>
      </c>
      <c r="S54" s="64">
        <v>0.39</v>
      </c>
      <c r="T54" s="64">
        <v>0.39</v>
      </c>
      <c r="U54" s="64">
        <v>0.39</v>
      </c>
      <c r="V54" s="64">
        <v>0.39</v>
      </c>
      <c r="W54" s="64">
        <v>0.39</v>
      </c>
      <c r="X54" s="64">
        <v>0.39</v>
      </c>
      <c r="Y54" s="64">
        <v>0.39</v>
      </c>
      <c r="Z54" s="64">
        <v>0.39</v>
      </c>
      <c r="AA54" s="64">
        <v>0.39</v>
      </c>
      <c r="AB54" s="64">
        <v>0.39</v>
      </c>
      <c r="AC54" s="65">
        <v>0.39</v>
      </c>
      <c r="AD54" s="8"/>
    </row>
    <row r="55" spans="2:30" ht="15" thickBot="1">
      <c r="B55" s="71" t="s">
        <v>285</v>
      </c>
      <c r="C55" s="72" t="s">
        <v>3</v>
      </c>
      <c r="D55" s="66">
        <v>1.1795</v>
      </c>
      <c r="E55" s="66">
        <v>0.99419999999999997</v>
      </c>
      <c r="F55" s="66">
        <v>1.0343</v>
      </c>
      <c r="G55" s="66">
        <v>1.1819</v>
      </c>
      <c r="H55" s="66">
        <v>1.1620999999999999</v>
      </c>
      <c r="I55" s="66">
        <v>1.119</v>
      </c>
      <c r="J55" s="66">
        <v>0.93830000000000002</v>
      </c>
      <c r="K55" s="66">
        <v>0.68459999999999999</v>
      </c>
      <c r="L55" s="66">
        <v>0.59689999999999999</v>
      </c>
      <c r="M55" s="66">
        <v>0.55130000000000001</v>
      </c>
      <c r="N55" s="66">
        <v>0.57899999999999996</v>
      </c>
      <c r="O55" s="66">
        <v>0.59189999999999998</v>
      </c>
      <c r="P55" s="66">
        <v>0.6</v>
      </c>
      <c r="Q55" s="66">
        <v>0.6</v>
      </c>
      <c r="R55" s="66">
        <v>0.6</v>
      </c>
      <c r="S55" s="66">
        <v>0.6</v>
      </c>
      <c r="T55" s="66">
        <v>0.6</v>
      </c>
      <c r="U55" s="66">
        <v>0.6</v>
      </c>
      <c r="V55" s="66">
        <v>0.6</v>
      </c>
      <c r="W55" s="66">
        <v>0.6</v>
      </c>
      <c r="X55" s="66">
        <v>0.6</v>
      </c>
      <c r="Y55" s="66">
        <v>0.6</v>
      </c>
      <c r="Z55" s="66">
        <v>0.6</v>
      </c>
      <c r="AA55" s="66">
        <v>0.6</v>
      </c>
      <c r="AB55" s="66">
        <v>0.6</v>
      </c>
      <c r="AC55" s="67">
        <v>0.6</v>
      </c>
      <c r="AD55" s="8"/>
    </row>
  </sheetData>
  <sortState xmlns:xlrd2="http://schemas.microsoft.com/office/spreadsheetml/2017/richdata2" ref="B5:AC32">
    <sortCondition ref="B5:B32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4ACF8-0B9A-45C5-B94E-8C00FDCCFEAD}">
  <dimension ref="B2:AE58"/>
  <sheetViews>
    <sheetView zoomScaleNormal="100" workbookViewId="0">
      <selection activeCell="E58" sqref="E58"/>
    </sheetView>
  </sheetViews>
  <sheetFormatPr baseColWidth="10" defaultColWidth="8.88671875" defaultRowHeight="14.4"/>
  <cols>
    <col min="2" max="2" width="15" bestFit="1" customWidth="1"/>
    <col min="3" max="3" width="30.21875" bestFit="1" customWidth="1"/>
    <col min="4" max="4" width="16.5546875" bestFit="1" customWidth="1"/>
    <col min="5" max="5" width="36.77734375" bestFit="1" customWidth="1"/>
  </cols>
  <sheetData>
    <row r="2" spans="2:31" ht="15" thickBot="1"/>
    <row r="3" spans="2:31" ht="15" thickBot="1">
      <c r="B3" s="23" t="s">
        <v>78</v>
      </c>
      <c r="C3" s="24" t="s">
        <v>21</v>
      </c>
      <c r="D3" s="24" t="s">
        <v>22</v>
      </c>
      <c r="E3" s="24" t="s">
        <v>64</v>
      </c>
      <c r="F3" s="24">
        <v>2010</v>
      </c>
      <c r="G3" s="24">
        <v>2011</v>
      </c>
      <c r="H3" s="24">
        <v>2012</v>
      </c>
      <c r="I3" s="24">
        <v>2013</v>
      </c>
      <c r="J3" s="24">
        <v>2014</v>
      </c>
      <c r="K3" s="24">
        <v>2015</v>
      </c>
      <c r="L3" s="24">
        <v>2016</v>
      </c>
      <c r="M3" s="24">
        <v>2017</v>
      </c>
      <c r="N3" s="24">
        <v>2018</v>
      </c>
      <c r="O3" s="24">
        <v>2019</v>
      </c>
      <c r="P3" s="24">
        <v>2020</v>
      </c>
      <c r="Q3" s="24">
        <v>2021</v>
      </c>
      <c r="R3" s="24">
        <v>2022</v>
      </c>
      <c r="S3" s="24">
        <v>2023</v>
      </c>
      <c r="T3" s="24">
        <v>2024</v>
      </c>
      <c r="U3" s="24">
        <v>2025</v>
      </c>
      <c r="V3" s="24">
        <v>2026</v>
      </c>
      <c r="W3" s="24">
        <v>2027</v>
      </c>
      <c r="X3" s="24">
        <v>2028</v>
      </c>
      <c r="Y3" s="24">
        <v>2029</v>
      </c>
      <c r="Z3" s="24">
        <v>2030</v>
      </c>
      <c r="AA3" s="24">
        <v>2031</v>
      </c>
      <c r="AB3" s="24">
        <v>2032</v>
      </c>
      <c r="AC3" s="24">
        <v>2033</v>
      </c>
      <c r="AD3" s="24">
        <v>2034</v>
      </c>
      <c r="AE3" s="25">
        <v>2035</v>
      </c>
    </row>
    <row r="4" spans="2:31">
      <c r="B4" s="14" t="s">
        <v>79</v>
      </c>
      <c r="C4" s="15" t="s">
        <v>20</v>
      </c>
      <c r="D4" s="15" t="s">
        <v>4</v>
      </c>
      <c r="E4" s="15" t="s">
        <v>73</v>
      </c>
      <c r="F4" s="28">
        <v>7.4538999999999994E-2</v>
      </c>
      <c r="G4" s="28">
        <f>F4</f>
        <v>7.4538999999999994E-2</v>
      </c>
      <c r="H4" s="28">
        <f t="shared" ref="H4:AE4" si="0">G4</f>
        <v>7.4538999999999994E-2</v>
      </c>
      <c r="I4" s="28">
        <f t="shared" si="0"/>
        <v>7.4538999999999994E-2</v>
      </c>
      <c r="J4" s="28">
        <f t="shared" si="0"/>
        <v>7.4538999999999994E-2</v>
      </c>
      <c r="K4" s="28">
        <f t="shared" si="0"/>
        <v>7.4538999999999994E-2</v>
      </c>
      <c r="L4" s="28">
        <f t="shared" si="0"/>
        <v>7.4538999999999994E-2</v>
      </c>
      <c r="M4" s="28">
        <f t="shared" si="0"/>
        <v>7.4538999999999994E-2</v>
      </c>
      <c r="N4" s="28">
        <f t="shared" si="0"/>
        <v>7.4538999999999994E-2</v>
      </c>
      <c r="O4" s="28">
        <f t="shared" si="0"/>
        <v>7.4538999999999994E-2</v>
      </c>
      <c r="P4" s="28">
        <f t="shared" si="0"/>
        <v>7.4538999999999994E-2</v>
      </c>
      <c r="Q4" s="28">
        <f t="shared" si="0"/>
        <v>7.4538999999999994E-2</v>
      </c>
      <c r="R4" s="28">
        <f t="shared" si="0"/>
        <v>7.4538999999999994E-2</v>
      </c>
      <c r="S4" s="28">
        <f t="shared" si="0"/>
        <v>7.4538999999999994E-2</v>
      </c>
      <c r="T4" s="28">
        <f t="shared" si="0"/>
        <v>7.4538999999999994E-2</v>
      </c>
      <c r="U4" s="28">
        <f t="shared" si="0"/>
        <v>7.4538999999999994E-2</v>
      </c>
      <c r="V4" s="28">
        <f t="shared" si="0"/>
        <v>7.4538999999999994E-2</v>
      </c>
      <c r="W4" s="28">
        <f t="shared" si="0"/>
        <v>7.4538999999999994E-2</v>
      </c>
      <c r="X4" s="28">
        <f t="shared" si="0"/>
        <v>7.4538999999999994E-2</v>
      </c>
      <c r="Y4" s="28">
        <f t="shared" si="0"/>
        <v>7.4538999999999994E-2</v>
      </c>
      <c r="Z4" s="28">
        <f t="shared" si="0"/>
        <v>7.4538999999999994E-2</v>
      </c>
      <c r="AA4" s="28">
        <f t="shared" si="0"/>
        <v>7.4538999999999994E-2</v>
      </c>
      <c r="AB4" s="28">
        <f t="shared" si="0"/>
        <v>7.4538999999999994E-2</v>
      </c>
      <c r="AC4" s="28">
        <f t="shared" si="0"/>
        <v>7.4538999999999994E-2</v>
      </c>
      <c r="AD4" s="28">
        <f t="shared" si="0"/>
        <v>7.4538999999999994E-2</v>
      </c>
      <c r="AE4" s="29">
        <f t="shared" si="0"/>
        <v>7.4538999999999994E-2</v>
      </c>
    </row>
    <row r="5" spans="2:31">
      <c r="B5" s="16" t="s">
        <v>79</v>
      </c>
      <c r="C5" s="36" t="s">
        <v>20</v>
      </c>
      <c r="D5" s="36" t="s">
        <v>2</v>
      </c>
      <c r="E5" s="36" t="s">
        <v>73</v>
      </c>
      <c r="F5" s="68">
        <v>6.9738999999999995E-2</v>
      </c>
      <c r="G5" s="68">
        <f>F5</f>
        <v>6.9738999999999995E-2</v>
      </c>
      <c r="H5" s="68">
        <f t="shared" ref="H5:AE5" si="1">G5</f>
        <v>6.9738999999999995E-2</v>
      </c>
      <c r="I5" s="68">
        <f t="shared" si="1"/>
        <v>6.9738999999999995E-2</v>
      </c>
      <c r="J5" s="68">
        <f t="shared" si="1"/>
        <v>6.9738999999999995E-2</v>
      </c>
      <c r="K5" s="68">
        <f t="shared" si="1"/>
        <v>6.9738999999999995E-2</v>
      </c>
      <c r="L5" s="68">
        <f t="shared" si="1"/>
        <v>6.9738999999999995E-2</v>
      </c>
      <c r="M5" s="68">
        <f t="shared" si="1"/>
        <v>6.9738999999999995E-2</v>
      </c>
      <c r="N5" s="68">
        <f t="shared" si="1"/>
        <v>6.9738999999999995E-2</v>
      </c>
      <c r="O5" s="68">
        <f t="shared" si="1"/>
        <v>6.9738999999999995E-2</v>
      </c>
      <c r="P5" s="68">
        <f t="shared" si="1"/>
        <v>6.9738999999999995E-2</v>
      </c>
      <c r="Q5" s="68">
        <f t="shared" si="1"/>
        <v>6.9738999999999995E-2</v>
      </c>
      <c r="R5" s="68">
        <f t="shared" si="1"/>
        <v>6.9738999999999995E-2</v>
      </c>
      <c r="S5" s="68">
        <f t="shared" si="1"/>
        <v>6.9738999999999995E-2</v>
      </c>
      <c r="T5" s="68">
        <f t="shared" si="1"/>
        <v>6.9738999999999995E-2</v>
      </c>
      <c r="U5" s="68">
        <f t="shared" si="1"/>
        <v>6.9738999999999995E-2</v>
      </c>
      <c r="V5" s="68">
        <f t="shared" si="1"/>
        <v>6.9738999999999995E-2</v>
      </c>
      <c r="W5" s="68">
        <f t="shared" si="1"/>
        <v>6.9738999999999995E-2</v>
      </c>
      <c r="X5" s="68">
        <f t="shared" si="1"/>
        <v>6.9738999999999995E-2</v>
      </c>
      <c r="Y5" s="68">
        <f t="shared" si="1"/>
        <v>6.9738999999999995E-2</v>
      </c>
      <c r="Z5" s="68">
        <f t="shared" si="1"/>
        <v>6.9738999999999995E-2</v>
      </c>
      <c r="AA5" s="68">
        <f t="shared" si="1"/>
        <v>6.9738999999999995E-2</v>
      </c>
      <c r="AB5" s="68">
        <f t="shared" si="1"/>
        <v>6.9738999999999995E-2</v>
      </c>
      <c r="AC5" s="68">
        <f t="shared" si="1"/>
        <v>6.9738999999999995E-2</v>
      </c>
      <c r="AD5" s="68">
        <f t="shared" si="1"/>
        <v>6.9738999999999995E-2</v>
      </c>
      <c r="AE5" s="30">
        <f t="shared" si="1"/>
        <v>6.9738999999999995E-2</v>
      </c>
    </row>
    <row r="6" spans="2:31">
      <c r="B6" s="16" t="s">
        <v>79</v>
      </c>
      <c r="C6" s="36" t="s">
        <v>20</v>
      </c>
      <c r="D6" s="36" t="s">
        <v>7</v>
      </c>
      <c r="E6" s="36" t="s">
        <v>73</v>
      </c>
      <c r="F6" s="68">
        <v>6.3266500000000003E-2</v>
      </c>
      <c r="G6" s="68">
        <f>F6</f>
        <v>6.3266500000000003E-2</v>
      </c>
      <c r="H6" s="68">
        <f t="shared" ref="H6:AE6" si="2">G6</f>
        <v>6.3266500000000003E-2</v>
      </c>
      <c r="I6" s="68">
        <f t="shared" si="2"/>
        <v>6.3266500000000003E-2</v>
      </c>
      <c r="J6" s="68">
        <f t="shared" si="2"/>
        <v>6.3266500000000003E-2</v>
      </c>
      <c r="K6" s="68">
        <f t="shared" si="2"/>
        <v>6.3266500000000003E-2</v>
      </c>
      <c r="L6" s="68">
        <f t="shared" si="2"/>
        <v>6.3266500000000003E-2</v>
      </c>
      <c r="M6" s="68">
        <f t="shared" si="2"/>
        <v>6.3266500000000003E-2</v>
      </c>
      <c r="N6" s="68">
        <f t="shared" si="2"/>
        <v>6.3266500000000003E-2</v>
      </c>
      <c r="O6" s="68">
        <f t="shared" si="2"/>
        <v>6.3266500000000003E-2</v>
      </c>
      <c r="P6" s="68">
        <f t="shared" si="2"/>
        <v>6.3266500000000003E-2</v>
      </c>
      <c r="Q6" s="68">
        <f t="shared" si="2"/>
        <v>6.3266500000000003E-2</v>
      </c>
      <c r="R6" s="68">
        <f t="shared" si="2"/>
        <v>6.3266500000000003E-2</v>
      </c>
      <c r="S6" s="68">
        <f t="shared" si="2"/>
        <v>6.3266500000000003E-2</v>
      </c>
      <c r="T6" s="68">
        <f t="shared" si="2"/>
        <v>6.3266500000000003E-2</v>
      </c>
      <c r="U6" s="68">
        <f t="shared" si="2"/>
        <v>6.3266500000000003E-2</v>
      </c>
      <c r="V6" s="68">
        <f t="shared" si="2"/>
        <v>6.3266500000000003E-2</v>
      </c>
      <c r="W6" s="68">
        <f t="shared" si="2"/>
        <v>6.3266500000000003E-2</v>
      </c>
      <c r="X6" s="68">
        <f t="shared" si="2"/>
        <v>6.3266500000000003E-2</v>
      </c>
      <c r="Y6" s="68">
        <f t="shared" si="2"/>
        <v>6.3266500000000003E-2</v>
      </c>
      <c r="Z6" s="68">
        <f t="shared" si="2"/>
        <v>6.3266500000000003E-2</v>
      </c>
      <c r="AA6" s="68">
        <f t="shared" si="2"/>
        <v>6.3266500000000003E-2</v>
      </c>
      <c r="AB6" s="68">
        <f t="shared" si="2"/>
        <v>6.3266500000000003E-2</v>
      </c>
      <c r="AC6" s="68">
        <f t="shared" si="2"/>
        <v>6.3266500000000003E-2</v>
      </c>
      <c r="AD6" s="68">
        <f t="shared" si="2"/>
        <v>6.3266500000000003E-2</v>
      </c>
      <c r="AE6" s="30">
        <f t="shared" si="2"/>
        <v>6.3266500000000003E-2</v>
      </c>
    </row>
    <row r="7" spans="2:31">
      <c r="B7" s="16" t="s">
        <v>79</v>
      </c>
      <c r="C7" s="36" t="s">
        <v>20</v>
      </c>
      <c r="D7" s="36" t="s">
        <v>72</v>
      </c>
      <c r="E7" s="36" t="s">
        <v>73</v>
      </c>
      <c r="F7" s="68">
        <v>0</v>
      </c>
      <c r="G7" s="68">
        <v>0</v>
      </c>
      <c r="H7" s="68">
        <v>0</v>
      </c>
      <c r="I7" s="68">
        <v>0</v>
      </c>
      <c r="J7" s="68">
        <v>0</v>
      </c>
      <c r="K7" s="68">
        <v>0</v>
      </c>
      <c r="L7" s="68">
        <v>0</v>
      </c>
      <c r="M7" s="68">
        <v>0</v>
      </c>
      <c r="N7" s="68">
        <v>0</v>
      </c>
      <c r="O7" s="68">
        <v>0</v>
      </c>
      <c r="P7" s="68">
        <v>0</v>
      </c>
      <c r="Q7" s="68">
        <v>0</v>
      </c>
      <c r="R7" s="68">
        <v>0</v>
      </c>
      <c r="S7" s="68">
        <v>0</v>
      </c>
      <c r="T7" s="68">
        <v>0</v>
      </c>
      <c r="U7" s="68">
        <v>0</v>
      </c>
      <c r="V7" s="68">
        <v>0</v>
      </c>
      <c r="W7" s="68">
        <v>0</v>
      </c>
      <c r="X7" s="68">
        <v>0</v>
      </c>
      <c r="Y7" s="68">
        <v>0</v>
      </c>
      <c r="Z7" s="68">
        <v>0</v>
      </c>
      <c r="AA7" s="68">
        <v>0</v>
      </c>
      <c r="AB7" s="68">
        <v>0</v>
      </c>
      <c r="AC7" s="68">
        <v>0</v>
      </c>
      <c r="AD7" s="68">
        <v>0</v>
      </c>
      <c r="AE7" s="30">
        <v>0</v>
      </c>
    </row>
    <row r="8" spans="2:31">
      <c r="B8" s="16" t="s">
        <v>80</v>
      </c>
      <c r="C8" s="36" t="s">
        <v>19</v>
      </c>
      <c r="D8" s="36" t="s">
        <v>4</v>
      </c>
      <c r="E8" s="36" t="s">
        <v>73</v>
      </c>
      <c r="F8" s="68">
        <v>7.4538999999999994E-2</v>
      </c>
      <c r="G8" s="68">
        <f>F8</f>
        <v>7.4538999999999994E-2</v>
      </c>
      <c r="H8" s="68">
        <f t="shared" ref="H8:AE8" si="3">G8</f>
        <v>7.4538999999999994E-2</v>
      </c>
      <c r="I8" s="68">
        <f t="shared" si="3"/>
        <v>7.4538999999999994E-2</v>
      </c>
      <c r="J8" s="68">
        <f t="shared" si="3"/>
        <v>7.4538999999999994E-2</v>
      </c>
      <c r="K8" s="68">
        <f t="shared" si="3"/>
        <v>7.4538999999999994E-2</v>
      </c>
      <c r="L8" s="68">
        <f t="shared" si="3"/>
        <v>7.4538999999999994E-2</v>
      </c>
      <c r="M8" s="68">
        <f t="shared" si="3"/>
        <v>7.4538999999999994E-2</v>
      </c>
      <c r="N8" s="68">
        <f t="shared" si="3"/>
        <v>7.4538999999999994E-2</v>
      </c>
      <c r="O8" s="68">
        <f t="shared" si="3"/>
        <v>7.4538999999999994E-2</v>
      </c>
      <c r="P8" s="68">
        <f t="shared" si="3"/>
        <v>7.4538999999999994E-2</v>
      </c>
      <c r="Q8" s="68">
        <f t="shared" si="3"/>
        <v>7.4538999999999994E-2</v>
      </c>
      <c r="R8" s="68">
        <f t="shared" si="3"/>
        <v>7.4538999999999994E-2</v>
      </c>
      <c r="S8" s="68">
        <f t="shared" si="3"/>
        <v>7.4538999999999994E-2</v>
      </c>
      <c r="T8" s="68">
        <f t="shared" si="3"/>
        <v>7.4538999999999994E-2</v>
      </c>
      <c r="U8" s="68">
        <f t="shared" si="3"/>
        <v>7.4538999999999994E-2</v>
      </c>
      <c r="V8" s="68">
        <f t="shared" si="3"/>
        <v>7.4538999999999994E-2</v>
      </c>
      <c r="W8" s="68">
        <f t="shared" si="3"/>
        <v>7.4538999999999994E-2</v>
      </c>
      <c r="X8" s="68">
        <f t="shared" si="3"/>
        <v>7.4538999999999994E-2</v>
      </c>
      <c r="Y8" s="68">
        <f t="shared" si="3"/>
        <v>7.4538999999999994E-2</v>
      </c>
      <c r="Z8" s="68">
        <f t="shared" si="3"/>
        <v>7.4538999999999994E-2</v>
      </c>
      <c r="AA8" s="68">
        <f t="shared" si="3"/>
        <v>7.4538999999999994E-2</v>
      </c>
      <c r="AB8" s="68">
        <f t="shared" si="3"/>
        <v>7.4538999999999994E-2</v>
      </c>
      <c r="AC8" s="68">
        <f t="shared" si="3"/>
        <v>7.4538999999999994E-2</v>
      </c>
      <c r="AD8" s="68">
        <f t="shared" si="3"/>
        <v>7.4538999999999994E-2</v>
      </c>
      <c r="AE8" s="30">
        <f t="shared" si="3"/>
        <v>7.4538999999999994E-2</v>
      </c>
    </row>
    <row r="9" spans="2:31">
      <c r="B9" s="16" t="s">
        <v>80</v>
      </c>
      <c r="C9" s="36" t="s">
        <v>19</v>
      </c>
      <c r="D9" s="36" t="s">
        <v>8</v>
      </c>
      <c r="E9" s="36" t="s">
        <v>73</v>
      </c>
      <c r="F9" s="68">
        <v>0</v>
      </c>
      <c r="G9" s="68">
        <v>0</v>
      </c>
      <c r="H9" s="68">
        <v>0</v>
      </c>
      <c r="I9" s="68">
        <v>0</v>
      </c>
      <c r="J9" s="68">
        <v>0</v>
      </c>
      <c r="K9" s="68">
        <v>0</v>
      </c>
      <c r="L9" s="68">
        <v>0</v>
      </c>
      <c r="M9" s="68">
        <v>0</v>
      </c>
      <c r="N9" s="68">
        <v>0</v>
      </c>
      <c r="O9" s="68">
        <v>0</v>
      </c>
      <c r="P9" s="68">
        <v>0</v>
      </c>
      <c r="Q9" s="68">
        <v>0</v>
      </c>
      <c r="R9" s="68">
        <v>0</v>
      </c>
      <c r="S9" s="68">
        <v>0</v>
      </c>
      <c r="T9" s="68">
        <v>0</v>
      </c>
      <c r="U9" s="68">
        <v>0</v>
      </c>
      <c r="V9" s="68">
        <v>0</v>
      </c>
      <c r="W9" s="68">
        <v>0</v>
      </c>
      <c r="X9" s="68">
        <v>0</v>
      </c>
      <c r="Y9" s="68">
        <v>0</v>
      </c>
      <c r="Z9" s="68">
        <v>0</v>
      </c>
      <c r="AA9" s="68">
        <v>0</v>
      </c>
      <c r="AB9" s="68">
        <v>0</v>
      </c>
      <c r="AC9" s="68">
        <v>0</v>
      </c>
      <c r="AD9" s="68">
        <v>0</v>
      </c>
      <c r="AE9" s="30">
        <v>0</v>
      </c>
    </row>
    <row r="10" spans="2:31">
      <c r="B10" s="16" t="s">
        <v>80</v>
      </c>
      <c r="C10" s="36" t="s">
        <v>19</v>
      </c>
      <c r="D10" s="36" t="s">
        <v>3</v>
      </c>
      <c r="E10" s="36" t="s">
        <v>73</v>
      </c>
      <c r="F10" s="68">
        <v>7.7839000000000005E-2</v>
      </c>
      <c r="G10" s="68">
        <v>7.7839000000000005E-2</v>
      </c>
      <c r="H10" s="68">
        <v>7.7839000000000005E-2</v>
      </c>
      <c r="I10" s="68">
        <v>7.7839000000000005E-2</v>
      </c>
      <c r="J10" s="68">
        <v>7.7839000000000005E-2</v>
      </c>
      <c r="K10" s="68">
        <v>7.7839000000000005E-2</v>
      </c>
      <c r="L10" s="68">
        <v>7.7839000000000005E-2</v>
      </c>
      <c r="M10" s="68">
        <v>7.7839000000000005E-2</v>
      </c>
      <c r="N10" s="68">
        <v>7.7839000000000005E-2</v>
      </c>
      <c r="O10" s="68">
        <v>7.7839000000000005E-2</v>
      </c>
      <c r="P10" s="68">
        <v>7.7839000000000005E-2</v>
      </c>
      <c r="Q10" s="68">
        <v>7.7839000000000005E-2</v>
      </c>
      <c r="R10" s="68">
        <v>7.7839000000000005E-2</v>
      </c>
      <c r="S10" s="68">
        <v>7.7839000000000005E-2</v>
      </c>
      <c r="T10" s="68">
        <v>7.7839000000000005E-2</v>
      </c>
      <c r="U10" s="68">
        <v>7.7839000000000005E-2</v>
      </c>
      <c r="V10" s="68">
        <v>7.7839000000000005E-2</v>
      </c>
      <c r="W10" s="68">
        <v>7.7839000000000005E-2</v>
      </c>
      <c r="X10" s="68">
        <v>7.7839000000000005E-2</v>
      </c>
      <c r="Y10" s="68">
        <v>7.7839000000000005E-2</v>
      </c>
      <c r="Z10" s="68">
        <v>7.7839000000000005E-2</v>
      </c>
      <c r="AA10" s="68">
        <v>7.7839000000000005E-2</v>
      </c>
      <c r="AB10" s="68">
        <v>7.7839000000000005E-2</v>
      </c>
      <c r="AC10" s="68">
        <v>7.7839000000000005E-2</v>
      </c>
      <c r="AD10" s="68">
        <v>7.7839000000000005E-2</v>
      </c>
      <c r="AE10" s="30">
        <v>7.7839000000000005E-2</v>
      </c>
    </row>
    <row r="11" spans="2:31">
      <c r="B11" s="16" t="s">
        <v>80</v>
      </c>
      <c r="C11" s="36" t="s">
        <v>19</v>
      </c>
      <c r="D11" s="36" t="s">
        <v>2</v>
      </c>
      <c r="E11" s="36" t="s">
        <v>73</v>
      </c>
      <c r="F11" s="68">
        <v>6.9738999999999995E-2</v>
      </c>
      <c r="G11" s="68">
        <f>F11</f>
        <v>6.9738999999999995E-2</v>
      </c>
      <c r="H11" s="68">
        <f t="shared" ref="H11:AE12" si="4">G11</f>
        <v>6.9738999999999995E-2</v>
      </c>
      <c r="I11" s="68">
        <f t="shared" si="4"/>
        <v>6.9738999999999995E-2</v>
      </c>
      <c r="J11" s="68">
        <f t="shared" si="4"/>
        <v>6.9738999999999995E-2</v>
      </c>
      <c r="K11" s="68">
        <f t="shared" si="4"/>
        <v>6.9738999999999995E-2</v>
      </c>
      <c r="L11" s="68">
        <f t="shared" si="4"/>
        <v>6.9738999999999995E-2</v>
      </c>
      <c r="M11" s="68">
        <f t="shared" si="4"/>
        <v>6.9738999999999995E-2</v>
      </c>
      <c r="N11" s="68">
        <f t="shared" si="4"/>
        <v>6.9738999999999995E-2</v>
      </c>
      <c r="O11" s="68">
        <f t="shared" si="4"/>
        <v>6.9738999999999995E-2</v>
      </c>
      <c r="P11" s="68">
        <f t="shared" si="4"/>
        <v>6.9738999999999995E-2</v>
      </c>
      <c r="Q11" s="68">
        <f t="shared" si="4"/>
        <v>6.9738999999999995E-2</v>
      </c>
      <c r="R11" s="68">
        <f t="shared" si="4"/>
        <v>6.9738999999999995E-2</v>
      </c>
      <c r="S11" s="68">
        <f t="shared" si="4"/>
        <v>6.9738999999999995E-2</v>
      </c>
      <c r="T11" s="68">
        <f t="shared" si="4"/>
        <v>6.9738999999999995E-2</v>
      </c>
      <c r="U11" s="68">
        <f t="shared" si="4"/>
        <v>6.9738999999999995E-2</v>
      </c>
      <c r="V11" s="68">
        <f t="shared" si="4"/>
        <v>6.9738999999999995E-2</v>
      </c>
      <c r="W11" s="68">
        <f t="shared" si="4"/>
        <v>6.9738999999999995E-2</v>
      </c>
      <c r="X11" s="68">
        <f t="shared" si="4"/>
        <v>6.9738999999999995E-2</v>
      </c>
      <c r="Y11" s="68">
        <f t="shared" si="4"/>
        <v>6.9738999999999995E-2</v>
      </c>
      <c r="Z11" s="68">
        <f t="shared" si="4"/>
        <v>6.9738999999999995E-2</v>
      </c>
      <c r="AA11" s="68">
        <f t="shared" si="4"/>
        <v>6.9738999999999995E-2</v>
      </c>
      <c r="AB11" s="68">
        <f t="shared" si="4"/>
        <v>6.9738999999999995E-2</v>
      </c>
      <c r="AC11" s="68">
        <f t="shared" si="4"/>
        <v>6.9738999999999995E-2</v>
      </c>
      <c r="AD11" s="68">
        <f t="shared" si="4"/>
        <v>6.9738999999999995E-2</v>
      </c>
      <c r="AE11" s="30">
        <f t="shared" si="4"/>
        <v>6.9738999999999995E-2</v>
      </c>
    </row>
    <row r="12" spans="2:31">
      <c r="B12" s="16" t="s">
        <v>80</v>
      </c>
      <c r="C12" s="36" t="s">
        <v>19</v>
      </c>
      <c r="D12" s="36" t="s">
        <v>7</v>
      </c>
      <c r="E12" s="36" t="s">
        <v>73</v>
      </c>
      <c r="F12" s="68">
        <v>6.3266500000000003E-2</v>
      </c>
      <c r="G12" s="68">
        <f>F12</f>
        <v>6.3266500000000003E-2</v>
      </c>
      <c r="H12" s="68">
        <f t="shared" si="4"/>
        <v>6.3266500000000003E-2</v>
      </c>
      <c r="I12" s="68">
        <f t="shared" si="4"/>
        <v>6.3266500000000003E-2</v>
      </c>
      <c r="J12" s="68">
        <f t="shared" si="4"/>
        <v>6.3266500000000003E-2</v>
      </c>
      <c r="K12" s="68">
        <f t="shared" si="4"/>
        <v>6.3266500000000003E-2</v>
      </c>
      <c r="L12" s="68">
        <f t="shared" si="4"/>
        <v>6.3266500000000003E-2</v>
      </c>
      <c r="M12" s="68">
        <f t="shared" si="4"/>
        <v>6.3266500000000003E-2</v>
      </c>
      <c r="N12" s="68">
        <f t="shared" si="4"/>
        <v>6.3266500000000003E-2</v>
      </c>
      <c r="O12" s="68">
        <f t="shared" si="4"/>
        <v>6.3266500000000003E-2</v>
      </c>
      <c r="P12" s="68">
        <f t="shared" si="4"/>
        <v>6.3266500000000003E-2</v>
      </c>
      <c r="Q12" s="68">
        <f t="shared" si="4"/>
        <v>6.3266500000000003E-2</v>
      </c>
      <c r="R12" s="68">
        <f t="shared" si="4"/>
        <v>6.3266500000000003E-2</v>
      </c>
      <c r="S12" s="68">
        <f t="shared" si="4"/>
        <v>6.3266500000000003E-2</v>
      </c>
      <c r="T12" s="68">
        <f t="shared" si="4"/>
        <v>6.3266500000000003E-2</v>
      </c>
      <c r="U12" s="68">
        <f t="shared" si="4"/>
        <v>6.3266500000000003E-2</v>
      </c>
      <c r="V12" s="68">
        <f t="shared" si="4"/>
        <v>6.3266500000000003E-2</v>
      </c>
      <c r="W12" s="68">
        <f t="shared" si="4"/>
        <v>6.3266500000000003E-2</v>
      </c>
      <c r="X12" s="68">
        <f t="shared" si="4"/>
        <v>6.3266500000000003E-2</v>
      </c>
      <c r="Y12" s="68">
        <f t="shared" si="4"/>
        <v>6.3266500000000003E-2</v>
      </c>
      <c r="Z12" s="68">
        <f t="shared" si="4"/>
        <v>6.3266500000000003E-2</v>
      </c>
      <c r="AA12" s="68">
        <f t="shared" si="4"/>
        <v>6.3266500000000003E-2</v>
      </c>
      <c r="AB12" s="68">
        <f t="shared" si="4"/>
        <v>6.3266500000000003E-2</v>
      </c>
      <c r="AC12" s="68">
        <f t="shared" si="4"/>
        <v>6.3266500000000003E-2</v>
      </c>
      <c r="AD12" s="68">
        <f t="shared" si="4"/>
        <v>6.3266500000000003E-2</v>
      </c>
      <c r="AE12" s="30">
        <f t="shared" si="4"/>
        <v>6.3266500000000003E-2</v>
      </c>
    </row>
    <row r="13" spans="2:31">
      <c r="B13" s="16" t="s">
        <v>80</v>
      </c>
      <c r="C13" s="36" t="s">
        <v>17</v>
      </c>
      <c r="D13" s="36" t="s">
        <v>18</v>
      </c>
      <c r="E13" s="36" t="s">
        <v>73</v>
      </c>
      <c r="F13" s="68">
        <v>1.9E-3</v>
      </c>
      <c r="G13" s="68">
        <f>F13</f>
        <v>1.9E-3</v>
      </c>
      <c r="H13" s="68">
        <f t="shared" ref="H13:AE13" si="5">G13</f>
        <v>1.9E-3</v>
      </c>
      <c r="I13" s="68">
        <f t="shared" si="5"/>
        <v>1.9E-3</v>
      </c>
      <c r="J13" s="68">
        <f t="shared" si="5"/>
        <v>1.9E-3</v>
      </c>
      <c r="K13" s="68">
        <f t="shared" si="5"/>
        <v>1.9E-3</v>
      </c>
      <c r="L13" s="68">
        <f t="shared" si="5"/>
        <v>1.9E-3</v>
      </c>
      <c r="M13" s="68">
        <f t="shared" si="5"/>
        <v>1.9E-3</v>
      </c>
      <c r="N13" s="68">
        <f t="shared" si="5"/>
        <v>1.9E-3</v>
      </c>
      <c r="O13" s="68">
        <f t="shared" si="5"/>
        <v>1.9E-3</v>
      </c>
      <c r="P13" s="68">
        <f t="shared" si="5"/>
        <v>1.9E-3</v>
      </c>
      <c r="Q13" s="68">
        <f t="shared" si="5"/>
        <v>1.9E-3</v>
      </c>
      <c r="R13" s="68">
        <f t="shared" si="5"/>
        <v>1.9E-3</v>
      </c>
      <c r="S13" s="68">
        <f t="shared" si="5"/>
        <v>1.9E-3</v>
      </c>
      <c r="T13" s="68">
        <f t="shared" si="5"/>
        <v>1.9E-3</v>
      </c>
      <c r="U13" s="68">
        <f t="shared" si="5"/>
        <v>1.9E-3</v>
      </c>
      <c r="V13" s="68">
        <f t="shared" si="5"/>
        <v>1.9E-3</v>
      </c>
      <c r="W13" s="68">
        <f t="shared" si="5"/>
        <v>1.9E-3</v>
      </c>
      <c r="X13" s="68">
        <f t="shared" si="5"/>
        <v>1.9E-3</v>
      </c>
      <c r="Y13" s="68">
        <f t="shared" si="5"/>
        <v>1.9E-3</v>
      </c>
      <c r="Z13" s="68">
        <f t="shared" si="5"/>
        <v>1.9E-3</v>
      </c>
      <c r="AA13" s="68">
        <f t="shared" si="5"/>
        <v>1.9E-3</v>
      </c>
      <c r="AB13" s="68">
        <f t="shared" si="5"/>
        <v>1.9E-3</v>
      </c>
      <c r="AC13" s="68">
        <f t="shared" si="5"/>
        <v>1.9E-3</v>
      </c>
      <c r="AD13" s="68">
        <f t="shared" si="5"/>
        <v>1.9E-3</v>
      </c>
      <c r="AE13" s="30">
        <f t="shared" si="5"/>
        <v>1.9E-3</v>
      </c>
    </row>
    <row r="14" spans="2:31">
      <c r="B14" s="16" t="s">
        <v>80</v>
      </c>
      <c r="C14" s="36" t="s">
        <v>17</v>
      </c>
      <c r="D14" s="36" t="s">
        <v>70</v>
      </c>
      <c r="E14" s="36" t="s">
        <v>73</v>
      </c>
      <c r="F14" s="68">
        <v>9.5960000000000004E-2</v>
      </c>
      <c r="G14" s="68">
        <v>9.5960000000000004E-2</v>
      </c>
      <c r="H14" s="68">
        <v>9.5960000000000004E-2</v>
      </c>
      <c r="I14" s="68">
        <v>9.5960000000000004E-2</v>
      </c>
      <c r="J14" s="68">
        <v>9.5960000000000004E-2</v>
      </c>
      <c r="K14" s="68">
        <v>9.5960000000000004E-2</v>
      </c>
      <c r="L14" s="68">
        <v>9.5960000000000004E-2</v>
      </c>
      <c r="M14" s="68">
        <v>9.5960000000000004E-2</v>
      </c>
      <c r="N14" s="68">
        <v>9.5960000000000004E-2</v>
      </c>
      <c r="O14" s="68">
        <v>9.5960000000000004E-2</v>
      </c>
      <c r="P14" s="68">
        <v>9.5960000000000004E-2</v>
      </c>
      <c r="Q14" s="68">
        <v>9.5960000000000004E-2</v>
      </c>
      <c r="R14" s="68">
        <v>9.5960000000000004E-2</v>
      </c>
      <c r="S14" s="68">
        <v>9.5960000000000004E-2</v>
      </c>
      <c r="T14" s="68">
        <v>9.5960000000000004E-2</v>
      </c>
      <c r="U14" s="68">
        <v>9.5960000000000004E-2</v>
      </c>
      <c r="V14" s="68">
        <v>9.5960000000000004E-2</v>
      </c>
      <c r="W14" s="68">
        <v>9.5960000000000004E-2</v>
      </c>
      <c r="X14" s="68">
        <v>9.5960000000000004E-2</v>
      </c>
      <c r="Y14" s="68">
        <v>9.5960000000000004E-2</v>
      </c>
      <c r="Z14" s="68">
        <v>9.5960000000000004E-2</v>
      </c>
      <c r="AA14" s="68">
        <v>9.5960000000000004E-2</v>
      </c>
      <c r="AB14" s="68">
        <v>9.5960000000000004E-2</v>
      </c>
      <c r="AC14" s="68">
        <v>9.5960000000000004E-2</v>
      </c>
      <c r="AD14" s="68">
        <v>9.5960000000000004E-2</v>
      </c>
      <c r="AE14" s="30">
        <v>9.5960000000000004E-2</v>
      </c>
    </row>
    <row r="15" spans="2:31">
      <c r="B15" s="16" t="s">
        <v>80</v>
      </c>
      <c r="C15" s="36" t="s">
        <v>17</v>
      </c>
      <c r="D15" s="36" t="s">
        <v>16</v>
      </c>
      <c r="E15" s="36" t="s">
        <v>73</v>
      </c>
      <c r="F15" s="68">
        <v>9.7742999999999997E-2</v>
      </c>
      <c r="G15" s="68">
        <v>9.7742999999999997E-2</v>
      </c>
      <c r="H15" s="68">
        <v>9.7742999999999997E-2</v>
      </c>
      <c r="I15" s="68">
        <v>9.7742999999999997E-2</v>
      </c>
      <c r="J15" s="68">
        <v>9.7742999999999997E-2</v>
      </c>
      <c r="K15" s="68">
        <v>9.7742999999999997E-2</v>
      </c>
      <c r="L15" s="68">
        <v>9.7742999999999997E-2</v>
      </c>
      <c r="M15" s="68">
        <v>9.7742999999999997E-2</v>
      </c>
      <c r="N15" s="68">
        <v>9.7742999999999997E-2</v>
      </c>
      <c r="O15" s="68">
        <v>9.7742999999999997E-2</v>
      </c>
      <c r="P15" s="68">
        <v>9.7742999999999997E-2</v>
      </c>
      <c r="Q15" s="68">
        <v>9.7742999999999997E-2</v>
      </c>
      <c r="R15" s="68">
        <v>9.7742999999999997E-2</v>
      </c>
      <c r="S15" s="68">
        <v>9.7742999999999997E-2</v>
      </c>
      <c r="T15" s="68">
        <v>9.7742999999999997E-2</v>
      </c>
      <c r="U15" s="68">
        <v>9.7742999999999997E-2</v>
      </c>
      <c r="V15" s="68">
        <v>9.7742999999999997E-2</v>
      </c>
      <c r="W15" s="68">
        <v>9.7742999999999997E-2</v>
      </c>
      <c r="X15" s="68">
        <v>9.7742999999999997E-2</v>
      </c>
      <c r="Y15" s="68">
        <v>9.7742999999999997E-2</v>
      </c>
      <c r="Z15" s="68">
        <v>9.7742999999999997E-2</v>
      </c>
      <c r="AA15" s="68">
        <v>9.7742999999999997E-2</v>
      </c>
      <c r="AB15" s="68">
        <v>9.7742999999999997E-2</v>
      </c>
      <c r="AC15" s="68">
        <v>9.7742999999999997E-2</v>
      </c>
      <c r="AD15" s="68">
        <v>9.7742999999999997E-2</v>
      </c>
      <c r="AE15" s="30">
        <v>9.7742999999999997E-2</v>
      </c>
    </row>
    <row r="16" spans="2:31">
      <c r="B16" s="16" t="s">
        <v>80</v>
      </c>
      <c r="C16" s="36" t="s">
        <v>17</v>
      </c>
      <c r="D16" s="36" t="s">
        <v>4</v>
      </c>
      <c r="E16" s="36" t="s">
        <v>73</v>
      </c>
      <c r="F16" s="68">
        <v>7.4538999999999994E-2</v>
      </c>
      <c r="G16" s="68">
        <f>F16</f>
        <v>7.4538999999999994E-2</v>
      </c>
      <c r="H16" s="68">
        <f t="shared" ref="H16:AE16" si="6">G16</f>
        <v>7.4538999999999994E-2</v>
      </c>
      <c r="I16" s="68">
        <f t="shared" si="6"/>
        <v>7.4538999999999994E-2</v>
      </c>
      <c r="J16" s="68">
        <f t="shared" si="6"/>
        <v>7.4538999999999994E-2</v>
      </c>
      <c r="K16" s="68">
        <f t="shared" si="6"/>
        <v>7.4538999999999994E-2</v>
      </c>
      <c r="L16" s="68">
        <f t="shared" si="6"/>
        <v>7.4538999999999994E-2</v>
      </c>
      <c r="M16" s="68">
        <f t="shared" si="6"/>
        <v>7.4538999999999994E-2</v>
      </c>
      <c r="N16" s="68">
        <f t="shared" si="6"/>
        <v>7.4538999999999994E-2</v>
      </c>
      <c r="O16" s="68">
        <f t="shared" si="6"/>
        <v>7.4538999999999994E-2</v>
      </c>
      <c r="P16" s="68">
        <f t="shared" si="6"/>
        <v>7.4538999999999994E-2</v>
      </c>
      <c r="Q16" s="68">
        <f t="shared" si="6"/>
        <v>7.4538999999999994E-2</v>
      </c>
      <c r="R16" s="68">
        <f t="shared" si="6"/>
        <v>7.4538999999999994E-2</v>
      </c>
      <c r="S16" s="68">
        <f t="shared" si="6"/>
        <v>7.4538999999999994E-2</v>
      </c>
      <c r="T16" s="68">
        <f t="shared" si="6"/>
        <v>7.4538999999999994E-2</v>
      </c>
      <c r="U16" s="68">
        <f t="shared" si="6"/>
        <v>7.4538999999999994E-2</v>
      </c>
      <c r="V16" s="68">
        <f t="shared" si="6"/>
        <v>7.4538999999999994E-2</v>
      </c>
      <c r="W16" s="68">
        <f t="shared" si="6"/>
        <v>7.4538999999999994E-2</v>
      </c>
      <c r="X16" s="68">
        <f t="shared" si="6"/>
        <v>7.4538999999999994E-2</v>
      </c>
      <c r="Y16" s="68">
        <f t="shared" si="6"/>
        <v>7.4538999999999994E-2</v>
      </c>
      <c r="Z16" s="68">
        <f t="shared" si="6"/>
        <v>7.4538999999999994E-2</v>
      </c>
      <c r="AA16" s="68">
        <f t="shared" si="6"/>
        <v>7.4538999999999994E-2</v>
      </c>
      <c r="AB16" s="68">
        <f t="shared" si="6"/>
        <v>7.4538999999999994E-2</v>
      </c>
      <c r="AC16" s="68">
        <f t="shared" si="6"/>
        <v>7.4538999999999994E-2</v>
      </c>
      <c r="AD16" s="68">
        <f t="shared" si="6"/>
        <v>7.4538999999999994E-2</v>
      </c>
      <c r="AE16" s="30">
        <f t="shared" si="6"/>
        <v>7.4538999999999994E-2</v>
      </c>
    </row>
    <row r="17" spans="2:31">
      <c r="B17" s="16" t="s">
        <v>80</v>
      </c>
      <c r="C17" s="36" t="s">
        <v>17</v>
      </c>
      <c r="D17" s="36" t="s">
        <v>8</v>
      </c>
      <c r="E17" s="36" t="s">
        <v>73</v>
      </c>
      <c r="F17" s="68">
        <v>0</v>
      </c>
      <c r="G17" s="68">
        <v>0</v>
      </c>
      <c r="H17" s="68">
        <v>0</v>
      </c>
      <c r="I17" s="68">
        <v>0</v>
      </c>
      <c r="J17" s="68">
        <v>0</v>
      </c>
      <c r="K17" s="68">
        <v>0</v>
      </c>
      <c r="L17" s="68">
        <v>0</v>
      </c>
      <c r="M17" s="68">
        <v>0</v>
      </c>
      <c r="N17" s="68">
        <v>0</v>
      </c>
      <c r="O17" s="68">
        <v>0</v>
      </c>
      <c r="P17" s="68">
        <v>0</v>
      </c>
      <c r="Q17" s="68">
        <v>0</v>
      </c>
      <c r="R17" s="68">
        <v>0</v>
      </c>
      <c r="S17" s="68">
        <v>0</v>
      </c>
      <c r="T17" s="68">
        <v>0</v>
      </c>
      <c r="U17" s="68">
        <v>0</v>
      </c>
      <c r="V17" s="68">
        <v>0</v>
      </c>
      <c r="W17" s="68">
        <v>0</v>
      </c>
      <c r="X17" s="68">
        <v>0</v>
      </c>
      <c r="Y17" s="68">
        <v>0</v>
      </c>
      <c r="Z17" s="68">
        <v>0</v>
      </c>
      <c r="AA17" s="68">
        <v>0</v>
      </c>
      <c r="AB17" s="68">
        <v>0</v>
      </c>
      <c r="AC17" s="68">
        <v>0</v>
      </c>
      <c r="AD17" s="68">
        <v>0</v>
      </c>
      <c r="AE17" s="30">
        <v>0</v>
      </c>
    </row>
    <row r="18" spans="2:31">
      <c r="B18" s="16" t="s">
        <v>80</v>
      </c>
      <c r="C18" s="36" t="s">
        <v>17</v>
      </c>
      <c r="D18" s="36" t="s">
        <v>3</v>
      </c>
      <c r="E18" s="36" t="s">
        <v>73</v>
      </c>
      <c r="F18" s="68">
        <v>7.7839000000000005E-2</v>
      </c>
      <c r="G18" s="68">
        <v>7.7839000000000005E-2</v>
      </c>
      <c r="H18" s="68">
        <v>7.7839000000000005E-2</v>
      </c>
      <c r="I18" s="68">
        <v>7.7839000000000005E-2</v>
      </c>
      <c r="J18" s="68">
        <v>7.7839000000000005E-2</v>
      </c>
      <c r="K18" s="68">
        <v>7.7839000000000005E-2</v>
      </c>
      <c r="L18" s="68">
        <v>7.7839000000000005E-2</v>
      </c>
      <c r="M18" s="68">
        <v>7.7839000000000005E-2</v>
      </c>
      <c r="N18" s="68">
        <v>7.7839000000000005E-2</v>
      </c>
      <c r="O18" s="68">
        <v>7.7839000000000005E-2</v>
      </c>
      <c r="P18" s="68">
        <v>7.7839000000000005E-2</v>
      </c>
      <c r="Q18" s="68">
        <v>7.7839000000000005E-2</v>
      </c>
      <c r="R18" s="68">
        <v>7.7839000000000005E-2</v>
      </c>
      <c r="S18" s="68">
        <v>7.7839000000000005E-2</v>
      </c>
      <c r="T18" s="68">
        <v>7.7839000000000005E-2</v>
      </c>
      <c r="U18" s="68">
        <v>7.7839000000000005E-2</v>
      </c>
      <c r="V18" s="68">
        <v>7.7839000000000005E-2</v>
      </c>
      <c r="W18" s="68">
        <v>7.7839000000000005E-2</v>
      </c>
      <c r="X18" s="68">
        <v>7.7839000000000005E-2</v>
      </c>
      <c r="Y18" s="68">
        <v>7.7839000000000005E-2</v>
      </c>
      <c r="Z18" s="68">
        <v>7.7839000000000005E-2</v>
      </c>
      <c r="AA18" s="68">
        <v>7.7839000000000005E-2</v>
      </c>
      <c r="AB18" s="68">
        <v>7.7839000000000005E-2</v>
      </c>
      <c r="AC18" s="68">
        <v>7.7839000000000005E-2</v>
      </c>
      <c r="AD18" s="68">
        <v>7.7839000000000005E-2</v>
      </c>
      <c r="AE18" s="30">
        <v>7.7839000000000005E-2</v>
      </c>
    </row>
    <row r="19" spans="2:31">
      <c r="B19" s="16" t="s">
        <v>80</v>
      </c>
      <c r="C19" s="36" t="s">
        <v>17</v>
      </c>
      <c r="D19" s="36" t="s">
        <v>14</v>
      </c>
      <c r="E19" s="36" t="s">
        <v>73</v>
      </c>
      <c r="F19" s="68">
        <v>5.6154500000000003E-2</v>
      </c>
      <c r="G19" s="68">
        <v>5.6154500000000003E-2</v>
      </c>
      <c r="H19" s="68">
        <v>5.6154500000000003E-2</v>
      </c>
      <c r="I19" s="68">
        <v>5.6154500000000003E-2</v>
      </c>
      <c r="J19" s="68">
        <v>5.6154500000000003E-2</v>
      </c>
      <c r="K19" s="68">
        <v>5.6154500000000003E-2</v>
      </c>
      <c r="L19" s="68">
        <v>5.6154500000000003E-2</v>
      </c>
      <c r="M19" s="68">
        <v>5.6154500000000003E-2</v>
      </c>
      <c r="N19" s="68">
        <v>5.6154500000000003E-2</v>
      </c>
      <c r="O19" s="68">
        <v>5.6154500000000003E-2</v>
      </c>
      <c r="P19" s="68">
        <v>5.6154500000000003E-2</v>
      </c>
      <c r="Q19" s="68">
        <v>5.6154500000000003E-2</v>
      </c>
      <c r="R19" s="68">
        <v>5.6154500000000003E-2</v>
      </c>
      <c r="S19" s="68">
        <v>5.6154500000000003E-2</v>
      </c>
      <c r="T19" s="68">
        <v>5.6154500000000003E-2</v>
      </c>
      <c r="U19" s="68">
        <v>5.6154500000000003E-2</v>
      </c>
      <c r="V19" s="68">
        <v>5.6154500000000003E-2</v>
      </c>
      <c r="W19" s="68">
        <v>5.6154500000000003E-2</v>
      </c>
      <c r="X19" s="68">
        <v>5.6154500000000003E-2</v>
      </c>
      <c r="Y19" s="68">
        <v>5.6154500000000003E-2</v>
      </c>
      <c r="Z19" s="68">
        <v>5.6154500000000003E-2</v>
      </c>
      <c r="AA19" s="68">
        <v>5.6154500000000003E-2</v>
      </c>
      <c r="AB19" s="68">
        <v>5.6154500000000003E-2</v>
      </c>
      <c r="AC19" s="68">
        <v>5.6154500000000003E-2</v>
      </c>
      <c r="AD19" s="68">
        <v>5.6154500000000003E-2</v>
      </c>
      <c r="AE19" s="30">
        <v>5.6154500000000003E-2</v>
      </c>
    </row>
    <row r="20" spans="2:31">
      <c r="B20" s="16" t="s">
        <v>80</v>
      </c>
      <c r="C20" s="36" t="s">
        <v>17</v>
      </c>
      <c r="D20" s="36" t="s">
        <v>2</v>
      </c>
      <c r="E20" s="36" t="s">
        <v>73</v>
      </c>
      <c r="F20" s="68">
        <v>6.9738999999999995E-2</v>
      </c>
      <c r="G20" s="68">
        <f>F20</f>
        <v>6.9738999999999995E-2</v>
      </c>
      <c r="H20" s="68">
        <f t="shared" ref="H20:AE20" si="7">G20</f>
        <v>6.9738999999999995E-2</v>
      </c>
      <c r="I20" s="68">
        <f t="shared" si="7"/>
        <v>6.9738999999999995E-2</v>
      </c>
      <c r="J20" s="68">
        <f t="shared" si="7"/>
        <v>6.9738999999999995E-2</v>
      </c>
      <c r="K20" s="68">
        <f t="shared" si="7"/>
        <v>6.9738999999999995E-2</v>
      </c>
      <c r="L20" s="68">
        <f t="shared" si="7"/>
        <v>6.9738999999999995E-2</v>
      </c>
      <c r="M20" s="68">
        <f t="shared" si="7"/>
        <v>6.9738999999999995E-2</v>
      </c>
      <c r="N20" s="68">
        <f t="shared" si="7"/>
        <v>6.9738999999999995E-2</v>
      </c>
      <c r="O20" s="68">
        <f t="shared" si="7"/>
        <v>6.9738999999999995E-2</v>
      </c>
      <c r="P20" s="68">
        <f t="shared" si="7"/>
        <v>6.9738999999999995E-2</v>
      </c>
      <c r="Q20" s="68">
        <f t="shared" si="7"/>
        <v>6.9738999999999995E-2</v>
      </c>
      <c r="R20" s="68">
        <f t="shared" si="7"/>
        <v>6.9738999999999995E-2</v>
      </c>
      <c r="S20" s="68">
        <f t="shared" si="7"/>
        <v>6.9738999999999995E-2</v>
      </c>
      <c r="T20" s="68">
        <f t="shared" si="7"/>
        <v>6.9738999999999995E-2</v>
      </c>
      <c r="U20" s="68">
        <f t="shared" si="7"/>
        <v>6.9738999999999995E-2</v>
      </c>
      <c r="V20" s="68">
        <f t="shared" si="7"/>
        <v>6.9738999999999995E-2</v>
      </c>
      <c r="W20" s="68">
        <f t="shared" si="7"/>
        <v>6.9738999999999995E-2</v>
      </c>
      <c r="X20" s="68">
        <f t="shared" si="7"/>
        <v>6.9738999999999995E-2</v>
      </c>
      <c r="Y20" s="68">
        <f t="shared" si="7"/>
        <v>6.9738999999999995E-2</v>
      </c>
      <c r="Z20" s="68">
        <f t="shared" si="7"/>
        <v>6.9738999999999995E-2</v>
      </c>
      <c r="AA20" s="68">
        <f t="shared" si="7"/>
        <v>6.9738999999999995E-2</v>
      </c>
      <c r="AB20" s="68">
        <f t="shared" si="7"/>
        <v>6.9738999999999995E-2</v>
      </c>
      <c r="AC20" s="68">
        <f t="shared" si="7"/>
        <v>6.9738999999999995E-2</v>
      </c>
      <c r="AD20" s="68">
        <f t="shared" si="7"/>
        <v>6.9738999999999995E-2</v>
      </c>
      <c r="AE20" s="30">
        <f t="shared" si="7"/>
        <v>6.9738999999999995E-2</v>
      </c>
    </row>
    <row r="21" spans="2:31">
      <c r="B21" s="16" t="s">
        <v>80</v>
      </c>
      <c r="C21" s="36" t="s">
        <v>17</v>
      </c>
      <c r="D21" s="36" t="s">
        <v>12</v>
      </c>
      <c r="E21" s="36" t="s">
        <v>73</v>
      </c>
      <c r="F21" s="68">
        <f>(0*1+300*28+4*265)/1000000</f>
        <v>9.4599999999999997E-3</v>
      </c>
      <c r="G21" s="68">
        <f t="shared" ref="G21:AE21" si="8">(0*1+300*28+4*265)/1000000</f>
        <v>9.4599999999999997E-3</v>
      </c>
      <c r="H21" s="68">
        <f t="shared" si="8"/>
        <v>9.4599999999999997E-3</v>
      </c>
      <c r="I21" s="68">
        <f t="shared" si="8"/>
        <v>9.4599999999999997E-3</v>
      </c>
      <c r="J21" s="68">
        <f t="shared" si="8"/>
        <v>9.4599999999999997E-3</v>
      </c>
      <c r="K21" s="68">
        <f t="shared" si="8"/>
        <v>9.4599999999999997E-3</v>
      </c>
      <c r="L21" s="68">
        <f t="shared" si="8"/>
        <v>9.4599999999999997E-3</v>
      </c>
      <c r="M21" s="68">
        <f t="shared" si="8"/>
        <v>9.4599999999999997E-3</v>
      </c>
      <c r="N21" s="68">
        <f t="shared" si="8"/>
        <v>9.4599999999999997E-3</v>
      </c>
      <c r="O21" s="68">
        <f t="shared" si="8"/>
        <v>9.4599999999999997E-3</v>
      </c>
      <c r="P21" s="68">
        <f t="shared" si="8"/>
        <v>9.4599999999999997E-3</v>
      </c>
      <c r="Q21" s="68">
        <f t="shared" si="8"/>
        <v>9.4599999999999997E-3</v>
      </c>
      <c r="R21" s="68">
        <f t="shared" si="8"/>
        <v>9.4599999999999997E-3</v>
      </c>
      <c r="S21" s="68">
        <f t="shared" si="8"/>
        <v>9.4599999999999997E-3</v>
      </c>
      <c r="T21" s="68">
        <f t="shared" si="8"/>
        <v>9.4599999999999997E-3</v>
      </c>
      <c r="U21" s="68">
        <f t="shared" si="8"/>
        <v>9.4599999999999997E-3</v>
      </c>
      <c r="V21" s="68">
        <f t="shared" si="8"/>
        <v>9.4599999999999997E-3</v>
      </c>
      <c r="W21" s="68">
        <f t="shared" si="8"/>
        <v>9.4599999999999997E-3</v>
      </c>
      <c r="X21" s="68">
        <f t="shared" si="8"/>
        <v>9.4599999999999997E-3</v>
      </c>
      <c r="Y21" s="68">
        <f t="shared" si="8"/>
        <v>9.4599999999999997E-3</v>
      </c>
      <c r="Z21" s="68">
        <f t="shared" si="8"/>
        <v>9.4599999999999997E-3</v>
      </c>
      <c r="AA21" s="68">
        <f t="shared" si="8"/>
        <v>9.4599999999999997E-3</v>
      </c>
      <c r="AB21" s="68">
        <f t="shared" si="8"/>
        <v>9.4599999999999997E-3</v>
      </c>
      <c r="AC21" s="68">
        <f t="shared" si="8"/>
        <v>9.4599999999999997E-3</v>
      </c>
      <c r="AD21" s="68">
        <f t="shared" si="8"/>
        <v>9.4599999999999997E-3</v>
      </c>
      <c r="AE21" s="30">
        <f t="shared" si="8"/>
        <v>9.4599999999999997E-3</v>
      </c>
    </row>
    <row r="22" spans="2:31">
      <c r="B22" s="16" t="s">
        <v>80</v>
      </c>
      <c r="C22" s="36" t="s">
        <v>17</v>
      </c>
      <c r="D22" s="36" t="s">
        <v>7</v>
      </c>
      <c r="E22" s="36" t="s">
        <v>73</v>
      </c>
      <c r="F22" s="68">
        <v>6.3266500000000003E-2</v>
      </c>
      <c r="G22" s="68">
        <f>F22</f>
        <v>6.3266500000000003E-2</v>
      </c>
      <c r="H22" s="68">
        <f t="shared" ref="H22:AE22" si="9">G22</f>
        <v>6.3266500000000003E-2</v>
      </c>
      <c r="I22" s="68">
        <f t="shared" si="9"/>
        <v>6.3266500000000003E-2</v>
      </c>
      <c r="J22" s="68">
        <f t="shared" si="9"/>
        <v>6.3266500000000003E-2</v>
      </c>
      <c r="K22" s="68">
        <f t="shared" si="9"/>
        <v>6.3266500000000003E-2</v>
      </c>
      <c r="L22" s="68">
        <f t="shared" si="9"/>
        <v>6.3266500000000003E-2</v>
      </c>
      <c r="M22" s="68">
        <f t="shared" si="9"/>
        <v>6.3266500000000003E-2</v>
      </c>
      <c r="N22" s="68">
        <f t="shared" si="9"/>
        <v>6.3266500000000003E-2</v>
      </c>
      <c r="O22" s="68">
        <f t="shared" si="9"/>
        <v>6.3266500000000003E-2</v>
      </c>
      <c r="P22" s="68">
        <f t="shared" si="9"/>
        <v>6.3266500000000003E-2</v>
      </c>
      <c r="Q22" s="68">
        <f t="shared" si="9"/>
        <v>6.3266500000000003E-2</v>
      </c>
      <c r="R22" s="68">
        <f t="shared" si="9"/>
        <v>6.3266500000000003E-2</v>
      </c>
      <c r="S22" s="68">
        <f t="shared" si="9"/>
        <v>6.3266500000000003E-2</v>
      </c>
      <c r="T22" s="68">
        <f t="shared" si="9"/>
        <v>6.3266500000000003E-2</v>
      </c>
      <c r="U22" s="68">
        <f t="shared" si="9"/>
        <v>6.3266500000000003E-2</v>
      </c>
      <c r="V22" s="68">
        <f t="shared" si="9"/>
        <v>6.3266500000000003E-2</v>
      </c>
      <c r="W22" s="68">
        <f t="shared" si="9"/>
        <v>6.3266500000000003E-2</v>
      </c>
      <c r="X22" s="68">
        <f t="shared" si="9"/>
        <v>6.3266500000000003E-2</v>
      </c>
      <c r="Y22" s="68">
        <f t="shared" si="9"/>
        <v>6.3266500000000003E-2</v>
      </c>
      <c r="Z22" s="68">
        <f t="shared" si="9"/>
        <v>6.3266500000000003E-2</v>
      </c>
      <c r="AA22" s="68">
        <f t="shared" si="9"/>
        <v>6.3266500000000003E-2</v>
      </c>
      <c r="AB22" s="68">
        <f t="shared" si="9"/>
        <v>6.3266500000000003E-2</v>
      </c>
      <c r="AC22" s="68">
        <f t="shared" si="9"/>
        <v>6.3266500000000003E-2</v>
      </c>
      <c r="AD22" s="68">
        <f t="shared" si="9"/>
        <v>6.3266500000000003E-2</v>
      </c>
      <c r="AE22" s="30">
        <f t="shared" si="9"/>
        <v>6.3266500000000003E-2</v>
      </c>
    </row>
    <row r="23" spans="2:31">
      <c r="B23" s="16" t="s">
        <v>80</v>
      </c>
      <c r="C23" s="36" t="s">
        <v>17</v>
      </c>
      <c r="D23" s="36" t="s">
        <v>62</v>
      </c>
      <c r="E23" s="36" t="s">
        <v>73</v>
      </c>
      <c r="F23" s="68">
        <v>7.5200000000000003E-2</v>
      </c>
      <c r="G23" s="68">
        <v>7.5200000000000003E-2</v>
      </c>
      <c r="H23" s="68">
        <v>7.5200000000000003E-2</v>
      </c>
      <c r="I23" s="68">
        <v>7.5200000000000003E-2</v>
      </c>
      <c r="J23" s="68">
        <v>7.5200000000000003E-2</v>
      </c>
      <c r="K23" s="68">
        <v>7.5200000000000003E-2</v>
      </c>
      <c r="L23" s="68">
        <v>7.5200000000000003E-2</v>
      </c>
      <c r="M23" s="68">
        <v>7.5200000000000003E-2</v>
      </c>
      <c r="N23" s="68">
        <v>7.5200000000000003E-2</v>
      </c>
      <c r="O23" s="68">
        <v>7.5200000000000003E-2</v>
      </c>
      <c r="P23" s="68">
        <v>7.5200000000000003E-2</v>
      </c>
      <c r="Q23" s="68">
        <v>7.5200000000000003E-2</v>
      </c>
      <c r="R23" s="68">
        <v>7.5200000000000003E-2</v>
      </c>
      <c r="S23" s="68">
        <v>7.5200000000000003E-2</v>
      </c>
      <c r="T23" s="68">
        <v>7.5200000000000003E-2</v>
      </c>
      <c r="U23" s="68">
        <v>7.5200000000000003E-2</v>
      </c>
      <c r="V23" s="68">
        <v>7.5200000000000003E-2</v>
      </c>
      <c r="W23" s="68">
        <v>7.5200000000000003E-2</v>
      </c>
      <c r="X23" s="68">
        <v>7.5200000000000003E-2</v>
      </c>
      <c r="Y23" s="68">
        <v>7.5200000000000003E-2</v>
      </c>
      <c r="Z23" s="68">
        <v>7.5200000000000003E-2</v>
      </c>
      <c r="AA23" s="68">
        <v>7.5200000000000003E-2</v>
      </c>
      <c r="AB23" s="68">
        <v>7.5200000000000003E-2</v>
      </c>
      <c r="AC23" s="68">
        <v>7.5200000000000003E-2</v>
      </c>
      <c r="AD23" s="68">
        <v>7.5200000000000003E-2</v>
      </c>
      <c r="AE23" s="30">
        <v>7.5200000000000003E-2</v>
      </c>
    </row>
    <row r="24" spans="2:31">
      <c r="B24" s="16" t="s">
        <v>80</v>
      </c>
      <c r="C24" s="36" t="s">
        <v>17</v>
      </c>
      <c r="D24" s="36" t="s">
        <v>71</v>
      </c>
      <c r="E24" s="36" t="s">
        <v>73</v>
      </c>
      <c r="F24" s="68">
        <v>9.2843999999999996E-2</v>
      </c>
      <c r="G24" s="68">
        <v>9.2843999999999996E-2</v>
      </c>
      <c r="H24" s="68">
        <v>9.2843999999999996E-2</v>
      </c>
      <c r="I24" s="68">
        <v>9.2843999999999996E-2</v>
      </c>
      <c r="J24" s="68">
        <v>9.2843999999999996E-2</v>
      </c>
      <c r="K24" s="68">
        <v>9.2843999999999996E-2</v>
      </c>
      <c r="L24" s="68">
        <v>9.2843999999999996E-2</v>
      </c>
      <c r="M24" s="68">
        <v>9.2843999999999996E-2</v>
      </c>
      <c r="N24" s="68">
        <v>9.2843999999999996E-2</v>
      </c>
      <c r="O24" s="68">
        <v>9.2843999999999996E-2</v>
      </c>
      <c r="P24" s="68">
        <v>9.2843999999999996E-2</v>
      </c>
      <c r="Q24" s="68">
        <v>9.2843999999999996E-2</v>
      </c>
      <c r="R24" s="68">
        <v>9.2843999999999996E-2</v>
      </c>
      <c r="S24" s="68">
        <v>9.2843999999999996E-2</v>
      </c>
      <c r="T24" s="68">
        <v>9.2843999999999996E-2</v>
      </c>
      <c r="U24" s="68">
        <v>9.2843999999999996E-2</v>
      </c>
      <c r="V24" s="68">
        <v>9.2843999999999996E-2</v>
      </c>
      <c r="W24" s="68">
        <v>9.2843999999999996E-2</v>
      </c>
      <c r="X24" s="68">
        <v>9.2843999999999996E-2</v>
      </c>
      <c r="Y24" s="68">
        <v>9.2843999999999996E-2</v>
      </c>
      <c r="Z24" s="68">
        <v>9.2843999999999996E-2</v>
      </c>
      <c r="AA24" s="68">
        <v>9.2843999999999996E-2</v>
      </c>
      <c r="AB24" s="68">
        <v>9.2843999999999996E-2</v>
      </c>
      <c r="AC24" s="68">
        <v>9.2843999999999996E-2</v>
      </c>
      <c r="AD24" s="68">
        <v>9.2843999999999996E-2</v>
      </c>
      <c r="AE24" s="30">
        <v>9.2843999999999996E-2</v>
      </c>
    </row>
    <row r="25" spans="2:31">
      <c r="B25" s="16" t="s">
        <v>81</v>
      </c>
      <c r="C25" s="36" t="s">
        <v>15</v>
      </c>
      <c r="D25" s="36" t="s">
        <v>4</v>
      </c>
      <c r="E25" s="36" t="s">
        <v>73</v>
      </c>
      <c r="F25" s="68">
        <v>7.4538999999999994E-2</v>
      </c>
      <c r="G25" s="68">
        <f>F25</f>
        <v>7.4538999999999994E-2</v>
      </c>
      <c r="H25" s="68">
        <f t="shared" ref="H25:AE25" si="10">G25</f>
        <v>7.4538999999999994E-2</v>
      </c>
      <c r="I25" s="68">
        <f t="shared" si="10"/>
        <v>7.4538999999999994E-2</v>
      </c>
      <c r="J25" s="68">
        <f t="shared" si="10"/>
        <v>7.4538999999999994E-2</v>
      </c>
      <c r="K25" s="68">
        <f t="shared" si="10"/>
        <v>7.4538999999999994E-2</v>
      </c>
      <c r="L25" s="68">
        <f t="shared" si="10"/>
        <v>7.4538999999999994E-2</v>
      </c>
      <c r="M25" s="68">
        <f t="shared" si="10"/>
        <v>7.4538999999999994E-2</v>
      </c>
      <c r="N25" s="68">
        <f t="shared" si="10"/>
        <v>7.4538999999999994E-2</v>
      </c>
      <c r="O25" s="68">
        <f t="shared" si="10"/>
        <v>7.4538999999999994E-2</v>
      </c>
      <c r="P25" s="68">
        <f t="shared" si="10"/>
        <v>7.4538999999999994E-2</v>
      </c>
      <c r="Q25" s="68">
        <f t="shared" si="10"/>
        <v>7.4538999999999994E-2</v>
      </c>
      <c r="R25" s="68">
        <f t="shared" si="10"/>
        <v>7.4538999999999994E-2</v>
      </c>
      <c r="S25" s="68">
        <f t="shared" si="10"/>
        <v>7.4538999999999994E-2</v>
      </c>
      <c r="T25" s="68">
        <f t="shared" si="10"/>
        <v>7.4538999999999994E-2</v>
      </c>
      <c r="U25" s="68">
        <f t="shared" si="10"/>
        <v>7.4538999999999994E-2</v>
      </c>
      <c r="V25" s="68">
        <f t="shared" si="10"/>
        <v>7.4538999999999994E-2</v>
      </c>
      <c r="W25" s="68">
        <f t="shared" si="10"/>
        <v>7.4538999999999994E-2</v>
      </c>
      <c r="X25" s="68">
        <f t="shared" si="10"/>
        <v>7.4538999999999994E-2</v>
      </c>
      <c r="Y25" s="68">
        <f t="shared" si="10"/>
        <v>7.4538999999999994E-2</v>
      </c>
      <c r="Z25" s="68">
        <f t="shared" si="10"/>
        <v>7.4538999999999994E-2</v>
      </c>
      <c r="AA25" s="68">
        <f t="shared" si="10"/>
        <v>7.4538999999999994E-2</v>
      </c>
      <c r="AB25" s="68">
        <f t="shared" si="10"/>
        <v>7.4538999999999994E-2</v>
      </c>
      <c r="AC25" s="68">
        <f t="shared" si="10"/>
        <v>7.4538999999999994E-2</v>
      </c>
      <c r="AD25" s="68">
        <f t="shared" si="10"/>
        <v>7.4538999999999994E-2</v>
      </c>
      <c r="AE25" s="30">
        <f t="shared" si="10"/>
        <v>7.4538999999999994E-2</v>
      </c>
    </row>
    <row r="26" spans="2:31">
      <c r="B26" s="16" t="s">
        <v>81</v>
      </c>
      <c r="C26" s="36" t="s">
        <v>15</v>
      </c>
      <c r="D26" s="36" t="s">
        <v>8</v>
      </c>
      <c r="E26" s="36" t="s">
        <v>73</v>
      </c>
      <c r="F26" s="68">
        <v>0</v>
      </c>
      <c r="G26" s="68">
        <v>0</v>
      </c>
      <c r="H26" s="68">
        <v>0</v>
      </c>
      <c r="I26" s="68">
        <v>0</v>
      </c>
      <c r="J26" s="68">
        <v>0</v>
      </c>
      <c r="K26" s="68">
        <v>0</v>
      </c>
      <c r="L26" s="68">
        <v>0</v>
      </c>
      <c r="M26" s="68">
        <v>0</v>
      </c>
      <c r="N26" s="68">
        <v>0</v>
      </c>
      <c r="O26" s="68">
        <v>0</v>
      </c>
      <c r="P26" s="68">
        <v>0</v>
      </c>
      <c r="Q26" s="68">
        <v>0</v>
      </c>
      <c r="R26" s="68">
        <v>0</v>
      </c>
      <c r="S26" s="68">
        <v>0</v>
      </c>
      <c r="T26" s="68">
        <v>0</v>
      </c>
      <c r="U26" s="68">
        <v>0</v>
      </c>
      <c r="V26" s="68">
        <v>0</v>
      </c>
      <c r="W26" s="68">
        <v>0</v>
      </c>
      <c r="X26" s="68">
        <v>0</v>
      </c>
      <c r="Y26" s="68">
        <v>0</v>
      </c>
      <c r="Z26" s="68">
        <v>0</v>
      </c>
      <c r="AA26" s="68">
        <v>0</v>
      </c>
      <c r="AB26" s="68">
        <v>0</v>
      </c>
      <c r="AC26" s="68">
        <v>0</v>
      </c>
      <c r="AD26" s="68">
        <v>0</v>
      </c>
      <c r="AE26" s="30">
        <v>0</v>
      </c>
    </row>
    <row r="27" spans="2:31">
      <c r="B27" s="16" t="s">
        <v>81</v>
      </c>
      <c r="C27" s="36" t="s">
        <v>15</v>
      </c>
      <c r="D27" s="36" t="s">
        <v>2</v>
      </c>
      <c r="E27" s="36" t="s">
        <v>73</v>
      </c>
      <c r="F27" s="68">
        <v>6.9738999999999995E-2</v>
      </c>
      <c r="G27" s="68">
        <f>F27</f>
        <v>6.9738999999999995E-2</v>
      </c>
      <c r="H27" s="68">
        <f t="shared" ref="H27:AE27" si="11">G27</f>
        <v>6.9738999999999995E-2</v>
      </c>
      <c r="I27" s="68">
        <f t="shared" si="11"/>
        <v>6.9738999999999995E-2</v>
      </c>
      <c r="J27" s="68">
        <f t="shared" si="11"/>
        <v>6.9738999999999995E-2</v>
      </c>
      <c r="K27" s="68">
        <f t="shared" si="11"/>
        <v>6.9738999999999995E-2</v>
      </c>
      <c r="L27" s="68">
        <f t="shared" si="11"/>
        <v>6.9738999999999995E-2</v>
      </c>
      <c r="M27" s="68">
        <f t="shared" si="11"/>
        <v>6.9738999999999995E-2</v>
      </c>
      <c r="N27" s="68">
        <f t="shared" si="11"/>
        <v>6.9738999999999995E-2</v>
      </c>
      <c r="O27" s="68">
        <f t="shared" si="11"/>
        <v>6.9738999999999995E-2</v>
      </c>
      <c r="P27" s="68">
        <f t="shared" si="11"/>
        <v>6.9738999999999995E-2</v>
      </c>
      <c r="Q27" s="68">
        <f t="shared" si="11"/>
        <v>6.9738999999999995E-2</v>
      </c>
      <c r="R27" s="68">
        <f t="shared" si="11"/>
        <v>6.9738999999999995E-2</v>
      </c>
      <c r="S27" s="68">
        <f t="shared" si="11"/>
        <v>6.9738999999999995E-2</v>
      </c>
      <c r="T27" s="68">
        <f t="shared" si="11"/>
        <v>6.9738999999999995E-2</v>
      </c>
      <c r="U27" s="68">
        <f t="shared" si="11"/>
        <v>6.9738999999999995E-2</v>
      </c>
      <c r="V27" s="68">
        <f t="shared" si="11"/>
        <v>6.9738999999999995E-2</v>
      </c>
      <c r="W27" s="68">
        <f t="shared" si="11"/>
        <v>6.9738999999999995E-2</v>
      </c>
      <c r="X27" s="68">
        <f t="shared" si="11"/>
        <v>6.9738999999999995E-2</v>
      </c>
      <c r="Y27" s="68">
        <f t="shared" si="11"/>
        <v>6.9738999999999995E-2</v>
      </c>
      <c r="Z27" s="68">
        <f t="shared" si="11"/>
        <v>6.9738999999999995E-2</v>
      </c>
      <c r="AA27" s="68">
        <f t="shared" si="11"/>
        <v>6.9738999999999995E-2</v>
      </c>
      <c r="AB27" s="68">
        <f t="shared" si="11"/>
        <v>6.9738999999999995E-2</v>
      </c>
      <c r="AC27" s="68">
        <f t="shared" si="11"/>
        <v>6.9738999999999995E-2</v>
      </c>
      <c r="AD27" s="68">
        <f t="shared" si="11"/>
        <v>6.9738999999999995E-2</v>
      </c>
      <c r="AE27" s="30">
        <f t="shared" si="11"/>
        <v>6.9738999999999995E-2</v>
      </c>
    </row>
    <row r="28" spans="2:31">
      <c r="B28" s="16" t="s">
        <v>81</v>
      </c>
      <c r="C28" s="36" t="s">
        <v>15</v>
      </c>
      <c r="D28" s="36" t="s">
        <v>13</v>
      </c>
      <c r="E28" s="36" t="s">
        <v>73</v>
      </c>
      <c r="F28" s="68">
        <v>7.1743000000000001E-2</v>
      </c>
      <c r="G28" s="68">
        <v>7.1743000000000001E-2</v>
      </c>
      <c r="H28" s="68">
        <v>7.1743000000000001E-2</v>
      </c>
      <c r="I28" s="68">
        <v>7.1743000000000001E-2</v>
      </c>
      <c r="J28" s="68">
        <v>7.1743000000000001E-2</v>
      </c>
      <c r="K28" s="68">
        <v>7.1743000000000001E-2</v>
      </c>
      <c r="L28" s="68">
        <v>7.1743000000000001E-2</v>
      </c>
      <c r="M28" s="68">
        <v>7.1743000000000001E-2</v>
      </c>
      <c r="N28" s="68">
        <v>7.1743000000000001E-2</v>
      </c>
      <c r="O28" s="68">
        <v>7.1743000000000001E-2</v>
      </c>
      <c r="P28" s="68">
        <v>7.1743000000000001E-2</v>
      </c>
      <c r="Q28" s="68">
        <v>7.1743000000000001E-2</v>
      </c>
      <c r="R28" s="68">
        <v>7.1743000000000001E-2</v>
      </c>
      <c r="S28" s="68">
        <v>7.1743000000000001E-2</v>
      </c>
      <c r="T28" s="68">
        <v>7.1743000000000001E-2</v>
      </c>
      <c r="U28" s="68">
        <v>7.1743000000000001E-2</v>
      </c>
      <c r="V28" s="68">
        <v>7.1743000000000001E-2</v>
      </c>
      <c r="W28" s="68">
        <v>7.1743000000000001E-2</v>
      </c>
      <c r="X28" s="68">
        <v>7.1743000000000001E-2</v>
      </c>
      <c r="Y28" s="68">
        <v>7.1743000000000001E-2</v>
      </c>
      <c r="Z28" s="68">
        <v>7.1743000000000001E-2</v>
      </c>
      <c r="AA28" s="68">
        <v>7.1743000000000001E-2</v>
      </c>
      <c r="AB28" s="68">
        <v>7.1743000000000001E-2</v>
      </c>
      <c r="AC28" s="68">
        <v>7.1743000000000001E-2</v>
      </c>
      <c r="AD28" s="68">
        <v>7.1743000000000001E-2</v>
      </c>
      <c r="AE28" s="30">
        <v>7.1743000000000001E-2</v>
      </c>
    </row>
    <row r="29" spans="2:31">
      <c r="B29" s="16" t="s">
        <v>81</v>
      </c>
      <c r="C29" s="36" t="s">
        <v>15</v>
      </c>
      <c r="D29" s="36" t="s">
        <v>7</v>
      </c>
      <c r="E29" s="36" t="s">
        <v>73</v>
      </c>
      <c r="F29" s="68">
        <v>6.3266500000000003E-2</v>
      </c>
      <c r="G29" s="68">
        <f>F29</f>
        <v>6.3266500000000003E-2</v>
      </c>
      <c r="H29" s="68">
        <f t="shared" ref="H29:AE29" si="12">G29</f>
        <v>6.3266500000000003E-2</v>
      </c>
      <c r="I29" s="68">
        <f t="shared" si="12"/>
        <v>6.3266500000000003E-2</v>
      </c>
      <c r="J29" s="68">
        <f t="shared" si="12"/>
        <v>6.3266500000000003E-2</v>
      </c>
      <c r="K29" s="68">
        <f t="shared" si="12"/>
        <v>6.3266500000000003E-2</v>
      </c>
      <c r="L29" s="68">
        <f t="shared" si="12"/>
        <v>6.3266500000000003E-2</v>
      </c>
      <c r="M29" s="68">
        <f t="shared" si="12"/>
        <v>6.3266500000000003E-2</v>
      </c>
      <c r="N29" s="68">
        <f t="shared" si="12"/>
        <v>6.3266500000000003E-2</v>
      </c>
      <c r="O29" s="68">
        <f t="shared" si="12"/>
        <v>6.3266500000000003E-2</v>
      </c>
      <c r="P29" s="68">
        <f t="shared" si="12"/>
        <v>6.3266500000000003E-2</v>
      </c>
      <c r="Q29" s="68">
        <f t="shared" si="12"/>
        <v>6.3266500000000003E-2</v>
      </c>
      <c r="R29" s="68">
        <f t="shared" si="12"/>
        <v>6.3266500000000003E-2</v>
      </c>
      <c r="S29" s="68">
        <f t="shared" si="12"/>
        <v>6.3266500000000003E-2</v>
      </c>
      <c r="T29" s="68">
        <f t="shared" si="12"/>
        <v>6.3266500000000003E-2</v>
      </c>
      <c r="U29" s="68">
        <f t="shared" si="12"/>
        <v>6.3266500000000003E-2</v>
      </c>
      <c r="V29" s="68">
        <f t="shared" si="12"/>
        <v>6.3266500000000003E-2</v>
      </c>
      <c r="W29" s="68">
        <f t="shared" si="12"/>
        <v>6.3266500000000003E-2</v>
      </c>
      <c r="X29" s="68">
        <f t="shared" si="12"/>
        <v>6.3266500000000003E-2</v>
      </c>
      <c r="Y29" s="68">
        <f t="shared" si="12"/>
        <v>6.3266500000000003E-2</v>
      </c>
      <c r="Z29" s="68">
        <f t="shared" si="12"/>
        <v>6.3266500000000003E-2</v>
      </c>
      <c r="AA29" s="68">
        <f t="shared" si="12"/>
        <v>6.3266500000000003E-2</v>
      </c>
      <c r="AB29" s="68">
        <f t="shared" si="12"/>
        <v>6.3266500000000003E-2</v>
      </c>
      <c r="AC29" s="68">
        <f t="shared" si="12"/>
        <v>6.3266500000000003E-2</v>
      </c>
      <c r="AD29" s="68">
        <f t="shared" si="12"/>
        <v>6.3266500000000003E-2</v>
      </c>
      <c r="AE29" s="30">
        <f t="shared" si="12"/>
        <v>6.3266500000000003E-2</v>
      </c>
    </row>
    <row r="30" spans="2:31">
      <c r="B30" s="16" t="s">
        <v>81</v>
      </c>
      <c r="C30" s="36" t="s">
        <v>15</v>
      </c>
      <c r="D30" s="36" t="s">
        <v>72</v>
      </c>
      <c r="E30" s="36" t="s">
        <v>73</v>
      </c>
      <c r="F30" s="68">
        <v>0</v>
      </c>
      <c r="G30" s="68">
        <v>0</v>
      </c>
      <c r="H30" s="68">
        <v>0</v>
      </c>
      <c r="I30" s="68">
        <v>0</v>
      </c>
      <c r="J30" s="68">
        <v>0</v>
      </c>
      <c r="K30" s="68">
        <v>0</v>
      </c>
      <c r="L30" s="68">
        <v>0</v>
      </c>
      <c r="M30" s="68">
        <v>0</v>
      </c>
      <c r="N30" s="68">
        <v>0</v>
      </c>
      <c r="O30" s="68">
        <v>0</v>
      </c>
      <c r="P30" s="68">
        <v>0</v>
      </c>
      <c r="Q30" s="68">
        <v>0</v>
      </c>
      <c r="R30" s="68">
        <v>0</v>
      </c>
      <c r="S30" s="68">
        <v>0</v>
      </c>
      <c r="T30" s="68">
        <v>0</v>
      </c>
      <c r="U30" s="68">
        <v>0</v>
      </c>
      <c r="V30" s="68">
        <v>0</v>
      </c>
      <c r="W30" s="68">
        <v>0</v>
      </c>
      <c r="X30" s="68">
        <v>0</v>
      </c>
      <c r="Y30" s="68">
        <v>0</v>
      </c>
      <c r="Z30" s="68">
        <v>0</v>
      </c>
      <c r="AA30" s="68">
        <v>0</v>
      </c>
      <c r="AB30" s="68">
        <v>0</v>
      </c>
      <c r="AC30" s="68">
        <v>0</v>
      </c>
      <c r="AD30" s="68">
        <v>0</v>
      </c>
      <c r="AE30" s="30">
        <v>0</v>
      </c>
    </row>
    <row r="31" spans="2:31">
      <c r="B31" s="16" t="s">
        <v>82</v>
      </c>
      <c r="C31" s="36" t="s">
        <v>11</v>
      </c>
      <c r="D31" s="36" t="s">
        <v>8</v>
      </c>
      <c r="E31" s="36" t="s">
        <v>73</v>
      </c>
      <c r="F31" s="68">
        <v>0</v>
      </c>
      <c r="G31" s="68">
        <v>0</v>
      </c>
      <c r="H31" s="68">
        <v>0</v>
      </c>
      <c r="I31" s="68">
        <v>0</v>
      </c>
      <c r="J31" s="68">
        <v>0</v>
      </c>
      <c r="K31" s="68">
        <v>0</v>
      </c>
      <c r="L31" s="68">
        <v>0</v>
      </c>
      <c r="M31" s="68">
        <v>0</v>
      </c>
      <c r="N31" s="68">
        <v>0</v>
      </c>
      <c r="O31" s="68">
        <v>0</v>
      </c>
      <c r="P31" s="68">
        <v>0</v>
      </c>
      <c r="Q31" s="68">
        <v>0</v>
      </c>
      <c r="R31" s="68">
        <v>0</v>
      </c>
      <c r="S31" s="68">
        <v>0</v>
      </c>
      <c r="T31" s="68">
        <v>0</v>
      </c>
      <c r="U31" s="68">
        <v>0</v>
      </c>
      <c r="V31" s="68">
        <v>0</v>
      </c>
      <c r="W31" s="68">
        <v>0</v>
      </c>
      <c r="X31" s="68">
        <v>0</v>
      </c>
      <c r="Y31" s="68">
        <v>0</v>
      </c>
      <c r="Z31" s="68">
        <v>0</v>
      </c>
      <c r="AA31" s="68">
        <v>0</v>
      </c>
      <c r="AB31" s="68">
        <v>0</v>
      </c>
      <c r="AC31" s="68">
        <v>0</v>
      </c>
      <c r="AD31" s="68">
        <v>0</v>
      </c>
      <c r="AE31" s="30">
        <v>0</v>
      </c>
    </row>
    <row r="32" spans="2:31">
      <c r="B32" s="16" t="s">
        <v>82</v>
      </c>
      <c r="C32" s="36" t="s">
        <v>11</v>
      </c>
      <c r="D32" s="36" t="s">
        <v>14</v>
      </c>
      <c r="E32" s="36" t="s">
        <v>73</v>
      </c>
      <c r="F32" s="68">
        <v>5.6154500000000003E-2</v>
      </c>
      <c r="G32" s="68">
        <v>5.6154500000000003E-2</v>
      </c>
      <c r="H32" s="68">
        <v>5.6154500000000003E-2</v>
      </c>
      <c r="I32" s="68">
        <v>5.6154500000000003E-2</v>
      </c>
      <c r="J32" s="68">
        <v>5.6154500000000003E-2</v>
      </c>
      <c r="K32" s="68">
        <v>5.6154500000000003E-2</v>
      </c>
      <c r="L32" s="68">
        <v>5.6154500000000003E-2</v>
      </c>
      <c r="M32" s="68">
        <v>5.6154500000000003E-2</v>
      </c>
      <c r="N32" s="68">
        <v>5.6154500000000003E-2</v>
      </c>
      <c r="O32" s="68">
        <v>5.6154500000000003E-2</v>
      </c>
      <c r="P32" s="68">
        <v>5.6154500000000003E-2</v>
      </c>
      <c r="Q32" s="68">
        <v>5.6154500000000003E-2</v>
      </c>
      <c r="R32" s="68">
        <v>5.6154500000000003E-2</v>
      </c>
      <c r="S32" s="68">
        <v>5.6154500000000003E-2</v>
      </c>
      <c r="T32" s="68">
        <v>5.6154500000000003E-2</v>
      </c>
      <c r="U32" s="68">
        <v>5.6154500000000003E-2</v>
      </c>
      <c r="V32" s="68">
        <v>5.6154500000000003E-2</v>
      </c>
      <c r="W32" s="68">
        <v>5.6154500000000003E-2</v>
      </c>
      <c r="X32" s="68">
        <v>5.6154500000000003E-2</v>
      </c>
      <c r="Y32" s="68">
        <v>5.6154500000000003E-2</v>
      </c>
      <c r="Z32" s="68">
        <v>5.6154500000000003E-2</v>
      </c>
      <c r="AA32" s="68">
        <v>5.6154500000000003E-2</v>
      </c>
      <c r="AB32" s="68">
        <v>5.6154500000000003E-2</v>
      </c>
      <c r="AC32" s="68">
        <v>5.6154500000000003E-2</v>
      </c>
      <c r="AD32" s="68">
        <v>5.6154500000000003E-2</v>
      </c>
      <c r="AE32" s="30">
        <v>5.6154500000000003E-2</v>
      </c>
    </row>
    <row r="33" spans="2:31">
      <c r="B33" s="16" t="s">
        <v>82</v>
      </c>
      <c r="C33" s="36" t="s">
        <v>11</v>
      </c>
      <c r="D33" s="36" t="s">
        <v>13</v>
      </c>
      <c r="E33" s="36" t="s">
        <v>73</v>
      </c>
      <c r="F33" s="68">
        <v>7.1743000000000001E-2</v>
      </c>
      <c r="G33" s="68">
        <v>7.1743000000000001E-2</v>
      </c>
      <c r="H33" s="68">
        <v>7.1743000000000001E-2</v>
      </c>
      <c r="I33" s="68">
        <v>7.1743000000000001E-2</v>
      </c>
      <c r="J33" s="68">
        <v>7.1743000000000001E-2</v>
      </c>
      <c r="K33" s="68">
        <v>7.1743000000000001E-2</v>
      </c>
      <c r="L33" s="68">
        <v>7.1743000000000001E-2</v>
      </c>
      <c r="M33" s="68">
        <v>7.1743000000000001E-2</v>
      </c>
      <c r="N33" s="68">
        <v>7.1743000000000001E-2</v>
      </c>
      <c r="O33" s="68">
        <v>7.1743000000000001E-2</v>
      </c>
      <c r="P33" s="68">
        <v>7.1743000000000001E-2</v>
      </c>
      <c r="Q33" s="68">
        <v>7.1743000000000001E-2</v>
      </c>
      <c r="R33" s="68">
        <v>7.1743000000000001E-2</v>
      </c>
      <c r="S33" s="68">
        <v>7.1743000000000001E-2</v>
      </c>
      <c r="T33" s="68">
        <v>7.1743000000000001E-2</v>
      </c>
      <c r="U33" s="68">
        <v>7.1743000000000001E-2</v>
      </c>
      <c r="V33" s="68">
        <v>7.1743000000000001E-2</v>
      </c>
      <c r="W33" s="68">
        <v>7.1743000000000001E-2</v>
      </c>
      <c r="X33" s="68">
        <v>7.1743000000000001E-2</v>
      </c>
      <c r="Y33" s="68">
        <v>7.1743000000000001E-2</v>
      </c>
      <c r="Z33" s="68">
        <v>7.1743000000000001E-2</v>
      </c>
      <c r="AA33" s="68">
        <v>7.1743000000000001E-2</v>
      </c>
      <c r="AB33" s="68">
        <v>7.1743000000000001E-2</v>
      </c>
      <c r="AC33" s="68">
        <v>7.1743000000000001E-2</v>
      </c>
      <c r="AD33" s="68">
        <v>7.1743000000000001E-2</v>
      </c>
      <c r="AE33" s="30">
        <v>7.1743000000000001E-2</v>
      </c>
    </row>
    <row r="34" spans="2:31">
      <c r="B34" s="16" t="s">
        <v>82</v>
      </c>
      <c r="C34" s="36" t="s">
        <v>11</v>
      </c>
      <c r="D34" s="36" t="s">
        <v>12</v>
      </c>
      <c r="E34" s="36" t="s">
        <v>73</v>
      </c>
      <c r="F34" s="68">
        <f>(0*1+300*28+4*265)/1000000</f>
        <v>9.4599999999999997E-3</v>
      </c>
      <c r="G34" s="68">
        <f t="shared" ref="G34:AE34" si="13">(0*1+300*28+4*265)/1000000</f>
        <v>9.4599999999999997E-3</v>
      </c>
      <c r="H34" s="68">
        <f t="shared" si="13"/>
        <v>9.4599999999999997E-3</v>
      </c>
      <c r="I34" s="68">
        <f t="shared" si="13"/>
        <v>9.4599999999999997E-3</v>
      </c>
      <c r="J34" s="68">
        <f t="shared" si="13"/>
        <v>9.4599999999999997E-3</v>
      </c>
      <c r="K34" s="68">
        <f t="shared" si="13"/>
        <v>9.4599999999999997E-3</v>
      </c>
      <c r="L34" s="68">
        <f t="shared" si="13"/>
        <v>9.4599999999999997E-3</v>
      </c>
      <c r="M34" s="68">
        <f t="shared" si="13"/>
        <v>9.4599999999999997E-3</v>
      </c>
      <c r="N34" s="68">
        <f t="shared" si="13"/>
        <v>9.4599999999999997E-3</v>
      </c>
      <c r="O34" s="68">
        <f t="shared" si="13"/>
        <v>9.4599999999999997E-3</v>
      </c>
      <c r="P34" s="68">
        <f t="shared" si="13"/>
        <v>9.4599999999999997E-3</v>
      </c>
      <c r="Q34" s="68">
        <f t="shared" si="13"/>
        <v>9.4599999999999997E-3</v>
      </c>
      <c r="R34" s="68">
        <f t="shared" si="13"/>
        <v>9.4599999999999997E-3</v>
      </c>
      <c r="S34" s="68">
        <f t="shared" si="13"/>
        <v>9.4599999999999997E-3</v>
      </c>
      <c r="T34" s="68">
        <f t="shared" si="13"/>
        <v>9.4599999999999997E-3</v>
      </c>
      <c r="U34" s="68">
        <f t="shared" si="13"/>
        <v>9.4599999999999997E-3</v>
      </c>
      <c r="V34" s="68">
        <f t="shared" si="13"/>
        <v>9.4599999999999997E-3</v>
      </c>
      <c r="W34" s="68">
        <f t="shared" si="13"/>
        <v>9.4599999999999997E-3</v>
      </c>
      <c r="X34" s="68">
        <f t="shared" si="13"/>
        <v>9.4599999999999997E-3</v>
      </c>
      <c r="Y34" s="68">
        <f t="shared" si="13"/>
        <v>9.4599999999999997E-3</v>
      </c>
      <c r="Z34" s="68">
        <f t="shared" si="13"/>
        <v>9.4599999999999997E-3</v>
      </c>
      <c r="AA34" s="68">
        <f t="shared" si="13"/>
        <v>9.4599999999999997E-3</v>
      </c>
      <c r="AB34" s="68">
        <f t="shared" si="13"/>
        <v>9.4599999999999997E-3</v>
      </c>
      <c r="AC34" s="68">
        <f t="shared" si="13"/>
        <v>9.4599999999999997E-3</v>
      </c>
      <c r="AD34" s="68">
        <f t="shared" si="13"/>
        <v>9.4599999999999997E-3</v>
      </c>
      <c r="AE34" s="30">
        <f t="shared" si="13"/>
        <v>9.4599999999999997E-3</v>
      </c>
    </row>
    <row r="35" spans="2:31">
      <c r="B35" s="16" t="s">
        <v>82</v>
      </c>
      <c r="C35" s="36" t="s">
        <v>11</v>
      </c>
      <c r="D35" s="36" t="s">
        <v>7</v>
      </c>
      <c r="E35" s="36" t="s">
        <v>73</v>
      </c>
      <c r="F35" s="68">
        <v>6.3266500000000003E-2</v>
      </c>
      <c r="G35" s="68">
        <f>F35</f>
        <v>6.3266500000000003E-2</v>
      </c>
      <c r="H35" s="68">
        <f t="shared" ref="H35:AE35" si="14">G35</f>
        <v>6.3266500000000003E-2</v>
      </c>
      <c r="I35" s="68">
        <f t="shared" si="14"/>
        <v>6.3266500000000003E-2</v>
      </c>
      <c r="J35" s="68">
        <f t="shared" si="14"/>
        <v>6.3266500000000003E-2</v>
      </c>
      <c r="K35" s="68">
        <f t="shared" si="14"/>
        <v>6.3266500000000003E-2</v>
      </c>
      <c r="L35" s="68">
        <f t="shared" si="14"/>
        <v>6.3266500000000003E-2</v>
      </c>
      <c r="M35" s="68">
        <f t="shared" si="14"/>
        <v>6.3266500000000003E-2</v>
      </c>
      <c r="N35" s="68">
        <f t="shared" si="14"/>
        <v>6.3266500000000003E-2</v>
      </c>
      <c r="O35" s="68">
        <f t="shared" si="14"/>
        <v>6.3266500000000003E-2</v>
      </c>
      <c r="P35" s="68">
        <f t="shared" si="14"/>
        <v>6.3266500000000003E-2</v>
      </c>
      <c r="Q35" s="68">
        <f t="shared" si="14"/>
        <v>6.3266500000000003E-2</v>
      </c>
      <c r="R35" s="68">
        <f t="shared" si="14"/>
        <v>6.3266500000000003E-2</v>
      </c>
      <c r="S35" s="68">
        <f t="shared" si="14"/>
        <v>6.3266500000000003E-2</v>
      </c>
      <c r="T35" s="68">
        <f t="shared" si="14"/>
        <v>6.3266500000000003E-2</v>
      </c>
      <c r="U35" s="68">
        <f t="shared" si="14"/>
        <v>6.3266500000000003E-2</v>
      </c>
      <c r="V35" s="68">
        <f t="shared" si="14"/>
        <v>6.3266500000000003E-2</v>
      </c>
      <c r="W35" s="68">
        <f t="shared" si="14"/>
        <v>6.3266500000000003E-2</v>
      </c>
      <c r="X35" s="68">
        <f t="shared" si="14"/>
        <v>6.3266500000000003E-2</v>
      </c>
      <c r="Y35" s="68">
        <f t="shared" si="14"/>
        <v>6.3266500000000003E-2</v>
      </c>
      <c r="Z35" s="68">
        <f t="shared" si="14"/>
        <v>6.3266500000000003E-2</v>
      </c>
      <c r="AA35" s="68">
        <f t="shared" si="14"/>
        <v>6.3266500000000003E-2</v>
      </c>
      <c r="AB35" s="68">
        <f t="shared" si="14"/>
        <v>6.3266500000000003E-2</v>
      </c>
      <c r="AC35" s="68">
        <f t="shared" si="14"/>
        <v>6.3266500000000003E-2</v>
      </c>
      <c r="AD35" s="68">
        <f t="shared" si="14"/>
        <v>6.3266500000000003E-2</v>
      </c>
      <c r="AE35" s="30">
        <f t="shared" si="14"/>
        <v>6.3266500000000003E-2</v>
      </c>
    </row>
    <row r="36" spans="2:31">
      <c r="B36" s="16" t="s">
        <v>83</v>
      </c>
      <c r="C36" s="36" t="s">
        <v>9</v>
      </c>
      <c r="D36" s="36" t="s">
        <v>2</v>
      </c>
      <c r="E36" s="36" t="s">
        <v>73</v>
      </c>
      <c r="F36" s="68">
        <v>7.0608500000000005E-2</v>
      </c>
      <c r="G36" s="68">
        <f>F36</f>
        <v>7.0608500000000005E-2</v>
      </c>
      <c r="H36" s="68">
        <f t="shared" ref="H36:AE36" si="15">G36</f>
        <v>7.0608500000000005E-2</v>
      </c>
      <c r="I36" s="68">
        <f t="shared" si="15"/>
        <v>7.0608500000000005E-2</v>
      </c>
      <c r="J36" s="68">
        <f t="shared" si="15"/>
        <v>7.0608500000000005E-2</v>
      </c>
      <c r="K36" s="68">
        <f t="shared" si="15"/>
        <v>7.0608500000000005E-2</v>
      </c>
      <c r="L36" s="68">
        <f t="shared" si="15"/>
        <v>7.0608500000000005E-2</v>
      </c>
      <c r="M36" s="68">
        <f t="shared" si="15"/>
        <v>7.0608500000000005E-2</v>
      </c>
      <c r="N36" s="68">
        <f t="shared" si="15"/>
        <v>7.0608500000000005E-2</v>
      </c>
      <c r="O36" s="68">
        <f t="shared" si="15"/>
        <v>7.0608500000000005E-2</v>
      </c>
      <c r="P36" s="68">
        <f t="shared" si="15"/>
        <v>7.0608500000000005E-2</v>
      </c>
      <c r="Q36" s="68">
        <f t="shared" si="15"/>
        <v>7.0608500000000005E-2</v>
      </c>
      <c r="R36" s="68">
        <f t="shared" si="15"/>
        <v>7.0608500000000005E-2</v>
      </c>
      <c r="S36" s="68">
        <f t="shared" si="15"/>
        <v>7.0608500000000005E-2</v>
      </c>
      <c r="T36" s="68">
        <f t="shared" si="15"/>
        <v>7.0608500000000005E-2</v>
      </c>
      <c r="U36" s="68">
        <f t="shared" si="15"/>
        <v>7.0608500000000005E-2</v>
      </c>
      <c r="V36" s="68">
        <f t="shared" si="15"/>
        <v>7.0608500000000005E-2</v>
      </c>
      <c r="W36" s="68">
        <f t="shared" si="15"/>
        <v>7.0608500000000005E-2</v>
      </c>
      <c r="X36" s="68">
        <f t="shared" si="15"/>
        <v>7.0608500000000005E-2</v>
      </c>
      <c r="Y36" s="68">
        <f t="shared" si="15"/>
        <v>7.0608500000000005E-2</v>
      </c>
      <c r="Z36" s="68">
        <f t="shared" si="15"/>
        <v>7.0608500000000005E-2</v>
      </c>
      <c r="AA36" s="68">
        <f t="shared" si="15"/>
        <v>7.0608500000000005E-2</v>
      </c>
      <c r="AB36" s="68">
        <f t="shared" si="15"/>
        <v>7.0608500000000005E-2</v>
      </c>
      <c r="AC36" s="68">
        <f t="shared" si="15"/>
        <v>7.0608500000000005E-2</v>
      </c>
      <c r="AD36" s="68">
        <f t="shared" si="15"/>
        <v>7.0608500000000005E-2</v>
      </c>
      <c r="AE36" s="30">
        <f t="shared" si="15"/>
        <v>7.0608500000000005E-2</v>
      </c>
    </row>
    <row r="37" spans="2:31">
      <c r="B37" s="16" t="s">
        <v>83</v>
      </c>
      <c r="C37" s="36" t="s">
        <v>9</v>
      </c>
      <c r="D37" s="36" t="s">
        <v>10</v>
      </c>
      <c r="E37" s="36" t="s">
        <v>73</v>
      </c>
      <c r="F37" s="68">
        <v>7.1743000000000001E-2</v>
      </c>
      <c r="G37" s="68">
        <v>7.1743000000000001E-2</v>
      </c>
      <c r="H37" s="68">
        <v>7.1743000000000001E-2</v>
      </c>
      <c r="I37" s="68">
        <v>7.1743000000000001E-2</v>
      </c>
      <c r="J37" s="68">
        <v>7.1743000000000001E-2</v>
      </c>
      <c r="K37" s="68">
        <v>7.1743000000000001E-2</v>
      </c>
      <c r="L37" s="68">
        <v>7.1743000000000001E-2</v>
      </c>
      <c r="M37" s="68">
        <v>7.1743000000000001E-2</v>
      </c>
      <c r="N37" s="68">
        <v>7.1743000000000001E-2</v>
      </c>
      <c r="O37" s="68">
        <v>7.1743000000000001E-2</v>
      </c>
      <c r="P37" s="68">
        <v>7.1743000000000001E-2</v>
      </c>
      <c r="Q37" s="68">
        <v>7.1743000000000001E-2</v>
      </c>
      <c r="R37" s="68">
        <v>7.1743000000000001E-2</v>
      </c>
      <c r="S37" s="68">
        <v>7.1743000000000001E-2</v>
      </c>
      <c r="T37" s="68">
        <v>7.1743000000000001E-2</v>
      </c>
      <c r="U37" s="68">
        <v>7.1743000000000001E-2</v>
      </c>
      <c r="V37" s="68">
        <v>7.1743000000000001E-2</v>
      </c>
      <c r="W37" s="68">
        <v>7.1743000000000001E-2</v>
      </c>
      <c r="X37" s="68">
        <v>7.1743000000000001E-2</v>
      </c>
      <c r="Y37" s="68">
        <v>7.1743000000000001E-2</v>
      </c>
      <c r="Z37" s="68">
        <v>7.1743000000000001E-2</v>
      </c>
      <c r="AA37" s="68">
        <v>7.1743000000000001E-2</v>
      </c>
      <c r="AB37" s="68">
        <v>7.1743000000000001E-2</v>
      </c>
      <c r="AC37" s="68">
        <v>7.1743000000000001E-2</v>
      </c>
      <c r="AD37" s="68">
        <v>7.1743000000000001E-2</v>
      </c>
      <c r="AE37" s="30">
        <v>7.1743000000000001E-2</v>
      </c>
    </row>
    <row r="38" spans="2:31">
      <c r="B38" s="16" t="s">
        <v>84</v>
      </c>
      <c r="C38" s="36" t="s">
        <v>6</v>
      </c>
      <c r="D38" s="36" t="s">
        <v>63</v>
      </c>
      <c r="E38" s="36" t="s">
        <v>73</v>
      </c>
      <c r="F38" s="68">
        <f>(3*28+0.6*265)/1000000</f>
        <v>2.43E-4</v>
      </c>
      <c r="G38" s="68">
        <f t="shared" ref="G38:AE38" si="16">(3*28+0.6*265)/1000000</f>
        <v>2.43E-4</v>
      </c>
      <c r="H38" s="68">
        <f t="shared" si="16"/>
        <v>2.43E-4</v>
      </c>
      <c r="I38" s="68">
        <f t="shared" si="16"/>
        <v>2.43E-4</v>
      </c>
      <c r="J38" s="68">
        <f t="shared" si="16"/>
        <v>2.43E-4</v>
      </c>
      <c r="K38" s="68">
        <f t="shared" si="16"/>
        <v>2.43E-4</v>
      </c>
      <c r="L38" s="68">
        <f t="shared" si="16"/>
        <v>2.43E-4</v>
      </c>
      <c r="M38" s="68">
        <f t="shared" si="16"/>
        <v>2.43E-4</v>
      </c>
      <c r="N38" s="68">
        <f t="shared" si="16"/>
        <v>2.43E-4</v>
      </c>
      <c r="O38" s="68">
        <f t="shared" si="16"/>
        <v>2.43E-4</v>
      </c>
      <c r="P38" s="68">
        <f t="shared" si="16"/>
        <v>2.43E-4</v>
      </c>
      <c r="Q38" s="68">
        <f t="shared" si="16"/>
        <v>2.43E-4</v>
      </c>
      <c r="R38" s="68">
        <f t="shared" si="16"/>
        <v>2.43E-4</v>
      </c>
      <c r="S38" s="68">
        <f t="shared" si="16"/>
        <v>2.43E-4</v>
      </c>
      <c r="T38" s="68">
        <f t="shared" si="16"/>
        <v>2.43E-4</v>
      </c>
      <c r="U38" s="68">
        <f t="shared" si="16"/>
        <v>2.43E-4</v>
      </c>
      <c r="V38" s="68">
        <f t="shared" si="16"/>
        <v>2.43E-4</v>
      </c>
      <c r="W38" s="68">
        <f t="shared" si="16"/>
        <v>2.43E-4</v>
      </c>
      <c r="X38" s="68">
        <f t="shared" si="16"/>
        <v>2.43E-4</v>
      </c>
      <c r="Y38" s="68">
        <f t="shared" si="16"/>
        <v>2.43E-4</v>
      </c>
      <c r="Z38" s="68">
        <f t="shared" si="16"/>
        <v>2.43E-4</v>
      </c>
      <c r="AA38" s="68">
        <f t="shared" si="16"/>
        <v>2.43E-4</v>
      </c>
      <c r="AB38" s="68">
        <f t="shared" si="16"/>
        <v>2.43E-4</v>
      </c>
      <c r="AC38" s="68">
        <f t="shared" si="16"/>
        <v>2.43E-4</v>
      </c>
      <c r="AD38" s="68">
        <f t="shared" si="16"/>
        <v>2.43E-4</v>
      </c>
      <c r="AE38" s="30">
        <f t="shared" si="16"/>
        <v>2.43E-4</v>
      </c>
    </row>
    <row r="39" spans="2:31">
      <c r="B39" s="16" t="s">
        <v>84</v>
      </c>
      <c r="C39" s="36" t="s">
        <v>6</v>
      </c>
      <c r="D39" s="36" t="s">
        <v>4</v>
      </c>
      <c r="E39" s="36" t="s">
        <v>73</v>
      </c>
      <c r="F39" s="68">
        <v>7.5242699999999996E-2</v>
      </c>
      <c r="G39" s="68">
        <f>F39</f>
        <v>7.5242699999999996E-2</v>
      </c>
      <c r="H39" s="68">
        <f t="shared" ref="H39:AE39" si="17">G39</f>
        <v>7.5242699999999996E-2</v>
      </c>
      <c r="I39" s="68">
        <f t="shared" si="17"/>
        <v>7.5242699999999996E-2</v>
      </c>
      <c r="J39" s="68">
        <f t="shared" si="17"/>
        <v>7.5242699999999996E-2</v>
      </c>
      <c r="K39" s="68">
        <f t="shared" si="17"/>
        <v>7.5242699999999996E-2</v>
      </c>
      <c r="L39" s="68">
        <f t="shared" si="17"/>
        <v>7.5242699999999996E-2</v>
      </c>
      <c r="M39" s="68">
        <f t="shared" si="17"/>
        <v>7.5242699999999996E-2</v>
      </c>
      <c r="N39" s="68">
        <f t="shared" si="17"/>
        <v>7.5242699999999996E-2</v>
      </c>
      <c r="O39" s="68">
        <f t="shared" si="17"/>
        <v>7.5242699999999996E-2</v>
      </c>
      <c r="P39" s="68">
        <f t="shared" si="17"/>
        <v>7.5242699999999996E-2</v>
      </c>
      <c r="Q39" s="68">
        <f t="shared" si="17"/>
        <v>7.5242699999999996E-2</v>
      </c>
      <c r="R39" s="68">
        <f t="shared" si="17"/>
        <v>7.5242699999999996E-2</v>
      </c>
      <c r="S39" s="68">
        <f t="shared" si="17"/>
        <v>7.5242699999999996E-2</v>
      </c>
      <c r="T39" s="68">
        <f t="shared" si="17"/>
        <v>7.5242699999999996E-2</v>
      </c>
      <c r="U39" s="68">
        <f t="shared" si="17"/>
        <v>7.5242699999999996E-2</v>
      </c>
      <c r="V39" s="68">
        <f t="shared" si="17"/>
        <v>7.5242699999999996E-2</v>
      </c>
      <c r="W39" s="68">
        <f t="shared" si="17"/>
        <v>7.5242699999999996E-2</v>
      </c>
      <c r="X39" s="68">
        <f t="shared" si="17"/>
        <v>7.5242699999999996E-2</v>
      </c>
      <c r="Y39" s="68">
        <f t="shared" si="17"/>
        <v>7.5242699999999996E-2</v>
      </c>
      <c r="Z39" s="68">
        <f t="shared" si="17"/>
        <v>7.5242699999999996E-2</v>
      </c>
      <c r="AA39" s="68">
        <f t="shared" si="17"/>
        <v>7.5242699999999996E-2</v>
      </c>
      <c r="AB39" s="68">
        <f t="shared" si="17"/>
        <v>7.5242699999999996E-2</v>
      </c>
      <c r="AC39" s="68">
        <f t="shared" si="17"/>
        <v>7.5242699999999996E-2</v>
      </c>
      <c r="AD39" s="68">
        <f t="shared" si="17"/>
        <v>7.5242699999999996E-2</v>
      </c>
      <c r="AE39" s="30">
        <f t="shared" si="17"/>
        <v>7.5242699999999996E-2</v>
      </c>
    </row>
    <row r="40" spans="2:31">
      <c r="B40" s="16" t="s">
        <v>84</v>
      </c>
      <c r="C40" s="36" t="s">
        <v>6</v>
      </c>
      <c r="D40" s="36" t="s">
        <v>8</v>
      </c>
      <c r="E40" s="36" t="s">
        <v>73</v>
      </c>
      <c r="F40" s="68">
        <v>0</v>
      </c>
      <c r="G40" s="68">
        <v>0</v>
      </c>
      <c r="H40" s="68">
        <v>0</v>
      </c>
      <c r="I40" s="68">
        <v>0</v>
      </c>
      <c r="J40" s="68">
        <v>0</v>
      </c>
      <c r="K40" s="68">
        <v>0</v>
      </c>
      <c r="L40" s="68">
        <v>0</v>
      </c>
      <c r="M40" s="68">
        <v>0</v>
      </c>
      <c r="N40" s="68">
        <v>0</v>
      </c>
      <c r="O40" s="68">
        <v>0</v>
      </c>
      <c r="P40" s="68">
        <v>0</v>
      </c>
      <c r="Q40" s="68">
        <v>0</v>
      </c>
      <c r="R40" s="68">
        <v>0</v>
      </c>
      <c r="S40" s="68">
        <v>0</v>
      </c>
      <c r="T40" s="68">
        <v>0</v>
      </c>
      <c r="U40" s="68">
        <v>0</v>
      </c>
      <c r="V40" s="68">
        <v>0</v>
      </c>
      <c r="W40" s="68">
        <v>0</v>
      </c>
      <c r="X40" s="68">
        <v>0</v>
      </c>
      <c r="Y40" s="68">
        <v>0</v>
      </c>
      <c r="Z40" s="68">
        <v>0</v>
      </c>
      <c r="AA40" s="68">
        <v>0</v>
      </c>
      <c r="AB40" s="68">
        <v>0</v>
      </c>
      <c r="AC40" s="68">
        <v>0</v>
      </c>
      <c r="AD40" s="68">
        <v>0</v>
      </c>
      <c r="AE40" s="30">
        <v>0</v>
      </c>
    </row>
    <row r="41" spans="2:31">
      <c r="B41" s="16" t="s">
        <v>84</v>
      </c>
      <c r="C41" s="36" t="s">
        <v>6</v>
      </c>
      <c r="D41" s="36" t="s">
        <v>2</v>
      </c>
      <c r="E41" s="36" t="s">
        <v>73</v>
      </c>
      <c r="F41" s="68">
        <v>7.1071999999999996E-2</v>
      </c>
      <c r="G41" s="68">
        <f>F41</f>
        <v>7.1071999999999996E-2</v>
      </c>
      <c r="H41" s="68">
        <f t="shared" ref="H41:AE42" si="18">G41</f>
        <v>7.1071999999999996E-2</v>
      </c>
      <c r="I41" s="68">
        <f t="shared" si="18"/>
        <v>7.1071999999999996E-2</v>
      </c>
      <c r="J41" s="68">
        <f t="shared" si="18"/>
        <v>7.1071999999999996E-2</v>
      </c>
      <c r="K41" s="68">
        <f t="shared" si="18"/>
        <v>7.1071999999999996E-2</v>
      </c>
      <c r="L41" s="68">
        <f t="shared" si="18"/>
        <v>7.1071999999999996E-2</v>
      </c>
      <c r="M41" s="68">
        <f t="shared" si="18"/>
        <v>7.1071999999999996E-2</v>
      </c>
      <c r="N41" s="68">
        <f t="shared" si="18"/>
        <v>7.1071999999999996E-2</v>
      </c>
      <c r="O41" s="68">
        <f t="shared" si="18"/>
        <v>7.1071999999999996E-2</v>
      </c>
      <c r="P41" s="68">
        <f t="shared" si="18"/>
        <v>7.1071999999999996E-2</v>
      </c>
      <c r="Q41" s="68">
        <f t="shared" si="18"/>
        <v>7.1071999999999996E-2</v>
      </c>
      <c r="R41" s="68">
        <f t="shared" si="18"/>
        <v>7.1071999999999996E-2</v>
      </c>
      <c r="S41" s="68">
        <f t="shared" si="18"/>
        <v>7.1071999999999996E-2</v>
      </c>
      <c r="T41" s="68">
        <f t="shared" si="18"/>
        <v>7.1071999999999996E-2</v>
      </c>
      <c r="U41" s="68">
        <f t="shared" si="18"/>
        <v>7.1071999999999996E-2</v>
      </c>
      <c r="V41" s="68">
        <f t="shared" si="18"/>
        <v>7.1071999999999996E-2</v>
      </c>
      <c r="W41" s="68">
        <f t="shared" si="18"/>
        <v>7.1071999999999996E-2</v>
      </c>
      <c r="X41" s="68">
        <f t="shared" si="18"/>
        <v>7.1071999999999996E-2</v>
      </c>
      <c r="Y41" s="68">
        <f t="shared" si="18"/>
        <v>7.1071999999999996E-2</v>
      </c>
      <c r="Z41" s="68">
        <f t="shared" si="18"/>
        <v>7.1071999999999996E-2</v>
      </c>
      <c r="AA41" s="68">
        <f t="shared" si="18"/>
        <v>7.1071999999999996E-2</v>
      </c>
      <c r="AB41" s="68">
        <f t="shared" si="18"/>
        <v>7.1071999999999996E-2</v>
      </c>
      <c r="AC41" s="68">
        <f t="shared" si="18"/>
        <v>7.1071999999999996E-2</v>
      </c>
      <c r="AD41" s="68">
        <f t="shared" si="18"/>
        <v>7.1071999999999996E-2</v>
      </c>
      <c r="AE41" s="30">
        <f t="shared" si="18"/>
        <v>7.1071999999999996E-2</v>
      </c>
    </row>
    <row r="42" spans="2:31">
      <c r="B42" s="16" t="s">
        <v>84</v>
      </c>
      <c r="C42" s="36" t="s">
        <v>6</v>
      </c>
      <c r="D42" s="36" t="s">
        <v>7</v>
      </c>
      <c r="E42" s="36" t="s">
        <v>73</v>
      </c>
      <c r="F42" s="68">
        <v>6.3266500000000003E-2</v>
      </c>
      <c r="G42" s="68">
        <f>F42</f>
        <v>6.3266500000000003E-2</v>
      </c>
      <c r="H42" s="68">
        <f t="shared" si="18"/>
        <v>6.3266500000000003E-2</v>
      </c>
      <c r="I42" s="68">
        <f t="shared" si="18"/>
        <v>6.3266500000000003E-2</v>
      </c>
      <c r="J42" s="68">
        <f t="shared" si="18"/>
        <v>6.3266500000000003E-2</v>
      </c>
      <c r="K42" s="68">
        <f t="shared" si="18"/>
        <v>6.3266500000000003E-2</v>
      </c>
      <c r="L42" s="68">
        <f t="shared" si="18"/>
        <v>6.3266500000000003E-2</v>
      </c>
      <c r="M42" s="68">
        <f t="shared" si="18"/>
        <v>6.3266500000000003E-2</v>
      </c>
      <c r="N42" s="68">
        <f t="shared" si="18"/>
        <v>6.3266500000000003E-2</v>
      </c>
      <c r="O42" s="68">
        <f t="shared" si="18"/>
        <v>6.3266500000000003E-2</v>
      </c>
      <c r="P42" s="68">
        <f t="shared" si="18"/>
        <v>6.3266500000000003E-2</v>
      </c>
      <c r="Q42" s="68">
        <f t="shared" si="18"/>
        <v>6.3266500000000003E-2</v>
      </c>
      <c r="R42" s="68">
        <f t="shared" si="18"/>
        <v>6.3266500000000003E-2</v>
      </c>
      <c r="S42" s="68">
        <f t="shared" si="18"/>
        <v>6.3266500000000003E-2</v>
      </c>
      <c r="T42" s="68">
        <f t="shared" si="18"/>
        <v>6.3266500000000003E-2</v>
      </c>
      <c r="U42" s="68">
        <f t="shared" si="18"/>
        <v>6.3266500000000003E-2</v>
      </c>
      <c r="V42" s="68">
        <f t="shared" si="18"/>
        <v>6.3266500000000003E-2</v>
      </c>
      <c r="W42" s="68">
        <f t="shared" si="18"/>
        <v>6.3266500000000003E-2</v>
      </c>
      <c r="X42" s="68">
        <f t="shared" si="18"/>
        <v>6.3266500000000003E-2</v>
      </c>
      <c r="Y42" s="68">
        <f t="shared" si="18"/>
        <v>6.3266500000000003E-2</v>
      </c>
      <c r="Z42" s="68">
        <f t="shared" si="18"/>
        <v>6.3266500000000003E-2</v>
      </c>
      <c r="AA42" s="68">
        <f t="shared" si="18"/>
        <v>6.3266500000000003E-2</v>
      </c>
      <c r="AB42" s="68">
        <f t="shared" si="18"/>
        <v>6.3266500000000003E-2</v>
      </c>
      <c r="AC42" s="68">
        <f t="shared" si="18"/>
        <v>6.3266500000000003E-2</v>
      </c>
      <c r="AD42" s="68">
        <f t="shared" si="18"/>
        <v>6.3266500000000003E-2</v>
      </c>
      <c r="AE42" s="30">
        <f t="shared" si="18"/>
        <v>6.3266500000000003E-2</v>
      </c>
    </row>
    <row r="43" spans="2:31">
      <c r="B43" s="16" t="s">
        <v>84</v>
      </c>
      <c r="C43" s="36" t="s">
        <v>5</v>
      </c>
      <c r="D43" s="36" t="s">
        <v>4</v>
      </c>
      <c r="E43" s="36" t="s">
        <v>73</v>
      </c>
      <c r="F43" s="68">
        <v>7.4538999999999994E-2</v>
      </c>
      <c r="G43" s="68">
        <f>F43</f>
        <v>7.4538999999999994E-2</v>
      </c>
      <c r="H43" s="68">
        <f t="shared" ref="H43:AE43" si="19">G43</f>
        <v>7.4538999999999994E-2</v>
      </c>
      <c r="I43" s="68">
        <f t="shared" si="19"/>
        <v>7.4538999999999994E-2</v>
      </c>
      <c r="J43" s="68">
        <f t="shared" si="19"/>
        <v>7.4538999999999994E-2</v>
      </c>
      <c r="K43" s="68">
        <f t="shared" si="19"/>
        <v>7.4538999999999994E-2</v>
      </c>
      <c r="L43" s="68">
        <f t="shared" si="19"/>
        <v>7.4538999999999994E-2</v>
      </c>
      <c r="M43" s="68">
        <f t="shared" si="19"/>
        <v>7.4538999999999994E-2</v>
      </c>
      <c r="N43" s="68">
        <f t="shared" si="19"/>
        <v>7.4538999999999994E-2</v>
      </c>
      <c r="O43" s="68">
        <f t="shared" si="19"/>
        <v>7.4538999999999994E-2</v>
      </c>
      <c r="P43" s="68">
        <f t="shared" si="19"/>
        <v>7.4538999999999994E-2</v>
      </c>
      <c r="Q43" s="68">
        <f t="shared" si="19"/>
        <v>7.4538999999999994E-2</v>
      </c>
      <c r="R43" s="68">
        <f t="shared" si="19"/>
        <v>7.4538999999999994E-2</v>
      </c>
      <c r="S43" s="68">
        <f t="shared" si="19"/>
        <v>7.4538999999999994E-2</v>
      </c>
      <c r="T43" s="68">
        <f t="shared" si="19"/>
        <v>7.4538999999999994E-2</v>
      </c>
      <c r="U43" s="68">
        <f t="shared" si="19"/>
        <v>7.4538999999999994E-2</v>
      </c>
      <c r="V43" s="68">
        <f t="shared" si="19"/>
        <v>7.4538999999999994E-2</v>
      </c>
      <c r="W43" s="68">
        <f t="shared" si="19"/>
        <v>7.4538999999999994E-2</v>
      </c>
      <c r="X43" s="68">
        <f t="shared" si="19"/>
        <v>7.4538999999999994E-2</v>
      </c>
      <c r="Y43" s="68">
        <f t="shared" si="19"/>
        <v>7.4538999999999994E-2</v>
      </c>
      <c r="Z43" s="68">
        <f t="shared" si="19"/>
        <v>7.4538999999999994E-2</v>
      </c>
      <c r="AA43" s="68">
        <f t="shared" si="19"/>
        <v>7.4538999999999994E-2</v>
      </c>
      <c r="AB43" s="68">
        <f t="shared" si="19"/>
        <v>7.4538999999999994E-2</v>
      </c>
      <c r="AC43" s="68">
        <f t="shared" si="19"/>
        <v>7.4538999999999994E-2</v>
      </c>
      <c r="AD43" s="68">
        <f t="shared" si="19"/>
        <v>7.4538999999999994E-2</v>
      </c>
      <c r="AE43" s="30">
        <f t="shared" si="19"/>
        <v>7.4538999999999994E-2</v>
      </c>
    </row>
    <row r="44" spans="2:31">
      <c r="B44" s="16" t="s">
        <v>84</v>
      </c>
      <c r="C44" s="36" t="s">
        <v>5</v>
      </c>
      <c r="D44" s="36" t="s">
        <v>2</v>
      </c>
      <c r="E44" s="36" t="s">
        <v>73</v>
      </c>
      <c r="F44" s="68">
        <v>7.1071999999999996E-2</v>
      </c>
      <c r="G44" s="68">
        <f>F44</f>
        <v>7.1071999999999996E-2</v>
      </c>
      <c r="H44" s="68">
        <f t="shared" ref="H44:AE44" si="20">G44</f>
        <v>7.1071999999999996E-2</v>
      </c>
      <c r="I44" s="68">
        <f t="shared" si="20"/>
        <v>7.1071999999999996E-2</v>
      </c>
      <c r="J44" s="68">
        <f t="shared" si="20"/>
        <v>7.1071999999999996E-2</v>
      </c>
      <c r="K44" s="68">
        <f t="shared" si="20"/>
        <v>7.1071999999999996E-2</v>
      </c>
      <c r="L44" s="68">
        <f t="shared" si="20"/>
        <v>7.1071999999999996E-2</v>
      </c>
      <c r="M44" s="68">
        <f t="shared" si="20"/>
        <v>7.1071999999999996E-2</v>
      </c>
      <c r="N44" s="68">
        <f t="shared" si="20"/>
        <v>7.1071999999999996E-2</v>
      </c>
      <c r="O44" s="68">
        <f t="shared" si="20"/>
        <v>7.1071999999999996E-2</v>
      </c>
      <c r="P44" s="68">
        <f t="shared" si="20"/>
        <v>7.1071999999999996E-2</v>
      </c>
      <c r="Q44" s="68">
        <f t="shared" si="20"/>
        <v>7.1071999999999996E-2</v>
      </c>
      <c r="R44" s="68">
        <f t="shared" si="20"/>
        <v>7.1071999999999996E-2</v>
      </c>
      <c r="S44" s="68">
        <f t="shared" si="20"/>
        <v>7.1071999999999996E-2</v>
      </c>
      <c r="T44" s="68">
        <f t="shared" si="20"/>
        <v>7.1071999999999996E-2</v>
      </c>
      <c r="U44" s="68">
        <f t="shared" si="20"/>
        <v>7.1071999999999996E-2</v>
      </c>
      <c r="V44" s="68">
        <f t="shared" si="20"/>
        <v>7.1071999999999996E-2</v>
      </c>
      <c r="W44" s="68">
        <f t="shared" si="20"/>
        <v>7.1071999999999996E-2</v>
      </c>
      <c r="X44" s="68">
        <f t="shared" si="20"/>
        <v>7.1071999999999996E-2</v>
      </c>
      <c r="Y44" s="68">
        <f t="shared" si="20"/>
        <v>7.1071999999999996E-2</v>
      </c>
      <c r="Z44" s="68">
        <f t="shared" si="20"/>
        <v>7.1071999999999996E-2</v>
      </c>
      <c r="AA44" s="68">
        <f t="shared" si="20"/>
        <v>7.1071999999999996E-2</v>
      </c>
      <c r="AB44" s="68">
        <f t="shared" si="20"/>
        <v>7.1071999999999996E-2</v>
      </c>
      <c r="AC44" s="68">
        <f t="shared" si="20"/>
        <v>7.1071999999999996E-2</v>
      </c>
      <c r="AD44" s="68">
        <f t="shared" si="20"/>
        <v>7.1071999999999996E-2</v>
      </c>
      <c r="AE44" s="30">
        <f t="shared" si="20"/>
        <v>7.1071999999999996E-2</v>
      </c>
    </row>
    <row r="45" spans="2:31">
      <c r="B45" s="16" t="s">
        <v>85</v>
      </c>
      <c r="C45" s="36" t="s">
        <v>1</v>
      </c>
      <c r="D45" s="36" t="s">
        <v>4</v>
      </c>
      <c r="E45" s="36" t="s">
        <v>73</v>
      </c>
      <c r="F45" s="68">
        <v>7.4538999999999994E-2</v>
      </c>
      <c r="G45" s="68">
        <f>F45</f>
        <v>7.4538999999999994E-2</v>
      </c>
      <c r="H45" s="68">
        <f t="shared" ref="H45:AE45" si="21">G45</f>
        <v>7.4538999999999994E-2</v>
      </c>
      <c r="I45" s="68">
        <f t="shared" si="21"/>
        <v>7.4538999999999994E-2</v>
      </c>
      <c r="J45" s="68">
        <f t="shared" si="21"/>
        <v>7.4538999999999994E-2</v>
      </c>
      <c r="K45" s="68">
        <f t="shared" si="21"/>
        <v>7.4538999999999994E-2</v>
      </c>
      <c r="L45" s="68">
        <f t="shared" si="21"/>
        <v>7.4538999999999994E-2</v>
      </c>
      <c r="M45" s="68">
        <f t="shared" si="21"/>
        <v>7.4538999999999994E-2</v>
      </c>
      <c r="N45" s="68">
        <f t="shared" si="21"/>
        <v>7.4538999999999994E-2</v>
      </c>
      <c r="O45" s="68">
        <f t="shared" si="21"/>
        <v>7.4538999999999994E-2</v>
      </c>
      <c r="P45" s="68">
        <f t="shared" si="21"/>
        <v>7.4538999999999994E-2</v>
      </c>
      <c r="Q45" s="68">
        <f t="shared" si="21"/>
        <v>7.4538999999999994E-2</v>
      </c>
      <c r="R45" s="68">
        <f t="shared" si="21"/>
        <v>7.4538999999999994E-2</v>
      </c>
      <c r="S45" s="68">
        <f t="shared" si="21"/>
        <v>7.4538999999999994E-2</v>
      </c>
      <c r="T45" s="68">
        <f t="shared" si="21"/>
        <v>7.4538999999999994E-2</v>
      </c>
      <c r="U45" s="68">
        <f t="shared" si="21"/>
        <v>7.4538999999999994E-2</v>
      </c>
      <c r="V45" s="68">
        <f t="shared" si="21"/>
        <v>7.4538999999999994E-2</v>
      </c>
      <c r="W45" s="68">
        <f t="shared" si="21"/>
        <v>7.4538999999999994E-2</v>
      </c>
      <c r="X45" s="68">
        <f t="shared" si="21"/>
        <v>7.4538999999999994E-2</v>
      </c>
      <c r="Y45" s="68">
        <f t="shared" si="21"/>
        <v>7.4538999999999994E-2</v>
      </c>
      <c r="Z45" s="68">
        <f t="shared" si="21"/>
        <v>7.4538999999999994E-2</v>
      </c>
      <c r="AA45" s="68">
        <f t="shared" si="21"/>
        <v>7.4538999999999994E-2</v>
      </c>
      <c r="AB45" s="68">
        <f t="shared" si="21"/>
        <v>7.4538999999999994E-2</v>
      </c>
      <c r="AC45" s="68">
        <f t="shared" si="21"/>
        <v>7.4538999999999994E-2</v>
      </c>
      <c r="AD45" s="68">
        <f t="shared" si="21"/>
        <v>7.4538999999999994E-2</v>
      </c>
      <c r="AE45" s="30">
        <f t="shared" si="21"/>
        <v>7.4538999999999994E-2</v>
      </c>
    </row>
    <row r="46" spans="2:31">
      <c r="B46" s="16" t="s">
        <v>85</v>
      </c>
      <c r="C46" s="36" t="s">
        <v>1</v>
      </c>
      <c r="D46" s="36" t="s">
        <v>3</v>
      </c>
      <c r="E46" s="36" t="s">
        <v>73</v>
      </c>
      <c r="F46" s="68">
        <v>7.7839000000000005E-2</v>
      </c>
      <c r="G46" s="68">
        <v>7.7839000000000005E-2</v>
      </c>
      <c r="H46" s="68">
        <v>7.7839000000000005E-2</v>
      </c>
      <c r="I46" s="68">
        <v>7.7839000000000005E-2</v>
      </c>
      <c r="J46" s="68">
        <v>7.7839000000000005E-2</v>
      </c>
      <c r="K46" s="68">
        <v>7.7839000000000005E-2</v>
      </c>
      <c r="L46" s="68">
        <v>7.7839000000000005E-2</v>
      </c>
      <c r="M46" s="68">
        <v>7.7839000000000005E-2</v>
      </c>
      <c r="N46" s="68">
        <v>7.7839000000000005E-2</v>
      </c>
      <c r="O46" s="68">
        <v>7.7839000000000005E-2</v>
      </c>
      <c r="P46" s="68">
        <v>7.7839000000000005E-2</v>
      </c>
      <c r="Q46" s="68">
        <v>7.7839000000000005E-2</v>
      </c>
      <c r="R46" s="68">
        <v>7.7839000000000005E-2</v>
      </c>
      <c r="S46" s="68">
        <v>7.7839000000000005E-2</v>
      </c>
      <c r="T46" s="68">
        <v>7.7839000000000005E-2</v>
      </c>
      <c r="U46" s="68">
        <v>7.7839000000000005E-2</v>
      </c>
      <c r="V46" s="68">
        <v>7.7839000000000005E-2</v>
      </c>
      <c r="W46" s="68">
        <v>7.7839000000000005E-2</v>
      </c>
      <c r="X46" s="68">
        <v>7.7839000000000005E-2</v>
      </c>
      <c r="Y46" s="68">
        <v>7.7839000000000005E-2</v>
      </c>
      <c r="Z46" s="68">
        <v>7.7839000000000005E-2</v>
      </c>
      <c r="AA46" s="68">
        <v>7.7839000000000005E-2</v>
      </c>
      <c r="AB46" s="68">
        <v>7.7839000000000005E-2</v>
      </c>
      <c r="AC46" s="68">
        <v>7.7839000000000005E-2</v>
      </c>
      <c r="AD46" s="68">
        <v>7.7839000000000005E-2</v>
      </c>
      <c r="AE46" s="30">
        <v>7.7839000000000005E-2</v>
      </c>
    </row>
    <row r="47" spans="2:31">
      <c r="B47" s="16" t="s">
        <v>85</v>
      </c>
      <c r="C47" s="36" t="s">
        <v>1</v>
      </c>
      <c r="D47" s="36" t="s">
        <v>2</v>
      </c>
      <c r="E47" s="36" t="s">
        <v>73</v>
      </c>
      <c r="F47" s="68">
        <v>7.1071999999999996E-2</v>
      </c>
      <c r="G47" s="68">
        <f>F47</f>
        <v>7.1071999999999996E-2</v>
      </c>
      <c r="H47" s="68">
        <f t="shared" ref="H47:AE47" si="22">G47</f>
        <v>7.1071999999999996E-2</v>
      </c>
      <c r="I47" s="68">
        <f t="shared" si="22"/>
        <v>7.1071999999999996E-2</v>
      </c>
      <c r="J47" s="68">
        <f t="shared" si="22"/>
        <v>7.1071999999999996E-2</v>
      </c>
      <c r="K47" s="68">
        <f t="shared" si="22"/>
        <v>7.1071999999999996E-2</v>
      </c>
      <c r="L47" s="68">
        <f t="shared" si="22"/>
        <v>7.1071999999999996E-2</v>
      </c>
      <c r="M47" s="68">
        <f t="shared" si="22"/>
        <v>7.1071999999999996E-2</v>
      </c>
      <c r="N47" s="68">
        <f t="shared" si="22"/>
        <v>7.1071999999999996E-2</v>
      </c>
      <c r="O47" s="68">
        <f t="shared" si="22"/>
        <v>7.1071999999999996E-2</v>
      </c>
      <c r="P47" s="68">
        <f t="shared" si="22"/>
        <v>7.1071999999999996E-2</v>
      </c>
      <c r="Q47" s="68">
        <f t="shared" si="22"/>
        <v>7.1071999999999996E-2</v>
      </c>
      <c r="R47" s="68">
        <f t="shared" si="22"/>
        <v>7.1071999999999996E-2</v>
      </c>
      <c r="S47" s="68">
        <f t="shared" si="22"/>
        <v>7.1071999999999996E-2</v>
      </c>
      <c r="T47" s="68">
        <f t="shared" si="22"/>
        <v>7.1071999999999996E-2</v>
      </c>
      <c r="U47" s="68">
        <f t="shared" si="22"/>
        <v>7.1071999999999996E-2</v>
      </c>
      <c r="V47" s="68">
        <f t="shared" si="22"/>
        <v>7.1071999999999996E-2</v>
      </c>
      <c r="W47" s="68">
        <f t="shared" si="22"/>
        <v>7.1071999999999996E-2</v>
      </c>
      <c r="X47" s="68">
        <f t="shared" si="22"/>
        <v>7.1071999999999996E-2</v>
      </c>
      <c r="Y47" s="68">
        <f t="shared" si="22"/>
        <v>7.1071999999999996E-2</v>
      </c>
      <c r="Z47" s="68">
        <f t="shared" si="22"/>
        <v>7.1071999999999996E-2</v>
      </c>
      <c r="AA47" s="68">
        <f t="shared" si="22"/>
        <v>7.1071999999999996E-2</v>
      </c>
      <c r="AB47" s="68">
        <f t="shared" si="22"/>
        <v>7.1071999999999996E-2</v>
      </c>
      <c r="AC47" s="68">
        <f t="shared" si="22"/>
        <v>7.1071999999999996E-2</v>
      </c>
      <c r="AD47" s="68">
        <f t="shared" si="22"/>
        <v>7.1071999999999996E-2</v>
      </c>
      <c r="AE47" s="30">
        <f t="shared" si="22"/>
        <v>7.1071999999999996E-2</v>
      </c>
    </row>
    <row r="48" spans="2:31">
      <c r="B48" s="16" t="s">
        <v>87</v>
      </c>
      <c r="C48" s="36" t="s">
        <v>65</v>
      </c>
      <c r="D48" s="36" t="s">
        <v>26</v>
      </c>
      <c r="E48" s="36" t="s">
        <v>74</v>
      </c>
      <c r="F48" s="68">
        <v>0.16</v>
      </c>
      <c r="G48" s="68">
        <v>0.16</v>
      </c>
      <c r="H48" s="68">
        <v>0.15623044174909703</v>
      </c>
      <c r="I48" s="68">
        <v>0.25601076340738121</v>
      </c>
      <c r="J48" s="68">
        <v>0.25601076340738121</v>
      </c>
      <c r="K48" s="68">
        <v>0.25582688404206855</v>
      </c>
      <c r="L48" s="68">
        <v>0.25582688404206855</v>
      </c>
      <c r="M48" s="68">
        <v>0.25582688404206855</v>
      </c>
      <c r="N48" s="68">
        <v>0.28939516386025393</v>
      </c>
      <c r="O48" s="68">
        <v>0.28939516386025393</v>
      </c>
      <c r="P48" s="68">
        <v>0.28939516386025393</v>
      </c>
      <c r="Q48" s="68">
        <v>0.28939516386025393</v>
      </c>
      <c r="R48" s="68">
        <v>0.28939516386025393</v>
      </c>
      <c r="S48" s="68">
        <v>0.28939516386025393</v>
      </c>
      <c r="T48" s="68">
        <v>0.28939516386025393</v>
      </c>
      <c r="U48" s="68">
        <v>0.28939516386025393</v>
      </c>
      <c r="V48" s="68">
        <v>0.28939516386025393</v>
      </c>
      <c r="W48" s="68">
        <v>0.28939516386025393</v>
      </c>
      <c r="X48" s="68">
        <v>0.28939516386025393</v>
      </c>
      <c r="Y48" s="68">
        <v>0.28939516386025393</v>
      </c>
      <c r="Z48" s="68">
        <v>0.28939516386025393</v>
      </c>
      <c r="AA48" s="68">
        <v>0.28939516386025393</v>
      </c>
      <c r="AB48" s="68">
        <v>0.28939516386025393</v>
      </c>
      <c r="AC48" s="68">
        <v>0.28939516386025393</v>
      </c>
      <c r="AD48" s="68">
        <v>0.28939516386025393</v>
      </c>
      <c r="AE48" s="30">
        <v>0.28939516386025393</v>
      </c>
    </row>
    <row r="49" spans="2:31">
      <c r="B49" s="16" t="s">
        <v>87</v>
      </c>
      <c r="C49" s="36" t="s">
        <v>65</v>
      </c>
      <c r="D49" s="36" t="s">
        <v>4</v>
      </c>
      <c r="E49" s="36" t="s">
        <v>74</v>
      </c>
      <c r="F49" s="68">
        <v>0.47</v>
      </c>
      <c r="G49" s="68">
        <v>0.47</v>
      </c>
      <c r="H49" s="68">
        <v>0.20677544177206184</v>
      </c>
      <c r="I49" s="68">
        <v>0.18847804044522798</v>
      </c>
      <c r="J49" s="68">
        <v>0.18847804044522798</v>
      </c>
      <c r="K49" s="68">
        <v>0.19856163652535005</v>
      </c>
      <c r="L49" s="68">
        <v>0.19856163652535005</v>
      </c>
      <c r="M49" s="68">
        <v>0.19856163652535005</v>
      </c>
      <c r="N49" s="68">
        <v>0.15474833031148547</v>
      </c>
      <c r="O49" s="68">
        <v>0.15474833031148547</v>
      </c>
      <c r="P49" s="68">
        <v>0.15474833031148547</v>
      </c>
      <c r="Q49" s="68">
        <v>0.15474833031148547</v>
      </c>
      <c r="R49" s="68">
        <v>0.15474833031148547</v>
      </c>
      <c r="S49" s="68">
        <v>0.15474833031148547</v>
      </c>
      <c r="T49" s="68">
        <v>0.15474833031148547</v>
      </c>
      <c r="U49" s="68">
        <v>0.15474833031148547</v>
      </c>
      <c r="V49" s="68">
        <v>0.15474833031148547</v>
      </c>
      <c r="W49" s="68">
        <v>0.15474833031148547</v>
      </c>
      <c r="X49" s="68">
        <v>0.15474833031148547</v>
      </c>
      <c r="Y49" s="68">
        <v>0.15474833031148547</v>
      </c>
      <c r="Z49" s="68">
        <v>0.15474833031148547</v>
      </c>
      <c r="AA49" s="68">
        <v>0.15474833031148547</v>
      </c>
      <c r="AB49" s="68">
        <v>0.15474833031148547</v>
      </c>
      <c r="AC49" s="68">
        <v>0.15474833031148547</v>
      </c>
      <c r="AD49" s="68">
        <v>0.15474833031148547</v>
      </c>
      <c r="AE49" s="30">
        <v>0.15474833031148547</v>
      </c>
    </row>
    <row r="50" spans="2:31">
      <c r="B50" s="16" t="s">
        <v>87</v>
      </c>
      <c r="C50" s="36" t="s">
        <v>65</v>
      </c>
      <c r="D50" s="36" t="s">
        <v>14</v>
      </c>
      <c r="E50" s="36" t="s">
        <v>74</v>
      </c>
      <c r="F50" s="68">
        <v>0.2</v>
      </c>
      <c r="G50" s="68">
        <v>0.2</v>
      </c>
      <c r="H50" s="68">
        <v>0.24508862697687936</v>
      </c>
      <c r="I50" s="68">
        <v>0.22800510538799665</v>
      </c>
      <c r="J50" s="68">
        <v>0.22800510538799665</v>
      </c>
      <c r="K50" s="68">
        <v>0.23373129530356007</v>
      </c>
      <c r="L50" s="68">
        <v>0.23373129530356007</v>
      </c>
      <c r="M50" s="68">
        <v>0.23373129530356007</v>
      </c>
      <c r="N50" s="68">
        <v>0.28132346446506262</v>
      </c>
      <c r="O50" s="68">
        <v>0.28132346446506262</v>
      </c>
      <c r="P50" s="68">
        <v>0.28132346446506262</v>
      </c>
      <c r="Q50" s="68">
        <v>0.28132346446506262</v>
      </c>
      <c r="R50" s="68">
        <v>0.28132346446506262</v>
      </c>
      <c r="S50" s="68">
        <v>0.28132346446506262</v>
      </c>
      <c r="T50" s="68">
        <v>0.28132346446506262</v>
      </c>
      <c r="U50" s="68">
        <v>0.28132346446506262</v>
      </c>
      <c r="V50" s="68">
        <v>0.28132346446506262</v>
      </c>
      <c r="W50" s="68">
        <v>0.28132346446506262</v>
      </c>
      <c r="X50" s="68">
        <v>0.28132346446506262</v>
      </c>
      <c r="Y50" s="68">
        <v>0.28132346446506262</v>
      </c>
      <c r="Z50" s="68">
        <v>0.28132346446506262</v>
      </c>
      <c r="AA50" s="68">
        <v>0.28132346446506262</v>
      </c>
      <c r="AB50" s="68">
        <v>0.28132346446506262</v>
      </c>
      <c r="AC50" s="68">
        <v>0.28132346446506262</v>
      </c>
      <c r="AD50" s="68">
        <v>0.28132346446506262</v>
      </c>
      <c r="AE50" s="30">
        <v>0.28132346446506262</v>
      </c>
    </row>
    <row r="51" spans="2:31">
      <c r="B51" s="16" t="s">
        <v>87</v>
      </c>
      <c r="C51" s="36" t="s">
        <v>65</v>
      </c>
      <c r="D51" s="36" t="s">
        <v>3</v>
      </c>
      <c r="E51" s="36" t="s">
        <v>74</v>
      </c>
      <c r="F51" s="68">
        <v>0.14000000000000001</v>
      </c>
      <c r="G51" s="68">
        <v>0.14000000000000001</v>
      </c>
      <c r="H51" s="68">
        <v>0.21227672353036589</v>
      </c>
      <c r="I51" s="68">
        <v>0.2057628041354688</v>
      </c>
      <c r="J51" s="68">
        <v>0.2057628041354688</v>
      </c>
      <c r="K51" s="68">
        <v>0.203553876289956</v>
      </c>
      <c r="L51" s="68">
        <v>0.203553876289956</v>
      </c>
      <c r="M51" s="68">
        <v>0.203553876289956</v>
      </c>
      <c r="N51" s="68">
        <v>0.22598011104673138</v>
      </c>
      <c r="O51" s="68">
        <v>0.22598011104673138</v>
      </c>
      <c r="P51" s="68">
        <v>0.22598011104673138</v>
      </c>
      <c r="Q51" s="68">
        <v>0.22598011104673138</v>
      </c>
      <c r="R51" s="68">
        <v>0.22598011104673138</v>
      </c>
      <c r="S51" s="68">
        <v>0.22598011104673138</v>
      </c>
      <c r="T51" s="68">
        <v>0.22598011104673138</v>
      </c>
      <c r="U51" s="68">
        <v>0.22598011104673138</v>
      </c>
      <c r="V51" s="68">
        <v>0.22598011104673138</v>
      </c>
      <c r="W51" s="68">
        <v>0.22598011104673138</v>
      </c>
      <c r="X51" s="68">
        <v>0.22598011104673138</v>
      </c>
      <c r="Y51" s="68">
        <v>0.22598011104673138</v>
      </c>
      <c r="Z51" s="68">
        <v>0.22598011104673138</v>
      </c>
      <c r="AA51" s="68">
        <v>0.22598011104673138</v>
      </c>
      <c r="AB51" s="68">
        <v>0.22598011104673138</v>
      </c>
      <c r="AC51" s="68">
        <v>0.22598011104673138</v>
      </c>
      <c r="AD51" s="68">
        <v>0.22598011104673138</v>
      </c>
      <c r="AE51" s="30">
        <v>0.22598011104673138</v>
      </c>
    </row>
    <row r="52" spans="2:31">
      <c r="B52" s="16" t="s">
        <v>87</v>
      </c>
      <c r="C52" s="36" t="s">
        <v>65</v>
      </c>
      <c r="D52" s="36" t="s">
        <v>24</v>
      </c>
      <c r="E52" s="36" t="s">
        <v>74</v>
      </c>
      <c r="F52" s="68">
        <v>0</v>
      </c>
      <c r="G52" s="68">
        <v>0</v>
      </c>
      <c r="H52" s="68">
        <v>0</v>
      </c>
      <c r="I52" s="68">
        <v>0</v>
      </c>
      <c r="J52" s="68">
        <v>0</v>
      </c>
      <c r="K52" s="68">
        <v>0</v>
      </c>
      <c r="L52" s="68">
        <v>0</v>
      </c>
      <c r="M52" s="68">
        <v>0</v>
      </c>
      <c r="N52" s="68">
        <v>0</v>
      </c>
      <c r="O52" s="68">
        <v>0</v>
      </c>
      <c r="P52" s="68">
        <v>0</v>
      </c>
      <c r="Q52" s="68">
        <v>0</v>
      </c>
      <c r="R52" s="68">
        <v>0</v>
      </c>
      <c r="S52" s="68">
        <v>0</v>
      </c>
      <c r="T52" s="68">
        <v>0</v>
      </c>
      <c r="U52" s="68">
        <v>0</v>
      </c>
      <c r="V52" s="68">
        <v>0</v>
      </c>
      <c r="W52" s="68">
        <v>0</v>
      </c>
      <c r="X52" s="68">
        <v>0</v>
      </c>
      <c r="Y52" s="68">
        <v>0</v>
      </c>
      <c r="Z52" s="68">
        <v>0</v>
      </c>
      <c r="AA52" s="68">
        <v>0</v>
      </c>
      <c r="AB52" s="68">
        <v>0</v>
      </c>
      <c r="AC52" s="68">
        <v>0</v>
      </c>
      <c r="AD52" s="68">
        <v>0</v>
      </c>
      <c r="AE52" s="30">
        <v>0</v>
      </c>
    </row>
    <row r="53" spans="2:31">
      <c r="B53" s="16" t="s">
        <v>87</v>
      </c>
      <c r="C53" s="36" t="s">
        <v>65</v>
      </c>
      <c r="D53" s="36" t="s">
        <v>25</v>
      </c>
      <c r="E53" s="36" t="s">
        <v>74</v>
      </c>
      <c r="F53" s="68">
        <v>0</v>
      </c>
      <c r="G53" s="68">
        <v>0</v>
      </c>
      <c r="H53" s="68">
        <v>0</v>
      </c>
      <c r="I53" s="68">
        <v>0</v>
      </c>
      <c r="J53" s="68">
        <v>0</v>
      </c>
      <c r="K53" s="68">
        <v>0</v>
      </c>
      <c r="L53" s="68">
        <v>0</v>
      </c>
      <c r="M53" s="68">
        <v>0</v>
      </c>
      <c r="N53" s="68">
        <v>0</v>
      </c>
      <c r="O53" s="68">
        <v>0</v>
      </c>
      <c r="P53" s="68">
        <v>0</v>
      </c>
      <c r="Q53" s="68">
        <v>0</v>
      </c>
      <c r="R53" s="68">
        <v>0</v>
      </c>
      <c r="S53" s="68">
        <v>0</v>
      </c>
      <c r="T53" s="68">
        <v>0</v>
      </c>
      <c r="U53" s="68">
        <v>0</v>
      </c>
      <c r="V53" s="68">
        <v>0</v>
      </c>
      <c r="W53" s="68">
        <v>0</v>
      </c>
      <c r="X53" s="68">
        <v>0</v>
      </c>
      <c r="Y53" s="68">
        <v>0</v>
      </c>
      <c r="Z53" s="68">
        <v>0</v>
      </c>
      <c r="AA53" s="68">
        <v>0</v>
      </c>
      <c r="AB53" s="68">
        <v>0</v>
      </c>
      <c r="AC53" s="68">
        <v>0</v>
      </c>
      <c r="AD53" s="68">
        <v>0</v>
      </c>
      <c r="AE53" s="30">
        <v>0</v>
      </c>
    </row>
    <row r="54" spans="2:31">
      <c r="B54" s="16" t="s">
        <v>87</v>
      </c>
      <c r="C54" s="36" t="s">
        <v>65</v>
      </c>
      <c r="D54" s="36" t="s">
        <v>23</v>
      </c>
      <c r="E54" s="36" t="s">
        <v>74</v>
      </c>
      <c r="F54" s="68">
        <v>0</v>
      </c>
      <c r="G54" s="68">
        <v>0</v>
      </c>
      <c r="H54" s="68">
        <v>0</v>
      </c>
      <c r="I54" s="68">
        <v>0</v>
      </c>
      <c r="J54" s="68">
        <v>0</v>
      </c>
      <c r="K54" s="68">
        <v>0</v>
      </c>
      <c r="L54" s="68">
        <v>0</v>
      </c>
      <c r="M54" s="68">
        <v>0</v>
      </c>
      <c r="N54" s="68">
        <v>0</v>
      </c>
      <c r="O54" s="68">
        <v>0</v>
      </c>
      <c r="P54" s="68">
        <v>0</v>
      </c>
      <c r="Q54" s="68">
        <v>0</v>
      </c>
      <c r="R54" s="68">
        <v>0</v>
      </c>
      <c r="S54" s="68">
        <v>0</v>
      </c>
      <c r="T54" s="68">
        <v>0</v>
      </c>
      <c r="U54" s="68">
        <v>0</v>
      </c>
      <c r="V54" s="68">
        <v>0</v>
      </c>
      <c r="W54" s="68">
        <v>0</v>
      </c>
      <c r="X54" s="68">
        <v>0</v>
      </c>
      <c r="Y54" s="68">
        <v>0</v>
      </c>
      <c r="Z54" s="68">
        <v>0</v>
      </c>
      <c r="AA54" s="68">
        <v>0</v>
      </c>
      <c r="AB54" s="68">
        <v>0</v>
      </c>
      <c r="AC54" s="68">
        <v>0</v>
      </c>
      <c r="AD54" s="68">
        <v>0</v>
      </c>
      <c r="AE54" s="30">
        <v>0</v>
      </c>
    </row>
    <row r="55" spans="2:31">
      <c r="B55" s="16" t="s">
        <v>87</v>
      </c>
      <c r="C55" s="36" t="s">
        <v>65</v>
      </c>
      <c r="D55" s="36" t="s">
        <v>61</v>
      </c>
      <c r="E55" s="36" t="s">
        <v>74</v>
      </c>
      <c r="F55" s="68">
        <v>0</v>
      </c>
      <c r="G55" s="68">
        <v>0</v>
      </c>
      <c r="H55" s="68">
        <v>0</v>
      </c>
      <c r="I55" s="68">
        <v>0</v>
      </c>
      <c r="J55" s="68">
        <v>0</v>
      </c>
      <c r="K55" s="68">
        <v>0</v>
      </c>
      <c r="L55" s="68">
        <v>0</v>
      </c>
      <c r="M55" s="68">
        <v>0</v>
      </c>
      <c r="N55" s="68">
        <v>0</v>
      </c>
      <c r="O55" s="68">
        <v>0</v>
      </c>
      <c r="P55" s="68">
        <v>0</v>
      </c>
      <c r="Q55" s="68">
        <v>0</v>
      </c>
      <c r="R55" s="68">
        <v>0</v>
      </c>
      <c r="S55" s="68">
        <v>0</v>
      </c>
      <c r="T55" s="68">
        <v>0</v>
      </c>
      <c r="U55" s="68">
        <v>0</v>
      </c>
      <c r="V55" s="68">
        <v>0</v>
      </c>
      <c r="W55" s="68">
        <v>0</v>
      </c>
      <c r="X55" s="68">
        <v>0</v>
      </c>
      <c r="Y55" s="68">
        <v>0</v>
      </c>
      <c r="Z55" s="68">
        <v>0</v>
      </c>
      <c r="AA55" s="68">
        <v>0</v>
      </c>
      <c r="AB55" s="68">
        <v>0</v>
      </c>
      <c r="AC55" s="68">
        <v>0</v>
      </c>
      <c r="AD55" s="68">
        <v>0</v>
      </c>
      <c r="AE55" s="30">
        <v>0</v>
      </c>
    </row>
    <row r="56" spans="2:31">
      <c r="B56" s="16" t="s">
        <v>88</v>
      </c>
      <c r="C56" s="36" t="s">
        <v>29</v>
      </c>
      <c r="D56" s="36" t="s">
        <v>57</v>
      </c>
      <c r="E56" s="36" t="s">
        <v>75</v>
      </c>
      <c r="F56" s="68">
        <v>3.9241308896493668E-3</v>
      </c>
      <c r="G56" s="68">
        <v>3.9241308896493668E-3</v>
      </c>
      <c r="H56" s="68">
        <v>3.9241308896493668E-3</v>
      </c>
      <c r="I56" s="68">
        <v>3.9241308896493668E-3</v>
      </c>
      <c r="J56" s="68">
        <v>3.9241308896493668E-3</v>
      </c>
      <c r="K56" s="68">
        <v>3.9241308896493668E-3</v>
      </c>
      <c r="L56" s="68">
        <v>3.9241308896493668E-3</v>
      </c>
      <c r="M56" s="68">
        <v>3.9241308896493668E-3</v>
      </c>
      <c r="N56" s="68">
        <v>3.9241308896493668E-3</v>
      </c>
      <c r="O56" s="68">
        <v>3.9241308896493668E-3</v>
      </c>
      <c r="P56" s="68">
        <v>3.9241308896493668E-3</v>
      </c>
      <c r="Q56" s="68">
        <v>3.9241308896493668E-3</v>
      </c>
      <c r="R56" s="68">
        <v>3.9241308896493668E-3</v>
      </c>
      <c r="S56" s="68">
        <v>3.9241308896493668E-3</v>
      </c>
      <c r="T56" s="68">
        <v>3.9241308896493668E-3</v>
      </c>
      <c r="U56" s="68">
        <v>3.9241308896493668E-3</v>
      </c>
      <c r="V56" s="68">
        <v>3.9241308896493668E-3</v>
      </c>
      <c r="W56" s="68">
        <v>3.9241308896493668E-3</v>
      </c>
      <c r="X56" s="68">
        <v>3.9241308896493668E-3</v>
      </c>
      <c r="Y56" s="68">
        <v>3.9241308896493668E-3</v>
      </c>
      <c r="Z56" s="68">
        <v>3.9241308896493668E-3</v>
      </c>
      <c r="AA56" s="68">
        <v>3.9241308896493668E-3</v>
      </c>
      <c r="AB56" s="68">
        <v>3.9241308896493668E-3</v>
      </c>
      <c r="AC56" s="68">
        <v>3.9241308896493668E-3</v>
      </c>
      <c r="AD56" s="68">
        <v>3.9241308896493668E-3</v>
      </c>
      <c r="AE56" s="30">
        <v>3.9241308896493668E-3</v>
      </c>
    </row>
    <row r="57" spans="2:31">
      <c r="B57" s="16" t="s">
        <v>86</v>
      </c>
      <c r="C57" s="36" t="s">
        <v>30</v>
      </c>
      <c r="D57" s="36" t="s">
        <v>26</v>
      </c>
      <c r="E57" s="36" t="s">
        <v>76</v>
      </c>
      <c r="F57" s="68">
        <v>3.40717185517873E-3</v>
      </c>
      <c r="G57" s="68">
        <v>3.40717185517873E-3</v>
      </c>
      <c r="H57" s="68">
        <v>3.40717185517873E-3</v>
      </c>
      <c r="I57" s="68">
        <v>3.40717185517873E-3</v>
      </c>
      <c r="J57" s="68">
        <v>3.40717185517873E-3</v>
      </c>
      <c r="K57" s="68">
        <v>3.40717185517873E-3</v>
      </c>
      <c r="L57" s="68">
        <v>3.40717185517873E-3</v>
      </c>
      <c r="M57" s="68">
        <v>3.40717185517873E-3</v>
      </c>
      <c r="N57" s="68">
        <v>3.40717185517873E-3</v>
      </c>
      <c r="O57" s="68">
        <v>3.40717185517873E-3</v>
      </c>
      <c r="P57" s="68">
        <v>3.40717185517873E-3</v>
      </c>
      <c r="Q57" s="68">
        <v>3.40717185517873E-3</v>
      </c>
      <c r="R57" s="68">
        <v>3.40717185517873E-3</v>
      </c>
      <c r="S57" s="68">
        <v>3.40717185517873E-3</v>
      </c>
      <c r="T57" s="68">
        <v>3.40717185517873E-3</v>
      </c>
      <c r="U57" s="68">
        <v>3.40717185517873E-3</v>
      </c>
      <c r="V57" s="68">
        <v>3.40717185517873E-3</v>
      </c>
      <c r="W57" s="68">
        <v>3.40717185517873E-3</v>
      </c>
      <c r="X57" s="68">
        <v>3.40717185517873E-3</v>
      </c>
      <c r="Y57" s="68">
        <v>3.40717185517873E-3</v>
      </c>
      <c r="Z57" s="68">
        <v>3.40717185517873E-3</v>
      </c>
      <c r="AA57" s="68">
        <v>3.40717185517873E-3</v>
      </c>
      <c r="AB57" s="68">
        <v>3.40717185517873E-3</v>
      </c>
      <c r="AC57" s="68">
        <v>3.40717185517873E-3</v>
      </c>
      <c r="AD57" s="68">
        <v>3.40717185517873E-3</v>
      </c>
      <c r="AE57" s="30">
        <v>3.40717185517873E-3</v>
      </c>
    </row>
    <row r="58" spans="2:31" ht="15" thickBot="1">
      <c r="B58" s="17" t="s">
        <v>86</v>
      </c>
      <c r="C58" s="18" t="s">
        <v>30</v>
      </c>
      <c r="D58" s="18" t="s">
        <v>14</v>
      </c>
      <c r="E58" s="18" t="s">
        <v>77</v>
      </c>
      <c r="F58" s="31">
        <v>9.4537099999999997E-4</v>
      </c>
      <c r="G58" s="31">
        <v>9.4537099999999997E-4</v>
      </c>
      <c r="H58" s="31">
        <v>9.4537099999999997E-4</v>
      </c>
      <c r="I58" s="31">
        <v>9.4537099999999997E-4</v>
      </c>
      <c r="J58" s="31">
        <v>9.4537099999999997E-4</v>
      </c>
      <c r="K58" s="31">
        <v>9.4537099999999997E-4</v>
      </c>
      <c r="L58" s="31">
        <v>9.4537099999999997E-4</v>
      </c>
      <c r="M58" s="31">
        <v>9.4537099999999997E-4</v>
      </c>
      <c r="N58" s="31">
        <v>9.4537099999999997E-4</v>
      </c>
      <c r="O58" s="31">
        <v>9.4537099999999997E-4</v>
      </c>
      <c r="P58" s="31">
        <v>9.4537099999999997E-4</v>
      </c>
      <c r="Q58" s="31">
        <v>9.4537099999999997E-4</v>
      </c>
      <c r="R58" s="31">
        <v>9.4537099999999997E-4</v>
      </c>
      <c r="S58" s="31">
        <v>9.4537099999999997E-4</v>
      </c>
      <c r="T58" s="31">
        <v>9.4537099999999997E-4</v>
      </c>
      <c r="U58" s="31">
        <v>9.4537099999999997E-4</v>
      </c>
      <c r="V58" s="31">
        <v>9.4537099999999997E-4</v>
      </c>
      <c r="W58" s="31">
        <v>9.4537099999999997E-4</v>
      </c>
      <c r="X58" s="31">
        <v>9.4537099999999997E-4</v>
      </c>
      <c r="Y58" s="31">
        <v>9.4537099999999997E-4</v>
      </c>
      <c r="Z58" s="31">
        <v>9.4537099999999997E-4</v>
      </c>
      <c r="AA58" s="31">
        <v>9.4537099999999997E-4</v>
      </c>
      <c r="AB58" s="31">
        <v>9.4537099999999997E-4</v>
      </c>
      <c r="AC58" s="31">
        <v>9.4537099999999997E-4</v>
      </c>
      <c r="AD58" s="31">
        <v>9.4537099999999997E-4</v>
      </c>
      <c r="AE58" s="32">
        <v>9.4537099999999997E-4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0C9D1-8A9C-43A9-ABE1-6ADF7F402EEF}">
  <dimension ref="R4:S8"/>
  <sheetViews>
    <sheetView topLeftCell="Q1" workbookViewId="0">
      <selection activeCell="Y18" sqref="Y18"/>
    </sheetView>
  </sheetViews>
  <sheetFormatPr baseColWidth="10" defaultColWidth="8.88671875" defaultRowHeight="14.4"/>
  <sheetData>
    <row r="4" spans="18:19" ht="15" thickBot="1"/>
    <row r="5" spans="18:19" ht="15" thickBot="1">
      <c r="R5" s="33" t="s">
        <v>36</v>
      </c>
      <c r="S5" s="34" t="s">
        <v>91</v>
      </c>
    </row>
    <row r="6" spans="18:19">
      <c r="R6" s="1" t="s">
        <v>34</v>
      </c>
      <c r="S6" s="2">
        <v>1</v>
      </c>
    </row>
    <row r="7" spans="18:19">
      <c r="R7" s="1" t="s">
        <v>33</v>
      </c>
      <c r="S7" s="2">
        <v>28</v>
      </c>
    </row>
    <row r="8" spans="18:19" ht="15" thickBot="1">
      <c r="R8" s="3" t="s">
        <v>35</v>
      </c>
      <c r="S8" s="4">
        <v>265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F814574E960A4499025803604D4DF4" ma:contentTypeVersion="9" ma:contentTypeDescription="Crear nuevo documento." ma:contentTypeScope="" ma:versionID="613b0908c48a25395136f5b5d1e9264a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f5652efc65d8021725ff526b59607fd6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6C6E554-66B1-4398-AA8A-D50C72ABC0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2ff61d-e0c4-454b-ba72-44cf85c32a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2622CB-A9A9-4DFF-A560-E306CF1F0B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6BB5CA-6264-4F56-A268-F06D6FE4C99D}">
  <ds:schemaRefs>
    <ds:schemaRef ds:uri="http://schemas.microsoft.com/office/infopath/2007/PartnerControls"/>
    <ds:schemaRef ds:uri="4b2ff61d-e0c4-454b-ba72-44cf85c32a41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Contenido</vt:lpstr>
      <vt:lpstr>Demandas_PJ</vt:lpstr>
      <vt:lpstr>Generación_anual_PJ_año</vt:lpstr>
      <vt:lpstr>Proyectos_Plantas</vt:lpstr>
      <vt:lpstr>Capacidad_GW</vt:lpstr>
      <vt:lpstr>Producción_Fósil_PJ</vt:lpstr>
      <vt:lpstr>Refinerías_PJ</vt:lpstr>
      <vt:lpstr>FP</vt:lpstr>
      <vt:lpstr>FE</vt:lpstr>
      <vt:lpstr>PCG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Susana Solorzano Jiménez</dc:creator>
  <cp:lastModifiedBy>Eficiencia Energética</cp:lastModifiedBy>
  <dcterms:created xsi:type="dcterms:W3CDTF">2024-12-02T17:04:18Z</dcterms:created>
  <dcterms:modified xsi:type="dcterms:W3CDTF">2026-01-28T08:08:55Z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
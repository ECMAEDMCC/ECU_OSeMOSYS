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ECU_OSeMOSYS\Residuos\"/>
    </mc:Choice>
  </mc:AlternateContent>
  <xr:revisionPtr revIDLastSave="0" documentId="13_ncr:1_{CB620C81-4E1A-4C1A-BB9E-630E0136F002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ets" sheetId="1" r:id="rId1"/>
    <sheet name="parameters" sheetId="2" r:id="rId2"/>
    <sheet name="variables" sheetId="3" r:id="rId3"/>
  </sheets>
  <definedNames>
    <definedName name="_xlnm._FilterDatabase" localSheetId="0" hidden="1">sets!$A$1:$L$93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" i="3" l="1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L3" i="1"/>
  <c r="K3" i="1"/>
  <c r="J3" i="1"/>
  <c r="I3" i="1"/>
  <c r="H3" i="1"/>
  <c r="G3" i="1"/>
  <c r="F3" i="1"/>
  <c r="E3" i="1"/>
  <c r="D3" i="1"/>
  <c r="C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tc={857C3397-8EA1-E3F2-B744-D82F38F407A0}</author>
    <author>tc={48336B1B-22E6-4D46-4897-3B229A4FF07F}</author>
    <author>pc</author>
  </authors>
  <commentList>
    <comment ref="C29" authorId="0" shapeId="0" xr:uid="{857C3397-8EA1-E3F2-B744-D82F38F407A0}">
      <text>
        <r>
          <rPr>
            <b/>
            <sz val="9"/>
            <rFont val="Tahoma"/>
            <family val="2"/>
          </rPr>
          <t>bj:</t>
        </r>
        <r>
          <rPr>
            <sz val="9"/>
            <rFont val="Tahoma"/>
            <family val="2"/>
          </rPr>
          <t xml:space="preserve">
añadido manualmente
</t>
        </r>
      </text>
    </comment>
    <comment ref="C30" authorId="1" shapeId="0" xr:uid="{48336B1B-22E6-4D46-4897-3B229A4FF07F}">
      <text>
        <r>
          <rPr>
            <b/>
            <sz val="9"/>
            <rFont val="Tahoma"/>
            <family val="2"/>
          </rPr>
          <t>bj:</t>
        </r>
        <r>
          <rPr>
            <sz val="9"/>
            <rFont val="Tahoma"/>
            <family val="2"/>
          </rPr>
          <t xml:space="preserve">
añadido manualmente
</t>
        </r>
      </text>
    </comment>
    <comment ref="C31" authorId="2" shapeId="0" xr:uid="{9D96A7C5-B63C-47AC-93FA-DDE853ACD7F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manual</t>
        </r>
      </text>
    </comment>
    <comment ref="C32" authorId="2" shapeId="0" xr:uid="{F303FD7D-31C1-420A-8E96-944BBCBFD43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manual</t>
        </r>
      </text>
    </comment>
    <comment ref="C33" authorId="2" shapeId="0" xr:uid="{4A9057DF-3770-4626-BE96-4BF6F840B27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manual</t>
        </r>
      </text>
    </comment>
    <comment ref="C34" authorId="2" shapeId="0" xr:uid="{6AB8FAA3-BE12-45A0-A862-A2A6BBA8A09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manual</t>
        </r>
      </text>
    </comment>
  </commentList>
</comments>
</file>

<file path=xl/sharedStrings.xml><?xml version="1.0" encoding="utf-8"?>
<sst xmlns="http://schemas.openxmlformats.org/spreadsheetml/2006/main" count="414" uniqueCount="165">
  <si>
    <t>set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</si>
  <si>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</si>
  <si>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</si>
  <si>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</si>
  <si>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</si>
  <si>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</si>
  <si>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</si>
  <si>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</si>
  <si>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</si>
  <si>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</si>
  <si>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</si>
  <si>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</si>
  <si>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index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</si>
  <si>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</si>
  <si>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</si>
  <si>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</si>
  <si>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</si>
  <si>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</si>
  <si>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</si>
  <si>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</si>
  <si>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</si>
  <si>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</si>
  <si>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</si>
  <si>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</si>
  <si>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number</t>
  </si>
  <si>
    <t>INORG_RCY_OS</t>
  </si>
  <si>
    <t>All</t>
  </si>
  <si>
    <t>OSS_INORG</t>
  </si>
  <si>
    <t>RM</t>
  </si>
  <si>
    <t>ECU</t>
  </si>
  <si>
    <t>AD</t>
  </si>
  <si>
    <t>OSS_ORG</t>
  </si>
  <si>
    <t>FERT_ORG</t>
  </si>
  <si>
    <t>COMPOST</t>
  </si>
  <si>
    <t>NO_OSS</t>
  </si>
  <si>
    <t>CO2e_WASTE</t>
  </si>
  <si>
    <t>LANDFILL</t>
  </si>
  <si>
    <t>WWWOT</t>
  </si>
  <si>
    <t>HWT</t>
  </si>
  <si>
    <t>NO_CONTR_OD</t>
  </si>
  <si>
    <t>WWWT</t>
  </si>
  <si>
    <t>WTRU</t>
  </si>
  <si>
    <t>WFIRU</t>
  </si>
  <si>
    <t>COLL_INORG</t>
  </si>
  <si>
    <t>COLL_ORG</t>
  </si>
  <si>
    <t>COLL_BLEND</t>
  </si>
  <si>
    <t>INORGSS</t>
  </si>
  <si>
    <t>NO_OSS_BLEND</t>
  </si>
  <si>
    <t>ORGSS</t>
  </si>
  <si>
    <t>INORG_DCOLL</t>
  </si>
  <si>
    <t>NOSS</t>
  </si>
  <si>
    <t>ORG_DCOLL</t>
  </si>
  <si>
    <t>SEWERWW</t>
  </si>
  <si>
    <t>BLEND_NO_DCOLL</t>
  </si>
  <si>
    <t>TSW</t>
  </si>
  <si>
    <t>INORG_SS</t>
  </si>
  <si>
    <t>TWW</t>
  </si>
  <si>
    <t>ORG_SS</t>
  </si>
  <si>
    <t>E5_TSWTSW</t>
  </si>
  <si>
    <t>NO_SS</t>
  </si>
  <si>
    <t>E5_TWWTWW</t>
  </si>
  <si>
    <t>SEWERWWWOT</t>
  </si>
  <si>
    <t>SEWERWWWT</t>
  </si>
  <si>
    <t>WWWTFIRU</t>
  </si>
  <si>
    <t>TWWWOT</t>
  </si>
  <si>
    <t>STWW</t>
  </si>
  <si>
    <t>T5TSWTSW</t>
  </si>
  <si>
    <t>T5TWWTWW</t>
  </si>
  <si>
    <t>LANDFILL_ELEC</t>
  </si>
  <si>
    <t>IWW</t>
  </si>
  <si>
    <t>category</t>
  </si>
  <si>
    <t>Global parameters</t>
  </si>
  <si>
    <t>Demands</t>
  </si>
  <si>
    <t>Performance</t>
  </si>
  <si>
    <t>Technology costs</t>
  </si>
  <si>
    <t>Capacity constraints</t>
  </si>
  <si>
    <t>Activity constraints</t>
  </si>
  <si>
    <t>RE Generation Target</t>
  </si>
  <si>
    <t>Emissions</t>
  </si>
  <si>
    <t>parameter</t>
  </si>
  <si>
    <t>YearSplit</t>
  </si>
  <si>
    <t>DiscountRate</t>
  </si>
  <si>
    <t>DepreciationMethod</t>
  </si>
  <si>
    <t>SpecifiedAnnualDemand</t>
  </si>
  <si>
    <t>SpecifiedDemandProfile</t>
  </si>
  <si>
    <t>CapacityToActivityUnit</t>
  </si>
  <si>
    <t>CapacityFactor</t>
  </si>
  <si>
    <t>AvailabilityFactor</t>
  </si>
  <si>
    <t>OperationalLife</t>
  </si>
  <si>
    <t>ResidualCapacity</t>
  </si>
  <si>
    <t>InputActivityRatio</t>
  </si>
  <si>
    <t>OutputActivityRatio</t>
  </si>
  <si>
    <t>CapitalCost</t>
  </si>
  <si>
    <t>VariableCost</t>
  </si>
  <si>
    <t>FixedCost</t>
  </si>
  <si>
    <t>TotalAnnualMaxCapacity</t>
  </si>
  <si>
    <t>TotalAnnualMinCapacity</t>
  </si>
  <si>
    <t>TotalAnnualMaxCapacityInvestment</t>
  </si>
  <si>
    <t>TotalAnnualMinCapacityInvestment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</si>
  <si>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</si>
  <si>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</si>
  <si>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</si>
  <si>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</si>
  <si>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RETagTechnology</t>
  </si>
  <si>
    <t>RETagFuel</t>
  </si>
  <si>
    <t>REMinProductionTarget</t>
  </si>
  <si>
    <t>EmissionActivityRatio</t>
  </si>
  <si>
    <t>AnnualEmissionLimit</t>
  </si>
  <si>
    <t>ModelPeriodEmissionLimit</t>
  </si>
  <si>
    <t>EmissionsPenalty</t>
  </si>
  <si>
    <t>Capacity variables</t>
  </si>
  <si>
    <t>Activity variables</t>
  </si>
  <si>
    <t>Costing variables</t>
  </si>
  <si>
    <t>Reserve margin</t>
  </si>
  <si>
    <t>variable</t>
  </si>
  <si>
    <t>RateOfDemand</t>
  </si>
  <si>
    <t>Demand</t>
  </si>
  <si>
    <t>NumberOfNewTechnologyUnits</t>
  </si>
  <si>
    <t>NewCapacity</t>
  </si>
  <si>
    <t>AccumulatedNewCapacity</t>
  </si>
  <si>
    <t>TotalCapacityAnnual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</si>
  <si>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</si>
  <si>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</si>
  <si>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</si>
  <si>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</si>
  <si>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</si>
  <si>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</si>
  <si>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</si>
  <si>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</si>
  <si>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</si>
  <si>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</si>
  <si>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</si>
  <si>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</si>
  <si>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</si>
  <si>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</si>
  <si>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</si>
  <si>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</si>
  <si>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</si>
  <si>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</si>
  <si>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</si>
  <si>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</si>
  <si>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</si>
  <si>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</si>
  <si>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</si>
  <si>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</si>
  <si>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</si>
  <si>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</si>
  <si>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</si>
  <si>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</si>
  <si>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</si>
  <si>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</si>
  <si>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</si>
  <si>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</si>
  <si>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</si>
  <si>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</si>
  <si>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</si>
  <si>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</si>
  <si>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</si>
  <si>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N2O_WASTE</t>
  </si>
  <si>
    <t>CO2_WASTE</t>
  </si>
  <si>
    <t>CH4_WASTE</t>
  </si>
  <si>
    <t>INCIN</t>
  </si>
  <si>
    <t>COPROC</t>
  </si>
  <si>
    <t>OPEN_BURN</t>
  </si>
  <si>
    <t>SIT_CLAN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</si>
</sst>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3" borderId="0" xfId="1" applyFill="1" applyAlignment="1">
      <alignment horizontal="left"/>
    </xf>
    <xf numFmtId="0" fontId="4" fillId="2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DE945B59-7F08-48F3-A1EC-23DE195A8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j" id="{D8C2DD86-BEB6-E765-CD6E-2521FF4251E4}" userId="bj" providerId="Teamlab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9" dT="2025-07-26T19:56:38.90Z" personId="{D8C2DD86-BEB6-E765-CD6E-2521FF4251E4}" id="{857C3397-8EA1-E3F2-B744-D82F38F407A0}" done="0">
    <text xml:space="preserve">añadido manualmente
</text>
  </threadedComment>
  <threadedComment ref="C30" dT="2025-07-26T19:56:46.42Z" personId="{D8C2DD86-BEB6-E765-CD6E-2521FF4251E4}" id="{48336B1B-22E6-4D46-4897-3B229A4FF07F}" done="0">
    <text xml:space="preserve">añadido manualmente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25" workbookViewId="0">
      <selection activeCell="C31" sqref="C31:C34"/>
    </sheetView>
  </sheetViews>
  <sheetFormatPr baseColWidth="10" defaultColWidth="9.21875" defaultRowHeight="14.4" x14ac:dyDescent="0.3"/>
  <cols>
    <col min="2" max="2" width="7.5546875" bestFit="1" customWidth="1"/>
    <col min="3" max="3" width="21" bestFit="1" customWidth="1"/>
    <col min="4" max="4" width="9.77734375" bestFit="1" customWidth="1"/>
    <col min="5" max="5" width="13" customWidth="1"/>
    <col min="6" max="6" width="16.77734375" bestFit="1" customWidth="1"/>
    <col min="7" max="7" width="20.44140625" bestFit="1" customWidth="1"/>
    <col min="8" max="9" width="7.5546875" bestFit="1" customWidth="1"/>
    <col min="10" max="10" width="8.21875" bestFit="1" customWidth="1"/>
    <col min="11" max="11" width="17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>
        <f>+COUNTA(B4:B1048576)</f>
        <v>61</v>
      </c>
      <c r="C3">
        <f>+COUNTA(C4:C1048576)</f>
        <v>31</v>
      </c>
      <c r="D3">
        <f t="shared" ref="D3:L3" si="0">+COUNTA(D4:D1048576)</f>
        <v>1</v>
      </c>
      <c r="E3">
        <f>+COUNTA(E4:E1048576)</f>
        <v>17</v>
      </c>
      <c r="F3">
        <f>+COUNTA(F4:F1048576)</f>
        <v>8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2010</v>
      </c>
      <c r="C4" t="s">
        <v>25</v>
      </c>
      <c r="D4" t="s">
        <v>26</v>
      </c>
      <c r="E4" t="s">
        <v>27</v>
      </c>
      <c r="F4" t="s">
        <v>158</v>
      </c>
      <c r="G4">
        <v>1</v>
      </c>
      <c r="H4" t="s">
        <v>29</v>
      </c>
    </row>
    <row r="5" spans="1:12" x14ac:dyDescent="0.3">
      <c r="B5">
        <v>2011</v>
      </c>
      <c r="C5" t="s">
        <v>30</v>
      </c>
      <c r="E5" t="s">
        <v>31</v>
      </c>
      <c r="F5" t="s">
        <v>38</v>
      </c>
    </row>
    <row r="6" spans="1:12" x14ac:dyDescent="0.3">
      <c r="B6">
        <v>2012</v>
      </c>
      <c r="C6" t="s">
        <v>33</v>
      </c>
      <c r="E6" t="s">
        <v>34</v>
      </c>
      <c r="F6" t="s">
        <v>159</v>
      </c>
    </row>
    <row r="7" spans="1:12" x14ac:dyDescent="0.3">
      <c r="B7">
        <v>2013</v>
      </c>
      <c r="C7" t="s">
        <v>36</v>
      </c>
      <c r="E7" t="s">
        <v>37</v>
      </c>
      <c r="F7" t="s">
        <v>160</v>
      </c>
    </row>
    <row r="8" spans="1:12" x14ac:dyDescent="0.3">
      <c r="B8">
        <v>2014</v>
      </c>
      <c r="C8" t="s">
        <v>39</v>
      </c>
      <c r="E8" t="s">
        <v>40</v>
      </c>
      <c r="F8" t="s">
        <v>28</v>
      </c>
    </row>
    <row r="9" spans="1:12" x14ac:dyDescent="0.3">
      <c r="B9">
        <v>2015</v>
      </c>
      <c r="C9" t="s">
        <v>37</v>
      </c>
      <c r="E9" t="s">
        <v>42</v>
      </c>
      <c r="F9" t="s">
        <v>35</v>
      </c>
    </row>
    <row r="10" spans="1:12" x14ac:dyDescent="0.3">
      <c r="B10">
        <v>2016</v>
      </c>
      <c r="C10" t="s">
        <v>40</v>
      </c>
      <c r="E10" t="s">
        <v>43</v>
      </c>
      <c r="F10" t="s">
        <v>41</v>
      </c>
    </row>
    <row r="11" spans="1:12" x14ac:dyDescent="0.3">
      <c r="B11">
        <v>2017</v>
      </c>
      <c r="C11" t="s">
        <v>42</v>
      </c>
      <c r="E11" t="s">
        <v>44</v>
      </c>
      <c r="F11" t="s">
        <v>32</v>
      </c>
    </row>
    <row r="12" spans="1:12" x14ac:dyDescent="0.3">
      <c r="B12">
        <v>2018</v>
      </c>
      <c r="C12" t="s">
        <v>27</v>
      </c>
      <c r="E12" t="s">
        <v>45</v>
      </c>
    </row>
    <row r="13" spans="1:12" x14ac:dyDescent="0.3">
      <c r="B13">
        <v>2019</v>
      </c>
      <c r="C13" t="s">
        <v>31</v>
      </c>
      <c r="E13" t="s">
        <v>46</v>
      </c>
    </row>
    <row r="14" spans="1:12" x14ac:dyDescent="0.3">
      <c r="B14">
        <v>2020</v>
      </c>
      <c r="C14" t="s">
        <v>47</v>
      </c>
      <c r="E14" t="s">
        <v>48</v>
      </c>
    </row>
    <row r="15" spans="1:12" x14ac:dyDescent="0.3">
      <c r="B15">
        <v>2021</v>
      </c>
      <c r="C15" t="s">
        <v>49</v>
      </c>
      <c r="E15" t="s">
        <v>50</v>
      </c>
    </row>
    <row r="16" spans="1:12" x14ac:dyDescent="0.3">
      <c r="B16">
        <v>2022</v>
      </c>
      <c r="C16" t="s">
        <v>51</v>
      </c>
      <c r="E16" t="s">
        <v>52</v>
      </c>
    </row>
    <row r="17" spans="2:5" x14ac:dyDescent="0.3">
      <c r="B17">
        <v>2023</v>
      </c>
      <c r="C17" t="s">
        <v>53</v>
      </c>
      <c r="E17" t="s">
        <v>54</v>
      </c>
    </row>
    <row r="18" spans="2:5" x14ac:dyDescent="0.3">
      <c r="B18">
        <v>2024</v>
      </c>
      <c r="C18" t="s">
        <v>55</v>
      </c>
      <c r="E18" t="s">
        <v>56</v>
      </c>
    </row>
    <row r="19" spans="2:5" x14ac:dyDescent="0.3">
      <c r="B19">
        <v>2025</v>
      </c>
      <c r="C19" t="s">
        <v>57</v>
      </c>
      <c r="E19" t="s">
        <v>58</v>
      </c>
    </row>
    <row r="20" spans="2:5" x14ac:dyDescent="0.3">
      <c r="B20">
        <v>2026</v>
      </c>
      <c r="C20" t="s">
        <v>59</v>
      </c>
      <c r="E20" t="s">
        <v>60</v>
      </c>
    </row>
    <row r="21" spans="2:5" x14ac:dyDescent="0.3">
      <c r="B21">
        <v>2027</v>
      </c>
      <c r="C21" t="s">
        <v>61</v>
      </c>
    </row>
    <row r="22" spans="2:5" x14ac:dyDescent="0.3">
      <c r="B22">
        <v>2028</v>
      </c>
      <c r="C22" t="s">
        <v>62</v>
      </c>
    </row>
    <row r="23" spans="2:5" x14ac:dyDescent="0.3">
      <c r="B23">
        <v>2029</v>
      </c>
      <c r="C23" t="s">
        <v>63</v>
      </c>
    </row>
    <row r="24" spans="2:5" x14ac:dyDescent="0.3">
      <c r="B24">
        <v>2030</v>
      </c>
      <c r="C24" t="s">
        <v>64</v>
      </c>
    </row>
    <row r="25" spans="2:5" x14ac:dyDescent="0.3">
      <c r="B25">
        <v>2031</v>
      </c>
      <c r="C25" t="s">
        <v>52</v>
      </c>
    </row>
    <row r="26" spans="2:5" x14ac:dyDescent="0.3">
      <c r="B26">
        <v>2032</v>
      </c>
      <c r="C26" t="s">
        <v>65</v>
      </c>
    </row>
    <row r="27" spans="2:5" x14ac:dyDescent="0.3">
      <c r="B27">
        <v>2033</v>
      </c>
      <c r="C27" t="s">
        <v>66</v>
      </c>
    </row>
    <row r="28" spans="2:5" x14ac:dyDescent="0.3">
      <c r="B28">
        <v>2034</v>
      </c>
      <c r="C28" t="s">
        <v>67</v>
      </c>
    </row>
    <row r="29" spans="2:5" x14ac:dyDescent="0.3">
      <c r="B29">
        <v>2035</v>
      </c>
      <c r="C29" s="1" t="s">
        <v>68</v>
      </c>
    </row>
    <row r="30" spans="2:5" x14ac:dyDescent="0.3">
      <c r="B30">
        <v>2036</v>
      </c>
      <c r="C30" s="1" t="s">
        <v>69</v>
      </c>
    </row>
    <row r="31" spans="2:5" x14ac:dyDescent="0.3">
      <c r="B31">
        <v>2037</v>
      </c>
      <c r="C31" s="2" t="s">
        <v>162</v>
      </c>
    </row>
    <row r="32" spans="2:5" x14ac:dyDescent="0.3">
      <c r="B32">
        <v>2038</v>
      </c>
      <c r="C32" s="2" t="s">
        <v>161</v>
      </c>
    </row>
    <row r="33" spans="2:3" x14ac:dyDescent="0.3">
      <c r="B33">
        <v>2039</v>
      </c>
      <c r="C33" s="2" t="s">
        <v>163</v>
      </c>
    </row>
    <row r="34" spans="2:3" x14ac:dyDescent="0.3">
      <c r="B34">
        <v>2040</v>
      </c>
      <c r="C34" s="2" t="s">
        <v>164</v>
      </c>
    </row>
    <row r="35" spans="2:3" x14ac:dyDescent="0.3">
      <c r="B35">
        <v>2041</v>
      </c>
    </row>
    <row r="36" spans="2:3" x14ac:dyDescent="0.3">
      <c r="B36">
        <v>2042</v>
      </c>
    </row>
    <row r="37" spans="2:3" x14ac:dyDescent="0.3">
      <c r="B37">
        <v>2043</v>
      </c>
    </row>
    <row r="38" spans="2:3" x14ac:dyDescent="0.3">
      <c r="B38">
        <v>2044</v>
      </c>
    </row>
    <row r="39" spans="2:3" x14ac:dyDescent="0.3">
      <c r="B39">
        <v>2045</v>
      </c>
    </row>
    <row r="40" spans="2:3" x14ac:dyDescent="0.3">
      <c r="B40">
        <v>2046</v>
      </c>
    </row>
    <row r="41" spans="2:3" x14ac:dyDescent="0.3">
      <c r="B41">
        <v>2047</v>
      </c>
    </row>
    <row r="42" spans="2:3" x14ac:dyDescent="0.3">
      <c r="B42">
        <v>2048</v>
      </c>
    </row>
    <row r="43" spans="2:3" x14ac:dyDescent="0.3">
      <c r="B43">
        <v>2049</v>
      </c>
    </row>
    <row r="44" spans="2:3" x14ac:dyDescent="0.3">
      <c r="B44">
        <v>2050</v>
      </c>
    </row>
    <row r="45" spans="2:3" x14ac:dyDescent="0.3">
      <c r="B45">
        <v>2051</v>
      </c>
    </row>
    <row r="46" spans="2:3" x14ac:dyDescent="0.3">
      <c r="B46">
        <v>2052</v>
      </c>
    </row>
    <row r="47" spans="2:3" x14ac:dyDescent="0.3">
      <c r="B47">
        <v>2053</v>
      </c>
    </row>
    <row r="48" spans="2:3" x14ac:dyDescent="0.3">
      <c r="B48">
        <v>2054</v>
      </c>
    </row>
    <row r="49" spans="2:2" x14ac:dyDescent="0.3">
      <c r="B49">
        <v>2055</v>
      </c>
    </row>
    <row r="50" spans="2:2" x14ac:dyDescent="0.3">
      <c r="B50">
        <v>2056</v>
      </c>
    </row>
    <row r="51" spans="2:2" x14ac:dyDescent="0.3">
      <c r="B51">
        <v>2057</v>
      </c>
    </row>
    <row r="52" spans="2:2" x14ac:dyDescent="0.3">
      <c r="B52">
        <v>2058</v>
      </c>
    </row>
    <row r="53" spans="2:2" x14ac:dyDescent="0.3">
      <c r="B53">
        <v>2059</v>
      </c>
    </row>
    <row r="54" spans="2:2" x14ac:dyDescent="0.3">
      <c r="B54">
        <v>2060</v>
      </c>
    </row>
    <row r="55" spans="2:2" x14ac:dyDescent="0.3">
      <c r="B55">
        <v>2061</v>
      </c>
    </row>
    <row r="56" spans="2:2" x14ac:dyDescent="0.3">
      <c r="B56">
        <v>2062</v>
      </c>
    </row>
    <row r="57" spans="2:2" x14ac:dyDescent="0.3">
      <c r="B57">
        <v>2063</v>
      </c>
    </row>
    <row r="58" spans="2:2" x14ac:dyDescent="0.3">
      <c r="B58">
        <v>2064</v>
      </c>
    </row>
    <row r="59" spans="2:2" x14ac:dyDescent="0.3">
      <c r="B59">
        <v>2065</v>
      </c>
    </row>
    <row r="60" spans="2:2" x14ac:dyDescent="0.3">
      <c r="B60">
        <v>2066</v>
      </c>
    </row>
    <row r="61" spans="2:2" x14ac:dyDescent="0.3">
      <c r="B61">
        <v>2067</v>
      </c>
    </row>
    <row r="62" spans="2:2" x14ac:dyDescent="0.3">
      <c r="B62">
        <v>2068</v>
      </c>
    </row>
    <row r="63" spans="2:2" x14ac:dyDescent="0.3">
      <c r="B63">
        <v>2069</v>
      </c>
    </row>
    <row r="64" spans="2:2" x14ac:dyDescent="0.3">
      <c r="B64">
        <v>2070</v>
      </c>
    </row>
  </sheetData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selection activeCell="AE3" sqref="B3:AE3"/>
    </sheetView>
  </sheetViews>
  <sheetFormatPr baseColWidth="10" defaultColWidth="9.21875" defaultRowHeight="14.4" x14ac:dyDescent="0.3"/>
  <cols>
    <col min="1" max="1" width="9.5546875" bestFit="1" customWidth="1"/>
    <col min="2" max="2" width="8.21875" customWidth="1"/>
    <col min="3" max="3" width="11.77734375" bestFit="1" customWidth="1"/>
    <col min="4" max="4" width="18.21875" bestFit="1" customWidth="1"/>
    <col min="5" max="6" width="20.77734375" bestFit="1" customWidth="1"/>
    <col min="7" max="8" width="19.77734375" bestFit="1" customWidth="1"/>
    <col min="9" max="9" width="15.21875" bestFit="1" customWidth="1"/>
    <col min="10" max="10" width="13.77734375" bestFit="1" customWidth="1"/>
    <col min="11" max="11" width="14.77734375" bestFit="1" customWidth="1"/>
    <col min="12" max="12" width="15.77734375" bestFit="1" customWidth="1"/>
    <col min="13" max="13" width="17.21875" bestFit="1" customWidth="1"/>
    <col min="14" max="14" width="15.21875" bestFit="1" customWidth="1"/>
    <col min="15" max="15" width="11.21875" bestFit="1" customWidth="1"/>
    <col min="17" max="17" width="21.77734375" bestFit="1" customWidth="1"/>
    <col min="18" max="18" width="21.21875" bestFit="1" customWidth="1"/>
    <col min="19" max="19" width="31" bestFit="1" customWidth="1"/>
    <col min="20" max="20" width="30.5546875" bestFit="1" customWidth="1"/>
    <col min="21" max="22" width="35.77734375" bestFit="1" customWidth="1"/>
    <col min="23" max="23" width="40.77734375" bestFit="1" customWidth="1"/>
    <col min="24" max="24" width="40.77734375" customWidth="1"/>
    <col min="25" max="25" width="18.5546875" bestFit="1" customWidth="1"/>
    <col min="26" max="26" width="9.21875" bestFit="1" customWidth="1"/>
    <col min="27" max="27" width="20.5546875" bestFit="1" customWidth="1"/>
    <col min="28" max="28" width="18.77734375" bestFit="1" customWidth="1"/>
    <col min="29" max="29" width="13.77734375" customWidth="1"/>
    <col min="31" max="31" width="15" bestFit="1" customWidth="1"/>
  </cols>
  <sheetData>
    <row r="1" spans="1:31" x14ac:dyDescent="0.3">
      <c r="A1" t="s">
        <v>70</v>
      </c>
      <c r="B1" t="s">
        <v>71</v>
      </c>
      <c r="E1" t="s">
        <v>72</v>
      </c>
      <c r="G1" t="s">
        <v>73</v>
      </c>
      <c r="N1" t="s">
        <v>74</v>
      </c>
      <c r="Q1" t="s">
        <v>75</v>
      </c>
      <c r="U1" t="s">
        <v>76</v>
      </c>
      <c r="Y1" t="s">
        <v>77</v>
      </c>
      <c r="AB1" t="s">
        <v>78</v>
      </c>
    </row>
    <row r="2" spans="1:31" x14ac:dyDescent="0.3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</row>
    <row r="3" spans="1:31" x14ac:dyDescent="0.3">
      <c r="A3" t="s">
        <v>24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15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13</v>
      </c>
      <c r="E5" t="s">
        <v>16</v>
      </c>
      <c r="F5" t="s">
        <v>16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16</v>
      </c>
      <c r="AA5" t="s">
        <v>13</v>
      </c>
      <c r="AB5" t="s">
        <v>14</v>
      </c>
      <c r="AC5" t="s">
        <v>17</v>
      </c>
      <c r="AD5" t="s">
        <v>17</v>
      </c>
      <c r="AE5" t="s">
        <v>17</v>
      </c>
    </row>
    <row r="6" spans="1:31" x14ac:dyDescent="0.3">
      <c r="E6" t="s">
        <v>13</v>
      </c>
      <c r="F6" t="s">
        <v>15</v>
      </c>
      <c r="H6" t="s">
        <v>15</v>
      </c>
      <c r="I6" t="s">
        <v>13</v>
      </c>
      <c r="K6" t="s">
        <v>13</v>
      </c>
      <c r="L6" t="s">
        <v>16</v>
      </c>
      <c r="M6" t="s">
        <v>16</v>
      </c>
      <c r="N6" t="s">
        <v>13</v>
      </c>
      <c r="O6" t="s">
        <v>18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Y6" t="s">
        <v>13</v>
      </c>
      <c r="Z6" t="s">
        <v>13</v>
      </c>
      <c r="AB6" t="s">
        <v>17</v>
      </c>
      <c r="AC6" t="s">
        <v>13</v>
      </c>
      <c r="AE6" t="s">
        <v>13</v>
      </c>
    </row>
    <row r="7" spans="1:31" x14ac:dyDescent="0.3">
      <c r="F7" t="s">
        <v>13</v>
      </c>
      <c r="H7" t="s">
        <v>13</v>
      </c>
      <c r="L7" t="s">
        <v>18</v>
      </c>
      <c r="M7" t="s">
        <v>18</v>
      </c>
      <c r="O7" t="s">
        <v>13</v>
      </c>
      <c r="AB7" t="s">
        <v>18</v>
      </c>
    </row>
    <row r="8" spans="1:31" x14ac:dyDescent="0.3">
      <c r="L8" t="s">
        <v>13</v>
      </c>
      <c r="M8" t="s">
        <v>13</v>
      </c>
      <c r="AB8" t="s">
        <v>13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9"/>
  <sheetViews>
    <sheetView workbookViewId="0">
      <selection activeCell="B3" sqref="B3"/>
    </sheetView>
  </sheetViews>
  <sheetFormatPr baseColWidth="10" defaultColWidth="9.21875" defaultRowHeight="14.4" x14ac:dyDescent="0.3"/>
  <cols>
    <col min="1" max="1" width="9.5546875" bestFit="1" customWidth="1"/>
    <col min="2" max="2" width="13.77734375" bestFit="1" customWidth="1"/>
    <col min="4" max="4" width="27.21875" bestFit="1" customWidth="1"/>
    <col min="5" max="5" width="11.77734375" bestFit="1" customWidth="1"/>
    <col min="6" max="6" width="22.77734375" bestFit="1" customWidth="1"/>
    <col min="7" max="7" width="18" bestFit="1" customWidth="1"/>
    <col min="8" max="8" width="14.77734375" bestFit="1" customWidth="1"/>
    <col min="9" max="9" width="17.2187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21875" bestFit="1" customWidth="1"/>
    <col min="17" max="17" width="15.77734375" bestFit="1" customWidth="1"/>
    <col min="18" max="18" width="9.77734375" bestFit="1" customWidth="1"/>
    <col min="19" max="19" width="28.44140625" bestFit="1" customWidth="1"/>
    <col min="20" max="20" width="21.5546875" bestFit="1" customWidth="1"/>
    <col min="21" max="21" width="21.21875" bestFit="1" customWidth="1"/>
    <col min="22" max="22" width="15.5546875" bestFit="1" customWidth="1"/>
    <col min="23" max="23" width="9.77734375" bestFit="1" customWidth="1"/>
    <col min="24" max="24" width="15.77734375" bestFit="1" customWidth="1"/>
    <col min="25" max="25" width="25.21875" bestFit="1" customWidth="1"/>
    <col min="26" max="26" width="11.77734375" bestFit="1" customWidth="1"/>
    <col min="27" max="27" width="21" bestFit="1" customWidth="1"/>
    <col min="28" max="28" width="12.77734375" bestFit="1" customWidth="1"/>
    <col min="29" max="29" width="22.21875" bestFit="1" customWidth="1"/>
    <col min="30" max="30" width="25.21875" bestFit="1" customWidth="1"/>
    <col min="31" max="31" width="22.77734375" bestFit="1" customWidth="1"/>
    <col min="32" max="32" width="29.77734375" bestFit="1" customWidth="1"/>
    <col min="33" max="33" width="18.21875" bestFit="1" customWidth="1"/>
  </cols>
  <sheetData>
    <row r="1" spans="1:44" x14ac:dyDescent="0.3">
      <c r="A1" t="s">
        <v>70</v>
      </c>
      <c r="B1" t="s">
        <v>72</v>
      </c>
      <c r="D1" t="s">
        <v>110</v>
      </c>
      <c r="H1" t="s">
        <v>111</v>
      </c>
      <c r="X1" t="s">
        <v>112</v>
      </c>
      <c r="AH1" t="s">
        <v>113</v>
      </c>
    </row>
    <row r="2" spans="1:44" x14ac:dyDescent="0.3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127</v>
      </c>
      <c r="O2" t="s">
        <v>128</v>
      </c>
      <c r="P2" t="s">
        <v>129</v>
      </c>
      <c r="Q2" t="s">
        <v>130</v>
      </c>
      <c r="R2" t="s">
        <v>131</v>
      </c>
      <c r="S2" t="s">
        <v>132</v>
      </c>
      <c r="T2" t="s">
        <v>133</v>
      </c>
      <c r="U2" t="s">
        <v>134</v>
      </c>
      <c r="V2" t="s">
        <v>135</v>
      </c>
      <c r="W2" t="s">
        <v>136</v>
      </c>
      <c r="X2" t="s">
        <v>137</v>
      </c>
      <c r="Y2" t="s">
        <v>138</v>
      </c>
      <c r="Z2" t="s">
        <v>139</v>
      </c>
      <c r="AA2" t="s">
        <v>140</v>
      </c>
      <c r="AB2" t="s">
        <v>141</v>
      </c>
      <c r="AC2" t="s">
        <v>142</v>
      </c>
      <c r="AD2" t="s">
        <v>143</v>
      </c>
      <c r="AE2" t="s">
        <v>144</v>
      </c>
      <c r="AF2" t="s">
        <v>145</v>
      </c>
      <c r="AG2" t="s">
        <v>146</v>
      </c>
      <c r="AH2" t="s">
        <v>147</v>
      </c>
      <c r="AI2" t="s">
        <v>148</v>
      </c>
      <c r="AJ2" t="s">
        <v>149</v>
      </c>
      <c r="AK2" t="s">
        <v>150</v>
      </c>
      <c r="AL2" t="s">
        <v>151</v>
      </c>
      <c r="AM2" t="s">
        <v>152</v>
      </c>
      <c r="AN2" t="s">
        <v>153</v>
      </c>
      <c r="AO2" t="s">
        <v>154</v>
      </c>
      <c r="AP2" t="s">
        <v>155</v>
      </c>
      <c r="AQ2" t="s">
        <v>156</v>
      </c>
      <c r="AR2" t="s">
        <v>157</v>
      </c>
    </row>
    <row r="3" spans="1:44" x14ac:dyDescent="0.3">
      <c r="A3" t="s">
        <v>24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>+COUNTA(H4:H1048576)</f>
        <v>5</v>
      </c>
      <c r="I3">
        <f>+COUNTA(I4:I1048576)</f>
        <v>4</v>
      </c>
      <c r="J3">
        <f>+COUNTA(J4:J1048576)</f>
        <v>3</v>
      </c>
      <c r="K3">
        <f>+COUNTA(K4:K1048576)</f>
        <v>4</v>
      </c>
      <c r="L3">
        <f t="shared" ref="L3:N3" si="1">+COUNTA(L4:L1048576)</f>
        <v>2</v>
      </c>
      <c r="M3">
        <f t="shared" si="1"/>
        <v>6</v>
      </c>
      <c r="N3">
        <f t="shared" si="1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2">+COUNTA(S4:S1048576)</f>
        <v>6</v>
      </c>
      <c r="T3">
        <f t="shared" si="2"/>
        <v>5</v>
      </c>
      <c r="U3">
        <f t="shared" si="2"/>
        <v>4</v>
      </c>
      <c r="V3">
        <f t="shared" si="2"/>
        <v>5</v>
      </c>
      <c r="W3">
        <f t="shared" si="2"/>
        <v>3</v>
      </c>
      <c r="X3">
        <f t="shared" ref="X3:AF3" si="3">+COUNTA(X4:X1048576)</f>
        <v>3</v>
      </c>
      <c r="Y3">
        <f t="shared" si="3"/>
        <v>3</v>
      </c>
      <c r="Z3">
        <f t="shared" si="3"/>
        <v>3</v>
      </c>
      <c r="AA3">
        <f t="shared" si="3"/>
        <v>3</v>
      </c>
      <c r="AB3">
        <f t="shared" si="3"/>
        <v>3</v>
      </c>
      <c r="AC3">
        <f t="shared" si="3"/>
        <v>3</v>
      </c>
      <c r="AD3">
        <f t="shared" si="3"/>
        <v>3</v>
      </c>
      <c r="AE3">
        <f t="shared" si="3"/>
        <v>3</v>
      </c>
      <c r="AF3">
        <f t="shared" si="3"/>
        <v>3</v>
      </c>
      <c r="AG3">
        <f t="shared" ref="AG3:AR3" si="4">+COUNTA(AG4:AG1048576)</f>
        <v>2</v>
      </c>
      <c r="AH3">
        <f t="shared" si="4"/>
        <v>2</v>
      </c>
      <c r="AI3">
        <f t="shared" si="4"/>
        <v>3</v>
      </c>
      <c r="AJ3">
        <f t="shared" si="4"/>
        <v>2</v>
      </c>
      <c r="AK3">
        <f t="shared" si="4"/>
        <v>2</v>
      </c>
      <c r="AL3">
        <f t="shared" si="4"/>
        <v>5</v>
      </c>
      <c r="AM3">
        <f t="shared" si="4"/>
        <v>4</v>
      </c>
      <c r="AN3">
        <f t="shared" si="4"/>
        <v>4</v>
      </c>
      <c r="AO3">
        <f t="shared" si="4"/>
        <v>3</v>
      </c>
      <c r="AP3">
        <f t="shared" si="4"/>
        <v>3</v>
      </c>
      <c r="AQ3">
        <f t="shared" si="4"/>
        <v>3</v>
      </c>
      <c r="AR3">
        <f t="shared" si="4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15</v>
      </c>
      <c r="C5" t="s">
        <v>15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14</v>
      </c>
      <c r="J5" t="s">
        <v>14</v>
      </c>
      <c r="K5" t="s">
        <v>14</v>
      </c>
      <c r="L5" t="s">
        <v>14</v>
      </c>
      <c r="M5" t="s">
        <v>15</v>
      </c>
      <c r="N5" t="s">
        <v>15</v>
      </c>
      <c r="O5" t="s">
        <v>15</v>
      </c>
      <c r="P5" t="s">
        <v>14</v>
      </c>
      <c r="Q5" t="s">
        <v>15</v>
      </c>
      <c r="R5" t="s">
        <v>15</v>
      </c>
      <c r="S5" t="s">
        <v>15</v>
      </c>
      <c r="T5" t="s">
        <v>15</v>
      </c>
      <c r="U5" t="s">
        <v>14</v>
      </c>
      <c r="V5" t="s">
        <v>15</v>
      </c>
      <c r="W5" t="s">
        <v>16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14</v>
      </c>
      <c r="AE5" t="s">
        <v>14</v>
      </c>
      <c r="AF5" t="s">
        <v>14</v>
      </c>
      <c r="AG5" t="s">
        <v>13</v>
      </c>
      <c r="AH5" t="s">
        <v>13</v>
      </c>
      <c r="AI5" t="s">
        <v>15</v>
      </c>
      <c r="AJ5" t="s">
        <v>13</v>
      </c>
      <c r="AK5" t="s">
        <v>13</v>
      </c>
      <c r="AL5" t="s">
        <v>14</v>
      </c>
      <c r="AM5" t="s">
        <v>14</v>
      </c>
      <c r="AN5" t="s">
        <v>14</v>
      </c>
      <c r="AO5" t="s">
        <v>14</v>
      </c>
      <c r="AP5" t="s">
        <v>14</v>
      </c>
      <c r="AQ5" t="s">
        <v>17</v>
      </c>
      <c r="AR5" t="s">
        <v>17</v>
      </c>
    </row>
    <row r="6" spans="1:44" x14ac:dyDescent="0.3">
      <c r="B6" t="s">
        <v>16</v>
      </c>
      <c r="C6" t="s">
        <v>16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15</v>
      </c>
      <c r="J6" t="s">
        <v>13</v>
      </c>
      <c r="K6" t="s">
        <v>18</v>
      </c>
      <c r="M6" t="s">
        <v>14</v>
      </c>
      <c r="N6" t="s">
        <v>14</v>
      </c>
      <c r="O6" t="s">
        <v>14</v>
      </c>
      <c r="P6" t="s">
        <v>16</v>
      </c>
      <c r="Q6" t="s">
        <v>16</v>
      </c>
      <c r="R6" t="s">
        <v>16</v>
      </c>
      <c r="S6" t="s">
        <v>14</v>
      </c>
      <c r="T6" t="s">
        <v>14</v>
      </c>
      <c r="U6" t="s">
        <v>16</v>
      </c>
      <c r="V6" t="s">
        <v>14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13</v>
      </c>
      <c r="AI6" t="s">
        <v>13</v>
      </c>
      <c r="AL6" t="s">
        <v>17</v>
      </c>
      <c r="AM6" t="s">
        <v>17</v>
      </c>
      <c r="AN6" t="s">
        <v>17</v>
      </c>
      <c r="AO6" t="s">
        <v>13</v>
      </c>
      <c r="AP6" t="s">
        <v>13</v>
      </c>
      <c r="AQ6" t="s">
        <v>13</v>
      </c>
    </row>
    <row r="7" spans="1:44" x14ac:dyDescent="0.3">
      <c r="B7" t="s">
        <v>13</v>
      </c>
      <c r="C7" t="s">
        <v>13</v>
      </c>
      <c r="H7" t="s">
        <v>18</v>
      </c>
      <c r="I7" t="s">
        <v>13</v>
      </c>
      <c r="K7" t="s">
        <v>13</v>
      </c>
      <c r="M7" t="s">
        <v>18</v>
      </c>
      <c r="N7" t="s">
        <v>16</v>
      </c>
      <c r="O7" t="s">
        <v>16</v>
      </c>
      <c r="P7" t="s">
        <v>13</v>
      </c>
      <c r="Q7" t="s">
        <v>13</v>
      </c>
      <c r="R7" t="s">
        <v>13</v>
      </c>
      <c r="S7" t="s">
        <v>18</v>
      </c>
      <c r="T7" t="s">
        <v>16</v>
      </c>
      <c r="U7" t="s">
        <v>13</v>
      </c>
      <c r="V7" t="s">
        <v>16</v>
      </c>
      <c r="AL7" t="s">
        <v>18</v>
      </c>
      <c r="AM7" t="s">
        <v>13</v>
      </c>
      <c r="AN7" t="s">
        <v>13</v>
      </c>
    </row>
    <row r="8" spans="1:44" x14ac:dyDescent="0.3">
      <c r="H8" t="s">
        <v>13</v>
      </c>
      <c r="M8" t="s">
        <v>16</v>
      </c>
      <c r="N8" t="s">
        <v>13</v>
      </c>
      <c r="O8" t="s">
        <v>13</v>
      </c>
      <c r="S8" t="s">
        <v>16</v>
      </c>
      <c r="T8" t="s">
        <v>13</v>
      </c>
      <c r="V8" t="s">
        <v>13</v>
      </c>
      <c r="AL8" t="s">
        <v>13</v>
      </c>
    </row>
    <row r="9" spans="1:44" x14ac:dyDescent="0.3">
      <c r="M9" t="s">
        <v>13</v>
      </c>
      <c r="S9" t="s">
        <v>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Joselin Quintana</dc:creator>
  <cp:lastModifiedBy>Joselin Quintana</cp:lastModifiedBy>
  <cp:revision>1</cp:revision>
  <dcterms:created xsi:type="dcterms:W3CDTF">2015-06-05T18:17:20Z</dcterms:created>
  <dcterms:modified xsi:type="dcterms:W3CDTF">2025-08-14T07:24:07Z</dcterms:modified>
</cp:coreProperties>
</file>
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Default Extension="vml" ContentType="application/vnd.openxmlformats-officedocument.vmlDrawing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xl/threadedComments/threadedComment1.xml" ContentType="application/vnd.ms-excel.threaded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ets" sheetId="1" state="visible" r:id="rId2"/>
    <sheet name="parameters" sheetId="2" state="visible" r:id="rId3"/>
    <sheet name="variables" sheetId="3" state="visible" r:id="rId4"/>
  </sheets>
  <definedNames>
    <definedName name="_xlnm._FilterDatabase" localSheetId="0" hidden="1">sets!$A$1:$L$151</definedName>
  </definedName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tc={B97D0C91-84D8-3185-F163-0077A2C76C01}</author>
    <author>tc={C7535BCE-F982-3CCB-36A6-4F654BC8B24C}</author>
    <author>tc={1807D8D4-5BC1-D94F-1CC6-74D4C0A273B1}</author>
    <author>tc={90C75194-9D31-73A7-4974-DB42FBA8CDC9}</author>
    <author>tc={E2052CFC-E01E-DE87-5FFB-FA6B1D95813D}</author>
    <author>tc={187C8568-5610-DE56-71CD-8BF6E5942359}</author>
    <author>tc={7E0118DE-6B4A-D1C2-BE17-EE24F3A7B937}</author>
    <author>tc={6748D730-A707-FD0A-EFAF-D027FD1E7119}</author>
    <author>tc={9161E0F4-10F8-5B7B-EA39-81CD1230871D}</author>
  </authors>
  <commentList>
    <comment ref="C13" authorId="0" xr:uid="{B97D0C91-84D8-3185-F163-0077A2C76C01}">
      <text>
        <r>
          <rPr>
            <b/>
            <sz val="9"/>
            <rFont val="Tahoma"/>
          </rPr>
          <t>bj:</t>
        </r>
        <r>
          <rPr>
            <sz val="9"/>
            <rFont val="Tahoma"/>
          </rPr>
          <t xml:space="preserve">
Añadido manualmente
</t>
        </r>
      </text>
    </comment>
    <comment ref="C14" authorId="1" xr:uid="{C7535BCE-F982-3CCB-36A6-4F654BC8B24C}">
      <text>
        <r>
          <rPr>
            <b/>
            <sz val="9"/>
            <rFont val="Tahoma"/>
          </rPr>
          <t>bj:</t>
        </r>
        <r>
          <rPr>
            <sz val="9"/>
            <rFont val="Tahoma"/>
          </rPr>
          <t xml:space="preserve">
Añadido manualmente
</t>
        </r>
      </text>
    </comment>
    <comment ref="C15" authorId="2" xr:uid="{1807D8D4-5BC1-D94F-1CC6-74D4C0A273B1}">
      <text>
        <r>
          <rPr>
            <b/>
            <sz val="9"/>
            <rFont val="Tahoma"/>
          </rPr>
          <t>bj:</t>
        </r>
        <r>
          <rPr>
            <sz val="9"/>
            <rFont val="Tahoma"/>
          </rPr>
          <t xml:space="preserve">
Añadido manualmente
</t>
        </r>
      </text>
    </comment>
    <comment ref="C16" authorId="3" xr:uid="{90C75194-9D31-73A7-4974-DB42FBA8CDC9}">
      <text>
        <r>
          <rPr>
            <b/>
            <sz val="9"/>
            <rFont val="Tahoma"/>
          </rPr>
          <t>bj:</t>
        </r>
        <r>
          <rPr>
            <sz val="9"/>
            <rFont val="Tahoma"/>
          </rPr>
          <t xml:space="preserve">
Añadido manualmente
</t>
        </r>
      </text>
    </comment>
    <comment ref="C17" authorId="4" xr:uid="{E2052CFC-E01E-DE87-5FFB-FA6B1D95813D}">
      <text>
        <r>
          <rPr>
            <b/>
            <sz val="9"/>
            <rFont val="Tahoma"/>
          </rPr>
          <t>bj:</t>
        </r>
        <r>
          <rPr>
            <sz val="9"/>
            <rFont val="Tahoma"/>
          </rPr>
          <t xml:space="preserve">
Añadido manualmente
</t>
        </r>
      </text>
    </comment>
    <comment ref="C18" authorId="5" xr:uid="{187C8568-5610-DE56-71CD-8BF6E5942359}">
      <text>
        <r>
          <rPr>
            <b/>
            <sz val="9"/>
            <rFont val="Tahoma"/>
          </rPr>
          <t>bj:</t>
        </r>
        <r>
          <rPr>
            <sz val="9"/>
            <rFont val="Tahoma"/>
          </rPr>
          <t xml:space="preserve">
Añadido manualmente
</t>
        </r>
      </text>
    </comment>
    <comment ref="C19" authorId="6" xr:uid="{7E0118DE-6B4A-D1C2-BE17-EE24F3A7B937}">
      <text>
        <r>
          <rPr>
            <b/>
            <sz val="9"/>
            <rFont val="Tahoma"/>
          </rPr>
          <t>bj:</t>
        </r>
        <r>
          <rPr>
            <sz val="9"/>
            <rFont val="Tahoma"/>
          </rPr>
          <t xml:space="preserve">
Añadido manualmente
</t>
        </r>
      </text>
    </comment>
    <comment ref="C20" authorId="7" xr:uid="{6748D730-A707-FD0A-EFAF-D027FD1E7119}">
      <text>
        <r>
          <rPr>
            <b/>
            <sz val="9"/>
            <rFont val="Tahoma"/>
          </rPr>
          <t>bj:</t>
        </r>
        <r>
          <rPr>
            <sz val="9"/>
            <rFont val="Tahoma"/>
          </rPr>
          <t xml:space="preserve">
Añadido manualmente
</t>
        </r>
      </text>
    </comment>
    <comment ref="C21" authorId="8" xr:uid="{9161E0F4-10F8-5B7B-EA39-81CD1230871D}">
      <text>
        <r>
          <rPr>
            <b/>
            <sz val="9"/>
            <rFont val="Tahoma"/>
          </rPr>
          <t>bj:</t>
        </r>
        <r>
          <rPr>
            <sz val="9"/>
            <rFont val="Tahoma"/>
          </rPr>
          <t xml:space="preserve">
Añadido manualmente
</t>
        </r>
      </text>
    </comment>
  </commentList>
</comments>
</file>

<file path=xl/sharedStrings.xml><?xml version="1.0" encoding="utf-8"?>
<sst xmlns="http://schemas.openxmlformats.org/spreadsheetml/2006/main" count="140" uniqueCount="140">
  <si>
    <t>set</t>
  </si>
  <si>
    <t>YEAR</t>
  </si>
  <si>
    <t>TECHNOLOGY</t>
  </si>
  <si>
    <t>TIMESLICE</t>
  </si>
  <si>
    <t>FUEL</t>
  </si>
  <si>
    <t>EMISSION</t>
  </si>
  <si>
    <t>MODE_OF_OPERATION</t>
  </si>
  <si>
    <t>REGION</t>
  </si>
  <si>
    <t>SEASON</t>
  </si>
  <si>
    <t>DAYTYPE</t>
  </si>
  <si>
    <t>DAILYTIMEBRACKET</t>
  </si>
  <si>
    <t>STORAGE</t>
  </si>
  <si>
    <t>index</t>
  </si>
  <si>
    <t>y</t>
  </si>
  <si>
    <t>t</t>
  </si>
  <si>
    <t>l</t>
  </si>
  <si>
    <t>f</t>
  </si>
  <si>
    <t>e</t>
  </si>
  <si>
    <t>m</t>
  </si>
  <si>
    <t>r</t>
  </si>
  <si>
    <t>ls</t>
  </si>
  <si>
    <t>ld</t>
  </si>
  <si>
    <t>lh</t>
  </si>
  <si>
    <t>s</t>
  </si>
  <si>
    <t>number</t>
  </si>
  <si>
    <t>ENE_TERM</t>
  </si>
  <si>
    <t>All</t>
  </si>
  <si>
    <t>CO2e_CEM</t>
  </si>
  <si>
    <t>ECU</t>
  </si>
  <si>
    <t>RAW_MAT_CLK</t>
  </si>
  <si>
    <t>CO2e_HFC</t>
  </si>
  <si>
    <t>ELEC_TERM</t>
  </si>
  <si>
    <t>CO2e_OTHER</t>
  </si>
  <si>
    <t>ELEC_CEM</t>
  </si>
  <si>
    <t>RAW_MAT_CEM</t>
  </si>
  <si>
    <t>PROD_CLK_TRAD</t>
  </si>
  <si>
    <t>ELE_TERM</t>
  </si>
  <si>
    <t>PROD_CLK_ELEC</t>
  </si>
  <si>
    <t>CLK_PROD</t>
  </si>
  <si>
    <t>PROD_CEM</t>
  </si>
  <si>
    <t>CEM_PROD</t>
  </si>
  <si>
    <t>T5CEM_PRODCEM_PROD</t>
  </si>
  <si>
    <t>E5_CEM_PRODCEM_PROD</t>
  </si>
  <si>
    <t>HFC_use</t>
  </si>
  <si>
    <t>LIME_PROD</t>
  </si>
  <si>
    <t>GLASS_PROD</t>
  </si>
  <si>
    <t>CERAMICS</t>
  </si>
  <si>
    <t>SODA_ASH</t>
  </si>
  <si>
    <t>IRON_STEEL</t>
  </si>
  <si>
    <t>LEAD_PROD</t>
  </si>
  <si>
    <t>LUBRI</t>
  </si>
  <si>
    <t>PARAFFIN</t>
  </si>
  <si>
    <t>category</t>
  </si>
  <si>
    <t xml:space="preserve">Global parameters</t>
  </si>
  <si>
    <t>Demands</t>
  </si>
  <si>
    <t>Performance</t>
  </si>
  <si>
    <t xml:space="preserve">Technology costs</t>
  </si>
  <si>
    <t xml:space="preserve">Capacity constraints</t>
  </si>
  <si>
    <t xml:space="preserve">Activity constraints</t>
  </si>
  <si>
    <t xml:space="preserve">RE Generation Target</t>
  </si>
  <si>
    <t>Emissions</t>
  </si>
  <si>
    <t>parameter</t>
  </si>
  <si>
    <t>YearSplit</t>
  </si>
  <si>
    <t>DiscountRate</t>
  </si>
  <si>
    <t>DepreciationMethod</t>
  </si>
  <si>
    <t>SpecifiedAnnualDemand</t>
  </si>
  <si>
    <t>SpecifiedDemandProfile</t>
  </si>
  <si>
    <t>CapacityToActivityUnit</t>
  </si>
  <si>
    <t>CapacityFactor</t>
  </si>
  <si>
    <t>AvailabilityFactor</t>
  </si>
  <si>
    <t>OperationalLife</t>
  </si>
  <si>
    <t>ResidualCapacity</t>
  </si>
  <si>
    <t>InputActivityRatio</t>
  </si>
  <si>
    <t>OutputActivityRatio</t>
  </si>
  <si>
    <t>CapitalCost</t>
  </si>
  <si>
    <t>VariableCost</t>
  </si>
  <si>
    <t>FixedCost</t>
  </si>
  <si>
    <t>TotalAnnualMaxCapacity</t>
  </si>
  <si>
    <t>TotalAnnualMinCapacity</t>
  </si>
  <si>
    <t>TotalAnnualMaxCapacityInvestment</t>
  </si>
  <si>
    <t>TotalAnnualMinCapacityInvestment</t>
  </si>
  <si>
    <t>TotalTechnologyAnnualActivityUpperLimit</t>
  </si>
  <si>
    <t>TotalTechnologyAnnualActivityLowerLimit</t>
  </si>
  <si>
    <t>TotalTechnologyModelPeriodActivityUpperLimit</t>
  </si>
  <si>
    <t>TotalTechnologyModelPeriodActivityLowerLimit</t>
  </si>
  <si>
    <t>RETagTechnology</t>
  </si>
  <si>
    <t>RETagFuel</t>
  </si>
  <si>
    <t>REMinProductionTarget</t>
  </si>
  <si>
    <t>EmissionActivityRatio</t>
  </si>
  <si>
    <t>AnnualEmissionLimit</t>
  </si>
  <si>
    <t>ModelPeriodEmissionLimit</t>
  </si>
  <si>
    <t>EmissionsPenalty</t>
  </si>
  <si>
    <t xml:space="preserve">Capacity variables</t>
  </si>
  <si>
    <t xml:space="preserve">Activity variables</t>
  </si>
  <si>
    <t xml:space="preserve">Costing variables</t>
  </si>
  <si>
    <t xml:space="preserve">Reserve margin</t>
  </si>
  <si>
    <t>variable</t>
  </si>
  <si>
    <t>RateOfDemand</t>
  </si>
  <si>
    <t>Demand</t>
  </si>
  <si>
    <t>NumberOfNewTechnologyUnits</t>
  </si>
  <si>
    <t>NewCapacity</t>
  </si>
  <si>
    <t>AccumulatedNewCapacity</t>
  </si>
  <si>
    <t>TotalCapacityAnnual</t>
  </si>
  <si>
    <t>RateOfActivity</t>
  </si>
  <si>
    <t>RateOfTotalActivity</t>
  </si>
  <si>
    <t>TotalTechnologyAnnualActivity</t>
  </si>
  <si>
    <t>TotalAnnualTechnologyActivityByMode</t>
  </si>
  <si>
    <t>TotalTechnologyModelPeriodActivity</t>
  </si>
  <si>
    <t>RateOfProductionByTechnologyByMode</t>
  </si>
  <si>
    <t>RateOfProductionByTechnology</t>
  </si>
  <si>
    <t>ProductionByTechnology</t>
  </si>
  <si>
    <t>ProductionByTechnologyAnnual</t>
  </si>
  <si>
    <t>RateOfProduction</t>
  </si>
  <si>
    <t>Production</t>
  </si>
  <si>
    <t>RateOfUseByTechnologyByMode</t>
  </si>
  <si>
    <t>RateOfUseByTechnology</t>
  </si>
  <si>
    <t>UseByTechnologyAnnual</t>
  </si>
  <si>
    <t>UseByTechnology</t>
  </si>
  <si>
    <t>UseAnnual</t>
  </si>
  <si>
    <t>CapitalInvestment</t>
  </si>
  <si>
    <t>DiscountedCapitalInvestment</t>
  </si>
  <si>
    <t>SalvageValue</t>
  </si>
  <si>
    <t>DiscountedSalvageValue</t>
  </si>
  <si>
    <t>OperatingCost</t>
  </si>
  <si>
    <t>DiscountedOperatingCost</t>
  </si>
  <si>
    <t>AnnualVariableOperatingCost</t>
  </si>
  <si>
    <t>AnnualFixedOperatingCost</t>
  </si>
  <si>
    <t>TotalDiscountedCostByTechnology</t>
  </si>
  <si>
    <t>TotalDiscountedCost</t>
  </si>
  <si>
    <t>TotalCapacityInReserveMargin</t>
  </si>
  <si>
    <t>DemandNeedingReserveMargin</t>
  </si>
  <si>
    <t>TotalREProductionAnnual</t>
  </si>
  <si>
    <t>RETotalProductionOfTargetFuelAnnual</t>
  </si>
  <si>
    <t>AnnualTechnologyEmissionByMode</t>
  </si>
  <si>
    <t>AnnualTechnologyEmission</t>
  </si>
  <si>
    <t>AnnualTechnologyEmissionPenaltyByEmission</t>
  </si>
  <si>
    <t>AnnualTechnologyEmissionsPenalty</t>
  </si>
  <si>
    <t>DiscountedTechnologyEmissionsPenalty</t>
  </si>
  <si>
    <t>AnnualEmissions</t>
  </si>
  <si>
    <t>ModelPeriodEmissions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</si>
</sst>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1.000000"/>
      <color theme="1" tint="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0" xfId="0">
      <protection hidden="0" locked="1"/>
    </xf>
    <xf fontId="1" fillId="0" borderId="0" numFmtId="0" xfId="0" applyFont="1">
      <protection hidden="0" locked="1"/>
    </xf>
    <xf fontId="1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j" id="{AACB7923-470F-ACFE-2DB5-EC680519E4EA}" userId="bj" providerId="Teamlab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3" dT="2025-07-26T19:08:01.41Z" personId="{AACB7923-470F-ACFE-2DB5-EC680519E4EA}" id="{B97D0C91-84D8-3185-F163-0077A2C76C01}" done="0">
    <text xml:space="preserve">Añadido manualmente
</text>
  </threadedComment>
  <threadedComment ref="C14" dT="2025-07-26T19:08:20.14Z" personId="{AACB7923-470F-ACFE-2DB5-EC680519E4EA}" id="{C7535BCE-F982-3CCB-36A6-4F654BC8B24C}" done="0">
    <text xml:space="preserve">Añadido manualmente
</text>
  </threadedComment>
  <threadedComment ref="C15" dT="2025-07-26T19:08:26.78Z" personId="{AACB7923-470F-ACFE-2DB5-EC680519E4EA}" id="{1807D8D4-5BC1-D94F-1CC6-74D4C0A273B1}" done="0">
    <text xml:space="preserve">Añadido manualmente
</text>
  </threadedComment>
  <threadedComment ref="C16" dT="2025-07-26T19:08:31.62Z" personId="{AACB7923-470F-ACFE-2DB5-EC680519E4EA}" id="{90C75194-9D31-73A7-4974-DB42FBA8CDC9}" done="0">
    <text xml:space="preserve">Añadido manualmente
</text>
  </threadedComment>
  <threadedComment ref="C17" dT="2025-07-26T19:08:36.15Z" personId="{AACB7923-470F-ACFE-2DB5-EC680519E4EA}" id="{E2052CFC-E01E-DE87-5FFB-FA6B1D95813D}" done="0">
    <text xml:space="preserve">Añadido manualmente
</text>
  </threadedComment>
  <threadedComment ref="C18" dT="2025-07-26T19:08:43.67Z" personId="{AACB7923-470F-ACFE-2DB5-EC680519E4EA}" id="{187C8568-5610-DE56-71CD-8BF6E5942359}" done="0">
    <text xml:space="preserve">Añadido manualmente
</text>
  </threadedComment>
  <threadedComment ref="C19" dT="2025-07-26T19:08:47.19Z" personId="{AACB7923-470F-ACFE-2DB5-EC680519E4EA}" id="{7E0118DE-6B4A-D1C2-BE17-EE24F3A7B937}" done="0">
    <text xml:space="preserve">Añadido manualmente
</text>
  </threadedComment>
  <threadedComment ref="C20" dT="2025-07-26T19:08:50.82Z" personId="{AACB7923-470F-ACFE-2DB5-EC680519E4EA}" id="{6748D730-A707-FD0A-EFAF-D027FD1E7119}" done="0">
    <text xml:space="preserve">Añadido manualmente
</text>
  </threadedComment>
  <threadedComment ref="C21" dT="2025-07-26T19:08:54.94Z" personId="{AACB7923-470F-ACFE-2DB5-EC680519E4EA}" id="{9161E0F4-10F8-5B7B-EA39-81CD1230871D}" done="0">
    <text xml:space="preserve">Añadido manualmente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F4" activeCellId="0" sqref="F4:F46"/>
    </sheetView>
  </sheetViews>
  <sheetFormatPr baseColWidth="10" defaultColWidth="9.109375" defaultRowHeight="14.25"/>
  <cols>
    <col bestFit="1" customWidth="1" min="2" max="2" width="7.5546875"/>
    <col bestFit="1" customWidth="1" min="3" max="3" width="21"/>
    <col bestFit="1" customWidth="1" min="4" max="4" width="9.6640625"/>
    <col customWidth="1" min="5" max="5" width="13"/>
    <col bestFit="1" customWidth="1" min="6" max="6" width="16.88671875"/>
    <col bestFit="1" customWidth="1" min="7" max="7" width="20.44140625"/>
    <col bestFit="1" customWidth="1" min="8" max="9" width="7.5546875"/>
    <col bestFit="1" customWidth="1" min="10" max="10" width="8.33203125"/>
    <col bestFit="1" customWidth="1" min="11" max="11" width="17.66406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>
      <c r="A3" t="s">
        <v>24</v>
      </c>
      <c r="B3">
        <f t="shared" ref="B3:L3" si="0">+COUNTA(B4:B1048576)</f>
        <v>61</v>
      </c>
      <c r="C3">
        <f t="shared" si="0"/>
        <v>18</v>
      </c>
      <c r="D3">
        <f t="shared" si="0"/>
        <v>1</v>
      </c>
      <c r="E3">
        <f t="shared" si="0"/>
        <v>9</v>
      </c>
      <c r="F3">
        <f t="shared" si="0"/>
        <v>3</v>
      </c>
      <c r="G3">
        <f t="shared" si="0"/>
        <v>1</v>
      </c>
      <c r="H3">
        <f t="shared" si="0"/>
        <v>1</v>
      </c>
      <c r="I3">
        <f t="shared" si="0"/>
        <v>0</v>
      </c>
      <c r="J3">
        <f t="shared" si="0"/>
        <v>0</v>
      </c>
      <c r="K3">
        <f t="shared" si="0"/>
        <v>0</v>
      </c>
      <c r="L3">
        <f t="shared" si="0"/>
        <v>0</v>
      </c>
    </row>
    <row r="4">
      <c r="B4">
        <v>2010</v>
      </c>
      <c r="C4" s="1" t="s">
        <v>25</v>
      </c>
      <c r="D4" t="s">
        <v>26</v>
      </c>
      <c r="E4" s="1" t="s">
        <v>25</v>
      </c>
      <c r="F4" s="1" t="s">
        <v>27</v>
      </c>
      <c r="G4">
        <v>1</v>
      </c>
      <c r="H4" t="s">
        <v>28</v>
      </c>
    </row>
    <row r="5">
      <c r="B5">
        <v>2011</v>
      </c>
      <c r="C5" s="1" t="s">
        <v>29</v>
      </c>
      <c r="E5" s="1" t="s">
        <v>29</v>
      </c>
      <c r="F5" s="1" t="s">
        <v>30</v>
      </c>
    </row>
    <row r="6">
      <c r="B6">
        <v>2012</v>
      </c>
      <c r="C6" s="1" t="s">
        <v>31</v>
      </c>
      <c r="E6" s="1" t="s">
        <v>31</v>
      </c>
      <c r="F6" s="1" t="s">
        <v>32</v>
      </c>
    </row>
    <row r="7">
      <c r="B7">
        <v>2013</v>
      </c>
      <c r="C7" s="1" t="s">
        <v>33</v>
      </c>
      <c r="E7" s="1" t="s">
        <v>33</v>
      </c>
    </row>
    <row r="8">
      <c r="B8">
        <v>2014</v>
      </c>
      <c r="C8" s="1" t="s">
        <v>34</v>
      </c>
      <c r="E8" s="1" t="s">
        <v>34</v>
      </c>
    </row>
    <row r="9">
      <c r="B9">
        <v>2015</v>
      </c>
      <c r="C9" s="1" t="s">
        <v>35</v>
      </c>
      <c r="E9" s="1" t="s">
        <v>36</v>
      </c>
    </row>
    <row r="10">
      <c r="B10">
        <v>2016</v>
      </c>
      <c r="C10" s="1" t="s">
        <v>37</v>
      </c>
      <c r="E10" s="1" t="s">
        <v>38</v>
      </c>
    </row>
    <row r="11">
      <c r="B11">
        <v>2017</v>
      </c>
      <c r="C11" s="1" t="s">
        <v>39</v>
      </c>
      <c r="E11" s="1" t="s">
        <v>40</v>
      </c>
    </row>
    <row r="12">
      <c r="B12">
        <v>2018</v>
      </c>
      <c r="C12" s="1" t="s">
        <v>41</v>
      </c>
      <c r="E12" s="1" t="s">
        <v>42</v>
      </c>
    </row>
    <row r="13">
      <c r="B13">
        <v>2019</v>
      </c>
      <c r="C13" s="2" t="s">
        <v>43</v>
      </c>
    </row>
    <row r="14">
      <c r="B14">
        <v>2020</v>
      </c>
      <c r="C14" s="3" t="s">
        <v>44</v>
      </c>
    </row>
    <row r="15">
      <c r="B15">
        <v>2021</v>
      </c>
      <c r="C15" s="3" t="s">
        <v>45</v>
      </c>
    </row>
    <row r="16">
      <c r="B16">
        <v>2022</v>
      </c>
      <c r="C16" s="3" t="s">
        <v>46</v>
      </c>
    </row>
    <row r="17">
      <c r="B17">
        <v>2023</v>
      </c>
      <c r="C17" s="3" t="s">
        <v>47</v>
      </c>
    </row>
    <row r="18">
      <c r="B18">
        <v>2024</v>
      </c>
      <c r="C18" s="3" t="s">
        <v>48</v>
      </c>
    </row>
    <row r="19">
      <c r="B19">
        <v>2025</v>
      </c>
      <c r="C19" s="3" t="s">
        <v>49</v>
      </c>
    </row>
    <row r="20">
      <c r="B20">
        <v>2026</v>
      </c>
      <c r="C20" s="3" t="s">
        <v>50</v>
      </c>
    </row>
    <row r="21">
      <c r="B21">
        <v>2027</v>
      </c>
      <c r="C21" s="3" t="s">
        <v>51</v>
      </c>
    </row>
    <row r="22">
      <c r="B22">
        <v>2028</v>
      </c>
    </row>
    <row r="23">
      <c r="B23">
        <v>2029</v>
      </c>
    </row>
    <row r="24">
      <c r="B24">
        <v>2030</v>
      </c>
    </row>
    <row r="25">
      <c r="B25">
        <v>2031</v>
      </c>
    </row>
    <row r="26">
      <c r="B26">
        <v>2032</v>
      </c>
    </row>
    <row r="27">
      <c r="B27">
        <v>2033</v>
      </c>
    </row>
    <row r="28">
      <c r="B28">
        <v>2034</v>
      </c>
    </row>
    <row r="29">
      <c r="B29">
        <v>2035</v>
      </c>
    </row>
    <row r="30">
      <c r="B30">
        <v>2036</v>
      </c>
    </row>
    <row r="31">
      <c r="B31">
        <v>2037</v>
      </c>
    </row>
    <row r="32">
      <c r="B32">
        <v>2038</v>
      </c>
    </row>
    <row r="33">
      <c r="B33">
        <v>2039</v>
      </c>
    </row>
    <row r="34">
      <c r="B34">
        <v>2040</v>
      </c>
    </row>
    <row r="35">
      <c r="B35">
        <v>2041</v>
      </c>
    </row>
    <row r="36">
      <c r="B36">
        <v>2042</v>
      </c>
    </row>
    <row r="37">
      <c r="B37">
        <v>2043</v>
      </c>
    </row>
    <row r="38">
      <c r="B38">
        <v>2044</v>
      </c>
    </row>
    <row r="39">
      <c r="B39">
        <v>2045</v>
      </c>
    </row>
    <row r="40">
      <c r="B40">
        <v>2046</v>
      </c>
    </row>
    <row r="41">
      <c r="B41">
        <v>2047</v>
      </c>
    </row>
    <row r="42">
      <c r="B42">
        <v>2048</v>
      </c>
    </row>
    <row r="43">
      <c r="B43">
        <v>2049</v>
      </c>
    </row>
    <row r="44">
      <c r="B44">
        <v>2050</v>
      </c>
    </row>
    <row r="45">
      <c r="B45">
        <v>2051</v>
      </c>
    </row>
    <row r="46">
      <c r="B46">
        <v>2052</v>
      </c>
    </row>
    <row r="47">
      <c r="B47">
        <v>2053</v>
      </c>
    </row>
    <row r="48">
      <c r="B48">
        <v>2054</v>
      </c>
    </row>
    <row r="49">
      <c r="B49">
        <v>2055</v>
      </c>
    </row>
    <row r="50">
      <c r="B50">
        <v>2056</v>
      </c>
    </row>
    <row r="51">
      <c r="B51">
        <v>2057</v>
      </c>
    </row>
    <row r="52">
      <c r="B52">
        <v>2058</v>
      </c>
    </row>
    <row r="53">
      <c r="B53">
        <v>2059</v>
      </c>
    </row>
    <row r="54">
      <c r="B54">
        <v>2060</v>
      </c>
    </row>
    <row r="55">
      <c r="B55">
        <v>2061</v>
      </c>
    </row>
    <row r="56">
      <c r="B56">
        <v>2062</v>
      </c>
    </row>
    <row r="57">
      <c r="B57">
        <v>2063</v>
      </c>
    </row>
    <row r="58">
      <c r="B58">
        <v>2064</v>
      </c>
    </row>
    <row r="59">
      <c r="B59">
        <v>2065</v>
      </c>
    </row>
    <row r="60">
      <c r="B60">
        <v>2066</v>
      </c>
    </row>
    <row r="61">
      <c r="B61">
        <v>2067</v>
      </c>
    </row>
    <row r="62">
      <c r="B62">
        <v>2068</v>
      </c>
    </row>
    <row r="63">
      <c r="B63">
        <v>2069</v>
      </c>
    </row>
    <row r="64">
      <c r="B64">
        <v>2070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E3" activeCellId="0" sqref="B3:AE3"/>
    </sheetView>
  </sheetViews>
  <sheetFormatPr baseColWidth="10" defaultColWidth="9.109375" defaultRowHeight="14.4"/>
  <cols>
    <col bestFit="1" customWidth="1" min="1" max="1" width="9.5546875"/>
    <col customWidth="1" min="2" max="2" width="8.109375"/>
    <col bestFit="1" customWidth="1" min="3" max="3" width="11.88671875"/>
    <col bestFit="1" customWidth="1" min="4" max="4" width="18.109375"/>
    <col bestFit="1" customWidth="1" min="5" max="5" width="20.88671875"/>
    <col bestFit="1" customWidth="1" min="6" max="6" width="20.6640625"/>
    <col bestFit="1" customWidth="1" min="7" max="8" width="19.6640625"/>
    <col bestFit="1" customWidth="1" min="9" max="9" width="15.109375"/>
    <col bestFit="1" customWidth="1" min="10" max="10" width="13.6640625"/>
    <col bestFit="1" customWidth="1" min="11" max="11" width="14.88671875"/>
    <col bestFit="1" customWidth="1" min="12" max="12" width="15.6640625"/>
    <col bestFit="1" customWidth="1" min="13" max="13" width="17.33203125"/>
    <col bestFit="1" customWidth="1" min="14" max="14" width="15.109375"/>
    <col bestFit="1" customWidth="1" min="15" max="15" width="11.33203125"/>
    <col bestFit="1" customWidth="1" min="17" max="17" width="21.6640625"/>
    <col bestFit="1" customWidth="1" min="18" max="18" width="21.109375"/>
    <col bestFit="1" customWidth="1" min="19" max="19" width="31"/>
    <col bestFit="1" customWidth="1" min="20" max="20" width="30.5546875"/>
    <col bestFit="1" customWidth="1" min="21" max="21" width="35.6640625"/>
    <col bestFit="1" customWidth="1" min="22" max="22" width="35.88671875"/>
    <col bestFit="1" customWidth="1" min="23" max="23" width="40.6640625"/>
    <col customWidth="1" min="24" max="24" width="40.6640625"/>
    <col bestFit="1" customWidth="1" min="25" max="25" width="18.5546875"/>
    <col bestFit="1" customWidth="1" min="26" max="26" width="9.33203125"/>
    <col bestFit="1" customWidth="1" min="27" max="27" width="20.5546875"/>
    <col bestFit="1" customWidth="1" min="28" max="28" width="18.6640625"/>
    <col customWidth="1" min="29" max="29" width="13.88671875"/>
    <col bestFit="1" customWidth="1" min="31" max="31" width="15"/>
  </cols>
  <sheetData>
    <row r="1">
      <c r="A1" t="s">
        <v>52</v>
      </c>
      <c r="B1" t="s">
        <v>53</v>
      </c>
      <c r="E1" t="s">
        <v>54</v>
      </c>
      <c r="G1" t="s">
        <v>55</v>
      </c>
      <c r="N1" t="s">
        <v>56</v>
      </c>
      <c r="Q1" t="s">
        <v>57</v>
      </c>
      <c r="U1" t="s">
        <v>58</v>
      </c>
      <c r="Y1" t="s">
        <v>59</v>
      </c>
      <c r="AB1" t="s">
        <v>60</v>
      </c>
    </row>
    <row r="2">
      <c r="A2" t="s">
        <v>61</v>
      </c>
      <c r="B2" t="s">
        <v>62</v>
      </c>
      <c r="C2" t="s">
        <v>63</v>
      </c>
      <c r="D2" t="s">
        <v>64</v>
      </c>
      <c r="E2" t="s">
        <v>65</v>
      </c>
      <c r="F2" t="s">
        <v>66</v>
      </c>
      <c r="G2" t="s">
        <v>67</v>
      </c>
      <c r="H2" t="s">
        <v>68</v>
      </c>
      <c r="I2" t="s">
        <v>69</v>
      </c>
      <c r="J2" t="s">
        <v>70</v>
      </c>
      <c r="K2" t="s">
        <v>71</v>
      </c>
      <c r="L2" t="s">
        <v>72</v>
      </c>
      <c r="M2" t="s">
        <v>73</v>
      </c>
      <c r="N2" t="s">
        <v>74</v>
      </c>
      <c r="O2" t="s">
        <v>75</v>
      </c>
      <c r="P2" t="s">
        <v>76</v>
      </c>
      <c r="Q2" t="s">
        <v>77</v>
      </c>
      <c r="R2" t="s">
        <v>78</v>
      </c>
      <c r="S2" t="s">
        <v>79</v>
      </c>
      <c r="T2" t="s">
        <v>80</v>
      </c>
      <c r="U2" t="s">
        <v>81</v>
      </c>
      <c r="V2" t="s">
        <v>82</v>
      </c>
      <c r="W2" t="s">
        <v>83</v>
      </c>
      <c r="X2" t="s">
        <v>84</v>
      </c>
      <c r="Y2" t="s">
        <v>85</v>
      </c>
      <c r="Z2" t="s">
        <v>86</v>
      </c>
      <c r="AA2" t="s">
        <v>87</v>
      </c>
      <c r="AB2" t="s">
        <v>88</v>
      </c>
      <c r="AC2" t="s">
        <v>89</v>
      </c>
      <c r="AD2" t="s">
        <v>90</v>
      </c>
      <c r="AE2" t="s">
        <v>91</v>
      </c>
    </row>
    <row r="3">
      <c r="A3" t="s">
        <v>24</v>
      </c>
      <c r="B3">
        <f>+COUNTA(B4:B1048576)</f>
        <v>2</v>
      </c>
      <c r="C3">
        <f t="shared" ref="C3:P3" si="1">+COUNTA(C4:C1048576)</f>
        <v>1</v>
      </c>
      <c r="D3">
        <f t="shared" si="1"/>
        <v>1</v>
      </c>
      <c r="E3">
        <f t="shared" si="1"/>
        <v>3</v>
      </c>
      <c r="F3">
        <f t="shared" si="1"/>
        <v>4</v>
      </c>
      <c r="G3">
        <f t="shared" si="1"/>
        <v>2</v>
      </c>
      <c r="H3">
        <f t="shared" si="1"/>
        <v>4</v>
      </c>
      <c r="I3">
        <f t="shared" si="1"/>
        <v>3</v>
      </c>
      <c r="J3">
        <f t="shared" si="1"/>
        <v>2</v>
      </c>
      <c r="K3">
        <f t="shared" si="1"/>
        <v>3</v>
      </c>
      <c r="L3">
        <f t="shared" si="1"/>
        <v>5</v>
      </c>
      <c r="M3">
        <f t="shared" si="1"/>
        <v>5</v>
      </c>
      <c r="N3">
        <f t="shared" si="1"/>
        <v>3</v>
      </c>
      <c r="O3">
        <f t="shared" si="1"/>
        <v>4</v>
      </c>
      <c r="P3">
        <f t="shared" si="1"/>
        <v>3</v>
      </c>
      <c r="Q3">
        <f>+COUNTA(Q4:Q1048576)</f>
        <v>3</v>
      </c>
      <c r="R3">
        <f>+COUNTA(R4:R1048576)</f>
        <v>3</v>
      </c>
      <c r="S3">
        <f t="shared" ref="S3:V3" si="2">+COUNTA(S4:S1048576)</f>
        <v>3</v>
      </c>
      <c r="T3">
        <f t="shared" si="2"/>
        <v>3</v>
      </c>
      <c r="U3">
        <f t="shared" si="2"/>
        <v>3</v>
      </c>
      <c r="V3">
        <f t="shared" si="2"/>
        <v>3</v>
      </c>
      <c r="W3">
        <f t="shared" ref="W3:AB3" si="3">+COUNTA(W4:W1048576)</f>
        <v>2</v>
      </c>
      <c r="X3">
        <f t="shared" si="3"/>
        <v>2</v>
      </c>
      <c r="Y3">
        <f t="shared" si="3"/>
        <v>3</v>
      </c>
      <c r="Z3">
        <f t="shared" si="3"/>
        <v>3</v>
      </c>
      <c r="AA3">
        <f t="shared" si="3"/>
        <v>2</v>
      </c>
      <c r="AB3">
        <f t="shared" si="3"/>
        <v>5</v>
      </c>
      <c r="AC3">
        <f>+COUNTA(AC4:AC1048576)</f>
        <v>3</v>
      </c>
      <c r="AD3">
        <f>+COUNTA(AD4:AD1048576)</f>
        <v>2</v>
      </c>
      <c r="AE3">
        <f>+COUNTA(AE4:AE1048576)</f>
        <v>3</v>
      </c>
    </row>
    <row r="4">
      <c r="B4" t="s">
        <v>15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  <c r="R4" t="s">
        <v>19</v>
      </c>
      <c r="S4" t="s">
        <v>19</v>
      </c>
      <c r="T4" t="s">
        <v>19</v>
      </c>
      <c r="U4" t="s">
        <v>19</v>
      </c>
      <c r="V4" t="s">
        <v>19</v>
      </c>
      <c r="W4" t="s">
        <v>19</v>
      </c>
      <c r="X4" t="s">
        <v>19</v>
      </c>
      <c r="Y4" t="s">
        <v>19</v>
      </c>
      <c r="Z4" t="s">
        <v>19</v>
      </c>
      <c r="AA4" t="s">
        <v>19</v>
      </c>
      <c r="AB4" t="s">
        <v>19</v>
      </c>
      <c r="AC4" t="s">
        <v>19</v>
      </c>
      <c r="AD4" t="s">
        <v>19</v>
      </c>
      <c r="AE4" t="s">
        <v>19</v>
      </c>
    </row>
    <row r="5">
      <c r="B5" t="s">
        <v>13</v>
      </c>
      <c r="E5" t="s">
        <v>16</v>
      </c>
      <c r="F5" t="s">
        <v>16</v>
      </c>
      <c r="G5" t="s">
        <v>14</v>
      </c>
      <c r="H5" t="s">
        <v>14</v>
      </c>
      <c r="I5" t="s">
        <v>14</v>
      </c>
      <c r="J5" t="s">
        <v>14</v>
      </c>
      <c r="K5" t="s">
        <v>14</v>
      </c>
      <c r="L5" t="s">
        <v>14</v>
      </c>
      <c r="M5" t="s">
        <v>14</v>
      </c>
      <c r="N5" t="s">
        <v>14</v>
      </c>
      <c r="O5" t="s">
        <v>14</v>
      </c>
      <c r="P5" t="s">
        <v>14</v>
      </c>
      <c r="Q5" t="s">
        <v>14</v>
      </c>
      <c r="R5" t="s">
        <v>14</v>
      </c>
      <c r="S5" t="s">
        <v>14</v>
      </c>
      <c r="T5" t="s">
        <v>14</v>
      </c>
      <c r="U5" t="s">
        <v>14</v>
      </c>
      <c r="V5" t="s">
        <v>14</v>
      </c>
      <c r="W5" t="s">
        <v>14</v>
      </c>
      <c r="X5" t="s">
        <v>14</v>
      </c>
      <c r="Y5" t="s">
        <v>14</v>
      </c>
      <c r="Z5" t="s">
        <v>16</v>
      </c>
      <c r="AA5" t="s">
        <v>13</v>
      </c>
      <c r="AB5" t="s">
        <v>14</v>
      </c>
      <c r="AC5" t="s">
        <v>17</v>
      </c>
      <c r="AD5" t="s">
        <v>17</v>
      </c>
      <c r="AE5" t="s">
        <v>17</v>
      </c>
    </row>
    <row r="6">
      <c r="E6" t="s">
        <v>13</v>
      </c>
      <c r="F6" t="s">
        <v>15</v>
      </c>
      <c r="H6" t="s">
        <v>15</v>
      </c>
      <c r="I6" t="s">
        <v>13</v>
      </c>
      <c r="K6" t="s">
        <v>13</v>
      </c>
      <c r="L6" t="s">
        <v>16</v>
      </c>
      <c r="M6" t="s">
        <v>16</v>
      </c>
      <c r="N6" t="s">
        <v>13</v>
      </c>
      <c r="O6" t="s">
        <v>18</v>
      </c>
      <c r="P6" t="s">
        <v>13</v>
      </c>
      <c r="Q6" t="s">
        <v>13</v>
      </c>
      <c r="R6" t="s">
        <v>13</v>
      </c>
      <c r="S6" t="s">
        <v>13</v>
      </c>
      <c r="T6" t="s">
        <v>13</v>
      </c>
      <c r="U6" t="s">
        <v>13</v>
      </c>
      <c r="V6" t="s">
        <v>13</v>
      </c>
      <c r="Y6" t="s">
        <v>13</v>
      </c>
      <c r="Z6" t="s">
        <v>13</v>
      </c>
      <c r="AB6" t="s">
        <v>17</v>
      </c>
      <c r="AC6" t="s">
        <v>13</v>
      </c>
      <c r="AE6" t="s">
        <v>13</v>
      </c>
    </row>
    <row r="7">
      <c r="F7" t="s">
        <v>13</v>
      </c>
      <c r="H7" t="s">
        <v>13</v>
      </c>
      <c r="L7" t="s">
        <v>18</v>
      </c>
      <c r="M7" t="s">
        <v>18</v>
      </c>
      <c r="O7" t="s">
        <v>13</v>
      </c>
      <c r="AB7" t="s">
        <v>18</v>
      </c>
    </row>
    <row r="8">
      <c r="L8" t="s">
        <v>13</v>
      </c>
      <c r="M8" t="s">
        <v>13</v>
      </c>
      <c r="AB8" t="s">
        <v>13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0" verticalDpi="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3" activeCellId="0" sqref="B3"/>
    </sheetView>
  </sheetViews>
  <sheetFormatPr baseColWidth="10" defaultColWidth="9.109375" defaultRowHeight="14.4"/>
  <cols>
    <col bestFit="1" customWidth="1" min="1" max="1" width="9.5546875"/>
    <col bestFit="1" customWidth="1" min="2" max="2" width="13.6640625"/>
    <col bestFit="1" customWidth="1" min="4" max="4" width="27.33203125"/>
    <col bestFit="1" customWidth="1" min="5" max="5" width="11.6640625"/>
    <col bestFit="1" customWidth="1" min="6" max="6" width="22.6640625"/>
    <col bestFit="1" customWidth="1" min="7" max="7" width="18"/>
    <col bestFit="1" customWidth="1" min="8" max="8" width="14.6640625"/>
    <col bestFit="1" customWidth="1" min="9" max="9" width="17.33203125"/>
    <col bestFit="1" customWidth="1" min="10" max="10" width="26.5546875"/>
    <col bestFit="1" customWidth="1" min="11" max="11" width="33.44140625"/>
    <col bestFit="1" customWidth="1" min="12" max="12" width="31.5546875"/>
    <col bestFit="1" customWidth="1" min="13" max="13" width="34.44140625"/>
    <col bestFit="1" customWidth="1" min="14" max="14" width="27.44140625"/>
    <col bestFit="1" customWidth="1" min="15" max="15" width="21.5546875"/>
    <col bestFit="1" customWidth="1" min="16" max="16" width="27.33203125"/>
    <col bestFit="1" customWidth="1" min="17" max="17" width="15.6640625"/>
    <col bestFit="1" customWidth="1" min="18" max="18" width="9.88671875"/>
    <col bestFit="1" customWidth="1" min="19" max="19" width="28.44140625"/>
    <col bestFit="1" customWidth="1" min="20" max="20" width="21.5546875"/>
    <col bestFit="1" customWidth="1" min="21" max="21" width="21.33203125"/>
    <col bestFit="1" customWidth="1" min="22" max="22" width="15.5546875"/>
    <col bestFit="1" customWidth="1" min="23" max="23" width="9.6640625"/>
    <col bestFit="1" customWidth="1" min="24" max="24" width="15.88671875"/>
    <col bestFit="1" customWidth="1" min="25" max="25" width="25.33203125"/>
    <col bestFit="1" customWidth="1" min="26" max="26" width="11.6640625"/>
    <col bestFit="1" customWidth="1" min="27" max="27" width="21"/>
    <col bestFit="1" customWidth="1" min="28" max="28" width="12.6640625"/>
    <col bestFit="1" customWidth="1" min="29" max="29" width="22.109375"/>
    <col bestFit="1" customWidth="1" min="30" max="30" width="25.33203125"/>
    <col bestFit="1" customWidth="1" min="31" max="31" width="22.6640625"/>
    <col bestFit="1" customWidth="1" min="32" max="32" width="29.88671875"/>
    <col bestFit="1" customWidth="1" min="33" max="33" width="18.33203125"/>
  </cols>
  <sheetData>
    <row r="1">
      <c r="A1" t="s">
        <v>52</v>
      </c>
      <c r="B1" t="s">
        <v>54</v>
      </c>
      <c r="D1" t="s">
        <v>92</v>
      </c>
      <c r="H1" t="s">
        <v>93</v>
      </c>
      <c r="X1" t="s">
        <v>94</v>
      </c>
      <c r="AH1" t="s">
        <v>95</v>
      </c>
    </row>
    <row r="2">
      <c r="A2" t="s">
        <v>96</v>
      </c>
      <c r="B2" t="s">
        <v>97</v>
      </c>
      <c r="C2" t="s">
        <v>98</v>
      </c>
      <c r="D2" t="s">
        <v>99</v>
      </c>
      <c r="E2" t="s">
        <v>100</v>
      </c>
      <c r="F2" t="s">
        <v>101</v>
      </c>
      <c r="G2" t="s">
        <v>102</v>
      </c>
      <c r="H2" t="s">
        <v>103</v>
      </c>
      <c r="I2" t="s">
        <v>104</v>
      </c>
      <c r="J2" t="s">
        <v>105</v>
      </c>
      <c r="K2" t="s">
        <v>106</v>
      </c>
      <c r="L2" t="s">
        <v>107</v>
      </c>
      <c r="M2" t="s">
        <v>108</v>
      </c>
      <c r="N2" t="s">
        <v>109</v>
      </c>
      <c r="O2" t="s">
        <v>110</v>
      </c>
      <c r="P2" t="s">
        <v>111</v>
      </c>
      <c r="Q2" t="s">
        <v>112</v>
      </c>
      <c r="R2" t="s">
        <v>113</v>
      </c>
      <c r="S2" t="s">
        <v>114</v>
      </c>
      <c r="T2" t="s">
        <v>115</v>
      </c>
      <c r="U2" t="s">
        <v>116</v>
      </c>
      <c r="V2" t="s">
        <v>117</v>
      </c>
      <c r="W2" t="s">
        <v>118</v>
      </c>
      <c r="X2" t="s">
        <v>119</v>
      </c>
      <c r="Y2" t="s">
        <v>120</v>
      </c>
      <c r="Z2" t="s">
        <v>121</v>
      </c>
      <c r="AA2" t="s">
        <v>122</v>
      </c>
      <c r="AB2" t="s">
        <v>123</v>
      </c>
      <c r="AC2" t="s">
        <v>124</v>
      </c>
      <c r="AD2" t="s">
        <v>125</v>
      </c>
      <c r="AE2" t="s">
        <v>126</v>
      </c>
      <c r="AF2" t="s">
        <v>127</v>
      </c>
      <c r="AG2" t="s">
        <v>128</v>
      </c>
      <c r="AH2" t="s">
        <v>129</v>
      </c>
      <c r="AI2" t="s">
        <v>130</v>
      </c>
      <c r="AJ2" t="s">
        <v>131</v>
      </c>
      <c r="AK2" t="s">
        <v>132</v>
      </c>
      <c r="AL2" t="s">
        <v>133</v>
      </c>
      <c r="AM2" t="s">
        <v>134</v>
      </c>
      <c r="AN2" t="s">
        <v>135</v>
      </c>
      <c r="AO2" t="s">
        <v>136</v>
      </c>
      <c r="AP2" t="s">
        <v>137</v>
      </c>
      <c r="AQ2" t="s">
        <v>138</v>
      </c>
      <c r="AR2" t="s">
        <v>139</v>
      </c>
    </row>
    <row r="3">
      <c r="A3" t="s">
        <v>24</v>
      </c>
      <c r="B3">
        <f>+COUNTA(B4:B1048576)</f>
        <v>4</v>
      </c>
      <c r="C3">
        <f>+COUNTA(C4:C1048576)</f>
        <v>4</v>
      </c>
      <c r="D3">
        <f t="shared" ref="D3:G3" si="4">+COUNTA(D4:D1048576)</f>
        <v>3</v>
      </c>
      <c r="E3">
        <f t="shared" si="4"/>
        <v>3</v>
      </c>
      <c r="F3">
        <f t="shared" si="4"/>
        <v>3</v>
      </c>
      <c r="G3">
        <f t="shared" si="4"/>
        <v>3</v>
      </c>
      <c r="H3">
        <f>+COUNTA(H4:H1048576)</f>
        <v>5</v>
      </c>
      <c r="I3">
        <f>+COUNTA(I4:I1048576)</f>
        <v>4</v>
      </c>
      <c r="J3">
        <f>+COUNTA(J4:J1048576)</f>
        <v>3</v>
      </c>
      <c r="K3">
        <f>+COUNTA(K4:K1048576)</f>
        <v>4</v>
      </c>
      <c r="L3">
        <f t="shared" ref="L3:N3" si="5">+COUNTA(L4:L1048576)</f>
        <v>2</v>
      </c>
      <c r="M3">
        <f t="shared" si="5"/>
        <v>6</v>
      </c>
      <c r="N3">
        <f t="shared" si="5"/>
        <v>5</v>
      </c>
      <c r="O3">
        <f>+COUNTA(O4:O1048576)</f>
        <v>5</v>
      </c>
      <c r="P3">
        <f>+COUNTA(P4:P1048576)</f>
        <v>4</v>
      </c>
      <c r="Q3">
        <f>+COUNTA(Q4:Q1048576)</f>
        <v>4</v>
      </c>
      <c r="R3">
        <f>+COUNTA(R4:R1048576)</f>
        <v>4</v>
      </c>
      <c r="S3">
        <f t="shared" ref="S3:W3" si="6">+COUNTA(S4:S1048576)</f>
        <v>6</v>
      </c>
      <c r="T3">
        <f t="shared" si="6"/>
        <v>5</v>
      </c>
      <c r="U3">
        <f t="shared" si="6"/>
        <v>4</v>
      </c>
      <c r="V3">
        <f t="shared" si="6"/>
        <v>5</v>
      </c>
      <c r="W3">
        <f t="shared" si="6"/>
        <v>3</v>
      </c>
      <c r="X3">
        <f>+COUNTA(X4:X1048576)</f>
        <v>3</v>
      </c>
      <c r="Y3">
        <f>+COUNTA(Y4:Y1048576)</f>
        <v>3</v>
      </c>
      <c r="Z3">
        <f>+COUNTA(Z4:Z1048576)</f>
        <v>3</v>
      </c>
      <c r="AA3">
        <f>+COUNTA(AA4:AA1048576)</f>
        <v>3</v>
      </c>
      <c r="AB3">
        <f>+COUNTA(AB4:AB1048576)</f>
        <v>3</v>
      </c>
      <c r="AC3">
        <f>+COUNTA(AC4:AC1048576)</f>
        <v>3</v>
      </c>
      <c r="AD3">
        <f>+COUNTA(AD4:AD1048576)</f>
        <v>3</v>
      </c>
      <c r="AE3">
        <f>+COUNTA(AE4:AE1048576)</f>
        <v>3</v>
      </c>
      <c r="AF3">
        <f>+COUNTA(AF4:AF1048576)</f>
        <v>3</v>
      </c>
      <c r="AG3">
        <f t="shared" ref="AG3:AR3" si="7">+COUNTA(AG4:AG1048576)</f>
        <v>2</v>
      </c>
      <c r="AH3">
        <f t="shared" si="7"/>
        <v>2</v>
      </c>
      <c r="AI3">
        <f t="shared" si="7"/>
        <v>3</v>
      </c>
      <c r="AJ3">
        <f t="shared" si="7"/>
        <v>2</v>
      </c>
      <c r="AK3">
        <f t="shared" si="7"/>
        <v>2</v>
      </c>
      <c r="AL3">
        <f t="shared" si="7"/>
        <v>5</v>
      </c>
      <c r="AM3">
        <f t="shared" si="7"/>
        <v>4</v>
      </c>
      <c r="AN3">
        <f t="shared" si="7"/>
        <v>4</v>
      </c>
      <c r="AO3">
        <f t="shared" si="7"/>
        <v>3</v>
      </c>
      <c r="AP3">
        <f t="shared" si="7"/>
        <v>3</v>
      </c>
      <c r="AQ3">
        <f t="shared" si="7"/>
        <v>3</v>
      </c>
      <c r="AR3">
        <f t="shared" si="7"/>
        <v>2</v>
      </c>
    </row>
    <row r="4">
      <c r="B4" t="s">
        <v>19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  <c r="R4" t="s">
        <v>19</v>
      </c>
      <c r="S4" t="s">
        <v>19</v>
      </c>
      <c r="T4" t="s">
        <v>19</v>
      </c>
      <c r="U4" t="s">
        <v>19</v>
      </c>
      <c r="V4" t="s">
        <v>19</v>
      </c>
      <c r="W4" t="s">
        <v>19</v>
      </c>
      <c r="X4" t="s">
        <v>19</v>
      </c>
      <c r="Y4" t="s">
        <v>19</v>
      </c>
      <c r="Z4" t="s">
        <v>19</v>
      </c>
      <c r="AA4" t="s">
        <v>19</v>
      </c>
      <c r="AB4" t="s">
        <v>19</v>
      </c>
      <c r="AC4" t="s">
        <v>19</v>
      </c>
      <c r="AD4" t="s">
        <v>19</v>
      </c>
      <c r="AE4" t="s">
        <v>19</v>
      </c>
      <c r="AF4" t="s">
        <v>19</v>
      </c>
      <c r="AG4" t="s">
        <v>19</v>
      </c>
      <c r="AH4" t="s">
        <v>19</v>
      </c>
      <c r="AI4" t="s">
        <v>19</v>
      </c>
      <c r="AJ4" t="s">
        <v>19</v>
      </c>
      <c r="AK4" t="s">
        <v>19</v>
      </c>
      <c r="AL4" t="s">
        <v>19</v>
      </c>
      <c r="AM4" t="s">
        <v>19</v>
      </c>
      <c r="AN4" t="s">
        <v>19</v>
      </c>
      <c r="AO4" t="s">
        <v>19</v>
      </c>
      <c r="AP4" t="s">
        <v>19</v>
      </c>
      <c r="AQ4" t="s">
        <v>19</v>
      </c>
      <c r="AR4" t="s">
        <v>19</v>
      </c>
    </row>
    <row r="5">
      <c r="B5" t="s">
        <v>15</v>
      </c>
      <c r="C5" t="s">
        <v>15</v>
      </c>
      <c r="D5" t="s">
        <v>14</v>
      </c>
      <c r="E5" t="s">
        <v>14</v>
      </c>
      <c r="F5" t="s">
        <v>14</v>
      </c>
      <c r="G5" t="s">
        <v>14</v>
      </c>
      <c r="H5" t="s">
        <v>15</v>
      </c>
      <c r="I5" t="s">
        <v>14</v>
      </c>
      <c r="J5" t="s">
        <v>14</v>
      </c>
      <c r="K5" t="s">
        <v>14</v>
      </c>
      <c r="L5" t="s">
        <v>14</v>
      </c>
      <c r="M5" t="s">
        <v>15</v>
      </c>
      <c r="N5" t="s">
        <v>15</v>
      </c>
      <c r="O5" t="s">
        <v>15</v>
      </c>
      <c r="P5" t="s">
        <v>14</v>
      </c>
      <c r="Q5" t="s">
        <v>15</v>
      </c>
      <c r="R5" t="s">
        <v>15</v>
      </c>
      <c r="S5" t="s">
        <v>15</v>
      </c>
      <c r="T5" t="s">
        <v>15</v>
      </c>
      <c r="U5" t="s">
        <v>14</v>
      </c>
      <c r="V5" t="s">
        <v>15</v>
      </c>
      <c r="W5" t="s">
        <v>16</v>
      </c>
      <c r="X5" t="s">
        <v>14</v>
      </c>
      <c r="Y5" t="s">
        <v>14</v>
      </c>
      <c r="Z5" t="s">
        <v>14</v>
      </c>
      <c r="AA5" t="s">
        <v>14</v>
      </c>
      <c r="AB5" t="s">
        <v>14</v>
      </c>
      <c r="AC5" t="s">
        <v>14</v>
      </c>
      <c r="AD5" t="s">
        <v>14</v>
      </c>
      <c r="AE5" t="s">
        <v>14</v>
      </c>
      <c r="AF5" t="s">
        <v>14</v>
      </c>
      <c r="AG5" t="s">
        <v>13</v>
      </c>
      <c r="AH5" t="s">
        <v>13</v>
      </c>
      <c r="AI5" t="s">
        <v>15</v>
      </c>
      <c r="AJ5" t="s">
        <v>13</v>
      </c>
      <c r="AK5" t="s">
        <v>13</v>
      </c>
      <c r="AL5" t="s">
        <v>14</v>
      </c>
      <c r="AM5" t="s">
        <v>14</v>
      </c>
      <c r="AN5" t="s">
        <v>14</v>
      </c>
      <c r="AO5" t="s">
        <v>14</v>
      </c>
      <c r="AP5" t="s">
        <v>14</v>
      </c>
      <c r="AQ5" t="s">
        <v>17</v>
      </c>
      <c r="AR5" t="s">
        <v>17</v>
      </c>
    </row>
    <row r="6">
      <c r="B6" t="s">
        <v>16</v>
      </c>
      <c r="C6" t="s">
        <v>16</v>
      </c>
      <c r="D6" t="s">
        <v>13</v>
      </c>
      <c r="E6" t="s">
        <v>13</v>
      </c>
      <c r="F6" t="s">
        <v>13</v>
      </c>
      <c r="G6" t="s">
        <v>13</v>
      </c>
      <c r="H6" t="s">
        <v>14</v>
      </c>
      <c r="I6" t="s">
        <v>15</v>
      </c>
      <c r="J6" t="s">
        <v>13</v>
      </c>
      <c r="K6" t="s">
        <v>18</v>
      </c>
      <c r="M6" t="s">
        <v>14</v>
      </c>
      <c r="N6" t="s">
        <v>14</v>
      </c>
      <c r="O6" t="s">
        <v>14</v>
      </c>
      <c r="P6" t="s">
        <v>16</v>
      </c>
      <c r="Q6" t="s">
        <v>16</v>
      </c>
      <c r="R6" t="s">
        <v>16</v>
      </c>
      <c r="S6" t="s">
        <v>14</v>
      </c>
      <c r="T6" t="s">
        <v>14</v>
      </c>
      <c r="U6" t="s">
        <v>16</v>
      </c>
      <c r="V6" t="s">
        <v>14</v>
      </c>
      <c r="W6" t="s">
        <v>13</v>
      </c>
      <c r="X6" t="s">
        <v>13</v>
      </c>
      <c r="Y6" t="s">
        <v>13</v>
      </c>
      <c r="Z6" t="s">
        <v>13</v>
      </c>
      <c r="AA6" t="s">
        <v>13</v>
      </c>
      <c r="AB6" t="s">
        <v>13</v>
      </c>
      <c r="AC6" t="s">
        <v>13</v>
      </c>
      <c r="AD6" t="s">
        <v>13</v>
      </c>
      <c r="AE6" t="s">
        <v>13</v>
      </c>
      <c r="AF6" t="s">
        <v>13</v>
      </c>
      <c r="AI6" t="s">
        <v>13</v>
      </c>
      <c r="AL6" t="s">
        <v>17</v>
      </c>
      <c r="AM6" t="s">
        <v>17</v>
      </c>
      <c r="AN6" t="s">
        <v>17</v>
      </c>
      <c r="AO6" t="s">
        <v>13</v>
      </c>
      <c r="AP6" t="s">
        <v>13</v>
      </c>
      <c r="AQ6" t="s">
        <v>13</v>
      </c>
    </row>
    <row r="7">
      <c r="B7" t="s">
        <v>13</v>
      </c>
      <c r="C7" t="s">
        <v>13</v>
      </c>
      <c r="H7" t="s">
        <v>18</v>
      </c>
      <c r="I7" t="s">
        <v>13</v>
      </c>
      <c r="K7" t="s">
        <v>13</v>
      </c>
      <c r="M7" t="s">
        <v>18</v>
      </c>
      <c r="N7" t="s">
        <v>16</v>
      </c>
      <c r="O7" t="s">
        <v>16</v>
      </c>
      <c r="P7" t="s">
        <v>13</v>
      </c>
      <c r="Q7" t="s">
        <v>13</v>
      </c>
      <c r="R7" t="s">
        <v>13</v>
      </c>
      <c r="S7" t="s">
        <v>18</v>
      </c>
      <c r="T7" t="s">
        <v>16</v>
      </c>
      <c r="U7" t="s">
        <v>13</v>
      </c>
      <c r="V7" t="s">
        <v>16</v>
      </c>
      <c r="AL7" t="s">
        <v>18</v>
      </c>
      <c r="AM7" t="s">
        <v>13</v>
      </c>
      <c r="AN7" t="s">
        <v>13</v>
      </c>
    </row>
    <row r="8">
      <c r="H8" t="s">
        <v>13</v>
      </c>
      <c r="M8" t="s">
        <v>16</v>
      </c>
      <c r="N8" t="s">
        <v>13</v>
      </c>
      <c r="O8" t="s">
        <v>13</v>
      </c>
      <c r="S8" t="s">
        <v>16</v>
      </c>
      <c r="T8" t="s">
        <v>13</v>
      </c>
      <c r="V8" t="s">
        <v>13</v>
      </c>
      <c r="AL8" t="s">
        <v>13</v>
      </c>
    </row>
    <row r="9">
      <c r="M9" t="s">
        <v>13</v>
      </c>
      <c r="S9" t="s">
        <v>13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ONLYOFFICE/9.0.0.172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3</cp:revision>
  <dcterms:created xsi:type="dcterms:W3CDTF">2015-06-05T18:17:20Z</dcterms:created>
  <dcterms:modified xsi:type="dcterms:W3CDTF">2025-07-26T19:09:43Z</dcterms:modified>
</cp:coreProperties>
</file>
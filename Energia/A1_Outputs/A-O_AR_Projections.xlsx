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CU_NDC\energia_2017_ok\ECU_OSeMOSYS-energia_2016\PlanmiccEnergiaOriginal\A1_Outputs\"/>
    </mc:Choice>
  </mc:AlternateContent>
  <xr:revisionPtr revIDLastSave="0" documentId="13_ncr:1_{85633B4E-C681-44A6-A057-21D56B38FDB3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definedNames>
    <definedName name="_xlnm._FilterDatabase" localSheetId="2" hidden="1">'Demand Techs'!$A$1:$BP$111</definedName>
    <definedName name="_xlnm._FilterDatabase" localSheetId="3" hidden="1">'Distribution Transport'!$A$1:$BP$55</definedName>
    <definedName name="_xlnm._FilterDatabase" localSheetId="0" hidden="1">Primary!$A$1:$BP$46</definedName>
    <definedName name="_xlnm._FilterDatabase" localSheetId="1" hidden="1">Secondary!$A$1:$BR$114</definedName>
    <definedName name="_xlnm._FilterDatabase" localSheetId="4" hidden="1">Transport!$A$1:$BP$146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3" i="5" l="1"/>
  <c r="N143" i="5"/>
  <c r="M143" i="5" s="1"/>
  <c r="L143" i="5" s="1"/>
  <c r="K143" i="5" s="1"/>
  <c r="J143" i="5" s="1"/>
  <c r="I143" i="5" s="1"/>
  <c r="H143" i="5" s="1"/>
  <c r="AK143" i="5"/>
  <c r="AJ143" i="5" s="1"/>
  <c r="AI143" i="5" s="1"/>
  <c r="AH143" i="5" s="1"/>
  <c r="AG143" i="5" s="1"/>
  <c r="AF143" i="5" s="1"/>
  <c r="AE143" i="5" s="1"/>
  <c r="AD143" i="5" s="1"/>
  <c r="AC143" i="5" s="1"/>
  <c r="AB143" i="5" s="1"/>
  <c r="AA143" i="5" s="1"/>
  <c r="Z143" i="5" s="1"/>
  <c r="Y143" i="5" s="1"/>
  <c r="X143" i="5" s="1"/>
  <c r="W143" i="5" s="1"/>
  <c r="V143" i="5" s="1"/>
  <c r="U143" i="5" s="1"/>
  <c r="T143" i="5" s="1"/>
  <c r="S143" i="5" s="1"/>
  <c r="R143" i="5" s="1"/>
  <c r="Q143" i="5" s="1"/>
  <c r="P143" i="5" s="1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R92" i="2"/>
  <c r="AS92" i="2"/>
  <c r="AT92" i="2"/>
  <c r="AU92" i="2"/>
  <c r="AV92" i="2"/>
  <c r="AW92" i="2"/>
  <c r="AX92" i="2"/>
  <c r="AY92" i="2"/>
  <c r="AZ92" i="2"/>
  <c r="BA92" i="2"/>
  <c r="BB92" i="2"/>
  <c r="BC92" i="2"/>
  <c r="BD92" i="2"/>
  <c r="BE92" i="2"/>
  <c r="BF92" i="2"/>
  <c r="BG92" i="2"/>
  <c r="BH92" i="2"/>
  <c r="BI92" i="2"/>
  <c r="BJ92" i="2"/>
  <c r="BK92" i="2"/>
  <c r="BL92" i="2"/>
  <c r="BM92" i="2"/>
  <c r="BN92" i="2"/>
  <c r="BO92" i="2"/>
  <c r="BP92" i="2"/>
  <c r="BQ92" i="2"/>
  <c r="T92" i="2"/>
  <c r="U92" i="2"/>
  <c r="T2" i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BH2" i="1" s="1"/>
  <c r="BI2" i="1" s="1"/>
  <c r="BJ2" i="1" s="1"/>
  <c r="BK2" i="1" s="1"/>
  <c r="BL2" i="1" s="1"/>
  <c r="BM2" i="1" s="1"/>
  <c r="BN2" i="1" s="1"/>
  <c r="BO2" i="1" s="1"/>
  <c r="BP2" i="1" s="1"/>
  <c r="AW7" i="5"/>
  <c r="AX7" i="5" s="1"/>
  <c r="AY7" i="5" s="1"/>
  <c r="AZ7" i="5" s="1"/>
  <c r="BA7" i="5" s="1"/>
  <c r="BB7" i="5" s="1"/>
  <c r="BC7" i="5" s="1"/>
  <c r="BD7" i="5" s="1"/>
  <c r="BE7" i="5" s="1"/>
  <c r="BF7" i="5" s="1"/>
  <c r="BG7" i="5" s="1"/>
  <c r="BH7" i="5" s="1"/>
  <c r="BI7" i="5" s="1"/>
  <c r="BJ7" i="5" s="1"/>
  <c r="BK7" i="5" s="1"/>
  <c r="BL7" i="5" s="1"/>
  <c r="BM7" i="5" s="1"/>
  <c r="BN7" i="5" s="1"/>
  <c r="BO7" i="5" s="1"/>
  <c r="BP7" i="5" s="1"/>
  <c r="AW9" i="5"/>
  <c r="AX9" i="5" s="1"/>
  <c r="AY9" i="5" s="1"/>
  <c r="AZ9" i="5" s="1"/>
  <c r="BA9" i="5" s="1"/>
  <c r="BB9" i="5" s="1"/>
  <c r="BC9" i="5" s="1"/>
  <c r="BD9" i="5" s="1"/>
  <c r="BE9" i="5" s="1"/>
  <c r="BF9" i="5" s="1"/>
  <c r="BG9" i="5" s="1"/>
  <c r="BH9" i="5" s="1"/>
  <c r="BI9" i="5" s="1"/>
  <c r="BJ9" i="5" s="1"/>
  <c r="BK9" i="5" s="1"/>
  <c r="BL9" i="5" s="1"/>
  <c r="BM9" i="5" s="1"/>
  <c r="BN9" i="5" s="1"/>
  <c r="BO9" i="5" s="1"/>
  <c r="BP9" i="5" s="1"/>
  <c r="AW11" i="5"/>
  <c r="AX11" i="5" s="1"/>
  <c r="AY11" i="5" s="1"/>
  <c r="AZ11" i="5" s="1"/>
  <c r="BA11" i="5" s="1"/>
  <c r="BB11" i="5" s="1"/>
  <c r="BC11" i="5" s="1"/>
  <c r="BD11" i="5" s="1"/>
  <c r="BE11" i="5" s="1"/>
  <c r="BF11" i="5" s="1"/>
  <c r="BG11" i="5" s="1"/>
  <c r="BH11" i="5" s="1"/>
  <c r="BI11" i="5" s="1"/>
  <c r="BJ11" i="5" s="1"/>
  <c r="BK11" i="5" s="1"/>
  <c r="BL11" i="5" s="1"/>
  <c r="BM11" i="5" s="1"/>
  <c r="BN11" i="5" s="1"/>
  <c r="BO11" i="5" s="1"/>
  <c r="BP11" i="5" s="1"/>
  <c r="AW13" i="5"/>
  <c r="AX13" i="5" s="1"/>
  <c r="AY13" i="5" s="1"/>
  <c r="AZ13" i="5" s="1"/>
  <c r="BA13" i="5" s="1"/>
  <c r="BB13" i="5" s="1"/>
  <c r="BC13" i="5" s="1"/>
  <c r="BD13" i="5" s="1"/>
  <c r="BE13" i="5" s="1"/>
  <c r="BF13" i="5" s="1"/>
  <c r="BG13" i="5" s="1"/>
  <c r="BH13" i="5" s="1"/>
  <c r="BI13" i="5" s="1"/>
  <c r="BJ13" i="5" s="1"/>
  <c r="BK13" i="5" s="1"/>
  <c r="BL13" i="5" s="1"/>
  <c r="BM13" i="5" s="1"/>
  <c r="BN13" i="5" s="1"/>
  <c r="BO13" i="5" s="1"/>
  <c r="BP13" i="5" s="1"/>
  <c r="AW18" i="5"/>
  <c r="AX18" i="5" s="1"/>
  <c r="AY18" i="5" s="1"/>
  <c r="AZ18" i="5" s="1"/>
  <c r="BA18" i="5" s="1"/>
  <c r="BB18" i="5" s="1"/>
  <c r="BC18" i="5" s="1"/>
  <c r="BD18" i="5" s="1"/>
  <c r="BE18" i="5" s="1"/>
  <c r="BF18" i="5" s="1"/>
  <c r="BG18" i="5" s="1"/>
  <c r="BH18" i="5" s="1"/>
  <c r="BI18" i="5" s="1"/>
  <c r="BJ18" i="5" s="1"/>
  <c r="BK18" i="5" s="1"/>
  <c r="BL18" i="5" s="1"/>
  <c r="BM18" i="5" s="1"/>
  <c r="BN18" i="5" s="1"/>
  <c r="BO18" i="5" s="1"/>
  <c r="BP18" i="5" s="1"/>
  <c r="AW20" i="5"/>
  <c r="AX20" i="5" s="1"/>
  <c r="AY20" i="5" s="1"/>
  <c r="AZ20" i="5" s="1"/>
  <c r="BA20" i="5" s="1"/>
  <c r="BB20" i="5" s="1"/>
  <c r="BC20" i="5" s="1"/>
  <c r="BD20" i="5" s="1"/>
  <c r="BE20" i="5" s="1"/>
  <c r="BF20" i="5" s="1"/>
  <c r="BG20" i="5" s="1"/>
  <c r="BH20" i="5" s="1"/>
  <c r="BI20" i="5" s="1"/>
  <c r="BJ20" i="5" s="1"/>
  <c r="BK20" i="5" s="1"/>
  <c r="BL20" i="5" s="1"/>
  <c r="BM20" i="5" s="1"/>
  <c r="BN20" i="5" s="1"/>
  <c r="BO20" i="5" s="1"/>
  <c r="BP20" i="5" s="1"/>
  <c r="AW22" i="5"/>
  <c r="AX22" i="5" s="1"/>
  <c r="AY22" i="5" s="1"/>
  <c r="AZ22" i="5" s="1"/>
  <c r="BA22" i="5" s="1"/>
  <c r="BB22" i="5" s="1"/>
  <c r="BC22" i="5" s="1"/>
  <c r="BD22" i="5" s="1"/>
  <c r="BE22" i="5" s="1"/>
  <c r="BF22" i="5" s="1"/>
  <c r="BG22" i="5" s="1"/>
  <c r="BH22" i="5" s="1"/>
  <c r="BI22" i="5" s="1"/>
  <c r="BJ22" i="5" s="1"/>
  <c r="BK22" i="5" s="1"/>
  <c r="BL22" i="5" s="1"/>
  <c r="BM22" i="5" s="1"/>
  <c r="BN22" i="5" s="1"/>
  <c r="BO22" i="5" s="1"/>
  <c r="BP22" i="5" s="1"/>
  <c r="AW24" i="5"/>
  <c r="AX24" i="5" s="1"/>
  <c r="AY24" i="5" s="1"/>
  <c r="AZ24" i="5" s="1"/>
  <c r="BA24" i="5" s="1"/>
  <c r="BB24" i="5" s="1"/>
  <c r="BC24" i="5" s="1"/>
  <c r="BD24" i="5" s="1"/>
  <c r="BE24" i="5" s="1"/>
  <c r="BF24" i="5" s="1"/>
  <c r="BG24" i="5" s="1"/>
  <c r="BH24" i="5" s="1"/>
  <c r="BI24" i="5" s="1"/>
  <c r="BJ24" i="5" s="1"/>
  <c r="BK24" i="5" s="1"/>
  <c r="BL24" i="5" s="1"/>
  <c r="BM24" i="5" s="1"/>
  <c r="BN24" i="5" s="1"/>
  <c r="BO24" i="5" s="1"/>
  <c r="BP24" i="5" s="1"/>
  <c r="AW31" i="5"/>
  <c r="AX31" i="5" s="1"/>
  <c r="AY31" i="5" s="1"/>
  <c r="AZ31" i="5" s="1"/>
  <c r="BA31" i="5" s="1"/>
  <c r="BB31" i="5" s="1"/>
  <c r="BC31" i="5" s="1"/>
  <c r="BD31" i="5" s="1"/>
  <c r="BE31" i="5" s="1"/>
  <c r="BF31" i="5" s="1"/>
  <c r="BG31" i="5" s="1"/>
  <c r="BH31" i="5" s="1"/>
  <c r="BI31" i="5" s="1"/>
  <c r="BJ31" i="5" s="1"/>
  <c r="BK31" i="5" s="1"/>
  <c r="BL31" i="5" s="1"/>
  <c r="BM31" i="5" s="1"/>
  <c r="BN31" i="5" s="1"/>
  <c r="BO31" i="5" s="1"/>
  <c r="BP31" i="5" s="1"/>
  <c r="AW33" i="5"/>
  <c r="AX33" i="5" s="1"/>
  <c r="AY33" i="5" s="1"/>
  <c r="AZ33" i="5" s="1"/>
  <c r="BA33" i="5" s="1"/>
  <c r="BB33" i="5" s="1"/>
  <c r="BC33" i="5" s="1"/>
  <c r="BD33" i="5" s="1"/>
  <c r="BE33" i="5" s="1"/>
  <c r="BF33" i="5" s="1"/>
  <c r="BG33" i="5" s="1"/>
  <c r="BH33" i="5" s="1"/>
  <c r="BI33" i="5" s="1"/>
  <c r="BJ33" i="5" s="1"/>
  <c r="BK33" i="5" s="1"/>
  <c r="BL33" i="5" s="1"/>
  <c r="BM33" i="5" s="1"/>
  <c r="BN33" i="5" s="1"/>
  <c r="BO33" i="5" s="1"/>
  <c r="BP33" i="5" s="1"/>
  <c r="AW38" i="5"/>
  <c r="AX38" i="5" s="1"/>
  <c r="AY38" i="5" s="1"/>
  <c r="AZ38" i="5" s="1"/>
  <c r="BA38" i="5" s="1"/>
  <c r="BB38" i="5" s="1"/>
  <c r="BC38" i="5" s="1"/>
  <c r="BD38" i="5" s="1"/>
  <c r="BE38" i="5" s="1"/>
  <c r="BF38" i="5" s="1"/>
  <c r="BG38" i="5" s="1"/>
  <c r="BH38" i="5" s="1"/>
  <c r="BI38" i="5" s="1"/>
  <c r="BJ38" i="5" s="1"/>
  <c r="BK38" i="5" s="1"/>
  <c r="BL38" i="5" s="1"/>
  <c r="BM38" i="5" s="1"/>
  <c r="BN38" i="5" s="1"/>
  <c r="BO38" i="5" s="1"/>
  <c r="BP38" i="5" s="1"/>
  <c r="AW48" i="5"/>
  <c r="AX48" i="5" s="1"/>
  <c r="AY48" i="5" s="1"/>
  <c r="AZ48" i="5" s="1"/>
  <c r="BA48" i="5" s="1"/>
  <c r="BB48" i="5" s="1"/>
  <c r="BC48" i="5" s="1"/>
  <c r="BD48" i="5" s="1"/>
  <c r="BE48" i="5" s="1"/>
  <c r="BF48" i="5" s="1"/>
  <c r="BG48" i="5" s="1"/>
  <c r="BH48" i="5" s="1"/>
  <c r="BI48" i="5" s="1"/>
  <c r="BJ48" i="5" s="1"/>
  <c r="BK48" i="5" s="1"/>
  <c r="BL48" i="5" s="1"/>
  <c r="BM48" i="5" s="1"/>
  <c r="BN48" i="5" s="1"/>
  <c r="BO48" i="5" s="1"/>
  <c r="BP48" i="5" s="1"/>
  <c r="AW50" i="5"/>
  <c r="AX50" i="5" s="1"/>
  <c r="AY50" i="5" s="1"/>
  <c r="AZ50" i="5" s="1"/>
  <c r="BA50" i="5" s="1"/>
  <c r="BB50" i="5" s="1"/>
  <c r="BC50" i="5" s="1"/>
  <c r="BD50" i="5" s="1"/>
  <c r="BE50" i="5" s="1"/>
  <c r="BF50" i="5" s="1"/>
  <c r="BG50" i="5" s="1"/>
  <c r="BH50" i="5" s="1"/>
  <c r="BI50" i="5" s="1"/>
  <c r="BJ50" i="5" s="1"/>
  <c r="BK50" i="5" s="1"/>
  <c r="BL50" i="5" s="1"/>
  <c r="BM50" i="5" s="1"/>
  <c r="BN50" i="5" s="1"/>
  <c r="BO50" i="5" s="1"/>
  <c r="BP50" i="5" s="1"/>
  <c r="AW52" i="5"/>
  <c r="AX52" i="5" s="1"/>
  <c r="AY52" i="5" s="1"/>
  <c r="AZ52" i="5" s="1"/>
  <c r="BA52" i="5" s="1"/>
  <c r="BB52" i="5" s="1"/>
  <c r="BC52" i="5" s="1"/>
  <c r="BD52" i="5" s="1"/>
  <c r="BE52" i="5" s="1"/>
  <c r="BF52" i="5" s="1"/>
  <c r="BG52" i="5" s="1"/>
  <c r="BH52" i="5" s="1"/>
  <c r="BI52" i="5" s="1"/>
  <c r="BJ52" i="5" s="1"/>
  <c r="BK52" i="5" s="1"/>
  <c r="BL52" i="5" s="1"/>
  <c r="BM52" i="5" s="1"/>
  <c r="BN52" i="5" s="1"/>
  <c r="BO52" i="5" s="1"/>
  <c r="BP52" i="5" s="1"/>
  <c r="AW59" i="5"/>
  <c r="AX59" i="5" s="1"/>
  <c r="AY59" i="5" s="1"/>
  <c r="AZ59" i="5" s="1"/>
  <c r="BA59" i="5" s="1"/>
  <c r="BB59" i="5" s="1"/>
  <c r="BC59" i="5" s="1"/>
  <c r="BD59" i="5" s="1"/>
  <c r="BE59" i="5" s="1"/>
  <c r="BF59" i="5" s="1"/>
  <c r="BG59" i="5" s="1"/>
  <c r="BH59" i="5" s="1"/>
  <c r="BI59" i="5" s="1"/>
  <c r="BJ59" i="5" s="1"/>
  <c r="BK59" i="5" s="1"/>
  <c r="BL59" i="5" s="1"/>
  <c r="BM59" i="5" s="1"/>
  <c r="BN59" i="5" s="1"/>
  <c r="BO59" i="5" s="1"/>
  <c r="BP59" i="5" s="1"/>
  <c r="AW66" i="5"/>
  <c r="AX66" i="5" s="1"/>
  <c r="AY66" i="5" s="1"/>
  <c r="AZ66" i="5" s="1"/>
  <c r="BA66" i="5" s="1"/>
  <c r="BB66" i="5" s="1"/>
  <c r="BC66" i="5" s="1"/>
  <c r="BD66" i="5" s="1"/>
  <c r="BE66" i="5" s="1"/>
  <c r="BF66" i="5" s="1"/>
  <c r="BG66" i="5" s="1"/>
  <c r="BH66" i="5" s="1"/>
  <c r="BI66" i="5" s="1"/>
  <c r="BJ66" i="5" s="1"/>
  <c r="BK66" i="5" s="1"/>
  <c r="BL66" i="5" s="1"/>
  <c r="BM66" i="5" s="1"/>
  <c r="BN66" i="5" s="1"/>
  <c r="BO66" i="5" s="1"/>
  <c r="BP66" i="5" s="1"/>
  <c r="AW68" i="5"/>
  <c r="AX68" i="5" s="1"/>
  <c r="AY68" i="5" s="1"/>
  <c r="AZ68" i="5" s="1"/>
  <c r="BA68" i="5" s="1"/>
  <c r="BB68" i="5" s="1"/>
  <c r="BC68" i="5" s="1"/>
  <c r="BD68" i="5" s="1"/>
  <c r="BE68" i="5" s="1"/>
  <c r="BF68" i="5" s="1"/>
  <c r="BG68" i="5" s="1"/>
  <c r="BH68" i="5" s="1"/>
  <c r="BI68" i="5" s="1"/>
  <c r="BJ68" i="5" s="1"/>
  <c r="BK68" i="5" s="1"/>
  <c r="BL68" i="5" s="1"/>
  <c r="BM68" i="5" s="1"/>
  <c r="BN68" i="5" s="1"/>
  <c r="BO68" i="5" s="1"/>
  <c r="BP68" i="5" s="1"/>
  <c r="AW70" i="5"/>
  <c r="AX70" i="5" s="1"/>
  <c r="AY70" i="5" s="1"/>
  <c r="AZ70" i="5" s="1"/>
  <c r="BA70" i="5" s="1"/>
  <c r="BB70" i="5" s="1"/>
  <c r="BC70" i="5" s="1"/>
  <c r="BD70" i="5" s="1"/>
  <c r="BE70" i="5" s="1"/>
  <c r="BF70" i="5" s="1"/>
  <c r="BG70" i="5" s="1"/>
  <c r="BH70" i="5" s="1"/>
  <c r="BI70" i="5" s="1"/>
  <c r="BJ70" i="5" s="1"/>
  <c r="BK70" i="5" s="1"/>
  <c r="BL70" i="5" s="1"/>
  <c r="BM70" i="5" s="1"/>
  <c r="BN70" i="5" s="1"/>
  <c r="BO70" i="5" s="1"/>
  <c r="BP70" i="5" s="1"/>
  <c r="AW75" i="5"/>
  <c r="AX75" i="5" s="1"/>
  <c r="AY75" i="5" s="1"/>
  <c r="AZ75" i="5" s="1"/>
  <c r="BA75" i="5" s="1"/>
  <c r="BB75" i="5" s="1"/>
  <c r="BC75" i="5" s="1"/>
  <c r="BD75" i="5" s="1"/>
  <c r="BE75" i="5" s="1"/>
  <c r="BF75" i="5" s="1"/>
  <c r="BG75" i="5" s="1"/>
  <c r="BH75" i="5" s="1"/>
  <c r="BI75" i="5" s="1"/>
  <c r="BJ75" i="5" s="1"/>
  <c r="BK75" i="5" s="1"/>
  <c r="BL75" i="5" s="1"/>
  <c r="BM75" i="5" s="1"/>
  <c r="BN75" i="5" s="1"/>
  <c r="BO75" i="5" s="1"/>
  <c r="BP75" i="5" s="1"/>
  <c r="AW84" i="5"/>
  <c r="AX84" i="5" s="1"/>
  <c r="AY84" i="5" s="1"/>
  <c r="AZ84" i="5" s="1"/>
  <c r="BA84" i="5" s="1"/>
  <c r="BB84" i="5" s="1"/>
  <c r="BC84" i="5" s="1"/>
  <c r="BD84" i="5" s="1"/>
  <c r="BE84" i="5" s="1"/>
  <c r="BF84" i="5" s="1"/>
  <c r="BG84" i="5" s="1"/>
  <c r="BH84" i="5" s="1"/>
  <c r="BI84" i="5" s="1"/>
  <c r="BJ84" i="5" s="1"/>
  <c r="BK84" i="5" s="1"/>
  <c r="BL84" i="5" s="1"/>
  <c r="BM84" i="5" s="1"/>
  <c r="BN84" i="5" s="1"/>
  <c r="BO84" i="5" s="1"/>
  <c r="BP84" i="5" s="1"/>
  <c r="AW86" i="5"/>
  <c r="AX86" i="5" s="1"/>
  <c r="AY86" i="5" s="1"/>
  <c r="AZ86" i="5" s="1"/>
  <c r="BA86" i="5" s="1"/>
  <c r="BB86" i="5" s="1"/>
  <c r="BC86" i="5" s="1"/>
  <c r="BD86" i="5" s="1"/>
  <c r="BE86" i="5" s="1"/>
  <c r="BF86" i="5" s="1"/>
  <c r="BG86" i="5" s="1"/>
  <c r="BH86" i="5" s="1"/>
  <c r="BI86" i="5" s="1"/>
  <c r="BJ86" i="5" s="1"/>
  <c r="BK86" i="5" s="1"/>
  <c r="BL86" i="5" s="1"/>
  <c r="BM86" i="5" s="1"/>
  <c r="BN86" i="5" s="1"/>
  <c r="BO86" i="5" s="1"/>
  <c r="BP86" i="5" s="1"/>
  <c r="AW91" i="5"/>
  <c r="AX91" i="5" s="1"/>
  <c r="AY91" i="5" s="1"/>
  <c r="AZ91" i="5" s="1"/>
  <c r="BA91" i="5" s="1"/>
  <c r="BB91" i="5" s="1"/>
  <c r="BC91" i="5" s="1"/>
  <c r="BD91" i="5" s="1"/>
  <c r="BE91" i="5" s="1"/>
  <c r="BF91" i="5" s="1"/>
  <c r="BG91" i="5" s="1"/>
  <c r="BH91" i="5" s="1"/>
  <c r="BI91" i="5" s="1"/>
  <c r="BJ91" i="5" s="1"/>
  <c r="BK91" i="5" s="1"/>
  <c r="BL91" i="5" s="1"/>
  <c r="BM91" i="5" s="1"/>
  <c r="BN91" i="5" s="1"/>
  <c r="BO91" i="5" s="1"/>
  <c r="BP91" i="5" s="1"/>
  <c r="AW93" i="5"/>
  <c r="AX93" i="5" s="1"/>
  <c r="AY93" i="5" s="1"/>
  <c r="AZ93" i="5" s="1"/>
  <c r="BA93" i="5" s="1"/>
  <c r="BB93" i="5" s="1"/>
  <c r="BC93" i="5" s="1"/>
  <c r="BD93" i="5" s="1"/>
  <c r="BE93" i="5" s="1"/>
  <c r="BF93" i="5" s="1"/>
  <c r="BG93" i="5" s="1"/>
  <c r="BH93" i="5" s="1"/>
  <c r="BI93" i="5" s="1"/>
  <c r="BJ93" i="5" s="1"/>
  <c r="BK93" i="5" s="1"/>
  <c r="BL93" i="5" s="1"/>
  <c r="BM93" i="5" s="1"/>
  <c r="BN93" i="5" s="1"/>
  <c r="BO93" i="5" s="1"/>
  <c r="BP93" i="5" s="1"/>
  <c r="AW98" i="5"/>
  <c r="AX98" i="5" s="1"/>
  <c r="AY98" i="5" s="1"/>
  <c r="AZ98" i="5" s="1"/>
  <c r="BA98" i="5" s="1"/>
  <c r="BB98" i="5" s="1"/>
  <c r="BC98" i="5" s="1"/>
  <c r="BD98" i="5" s="1"/>
  <c r="BE98" i="5" s="1"/>
  <c r="BF98" i="5" s="1"/>
  <c r="BG98" i="5" s="1"/>
  <c r="BH98" i="5" s="1"/>
  <c r="BI98" i="5" s="1"/>
  <c r="BJ98" i="5" s="1"/>
  <c r="BK98" i="5" s="1"/>
  <c r="BL98" i="5" s="1"/>
  <c r="BM98" i="5" s="1"/>
  <c r="BN98" i="5" s="1"/>
  <c r="BO98" i="5" s="1"/>
  <c r="BP98" i="5" s="1"/>
  <c r="AW100" i="5"/>
  <c r="AX100" i="5" s="1"/>
  <c r="AY100" i="5" s="1"/>
  <c r="AZ100" i="5" s="1"/>
  <c r="BA100" i="5" s="1"/>
  <c r="BB100" i="5" s="1"/>
  <c r="BC100" i="5" s="1"/>
  <c r="BD100" i="5" s="1"/>
  <c r="BE100" i="5" s="1"/>
  <c r="BF100" i="5" s="1"/>
  <c r="BG100" i="5" s="1"/>
  <c r="BH100" i="5" s="1"/>
  <c r="BI100" i="5" s="1"/>
  <c r="BJ100" i="5" s="1"/>
  <c r="BK100" i="5" s="1"/>
  <c r="BL100" i="5" s="1"/>
  <c r="BM100" i="5" s="1"/>
  <c r="BN100" i="5" s="1"/>
  <c r="BO100" i="5" s="1"/>
  <c r="BP100" i="5" s="1"/>
  <c r="AW102" i="5"/>
  <c r="AX102" i="5" s="1"/>
  <c r="AY102" i="5" s="1"/>
  <c r="AZ102" i="5" s="1"/>
  <c r="BA102" i="5" s="1"/>
  <c r="BB102" i="5" s="1"/>
  <c r="BC102" i="5" s="1"/>
  <c r="BD102" i="5" s="1"/>
  <c r="BE102" i="5" s="1"/>
  <c r="BF102" i="5" s="1"/>
  <c r="BG102" i="5" s="1"/>
  <c r="BH102" i="5" s="1"/>
  <c r="BI102" i="5" s="1"/>
  <c r="BJ102" i="5" s="1"/>
  <c r="BK102" i="5" s="1"/>
  <c r="BL102" i="5" s="1"/>
  <c r="BM102" i="5" s="1"/>
  <c r="BN102" i="5" s="1"/>
  <c r="BO102" i="5" s="1"/>
  <c r="BP102" i="5" s="1"/>
  <c r="AW104" i="5"/>
  <c r="AX104" i="5" s="1"/>
  <c r="AY104" i="5" s="1"/>
  <c r="AZ104" i="5" s="1"/>
  <c r="BA104" i="5" s="1"/>
  <c r="BB104" i="5" s="1"/>
  <c r="BC104" i="5" s="1"/>
  <c r="BD104" i="5" s="1"/>
  <c r="BE104" i="5" s="1"/>
  <c r="BF104" i="5" s="1"/>
  <c r="BG104" i="5" s="1"/>
  <c r="BH104" i="5" s="1"/>
  <c r="BI104" i="5" s="1"/>
  <c r="BJ104" i="5" s="1"/>
  <c r="BK104" i="5" s="1"/>
  <c r="BL104" i="5" s="1"/>
  <c r="BM104" i="5" s="1"/>
  <c r="BN104" i="5" s="1"/>
  <c r="BO104" i="5" s="1"/>
  <c r="BP104" i="5" s="1"/>
  <c r="AW106" i="5"/>
  <c r="AX106" i="5" s="1"/>
  <c r="AY106" i="5" s="1"/>
  <c r="AZ106" i="5" s="1"/>
  <c r="BA106" i="5" s="1"/>
  <c r="BB106" i="5" s="1"/>
  <c r="BC106" i="5" s="1"/>
  <c r="BD106" i="5" s="1"/>
  <c r="BE106" i="5" s="1"/>
  <c r="BF106" i="5" s="1"/>
  <c r="BG106" i="5" s="1"/>
  <c r="BH106" i="5" s="1"/>
  <c r="BI106" i="5" s="1"/>
  <c r="BJ106" i="5" s="1"/>
  <c r="BK106" i="5" s="1"/>
  <c r="BL106" i="5" s="1"/>
  <c r="BM106" i="5" s="1"/>
  <c r="BN106" i="5" s="1"/>
  <c r="BO106" i="5" s="1"/>
  <c r="BP106" i="5" s="1"/>
  <c r="AW113" i="5"/>
  <c r="AX113" i="5" s="1"/>
  <c r="AY113" i="5" s="1"/>
  <c r="AZ113" i="5" s="1"/>
  <c r="BA113" i="5" s="1"/>
  <c r="BB113" i="5" s="1"/>
  <c r="BC113" i="5" s="1"/>
  <c r="BD113" i="5" s="1"/>
  <c r="BE113" i="5" s="1"/>
  <c r="BF113" i="5" s="1"/>
  <c r="BG113" i="5" s="1"/>
  <c r="BH113" i="5" s="1"/>
  <c r="BI113" i="5" s="1"/>
  <c r="BJ113" i="5" s="1"/>
  <c r="BK113" i="5" s="1"/>
  <c r="BL113" i="5" s="1"/>
  <c r="BM113" i="5" s="1"/>
  <c r="BN113" i="5" s="1"/>
  <c r="BO113" i="5" s="1"/>
  <c r="BP113" i="5" s="1"/>
  <c r="AW115" i="5"/>
  <c r="AX115" i="5" s="1"/>
  <c r="AY115" i="5" s="1"/>
  <c r="AZ115" i="5" s="1"/>
  <c r="BA115" i="5" s="1"/>
  <c r="BB115" i="5" s="1"/>
  <c r="BC115" i="5" s="1"/>
  <c r="BD115" i="5" s="1"/>
  <c r="BE115" i="5" s="1"/>
  <c r="BF115" i="5" s="1"/>
  <c r="BG115" i="5" s="1"/>
  <c r="BH115" i="5" s="1"/>
  <c r="BI115" i="5" s="1"/>
  <c r="BJ115" i="5" s="1"/>
  <c r="BK115" i="5" s="1"/>
  <c r="BL115" i="5" s="1"/>
  <c r="BM115" i="5" s="1"/>
  <c r="BN115" i="5" s="1"/>
  <c r="BO115" i="5" s="1"/>
  <c r="BP115" i="5" s="1"/>
  <c r="AW117" i="5"/>
  <c r="AX117" i="5" s="1"/>
  <c r="AY117" i="5" s="1"/>
  <c r="AZ117" i="5" s="1"/>
  <c r="BA117" i="5" s="1"/>
  <c r="BB117" i="5" s="1"/>
  <c r="BC117" i="5" s="1"/>
  <c r="BD117" i="5" s="1"/>
  <c r="BE117" i="5" s="1"/>
  <c r="BF117" i="5" s="1"/>
  <c r="BG117" i="5" s="1"/>
  <c r="BH117" i="5" s="1"/>
  <c r="BI117" i="5" s="1"/>
  <c r="BJ117" i="5" s="1"/>
  <c r="BK117" i="5" s="1"/>
  <c r="BL117" i="5" s="1"/>
  <c r="BM117" i="5" s="1"/>
  <c r="BN117" i="5" s="1"/>
  <c r="BO117" i="5" s="1"/>
  <c r="BP117" i="5" s="1"/>
  <c r="AW119" i="5"/>
  <c r="AX119" i="5" s="1"/>
  <c r="AY119" i="5" s="1"/>
  <c r="AZ119" i="5" s="1"/>
  <c r="BA119" i="5" s="1"/>
  <c r="BB119" i="5" s="1"/>
  <c r="BC119" i="5" s="1"/>
  <c r="BD119" i="5" s="1"/>
  <c r="BE119" i="5" s="1"/>
  <c r="BF119" i="5" s="1"/>
  <c r="BG119" i="5" s="1"/>
  <c r="BH119" i="5" s="1"/>
  <c r="BI119" i="5" s="1"/>
  <c r="BJ119" i="5" s="1"/>
  <c r="BK119" i="5" s="1"/>
  <c r="BL119" i="5" s="1"/>
  <c r="BM119" i="5" s="1"/>
  <c r="BN119" i="5" s="1"/>
  <c r="BO119" i="5" s="1"/>
  <c r="BP119" i="5" s="1"/>
  <c r="AW121" i="5"/>
  <c r="AX121" i="5" s="1"/>
  <c r="AY121" i="5" s="1"/>
  <c r="AZ121" i="5" s="1"/>
  <c r="BA121" i="5" s="1"/>
  <c r="BB121" i="5" s="1"/>
  <c r="BC121" i="5" s="1"/>
  <c r="BD121" i="5" s="1"/>
  <c r="BE121" i="5" s="1"/>
  <c r="BF121" i="5" s="1"/>
  <c r="BG121" i="5" s="1"/>
  <c r="BH121" i="5" s="1"/>
  <c r="BI121" i="5" s="1"/>
  <c r="BJ121" i="5" s="1"/>
  <c r="BK121" i="5" s="1"/>
  <c r="BL121" i="5" s="1"/>
  <c r="BM121" i="5" s="1"/>
  <c r="BN121" i="5" s="1"/>
  <c r="BO121" i="5" s="1"/>
  <c r="BP121" i="5" s="1"/>
  <c r="AW128" i="5"/>
  <c r="AX128" i="5" s="1"/>
  <c r="AY128" i="5" s="1"/>
  <c r="AZ128" i="5" s="1"/>
  <c r="BA128" i="5" s="1"/>
  <c r="BB128" i="5" s="1"/>
  <c r="BC128" i="5" s="1"/>
  <c r="BD128" i="5" s="1"/>
  <c r="BE128" i="5" s="1"/>
  <c r="BF128" i="5" s="1"/>
  <c r="BG128" i="5" s="1"/>
  <c r="BH128" i="5" s="1"/>
  <c r="BI128" i="5" s="1"/>
  <c r="BJ128" i="5" s="1"/>
  <c r="BK128" i="5" s="1"/>
  <c r="BL128" i="5" s="1"/>
  <c r="BM128" i="5" s="1"/>
  <c r="BN128" i="5" s="1"/>
  <c r="BO128" i="5" s="1"/>
  <c r="BP128" i="5" s="1"/>
  <c r="AW130" i="5"/>
  <c r="AX130" i="5" s="1"/>
  <c r="AY130" i="5" s="1"/>
  <c r="AZ130" i="5" s="1"/>
  <c r="BA130" i="5" s="1"/>
  <c r="BB130" i="5" s="1"/>
  <c r="BC130" i="5" s="1"/>
  <c r="BD130" i="5" s="1"/>
  <c r="BE130" i="5" s="1"/>
  <c r="BF130" i="5" s="1"/>
  <c r="BG130" i="5" s="1"/>
  <c r="BH130" i="5" s="1"/>
  <c r="BI130" i="5" s="1"/>
  <c r="BJ130" i="5" s="1"/>
  <c r="BK130" i="5" s="1"/>
  <c r="BL130" i="5" s="1"/>
  <c r="BM130" i="5" s="1"/>
  <c r="BN130" i="5" s="1"/>
  <c r="BO130" i="5" s="1"/>
  <c r="BP130" i="5" s="1"/>
  <c r="AW135" i="5"/>
  <c r="AX135" i="5" s="1"/>
  <c r="AY135" i="5" s="1"/>
  <c r="AZ135" i="5" s="1"/>
  <c r="BA135" i="5" s="1"/>
  <c r="BB135" i="5" s="1"/>
  <c r="BC135" i="5" s="1"/>
  <c r="BD135" i="5" s="1"/>
  <c r="BE135" i="5" s="1"/>
  <c r="BF135" i="5" s="1"/>
  <c r="BG135" i="5" s="1"/>
  <c r="BH135" i="5" s="1"/>
  <c r="BI135" i="5" s="1"/>
  <c r="BJ135" i="5" s="1"/>
  <c r="BK135" i="5" s="1"/>
  <c r="BL135" i="5" s="1"/>
  <c r="BM135" i="5" s="1"/>
  <c r="BN135" i="5" s="1"/>
  <c r="BO135" i="5" s="1"/>
  <c r="BP135" i="5" s="1"/>
  <c r="AW137" i="5"/>
  <c r="AX137" i="5" s="1"/>
  <c r="AY137" i="5" s="1"/>
  <c r="AZ137" i="5" s="1"/>
  <c r="BA137" i="5" s="1"/>
  <c r="BB137" i="5" s="1"/>
  <c r="BC137" i="5" s="1"/>
  <c r="BD137" i="5" s="1"/>
  <c r="BE137" i="5" s="1"/>
  <c r="BF137" i="5" s="1"/>
  <c r="BG137" i="5" s="1"/>
  <c r="BH137" i="5" s="1"/>
  <c r="BI137" i="5" s="1"/>
  <c r="BJ137" i="5" s="1"/>
  <c r="BK137" i="5" s="1"/>
  <c r="BL137" i="5" s="1"/>
  <c r="BM137" i="5" s="1"/>
  <c r="BN137" i="5" s="1"/>
  <c r="BO137" i="5" s="1"/>
  <c r="BP137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ucr</author>
  </authors>
  <commentList>
    <comment ref="F40" authorId="0" shapeId="0" xr:uid="{A738A78B-6B49-49CC-ACAC-9054EFCCB51A}">
      <text>
        <r>
          <rPr>
            <b/>
            <sz val="9"/>
            <color indexed="81"/>
            <rFont val="Tahoma"/>
            <family val="2"/>
          </rPr>
          <t>ucr:</t>
        </r>
        <r>
          <rPr>
            <sz val="9"/>
            <color indexed="81"/>
            <rFont val="Tahoma"/>
            <family val="2"/>
          </rPr>
          <t xml:space="preserve">
Mismo que SUVLPG</t>
        </r>
      </text>
    </comment>
    <comment ref="F54" authorId="0" shapeId="0" xr:uid="{72EEC474-0FDF-4C8F-BE13-6153DAE4DF46}">
      <text>
        <r>
          <rPr>
            <b/>
            <sz val="9"/>
            <color indexed="81"/>
            <rFont val="Tahoma"/>
            <family val="2"/>
          </rPr>
          <t>ucr:</t>
        </r>
        <r>
          <rPr>
            <sz val="9"/>
            <color indexed="81"/>
            <rFont val="Tahoma"/>
            <family val="2"/>
          </rPr>
          <t xml:space="preserve">
Mismo que sed gsl</t>
        </r>
      </text>
    </comment>
    <comment ref="F61" authorId="0" shapeId="0" xr:uid="{27E0DFE5-AD32-4BF6-A988-DEBF7C0EE54E}">
      <text>
        <r>
          <rPr>
            <b/>
            <sz val="9"/>
            <color indexed="81"/>
            <rFont val="Tahoma"/>
            <family val="2"/>
          </rPr>
          <t>ucr:</t>
        </r>
        <r>
          <rPr>
            <sz val="9"/>
            <color indexed="81"/>
            <rFont val="Tahoma"/>
            <family val="2"/>
          </rPr>
          <t xml:space="preserve">
Mismo que SUVLPG</t>
        </r>
      </text>
    </comment>
  </commentList>
</comments>
</file>

<file path=xl/sharedStrings.xml><?xml version="1.0" encoding="utf-8"?>
<sst xmlns="http://schemas.openxmlformats.org/spreadsheetml/2006/main" count="2789" uniqueCount="790">
  <si>
    <t>Tech</t>
  </si>
  <si>
    <t>Tech.Name</t>
  </si>
  <si>
    <t>Fuel</t>
  </si>
  <si>
    <t>Fuel.Name</t>
  </si>
  <si>
    <t>Direction</t>
  </si>
  <si>
    <t>Projection.Mode</t>
  </si>
  <si>
    <t>Projection.Parameter</t>
  </si>
  <si>
    <t>RSVCRU</t>
  </si>
  <si>
    <t>Reserves - Crude</t>
  </si>
  <si>
    <t>E0_CRU</t>
  </si>
  <si>
    <t>Crude_Oil</t>
  </si>
  <si>
    <t>Output</t>
  </si>
  <si>
    <t>Flat</t>
  </si>
  <si>
    <t>IMPPURDSL</t>
  </si>
  <si>
    <t xml:space="preserve"> Import/Distribution - Pure Diesel</t>
  </si>
  <si>
    <t>E1_PURDSL</t>
  </si>
  <si>
    <t>Pure_Diesel</t>
  </si>
  <si>
    <t>IMPPURGSL</t>
  </si>
  <si>
    <t xml:space="preserve"> Import/Distribution - Pure Gasoline</t>
  </si>
  <si>
    <t>E1_PURGSL</t>
  </si>
  <si>
    <t>Pure_Gasoline</t>
  </si>
  <si>
    <t>IMPCOA</t>
  </si>
  <si>
    <t xml:space="preserve"> Import/Distribution - Coal</t>
  </si>
  <si>
    <t>E0_COA</t>
  </si>
  <si>
    <t>Coal</t>
  </si>
  <si>
    <t>IMPLPG</t>
  </si>
  <si>
    <t xml:space="preserve"> Import/Distribution - LPG</t>
  </si>
  <si>
    <t>E1_LPG</t>
  </si>
  <si>
    <t xml:space="preserve"> LPG</t>
  </si>
  <si>
    <t>IMPFOI</t>
  </si>
  <si>
    <t xml:space="preserve"> Import/Distribution - Fuel_Oil</t>
  </si>
  <si>
    <t>E1_FOI</t>
  </si>
  <si>
    <t xml:space="preserve"> FOI</t>
  </si>
  <si>
    <t>IMPKJF</t>
  </si>
  <si>
    <t xml:space="preserve"> Import/Distribution - Kerosene and Jet Fuel</t>
  </si>
  <si>
    <t>E1_KJF</t>
  </si>
  <si>
    <t xml:space="preserve"> Kerosene and Jet Fuel</t>
  </si>
  <si>
    <t>IMPCRU</t>
  </si>
  <si>
    <t>Import - Crude</t>
  </si>
  <si>
    <t>E1_CRU</t>
  </si>
  <si>
    <t>IMPCOK</t>
  </si>
  <si>
    <t>Import - Petroleum Coke</t>
  </si>
  <si>
    <t>E1_COK</t>
  </si>
  <si>
    <t>Petroleum Coke</t>
  </si>
  <si>
    <t>PROWAS</t>
  </si>
  <si>
    <t>Production - Waste</t>
  </si>
  <si>
    <t>E0_WAS</t>
  </si>
  <si>
    <t>Waste</t>
  </si>
  <si>
    <t>PROFIR</t>
  </si>
  <si>
    <t>Production - Firewood</t>
  </si>
  <si>
    <t>E0_FIR</t>
  </si>
  <si>
    <t>Produced Firewood</t>
  </si>
  <si>
    <t>PRONGS</t>
  </si>
  <si>
    <t>Production - Natural_Gas</t>
  </si>
  <si>
    <t>E0_NGS</t>
  </si>
  <si>
    <t>Produced Natural_Gas</t>
  </si>
  <si>
    <t>IMPNGS</t>
  </si>
  <si>
    <t>Imports - Natural_Gas (LNG and Regasification)</t>
  </si>
  <si>
    <t>PROSUG</t>
  </si>
  <si>
    <t>Production - Sugarcane</t>
  </si>
  <si>
    <t>E0_SUG</t>
  </si>
  <si>
    <t>Produced Sugarcane</t>
  </si>
  <si>
    <t>PROACG</t>
  </si>
  <si>
    <t>Aceite de Piñón</t>
  </si>
  <si>
    <t>E0_ACP</t>
  </si>
  <si>
    <t>Aceite_Pinon</t>
  </si>
  <si>
    <t>PROBMS</t>
  </si>
  <si>
    <t>Production - Biomass</t>
  </si>
  <si>
    <t>E0_BMS</t>
  </si>
  <si>
    <t>Produced Biomass</t>
  </si>
  <si>
    <t>PROBGS</t>
  </si>
  <si>
    <t>Production - Biogas</t>
  </si>
  <si>
    <t>E0_BGS</t>
  </si>
  <si>
    <t>Produced Biogas</t>
  </si>
  <si>
    <t>IMPELE</t>
  </si>
  <si>
    <t xml:space="preserve"> Import - Electricity</t>
  </si>
  <si>
    <t>E1_ELE</t>
  </si>
  <si>
    <t>Electricity</t>
  </si>
  <si>
    <t>PP_GEO</t>
  </si>
  <si>
    <t>Primary - Transformation - Geothermal</t>
  </si>
  <si>
    <t>PP_HYDPACDAMSMA</t>
  </si>
  <si>
    <t>Primary - Transformation - Hydroelectric Pacific dam (small)</t>
  </si>
  <si>
    <t>PP_HYDPACDAMMED</t>
  </si>
  <si>
    <t>Primary - Transformation - Hydroelectric Pacific dam (medium)</t>
  </si>
  <si>
    <t>PP_HYDPACDAMLAR</t>
  </si>
  <si>
    <t>Primary - Transformation - Hydroelectric Pacific dam (large)</t>
  </si>
  <si>
    <t>PP_HYDAMADAMSMA</t>
  </si>
  <si>
    <t>Primary - Transformation - Hydroelectric Amazonas dam (small)</t>
  </si>
  <si>
    <t>PP_HYDAMADAMMED</t>
  </si>
  <si>
    <t>Primary - Transformation - Hydroelectric Amazonas dam (medium)</t>
  </si>
  <si>
    <t>PP_HYDAMADAMLAR</t>
  </si>
  <si>
    <t>Primary - Transformation - Hydroelectric Amazonas dam (large)</t>
  </si>
  <si>
    <t>PP_HYDPACRORSMA</t>
  </si>
  <si>
    <t>Primary - Transformation - Hydroelectric Pacific Run-of-the-river  (small)</t>
  </si>
  <si>
    <t>PP_HYDPACRORMED</t>
  </si>
  <si>
    <t>Primary - Transformation - Hydroelectric Pacific Run-of-the-river  (medium)</t>
  </si>
  <si>
    <t>PP_HYDPACRORLAR</t>
  </si>
  <si>
    <t>Primary - Transformation - Hydroelectric  Pacific Run-of-the-river  (large)</t>
  </si>
  <si>
    <t>PP_HYDAMARORSMA</t>
  </si>
  <si>
    <t>Primary - Transformation - Hydroelectric Amazonas Run-of-the-river  (small)</t>
  </si>
  <si>
    <t>PP_HYDAMARORMED</t>
  </si>
  <si>
    <t>Primary - Transformation - Hydroelectric  Amazonas Run-of-the-river (medium)</t>
  </si>
  <si>
    <t>PP_HYDAMARORLAR</t>
  </si>
  <si>
    <t>Primary - Transformation - Hydroelectric Amazonas Run-of-the-river  (large)</t>
  </si>
  <si>
    <t>PP_SPV_US</t>
  </si>
  <si>
    <t>Primary - Transformation - Photovoltaic</t>
  </si>
  <si>
    <t>PP_WND_US</t>
  </si>
  <si>
    <t>Primary - Transformation - Wind</t>
  </si>
  <si>
    <t>PP_WND_OF</t>
  </si>
  <si>
    <t xml:space="preserve">Primary - Transformation - Offshore wind </t>
  </si>
  <si>
    <t>PP_SPV_DG</t>
  </si>
  <si>
    <t>Primary - Transformation - Solar distributed</t>
  </si>
  <si>
    <t>E3_ELE</t>
  </si>
  <si>
    <t>PP_SPV_US_H2</t>
  </si>
  <si>
    <t>Primary - Transformation - Photovoltaic for H2</t>
  </si>
  <si>
    <t>E4_ELE</t>
  </si>
  <si>
    <t>PP_WND_US_H2</t>
  </si>
  <si>
    <t>Primary - Transformation - Wind for H2</t>
  </si>
  <si>
    <t>PP_WND_OF_H2</t>
  </si>
  <si>
    <t>Primary - Transformation - Offshore wind for H2</t>
  </si>
  <si>
    <t>PPIHYDAMAELR</t>
  </si>
  <si>
    <t xml:space="preserve">Primary - Transformation - Rural Electrification -  Hydroelectric Amazonas </t>
  </si>
  <si>
    <t>PPIHYDPACELR</t>
  </si>
  <si>
    <t xml:space="preserve">Primary - Transformation - Rural Electrification -  Hydroelectric Pacific </t>
  </si>
  <si>
    <t>PPISPVELR</t>
  </si>
  <si>
    <t>Primary - Transformation - Rural Electrification -  Solar PV</t>
  </si>
  <si>
    <t>PPIWNDGAL</t>
  </si>
  <si>
    <t>Primary - Transformation - Galapagos - Wind</t>
  </si>
  <si>
    <t>PPISPVGAL</t>
  </si>
  <si>
    <t>Primary - Transformation - Galapagos - Solar PV</t>
  </si>
  <si>
    <t>PPIHYDAMACEM</t>
  </si>
  <si>
    <t xml:space="preserve">Primary - Transformation - Cementeras -  Hydroelectric Amazonas </t>
  </si>
  <si>
    <t>PPIHYDPACCEM</t>
  </si>
  <si>
    <t xml:space="preserve">Primary - Transformation - Cementeras -  Hydroelectric Pacific </t>
  </si>
  <si>
    <t>Comments</t>
  </si>
  <si>
    <t>Source</t>
  </si>
  <si>
    <t>PROCRU</t>
  </si>
  <si>
    <t>Production - Crude</t>
  </si>
  <si>
    <t>Crude_reserves</t>
  </si>
  <si>
    <t>Input</t>
  </si>
  <si>
    <t>User defined</t>
  </si>
  <si>
    <t>ELE_TRANS</t>
  </si>
  <si>
    <t>Secondary - Power Transmission</t>
  </si>
  <si>
    <t>Secondary - Electricity from Generation</t>
  </si>
  <si>
    <t>E2_ELE</t>
  </si>
  <si>
    <t>Secondary - Electricity from Transmission</t>
  </si>
  <si>
    <t>ELE_DISTR</t>
  </si>
  <si>
    <t>Secondary - Power Distribution</t>
  </si>
  <si>
    <t>Secondary - Electricity from Distribution</t>
  </si>
  <si>
    <t>REFCRUDSL</t>
  </si>
  <si>
    <t>Refinery diesel</t>
  </si>
  <si>
    <t>REFCRUGSL</t>
  </si>
  <si>
    <t>Refinery gasoline</t>
  </si>
  <si>
    <t>REFCRULPG</t>
  </si>
  <si>
    <t>Refinery LPG</t>
  </si>
  <si>
    <t>REFCRUFOI</t>
  </si>
  <si>
    <t>Refinery Fuel_Oil</t>
  </si>
  <si>
    <t>Fuel_Oil</t>
  </si>
  <si>
    <t>REFCRUKJF</t>
  </si>
  <si>
    <t>Refinery KJF</t>
  </si>
  <si>
    <t xml:space="preserve"> Kerosene</t>
  </si>
  <si>
    <t>REFCRUCOK</t>
  </si>
  <si>
    <t>Refinery coke</t>
  </si>
  <si>
    <t>Coke</t>
  </si>
  <si>
    <t>REFNONENE</t>
  </si>
  <si>
    <t>Refinery Non energy</t>
  </si>
  <si>
    <t>E1_NOE</t>
  </si>
  <si>
    <t>Non_energy</t>
  </si>
  <si>
    <t>REFCRURED</t>
  </si>
  <si>
    <t>Refinery reduced oil</t>
  </si>
  <si>
    <t>E1_REDCRU</t>
  </si>
  <si>
    <t>Reduced oil</t>
  </si>
  <si>
    <t>Natural_Gas</t>
  </si>
  <si>
    <t>E1_GAS</t>
  </si>
  <si>
    <t>NGS_DISTR</t>
  </si>
  <si>
    <t>Distribution of Natural_Gas</t>
  </si>
  <si>
    <t>No information</t>
  </si>
  <si>
    <t>E1_NGS</t>
  </si>
  <si>
    <t>PP_BGSICE</t>
  </si>
  <si>
    <t>Power Plant Biogas - Internal Combustion Engine</t>
  </si>
  <si>
    <t>Biogas</t>
  </si>
  <si>
    <t>Starter Kits</t>
  </si>
  <si>
    <t>PP_CHP</t>
  </si>
  <si>
    <t>Power Plant Sugarcane_Cogeneration</t>
  </si>
  <si>
    <t>Sugarcane</t>
  </si>
  <si>
    <t>E1_HEC</t>
  </si>
  <si>
    <t>Heat_from_cogeneration</t>
  </si>
  <si>
    <t>PP_SUG</t>
  </si>
  <si>
    <t>Power Plant Sugarcane</t>
  </si>
  <si>
    <t>PP_BMSTST</t>
  </si>
  <si>
    <t>Power Plant Biomass - Steam Trubine</t>
  </si>
  <si>
    <t>Biomass</t>
  </si>
  <si>
    <t>PP_COA</t>
  </si>
  <si>
    <t>Power Plant Coal</t>
  </si>
  <si>
    <t>PP_FOIICE</t>
  </si>
  <si>
    <t>Power Plant Fuel_Oil - Internal Combustion Engine</t>
  </si>
  <si>
    <t>PP_FOITST</t>
  </si>
  <si>
    <t>Power Plant Fuel_Oil - Steam Trubine</t>
  </si>
  <si>
    <t>PP_DSLICE</t>
  </si>
  <si>
    <t>Power Plant Diesel - Internal Combustion Engine</t>
  </si>
  <si>
    <t>PP_DSLTGS</t>
  </si>
  <si>
    <t>Power Plant Diesel - Gas turbine</t>
  </si>
  <si>
    <t>PP_NGSTGS</t>
  </si>
  <si>
    <t>Power Plant Natural_Gas - Gas turbine</t>
  </si>
  <si>
    <t>PP_CRU</t>
  </si>
  <si>
    <t>Power Plant Crude</t>
  </si>
  <si>
    <t>PP_WASICE</t>
  </si>
  <si>
    <t>Power Plant Waste - Internal Combustion Engine</t>
  </si>
  <si>
    <t>PPIDSLGALICE</t>
  </si>
  <si>
    <t>Isolated - Galapagos - Power Plant Diesel - Internal Combustion Engine</t>
  </si>
  <si>
    <t>PPIDSLELRICE</t>
  </si>
  <si>
    <t>Isolated - Rural Electrification - Power Plant Diesel - Internal Combustion Engine</t>
  </si>
  <si>
    <t>PPIDSLELRTST</t>
  </si>
  <si>
    <t>Isolated - Rural Electrification - Power Plant Diesel - Steam Trubine</t>
  </si>
  <si>
    <t>PPIDSLCEMTST</t>
  </si>
  <si>
    <t>Isolated - Cementeras - Power Plant Diesel - Steam Trubine</t>
  </si>
  <si>
    <t>PPICRUPETICE</t>
  </si>
  <si>
    <t>Isolated - Petroleras - Power Plant Crude - Internal Combustion Engine</t>
  </si>
  <si>
    <t>PPICRUPETTST</t>
  </si>
  <si>
    <t>Isolated - Petroleras - Power Plant Crude - Steam Turbine</t>
  </si>
  <si>
    <t>PPIDSLPETTGS</t>
  </si>
  <si>
    <t>Isolated - Petroleras - Power Plant Diesel - Gas turbine</t>
  </si>
  <si>
    <t>PPIDSLPETICE</t>
  </si>
  <si>
    <t>Isolated - Petroleras - Power Plant Diesel - Internal Combustion Engine</t>
  </si>
  <si>
    <t>PPINGSPETTST</t>
  </si>
  <si>
    <t>Isolated - Petroleras - Power Plant Natural_Gas - Steam Turbine</t>
  </si>
  <si>
    <t>PPINGSPETICE</t>
  </si>
  <si>
    <t>Isolated - Petroleras - Power Plant Natural_Gas - Internal Combustion Engine</t>
  </si>
  <si>
    <t>PPINGSPETTGS</t>
  </si>
  <si>
    <t>Isolated - Petroleras - Power Plant Natural_Gas - Gas turbine</t>
  </si>
  <si>
    <t>PROBIODSL</t>
  </si>
  <si>
    <t>Produce biodiesel</t>
  </si>
  <si>
    <t>E1_BIODSL</t>
  </si>
  <si>
    <t>Biodiesel</t>
  </si>
  <si>
    <t>BLEND_DSL</t>
  </si>
  <si>
    <t>Blend diesel</t>
  </si>
  <si>
    <t>E1_DSL</t>
  </si>
  <si>
    <t>Diesel</t>
  </si>
  <si>
    <t>PROETA</t>
  </si>
  <si>
    <t>Produce etanol</t>
  </si>
  <si>
    <t>E1_ETA</t>
  </si>
  <si>
    <t>Etanol</t>
  </si>
  <si>
    <t>BLEND_GSL</t>
  </si>
  <si>
    <t>Blend gasoline</t>
  </si>
  <si>
    <t>E1_GSL</t>
  </si>
  <si>
    <t>Gasoline</t>
  </si>
  <si>
    <t>HYDPROELEISO</t>
  </si>
  <si>
    <t>Secondary - Green Hydrogen Production - Electrolysis-Isolated Systems</t>
  </si>
  <si>
    <t>Secondary - Electricity for H2</t>
  </si>
  <si>
    <t>E2_HYD</t>
  </si>
  <si>
    <t>Secondary - Produced Green Hydrogen</t>
  </si>
  <si>
    <t>HYDPROELEGRI</t>
  </si>
  <si>
    <t>Secondary - Green Hydrogen Production - Electrolysis-Grid</t>
  </si>
  <si>
    <t>Secondary - Electricity from Grid for H2</t>
  </si>
  <si>
    <t>HYDPROBIO</t>
  </si>
  <si>
    <t>Secondary - Green Hydrogen Production - Biomass</t>
  </si>
  <si>
    <t>Secondary - Biomass for H2</t>
  </si>
  <si>
    <t>HYDPRONGS</t>
  </si>
  <si>
    <t>Secondary - Green Hydrogen Production - Natural_Gas Reforming</t>
  </si>
  <si>
    <t>HYD_DISTR</t>
  </si>
  <si>
    <t>Secondary  - Distribution of Hydrogen</t>
  </si>
  <si>
    <t>E3_HYD</t>
  </si>
  <si>
    <t>Secondary - Transported Hydrogen</t>
  </si>
  <si>
    <t>T5ELEAGR</t>
  </si>
  <si>
    <t>Demand Electricity for Agriculture</t>
  </si>
  <si>
    <t>E5_AGRELE</t>
  </si>
  <si>
    <t>Demand Agriculture Electricity</t>
  </si>
  <si>
    <t>T5PURGSLAGR</t>
  </si>
  <si>
    <t>Demand Pure_Gasoline for Agriculture</t>
  </si>
  <si>
    <t>E5_AGRPURGSL</t>
  </si>
  <si>
    <t>Demand Agriculture Pure_Gasoline</t>
  </si>
  <si>
    <t>T5LPGAGR</t>
  </si>
  <si>
    <t>Demand LPG for Agriculture</t>
  </si>
  <si>
    <t>E5_AGRLPG</t>
  </si>
  <si>
    <t>Demand Agriculture LPG</t>
  </si>
  <si>
    <t>T5NOEAGR</t>
  </si>
  <si>
    <t>Demand Non energy for Agriculture</t>
  </si>
  <si>
    <t>E5_AGRNOE</t>
  </si>
  <si>
    <t>Demand Agriculture Non energy</t>
  </si>
  <si>
    <t>T5ELECON</t>
  </si>
  <si>
    <t>Demand Pure_Gasoline for Construction</t>
  </si>
  <si>
    <t>E5_CONELE</t>
  </si>
  <si>
    <t>Demand Construction Electricity</t>
  </si>
  <si>
    <t>T5PURDSLCON</t>
  </si>
  <si>
    <t>Demand Pure_Diesel for Construction</t>
  </si>
  <si>
    <t>E5_CONPURDSL</t>
  </si>
  <si>
    <t>Demand Construction Pure_Diesel</t>
  </si>
  <si>
    <t>T5PURGSLCON</t>
  </si>
  <si>
    <t>E5_CONPURGSL</t>
  </si>
  <si>
    <t>Demand Construction Pure_Gasoline</t>
  </si>
  <si>
    <t>T5KJFCON</t>
  </si>
  <si>
    <t>Demand Kerosene and Jet Fuel for Construction</t>
  </si>
  <si>
    <t>E5_CONKJF</t>
  </si>
  <si>
    <t>Demand Construction Kerosene and Jet Fuel</t>
  </si>
  <si>
    <t>T5LPGCON</t>
  </si>
  <si>
    <t>Demand LPG for Construction</t>
  </si>
  <si>
    <t>E5_CONLPG</t>
  </si>
  <si>
    <t>Demand Construction LPG</t>
  </si>
  <si>
    <t>T5NOECON</t>
  </si>
  <si>
    <t>Demand Non energy for Construction</t>
  </si>
  <si>
    <t>E5_CONNOE</t>
  </si>
  <si>
    <t>Demand Construction Non energy</t>
  </si>
  <si>
    <t>T5PURDSLCOM</t>
  </si>
  <si>
    <t>Demand Pure_Diesel for Commercial</t>
  </si>
  <si>
    <t>E5_COMPURDSL</t>
  </si>
  <si>
    <t>Demand Commercial Pure_Diesel</t>
  </si>
  <si>
    <t>T5ELECOM</t>
  </si>
  <si>
    <t>Demand Electricity for Commercial</t>
  </si>
  <si>
    <t>E5_COMELE</t>
  </si>
  <si>
    <t>Demand Commercial Electricity</t>
  </si>
  <si>
    <t>T5FOICOM</t>
  </si>
  <si>
    <t>Demand Fuel Oil for Commercial</t>
  </si>
  <si>
    <t>E5_COMFOI</t>
  </si>
  <si>
    <t>Demand Commercial Fuel Oil</t>
  </si>
  <si>
    <t>T5PURGSLCOM</t>
  </si>
  <si>
    <t>Demand Pure_Gasoline for Commercial</t>
  </si>
  <si>
    <t>E5_COMPURGSL</t>
  </si>
  <si>
    <t>Demand Commercial Pure_Gasoline</t>
  </si>
  <si>
    <t>T5LPGCOM</t>
  </si>
  <si>
    <t>Demand LPG for Commercial</t>
  </si>
  <si>
    <t>E5_COMLPG</t>
  </si>
  <si>
    <t>Demand Commercial LPG</t>
  </si>
  <si>
    <t>T5PURDSLIND</t>
  </si>
  <si>
    <t>Demand Pure_Diesel for Industrial</t>
  </si>
  <si>
    <t>E5_INDPURDSL</t>
  </si>
  <si>
    <t>Demand Industrial Pure_Diesel</t>
  </si>
  <si>
    <t>T5ELEIND</t>
  </si>
  <si>
    <t>Demand Electricity for Industrial</t>
  </si>
  <si>
    <t>E5_INDELE</t>
  </si>
  <si>
    <t>Demand Industrial Electricity</t>
  </si>
  <si>
    <t>T5FIRIND</t>
  </si>
  <si>
    <t>Demand Firewood for Industrial</t>
  </si>
  <si>
    <t>E5_INDFIR</t>
  </si>
  <si>
    <t>Demand Industrial Firewood</t>
  </si>
  <si>
    <t>T5FOIIND</t>
  </si>
  <si>
    <t>Demand Fuel Oil for Industrial</t>
  </si>
  <si>
    <t>E5_INDFOI</t>
  </si>
  <si>
    <t>Demand Industrial Fuel Oil</t>
  </si>
  <si>
    <t>T5PURGSLIND</t>
  </si>
  <si>
    <t>Demand Pure_Gasoline for Industrial</t>
  </si>
  <si>
    <t>E5_INDPURGSL</t>
  </si>
  <si>
    <t>Demand Industrial Pure_Gasoline</t>
  </si>
  <si>
    <t>T5HYDIND</t>
  </si>
  <si>
    <t>Demand Hydrogen for Industrial</t>
  </si>
  <si>
    <t>E5_INDHYD</t>
  </si>
  <si>
    <t>Demand Industrial Hydrogen</t>
  </si>
  <si>
    <t>T5COKIND</t>
  </si>
  <si>
    <t>Demand Petroleum Coke for Industrial</t>
  </si>
  <si>
    <t>E5_INDCOK</t>
  </si>
  <si>
    <t>Demand Industrial Petroleum Coke</t>
  </si>
  <si>
    <t>T5LPGIND</t>
  </si>
  <si>
    <t>Demand LPG for Industrial</t>
  </si>
  <si>
    <t>E5_INDLPG</t>
  </si>
  <si>
    <t>Demand Industrial LPG</t>
  </si>
  <si>
    <t>T5NGSIND</t>
  </si>
  <si>
    <t>Demand Natural Gas for Industrial</t>
  </si>
  <si>
    <t>E5_INDNGS</t>
  </si>
  <si>
    <t>Demand Industrial Natural Gas</t>
  </si>
  <si>
    <t>T5SUGIND</t>
  </si>
  <si>
    <t>Demand Sugarcane and subproducts for Industrial</t>
  </si>
  <si>
    <t>E5_INDSUG</t>
  </si>
  <si>
    <t>Demand Industrial Sugarcane and subproducts</t>
  </si>
  <si>
    <t>T5HECIND</t>
  </si>
  <si>
    <t>Demand Heat from cogeneration for Industrial</t>
  </si>
  <si>
    <t>E5_INDHEC</t>
  </si>
  <si>
    <t>Demand Industrial Heat from cogeneration</t>
  </si>
  <si>
    <t>T5ELERES</t>
  </si>
  <si>
    <t>Demand Electricity for Residential</t>
  </si>
  <si>
    <t>E5_RESELE</t>
  </si>
  <si>
    <t>Demand Residential Electricity</t>
  </si>
  <si>
    <t>T5FIRRES</t>
  </si>
  <si>
    <t>Demand Firewood for Residential</t>
  </si>
  <si>
    <t>E5_RESFIR</t>
  </si>
  <si>
    <t>Demand Residential Firewood</t>
  </si>
  <si>
    <t>T5LPGRES</t>
  </si>
  <si>
    <t>Demand LPG for Residential</t>
  </si>
  <si>
    <t>E5_RESLPG</t>
  </si>
  <si>
    <t>Demand Residential LPG</t>
  </si>
  <si>
    <t>T5NGSRES</t>
  </si>
  <si>
    <t>Demand Natural Gas for Residential</t>
  </si>
  <si>
    <t>E5_RESNGS</t>
  </si>
  <si>
    <t>Demand Residential Natural Gas</t>
  </si>
  <si>
    <t>T5CRUEXP</t>
  </si>
  <si>
    <t>Demand Crude Oil for Exports</t>
  </si>
  <si>
    <t>E5_EXPCRU</t>
  </si>
  <si>
    <t>Demand Exports Crude Oil</t>
  </si>
  <si>
    <t>T5REDCRUEXP</t>
  </si>
  <si>
    <t>Demand Reduced Crude for Exports</t>
  </si>
  <si>
    <t>E5_EXPREDCRU</t>
  </si>
  <si>
    <t>Demand Exports Reduced Crude</t>
  </si>
  <si>
    <t>T5PURDSLEXP</t>
  </si>
  <si>
    <t>Demand Pure_Diesel for Exports</t>
  </si>
  <si>
    <t>E5_EXPPURDSL</t>
  </si>
  <si>
    <t>Demand Exports Pure_Diesel</t>
  </si>
  <si>
    <t>T5ELEEXP</t>
  </si>
  <si>
    <t>Demand Electricity for Exports</t>
  </si>
  <si>
    <t>E5_EXPELE</t>
  </si>
  <si>
    <t>Demand Exports Electricity</t>
  </si>
  <si>
    <t>T5FOIEXP</t>
  </si>
  <si>
    <t>Demand Fuel Oil for Exports</t>
  </si>
  <si>
    <t>E5_EXPFOI</t>
  </si>
  <si>
    <t>Demand Exports Fuel Oil</t>
  </si>
  <si>
    <t>T5PURGSLEXP</t>
  </si>
  <si>
    <t>Demand Pure_Gasoline for Exports</t>
  </si>
  <si>
    <t>E5_EXPPURGSL</t>
  </si>
  <si>
    <t>Demand Exports Pure_Gasoline</t>
  </si>
  <si>
    <t>T5LPGEXP</t>
  </si>
  <si>
    <t>Demand LPG for Exports</t>
  </si>
  <si>
    <t>E5_EXPLPG</t>
  </si>
  <si>
    <t>Demand Exports LPG</t>
  </si>
  <si>
    <t>T5BMSEXP</t>
  </si>
  <si>
    <t>Demand Biomass for power for Exports</t>
  </si>
  <si>
    <t>E5_EXPBMS</t>
  </si>
  <si>
    <t>Demand Exports Biomass for power</t>
  </si>
  <si>
    <t>T5PURGSLAERTRN</t>
  </si>
  <si>
    <t>Demand Pure_Gasoline for Air Transport</t>
  </si>
  <si>
    <t>E5_AERTRNPURGSL</t>
  </si>
  <si>
    <t>Demand Air Transport Pure_Gasoline</t>
  </si>
  <si>
    <t>T5KJFAERTRN</t>
  </si>
  <si>
    <t>Demand Kerosene and Jet Fuel for Air Transport</t>
  </si>
  <si>
    <t>E5_AERTRNKJF</t>
  </si>
  <si>
    <t>Demand Air Transport Kerosene and Jet Fuel</t>
  </si>
  <si>
    <t>T5PURDSLSHITRN</t>
  </si>
  <si>
    <t>Demand Pure_Diesel for Shipping</t>
  </si>
  <si>
    <t>E5_SHITRNPURDSL</t>
  </si>
  <si>
    <t>Demand Shipping Pure_Diesel</t>
  </si>
  <si>
    <t>T5FOISHITRN</t>
  </si>
  <si>
    <t>Demand Fuel Oil for Shipping</t>
  </si>
  <si>
    <t>E5_SHITRNFOI</t>
  </si>
  <si>
    <t>Demand Shipping Fuel Oil</t>
  </si>
  <si>
    <t>T5PURGSLSHITRN</t>
  </si>
  <si>
    <t>Demand Pure_Gasoline for Shipping</t>
  </si>
  <si>
    <t>E5_SHITRNPURGSL</t>
  </si>
  <si>
    <t>Demand Shipping Pure_Gasoline</t>
  </si>
  <si>
    <t>T4_DSLPUB</t>
  </si>
  <si>
    <t>Distribute Diesel for Public</t>
  </si>
  <si>
    <t>E4_DSLPUB</t>
  </si>
  <si>
    <t>Distributed Diesel for Public</t>
  </si>
  <si>
    <t>T4_NGSPUB</t>
  </si>
  <si>
    <t>Distribute Natural Gas for Public</t>
  </si>
  <si>
    <t>E4_NGSPUB</t>
  </si>
  <si>
    <t>Distributed Natural Gas for Public</t>
  </si>
  <si>
    <t>T4_HYDPUB</t>
  </si>
  <si>
    <t>Distribute Hydrogen for Public</t>
  </si>
  <si>
    <t>E4_HYDPUB</t>
  </si>
  <si>
    <t>Distributed Hydrogen for Public</t>
  </si>
  <si>
    <t>T4_ELEPUB</t>
  </si>
  <si>
    <t>Distribute Electricity for Public</t>
  </si>
  <si>
    <t>E4_ELEPUB</t>
  </si>
  <si>
    <t>Distributed Electricity for Public</t>
  </si>
  <si>
    <t>T4_LPGPUB</t>
  </si>
  <si>
    <t>Distribute LPG for Public</t>
  </si>
  <si>
    <t>E4_LPGPUB</t>
  </si>
  <si>
    <t>Distributed LPG for Public</t>
  </si>
  <si>
    <t>T4_GSLPUB</t>
  </si>
  <si>
    <t>Distribute Gasoline for Public</t>
  </si>
  <si>
    <t>E4_GSLPUB</t>
  </si>
  <si>
    <t>Distributed Gasoline for Public</t>
  </si>
  <si>
    <t>T4_ELEPRI</t>
  </si>
  <si>
    <t>Distribute Electricity for Private</t>
  </si>
  <si>
    <t>E4_ELEPRI</t>
  </si>
  <si>
    <t>Distributed Electricity for Private</t>
  </si>
  <si>
    <t>T4_GSLPRI</t>
  </si>
  <si>
    <t>Distribute Gasoline for Private</t>
  </si>
  <si>
    <t>E4_GSLPRI</t>
  </si>
  <si>
    <t>Distributed Gasoline for Private</t>
  </si>
  <si>
    <t>T4_DSLPRI</t>
  </si>
  <si>
    <t>Distribute Diesel for Private</t>
  </si>
  <si>
    <t>E4_DSLPRI</t>
  </si>
  <si>
    <t>Distributed Diesel for Private</t>
  </si>
  <si>
    <t>T4_NGSPRI</t>
  </si>
  <si>
    <t>Distribute Natural Gas for Private</t>
  </si>
  <si>
    <t>E4_NGSPRI</t>
  </si>
  <si>
    <t>Distributed Natural Gas for Private</t>
  </si>
  <si>
    <t>T4_LPGPRI</t>
  </si>
  <si>
    <t>Distribute LPG for Private</t>
  </si>
  <si>
    <t>E4_LPGPRI</t>
  </si>
  <si>
    <t>Distributed LPG for Private</t>
  </si>
  <si>
    <t>T4_DSLHEA</t>
  </si>
  <si>
    <t>Distribute Diesel for Heavy Freight</t>
  </si>
  <si>
    <t>E4_DSLHEA</t>
  </si>
  <si>
    <t>Distributed Diesel for Heavy Freight</t>
  </si>
  <si>
    <t>T4_HYDHEA</t>
  </si>
  <si>
    <t>Distribute Hydrogen for Heavy Freight</t>
  </si>
  <si>
    <t>E4_HYDHEA</t>
  </si>
  <si>
    <t>Distributed Hydrogen for Heavy Freight</t>
  </si>
  <si>
    <t>T4_ELEHEA</t>
  </si>
  <si>
    <t>Distribute Electricity for Heavy Freight</t>
  </si>
  <si>
    <t>E4_ELEHEA</t>
  </si>
  <si>
    <t>Distributed Electricity for Heavy Freight</t>
  </si>
  <si>
    <t>T4_GSLHEA</t>
  </si>
  <si>
    <t>Distribute Gasoline for Heavy Freight</t>
  </si>
  <si>
    <t>E4_GSLHEA</t>
  </si>
  <si>
    <t>Distributed Gasoline for Heavy Freight</t>
  </si>
  <si>
    <t>T4_LPGHEA</t>
  </si>
  <si>
    <t>Distribute LPG for Heavy Freight</t>
  </si>
  <si>
    <t>E4_LPGHEA</t>
  </si>
  <si>
    <t>Distributed LPG for Heavy Freight</t>
  </si>
  <si>
    <t>T4_DSLMED</t>
  </si>
  <si>
    <t>Distribute Diesel for Medium Freight</t>
  </si>
  <si>
    <t>E4_DSLMED</t>
  </si>
  <si>
    <t>Distributed Diesel for Medium Freight</t>
  </si>
  <si>
    <t>T4_NGSMED</t>
  </si>
  <si>
    <t>Distribute Natural Gas for Medium Freight</t>
  </si>
  <si>
    <t>E4_NGSMED</t>
  </si>
  <si>
    <t>Distributed Natural Gas for Medium Freight</t>
  </si>
  <si>
    <t>T4_HYDMED</t>
  </si>
  <si>
    <t>Distribute Hydrogen for Medium Freight</t>
  </si>
  <si>
    <t>E4_HYDMED</t>
  </si>
  <si>
    <t>Distributed Hydrogen for Medium Freight</t>
  </si>
  <si>
    <t>T4_ELEMED</t>
  </si>
  <si>
    <t>Distribute Electricity for Medium Freight</t>
  </si>
  <si>
    <t>E4_ELEMED</t>
  </si>
  <si>
    <t>Distributed Electricity for Medium Freight</t>
  </si>
  <si>
    <t>T4_GSLMED</t>
  </si>
  <si>
    <t>Distribute Gasoline for Medium Freight</t>
  </si>
  <si>
    <t>E4_GSLMED</t>
  </si>
  <si>
    <t>Distributed Gasoline for Medium Freight</t>
  </si>
  <si>
    <t>T4_LPGMED</t>
  </si>
  <si>
    <t>Distribute LPG for Medium Freight</t>
  </si>
  <si>
    <t>E4_LPGMED</t>
  </si>
  <si>
    <t>Distributed LPG for Medium Freight</t>
  </si>
  <si>
    <t>T4_DSLLIG</t>
  </si>
  <si>
    <t>Distribute Diesel for Light Freight</t>
  </si>
  <si>
    <t>E4_DSLLIG</t>
  </si>
  <si>
    <t>Distributed Diesel for Light Freight</t>
  </si>
  <si>
    <t>T4_NGSLIG</t>
  </si>
  <si>
    <t>Distribute Natural Gas for Light Freight</t>
  </si>
  <si>
    <t>E4_NGSLIG</t>
  </si>
  <si>
    <t>Distributed Natural Gas for Light Freight</t>
  </si>
  <si>
    <t>T4_ELELIG</t>
  </si>
  <si>
    <t>Distribute Electricity for Light Freight</t>
  </si>
  <si>
    <t>E4_ELELIG</t>
  </si>
  <si>
    <t>Distributed Electricity for Light Freight</t>
  </si>
  <si>
    <t>T4_GSLLIG</t>
  </si>
  <si>
    <t>Distribute Gasoline for Light Freight</t>
  </si>
  <si>
    <t>E4_GSLLIG</t>
  </si>
  <si>
    <t>Distributed Gasoline for Light Freight</t>
  </si>
  <si>
    <t>T4_LPGLIG</t>
  </si>
  <si>
    <t>Distribute LPG for Light Freight</t>
  </si>
  <si>
    <t>E4_LPGLIG</t>
  </si>
  <si>
    <t>Distributed LPG for Light Freight</t>
  </si>
  <si>
    <t>TRNMICHYBDSL</t>
  </si>
  <si>
    <t>Microbuses Hybrid Diesel</t>
  </si>
  <si>
    <t>E5_TRNMIC</t>
  </si>
  <si>
    <t>TRNMICHYD</t>
  </si>
  <si>
    <t>Microbuses Hydrogen</t>
  </si>
  <si>
    <t>TRNMICELE</t>
  </si>
  <si>
    <t>Microbuses Electric</t>
  </si>
  <si>
    <t>TRNMICDSL</t>
  </si>
  <si>
    <t>Microbuses Diesel</t>
  </si>
  <si>
    <t>TRNMICLPG</t>
  </si>
  <si>
    <t>Microbuses LPG</t>
  </si>
  <si>
    <t>TRNBUSHYBDSL</t>
  </si>
  <si>
    <t>Buses Hybrid Diesel</t>
  </si>
  <si>
    <t>E5_TRNBUS</t>
  </si>
  <si>
    <t>TRNBUSNGV</t>
  </si>
  <si>
    <t>Buses Natural Gas Vehicular</t>
  </si>
  <si>
    <t>TRNBUSHYD</t>
  </si>
  <si>
    <t>Buses Hydrogen</t>
  </si>
  <si>
    <t>TRNBUSELE</t>
  </si>
  <si>
    <t>Buses Electric</t>
  </si>
  <si>
    <t>TRNBUSDSL</t>
  </si>
  <si>
    <t>Buses Diesel</t>
  </si>
  <si>
    <t>TRNBUSLPG</t>
  </si>
  <si>
    <t>Buses LPG</t>
  </si>
  <si>
    <t>TRNTAXHYBDSL</t>
  </si>
  <si>
    <t>Taxis Hybrid Diesel</t>
  </si>
  <si>
    <t>E5_TRNTAX</t>
  </si>
  <si>
    <t>TRNTAXELE</t>
  </si>
  <si>
    <t>Taxis Electric</t>
  </si>
  <si>
    <t>TRNTAXDSL</t>
  </si>
  <si>
    <t>Taxis Diesel</t>
  </si>
  <si>
    <t>TRNTAXHYBGSL</t>
  </si>
  <si>
    <t>Taxis Hybrid Gasoline</t>
  </si>
  <si>
    <t>TRNTAXGSL</t>
  </si>
  <si>
    <t>Taxis Gasoline</t>
  </si>
  <si>
    <t>TRNTAXLPG</t>
  </si>
  <si>
    <t>Taxis LPG</t>
  </si>
  <si>
    <t>TRNPASRAIHYD</t>
  </si>
  <si>
    <t>Rail Hydrogen</t>
  </si>
  <si>
    <t>E5_TRNPASRAI</t>
  </si>
  <si>
    <t>TRNPASRAIELE</t>
  </si>
  <si>
    <t>Rail Electric</t>
  </si>
  <si>
    <t>TRNPASRAIDSL</t>
  </si>
  <si>
    <t>Rail Diesel</t>
  </si>
  <si>
    <t>TRNMOTELE</t>
  </si>
  <si>
    <t>Motorcycles Electric</t>
  </si>
  <si>
    <t>E5_TRNMOT</t>
  </si>
  <si>
    <t>TRNMOTGSL</t>
  </si>
  <si>
    <t>Motorcycles Gasoline</t>
  </si>
  <si>
    <t>TRNSEDELE</t>
  </si>
  <si>
    <t>Sedanes Electric</t>
  </si>
  <si>
    <t>E5_TRNSED</t>
  </si>
  <si>
    <t>TRNSEDDSL</t>
  </si>
  <si>
    <t>Sedanes Diesel</t>
  </si>
  <si>
    <t>TRNSEDHYBGSL</t>
  </si>
  <si>
    <t>Sedanes Hybrid Gasoline</t>
  </si>
  <si>
    <t>TRNSEDGSL</t>
  </si>
  <si>
    <t>Sedanes Gasoline</t>
  </si>
  <si>
    <t>TRNSEDLPG</t>
  </si>
  <si>
    <t>Sedanes LPG</t>
  </si>
  <si>
    <t>TRNSUVHYBDSL</t>
  </si>
  <si>
    <t>SUVs Hybrid Diesel</t>
  </si>
  <si>
    <t>E5_TRNSUV</t>
  </si>
  <si>
    <t>TRNSUVNGV</t>
  </si>
  <si>
    <t>SUVs Natural Gas Vehicular</t>
  </si>
  <si>
    <t>TRNSUVELE</t>
  </si>
  <si>
    <t>SUVs Electric</t>
  </si>
  <si>
    <t>TRNSUVDSL</t>
  </si>
  <si>
    <t>SUVs Diesel</t>
  </si>
  <si>
    <t>TRNSUVHYBGSL</t>
  </si>
  <si>
    <t>SUVs Hybrid Gasoline</t>
  </si>
  <si>
    <t>TRNSUVGSL</t>
  </si>
  <si>
    <t>SUVs Gasoline</t>
  </si>
  <si>
    <t>TRNSUVLPG</t>
  </si>
  <si>
    <t>SUVs LPG</t>
  </si>
  <si>
    <t>TRNCAMHYBDSL</t>
  </si>
  <si>
    <t>Minivan Hybrid Diesel</t>
  </si>
  <si>
    <t>E5_TRNCAM</t>
  </si>
  <si>
    <t>TRNCAMNGV</t>
  </si>
  <si>
    <t>Minivan Natural Gas Vehicular</t>
  </si>
  <si>
    <t>TRNCAMELE</t>
  </si>
  <si>
    <t>Minivan Electric</t>
  </si>
  <si>
    <t>TRNCAMDSL</t>
  </si>
  <si>
    <t>Minivan Diesel</t>
  </si>
  <si>
    <t>TRNCAMHYBGSL</t>
  </si>
  <si>
    <t>Minivan Hybrid Gasoline</t>
  </si>
  <si>
    <t>TRNCAMGSL</t>
  </si>
  <si>
    <t>Minivan Gasoline</t>
  </si>
  <si>
    <t>TRNCAMLPG</t>
  </si>
  <si>
    <t>Minivan LPG</t>
  </si>
  <si>
    <t>TRNFREHEAHYBDSL</t>
  </si>
  <si>
    <t>Heavy freight Hybrid Diesel</t>
  </si>
  <si>
    <t>E5_TRNFREHEA</t>
  </si>
  <si>
    <t>TRNFREHEAHYD</t>
  </si>
  <si>
    <t>Heavy freight Hydrogen</t>
  </si>
  <si>
    <t>TRNFREHEAELE</t>
  </si>
  <si>
    <t>Heavy freight Electric</t>
  </si>
  <si>
    <t>TRNFREHEADSL</t>
  </si>
  <si>
    <t>Heavy freight Diesel</t>
  </si>
  <si>
    <t>TRNFREHEAGSL</t>
  </si>
  <si>
    <t>Heavy freight Gasoline</t>
  </si>
  <si>
    <t>TRNFREHEALPG</t>
  </si>
  <si>
    <t>Heavy freight LPG</t>
  </si>
  <si>
    <t>TRNFREMEDHYBDSL</t>
  </si>
  <si>
    <t>Medium freight Hybrid Diesel</t>
  </si>
  <si>
    <t>E5_TRNFREMED</t>
  </si>
  <si>
    <t>TRNFREMEDNGV</t>
  </si>
  <si>
    <t>Medium freight Natural Gas Vehicular</t>
  </si>
  <si>
    <t>TRNFREMEDHYD</t>
  </si>
  <si>
    <t>Medium freight Hydrogen</t>
  </si>
  <si>
    <t>TRNFREMEDELE</t>
  </si>
  <si>
    <t>Medium freight Electric</t>
  </si>
  <si>
    <t>TRNFREMEDDSL</t>
  </si>
  <si>
    <t>Medium freight Diesel</t>
  </si>
  <si>
    <t>TRNFREMEDGSL</t>
  </si>
  <si>
    <t>Medium freight Gasoline</t>
  </si>
  <si>
    <t>TRNFREMEDLPG</t>
  </si>
  <si>
    <t>Medium freight LPG</t>
  </si>
  <si>
    <t>TRNFRELIGHYBDSL</t>
  </si>
  <si>
    <t>Light freight Hybrid Diesel</t>
  </si>
  <si>
    <t>E5_TRNFRELIG</t>
  </si>
  <si>
    <t>TRNFRELIGNGV</t>
  </si>
  <si>
    <t>Light freight Natural Gas Vehicular</t>
  </si>
  <si>
    <t>TRNFRELIGELE</t>
  </si>
  <si>
    <t>Light freight Electric</t>
  </si>
  <si>
    <t>TRNFRELIGDSL</t>
  </si>
  <si>
    <t>Light freight Diesel</t>
  </si>
  <si>
    <t>TRNFRELIGHYBGSL</t>
  </si>
  <si>
    <t>Light freight Hybrid Gasoline</t>
  </si>
  <si>
    <t>TRNFRELIGGSL</t>
  </si>
  <si>
    <t>Light freight Gasoline</t>
  </si>
  <si>
    <t>TRNFRELIGLPG</t>
  </si>
  <si>
    <t>Light freight LPG</t>
  </si>
  <si>
    <t>TRNCATTRUELE</t>
  </si>
  <si>
    <t>Catenary trucking Electric</t>
  </si>
  <si>
    <t>E5_TRNCATTRU</t>
  </si>
  <si>
    <t>TRNFRERAIHYD</t>
  </si>
  <si>
    <t>Freight rail Hydrogen</t>
  </si>
  <si>
    <t>E5_TRNFRERAI</t>
  </si>
  <si>
    <t>TRNFRERAIELE</t>
  </si>
  <si>
    <t>Freight rail Electric</t>
  </si>
  <si>
    <t>TRNFRERAIDSL</t>
  </si>
  <si>
    <t>Freight rail Diesel</t>
  </si>
  <si>
    <t>TRNMIC</t>
  </si>
  <si>
    <t>Microbuses</t>
  </si>
  <si>
    <t>DEMTRNPASPUB</t>
  </si>
  <si>
    <t>Transport Demand - Passenger Public</t>
  </si>
  <si>
    <t>TRNBUS</t>
  </si>
  <si>
    <t>Buses</t>
  </si>
  <si>
    <t>TRNTAX</t>
  </si>
  <si>
    <t>Taxis</t>
  </si>
  <si>
    <t>TRNPASRAI</t>
  </si>
  <si>
    <t>Rail</t>
  </si>
  <si>
    <t>TRNMOT</t>
  </si>
  <si>
    <t>Motorcycles</t>
  </si>
  <si>
    <t>DEMTRNPASPRI</t>
  </si>
  <si>
    <t>Transport Demand - Passsenger Private</t>
  </si>
  <si>
    <t>TRNSED</t>
  </si>
  <si>
    <t>Sedanes</t>
  </si>
  <si>
    <t>TRNSUV</t>
  </si>
  <si>
    <t>SUVs</t>
  </si>
  <si>
    <t>TRNCAM</t>
  </si>
  <si>
    <t>Minivan</t>
  </si>
  <si>
    <t>TRNFREHEA</t>
  </si>
  <si>
    <t>Heavy freight</t>
  </si>
  <si>
    <t>DEMTRNFREHEA</t>
  </si>
  <si>
    <t>Transport Demand - Heavy Freight</t>
  </si>
  <si>
    <t>TRNFREMED</t>
  </si>
  <si>
    <t>Medium freight</t>
  </si>
  <si>
    <t>DEMTRNFREMED</t>
  </si>
  <si>
    <t>Transport Demand - Medium Freight</t>
  </si>
  <si>
    <t>TRNFRELIG</t>
  </si>
  <si>
    <t>Light freight</t>
  </si>
  <si>
    <t>DEMTRNFRELIG</t>
  </si>
  <si>
    <t>Transport Demand - Light Freight</t>
  </si>
  <si>
    <t>TRNCATTRU</t>
  </si>
  <si>
    <t>Catenary trucking</t>
  </si>
  <si>
    <t>TRNFRERAI</t>
  </si>
  <si>
    <t>Freight rail</t>
  </si>
  <si>
    <t>PPIFOIPETICE</t>
  </si>
  <si>
    <t>Isolated - Petroleras - Power Plant Fuel_Oil - Internal Combustion Engine</t>
  </si>
  <si>
    <t>RSVNGS</t>
  </si>
  <si>
    <t>Reserves - Natural Gas</t>
  </si>
  <si>
    <t>Natural_Gas_extracted</t>
  </si>
  <si>
    <t>E2_NGS</t>
  </si>
  <si>
    <t>Natural_Gas_distributed</t>
  </si>
  <si>
    <t>T5PROGAS</t>
  </si>
  <si>
    <t>Demand Propane and Gas</t>
  </si>
  <si>
    <t>E5_PROGAS</t>
  </si>
  <si>
    <t>Demand Propane and Gas for multiple</t>
  </si>
  <si>
    <t>CENGASPRO</t>
  </si>
  <si>
    <t>CENGASLPG</t>
  </si>
  <si>
    <t>CENGASGSL</t>
  </si>
  <si>
    <t>Centros de Gas Propano</t>
  </si>
  <si>
    <t>Centros de Gas LPG</t>
  </si>
  <si>
    <t>Centros de Gas Gasoline</t>
  </si>
  <si>
    <t>Gases from Natural Gas</t>
  </si>
  <si>
    <t>LPG from Natural Gas</t>
  </si>
  <si>
    <t>Gasoline from Natrual Gas</t>
  </si>
  <si>
    <t>TRNMICGSL</t>
  </si>
  <si>
    <t>Microbuses Gasoline</t>
  </si>
  <si>
    <t>Yearly percent change</t>
  </si>
  <si>
    <t>Demand Crude for SOTE</t>
  </si>
  <si>
    <t>E5_CONREF</t>
  </si>
  <si>
    <t>Demand Diesel for Refineries</t>
  </si>
  <si>
    <t>T5KJFREF</t>
  </si>
  <si>
    <t>T5FOIREF</t>
  </si>
  <si>
    <t>Demand Refineries Oil</t>
  </si>
  <si>
    <t>T5PURDSLREF</t>
  </si>
  <si>
    <t>T5PURGSLREF</t>
  </si>
  <si>
    <t>Demand Gasoline for Refineries</t>
  </si>
  <si>
    <t>Demand Kerosene and Jet Fuel for Refineries</t>
  </si>
  <si>
    <t>Demand Fuel Oil for Refineries</t>
  </si>
  <si>
    <t>Demand GLP for Refineries</t>
  </si>
  <si>
    <t>T5LPGREF</t>
  </si>
  <si>
    <t>REFCRU</t>
  </si>
  <si>
    <t>Refineries</t>
  </si>
  <si>
    <t>E2_CRU</t>
  </si>
  <si>
    <t>Gas</t>
  </si>
  <si>
    <t>T5BUN</t>
  </si>
  <si>
    <t>Demand for bunkers</t>
  </si>
  <si>
    <t>E5_BUN</t>
  </si>
  <si>
    <t>Demand for bunkers all fuels</t>
  </si>
  <si>
    <t>Electricity for SOTE</t>
  </si>
  <si>
    <t>T5ELECRUTRN</t>
  </si>
  <si>
    <t>T5CRUCRUTRN</t>
  </si>
  <si>
    <t>T5LPGCRUTRN</t>
  </si>
  <si>
    <t>T5GSLCRUTRN</t>
  </si>
  <si>
    <t>Demand GSL SOTE Crude</t>
  </si>
  <si>
    <t>E5_CRUTRNELE</t>
  </si>
  <si>
    <t>E5_CRUTRNCRU</t>
  </si>
  <si>
    <t>E5_CRUTRNLPG</t>
  </si>
  <si>
    <t>E5_CRUTRNGSL</t>
  </si>
  <si>
    <t>Demand Electricity  for SOTE</t>
  </si>
  <si>
    <t>Demand Gasoline for SOTE</t>
  </si>
  <si>
    <t>Demand LPG for SOTE</t>
  </si>
  <si>
    <t xml:space="preserve">Demand LPG SOTE </t>
  </si>
  <si>
    <t xml:space="preserve">Demand Crude SOTE </t>
  </si>
  <si>
    <t>Demand Electricity SOTE</t>
  </si>
  <si>
    <t>E3_CRU</t>
  </si>
  <si>
    <t>Transport of crude</t>
  </si>
  <si>
    <t>Crude_Oil_Transport</t>
  </si>
  <si>
    <t>Crude_Oil_Refineries</t>
  </si>
  <si>
    <t>TRNCRU</t>
  </si>
  <si>
    <t>Thermal power plants</t>
  </si>
  <si>
    <t>PP_TPP</t>
  </si>
  <si>
    <t>E1_ELE_FF</t>
  </si>
  <si>
    <t>Thermal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</si>
</sst>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5" formatCode="_ * #,##0.000_ ;_ * \-#,##0.000_ ;_ * &quot;-&quot;??_ ;_ @_ 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u/>
      <sz val="11"/>
      <color theme="0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1" fillId="0" borderId="2" xfId="0" applyFont="1" applyBorder="1" applyAlignment="1">
      <alignment horizontal="center" vertical="top"/>
    </xf>
    <xf numFmtId="0" fontId="0" fillId="2" borderId="1" xfId="0" applyFill="1" applyBorder="1"/>
    <xf numFmtId="0" fontId="2" fillId="4" borderId="1" xfId="0" applyFont="1" applyFill="1" applyBorder="1"/>
    <xf numFmtId="0" fontId="2" fillId="0" borderId="0" xfId="0" applyFont="1"/>
    <xf numFmtId="0" fontId="2" fillId="3" borderId="1" xfId="0" applyFont="1" applyFill="1" applyBorder="1"/>
    <xf numFmtId="0" fontId="3" fillId="4" borderId="1" xfId="0" applyFont="1" applyFill="1" applyBorder="1"/>
    <xf numFmtId="0" fontId="3" fillId="3" borderId="1" xfId="0" applyFont="1" applyFill="1" applyBorder="1"/>
    <xf numFmtId="0" fontId="3" fillId="0" borderId="0" xfId="0" applyFont="1"/>
    <xf numFmtId="0" fontId="0" fillId="5" borderId="1" xfId="0" applyFill="1" applyBorder="1"/>
    <xf numFmtId="0" fontId="0" fillId="4" borderId="3" xfId="0" applyFill="1" applyBorder="1"/>
    <xf numFmtId="0" fontId="0" fillId="6" borderId="1" xfId="0" applyFill="1" applyBorder="1"/>
    <xf numFmtId="0" fontId="0" fillId="4" borderId="4" xfId="0" applyFill="1" applyBorder="1"/>
    <xf numFmtId="0" fontId="0" fillId="3" borderId="4" xfId="0" applyFill="1" applyBorder="1"/>
    <xf numFmtId="0" fontId="1" fillId="4" borderId="1" xfId="0" applyFont="1" applyFill="1" applyBorder="1"/>
    <xf numFmtId="0" fontId="6" fillId="4" borderId="1" xfId="0" applyFont="1" applyFill="1" applyBorder="1"/>
    <xf numFmtId="0" fontId="1" fillId="3" borderId="1" xfId="0" applyFont="1" applyFill="1" applyBorder="1"/>
    <xf numFmtId="0" fontId="7" fillId="3" borderId="1" xfId="0" applyFont="1" applyFill="1" applyBorder="1"/>
    <xf numFmtId="0" fontId="7" fillId="4" borderId="1" xfId="0" applyFont="1" applyFill="1" applyBorder="1"/>
    <xf numFmtId="0" fontId="0" fillId="4" borderId="5" xfId="0" applyFill="1" applyBorder="1"/>
    <xf numFmtId="0" fontId="0" fillId="3" borderId="3" xfId="0" applyFill="1" applyBorder="1"/>
    <xf numFmtId="0" fontId="0" fillId="0" borderId="2" xfId="0" applyBorder="1"/>
    <xf numFmtId="165" fontId="0" fillId="0" borderId="1" xfId="1" applyNumberFormat="1" applyFont="1" applyBorder="1"/>
    <xf numFmtId="0" fontId="2" fillId="0" borderId="1" xfId="0" applyFont="1" applyBorder="1"/>
  </cellXfs>
  <cellStyles count="2">
    <cellStyle name="Millares" xfId="1" builtinId="3"/>
    <cellStyle name="Normal" xfId="0" builtinId="0"/>
  </cellStyles>
  <dxfs count="0"/>
  <tableStyles count="1" defaultTableStyle="TableStyleMedium9" defaultPivotStyle="PivotStyleLight16">
    <tableStyle name="Invisible" pivot="0" table="0" count="0" xr9:uid="{9BF22D57-BBDC-42D0-8475-70E585AE5B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46"/>
  <sheetViews>
    <sheetView topLeftCell="G1" zoomScale="85" workbookViewId="0">
      <pane ySplit="1" topLeftCell="A2" activePane="bottomLeft" state="frozen"/>
      <selection pane="bottomLeft" activeCell="J15" sqref="J15"/>
    </sheetView>
  </sheetViews>
  <sheetFormatPr baseColWidth="10" defaultColWidth="8.88671875" defaultRowHeight="14.4" x14ac:dyDescent="0.3"/>
  <cols>
    <col min="1" max="1" width="24.88671875" customWidth="1"/>
    <col min="2" max="2" width="68.44140625" bestFit="1" customWidth="1"/>
    <col min="3" max="3" width="10.33203125" bestFit="1" customWidth="1"/>
    <col min="4" max="4" width="38" bestFit="1" customWidth="1"/>
    <col min="5" max="5" width="11.6640625" bestFit="1" customWidth="1"/>
    <col min="6" max="6" width="20" bestFit="1" customWidth="1"/>
    <col min="7" max="7" width="25.5546875" bestFit="1" customWidth="1"/>
    <col min="8" max="15" width="25.5546875" customWidth="1"/>
    <col min="47" max="47" width="10.33203125" bestFit="1" customWidth="1"/>
  </cols>
  <sheetData>
    <row r="1" spans="1:68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>
        <v>2010</v>
      </c>
      <c r="I1" s="6">
        <v>2011</v>
      </c>
      <c r="J1" s="6">
        <v>2012</v>
      </c>
      <c r="K1" s="6">
        <v>2013</v>
      </c>
      <c r="L1" s="6">
        <v>2014</v>
      </c>
      <c r="M1" s="6">
        <v>2015</v>
      </c>
      <c r="N1" s="6">
        <v>2016</v>
      </c>
      <c r="O1" s="6">
        <v>2017</v>
      </c>
      <c r="P1" s="6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  <c r="V1" s="1">
        <v>2024</v>
      </c>
      <c r="W1" s="1">
        <v>2025</v>
      </c>
      <c r="X1" s="1">
        <v>2026</v>
      </c>
      <c r="Y1" s="1">
        <v>2027</v>
      </c>
      <c r="Z1" s="1">
        <v>2028</v>
      </c>
      <c r="AA1" s="1">
        <v>2029</v>
      </c>
      <c r="AB1" s="1">
        <v>2030</v>
      </c>
      <c r="AC1" s="1">
        <v>2031</v>
      </c>
      <c r="AD1" s="1">
        <v>2032</v>
      </c>
      <c r="AE1" s="1">
        <v>2033</v>
      </c>
      <c r="AF1" s="1">
        <v>2034</v>
      </c>
      <c r="AG1" s="1">
        <v>2035</v>
      </c>
      <c r="AH1" s="1">
        <v>2036</v>
      </c>
      <c r="AI1" s="1">
        <v>2037</v>
      </c>
      <c r="AJ1" s="1">
        <v>2038</v>
      </c>
      <c r="AK1" s="1">
        <v>2039</v>
      </c>
      <c r="AL1" s="1">
        <v>2040</v>
      </c>
      <c r="AM1" s="1">
        <v>2041</v>
      </c>
      <c r="AN1" s="1">
        <v>2042</v>
      </c>
      <c r="AO1" s="1">
        <v>2043</v>
      </c>
      <c r="AP1" s="1">
        <v>2044</v>
      </c>
      <c r="AQ1" s="1">
        <v>2045</v>
      </c>
      <c r="AR1" s="1">
        <v>2046</v>
      </c>
      <c r="AS1" s="1">
        <v>2047</v>
      </c>
      <c r="AT1" s="1">
        <v>2048</v>
      </c>
      <c r="AU1" s="1">
        <v>2049</v>
      </c>
      <c r="AV1" s="1">
        <v>2050</v>
      </c>
      <c r="AW1" s="1">
        <v>2051</v>
      </c>
      <c r="AX1" s="1">
        <v>2052</v>
      </c>
      <c r="AY1" s="1">
        <v>2053</v>
      </c>
      <c r="AZ1" s="1">
        <v>2054</v>
      </c>
      <c r="BA1" s="1">
        <v>2055</v>
      </c>
      <c r="BB1" s="1">
        <v>2056</v>
      </c>
      <c r="BC1" s="1">
        <v>2057</v>
      </c>
      <c r="BD1" s="1">
        <v>2058</v>
      </c>
      <c r="BE1" s="1">
        <v>2059</v>
      </c>
      <c r="BF1" s="1">
        <v>2060</v>
      </c>
      <c r="BG1" s="1">
        <v>2061</v>
      </c>
      <c r="BH1" s="1">
        <v>2062</v>
      </c>
      <c r="BI1" s="1">
        <v>2063</v>
      </c>
      <c r="BJ1" s="1">
        <v>2064</v>
      </c>
      <c r="BK1" s="1">
        <v>2065</v>
      </c>
      <c r="BL1" s="1">
        <v>2066</v>
      </c>
      <c r="BM1" s="1">
        <v>2067</v>
      </c>
      <c r="BN1" s="1">
        <v>2068</v>
      </c>
      <c r="BO1" s="1">
        <v>2069</v>
      </c>
      <c r="BP1" s="1">
        <v>2070</v>
      </c>
    </row>
    <row r="2" spans="1:68" x14ac:dyDescent="0.3">
      <c r="A2" s="5" t="s">
        <v>723</v>
      </c>
      <c r="B2" s="5" t="s">
        <v>724</v>
      </c>
      <c r="C2" s="5" t="s">
        <v>54</v>
      </c>
      <c r="D2" s="14" t="s">
        <v>55</v>
      </c>
      <c r="E2" s="5" t="s">
        <v>11</v>
      </c>
      <c r="F2" s="5" t="s">
        <v>140</v>
      </c>
      <c r="G2" s="5">
        <v>1</v>
      </c>
      <c r="H2" s="5">
        <v>1.9221633085896075</v>
      </c>
      <c r="I2" s="5">
        <v>1.7984356928449596</v>
      </c>
      <c r="J2" s="5">
        <v>1.6912266077301206</v>
      </c>
      <c r="K2" s="5">
        <v>1.5208493979476836</v>
      </c>
      <c r="L2" s="5">
        <v>1.6080914590495854</v>
      </c>
      <c r="M2" s="5">
        <v>1.5115876025161481</v>
      </c>
      <c r="N2" s="5">
        <v>1.5139837307762105</v>
      </c>
      <c r="O2" s="5">
        <v>1.4985423184368172</v>
      </c>
      <c r="P2" s="5">
        <v>1.657375515515576</v>
      </c>
      <c r="Q2" s="3">
        <v>1.7252742318807428</v>
      </c>
      <c r="R2" s="3">
        <v>1.7263297639122919</v>
      </c>
      <c r="S2" s="3">
        <v>1.687195980509596</v>
      </c>
      <c r="T2" s="3">
        <f>AVERAGE(P2:S2)</f>
        <v>1.6990438729545518</v>
      </c>
      <c r="U2" s="3">
        <f>T2</f>
        <v>1.6990438729545518</v>
      </c>
      <c r="V2" s="3">
        <f t="shared" ref="V2:BP2" si="0">U2</f>
        <v>1.6990438729545518</v>
      </c>
      <c r="W2" s="3">
        <f t="shared" si="0"/>
        <v>1.6990438729545518</v>
      </c>
      <c r="X2" s="3">
        <f t="shared" si="0"/>
        <v>1.6990438729545518</v>
      </c>
      <c r="Y2" s="3">
        <f t="shared" si="0"/>
        <v>1.6990438729545518</v>
      </c>
      <c r="Z2" s="3">
        <f t="shared" si="0"/>
        <v>1.6990438729545518</v>
      </c>
      <c r="AA2" s="3">
        <f t="shared" si="0"/>
        <v>1.6990438729545518</v>
      </c>
      <c r="AB2" s="3">
        <f t="shared" si="0"/>
        <v>1.6990438729545518</v>
      </c>
      <c r="AC2" s="3">
        <f t="shared" si="0"/>
        <v>1.6990438729545518</v>
      </c>
      <c r="AD2" s="3">
        <f t="shared" si="0"/>
        <v>1.6990438729545518</v>
      </c>
      <c r="AE2" s="3">
        <f t="shared" si="0"/>
        <v>1.6990438729545518</v>
      </c>
      <c r="AF2" s="3">
        <f t="shared" si="0"/>
        <v>1.6990438729545518</v>
      </c>
      <c r="AG2" s="3">
        <f t="shared" si="0"/>
        <v>1.6990438729545518</v>
      </c>
      <c r="AH2" s="3">
        <f t="shared" si="0"/>
        <v>1.6990438729545518</v>
      </c>
      <c r="AI2" s="3">
        <f t="shared" si="0"/>
        <v>1.6990438729545518</v>
      </c>
      <c r="AJ2" s="3">
        <f t="shared" si="0"/>
        <v>1.6990438729545518</v>
      </c>
      <c r="AK2" s="3">
        <f t="shared" si="0"/>
        <v>1.6990438729545518</v>
      </c>
      <c r="AL2" s="3">
        <f t="shared" si="0"/>
        <v>1.6990438729545518</v>
      </c>
      <c r="AM2" s="3">
        <f t="shared" si="0"/>
        <v>1.6990438729545518</v>
      </c>
      <c r="AN2" s="3">
        <f t="shared" si="0"/>
        <v>1.6990438729545518</v>
      </c>
      <c r="AO2" s="3">
        <f t="shared" si="0"/>
        <v>1.6990438729545518</v>
      </c>
      <c r="AP2" s="3">
        <f t="shared" si="0"/>
        <v>1.6990438729545518</v>
      </c>
      <c r="AQ2" s="3">
        <f t="shared" si="0"/>
        <v>1.6990438729545518</v>
      </c>
      <c r="AR2" s="3">
        <f t="shared" si="0"/>
        <v>1.6990438729545518</v>
      </c>
      <c r="AS2" s="3">
        <f t="shared" si="0"/>
        <v>1.6990438729545518</v>
      </c>
      <c r="AT2" s="3">
        <f t="shared" si="0"/>
        <v>1.6990438729545518</v>
      </c>
      <c r="AU2" s="3">
        <f t="shared" si="0"/>
        <v>1.6990438729545518</v>
      </c>
      <c r="AV2" s="3">
        <f t="shared" si="0"/>
        <v>1.6990438729545518</v>
      </c>
      <c r="AW2" s="3">
        <f t="shared" si="0"/>
        <v>1.6990438729545518</v>
      </c>
      <c r="AX2" s="3">
        <f t="shared" si="0"/>
        <v>1.6990438729545518</v>
      </c>
      <c r="AY2" s="3">
        <f t="shared" si="0"/>
        <v>1.6990438729545518</v>
      </c>
      <c r="AZ2" s="3">
        <f t="shared" si="0"/>
        <v>1.6990438729545518</v>
      </c>
      <c r="BA2" s="3">
        <f t="shared" si="0"/>
        <v>1.6990438729545518</v>
      </c>
      <c r="BB2" s="3">
        <f t="shared" si="0"/>
        <v>1.6990438729545518</v>
      </c>
      <c r="BC2" s="3">
        <f t="shared" si="0"/>
        <v>1.6990438729545518</v>
      </c>
      <c r="BD2" s="3">
        <f t="shared" si="0"/>
        <v>1.6990438729545518</v>
      </c>
      <c r="BE2" s="3">
        <f t="shared" si="0"/>
        <v>1.6990438729545518</v>
      </c>
      <c r="BF2" s="3">
        <f t="shared" si="0"/>
        <v>1.6990438729545518</v>
      </c>
      <c r="BG2" s="3">
        <f t="shared" si="0"/>
        <v>1.6990438729545518</v>
      </c>
      <c r="BH2" s="3">
        <f t="shared" si="0"/>
        <v>1.6990438729545518</v>
      </c>
      <c r="BI2" s="3">
        <f t="shared" si="0"/>
        <v>1.6990438729545518</v>
      </c>
      <c r="BJ2" s="3">
        <f t="shared" si="0"/>
        <v>1.6990438729545518</v>
      </c>
      <c r="BK2" s="3">
        <f t="shared" si="0"/>
        <v>1.6990438729545518</v>
      </c>
      <c r="BL2" s="3">
        <f t="shared" si="0"/>
        <v>1.6990438729545518</v>
      </c>
      <c r="BM2" s="3">
        <f t="shared" si="0"/>
        <v>1.6990438729545518</v>
      </c>
      <c r="BN2" s="3">
        <f t="shared" si="0"/>
        <v>1.6990438729545518</v>
      </c>
      <c r="BO2" s="3">
        <f t="shared" si="0"/>
        <v>1.6990438729545518</v>
      </c>
      <c r="BP2" s="3">
        <f t="shared" si="0"/>
        <v>1.6990438729545518</v>
      </c>
    </row>
    <row r="3" spans="1:68" x14ac:dyDescent="0.3">
      <c r="A3" s="5" t="s">
        <v>7</v>
      </c>
      <c r="B3" s="5" t="s">
        <v>8</v>
      </c>
      <c r="C3" s="5" t="s">
        <v>9</v>
      </c>
      <c r="D3" s="14" t="s">
        <v>10</v>
      </c>
      <c r="E3" s="5" t="s">
        <v>11</v>
      </c>
      <c r="F3" s="4" t="s">
        <v>12</v>
      </c>
      <c r="G3" s="5">
        <v>1</v>
      </c>
      <c r="H3" s="5">
        <v>1</v>
      </c>
      <c r="I3" s="5"/>
      <c r="J3" s="5"/>
      <c r="K3" s="5"/>
      <c r="L3" s="5"/>
      <c r="M3" s="5"/>
      <c r="N3" s="5"/>
      <c r="O3" s="5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</row>
    <row r="4" spans="1:68" x14ac:dyDescent="0.3">
      <c r="A4" s="4" t="s">
        <v>13</v>
      </c>
      <c r="B4" s="4" t="s">
        <v>14</v>
      </c>
      <c r="C4" s="4" t="s">
        <v>15</v>
      </c>
      <c r="D4" s="4" t="s">
        <v>16</v>
      </c>
      <c r="E4" s="4" t="s">
        <v>11</v>
      </c>
      <c r="F4" s="4" t="s">
        <v>12</v>
      </c>
      <c r="G4" s="4">
        <v>1</v>
      </c>
      <c r="H4" s="4"/>
      <c r="I4" s="4"/>
      <c r="J4" s="4"/>
      <c r="K4" s="4"/>
      <c r="L4" s="4"/>
      <c r="M4" s="4"/>
      <c r="N4" s="4"/>
      <c r="O4" s="4"/>
      <c r="P4" s="4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</row>
    <row r="5" spans="1:68" x14ac:dyDescent="0.3">
      <c r="A5" s="4" t="s">
        <v>17</v>
      </c>
      <c r="B5" s="4" t="s">
        <v>18</v>
      </c>
      <c r="C5" s="4" t="s">
        <v>19</v>
      </c>
      <c r="D5" s="4" t="s">
        <v>20</v>
      </c>
      <c r="E5" s="4" t="s">
        <v>11</v>
      </c>
      <c r="F5" s="4" t="s">
        <v>12</v>
      </c>
      <c r="G5" s="4">
        <v>1</v>
      </c>
      <c r="H5" s="4"/>
      <c r="I5" s="4"/>
      <c r="J5" s="4"/>
      <c r="K5" s="4"/>
      <c r="L5" s="4"/>
      <c r="M5" s="4"/>
      <c r="N5" s="4"/>
      <c r="O5" s="4"/>
      <c r="P5" s="4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</row>
    <row r="6" spans="1:68" x14ac:dyDescent="0.3">
      <c r="A6" s="5" t="s">
        <v>21</v>
      </c>
      <c r="B6" s="5" t="s">
        <v>22</v>
      </c>
      <c r="C6" s="5" t="s">
        <v>23</v>
      </c>
      <c r="D6" s="5" t="s">
        <v>24</v>
      </c>
      <c r="E6" s="5" t="s">
        <v>11</v>
      </c>
      <c r="F6" s="5" t="s">
        <v>12</v>
      </c>
      <c r="G6" s="5">
        <v>1</v>
      </c>
      <c r="H6" s="5"/>
      <c r="I6" s="5"/>
      <c r="J6" s="5"/>
      <c r="K6" s="5"/>
      <c r="L6" s="5"/>
      <c r="M6" s="5"/>
      <c r="N6" s="5"/>
      <c r="O6" s="5"/>
      <c r="P6" s="5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</row>
    <row r="7" spans="1:68" x14ac:dyDescent="0.3">
      <c r="A7" s="5" t="s">
        <v>25</v>
      </c>
      <c r="B7" s="5" t="s">
        <v>26</v>
      </c>
      <c r="C7" s="5" t="s">
        <v>27</v>
      </c>
      <c r="D7" s="5" t="s">
        <v>28</v>
      </c>
      <c r="E7" s="5" t="s">
        <v>11</v>
      </c>
      <c r="F7" s="5" t="s">
        <v>12</v>
      </c>
      <c r="G7" s="5">
        <v>1</v>
      </c>
      <c r="H7" s="5"/>
      <c r="I7" s="5"/>
      <c r="J7" s="5"/>
      <c r="K7" s="5"/>
      <c r="L7" s="5"/>
      <c r="M7" s="5"/>
      <c r="N7" s="5"/>
      <c r="O7" s="5"/>
      <c r="P7" s="5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</row>
    <row r="8" spans="1:68" x14ac:dyDescent="0.3">
      <c r="A8" s="4" t="s">
        <v>29</v>
      </c>
      <c r="B8" s="4" t="s">
        <v>30</v>
      </c>
      <c r="C8" s="4" t="s">
        <v>31</v>
      </c>
      <c r="D8" s="4" t="s">
        <v>32</v>
      </c>
      <c r="E8" s="4" t="s">
        <v>11</v>
      </c>
      <c r="F8" s="4" t="s">
        <v>12</v>
      </c>
      <c r="G8" s="4">
        <v>1</v>
      </c>
      <c r="H8" s="4"/>
      <c r="I8" s="4"/>
      <c r="J8" s="4"/>
      <c r="K8" s="4"/>
      <c r="L8" s="4"/>
      <c r="M8" s="4"/>
      <c r="N8" s="4"/>
      <c r="O8" s="4"/>
      <c r="P8" s="4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 spans="1:68" x14ac:dyDescent="0.3">
      <c r="A9" s="4" t="s">
        <v>33</v>
      </c>
      <c r="B9" s="4" t="s">
        <v>34</v>
      </c>
      <c r="C9" s="4" t="s">
        <v>35</v>
      </c>
      <c r="D9" s="4" t="s">
        <v>36</v>
      </c>
      <c r="E9" s="4" t="s">
        <v>11</v>
      </c>
      <c r="F9" s="4" t="s">
        <v>12</v>
      </c>
      <c r="G9" s="4">
        <v>1</v>
      </c>
      <c r="H9" s="4"/>
      <c r="I9" s="4"/>
      <c r="J9" s="4"/>
      <c r="K9" s="4"/>
      <c r="L9" s="4"/>
      <c r="M9" s="4"/>
      <c r="N9" s="4"/>
      <c r="O9" s="4"/>
      <c r="P9" s="4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</row>
    <row r="10" spans="1:68" x14ac:dyDescent="0.3">
      <c r="A10" s="5" t="s">
        <v>37</v>
      </c>
      <c r="B10" s="5" t="s">
        <v>38</v>
      </c>
      <c r="C10" s="5" t="s">
        <v>39</v>
      </c>
      <c r="D10" s="14" t="s">
        <v>10</v>
      </c>
      <c r="E10" s="5" t="s">
        <v>11</v>
      </c>
      <c r="F10" s="5" t="s">
        <v>12</v>
      </c>
      <c r="G10" s="5">
        <v>1</v>
      </c>
      <c r="H10" s="5"/>
      <c r="I10" s="5"/>
      <c r="J10" s="5"/>
      <c r="K10" s="5"/>
      <c r="L10" s="5"/>
      <c r="M10" s="5"/>
      <c r="N10" s="5"/>
      <c r="O10" s="5"/>
      <c r="P10" s="5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</row>
    <row r="11" spans="1:68" x14ac:dyDescent="0.3">
      <c r="A11" s="4" t="s">
        <v>40</v>
      </c>
      <c r="B11" s="4" t="s">
        <v>41</v>
      </c>
      <c r="C11" s="4" t="s">
        <v>42</v>
      </c>
      <c r="D11" s="4" t="s">
        <v>43</v>
      </c>
      <c r="E11" s="4" t="s">
        <v>11</v>
      </c>
      <c r="F11" s="4" t="s">
        <v>12</v>
      </c>
      <c r="G11" s="4">
        <v>1</v>
      </c>
      <c r="H11" s="4"/>
      <c r="I11" s="4"/>
      <c r="J11" s="4"/>
      <c r="K11" s="4"/>
      <c r="L11" s="4"/>
      <c r="M11" s="4"/>
      <c r="N11" s="4"/>
      <c r="O11" s="4"/>
      <c r="P11" s="4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</row>
    <row r="12" spans="1:68" x14ac:dyDescent="0.3">
      <c r="A12" s="4" t="s">
        <v>44</v>
      </c>
      <c r="B12" s="4" t="s">
        <v>45</v>
      </c>
      <c r="C12" s="4" t="s">
        <v>46</v>
      </c>
      <c r="D12" s="4" t="s">
        <v>47</v>
      </c>
      <c r="E12" s="4" t="s">
        <v>11</v>
      </c>
      <c r="F12" s="4" t="s">
        <v>12</v>
      </c>
      <c r="G12" s="4">
        <v>1</v>
      </c>
      <c r="H12" s="4"/>
      <c r="I12" s="4"/>
      <c r="J12" s="4"/>
      <c r="K12" s="4"/>
      <c r="L12" s="4"/>
      <c r="M12" s="4"/>
      <c r="N12" s="4"/>
      <c r="O12" s="4"/>
      <c r="P12" s="4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</row>
    <row r="13" spans="1:68" x14ac:dyDescent="0.3">
      <c r="A13" s="5" t="s">
        <v>48</v>
      </c>
      <c r="B13" s="5" t="s">
        <v>49</v>
      </c>
      <c r="C13" s="5" t="s">
        <v>50</v>
      </c>
      <c r="D13" s="5" t="s">
        <v>51</v>
      </c>
      <c r="E13" s="5" t="s">
        <v>11</v>
      </c>
      <c r="F13" s="5" t="s">
        <v>12</v>
      </c>
      <c r="G13" s="5">
        <v>1</v>
      </c>
      <c r="H13" s="5"/>
      <c r="I13" s="5"/>
      <c r="J13" s="5"/>
      <c r="K13" s="5"/>
      <c r="L13" s="5"/>
      <c r="M13" s="5"/>
      <c r="N13" s="5"/>
      <c r="O13" s="5"/>
      <c r="P13" s="5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</row>
    <row r="14" spans="1:68" x14ac:dyDescent="0.3">
      <c r="A14" s="4" t="s">
        <v>56</v>
      </c>
      <c r="B14" s="4" t="s">
        <v>57</v>
      </c>
      <c r="C14" s="4" t="s">
        <v>177</v>
      </c>
      <c r="D14" s="4" t="s">
        <v>55</v>
      </c>
      <c r="E14" s="4" t="s">
        <v>11</v>
      </c>
      <c r="F14" s="4" t="s">
        <v>12</v>
      </c>
      <c r="G14" s="4">
        <v>1</v>
      </c>
      <c r="H14" s="4">
        <v>1</v>
      </c>
      <c r="I14" s="4"/>
      <c r="J14" s="4"/>
      <c r="K14" s="4"/>
      <c r="L14" s="4"/>
      <c r="M14" s="4"/>
      <c r="N14" s="4"/>
      <c r="O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</row>
    <row r="15" spans="1:68" x14ac:dyDescent="0.3">
      <c r="A15" s="4" t="s">
        <v>58</v>
      </c>
      <c r="B15" s="4" t="s">
        <v>59</v>
      </c>
      <c r="C15" s="4" t="s">
        <v>60</v>
      </c>
      <c r="D15" s="4" t="s">
        <v>61</v>
      </c>
      <c r="E15" s="4" t="s">
        <v>11</v>
      </c>
      <c r="F15" s="4" t="s">
        <v>12</v>
      </c>
      <c r="G15" s="4">
        <v>1</v>
      </c>
      <c r="H15" s="4"/>
      <c r="I15" s="4"/>
      <c r="J15" s="4"/>
      <c r="K15" s="4"/>
      <c r="L15" s="4"/>
      <c r="M15" s="4"/>
      <c r="N15" s="4"/>
      <c r="O15" s="4"/>
      <c r="P15" s="4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</row>
    <row r="16" spans="1:68" x14ac:dyDescent="0.3">
      <c r="A16" s="5" t="s">
        <v>62</v>
      </c>
      <c r="B16" s="5" t="s">
        <v>63</v>
      </c>
      <c r="C16" s="5" t="s">
        <v>64</v>
      </c>
      <c r="D16" s="5" t="s">
        <v>65</v>
      </c>
      <c r="E16" s="5" t="s">
        <v>11</v>
      </c>
      <c r="F16" s="5" t="s">
        <v>12</v>
      </c>
      <c r="G16" s="5">
        <v>1</v>
      </c>
      <c r="H16" s="5"/>
      <c r="I16" s="5"/>
      <c r="J16" s="5"/>
      <c r="K16" s="5"/>
      <c r="L16" s="5"/>
      <c r="M16" s="5"/>
      <c r="N16" s="5"/>
      <c r="O16" s="5"/>
      <c r="P16" s="5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</row>
    <row r="17" spans="1:48" x14ac:dyDescent="0.3">
      <c r="A17" s="5" t="s">
        <v>66</v>
      </c>
      <c r="B17" s="5" t="s">
        <v>67</v>
      </c>
      <c r="C17" s="5" t="s">
        <v>68</v>
      </c>
      <c r="D17" s="5" t="s">
        <v>69</v>
      </c>
      <c r="E17" s="5" t="s">
        <v>11</v>
      </c>
      <c r="F17" s="5" t="s">
        <v>12</v>
      </c>
      <c r="G17" s="5">
        <v>1</v>
      </c>
      <c r="H17" s="5"/>
      <c r="I17" s="5"/>
      <c r="J17" s="5"/>
      <c r="K17" s="5"/>
      <c r="L17" s="5"/>
      <c r="M17" s="5"/>
      <c r="N17" s="5"/>
      <c r="O17" s="5"/>
      <c r="P17" s="5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</row>
    <row r="18" spans="1:48" x14ac:dyDescent="0.3">
      <c r="A18" s="4" t="s">
        <v>70</v>
      </c>
      <c r="B18" s="4" t="s">
        <v>71</v>
      </c>
      <c r="C18" s="4" t="s">
        <v>72</v>
      </c>
      <c r="D18" s="4" t="s">
        <v>73</v>
      </c>
      <c r="E18" s="4" t="s">
        <v>11</v>
      </c>
      <c r="F18" s="4" t="s">
        <v>12</v>
      </c>
      <c r="G18" s="4">
        <v>1</v>
      </c>
      <c r="H18" s="4"/>
      <c r="I18" s="4"/>
      <c r="J18" s="4"/>
      <c r="K18" s="4"/>
      <c r="L18" s="4"/>
      <c r="M18" s="4"/>
      <c r="N18" s="4"/>
      <c r="O18" s="4"/>
      <c r="P18" s="4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</row>
    <row r="19" spans="1:48" x14ac:dyDescent="0.3">
      <c r="A19" s="4" t="s">
        <v>74</v>
      </c>
      <c r="B19" s="4" t="s">
        <v>75</v>
      </c>
      <c r="C19" s="4" t="s">
        <v>76</v>
      </c>
      <c r="D19" s="4" t="s">
        <v>77</v>
      </c>
      <c r="E19" s="4" t="s">
        <v>11</v>
      </c>
      <c r="F19" s="4" t="s">
        <v>12</v>
      </c>
      <c r="G19" s="4">
        <v>1</v>
      </c>
      <c r="H19" s="4"/>
      <c r="I19" s="4"/>
      <c r="J19" s="4"/>
      <c r="K19" s="4"/>
      <c r="L19" s="4"/>
      <c r="M19" s="4"/>
      <c r="N19" s="4"/>
      <c r="O19" s="4"/>
      <c r="P19" s="4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</row>
    <row r="20" spans="1:48" x14ac:dyDescent="0.3">
      <c r="A20" s="4" t="s">
        <v>78</v>
      </c>
      <c r="B20" s="4" t="s">
        <v>79</v>
      </c>
      <c r="C20" s="4" t="s">
        <v>76</v>
      </c>
      <c r="D20" s="4" t="s">
        <v>77</v>
      </c>
      <c r="E20" s="4" t="s">
        <v>11</v>
      </c>
      <c r="F20" s="4" t="s">
        <v>12</v>
      </c>
      <c r="G20" s="4">
        <v>1</v>
      </c>
      <c r="H20" s="4"/>
      <c r="I20" s="4"/>
      <c r="J20" s="4"/>
      <c r="K20" s="4"/>
      <c r="L20" s="4"/>
      <c r="M20" s="4"/>
      <c r="N20" s="4"/>
      <c r="O20" s="4"/>
      <c r="P20" s="4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</row>
    <row r="21" spans="1:48" x14ac:dyDescent="0.3">
      <c r="A21" s="5" t="s">
        <v>80</v>
      </c>
      <c r="B21" s="5" t="s">
        <v>81</v>
      </c>
      <c r="C21" s="5" t="s">
        <v>76</v>
      </c>
      <c r="D21" s="5" t="s">
        <v>77</v>
      </c>
      <c r="E21" s="5" t="s">
        <v>11</v>
      </c>
      <c r="F21" s="5" t="s">
        <v>12</v>
      </c>
      <c r="G21" s="5">
        <v>1</v>
      </c>
      <c r="H21" s="5"/>
      <c r="I21" s="5"/>
      <c r="J21" s="5"/>
      <c r="K21" s="5"/>
      <c r="L21" s="5"/>
      <c r="M21" s="5"/>
      <c r="N21" s="5"/>
      <c r="O21" s="5"/>
      <c r="P21" s="5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</row>
    <row r="22" spans="1:48" x14ac:dyDescent="0.3">
      <c r="A22" s="5" t="s">
        <v>82</v>
      </c>
      <c r="B22" s="5" t="s">
        <v>83</v>
      </c>
      <c r="C22" s="5" t="s">
        <v>76</v>
      </c>
      <c r="D22" s="5" t="s">
        <v>77</v>
      </c>
      <c r="E22" s="5" t="s">
        <v>11</v>
      </c>
      <c r="F22" s="5" t="s">
        <v>12</v>
      </c>
      <c r="G22" s="5">
        <v>1</v>
      </c>
      <c r="H22" s="5"/>
      <c r="I22" s="5"/>
      <c r="J22" s="5"/>
      <c r="K22" s="5"/>
      <c r="L22" s="5"/>
      <c r="M22" s="5"/>
      <c r="N22" s="5"/>
      <c r="O22" s="5"/>
      <c r="P22" s="5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</row>
    <row r="23" spans="1:48" x14ac:dyDescent="0.3">
      <c r="A23" s="4" t="s">
        <v>84</v>
      </c>
      <c r="B23" s="4" t="s">
        <v>85</v>
      </c>
      <c r="C23" s="4" t="s">
        <v>76</v>
      </c>
      <c r="D23" s="4" t="s">
        <v>77</v>
      </c>
      <c r="E23" s="4" t="s">
        <v>11</v>
      </c>
      <c r="F23" s="4" t="s">
        <v>12</v>
      </c>
      <c r="G23" s="4">
        <v>1</v>
      </c>
      <c r="H23" s="4"/>
      <c r="I23" s="4"/>
      <c r="J23" s="4"/>
      <c r="K23" s="4"/>
      <c r="L23" s="4"/>
      <c r="M23" s="4"/>
      <c r="N23" s="4"/>
      <c r="O23" s="4"/>
      <c r="P23" s="4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</row>
    <row r="24" spans="1:48" x14ac:dyDescent="0.3">
      <c r="A24" s="4" t="s">
        <v>86</v>
      </c>
      <c r="B24" s="4" t="s">
        <v>87</v>
      </c>
      <c r="C24" s="4" t="s">
        <v>76</v>
      </c>
      <c r="D24" s="4" t="s">
        <v>77</v>
      </c>
      <c r="E24" s="4" t="s">
        <v>11</v>
      </c>
      <c r="F24" s="4" t="s">
        <v>12</v>
      </c>
      <c r="G24" s="4">
        <v>1</v>
      </c>
      <c r="H24" s="4"/>
      <c r="I24" s="4"/>
      <c r="J24" s="4"/>
      <c r="K24" s="4"/>
      <c r="L24" s="4"/>
      <c r="M24" s="4"/>
      <c r="N24" s="4"/>
      <c r="O24" s="4"/>
      <c r="P24" s="4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</row>
    <row r="25" spans="1:48" x14ac:dyDescent="0.3">
      <c r="A25" s="5" t="s">
        <v>88</v>
      </c>
      <c r="B25" s="5" t="s">
        <v>89</v>
      </c>
      <c r="C25" s="5" t="s">
        <v>76</v>
      </c>
      <c r="D25" s="5" t="s">
        <v>77</v>
      </c>
      <c r="E25" s="5" t="s">
        <v>11</v>
      </c>
      <c r="F25" s="5" t="s">
        <v>12</v>
      </c>
      <c r="G25" s="5">
        <v>1</v>
      </c>
      <c r="H25" s="5"/>
      <c r="I25" s="5"/>
      <c r="J25" s="5"/>
      <c r="K25" s="5"/>
      <c r="L25" s="5"/>
      <c r="M25" s="5"/>
      <c r="N25" s="5"/>
      <c r="O25" s="5"/>
      <c r="P25" s="5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</row>
    <row r="26" spans="1:48" x14ac:dyDescent="0.3">
      <c r="A26" s="5" t="s">
        <v>90</v>
      </c>
      <c r="B26" s="5" t="s">
        <v>91</v>
      </c>
      <c r="C26" s="5" t="s">
        <v>76</v>
      </c>
      <c r="D26" s="5" t="s">
        <v>77</v>
      </c>
      <c r="E26" s="5" t="s">
        <v>11</v>
      </c>
      <c r="F26" s="5" t="s">
        <v>12</v>
      </c>
      <c r="G26" s="5">
        <v>1</v>
      </c>
      <c r="H26" s="5"/>
      <c r="I26" s="5"/>
      <c r="J26" s="5"/>
      <c r="K26" s="5"/>
      <c r="L26" s="5"/>
      <c r="M26" s="5"/>
      <c r="N26" s="5"/>
      <c r="O26" s="5"/>
      <c r="P26" s="5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</row>
    <row r="27" spans="1:48" x14ac:dyDescent="0.3">
      <c r="A27" s="4" t="s">
        <v>92</v>
      </c>
      <c r="B27" s="4" t="s">
        <v>93</v>
      </c>
      <c r="C27" s="4" t="s">
        <v>76</v>
      </c>
      <c r="D27" s="4" t="s">
        <v>77</v>
      </c>
      <c r="E27" s="4" t="s">
        <v>11</v>
      </c>
      <c r="F27" s="4" t="s">
        <v>12</v>
      </c>
      <c r="G27" s="4">
        <v>1</v>
      </c>
      <c r="H27" s="4"/>
      <c r="I27" s="4"/>
      <c r="J27" s="4"/>
      <c r="K27" s="4"/>
      <c r="L27" s="4"/>
      <c r="M27" s="4"/>
      <c r="N27" s="4"/>
      <c r="O27" s="4"/>
      <c r="P27" s="4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 spans="1:48" x14ac:dyDescent="0.3">
      <c r="A28" s="4" t="s">
        <v>94</v>
      </c>
      <c r="B28" s="4" t="s">
        <v>95</v>
      </c>
      <c r="C28" s="4" t="s">
        <v>76</v>
      </c>
      <c r="D28" s="4" t="s">
        <v>77</v>
      </c>
      <c r="E28" s="4" t="s">
        <v>11</v>
      </c>
      <c r="F28" s="4" t="s">
        <v>12</v>
      </c>
      <c r="G28" s="4">
        <v>1</v>
      </c>
      <c r="H28" s="4"/>
      <c r="I28" s="4"/>
      <c r="J28" s="4"/>
      <c r="K28" s="4"/>
      <c r="L28" s="4"/>
      <c r="M28" s="4"/>
      <c r="N28" s="4"/>
      <c r="O28" s="4"/>
      <c r="P28" s="4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 spans="1:48" x14ac:dyDescent="0.3">
      <c r="A29" s="5" t="s">
        <v>96</v>
      </c>
      <c r="B29" s="5" t="s">
        <v>97</v>
      </c>
      <c r="C29" s="5" t="s">
        <v>76</v>
      </c>
      <c r="D29" s="5" t="s">
        <v>77</v>
      </c>
      <c r="E29" s="5" t="s">
        <v>11</v>
      </c>
      <c r="F29" s="5" t="s">
        <v>12</v>
      </c>
      <c r="G29" s="5">
        <v>1</v>
      </c>
      <c r="H29" s="5"/>
      <c r="I29" s="5"/>
      <c r="J29" s="5"/>
      <c r="K29" s="5"/>
      <c r="L29" s="5"/>
      <c r="M29" s="5"/>
      <c r="N29" s="5"/>
      <c r="O29" s="5"/>
      <c r="P29" s="5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</row>
    <row r="30" spans="1:48" x14ac:dyDescent="0.3">
      <c r="A30" s="5" t="s">
        <v>98</v>
      </c>
      <c r="B30" s="5" t="s">
        <v>99</v>
      </c>
      <c r="C30" s="5" t="s">
        <v>76</v>
      </c>
      <c r="D30" s="5" t="s">
        <v>77</v>
      </c>
      <c r="E30" s="5" t="s">
        <v>11</v>
      </c>
      <c r="F30" s="5" t="s">
        <v>12</v>
      </c>
      <c r="G30" s="5">
        <v>1</v>
      </c>
      <c r="H30" s="5"/>
      <c r="I30" s="5"/>
      <c r="J30" s="5"/>
      <c r="K30" s="5"/>
      <c r="L30" s="5"/>
      <c r="M30" s="5"/>
      <c r="N30" s="5"/>
      <c r="O30" s="5"/>
      <c r="P30" s="5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</row>
    <row r="31" spans="1:48" x14ac:dyDescent="0.3">
      <c r="A31" s="4" t="s">
        <v>100</v>
      </c>
      <c r="B31" s="4" t="s">
        <v>101</v>
      </c>
      <c r="C31" s="4" t="s">
        <v>76</v>
      </c>
      <c r="D31" s="4" t="s">
        <v>77</v>
      </c>
      <c r="E31" s="4" t="s">
        <v>11</v>
      </c>
      <c r="F31" s="4" t="s">
        <v>12</v>
      </c>
      <c r="G31" s="4">
        <v>1</v>
      </c>
      <c r="H31" s="4"/>
      <c r="I31" s="4"/>
      <c r="J31" s="4"/>
      <c r="K31" s="4"/>
      <c r="L31" s="4"/>
      <c r="M31" s="4"/>
      <c r="N31" s="4"/>
      <c r="O31" s="4"/>
      <c r="P31" s="4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</row>
    <row r="32" spans="1:48" x14ac:dyDescent="0.3">
      <c r="A32" s="4" t="s">
        <v>102</v>
      </c>
      <c r="B32" s="4" t="s">
        <v>103</v>
      </c>
      <c r="C32" s="4" t="s">
        <v>76</v>
      </c>
      <c r="D32" s="4" t="s">
        <v>77</v>
      </c>
      <c r="E32" s="4" t="s">
        <v>11</v>
      </c>
      <c r="F32" s="4" t="s">
        <v>12</v>
      </c>
      <c r="G32" s="4">
        <v>1</v>
      </c>
      <c r="H32" s="4"/>
      <c r="I32" s="4"/>
      <c r="J32" s="4"/>
      <c r="K32" s="4"/>
      <c r="L32" s="4"/>
      <c r="M32" s="4"/>
      <c r="N32" s="4"/>
      <c r="O32" s="4"/>
      <c r="P32" s="4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</row>
    <row r="33" spans="1:48" x14ac:dyDescent="0.3">
      <c r="A33" s="5" t="s">
        <v>104</v>
      </c>
      <c r="B33" s="5" t="s">
        <v>105</v>
      </c>
      <c r="C33" s="5" t="s">
        <v>76</v>
      </c>
      <c r="D33" s="5" t="s">
        <v>77</v>
      </c>
      <c r="E33" s="5" t="s">
        <v>11</v>
      </c>
      <c r="F33" s="5" t="s">
        <v>12</v>
      </c>
      <c r="G33" s="5">
        <v>1</v>
      </c>
      <c r="H33" s="5"/>
      <c r="I33" s="5"/>
      <c r="J33" s="5"/>
      <c r="K33" s="5"/>
      <c r="L33" s="5"/>
      <c r="M33" s="5"/>
      <c r="N33" s="5"/>
      <c r="O33" s="5"/>
      <c r="P33" s="5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</row>
    <row r="34" spans="1:48" x14ac:dyDescent="0.3">
      <c r="A34" s="5" t="s">
        <v>106</v>
      </c>
      <c r="B34" s="5" t="s">
        <v>107</v>
      </c>
      <c r="C34" s="5" t="s">
        <v>76</v>
      </c>
      <c r="D34" s="5" t="s">
        <v>77</v>
      </c>
      <c r="E34" s="5" t="s">
        <v>11</v>
      </c>
      <c r="F34" s="5" t="s">
        <v>12</v>
      </c>
      <c r="G34" s="5">
        <v>1</v>
      </c>
      <c r="H34" s="5"/>
      <c r="I34" s="5"/>
      <c r="J34" s="5"/>
      <c r="K34" s="5"/>
      <c r="L34" s="5"/>
      <c r="M34" s="5"/>
      <c r="N34" s="5"/>
      <c r="O34" s="5"/>
      <c r="P34" s="5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</row>
    <row r="35" spans="1:48" x14ac:dyDescent="0.3">
      <c r="A35" s="4" t="s">
        <v>108</v>
      </c>
      <c r="B35" s="4" t="s">
        <v>109</v>
      </c>
      <c r="C35" s="4" t="s">
        <v>76</v>
      </c>
      <c r="D35" s="4" t="s">
        <v>77</v>
      </c>
      <c r="E35" s="4" t="s">
        <v>11</v>
      </c>
      <c r="F35" s="4" t="s">
        <v>12</v>
      </c>
      <c r="G35" s="4">
        <v>1</v>
      </c>
      <c r="H35" s="4"/>
      <c r="I35" s="4"/>
      <c r="J35" s="4"/>
      <c r="K35" s="4"/>
      <c r="L35" s="4"/>
      <c r="M35" s="4"/>
      <c r="N35" s="4"/>
      <c r="O35" s="4"/>
      <c r="P35" s="4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</row>
    <row r="36" spans="1:48" x14ac:dyDescent="0.3">
      <c r="A36" s="4" t="s">
        <v>110</v>
      </c>
      <c r="B36" s="4" t="s">
        <v>111</v>
      </c>
      <c r="C36" s="4" t="s">
        <v>112</v>
      </c>
      <c r="D36" s="4" t="s">
        <v>77</v>
      </c>
      <c r="E36" s="4" t="s">
        <v>11</v>
      </c>
      <c r="F36" s="4" t="s">
        <v>12</v>
      </c>
      <c r="G36" s="4">
        <v>1</v>
      </c>
      <c r="H36" s="4"/>
      <c r="I36" s="4"/>
      <c r="J36" s="4"/>
      <c r="K36" s="4"/>
      <c r="L36" s="4"/>
      <c r="M36" s="4"/>
      <c r="N36" s="4"/>
      <c r="O36" s="4"/>
      <c r="P36" s="4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</row>
    <row r="37" spans="1:48" x14ac:dyDescent="0.3">
      <c r="A37" s="5" t="s">
        <v>113</v>
      </c>
      <c r="B37" s="5" t="s">
        <v>114</v>
      </c>
      <c r="C37" s="5" t="s">
        <v>115</v>
      </c>
      <c r="D37" s="5" t="s">
        <v>77</v>
      </c>
      <c r="E37" s="5" t="s">
        <v>11</v>
      </c>
      <c r="F37" s="5" t="s">
        <v>12</v>
      </c>
      <c r="G37" s="5">
        <v>1</v>
      </c>
      <c r="H37" s="5"/>
      <c r="I37" s="5"/>
      <c r="J37" s="5"/>
      <c r="K37" s="5"/>
      <c r="L37" s="5"/>
      <c r="M37" s="5"/>
      <c r="N37" s="5"/>
      <c r="O37" s="5"/>
      <c r="P37" s="5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</row>
    <row r="38" spans="1:48" x14ac:dyDescent="0.3">
      <c r="A38" s="5" t="s">
        <v>116</v>
      </c>
      <c r="B38" s="5" t="s">
        <v>117</v>
      </c>
      <c r="C38" s="5" t="s">
        <v>115</v>
      </c>
      <c r="D38" s="5" t="s">
        <v>77</v>
      </c>
      <c r="E38" s="5" t="s">
        <v>11</v>
      </c>
      <c r="F38" s="5" t="s">
        <v>12</v>
      </c>
      <c r="G38" s="5">
        <v>1</v>
      </c>
      <c r="H38" s="5"/>
      <c r="I38" s="5"/>
      <c r="J38" s="5"/>
      <c r="K38" s="5"/>
      <c r="L38" s="5"/>
      <c r="M38" s="5"/>
      <c r="N38" s="5"/>
      <c r="O38" s="5"/>
      <c r="P38" s="5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</row>
    <row r="39" spans="1:48" x14ac:dyDescent="0.3">
      <c r="A39" s="4" t="s">
        <v>118</v>
      </c>
      <c r="B39" s="4" t="s">
        <v>119</v>
      </c>
      <c r="C39" s="4" t="s">
        <v>115</v>
      </c>
      <c r="D39" s="4" t="s">
        <v>77</v>
      </c>
      <c r="E39" s="4" t="s">
        <v>11</v>
      </c>
      <c r="F39" s="4" t="s">
        <v>12</v>
      </c>
      <c r="G39" s="4">
        <v>1</v>
      </c>
      <c r="H39" s="4"/>
      <c r="I39" s="4"/>
      <c r="J39" s="4"/>
      <c r="K39" s="4"/>
      <c r="L39" s="4"/>
      <c r="M39" s="4"/>
      <c r="N39" s="4"/>
      <c r="O39" s="4"/>
      <c r="P39" s="4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</row>
    <row r="40" spans="1:48" x14ac:dyDescent="0.3">
      <c r="A40" s="4" t="s">
        <v>120</v>
      </c>
      <c r="B40" s="4" t="s">
        <v>121</v>
      </c>
      <c r="C40" s="4" t="s">
        <v>112</v>
      </c>
      <c r="D40" s="4" t="s">
        <v>77</v>
      </c>
      <c r="E40" s="4" t="s">
        <v>11</v>
      </c>
      <c r="F40" s="4" t="s">
        <v>12</v>
      </c>
      <c r="G40" s="4">
        <v>1</v>
      </c>
      <c r="H40" s="4"/>
      <c r="I40" s="4"/>
      <c r="J40" s="4"/>
      <c r="K40" s="4"/>
      <c r="L40" s="4"/>
      <c r="M40" s="4"/>
      <c r="N40" s="4"/>
      <c r="O40" s="4"/>
      <c r="P40" s="4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</row>
    <row r="41" spans="1:48" x14ac:dyDescent="0.3">
      <c r="A41" s="5" t="s">
        <v>122</v>
      </c>
      <c r="B41" s="5" t="s">
        <v>123</v>
      </c>
      <c r="C41" s="5" t="s">
        <v>112</v>
      </c>
      <c r="D41" s="5" t="s">
        <v>77</v>
      </c>
      <c r="E41" s="5" t="s">
        <v>11</v>
      </c>
      <c r="F41" s="5" t="s">
        <v>12</v>
      </c>
      <c r="G41" s="5">
        <v>1</v>
      </c>
      <c r="H41" s="5"/>
      <c r="I41" s="5"/>
      <c r="J41" s="5"/>
      <c r="K41" s="5"/>
      <c r="L41" s="5"/>
      <c r="M41" s="5"/>
      <c r="N41" s="5"/>
      <c r="O41" s="5"/>
      <c r="P41" s="5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</row>
    <row r="42" spans="1:48" x14ac:dyDescent="0.3">
      <c r="A42" s="5" t="s">
        <v>124</v>
      </c>
      <c r="B42" s="5" t="s">
        <v>125</v>
      </c>
      <c r="C42" s="5" t="s">
        <v>112</v>
      </c>
      <c r="D42" s="5" t="s">
        <v>77</v>
      </c>
      <c r="E42" s="5" t="s">
        <v>11</v>
      </c>
      <c r="F42" s="5" t="s">
        <v>12</v>
      </c>
      <c r="G42" s="5">
        <v>1</v>
      </c>
      <c r="H42" s="5"/>
      <c r="I42" s="5"/>
      <c r="J42" s="5"/>
      <c r="K42" s="5"/>
      <c r="L42" s="5"/>
      <c r="M42" s="5"/>
      <c r="N42" s="5"/>
      <c r="O42" s="5"/>
      <c r="P42" s="5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</row>
    <row r="43" spans="1:48" x14ac:dyDescent="0.3">
      <c r="A43" s="4" t="s">
        <v>126</v>
      </c>
      <c r="B43" s="4" t="s">
        <v>127</v>
      </c>
      <c r="C43" s="4" t="s">
        <v>112</v>
      </c>
      <c r="D43" s="4" t="s">
        <v>77</v>
      </c>
      <c r="E43" s="4" t="s">
        <v>11</v>
      </c>
      <c r="F43" s="4" t="s">
        <v>12</v>
      </c>
      <c r="G43" s="4">
        <v>1</v>
      </c>
      <c r="H43" s="4"/>
      <c r="I43" s="4"/>
      <c r="J43" s="4"/>
      <c r="K43" s="4"/>
      <c r="L43" s="4"/>
      <c r="M43" s="4"/>
      <c r="N43" s="4"/>
      <c r="O43" s="4"/>
      <c r="P43" s="4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</row>
    <row r="44" spans="1:48" x14ac:dyDescent="0.3">
      <c r="A44" s="4" t="s">
        <v>128</v>
      </c>
      <c r="B44" s="4" t="s">
        <v>129</v>
      </c>
      <c r="C44" s="4" t="s">
        <v>112</v>
      </c>
      <c r="D44" s="4" t="s">
        <v>77</v>
      </c>
      <c r="E44" s="4" t="s">
        <v>11</v>
      </c>
      <c r="F44" s="4" t="s">
        <v>12</v>
      </c>
      <c r="G44" s="4">
        <v>1</v>
      </c>
      <c r="H44" s="4"/>
      <c r="I44" s="4"/>
      <c r="J44" s="4"/>
      <c r="K44" s="4"/>
      <c r="L44" s="4"/>
      <c r="M44" s="4"/>
      <c r="N44" s="4"/>
      <c r="O44" s="4"/>
      <c r="P44" s="4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</row>
    <row r="45" spans="1:48" x14ac:dyDescent="0.3">
      <c r="A45" s="5" t="s">
        <v>130</v>
      </c>
      <c r="B45" s="5" t="s">
        <v>131</v>
      </c>
      <c r="C45" s="5" t="s">
        <v>112</v>
      </c>
      <c r="D45" s="5" t="s">
        <v>77</v>
      </c>
      <c r="E45" s="5" t="s">
        <v>11</v>
      </c>
      <c r="F45" s="5" t="s">
        <v>12</v>
      </c>
      <c r="G45" s="5">
        <v>1</v>
      </c>
      <c r="H45" s="5"/>
      <c r="I45" s="5"/>
      <c r="J45" s="5"/>
      <c r="K45" s="5"/>
      <c r="L45" s="5"/>
      <c r="M45" s="5"/>
      <c r="N45" s="5"/>
      <c r="O45" s="5"/>
      <c r="P45" s="5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</row>
    <row r="46" spans="1:48" x14ac:dyDescent="0.3">
      <c r="A46" s="5" t="s">
        <v>132</v>
      </c>
      <c r="B46" s="5" t="s">
        <v>133</v>
      </c>
      <c r="C46" s="5" t="s">
        <v>112</v>
      </c>
      <c r="D46" s="5" t="s">
        <v>77</v>
      </c>
      <c r="E46" s="5" t="s">
        <v>11</v>
      </c>
      <c r="F46" s="5" t="s">
        <v>12</v>
      </c>
      <c r="G46" s="5">
        <v>1</v>
      </c>
      <c r="H46" s="5"/>
      <c r="I46" s="5"/>
      <c r="J46" s="5"/>
      <c r="K46" s="5"/>
      <c r="L46" s="5"/>
      <c r="M46" s="5"/>
      <c r="N46" s="5"/>
      <c r="O46" s="5"/>
      <c r="P46" s="5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112"/>
  <sheetViews>
    <sheetView topLeftCell="E1" zoomScale="70" zoomScaleNormal="70" workbookViewId="0">
      <pane ySplit="1" topLeftCell="A53" activePane="bottomLeft" state="frozen"/>
      <selection pane="bottomLeft" activeCell="I2" sqref="I2:P112"/>
    </sheetView>
  </sheetViews>
  <sheetFormatPr baseColWidth="10" defaultColWidth="8.88671875" defaultRowHeight="14.4" x14ac:dyDescent="0.3"/>
  <cols>
    <col min="1" max="1" width="16.88671875" customWidth="1"/>
    <col min="2" max="2" width="70.109375" customWidth="1"/>
    <col min="3" max="3" width="13.109375" bestFit="1" customWidth="1"/>
    <col min="4" max="4" width="36.44140625" customWidth="1"/>
    <col min="5" max="5" width="8.88671875" customWidth="1"/>
    <col min="6" max="6" width="14.44140625" customWidth="1"/>
    <col min="7" max="7" width="15.44140625" customWidth="1"/>
    <col min="8" max="16" width="19.44140625" customWidth="1"/>
    <col min="17" max="23" width="11.88671875" bestFit="1" customWidth="1"/>
    <col min="70" max="70" width="13.109375" customWidth="1"/>
  </cols>
  <sheetData>
    <row r="1" spans="1:70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2" t="s">
        <v>134</v>
      </c>
      <c r="G1" s="6" t="s">
        <v>5</v>
      </c>
      <c r="H1" s="6" t="s">
        <v>6</v>
      </c>
      <c r="I1" s="6">
        <v>2010</v>
      </c>
      <c r="J1" s="6">
        <v>2011</v>
      </c>
      <c r="K1" s="6">
        <v>2012</v>
      </c>
      <c r="L1" s="6">
        <v>2013</v>
      </c>
      <c r="M1" s="6">
        <v>2014</v>
      </c>
      <c r="N1" s="6">
        <v>2015</v>
      </c>
      <c r="O1" s="6">
        <v>2016</v>
      </c>
      <c r="P1" s="6">
        <v>2017</v>
      </c>
      <c r="Q1" s="6">
        <v>2018</v>
      </c>
      <c r="R1" s="6">
        <v>2019</v>
      </c>
      <c r="S1" s="6">
        <v>2020</v>
      </c>
      <c r="T1" s="6">
        <v>2021</v>
      </c>
      <c r="U1" s="6">
        <v>2022</v>
      </c>
      <c r="V1" s="6">
        <v>2023</v>
      </c>
      <c r="W1" s="6">
        <v>2024</v>
      </c>
      <c r="X1" s="6">
        <v>2025</v>
      </c>
      <c r="Y1" s="6">
        <v>2026</v>
      </c>
      <c r="Z1" s="6">
        <v>2027</v>
      </c>
      <c r="AA1" s="6">
        <v>2028</v>
      </c>
      <c r="AB1" s="6">
        <v>2029</v>
      </c>
      <c r="AC1" s="6">
        <v>2030</v>
      </c>
      <c r="AD1" s="6">
        <v>2031</v>
      </c>
      <c r="AE1" s="6">
        <v>2032</v>
      </c>
      <c r="AF1" s="6">
        <v>2033</v>
      </c>
      <c r="AG1" s="6">
        <v>2034</v>
      </c>
      <c r="AH1" s="6">
        <v>2035</v>
      </c>
      <c r="AI1" s="6">
        <v>2036</v>
      </c>
      <c r="AJ1" s="6">
        <v>2037</v>
      </c>
      <c r="AK1" s="6">
        <v>2038</v>
      </c>
      <c r="AL1" s="6">
        <v>2039</v>
      </c>
      <c r="AM1" s="6">
        <v>2040</v>
      </c>
      <c r="AN1" s="6">
        <v>2041</v>
      </c>
      <c r="AO1" s="6">
        <v>2042</v>
      </c>
      <c r="AP1" s="6">
        <v>2043</v>
      </c>
      <c r="AQ1" s="6">
        <v>2044</v>
      </c>
      <c r="AR1" s="6">
        <v>2045</v>
      </c>
      <c r="AS1" s="6">
        <v>2046</v>
      </c>
      <c r="AT1" s="6">
        <v>2047</v>
      </c>
      <c r="AU1" s="6">
        <v>2048</v>
      </c>
      <c r="AV1" s="6">
        <v>2049</v>
      </c>
      <c r="AW1" s="6">
        <v>2050</v>
      </c>
      <c r="AX1" s="6">
        <v>2051</v>
      </c>
      <c r="AY1" s="6">
        <v>2052</v>
      </c>
      <c r="AZ1" s="6">
        <v>2053</v>
      </c>
      <c r="BA1" s="6">
        <v>2054</v>
      </c>
      <c r="BB1" s="6">
        <v>2055</v>
      </c>
      <c r="BC1" s="6">
        <v>2056</v>
      </c>
      <c r="BD1" s="6">
        <v>2057</v>
      </c>
      <c r="BE1" s="6">
        <v>2058</v>
      </c>
      <c r="BF1" s="6">
        <v>2059</v>
      </c>
      <c r="BG1" s="6">
        <v>2060</v>
      </c>
      <c r="BH1" s="6">
        <v>2061</v>
      </c>
      <c r="BI1" s="6">
        <v>2062</v>
      </c>
      <c r="BJ1" s="6">
        <v>2063</v>
      </c>
      <c r="BK1" s="6">
        <v>2064</v>
      </c>
      <c r="BL1" s="6">
        <v>2065</v>
      </c>
      <c r="BM1" s="6">
        <v>2066</v>
      </c>
      <c r="BN1" s="6">
        <v>2067</v>
      </c>
      <c r="BO1" s="6">
        <v>2068</v>
      </c>
      <c r="BP1" s="6">
        <v>2069</v>
      </c>
      <c r="BQ1" s="6">
        <v>2070</v>
      </c>
      <c r="BR1" s="6" t="s">
        <v>135</v>
      </c>
    </row>
    <row r="2" spans="1:70" x14ac:dyDescent="0.3">
      <c r="A2" s="5" t="s">
        <v>234</v>
      </c>
      <c r="B2" s="5" t="s">
        <v>235</v>
      </c>
      <c r="C2" s="5" t="s">
        <v>232</v>
      </c>
      <c r="D2" s="5" t="s">
        <v>233</v>
      </c>
      <c r="E2" s="5" t="s">
        <v>139</v>
      </c>
      <c r="F2" s="7" t="s">
        <v>176</v>
      </c>
      <c r="G2" s="5" t="s">
        <v>140</v>
      </c>
      <c r="H2" s="5">
        <v>0</v>
      </c>
      <c r="I2" s="3">
        <v>0.01</v>
      </c>
      <c r="J2" s="3">
        <v>0.01</v>
      </c>
      <c r="K2" s="3">
        <v>0.01</v>
      </c>
      <c r="L2" s="3">
        <v>0.01</v>
      </c>
      <c r="M2" s="3">
        <v>0.01</v>
      </c>
      <c r="N2" s="3">
        <v>0.01</v>
      </c>
      <c r="O2" s="3">
        <v>0.01</v>
      </c>
      <c r="P2" s="3">
        <v>0.01</v>
      </c>
      <c r="Q2" s="3">
        <v>0.01</v>
      </c>
      <c r="R2" s="3">
        <v>0.01</v>
      </c>
      <c r="S2" s="3">
        <v>0.01</v>
      </c>
      <c r="T2" s="3">
        <v>0.01</v>
      </c>
      <c r="U2" s="3">
        <v>0.01</v>
      </c>
      <c r="V2" s="3">
        <v>0.01</v>
      </c>
      <c r="W2" s="3">
        <v>0.01</v>
      </c>
      <c r="X2" s="3">
        <v>0.01</v>
      </c>
      <c r="Y2" s="3">
        <v>0.01</v>
      </c>
      <c r="Z2" s="3">
        <v>0.01</v>
      </c>
      <c r="AA2" s="3">
        <v>0.01</v>
      </c>
      <c r="AB2" s="3">
        <v>0.01</v>
      </c>
      <c r="AC2" s="3">
        <v>0.01</v>
      </c>
      <c r="AD2" s="3">
        <v>0.01</v>
      </c>
      <c r="AE2" s="3">
        <v>0.01</v>
      </c>
      <c r="AF2" s="3">
        <v>0.01</v>
      </c>
      <c r="AG2" s="3">
        <v>0.01</v>
      </c>
      <c r="AH2" s="3">
        <v>0.01</v>
      </c>
      <c r="AI2" s="3">
        <v>0.01</v>
      </c>
      <c r="AJ2" s="3">
        <v>0.01</v>
      </c>
      <c r="AK2" s="3">
        <v>0.01</v>
      </c>
      <c r="AL2" s="3">
        <v>0.01</v>
      </c>
      <c r="AM2" s="3">
        <v>0.01</v>
      </c>
      <c r="AN2" s="3">
        <v>0.01</v>
      </c>
      <c r="AO2" s="3">
        <v>0.01</v>
      </c>
      <c r="AP2" s="3">
        <v>0.01</v>
      </c>
      <c r="AQ2" s="3">
        <v>0.01</v>
      </c>
      <c r="AR2" s="3">
        <v>0.01</v>
      </c>
      <c r="AS2" s="3">
        <v>0.01</v>
      </c>
      <c r="AT2" s="3">
        <v>0.01</v>
      </c>
      <c r="AU2" s="3">
        <v>0.01</v>
      </c>
      <c r="AV2" s="3">
        <v>0.01</v>
      </c>
      <c r="AW2" s="3">
        <v>0.01</v>
      </c>
      <c r="AX2" s="3">
        <v>0.01</v>
      </c>
      <c r="AY2" s="3">
        <v>0.01</v>
      </c>
      <c r="AZ2" s="3">
        <v>0.01</v>
      </c>
      <c r="BA2" s="3">
        <v>0.01</v>
      </c>
      <c r="BB2" s="3">
        <v>0.01</v>
      </c>
      <c r="BC2" s="3">
        <v>0.01</v>
      </c>
      <c r="BD2" s="3">
        <v>0.01</v>
      </c>
      <c r="BE2" s="3">
        <v>0.01</v>
      </c>
      <c r="BF2" s="3">
        <v>0.01</v>
      </c>
      <c r="BG2" s="3">
        <v>0.01</v>
      </c>
      <c r="BH2" s="3">
        <v>0.01</v>
      </c>
      <c r="BI2" s="3">
        <v>0.01</v>
      </c>
      <c r="BJ2" s="3">
        <v>0.01</v>
      </c>
      <c r="BK2" s="3">
        <v>0.01</v>
      </c>
      <c r="BL2" s="3">
        <v>0.01</v>
      </c>
      <c r="BM2" s="3">
        <v>0.01</v>
      </c>
      <c r="BN2" s="3">
        <v>0.01</v>
      </c>
      <c r="BO2" s="3">
        <v>0.01</v>
      </c>
      <c r="BP2" s="3">
        <v>0.01</v>
      </c>
      <c r="BQ2" s="3">
        <v>0.01</v>
      </c>
      <c r="BR2" s="26"/>
    </row>
    <row r="3" spans="1:70" x14ac:dyDescent="0.3">
      <c r="A3" s="5" t="s">
        <v>234</v>
      </c>
      <c r="B3" s="5" t="s">
        <v>235</v>
      </c>
      <c r="C3" s="24" t="s">
        <v>236</v>
      </c>
      <c r="D3" s="5" t="s">
        <v>237</v>
      </c>
      <c r="E3" s="5" t="s">
        <v>11</v>
      </c>
      <c r="F3" s="7"/>
      <c r="G3" s="5" t="s">
        <v>140</v>
      </c>
      <c r="H3" s="5">
        <v>0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1</v>
      </c>
      <c r="AA3" s="3">
        <v>1</v>
      </c>
      <c r="AB3" s="3">
        <v>1</v>
      </c>
      <c r="AC3" s="3">
        <v>1</v>
      </c>
      <c r="AD3" s="3">
        <v>1</v>
      </c>
      <c r="AE3" s="3">
        <v>1</v>
      </c>
      <c r="AF3" s="3">
        <v>1</v>
      </c>
      <c r="AG3" s="3">
        <v>1</v>
      </c>
      <c r="AH3" s="3">
        <v>1</v>
      </c>
      <c r="AI3" s="3">
        <v>1</v>
      </c>
      <c r="AJ3" s="3">
        <v>1</v>
      </c>
      <c r="AK3" s="3">
        <v>1</v>
      </c>
      <c r="AL3" s="3">
        <v>1</v>
      </c>
      <c r="AM3" s="3">
        <v>1</v>
      </c>
      <c r="AN3" s="3">
        <v>1</v>
      </c>
      <c r="AO3" s="3">
        <v>1</v>
      </c>
      <c r="AP3" s="3">
        <v>1</v>
      </c>
      <c r="AQ3" s="3">
        <v>1</v>
      </c>
      <c r="AR3" s="3">
        <v>1</v>
      </c>
      <c r="AS3" s="3">
        <v>1</v>
      </c>
      <c r="AT3" s="3">
        <v>1</v>
      </c>
      <c r="AU3" s="3">
        <v>1</v>
      </c>
      <c r="AV3" s="3">
        <v>1</v>
      </c>
      <c r="AW3" s="3">
        <v>1</v>
      </c>
      <c r="AX3" s="3">
        <v>1</v>
      </c>
      <c r="AY3" s="3">
        <v>1</v>
      </c>
      <c r="AZ3" s="3">
        <v>1</v>
      </c>
      <c r="BA3" s="3">
        <v>1</v>
      </c>
      <c r="BB3" s="3">
        <v>1</v>
      </c>
      <c r="BC3" s="3">
        <v>1</v>
      </c>
      <c r="BD3" s="3">
        <v>1</v>
      </c>
      <c r="BE3" s="3">
        <v>1</v>
      </c>
      <c r="BF3" s="3">
        <v>1</v>
      </c>
      <c r="BG3" s="3">
        <v>1</v>
      </c>
      <c r="BH3" s="3">
        <v>1</v>
      </c>
      <c r="BI3" s="3">
        <v>1</v>
      </c>
      <c r="BJ3" s="3">
        <v>1</v>
      </c>
      <c r="BK3" s="3">
        <v>1</v>
      </c>
      <c r="BL3" s="3">
        <v>1</v>
      </c>
      <c r="BM3" s="3">
        <v>1</v>
      </c>
      <c r="BN3" s="3">
        <v>1</v>
      </c>
      <c r="BO3" s="3">
        <v>1</v>
      </c>
      <c r="BP3" s="3">
        <v>1</v>
      </c>
      <c r="BQ3" s="3">
        <v>1</v>
      </c>
      <c r="BR3" s="26"/>
    </row>
    <row r="4" spans="1:70" x14ac:dyDescent="0.3">
      <c r="A4" s="5" t="s">
        <v>234</v>
      </c>
      <c r="B4" s="5" t="s">
        <v>235</v>
      </c>
      <c r="C4" s="5" t="s">
        <v>15</v>
      </c>
      <c r="D4" s="5" t="s">
        <v>16</v>
      </c>
      <c r="E4" s="5" t="s">
        <v>139</v>
      </c>
      <c r="F4" s="7" t="s">
        <v>176</v>
      </c>
      <c r="G4" s="5" t="s">
        <v>140</v>
      </c>
      <c r="H4" s="5">
        <v>0</v>
      </c>
      <c r="I4" s="3">
        <v>0.99</v>
      </c>
      <c r="J4" s="3">
        <v>0.99</v>
      </c>
      <c r="K4" s="3">
        <v>0.99</v>
      </c>
      <c r="L4" s="3">
        <v>0.99</v>
      </c>
      <c r="M4" s="3">
        <v>0.99</v>
      </c>
      <c r="N4" s="3">
        <v>0.99</v>
      </c>
      <c r="O4" s="3">
        <v>0.99</v>
      </c>
      <c r="P4" s="3">
        <v>0.99</v>
      </c>
      <c r="Q4" s="3">
        <v>0.99</v>
      </c>
      <c r="R4" s="3">
        <v>0.99</v>
      </c>
      <c r="S4" s="3">
        <v>0.99</v>
      </c>
      <c r="T4" s="3">
        <v>0.99</v>
      </c>
      <c r="U4" s="3">
        <v>0.99</v>
      </c>
      <c r="V4" s="3">
        <v>0.99</v>
      </c>
      <c r="W4" s="3">
        <v>0.99</v>
      </c>
      <c r="X4" s="3">
        <v>0.99</v>
      </c>
      <c r="Y4" s="3">
        <v>0.99</v>
      </c>
      <c r="Z4" s="3">
        <v>0.99</v>
      </c>
      <c r="AA4" s="3">
        <v>0.99</v>
      </c>
      <c r="AB4" s="3">
        <v>0.99</v>
      </c>
      <c r="AC4" s="3">
        <v>0.99</v>
      </c>
      <c r="AD4" s="3">
        <v>0.99</v>
      </c>
      <c r="AE4" s="3">
        <v>0.99</v>
      </c>
      <c r="AF4" s="3">
        <v>0.99</v>
      </c>
      <c r="AG4" s="3">
        <v>0.99</v>
      </c>
      <c r="AH4" s="3">
        <v>0.99</v>
      </c>
      <c r="AI4" s="3">
        <v>0.99</v>
      </c>
      <c r="AJ4" s="3">
        <v>0.99</v>
      </c>
      <c r="AK4" s="3">
        <v>0.99</v>
      </c>
      <c r="AL4" s="3">
        <v>0.99</v>
      </c>
      <c r="AM4" s="3">
        <v>0.99</v>
      </c>
      <c r="AN4" s="3">
        <v>0.99</v>
      </c>
      <c r="AO4" s="3">
        <v>0.99</v>
      </c>
      <c r="AP4" s="3">
        <v>0.99</v>
      </c>
      <c r="AQ4" s="3">
        <v>0.99</v>
      </c>
      <c r="AR4" s="3">
        <v>0.99</v>
      </c>
      <c r="AS4" s="3">
        <v>0.99</v>
      </c>
      <c r="AT4" s="3">
        <v>0.99</v>
      </c>
      <c r="AU4" s="3">
        <v>0.99</v>
      </c>
      <c r="AV4" s="3">
        <v>0.99</v>
      </c>
      <c r="AW4" s="3">
        <v>0.99</v>
      </c>
      <c r="AX4" s="3">
        <v>0.99</v>
      </c>
      <c r="AY4" s="3">
        <v>0.99</v>
      </c>
      <c r="AZ4" s="3">
        <v>0.99</v>
      </c>
      <c r="BA4" s="3">
        <v>0.99</v>
      </c>
      <c r="BB4" s="3">
        <v>0.99</v>
      </c>
      <c r="BC4" s="3">
        <v>0.99</v>
      </c>
      <c r="BD4" s="3">
        <v>0.99</v>
      </c>
      <c r="BE4" s="3">
        <v>0.99</v>
      </c>
      <c r="BF4" s="3">
        <v>0.99</v>
      </c>
      <c r="BG4" s="3">
        <v>0.99</v>
      </c>
      <c r="BH4" s="3">
        <v>0.99</v>
      </c>
      <c r="BI4" s="3">
        <v>0.99</v>
      </c>
      <c r="BJ4" s="3">
        <v>0.99</v>
      </c>
      <c r="BK4" s="3">
        <v>0.99</v>
      </c>
      <c r="BL4" s="3">
        <v>0.99</v>
      </c>
      <c r="BM4" s="3">
        <v>0.99</v>
      </c>
      <c r="BN4" s="3">
        <v>0.99</v>
      </c>
      <c r="BO4" s="3">
        <v>0.99</v>
      </c>
      <c r="BP4" s="3">
        <v>0.99</v>
      </c>
      <c r="BQ4" s="3">
        <v>0.99</v>
      </c>
      <c r="BR4" s="26"/>
    </row>
    <row r="5" spans="1:70" x14ac:dyDescent="0.3">
      <c r="A5" s="4" t="s">
        <v>242</v>
      </c>
      <c r="B5" s="4" t="s">
        <v>243</v>
      </c>
      <c r="C5" s="4" t="s">
        <v>240</v>
      </c>
      <c r="D5" s="4" t="s">
        <v>241</v>
      </c>
      <c r="E5" s="4" t="s">
        <v>139</v>
      </c>
      <c r="F5" s="7" t="s">
        <v>176</v>
      </c>
      <c r="G5" s="4" t="s">
        <v>140</v>
      </c>
      <c r="H5" s="4">
        <v>0</v>
      </c>
      <c r="I5" s="3">
        <v>0.01</v>
      </c>
      <c r="J5" s="3">
        <v>0.01</v>
      </c>
      <c r="K5" s="3">
        <v>0.01</v>
      </c>
      <c r="L5" s="3">
        <v>0.01</v>
      </c>
      <c r="M5" s="3">
        <v>0.01</v>
      </c>
      <c r="N5" s="3">
        <v>0.01</v>
      </c>
      <c r="O5" s="3">
        <v>0.01</v>
      </c>
      <c r="P5" s="3">
        <v>0.01</v>
      </c>
      <c r="Q5" s="3">
        <v>0.01</v>
      </c>
      <c r="R5" s="3">
        <v>0.01</v>
      </c>
      <c r="S5" s="3">
        <v>0.01</v>
      </c>
      <c r="T5" s="3">
        <v>0.01</v>
      </c>
      <c r="U5" s="3">
        <v>0.01</v>
      </c>
      <c r="V5" s="3">
        <v>0.01</v>
      </c>
      <c r="W5" s="3">
        <v>0.01</v>
      </c>
      <c r="X5" s="3">
        <v>0.01</v>
      </c>
      <c r="Y5" s="3">
        <v>0.01</v>
      </c>
      <c r="Z5" s="3">
        <v>0.01</v>
      </c>
      <c r="AA5" s="3">
        <v>0.01</v>
      </c>
      <c r="AB5" s="3">
        <v>0.01</v>
      </c>
      <c r="AC5" s="3">
        <v>0.01</v>
      </c>
      <c r="AD5" s="3">
        <v>0.01</v>
      </c>
      <c r="AE5" s="3">
        <v>0.01</v>
      </c>
      <c r="AF5" s="3">
        <v>0.01</v>
      </c>
      <c r="AG5" s="3">
        <v>0.01</v>
      </c>
      <c r="AH5" s="3">
        <v>0.01</v>
      </c>
      <c r="AI5" s="3">
        <v>0.01</v>
      </c>
      <c r="AJ5" s="3">
        <v>0.01</v>
      </c>
      <c r="AK5" s="3">
        <v>0.01</v>
      </c>
      <c r="AL5" s="3">
        <v>0.01</v>
      </c>
      <c r="AM5" s="3">
        <v>0.01</v>
      </c>
      <c r="AN5" s="3">
        <v>0.01</v>
      </c>
      <c r="AO5" s="3">
        <v>0.01</v>
      </c>
      <c r="AP5" s="3">
        <v>0.01</v>
      </c>
      <c r="AQ5" s="3">
        <v>0.01</v>
      </c>
      <c r="AR5" s="3">
        <v>0.01</v>
      </c>
      <c r="AS5" s="3">
        <v>0.01</v>
      </c>
      <c r="AT5" s="3">
        <v>0.01</v>
      </c>
      <c r="AU5" s="3">
        <v>0.01</v>
      </c>
      <c r="AV5" s="3">
        <v>0.01</v>
      </c>
      <c r="AW5" s="3">
        <v>0.01</v>
      </c>
      <c r="AX5" s="3">
        <v>0.01</v>
      </c>
      <c r="AY5" s="3">
        <v>0.01</v>
      </c>
      <c r="AZ5" s="3">
        <v>0.01</v>
      </c>
      <c r="BA5" s="3">
        <v>0.01</v>
      </c>
      <c r="BB5" s="3">
        <v>0.01</v>
      </c>
      <c r="BC5" s="3">
        <v>0.01</v>
      </c>
      <c r="BD5" s="3">
        <v>0.01</v>
      </c>
      <c r="BE5" s="3">
        <v>0.01</v>
      </c>
      <c r="BF5" s="3">
        <v>0.01</v>
      </c>
      <c r="BG5" s="3">
        <v>0.01</v>
      </c>
      <c r="BH5" s="3">
        <v>0.01</v>
      </c>
      <c r="BI5" s="3">
        <v>0.01</v>
      </c>
      <c r="BJ5" s="3">
        <v>0.01</v>
      </c>
      <c r="BK5" s="3">
        <v>0.01</v>
      </c>
      <c r="BL5" s="3">
        <v>0.01</v>
      </c>
      <c r="BM5" s="3">
        <v>0.01</v>
      </c>
      <c r="BN5" s="3">
        <v>0.01</v>
      </c>
      <c r="BO5" s="3">
        <v>0.01</v>
      </c>
      <c r="BP5" s="3">
        <v>0.01</v>
      </c>
      <c r="BQ5" s="3">
        <v>0.01</v>
      </c>
      <c r="BR5" s="26"/>
    </row>
    <row r="6" spans="1:70" x14ac:dyDescent="0.3">
      <c r="A6" s="4" t="s">
        <v>242</v>
      </c>
      <c r="B6" s="4" t="s">
        <v>243</v>
      </c>
      <c r="C6" s="4" t="s">
        <v>244</v>
      </c>
      <c r="D6" s="4" t="s">
        <v>245</v>
      </c>
      <c r="E6" s="4" t="s">
        <v>11</v>
      </c>
      <c r="F6" s="7"/>
      <c r="G6" s="4" t="s">
        <v>140</v>
      </c>
      <c r="H6" s="4">
        <v>0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3">
        <v>1</v>
      </c>
      <c r="AE6" s="3">
        <v>1</v>
      </c>
      <c r="AF6" s="3">
        <v>1</v>
      </c>
      <c r="AG6" s="3">
        <v>1</v>
      </c>
      <c r="AH6" s="3">
        <v>1</v>
      </c>
      <c r="AI6" s="3">
        <v>1</v>
      </c>
      <c r="AJ6" s="3">
        <v>1</v>
      </c>
      <c r="AK6" s="3">
        <v>1</v>
      </c>
      <c r="AL6" s="3">
        <v>1</v>
      </c>
      <c r="AM6" s="3">
        <v>1</v>
      </c>
      <c r="AN6" s="3">
        <v>1</v>
      </c>
      <c r="AO6" s="3">
        <v>1</v>
      </c>
      <c r="AP6" s="3">
        <v>1</v>
      </c>
      <c r="AQ6" s="3">
        <v>1</v>
      </c>
      <c r="AR6" s="3">
        <v>1</v>
      </c>
      <c r="AS6" s="3">
        <v>1</v>
      </c>
      <c r="AT6" s="3">
        <v>1</v>
      </c>
      <c r="AU6" s="3">
        <v>1</v>
      </c>
      <c r="AV6" s="3">
        <v>1</v>
      </c>
      <c r="AW6" s="3">
        <v>1</v>
      </c>
      <c r="AX6" s="3">
        <v>1</v>
      </c>
      <c r="AY6" s="3">
        <v>1</v>
      </c>
      <c r="AZ6" s="3">
        <v>1</v>
      </c>
      <c r="BA6" s="3">
        <v>1</v>
      </c>
      <c r="BB6" s="3">
        <v>1</v>
      </c>
      <c r="BC6" s="3">
        <v>1</v>
      </c>
      <c r="BD6" s="3">
        <v>1</v>
      </c>
      <c r="BE6" s="3">
        <v>1</v>
      </c>
      <c r="BF6" s="3">
        <v>1</v>
      </c>
      <c r="BG6" s="3">
        <v>1</v>
      </c>
      <c r="BH6" s="3">
        <v>1</v>
      </c>
      <c r="BI6" s="3">
        <v>1</v>
      </c>
      <c r="BJ6" s="3">
        <v>1</v>
      </c>
      <c r="BK6" s="3">
        <v>1</v>
      </c>
      <c r="BL6" s="3">
        <v>1</v>
      </c>
      <c r="BM6" s="3">
        <v>1</v>
      </c>
      <c r="BN6" s="3">
        <v>1</v>
      </c>
      <c r="BO6" s="3">
        <v>1</v>
      </c>
      <c r="BP6" s="3">
        <v>1</v>
      </c>
      <c r="BQ6" s="3">
        <v>1</v>
      </c>
      <c r="BR6" s="26"/>
    </row>
    <row r="7" spans="1:70" x14ac:dyDescent="0.3">
      <c r="A7" s="4" t="s">
        <v>242</v>
      </c>
      <c r="B7" s="4" t="s">
        <v>243</v>
      </c>
      <c r="C7" s="4" t="s">
        <v>19</v>
      </c>
      <c r="D7" s="4" t="s">
        <v>20</v>
      </c>
      <c r="E7" s="4" t="s">
        <v>139</v>
      </c>
      <c r="F7" s="7" t="s">
        <v>176</v>
      </c>
      <c r="G7" s="4" t="s">
        <v>140</v>
      </c>
      <c r="H7" s="4">
        <v>0</v>
      </c>
      <c r="I7" s="3">
        <v>0.99</v>
      </c>
      <c r="J7" s="3">
        <v>0.99</v>
      </c>
      <c r="K7" s="3">
        <v>0.99</v>
      </c>
      <c r="L7" s="3">
        <v>0.99</v>
      </c>
      <c r="M7" s="3">
        <v>0.99</v>
      </c>
      <c r="N7" s="3">
        <v>0.99</v>
      </c>
      <c r="O7" s="3">
        <v>0.99</v>
      </c>
      <c r="P7" s="3">
        <v>0.99</v>
      </c>
      <c r="Q7" s="3">
        <v>0.99</v>
      </c>
      <c r="R7" s="3">
        <v>0.99</v>
      </c>
      <c r="S7" s="3">
        <v>0.99</v>
      </c>
      <c r="T7" s="3">
        <v>0.99</v>
      </c>
      <c r="U7" s="3">
        <v>0.99</v>
      </c>
      <c r="V7" s="3">
        <v>0.99</v>
      </c>
      <c r="W7" s="3">
        <v>0.99</v>
      </c>
      <c r="X7" s="3">
        <v>0.99</v>
      </c>
      <c r="Y7" s="3">
        <v>0.99</v>
      </c>
      <c r="Z7" s="3">
        <v>0.99</v>
      </c>
      <c r="AA7" s="3">
        <v>0.99</v>
      </c>
      <c r="AB7" s="3">
        <v>0.99</v>
      </c>
      <c r="AC7" s="3">
        <v>0.99</v>
      </c>
      <c r="AD7" s="3">
        <v>0.99</v>
      </c>
      <c r="AE7" s="3">
        <v>0.99</v>
      </c>
      <c r="AF7" s="3">
        <v>0.99</v>
      </c>
      <c r="AG7" s="3">
        <v>0.99</v>
      </c>
      <c r="AH7" s="3">
        <v>0.99</v>
      </c>
      <c r="AI7" s="3">
        <v>0.99</v>
      </c>
      <c r="AJ7" s="3">
        <v>0.99</v>
      </c>
      <c r="AK7" s="3">
        <v>0.99</v>
      </c>
      <c r="AL7" s="3">
        <v>0.99</v>
      </c>
      <c r="AM7" s="3">
        <v>0.99</v>
      </c>
      <c r="AN7" s="3">
        <v>0.99</v>
      </c>
      <c r="AO7" s="3">
        <v>0.99</v>
      </c>
      <c r="AP7" s="3">
        <v>0.99</v>
      </c>
      <c r="AQ7" s="3">
        <v>0.99</v>
      </c>
      <c r="AR7" s="3">
        <v>0.99</v>
      </c>
      <c r="AS7" s="3">
        <v>0.99</v>
      </c>
      <c r="AT7" s="3">
        <v>0.99</v>
      </c>
      <c r="AU7" s="3">
        <v>0.99</v>
      </c>
      <c r="AV7" s="3">
        <v>0.99</v>
      </c>
      <c r="AW7" s="3">
        <v>0.99</v>
      </c>
      <c r="AX7" s="3">
        <v>0.99</v>
      </c>
      <c r="AY7" s="3">
        <v>0.99</v>
      </c>
      <c r="AZ7" s="3">
        <v>0.99</v>
      </c>
      <c r="BA7" s="3">
        <v>0.99</v>
      </c>
      <c r="BB7" s="3">
        <v>0.99</v>
      </c>
      <c r="BC7" s="3">
        <v>0.99</v>
      </c>
      <c r="BD7" s="3">
        <v>0.99</v>
      </c>
      <c r="BE7" s="3">
        <v>0.99</v>
      </c>
      <c r="BF7" s="3">
        <v>0.99</v>
      </c>
      <c r="BG7" s="3">
        <v>0.99</v>
      </c>
      <c r="BH7" s="3">
        <v>0.99</v>
      </c>
      <c r="BI7" s="3">
        <v>0.99</v>
      </c>
      <c r="BJ7" s="3">
        <v>0.99</v>
      </c>
      <c r="BK7" s="3">
        <v>0.99</v>
      </c>
      <c r="BL7" s="3">
        <v>0.99</v>
      </c>
      <c r="BM7" s="3">
        <v>0.99</v>
      </c>
      <c r="BN7" s="3">
        <v>0.99</v>
      </c>
      <c r="BO7" s="3">
        <v>0.99</v>
      </c>
      <c r="BP7" s="3">
        <v>0.99</v>
      </c>
      <c r="BQ7" s="3">
        <v>0.99</v>
      </c>
      <c r="BR7" s="26"/>
    </row>
    <row r="8" spans="1:70" x14ac:dyDescent="0.3">
      <c r="A8" s="16" t="s">
        <v>734</v>
      </c>
      <c r="B8" s="16" t="s">
        <v>737</v>
      </c>
      <c r="C8" s="24" t="s">
        <v>177</v>
      </c>
      <c r="D8" s="5" t="s">
        <v>725</v>
      </c>
      <c r="E8" s="5" t="s">
        <v>139</v>
      </c>
      <c r="F8" s="7"/>
      <c r="G8" s="5" t="s">
        <v>140</v>
      </c>
      <c r="H8" s="5">
        <v>0</v>
      </c>
      <c r="I8" s="27">
        <v>1.0328381548084442</v>
      </c>
      <c r="J8" s="27">
        <v>1.0278637770897832</v>
      </c>
      <c r="K8" s="27">
        <v>1.0259365994236311</v>
      </c>
      <c r="L8" s="27">
        <v>1.09164265129683</v>
      </c>
      <c r="M8" s="27">
        <v>1.0929281122150789</v>
      </c>
      <c r="N8" s="27">
        <v>1.1040816326530611</v>
      </c>
      <c r="O8" s="27">
        <v>1.4535650089874177</v>
      </c>
      <c r="P8" s="27">
        <v>1.5483870967741933</v>
      </c>
      <c r="Q8" s="3">
        <v>1.1791</v>
      </c>
      <c r="R8" s="3">
        <v>1.2077</v>
      </c>
      <c r="S8" s="3">
        <v>1.2242</v>
      </c>
      <c r="T8" s="3">
        <v>1.1970000000000001</v>
      </c>
      <c r="U8" s="3">
        <v>1.202</v>
      </c>
      <c r="V8" s="3">
        <v>1.202</v>
      </c>
      <c r="W8" s="3">
        <v>1.202</v>
      </c>
      <c r="X8" s="3">
        <v>1.202</v>
      </c>
      <c r="Y8" s="3">
        <v>1.202</v>
      </c>
      <c r="Z8" s="3">
        <v>1.202</v>
      </c>
      <c r="AA8" s="3">
        <v>1.202</v>
      </c>
      <c r="AB8" s="3">
        <v>1.202</v>
      </c>
      <c r="AC8" s="3">
        <v>1.202</v>
      </c>
      <c r="AD8" s="3">
        <v>1.202</v>
      </c>
      <c r="AE8" s="3">
        <v>1.202</v>
      </c>
      <c r="AF8" s="3">
        <v>1.202</v>
      </c>
      <c r="AG8" s="3">
        <v>1.202</v>
      </c>
      <c r="AH8" s="3">
        <v>1.202</v>
      </c>
      <c r="AI8" s="3">
        <v>1.202</v>
      </c>
      <c r="AJ8" s="3">
        <v>1.202</v>
      </c>
      <c r="AK8" s="3">
        <v>1.202</v>
      </c>
      <c r="AL8" s="3">
        <v>1.202</v>
      </c>
      <c r="AM8" s="3">
        <v>1.202</v>
      </c>
      <c r="AN8" s="3">
        <v>1.202</v>
      </c>
      <c r="AO8" s="3">
        <v>1.202</v>
      </c>
      <c r="AP8" s="3">
        <v>1.202</v>
      </c>
      <c r="AQ8" s="3">
        <v>1.202</v>
      </c>
      <c r="AR8" s="3">
        <v>1.202</v>
      </c>
      <c r="AS8" s="3">
        <v>1.202</v>
      </c>
      <c r="AT8" s="3">
        <v>1.202</v>
      </c>
      <c r="AU8" s="3">
        <v>1.202</v>
      </c>
      <c r="AV8" s="3">
        <v>1.202</v>
      </c>
      <c r="AW8" s="3">
        <v>1.202</v>
      </c>
      <c r="AX8" s="3">
        <v>1.202</v>
      </c>
      <c r="AY8" s="3">
        <v>1.202</v>
      </c>
      <c r="AZ8" s="3">
        <v>1.202</v>
      </c>
      <c r="BA8" s="3">
        <v>1.202</v>
      </c>
      <c r="BB8" s="3">
        <v>1.202</v>
      </c>
      <c r="BC8" s="3">
        <v>1.202</v>
      </c>
      <c r="BD8" s="3">
        <v>1.202</v>
      </c>
      <c r="BE8" s="3">
        <v>1.202</v>
      </c>
      <c r="BF8" s="3">
        <v>1.202</v>
      </c>
      <c r="BG8" s="3">
        <v>1.202</v>
      </c>
      <c r="BH8" s="3">
        <v>1.202</v>
      </c>
      <c r="BI8" s="3">
        <v>1.202</v>
      </c>
      <c r="BJ8" s="3">
        <v>1.202</v>
      </c>
      <c r="BK8" s="3">
        <v>1.202</v>
      </c>
      <c r="BL8" s="3">
        <v>1.202</v>
      </c>
      <c r="BM8" s="3">
        <v>1.202</v>
      </c>
      <c r="BN8" s="3">
        <v>1.202</v>
      </c>
      <c r="BO8" s="3">
        <v>1.202</v>
      </c>
      <c r="BP8" s="3">
        <v>1.202</v>
      </c>
      <c r="BQ8" s="3">
        <v>1.202</v>
      </c>
      <c r="BR8" s="26"/>
    </row>
    <row r="9" spans="1:70" x14ac:dyDescent="0.3">
      <c r="A9" s="16" t="s">
        <v>734</v>
      </c>
      <c r="B9" s="16" t="s">
        <v>737</v>
      </c>
      <c r="C9" s="5" t="s">
        <v>19</v>
      </c>
      <c r="D9" s="5" t="s">
        <v>740</v>
      </c>
      <c r="E9" s="5" t="s">
        <v>11</v>
      </c>
      <c r="F9" s="7"/>
      <c r="G9" s="5" t="s">
        <v>140</v>
      </c>
      <c r="H9" s="5">
        <v>0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1</v>
      </c>
      <c r="Z9" s="3">
        <v>1</v>
      </c>
      <c r="AA9" s="3">
        <v>1</v>
      </c>
      <c r="AB9" s="3">
        <v>1</v>
      </c>
      <c r="AC9" s="3">
        <v>1</v>
      </c>
      <c r="AD9" s="3">
        <v>1</v>
      </c>
      <c r="AE9" s="3">
        <v>1</v>
      </c>
      <c r="AF9" s="3">
        <v>1</v>
      </c>
      <c r="AG9" s="3">
        <v>1</v>
      </c>
      <c r="AH9" s="3">
        <v>1</v>
      </c>
      <c r="AI9" s="3">
        <v>1</v>
      </c>
      <c r="AJ9" s="3">
        <v>1</v>
      </c>
      <c r="AK9" s="3">
        <v>1</v>
      </c>
      <c r="AL9" s="3">
        <v>1</v>
      </c>
      <c r="AM9" s="3">
        <v>1</v>
      </c>
      <c r="AN9" s="3">
        <v>1</v>
      </c>
      <c r="AO9" s="3">
        <v>1</v>
      </c>
      <c r="AP9" s="3">
        <v>1</v>
      </c>
      <c r="AQ9" s="3">
        <v>1</v>
      </c>
      <c r="AR9" s="3">
        <v>1</v>
      </c>
      <c r="AS9" s="3">
        <v>1</v>
      </c>
      <c r="AT9" s="3">
        <v>1</v>
      </c>
      <c r="AU9" s="3">
        <v>1</v>
      </c>
      <c r="AV9" s="3">
        <v>1</v>
      </c>
      <c r="AW9" s="3">
        <v>1</v>
      </c>
      <c r="AX9" s="3">
        <v>1</v>
      </c>
      <c r="AY9" s="3">
        <v>1</v>
      </c>
      <c r="AZ9" s="3">
        <v>1</v>
      </c>
      <c r="BA9" s="3">
        <v>1</v>
      </c>
      <c r="BB9" s="3">
        <v>1</v>
      </c>
      <c r="BC9" s="3">
        <v>1</v>
      </c>
      <c r="BD9" s="3">
        <v>1</v>
      </c>
      <c r="BE9" s="3">
        <v>1</v>
      </c>
      <c r="BF9" s="3">
        <v>1</v>
      </c>
      <c r="BG9" s="3">
        <v>1</v>
      </c>
      <c r="BH9" s="3">
        <v>1</v>
      </c>
      <c r="BI9" s="3">
        <v>1</v>
      </c>
      <c r="BJ9" s="3">
        <v>1</v>
      </c>
      <c r="BK9" s="3">
        <v>1</v>
      </c>
      <c r="BL9" s="3">
        <v>1</v>
      </c>
      <c r="BM9" s="3">
        <v>1</v>
      </c>
      <c r="BN9" s="3">
        <v>1</v>
      </c>
      <c r="BO9" s="3">
        <v>1</v>
      </c>
      <c r="BP9" s="3">
        <v>1</v>
      </c>
      <c r="BQ9" s="3">
        <v>1</v>
      </c>
      <c r="BR9" s="26"/>
    </row>
    <row r="10" spans="1:70" x14ac:dyDescent="0.3">
      <c r="A10" s="16" t="s">
        <v>733</v>
      </c>
      <c r="B10" s="16" t="s">
        <v>736</v>
      </c>
      <c r="C10" s="5" t="s">
        <v>177</v>
      </c>
      <c r="D10" s="5" t="s">
        <v>725</v>
      </c>
      <c r="E10" s="5" t="s">
        <v>139</v>
      </c>
      <c r="F10" s="7"/>
      <c r="G10" s="5" t="s">
        <v>140</v>
      </c>
      <c r="H10" s="5">
        <v>0</v>
      </c>
      <c r="I10" s="27">
        <v>1.0328381548084442</v>
      </c>
      <c r="J10" s="27">
        <v>1.0278637770897832</v>
      </c>
      <c r="K10" s="27">
        <v>1.0259365994236311</v>
      </c>
      <c r="L10" s="27">
        <v>1.09164265129683</v>
      </c>
      <c r="M10" s="27">
        <v>1.0929281122150789</v>
      </c>
      <c r="N10" s="27">
        <v>1.1040816326530611</v>
      </c>
      <c r="O10" s="27">
        <v>1.4535650089874177</v>
      </c>
      <c r="P10" s="27">
        <v>1.5483870967741933</v>
      </c>
      <c r="Q10" s="3">
        <v>1.1791</v>
      </c>
      <c r="R10" s="3">
        <v>1.2077</v>
      </c>
      <c r="S10" s="3">
        <v>1.2242</v>
      </c>
      <c r="T10" s="3">
        <v>1.1970000000000001</v>
      </c>
      <c r="U10" s="3">
        <v>1.202</v>
      </c>
      <c r="V10" s="3">
        <v>1.202</v>
      </c>
      <c r="W10" s="3">
        <v>1.202</v>
      </c>
      <c r="X10" s="3">
        <v>1.202</v>
      </c>
      <c r="Y10" s="3">
        <v>1.202</v>
      </c>
      <c r="Z10" s="3">
        <v>1.202</v>
      </c>
      <c r="AA10" s="3">
        <v>1.202</v>
      </c>
      <c r="AB10" s="3">
        <v>1.202</v>
      </c>
      <c r="AC10" s="3">
        <v>1.202</v>
      </c>
      <c r="AD10" s="3">
        <v>1.202</v>
      </c>
      <c r="AE10" s="3">
        <v>1.202</v>
      </c>
      <c r="AF10" s="3">
        <v>1.202</v>
      </c>
      <c r="AG10" s="3">
        <v>1.202</v>
      </c>
      <c r="AH10" s="3">
        <v>1.202</v>
      </c>
      <c r="AI10" s="3">
        <v>1.202</v>
      </c>
      <c r="AJ10" s="3">
        <v>1.202</v>
      </c>
      <c r="AK10" s="3">
        <v>1.202</v>
      </c>
      <c r="AL10" s="3">
        <v>1.202</v>
      </c>
      <c r="AM10" s="3">
        <v>1.202</v>
      </c>
      <c r="AN10" s="3">
        <v>1.202</v>
      </c>
      <c r="AO10" s="3">
        <v>1.202</v>
      </c>
      <c r="AP10" s="3">
        <v>1.202</v>
      </c>
      <c r="AQ10" s="3">
        <v>1.202</v>
      </c>
      <c r="AR10" s="3">
        <v>1.202</v>
      </c>
      <c r="AS10" s="3">
        <v>1.202</v>
      </c>
      <c r="AT10" s="3">
        <v>1.202</v>
      </c>
      <c r="AU10" s="3">
        <v>1.202</v>
      </c>
      <c r="AV10" s="3">
        <v>1.202</v>
      </c>
      <c r="AW10" s="3">
        <v>1.202</v>
      </c>
      <c r="AX10" s="3">
        <v>1.202</v>
      </c>
      <c r="AY10" s="3">
        <v>1.202</v>
      </c>
      <c r="AZ10" s="3">
        <v>1.202</v>
      </c>
      <c r="BA10" s="3">
        <v>1.202</v>
      </c>
      <c r="BB10" s="3">
        <v>1.202</v>
      </c>
      <c r="BC10" s="3">
        <v>1.202</v>
      </c>
      <c r="BD10" s="3">
        <v>1.202</v>
      </c>
      <c r="BE10" s="3">
        <v>1.202</v>
      </c>
      <c r="BF10" s="3">
        <v>1.202</v>
      </c>
      <c r="BG10" s="3">
        <v>1.202</v>
      </c>
      <c r="BH10" s="3">
        <v>1.202</v>
      </c>
      <c r="BI10" s="3">
        <v>1.202</v>
      </c>
      <c r="BJ10" s="3">
        <v>1.202</v>
      </c>
      <c r="BK10" s="3">
        <v>1.202</v>
      </c>
      <c r="BL10" s="3">
        <v>1.202</v>
      </c>
      <c r="BM10" s="3">
        <v>1.202</v>
      </c>
      <c r="BN10" s="3">
        <v>1.202</v>
      </c>
      <c r="BO10" s="3">
        <v>1.202</v>
      </c>
      <c r="BP10" s="3">
        <v>1.202</v>
      </c>
      <c r="BQ10" s="3">
        <v>1.202</v>
      </c>
      <c r="BR10" s="3"/>
    </row>
    <row r="11" spans="1:70" x14ac:dyDescent="0.3">
      <c r="A11" s="16" t="s">
        <v>733</v>
      </c>
      <c r="B11" s="16" t="s">
        <v>736</v>
      </c>
      <c r="C11" s="5" t="s">
        <v>27</v>
      </c>
      <c r="D11" s="15" t="s">
        <v>739</v>
      </c>
      <c r="E11" s="5" t="s">
        <v>11</v>
      </c>
      <c r="F11" s="7"/>
      <c r="G11" s="5" t="s">
        <v>140</v>
      </c>
      <c r="H11" s="5">
        <v>0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  <c r="AC11" s="3">
        <v>1</v>
      </c>
      <c r="AD11" s="3">
        <v>1</v>
      </c>
      <c r="AE11" s="3">
        <v>1</v>
      </c>
      <c r="AF11" s="3">
        <v>1</v>
      </c>
      <c r="AG11" s="3">
        <v>1</v>
      </c>
      <c r="AH11" s="3">
        <v>1</v>
      </c>
      <c r="AI11" s="3">
        <v>1</v>
      </c>
      <c r="AJ11" s="3">
        <v>1</v>
      </c>
      <c r="AK11" s="3">
        <v>1</v>
      </c>
      <c r="AL11" s="3">
        <v>1</v>
      </c>
      <c r="AM11" s="3">
        <v>1</v>
      </c>
      <c r="AN11" s="3">
        <v>1</v>
      </c>
      <c r="AO11" s="3">
        <v>1</v>
      </c>
      <c r="AP11" s="3">
        <v>1</v>
      </c>
      <c r="AQ11" s="3">
        <v>1</v>
      </c>
      <c r="AR11" s="3">
        <v>1</v>
      </c>
      <c r="AS11" s="3">
        <v>1</v>
      </c>
      <c r="AT11" s="3">
        <v>1</v>
      </c>
      <c r="AU11" s="3">
        <v>1</v>
      </c>
      <c r="AV11" s="3">
        <v>1</v>
      </c>
      <c r="AW11" s="3">
        <v>1</v>
      </c>
      <c r="AX11" s="3">
        <v>1</v>
      </c>
      <c r="AY11" s="3">
        <v>1</v>
      </c>
      <c r="AZ11" s="3">
        <v>1</v>
      </c>
      <c r="BA11" s="3">
        <v>1</v>
      </c>
      <c r="BB11" s="3">
        <v>1</v>
      </c>
      <c r="BC11" s="3">
        <v>1</v>
      </c>
      <c r="BD11" s="3">
        <v>1</v>
      </c>
      <c r="BE11" s="3">
        <v>1</v>
      </c>
      <c r="BF11" s="3">
        <v>1</v>
      </c>
      <c r="BG11" s="3">
        <v>1</v>
      </c>
      <c r="BH11" s="3">
        <v>1</v>
      </c>
      <c r="BI11" s="3">
        <v>1</v>
      </c>
      <c r="BJ11" s="3">
        <v>1</v>
      </c>
      <c r="BK11" s="3">
        <v>1</v>
      </c>
      <c r="BL11" s="3">
        <v>1</v>
      </c>
      <c r="BM11" s="3">
        <v>1</v>
      </c>
      <c r="BN11" s="3">
        <v>1</v>
      </c>
      <c r="BO11" s="3">
        <v>1</v>
      </c>
      <c r="BP11" s="3">
        <v>1</v>
      </c>
      <c r="BQ11" s="3">
        <v>1</v>
      </c>
      <c r="BR11" s="3"/>
    </row>
    <row r="12" spans="1:70" x14ac:dyDescent="0.3">
      <c r="A12" s="16" t="s">
        <v>732</v>
      </c>
      <c r="B12" s="16" t="s">
        <v>735</v>
      </c>
      <c r="C12" s="5" t="s">
        <v>177</v>
      </c>
      <c r="D12" s="5" t="s">
        <v>725</v>
      </c>
      <c r="E12" s="5" t="s">
        <v>139</v>
      </c>
      <c r="F12" s="7"/>
      <c r="G12" s="5" t="s">
        <v>140</v>
      </c>
      <c r="H12" s="5">
        <v>0</v>
      </c>
      <c r="I12" s="27">
        <v>1.0328381548084442</v>
      </c>
      <c r="J12" s="27">
        <v>1.0278637770897832</v>
      </c>
      <c r="K12" s="27">
        <v>1.0259365994236311</v>
      </c>
      <c r="L12" s="27">
        <v>1.09164265129683</v>
      </c>
      <c r="M12" s="27">
        <v>1.0929281122150789</v>
      </c>
      <c r="N12" s="27">
        <v>1.1040816326530611</v>
      </c>
      <c r="O12" s="27">
        <v>1.4535650089874177</v>
      </c>
      <c r="P12" s="27">
        <v>1.5483870967741933</v>
      </c>
      <c r="Q12" s="3">
        <v>1.1791</v>
      </c>
      <c r="R12" s="3">
        <v>1.2077</v>
      </c>
      <c r="S12" s="3">
        <v>1.2242</v>
      </c>
      <c r="T12" s="3">
        <v>1.1970000000000001</v>
      </c>
      <c r="U12" s="3">
        <v>1.202</v>
      </c>
      <c r="V12" s="3">
        <v>1.202</v>
      </c>
      <c r="W12" s="3">
        <v>1.202</v>
      </c>
      <c r="X12" s="3">
        <v>1.202</v>
      </c>
      <c r="Y12" s="3">
        <v>1.202</v>
      </c>
      <c r="Z12" s="3">
        <v>1.202</v>
      </c>
      <c r="AA12" s="3">
        <v>1.202</v>
      </c>
      <c r="AB12" s="3">
        <v>1.202</v>
      </c>
      <c r="AC12" s="3">
        <v>1.202</v>
      </c>
      <c r="AD12" s="3">
        <v>1.202</v>
      </c>
      <c r="AE12" s="3">
        <v>1.202</v>
      </c>
      <c r="AF12" s="3">
        <v>1.202</v>
      </c>
      <c r="AG12" s="3">
        <v>1.202</v>
      </c>
      <c r="AH12" s="3">
        <v>1.202</v>
      </c>
      <c r="AI12" s="3">
        <v>1.202</v>
      </c>
      <c r="AJ12" s="3">
        <v>1.202</v>
      </c>
      <c r="AK12" s="3">
        <v>1.202</v>
      </c>
      <c r="AL12" s="3">
        <v>1.202</v>
      </c>
      <c r="AM12" s="3">
        <v>1.202</v>
      </c>
      <c r="AN12" s="3">
        <v>1.202</v>
      </c>
      <c r="AO12" s="3">
        <v>1.202</v>
      </c>
      <c r="AP12" s="3">
        <v>1.202</v>
      </c>
      <c r="AQ12" s="3">
        <v>1.202</v>
      </c>
      <c r="AR12" s="3">
        <v>1.202</v>
      </c>
      <c r="AS12" s="3">
        <v>1.202</v>
      </c>
      <c r="AT12" s="3">
        <v>1.202</v>
      </c>
      <c r="AU12" s="3">
        <v>1.202</v>
      </c>
      <c r="AV12" s="3">
        <v>1.202</v>
      </c>
      <c r="AW12" s="3">
        <v>1.202</v>
      </c>
      <c r="AX12" s="3">
        <v>1.202</v>
      </c>
      <c r="AY12" s="3">
        <v>1.202</v>
      </c>
      <c r="AZ12" s="3">
        <v>1.202</v>
      </c>
      <c r="BA12" s="3">
        <v>1.202</v>
      </c>
      <c r="BB12" s="3">
        <v>1.202</v>
      </c>
      <c r="BC12" s="3">
        <v>1.202</v>
      </c>
      <c r="BD12" s="3">
        <v>1.202</v>
      </c>
      <c r="BE12" s="3">
        <v>1.202</v>
      </c>
      <c r="BF12" s="3">
        <v>1.202</v>
      </c>
      <c r="BG12" s="3">
        <v>1.202</v>
      </c>
      <c r="BH12" s="3">
        <v>1.202</v>
      </c>
      <c r="BI12" s="3">
        <v>1.202</v>
      </c>
      <c r="BJ12" s="3">
        <v>1.202</v>
      </c>
      <c r="BK12" s="3">
        <v>1.202</v>
      </c>
      <c r="BL12" s="3">
        <v>1.202</v>
      </c>
      <c r="BM12" s="3">
        <v>1.202</v>
      </c>
      <c r="BN12" s="3">
        <v>1.202</v>
      </c>
      <c r="BO12" s="3">
        <v>1.202</v>
      </c>
      <c r="BP12" s="3">
        <v>1.202</v>
      </c>
      <c r="BQ12" s="3">
        <v>1.202</v>
      </c>
      <c r="BR12" s="3"/>
    </row>
    <row r="13" spans="1:70" x14ac:dyDescent="0.3">
      <c r="A13" s="16" t="s">
        <v>732</v>
      </c>
      <c r="B13" s="16" t="s">
        <v>735</v>
      </c>
      <c r="C13" s="5" t="s">
        <v>173</v>
      </c>
      <c r="D13" s="5" t="s">
        <v>738</v>
      </c>
      <c r="E13" s="5" t="s">
        <v>11</v>
      </c>
      <c r="F13" s="7"/>
      <c r="G13" s="5" t="s">
        <v>140</v>
      </c>
      <c r="H13" s="5">
        <v>0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V13" s="3">
        <v>1</v>
      </c>
      <c r="W13" s="3">
        <v>1</v>
      </c>
      <c r="X13" s="3">
        <v>1</v>
      </c>
      <c r="Y13" s="3">
        <v>1</v>
      </c>
      <c r="Z13" s="3">
        <v>1</v>
      </c>
      <c r="AA13" s="3">
        <v>1</v>
      </c>
      <c r="AB13" s="3">
        <v>1</v>
      </c>
      <c r="AC13" s="3">
        <v>1</v>
      </c>
      <c r="AD13" s="3">
        <v>1</v>
      </c>
      <c r="AE13" s="3">
        <v>1</v>
      </c>
      <c r="AF13" s="3">
        <v>1</v>
      </c>
      <c r="AG13" s="3">
        <v>1</v>
      </c>
      <c r="AH13" s="3">
        <v>1</v>
      </c>
      <c r="AI13" s="3">
        <v>1</v>
      </c>
      <c r="AJ13" s="3">
        <v>1</v>
      </c>
      <c r="AK13" s="3">
        <v>1</v>
      </c>
      <c r="AL13" s="3">
        <v>1</v>
      </c>
      <c r="AM13" s="3">
        <v>1</v>
      </c>
      <c r="AN13" s="3">
        <v>1</v>
      </c>
      <c r="AO13" s="3">
        <v>1</v>
      </c>
      <c r="AP13" s="3">
        <v>1</v>
      </c>
      <c r="AQ13" s="3">
        <v>1</v>
      </c>
      <c r="AR13" s="3">
        <v>1</v>
      </c>
      <c r="AS13" s="3">
        <v>1</v>
      </c>
      <c r="AT13" s="3">
        <v>1</v>
      </c>
      <c r="AU13" s="3">
        <v>1</v>
      </c>
      <c r="AV13" s="3">
        <v>1</v>
      </c>
      <c r="AW13" s="3">
        <v>1</v>
      </c>
      <c r="AX13" s="3">
        <v>1</v>
      </c>
      <c r="AY13" s="3">
        <v>1</v>
      </c>
      <c r="AZ13" s="3">
        <v>1</v>
      </c>
      <c r="BA13" s="3">
        <v>1</v>
      </c>
      <c r="BB13" s="3">
        <v>1</v>
      </c>
      <c r="BC13" s="3">
        <v>1</v>
      </c>
      <c r="BD13" s="3">
        <v>1</v>
      </c>
      <c r="BE13" s="3">
        <v>1</v>
      </c>
      <c r="BF13" s="3">
        <v>1</v>
      </c>
      <c r="BG13" s="3">
        <v>1</v>
      </c>
      <c r="BH13" s="3">
        <v>1</v>
      </c>
      <c r="BI13" s="3">
        <v>1</v>
      </c>
      <c r="BJ13" s="3">
        <v>1</v>
      </c>
      <c r="BK13" s="3">
        <v>1</v>
      </c>
      <c r="BL13" s="3">
        <v>1</v>
      </c>
      <c r="BM13" s="3">
        <v>1</v>
      </c>
      <c r="BN13" s="3">
        <v>1</v>
      </c>
      <c r="BO13" s="3">
        <v>1</v>
      </c>
      <c r="BP13" s="3">
        <v>1</v>
      </c>
      <c r="BQ13" s="3">
        <v>1</v>
      </c>
      <c r="BR13" s="3"/>
    </row>
    <row r="14" spans="1:70" x14ac:dyDescent="0.3">
      <c r="A14" s="16" t="s">
        <v>785</v>
      </c>
      <c r="B14" s="16" t="s">
        <v>782</v>
      </c>
      <c r="C14" s="14" t="s">
        <v>39</v>
      </c>
      <c r="D14" s="14" t="s">
        <v>783</v>
      </c>
      <c r="E14" s="16" t="s">
        <v>139</v>
      </c>
      <c r="F14" s="16" t="s">
        <v>176</v>
      </c>
      <c r="G14" s="16" t="s">
        <v>140</v>
      </c>
      <c r="H14" s="16">
        <v>0</v>
      </c>
      <c r="I14" s="16">
        <v>1</v>
      </c>
      <c r="J14" s="16">
        <v>1</v>
      </c>
      <c r="K14" s="16">
        <v>1</v>
      </c>
      <c r="L14" s="16">
        <v>1</v>
      </c>
      <c r="M14" s="16">
        <v>1</v>
      </c>
      <c r="N14" s="16">
        <v>1</v>
      </c>
      <c r="O14" s="16">
        <v>1</v>
      </c>
      <c r="P14" s="16">
        <v>1</v>
      </c>
      <c r="Q14" s="16">
        <v>1</v>
      </c>
      <c r="R14" s="16">
        <v>1</v>
      </c>
      <c r="S14" s="16">
        <v>1</v>
      </c>
      <c r="T14" s="16">
        <v>1</v>
      </c>
      <c r="U14" s="16">
        <v>1</v>
      </c>
      <c r="V14" s="16">
        <v>1</v>
      </c>
      <c r="W14" s="16">
        <v>1</v>
      </c>
      <c r="X14" s="16">
        <v>1</v>
      </c>
      <c r="Y14" s="16">
        <v>1</v>
      </c>
      <c r="Z14" s="16">
        <v>1</v>
      </c>
      <c r="AA14" s="16">
        <v>1</v>
      </c>
      <c r="AB14" s="16">
        <v>1</v>
      </c>
      <c r="AC14" s="16">
        <v>1</v>
      </c>
      <c r="AD14" s="16">
        <v>1</v>
      </c>
      <c r="AE14" s="16">
        <v>1</v>
      </c>
      <c r="AF14" s="16">
        <v>1</v>
      </c>
      <c r="AG14" s="16">
        <v>1</v>
      </c>
      <c r="AH14" s="16">
        <v>1</v>
      </c>
      <c r="AI14" s="16">
        <v>1</v>
      </c>
      <c r="AJ14" s="16">
        <v>1</v>
      </c>
      <c r="AK14" s="16">
        <v>1</v>
      </c>
      <c r="AL14" s="16">
        <v>1</v>
      </c>
      <c r="AM14" s="16">
        <v>1</v>
      </c>
      <c r="AN14" s="16">
        <v>1</v>
      </c>
      <c r="AO14" s="16">
        <v>1</v>
      </c>
      <c r="AP14" s="16">
        <v>1</v>
      </c>
      <c r="AQ14" s="16">
        <v>1</v>
      </c>
      <c r="AR14" s="16">
        <v>1</v>
      </c>
      <c r="AS14" s="16">
        <v>1</v>
      </c>
      <c r="AT14" s="16">
        <v>1</v>
      </c>
      <c r="AU14" s="16">
        <v>1</v>
      </c>
      <c r="AV14" s="16">
        <v>1</v>
      </c>
      <c r="AW14" s="16">
        <v>1</v>
      </c>
      <c r="AX14" s="16">
        <v>1</v>
      </c>
      <c r="AY14" s="16">
        <v>1</v>
      </c>
      <c r="AZ14" s="16">
        <v>1</v>
      </c>
      <c r="BA14" s="16">
        <v>1</v>
      </c>
      <c r="BB14" s="16">
        <v>1</v>
      </c>
      <c r="BC14" s="16">
        <v>1</v>
      </c>
      <c r="BD14" s="16">
        <v>1</v>
      </c>
      <c r="BE14" s="16">
        <v>1</v>
      </c>
      <c r="BF14" s="16">
        <v>1</v>
      </c>
      <c r="BG14" s="16">
        <v>1</v>
      </c>
      <c r="BH14" s="16">
        <v>1</v>
      </c>
      <c r="BI14" s="16">
        <v>1</v>
      </c>
      <c r="BJ14" s="16">
        <v>1</v>
      </c>
      <c r="BK14" s="16">
        <v>1</v>
      </c>
      <c r="BL14" s="16">
        <v>1</v>
      </c>
      <c r="BM14" s="16">
        <v>1</v>
      </c>
      <c r="BN14" s="16">
        <v>1</v>
      </c>
      <c r="BO14" s="16">
        <v>1</v>
      </c>
      <c r="BP14" s="16">
        <v>1</v>
      </c>
      <c r="BQ14" s="16">
        <v>1</v>
      </c>
      <c r="BR14" s="1"/>
    </row>
    <row r="15" spans="1:70" x14ac:dyDescent="0.3">
      <c r="A15" s="16" t="s">
        <v>785</v>
      </c>
      <c r="B15" s="16" t="s">
        <v>782</v>
      </c>
      <c r="C15" s="5" t="s">
        <v>759</v>
      </c>
      <c r="D15" s="14" t="s">
        <v>783</v>
      </c>
      <c r="E15" s="16" t="s">
        <v>11</v>
      </c>
      <c r="F15" s="16" t="s">
        <v>176</v>
      </c>
      <c r="G15" s="16" t="s">
        <v>140</v>
      </c>
      <c r="H15" s="16">
        <v>0</v>
      </c>
      <c r="I15" s="16">
        <v>1</v>
      </c>
      <c r="J15" s="16">
        <v>1</v>
      </c>
      <c r="K15" s="16">
        <v>1</v>
      </c>
      <c r="L15" s="16">
        <v>1</v>
      </c>
      <c r="M15" s="16">
        <v>1</v>
      </c>
      <c r="N15" s="16">
        <v>1</v>
      </c>
      <c r="O15" s="16">
        <v>1</v>
      </c>
      <c r="P15" s="16">
        <v>1</v>
      </c>
      <c r="Q15" s="16">
        <v>1</v>
      </c>
      <c r="R15" s="16">
        <v>1</v>
      </c>
      <c r="S15" s="16">
        <v>1</v>
      </c>
      <c r="T15" s="16">
        <v>1</v>
      </c>
      <c r="U15" s="16">
        <v>1</v>
      </c>
      <c r="V15" s="16">
        <v>1</v>
      </c>
      <c r="W15" s="16">
        <v>1</v>
      </c>
      <c r="X15" s="16">
        <v>1</v>
      </c>
      <c r="Y15" s="16">
        <v>1</v>
      </c>
      <c r="Z15" s="16">
        <v>1</v>
      </c>
      <c r="AA15" s="16">
        <v>1</v>
      </c>
      <c r="AB15" s="16">
        <v>1</v>
      </c>
      <c r="AC15" s="16">
        <v>1</v>
      </c>
      <c r="AD15" s="16">
        <v>1</v>
      </c>
      <c r="AE15" s="16">
        <v>1</v>
      </c>
      <c r="AF15" s="16">
        <v>1</v>
      </c>
      <c r="AG15" s="16">
        <v>1</v>
      </c>
      <c r="AH15" s="16">
        <v>1</v>
      </c>
      <c r="AI15" s="16">
        <v>1</v>
      </c>
      <c r="AJ15" s="16">
        <v>1</v>
      </c>
      <c r="AK15" s="16">
        <v>1</v>
      </c>
      <c r="AL15" s="16">
        <v>1</v>
      </c>
      <c r="AM15" s="16">
        <v>1</v>
      </c>
      <c r="AN15" s="16">
        <v>1</v>
      </c>
      <c r="AO15" s="16">
        <v>1</v>
      </c>
      <c r="AP15" s="16">
        <v>1</v>
      </c>
      <c r="AQ15" s="16">
        <v>1</v>
      </c>
      <c r="AR15" s="16">
        <v>1</v>
      </c>
      <c r="AS15" s="16">
        <v>1</v>
      </c>
      <c r="AT15" s="16">
        <v>1</v>
      </c>
      <c r="AU15" s="16">
        <v>1</v>
      </c>
      <c r="AV15" s="16">
        <v>1</v>
      </c>
      <c r="AW15" s="16">
        <v>1</v>
      </c>
      <c r="AX15" s="16">
        <v>1</v>
      </c>
      <c r="AY15" s="16">
        <v>1</v>
      </c>
      <c r="AZ15" s="16">
        <v>1</v>
      </c>
      <c r="BA15" s="16">
        <v>1</v>
      </c>
      <c r="BB15" s="16">
        <v>1</v>
      </c>
      <c r="BC15" s="16">
        <v>1</v>
      </c>
      <c r="BD15" s="16">
        <v>1</v>
      </c>
      <c r="BE15" s="16">
        <v>1</v>
      </c>
      <c r="BF15" s="16">
        <v>1</v>
      </c>
      <c r="BG15" s="16">
        <v>1</v>
      </c>
      <c r="BH15" s="16">
        <v>1</v>
      </c>
      <c r="BI15" s="16">
        <v>1</v>
      </c>
      <c r="BJ15" s="16">
        <v>1</v>
      </c>
      <c r="BK15" s="16">
        <v>1</v>
      </c>
      <c r="BL15" s="16">
        <v>1</v>
      </c>
      <c r="BM15" s="16">
        <v>1</v>
      </c>
      <c r="BN15" s="16">
        <v>1</v>
      </c>
      <c r="BO15" s="16">
        <v>1</v>
      </c>
      <c r="BP15" s="16">
        <v>1</v>
      </c>
      <c r="BQ15" s="16">
        <v>1</v>
      </c>
      <c r="BR15" s="1"/>
    </row>
    <row r="16" spans="1:70" x14ac:dyDescent="0.3">
      <c r="A16" s="5" t="s">
        <v>146</v>
      </c>
      <c r="B16" s="5" t="s">
        <v>147</v>
      </c>
      <c r="C16" s="5" t="s">
        <v>144</v>
      </c>
      <c r="D16" s="5" t="s">
        <v>145</v>
      </c>
      <c r="E16" s="5" t="s">
        <v>139</v>
      </c>
      <c r="F16" s="7"/>
      <c r="G16" s="5" t="s">
        <v>140</v>
      </c>
      <c r="H16" s="5">
        <v>0</v>
      </c>
      <c r="I16" s="3">
        <v>1.1786117306414567</v>
      </c>
      <c r="J16" s="3">
        <v>1.1554065183627025</v>
      </c>
      <c r="K16" s="3">
        <v>1.1436608461537374</v>
      </c>
      <c r="L16" s="3">
        <v>1.1352392666851396</v>
      </c>
      <c r="M16" s="3">
        <v>1.1403963488629161</v>
      </c>
      <c r="N16" s="3">
        <v>1.1357918064414798</v>
      </c>
      <c r="O16" s="3">
        <v>1.1301895073312143</v>
      </c>
      <c r="P16" s="3">
        <v>1.1166859643880971</v>
      </c>
      <c r="Q16" s="3">
        <v>1.1285756720982678</v>
      </c>
      <c r="R16" s="3">
        <v>1.1363423577882223</v>
      </c>
      <c r="S16" s="3">
        <v>1.1466088886373484</v>
      </c>
      <c r="T16" s="3">
        <v>1.1393414606357526</v>
      </c>
      <c r="U16" s="3">
        <v>1.1393414606357526</v>
      </c>
      <c r="V16" s="3">
        <v>1.1393414606357526</v>
      </c>
      <c r="W16" s="3">
        <v>1.1393414606357526</v>
      </c>
      <c r="X16" s="3">
        <v>1.1393414606357526</v>
      </c>
      <c r="Y16" s="3">
        <v>1.1393414606357526</v>
      </c>
      <c r="Z16" s="3">
        <v>1.1393414606357526</v>
      </c>
      <c r="AA16" s="3">
        <v>1.1393414606357526</v>
      </c>
      <c r="AB16" s="3">
        <v>1.1393414606357526</v>
      </c>
      <c r="AC16" s="3">
        <v>1.1393414606357526</v>
      </c>
      <c r="AD16" s="3">
        <v>1.1393414606357526</v>
      </c>
      <c r="AE16" s="3">
        <v>1.1393414606357526</v>
      </c>
      <c r="AF16" s="3">
        <v>1.1393414606357526</v>
      </c>
      <c r="AG16" s="3">
        <v>1.1393414606357526</v>
      </c>
      <c r="AH16" s="3">
        <v>1.1393414606357526</v>
      </c>
      <c r="AI16" s="3">
        <v>1.1393414606357526</v>
      </c>
      <c r="AJ16" s="3">
        <v>1.1393414606357526</v>
      </c>
      <c r="AK16" s="3">
        <v>1.1393414606357526</v>
      </c>
      <c r="AL16" s="3">
        <v>1.1393414606357526</v>
      </c>
      <c r="AM16" s="3">
        <v>1.1393414606357526</v>
      </c>
      <c r="AN16" s="3">
        <v>1.1393414606357526</v>
      </c>
      <c r="AO16" s="3">
        <v>1.1393414606357526</v>
      </c>
      <c r="AP16" s="3">
        <v>1.1393414606357526</v>
      </c>
      <c r="AQ16" s="3">
        <v>1.1393414606357526</v>
      </c>
      <c r="AR16" s="3">
        <v>1.1393414606357526</v>
      </c>
      <c r="AS16" s="3">
        <v>1.1393414606357526</v>
      </c>
      <c r="AT16" s="3">
        <v>1.1393414606357526</v>
      </c>
      <c r="AU16" s="3">
        <v>1.1393414606357526</v>
      </c>
      <c r="AV16" s="3">
        <v>1.1393414606357526</v>
      </c>
      <c r="AW16" s="3">
        <v>1.1393414606357526</v>
      </c>
      <c r="AX16" s="3">
        <v>1.1393414606357526</v>
      </c>
      <c r="AY16" s="3">
        <v>1.1393414606357526</v>
      </c>
      <c r="AZ16" s="3">
        <v>1.1393414606357526</v>
      </c>
      <c r="BA16" s="3">
        <v>1.1393414606357526</v>
      </c>
      <c r="BB16" s="3">
        <v>1.1393414606357526</v>
      </c>
      <c r="BC16" s="3">
        <v>1.1393414606357526</v>
      </c>
      <c r="BD16" s="3">
        <v>1.1393414606357526</v>
      </c>
      <c r="BE16" s="3">
        <v>1.1393414606357526</v>
      </c>
      <c r="BF16" s="3">
        <v>1.1393414606357526</v>
      </c>
      <c r="BG16" s="3">
        <v>1.1393414606357526</v>
      </c>
      <c r="BH16" s="3">
        <v>1.1393414606357526</v>
      </c>
      <c r="BI16" s="3">
        <v>1.1393414606357526</v>
      </c>
      <c r="BJ16" s="3">
        <v>1.1393414606357526</v>
      </c>
      <c r="BK16" s="3">
        <v>1.1393414606357526</v>
      </c>
      <c r="BL16" s="3">
        <v>1.1393414606357526</v>
      </c>
      <c r="BM16" s="3">
        <v>1.1393414606357526</v>
      </c>
      <c r="BN16" s="3">
        <v>1.1393414606357526</v>
      </c>
      <c r="BO16" s="3">
        <v>1.1393414606357526</v>
      </c>
      <c r="BP16" s="3">
        <v>1.1393414606357526</v>
      </c>
      <c r="BQ16" s="3">
        <v>1.1393414606357526</v>
      </c>
      <c r="BR16" s="3"/>
    </row>
    <row r="17" spans="1:70" x14ac:dyDescent="0.3">
      <c r="A17" s="5" t="s">
        <v>146</v>
      </c>
      <c r="B17" s="5" t="s">
        <v>147</v>
      </c>
      <c r="C17" s="5" t="s">
        <v>112</v>
      </c>
      <c r="D17" s="5" t="s">
        <v>148</v>
      </c>
      <c r="E17" s="5" t="s">
        <v>11</v>
      </c>
      <c r="F17" s="7"/>
      <c r="G17" s="5" t="s">
        <v>140</v>
      </c>
      <c r="H17" s="5">
        <v>0</v>
      </c>
      <c r="I17" s="3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T17" s="3">
        <v>1</v>
      </c>
      <c r="U17" s="3">
        <v>1</v>
      </c>
      <c r="V17" s="3">
        <v>1</v>
      </c>
      <c r="W17" s="3">
        <v>1</v>
      </c>
      <c r="X17" s="3">
        <v>1</v>
      </c>
      <c r="Y17" s="3">
        <v>1</v>
      </c>
      <c r="Z17" s="3">
        <v>1</v>
      </c>
      <c r="AA17" s="3">
        <v>1</v>
      </c>
      <c r="AB17" s="3">
        <v>1</v>
      </c>
      <c r="AC17" s="3">
        <v>1</v>
      </c>
      <c r="AD17" s="3">
        <v>1</v>
      </c>
      <c r="AE17" s="3">
        <v>1</v>
      </c>
      <c r="AF17" s="3">
        <v>1</v>
      </c>
      <c r="AG17" s="3">
        <v>1</v>
      </c>
      <c r="AH17" s="3">
        <v>1</v>
      </c>
      <c r="AI17" s="3">
        <v>1</v>
      </c>
      <c r="AJ17" s="3">
        <v>1</v>
      </c>
      <c r="AK17" s="3">
        <v>1</v>
      </c>
      <c r="AL17" s="3">
        <v>1</v>
      </c>
      <c r="AM17" s="3">
        <v>1</v>
      </c>
      <c r="AN17" s="3">
        <v>1</v>
      </c>
      <c r="AO17" s="3">
        <v>1</v>
      </c>
      <c r="AP17" s="3">
        <v>1</v>
      </c>
      <c r="AQ17" s="3">
        <v>1</v>
      </c>
      <c r="AR17" s="3">
        <v>1</v>
      </c>
      <c r="AS17" s="3">
        <v>1</v>
      </c>
      <c r="AT17" s="3">
        <v>1</v>
      </c>
      <c r="AU17" s="3">
        <v>1</v>
      </c>
      <c r="AV17" s="3">
        <v>1</v>
      </c>
      <c r="AW17" s="3">
        <v>1</v>
      </c>
      <c r="AX17" s="3">
        <v>1</v>
      </c>
      <c r="AY17" s="3">
        <v>1</v>
      </c>
      <c r="AZ17" s="3">
        <v>1</v>
      </c>
      <c r="BA17" s="3">
        <v>1</v>
      </c>
      <c r="BB17" s="3">
        <v>1</v>
      </c>
      <c r="BC17" s="3">
        <v>1</v>
      </c>
      <c r="BD17" s="3">
        <v>1</v>
      </c>
      <c r="BE17" s="3">
        <v>1</v>
      </c>
      <c r="BF17" s="3">
        <v>1</v>
      </c>
      <c r="BG17" s="3">
        <v>1</v>
      </c>
      <c r="BH17" s="3">
        <v>1</v>
      </c>
      <c r="BI17" s="3">
        <v>1</v>
      </c>
      <c r="BJ17" s="3">
        <v>1</v>
      </c>
      <c r="BK17" s="3">
        <v>1</v>
      </c>
      <c r="BL17" s="3">
        <v>1</v>
      </c>
      <c r="BM17" s="3">
        <v>1</v>
      </c>
      <c r="BN17" s="3">
        <v>1</v>
      </c>
      <c r="BO17" s="3">
        <v>1</v>
      </c>
      <c r="BP17" s="3">
        <v>1</v>
      </c>
      <c r="BQ17" s="3">
        <v>1</v>
      </c>
      <c r="BR17" s="3"/>
    </row>
    <row r="18" spans="1:70" x14ac:dyDescent="0.3">
      <c r="A18" s="4" t="s">
        <v>141</v>
      </c>
      <c r="B18" s="4" t="s">
        <v>142</v>
      </c>
      <c r="C18" s="4" t="s">
        <v>76</v>
      </c>
      <c r="D18" s="4" t="s">
        <v>143</v>
      </c>
      <c r="E18" s="4" t="s">
        <v>139</v>
      </c>
      <c r="F18" s="7"/>
      <c r="G18" s="4" t="s">
        <v>140</v>
      </c>
      <c r="H18" s="4">
        <v>0</v>
      </c>
      <c r="I18" s="3">
        <v>1.0603329445445868</v>
      </c>
      <c r="J18" s="3">
        <v>1.070663811563169</v>
      </c>
      <c r="K18" s="3">
        <v>1.0526315789473684</v>
      </c>
      <c r="L18" s="3">
        <v>1.0471204188481673</v>
      </c>
      <c r="M18" s="3">
        <v>1.0277492291880781</v>
      </c>
      <c r="N18" s="3">
        <v>1.0309278350515463</v>
      </c>
      <c r="O18" s="3">
        <v>1.0362694300518134</v>
      </c>
      <c r="P18" s="3">
        <v>1.0395010395010396</v>
      </c>
      <c r="Q18" s="3">
        <v>1.0448936312048465</v>
      </c>
      <c r="R18" s="3">
        <v>1.0448936312048465</v>
      </c>
      <c r="S18" s="3">
        <v>1.0484179807725431</v>
      </c>
      <c r="T18" s="3">
        <v>1.0483662739379054</v>
      </c>
      <c r="U18" s="3">
        <v>1.0398253093480296</v>
      </c>
      <c r="V18" s="3">
        <v>1.0398253093480296</v>
      </c>
      <c r="W18" s="3">
        <v>1.0398253093480296</v>
      </c>
      <c r="X18" s="3">
        <v>1.0398253093480296</v>
      </c>
      <c r="Y18" s="3">
        <v>1.0398253093480296</v>
      </c>
      <c r="Z18" s="3">
        <v>1.0398253093480296</v>
      </c>
      <c r="AA18" s="3">
        <v>1.0398253093480296</v>
      </c>
      <c r="AB18" s="3">
        <v>1.0398253093480296</v>
      </c>
      <c r="AC18" s="3">
        <v>1.0398253093480296</v>
      </c>
      <c r="AD18" s="3">
        <v>1.0398253093480296</v>
      </c>
      <c r="AE18" s="3">
        <v>1.0398253093480296</v>
      </c>
      <c r="AF18" s="3">
        <v>1.0398253093480296</v>
      </c>
      <c r="AG18" s="3">
        <v>1.0398253093480296</v>
      </c>
      <c r="AH18" s="3">
        <v>1.0398253093480296</v>
      </c>
      <c r="AI18" s="3">
        <v>1.0398253093480296</v>
      </c>
      <c r="AJ18" s="3">
        <v>1.0398253093480296</v>
      </c>
      <c r="AK18" s="3">
        <v>1.0398253093480296</v>
      </c>
      <c r="AL18" s="3">
        <v>1.0398253093480296</v>
      </c>
      <c r="AM18" s="3">
        <v>1.0398253093480296</v>
      </c>
      <c r="AN18" s="3">
        <v>1.0398253093480296</v>
      </c>
      <c r="AO18" s="3">
        <v>1.0398253093480296</v>
      </c>
      <c r="AP18" s="3">
        <v>1.0398253093480296</v>
      </c>
      <c r="AQ18" s="3">
        <v>1.0398253093480296</v>
      </c>
      <c r="AR18" s="3">
        <v>1.0398253093480296</v>
      </c>
      <c r="AS18" s="3">
        <v>1.0398253093480296</v>
      </c>
      <c r="AT18" s="3">
        <v>1.0398253093480296</v>
      </c>
      <c r="AU18" s="3">
        <v>1.0398253093480296</v>
      </c>
      <c r="AV18" s="3">
        <v>1.0398253093480296</v>
      </c>
      <c r="AW18" s="3">
        <v>1.0398253093480296</v>
      </c>
      <c r="AX18" s="3">
        <v>1.0398253093480296</v>
      </c>
      <c r="AY18" s="3">
        <v>1.0398253093480296</v>
      </c>
      <c r="AZ18" s="3">
        <v>1.0398253093480296</v>
      </c>
      <c r="BA18" s="3">
        <v>1.0398253093480296</v>
      </c>
      <c r="BB18" s="3">
        <v>1.0398253093480296</v>
      </c>
      <c r="BC18" s="3">
        <v>1.0398253093480296</v>
      </c>
      <c r="BD18" s="3">
        <v>1.0398253093480296</v>
      </c>
      <c r="BE18" s="3">
        <v>1.0398253093480296</v>
      </c>
      <c r="BF18" s="3">
        <v>1.0398253093480296</v>
      </c>
      <c r="BG18" s="3">
        <v>1.0398253093480296</v>
      </c>
      <c r="BH18" s="3">
        <v>1.0398253093480296</v>
      </c>
      <c r="BI18" s="3">
        <v>1.0398253093480296</v>
      </c>
      <c r="BJ18" s="3">
        <v>1.0398253093480296</v>
      </c>
      <c r="BK18" s="3">
        <v>1.0398253093480296</v>
      </c>
      <c r="BL18" s="3">
        <v>1.0398253093480296</v>
      </c>
      <c r="BM18" s="3">
        <v>1.0398253093480296</v>
      </c>
      <c r="BN18" s="3">
        <v>1.0398253093480296</v>
      </c>
      <c r="BO18" s="3">
        <v>1.0398253093480296</v>
      </c>
      <c r="BP18" s="3">
        <v>1.0398253093480296</v>
      </c>
      <c r="BQ18" s="3">
        <v>1.0398253093480296</v>
      </c>
      <c r="BR18" s="3"/>
    </row>
    <row r="19" spans="1:70" x14ac:dyDescent="0.3">
      <c r="A19" s="4" t="s">
        <v>141</v>
      </c>
      <c r="B19" s="4" t="s">
        <v>142</v>
      </c>
      <c r="C19" s="4" t="s">
        <v>144</v>
      </c>
      <c r="D19" s="25" t="s">
        <v>145</v>
      </c>
      <c r="E19" s="4" t="s">
        <v>11</v>
      </c>
      <c r="F19" s="7"/>
      <c r="G19" s="4" t="s">
        <v>140</v>
      </c>
      <c r="H19" s="4">
        <v>0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3">
        <v>1</v>
      </c>
      <c r="T19" s="3">
        <v>1</v>
      </c>
      <c r="U19" s="3">
        <v>1</v>
      </c>
      <c r="V19" s="3">
        <v>1</v>
      </c>
      <c r="W19" s="3">
        <v>1</v>
      </c>
      <c r="X19" s="3">
        <v>1</v>
      </c>
      <c r="Y19" s="3">
        <v>1</v>
      </c>
      <c r="Z19" s="3">
        <v>1</v>
      </c>
      <c r="AA19" s="3">
        <v>1</v>
      </c>
      <c r="AB19" s="3">
        <v>1</v>
      </c>
      <c r="AC19" s="3">
        <v>1</v>
      </c>
      <c r="AD19" s="3">
        <v>1</v>
      </c>
      <c r="AE19" s="3">
        <v>1</v>
      </c>
      <c r="AF19" s="3">
        <v>1</v>
      </c>
      <c r="AG19" s="3">
        <v>1</v>
      </c>
      <c r="AH19" s="3">
        <v>1</v>
      </c>
      <c r="AI19" s="3">
        <v>1</v>
      </c>
      <c r="AJ19" s="3">
        <v>1</v>
      </c>
      <c r="AK19" s="3">
        <v>1</v>
      </c>
      <c r="AL19" s="3">
        <v>1</v>
      </c>
      <c r="AM19" s="3">
        <v>1</v>
      </c>
      <c r="AN19" s="3">
        <v>1</v>
      </c>
      <c r="AO19" s="3">
        <v>1</v>
      </c>
      <c r="AP19" s="3">
        <v>1</v>
      </c>
      <c r="AQ19" s="3">
        <v>1</v>
      </c>
      <c r="AR19" s="3">
        <v>1</v>
      </c>
      <c r="AS19" s="3">
        <v>1</v>
      </c>
      <c r="AT19" s="3">
        <v>1</v>
      </c>
      <c r="AU19" s="3">
        <v>1</v>
      </c>
      <c r="AV19" s="3">
        <v>1</v>
      </c>
      <c r="AW19" s="3">
        <v>1</v>
      </c>
      <c r="AX19" s="3">
        <v>1</v>
      </c>
      <c r="AY19" s="3">
        <v>1</v>
      </c>
      <c r="AZ19" s="3">
        <v>1</v>
      </c>
      <c r="BA19" s="3">
        <v>1</v>
      </c>
      <c r="BB19" s="3">
        <v>1</v>
      </c>
      <c r="BC19" s="3">
        <v>1</v>
      </c>
      <c r="BD19" s="3">
        <v>1</v>
      </c>
      <c r="BE19" s="3">
        <v>1</v>
      </c>
      <c r="BF19" s="3">
        <v>1</v>
      </c>
      <c r="BG19" s="3">
        <v>1</v>
      </c>
      <c r="BH19" s="3">
        <v>1</v>
      </c>
      <c r="BI19" s="3">
        <v>1</v>
      </c>
      <c r="BJ19" s="3">
        <v>1</v>
      </c>
      <c r="BK19" s="3">
        <v>1</v>
      </c>
      <c r="BL19" s="3">
        <v>1</v>
      </c>
      <c r="BM19" s="3">
        <v>1</v>
      </c>
      <c r="BN19" s="3">
        <v>1</v>
      </c>
      <c r="BO19" s="3">
        <v>1</v>
      </c>
      <c r="BP19" s="3">
        <v>1</v>
      </c>
      <c r="BQ19" s="3">
        <v>1</v>
      </c>
      <c r="BR19" s="3"/>
    </row>
    <row r="20" spans="1:70" x14ac:dyDescent="0.3">
      <c r="A20" s="5" t="s">
        <v>259</v>
      </c>
      <c r="B20" s="5" t="s">
        <v>260</v>
      </c>
      <c r="C20" s="5" t="s">
        <v>249</v>
      </c>
      <c r="D20" s="5" t="s">
        <v>250</v>
      </c>
      <c r="E20" s="5" t="s">
        <v>139</v>
      </c>
      <c r="F20" s="7" t="s">
        <v>176</v>
      </c>
      <c r="G20" s="5" t="s">
        <v>140</v>
      </c>
      <c r="H20" s="5">
        <v>0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>
        <v>1</v>
      </c>
      <c r="T20" s="3">
        <v>1</v>
      </c>
      <c r="U20" s="3">
        <v>1</v>
      </c>
      <c r="V20" s="3">
        <v>1</v>
      </c>
      <c r="W20" s="3">
        <v>1</v>
      </c>
      <c r="X20" s="3">
        <v>1</v>
      </c>
      <c r="Y20" s="3">
        <v>1</v>
      </c>
      <c r="Z20" s="3">
        <v>1</v>
      </c>
      <c r="AA20" s="3">
        <v>1</v>
      </c>
      <c r="AB20" s="3">
        <v>1</v>
      </c>
      <c r="AC20" s="3">
        <v>1</v>
      </c>
      <c r="AD20" s="3">
        <v>1</v>
      </c>
      <c r="AE20" s="3">
        <v>1</v>
      </c>
      <c r="AF20" s="3">
        <v>1</v>
      </c>
      <c r="AG20" s="3">
        <v>1</v>
      </c>
      <c r="AH20" s="3">
        <v>1</v>
      </c>
      <c r="AI20" s="3">
        <v>1</v>
      </c>
      <c r="AJ20" s="3">
        <v>1</v>
      </c>
      <c r="AK20" s="3">
        <v>1</v>
      </c>
      <c r="AL20" s="3">
        <v>1</v>
      </c>
      <c r="AM20" s="3">
        <v>1</v>
      </c>
      <c r="AN20" s="3">
        <v>1</v>
      </c>
      <c r="AO20" s="3">
        <v>1</v>
      </c>
      <c r="AP20" s="3">
        <v>1</v>
      </c>
      <c r="AQ20" s="3">
        <v>1</v>
      </c>
      <c r="AR20" s="3">
        <v>1</v>
      </c>
      <c r="AS20" s="3">
        <v>1</v>
      </c>
      <c r="AT20" s="3">
        <v>1</v>
      </c>
      <c r="AU20" s="3">
        <v>1</v>
      </c>
      <c r="AV20" s="3">
        <v>1</v>
      </c>
      <c r="AW20" s="3">
        <v>1</v>
      </c>
      <c r="AX20" s="3">
        <v>1</v>
      </c>
      <c r="AY20" s="3">
        <v>1</v>
      </c>
      <c r="AZ20" s="3">
        <v>1</v>
      </c>
      <c r="BA20" s="3">
        <v>1</v>
      </c>
      <c r="BB20" s="3">
        <v>1</v>
      </c>
      <c r="BC20" s="3">
        <v>1</v>
      </c>
      <c r="BD20" s="3">
        <v>1</v>
      </c>
      <c r="BE20" s="3">
        <v>1</v>
      </c>
      <c r="BF20" s="3">
        <v>1</v>
      </c>
      <c r="BG20" s="3">
        <v>1</v>
      </c>
      <c r="BH20" s="3">
        <v>1</v>
      </c>
      <c r="BI20" s="3">
        <v>1</v>
      </c>
      <c r="BJ20" s="3">
        <v>1</v>
      </c>
      <c r="BK20" s="3">
        <v>1</v>
      </c>
      <c r="BL20" s="3">
        <v>1</v>
      </c>
      <c r="BM20" s="3">
        <v>1</v>
      </c>
      <c r="BN20" s="3">
        <v>1</v>
      </c>
      <c r="BO20" s="3">
        <v>1</v>
      </c>
      <c r="BP20" s="3">
        <v>1</v>
      </c>
      <c r="BQ20" s="3">
        <v>1</v>
      </c>
      <c r="BR20" s="3"/>
    </row>
    <row r="21" spans="1:70" x14ac:dyDescent="0.3">
      <c r="A21" s="4" t="s">
        <v>259</v>
      </c>
      <c r="B21" s="4" t="s">
        <v>260</v>
      </c>
      <c r="C21" s="4" t="s">
        <v>261</v>
      </c>
      <c r="D21" s="4" t="s">
        <v>262</v>
      </c>
      <c r="E21" s="4" t="s">
        <v>11</v>
      </c>
      <c r="F21" s="7"/>
      <c r="G21" s="4" t="s">
        <v>140</v>
      </c>
      <c r="H21" s="4">
        <v>0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1</v>
      </c>
      <c r="S21" s="3">
        <v>1</v>
      </c>
      <c r="T21" s="3">
        <v>1</v>
      </c>
      <c r="U21" s="3">
        <v>1</v>
      </c>
      <c r="V21" s="3">
        <v>1</v>
      </c>
      <c r="W21" s="3">
        <v>1</v>
      </c>
      <c r="X21" s="3">
        <v>1</v>
      </c>
      <c r="Y21" s="3">
        <v>1</v>
      </c>
      <c r="Z21" s="3">
        <v>1</v>
      </c>
      <c r="AA21" s="3">
        <v>1</v>
      </c>
      <c r="AB21" s="3">
        <v>1</v>
      </c>
      <c r="AC21" s="3">
        <v>1</v>
      </c>
      <c r="AD21" s="3">
        <v>1</v>
      </c>
      <c r="AE21" s="3">
        <v>1</v>
      </c>
      <c r="AF21" s="3">
        <v>1</v>
      </c>
      <c r="AG21" s="3">
        <v>1</v>
      </c>
      <c r="AH21" s="3">
        <v>1</v>
      </c>
      <c r="AI21" s="3">
        <v>1</v>
      </c>
      <c r="AJ21" s="3">
        <v>1</v>
      </c>
      <c r="AK21" s="3">
        <v>1</v>
      </c>
      <c r="AL21" s="3">
        <v>1</v>
      </c>
      <c r="AM21" s="3">
        <v>1</v>
      </c>
      <c r="AN21" s="3">
        <v>1</v>
      </c>
      <c r="AO21" s="3">
        <v>1</v>
      </c>
      <c r="AP21" s="3">
        <v>1</v>
      </c>
      <c r="AQ21" s="3">
        <v>1</v>
      </c>
      <c r="AR21" s="3">
        <v>1</v>
      </c>
      <c r="AS21" s="3">
        <v>1</v>
      </c>
      <c r="AT21" s="3">
        <v>1</v>
      </c>
      <c r="AU21" s="3">
        <v>1</v>
      </c>
      <c r="AV21" s="3">
        <v>1</v>
      </c>
      <c r="AW21" s="3">
        <v>1</v>
      </c>
      <c r="AX21" s="3">
        <v>1</v>
      </c>
      <c r="AY21" s="3">
        <v>1</v>
      </c>
      <c r="AZ21" s="3">
        <v>1</v>
      </c>
      <c r="BA21" s="3">
        <v>1</v>
      </c>
      <c r="BB21" s="3">
        <v>1</v>
      </c>
      <c r="BC21" s="3">
        <v>1</v>
      </c>
      <c r="BD21" s="3">
        <v>1</v>
      </c>
      <c r="BE21" s="3">
        <v>1</v>
      </c>
      <c r="BF21" s="3">
        <v>1</v>
      </c>
      <c r="BG21" s="3">
        <v>1</v>
      </c>
      <c r="BH21" s="3">
        <v>1</v>
      </c>
      <c r="BI21" s="3">
        <v>1</v>
      </c>
      <c r="BJ21" s="3">
        <v>1</v>
      </c>
      <c r="BK21" s="3">
        <v>1</v>
      </c>
      <c r="BL21" s="3">
        <v>1</v>
      </c>
      <c r="BM21" s="3">
        <v>1</v>
      </c>
      <c r="BN21" s="3">
        <v>1</v>
      </c>
      <c r="BO21" s="3">
        <v>1</v>
      </c>
      <c r="BP21" s="3">
        <v>1</v>
      </c>
      <c r="BQ21" s="3">
        <v>1</v>
      </c>
      <c r="BR21" s="3"/>
    </row>
    <row r="22" spans="1:70" x14ac:dyDescent="0.3">
      <c r="A22" s="5" t="s">
        <v>254</v>
      </c>
      <c r="B22" s="5" t="s">
        <v>255</v>
      </c>
      <c r="C22" s="5" t="s">
        <v>68</v>
      </c>
      <c r="D22" s="5" t="s">
        <v>256</v>
      </c>
      <c r="E22" s="5" t="s">
        <v>139</v>
      </c>
      <c r="F22" s="7" t="s">
        <v>176</v>
      </c>
      <c r="G22" s="5" t="s">
        <v>140</v>
      </c>
      <c r="H22" s="5">
        <v>0</v>
      </c>
      <c r="I22" s="3">
        <v>1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  <c r="O22" s="3">
        <v>1</v>
      </c>
      <c r="P22" s="3">
        <v>1</v>
      </c>
      <c r="Q22" s="3">
        <v>1</v>
      </c>
      <c r="R22" s="3">
        <v>1</v>
      </c>
      <c r="S22" s="3">
        <v>1</v>
      </c>
      <c r="T22" s="3">
        <v>1</v>
      </c>
      <c r="U22" s="3">
        <v>1</v>
      </c>
      <c r="V22" s="3">
        <v>1</v>
      </c>
      <c r="W22" s="3">
        <v>1</v>
      </c>
      <c r="X22" s="3">
        <v>1</v>
      </c>
      <c r="Y22" s="3">
        <v>1</v>
      </c>
      <c r="Z22" s="3">
        <v>1</v>
      </c>
      <c r="AA22" s="3">
        <v>1</v>
      </c>
      <c r="AB22" s="3">
        <v>1</v>
      </c>
      <c r="AC22" s="3">
        <v>1</v>
      </c>
      <c r="AD22" s="3">
        <v>1</v>
      </c>
      <c r="AE22" s="3">
        <v>1</v>
      </c>
      <c r="AF22" s="3">
        <v>1</v>
      </c>
      <c r="AG22" s="3">
        <v>1</v>
      </c>
      <c r="AH22" s="3">
        <v>1</v>
      </c>
      <c r="AI22" s="3">
        <v>1</v>
      </c>
      <c r="AJ22" s="3">
        <v>1</v>
      </c>
      <c r="AK22" s="3">
        <v>1</v>
      </c>
      <c r="AL22" s="3">
        <v>1</v>
      </c>
      <c r="AM22" s="3">
        <v>1</v>
      </c>
      <c r="AN22" s="3">
        <v>1</v>
      </c>
      <c r="AO22" s="3">
        <v>1</v>
      </c>
      <c r="AP22" s="3">
        <v>1</v>
      </c>
      <c r="AQ22" s="3">
        <v>1</v>
      </c>
      <c r="AR22" s="3">
        <v>1</v>
      </c>
      <c r="AS22" s="3">
        <v>1</v>
      </c>
      <c r="AT22" s="3">
        <v>1</v>
      </c>
      <c r="AU22" s="3">
        <v>1</v>
      </c>
      <c r="AV22" s="3">
        <v>1</v>
      </c>
      <c r="AW22" s="3">
        <v>1</v>
      </c>
      <c r="AX22" s="3">
        <v>1</v>
      </c>
      <c r="AY22" s="3">
        <v>1</v>
      </c>
      <c r="AZ22" s="3">
        <v>1</v>
      </c>
      <c r="BA22" s="3">
        <v>1</v>
      </c>
      <c r="BB22" s="3">
        <v>1</v>
      </c>
      <c r="BC22" s="3">
        <v>1</v>
      </c>
      <c r="BD22" s="3">
        <v>1</v>
      </c>
      <c r="BE22" s="3">
        <v>1</v>
      </c>
      <c r="BF22" s="3">
        <v>1</v>
      </c>
      <c r="BG22" s="3">
        <v>1</v>
      </c>
      <c r="BH22" s="3">
        <v>1</v>
      </c>
      <c r="BI22" s="3">
        <v>1</v>
      </c>
      <c r="BJ22" s="3">
        <v>1</v>
      </c>
      <c r="BK22" s="3">
        <v>1</v>
      </c>
      <c r="BL22" s="3">
        <v>1</v>
      </c>
      <c r="BM22" s="3">
        <v>1</v>
      </c>
      <c r="BN22" s="3">
        <v>1</v>
      </c>
      <c r="BO22" s="3">
        <v>1</v>
      </c>
      <c r="BP22" s="3">
        <v>1</v>
      </c>
      <c r="BQ22" s="3">
        <v>1</v>
      </c>
      <c r="BR22" s="3"/>
    </row>
    <row r="23" spans="1:70" x14ac:dyDescent="0.3">
      <c r="A23" s="4" t="s">
        <v>254</v>
      </c>
      <c r="B23" s="4" t="s">
        <v>255</v>
      </c>
      <c r="C23" s="4" t="s">
        <v>249</v>
      </c>
      <c r="D23" s="25" t="s">
        <v>250</v>
      </c>
      <c r="E23" s="4" t="s">
        <v>11</v>
      </c>
      <c r="F23" s="7"/>
      <c r="G23" s="4" t="s">
        <v>140</v>
      </c>
      <c r="H23" s="4">
        <v>0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3">
        <v>1</v>
      </c>
      <c r="X23" s="3">
        <v>1</v>
      </c>
      <c r="Y23" s="3">
        <v>1</v>
      </c>
      <c r="Z23" s="3">
        <v>1</v>
      </c>
      <c r="AA23" s="3">
        <v>1</v>
      </c>
      <c r="AB23" s="3">
        <v>1</v>
      </c>
      <c r="AC23" s="3">
        <v>1</v>
      </c>
      <c r="AD23" s="3">
        <v>1</v>
      </c>
      <c r="AE23" s="3">
        <v>1</v>
      </c>
      <c r="AF23" s="3">
        <v>1</v>
      </c>
      <c r="AG23" s="3">
        <v>1</v>
      </c>
      <c r="AH23" s="3">
        <v>1</v>
      </c>
      <c r="AI23" s="3">
        <v>1</v>
      </c>
      <c r="AJ23" s="3">
        <v>1</v>
      </c>
      <c r="AK23" s="3">
        <v>1</v>
      </c>
      <c r="AL23" s="3">
        <v>1</v>
      </c>
      <c r="AM23" s="3">
        <v>1</v>
      </c>
      <c r="AN23" s="3">
        <v>1</v>
      </c>
      <c r="AO23" s="3">
        <v>1</v>
      </c>
      <c r="AP23" s="3">
        <v>1</v>
      </c>
      <c r="AQ23" s="3">
        <v>1</v>
      </c>
      <c r="AR23" s="3">
        <v>1</v>
      </c>
      <c r="AS23" s="3">
        <v>1</v>
      </c>
      <c r="AT23" s="3">
        <v>1</v>
      </c>
      <c r="AU23" s="3">
        <v>1</v>
      </c>
      <c r="AV23" s="3">
        <v>1</v>
      </c>
      <c r="AW23" s="3">
        <v>1</v>
      </c>
      <c r="AX23" s="3">
        <v>1</v>
      </c>
      <c r="AY23" s="3">
        <v>1</v>
      </c>
      <c r="AZ23" s="3">
        <v>1</v>
      </c>
      <c r="BA23" s="3">
        <v>1</v>
      </c>
      <c r="BB23" s="3">
        <v>1</v>
      </c>
      <c r="BC23" s="3">
        <v>1</v>
      </c>
      <c r="BD23" s="3">
        <v>1</v>
      </c>
      <c r="BE23" s="3">
        <v>1</v>
      </c>
      <c r="BF23" s="3">
        <v>1</v>
      </c>
      <c r="BG23" s="3">
        <v>1</v>
      </c>
      <c r="BH23" s="3">
        <v>1</v>
      </c>
      <c r="BI23" s="3">
        <v>1</v>
      </c>
      <c r="BJ23" s="3">
        <v>1</v>
      </c>
      <c r="BK23" s="3">
        <v>1</v>
      </c>
      <c r="BL23" s="3">
        <v>1</v>
      </c>
      <c r="BM23" s="3">
        <v>1</v>
      </c>
      <c r="BN23" s="3">
        <v>1</v>
      </c>
      <c r="BO23" s="3">
        <v>1</v>
      </c>
      <c r="BP23" s="3">
        <v>1</v>
      </c>
      <c r="BQ23" s="3">
        <v>1</v>
      </c>
      <c r="BR23" s="3"/>
    </row>
    <row r="24" spans="1:70" x14ac:dyDescent="0.3">
      <c r="A24" s="4" t="s">
        <v>251</v>
      </c>
      <c r="B24" s="4" t="s">
        <v>252</v>
      </c>
      <c r="C24" s="4" t="s">
        <v>144</v>
      </c>
      <c r="D24" s="4" t="s">
        <v>253</v>
      </c>
      <c r="E24" s="4" t="s">
        <v>139</v>
      </c>
      <c r="F24" s="7" t="s">
        <v>176</v>
      </c>
      <c r="G24" s="4" t="s">
        <v>140</v>
      </c>
      <c r="H24" s="4">
        <v>0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T24" s="3">
        <v>1</v>
      </c>
      <c r="U24" s="3">
        <v>1</v>
      </c>
      <c r="V24" s="3">
        <v>1</v>
      </c>
      <c r="W24" s="3">
        <v>1</v>
      </c>
      <c r="X24" s="3">
        <v>1</v>
      </c>
      <c r="Y24" s="3">
        <v>1</v>
      </c>
      <c r="Z24" s="3">
        <v>1</v>
      </c>
      <c r="AA24" s="3">
        <v>1</v>
      </c>
      <c r="AB24" s="3">
        <v>1</v>
      </c>
      <c r="AC24" s="3">
        <v>1</v>
      </c>
      <c r="AD24" s="3">
        <v>1</v>
      </c>
      <c r="AE24" s="3">
        <v>1</v>
      </c>
      <c r="AF24" s="3">
        <v>1</v>
      </c>
      <c r="AG24" s="3">
        <v>1</v>
      </c>
      <c r="AH24" s="3">
        <v>1</v>
      </c>
      <c r="AI24" s="3">
        <v>1</v>
      </c>
      <c r="AJ24" s="3">
        <v>1</v>
      </c>
      <c r="AK24" s="3">
        <v>1</v>
      </c>
      <c r="AL24" s="3">
        <v>1</v>
      </c>
      <c r="AM24" s="3">
        <v>1</v>
      </c>
      <c r="AN24" s="3">
        <v>1</v>
      </c>
      <c r="AO24" s="3">
        <v>1</v>
      </c>
      <c r="AP24" s="3">
        <v>1</v>
      </c>
      <c r="AQ24" s="3">
        <v>1</v>
      </c>
      <c r="AR24" s="3">
        <v>1</v>
      </c>
      <c r="AS24" s="3">
        <v>1</v>
      </c>
      <c r="AT24" s="3">
        <v>1</v>
      </c>
      <c r="AU24" s="3">
        <v>1</v>
      </c>
      <c r="AV24" s="3">
        <v>1</v>
      </c>
      <c r="AW24" s="3">
        <v>1</v>
      </c>
      <c r="AX24" s="3">
        <v>1</v>
      </c>
      <c r="AY24" s="3">
        <v>1</v>
      </c>
      <c r="AZ24" s="3">
        <v>1</v>
      </c>
      <c r="BA24" s="3">
        <v>1</v>
      </c>
      <c r="BB24" s="3">
        <v>1</v>
      </c>
      <c r="BC24" s="3">
        <v>1</v>
      </c>
      <c r="BD24" s="3">
        <v>1</v>
      </c>
      <c r="BE24" s="3">
        <v>1</v>
      </c>
      <c r="BF24" s="3">
        <v>1</v>
      </c>
      <c r="BG24" s="3">
        <v>1</v>
      </c>
      <c r="BH24" s="3">
        <v>1</v>
      </c>
      <c r="BI24" s="3">
        <v>1</v>
      </c>
      <c r="BJ24" s="3">
        <v>1</v>
      </c>
      <c r="BK24" s="3">
        <v>1</v>
      </c>
      <c r="BL24" s="3">
        <v>1</v>
      </c>
      <c r="BM24" s="3">
        <v>1</v>
      </c>
      <c r="BN24" s="3">
        <v>1</v>
      </c>
      <c r="BO24" s="3">
        <v>1</v>
      </c>
      <c r="BP24" s="3">
        <v>1</v>
      </c>
      <c r="BQ24" s="3">
        <v>1</v>
      </c>
      <c r="BR24" s="3"/>
    </row>
    <row r="25" spans="1:70" x14ac:dyDescent="0.3">
      <c r="A25" s="5" t="s">
        <v>251</v>
      </c>
      <c r="B25" s="5" t="s">
        <v>252</v>
      </c>
      <c r="C25" s="5" t="s">
        <v>249</v>
      </c>
      <c r="D25" s="5" t="s">
        <v>250</v>
      </c>
      <c r="E25" s="5" t="s">
        <v>11</v>
      </c>
      <c r="F25" s="7"/>
      <c r="G25" s="5" t="s">
        <v>140</v>
      </c>
      <c r="H25" s="5">
        <v>0</v>
      </c>
      <c r="I25" s="3">
        <v>1</v>
      </c>
      <c r="J25" s="3">
        <v>1</v>
      </c>
      <c r="K25" s="3">
        <v>1</v>
      </c>
      <c r="L25" s="3">
        <v>1</v>
      </c>
      <c r="M25" s="3">
        <v>1</v>
      </c>
      <c r="N25" s="3">
        <v>1</v>
      </c>
      <c r="O25" s="3">
        <v>1</v>
      </c>
      <c r="P25" s="3">
        <v>1</v>
      </c>
      <c r="Q25" s="3">
        <v>1</v>
      </c>
      <c r="R25" s="3">
        <v>1</v>
      </c>
      <c r="S25" s="3">
        <v>1</v>
      </c>
      <c r="T25" s="3">
        <v>1</v>
      </c>
      <c r="U25" s="3">
        <v>1</v>
      </c>
      <c r="V25" s="3">
        <v>1</v>
      </c>
      <c r="W25" s="3">
        <v>1</v>
      </c>
      <c r="X25" s="3">
        <v>1</v>
      </c>
      <c r="Y25" s="3">
        <v>1</v>
      </c>
      <c r="Z25" s="3">
        <v>1</v>
      </c>
      <c r="AA25" s="3">
        <v>1</v>
      </c>
      <c r="AB25" s="3">
        <v>1</v>
      </c>
      <c r="AC25" s="3">
        <v>1</v>
      </c>
      <c r="AD25" s="3">
        <v>1</v>
      </c>
      <c r="AE25" s="3">
        <v>1</v>
      </c>
      <c r="AF25" s="3">
        <v>1</v>
      </c>
      <c r="AG25" s="3">
        <v>1</v>
      </c>
      <c r="AH25" s="3">
        <v>1</v>
      </c>
      <c r="AI25" s="3">
        <v>1</v>
      </c>
      <c r="AJ25" s="3">
        <v>1</v>
      </c>
      <c r="AK25" s="3">
        <v>1</v>
      </c>
      <c r="AL25" s="3">
        <v>1</v>
      </c>
      <c r="AM25" s="3">
        <v>1</v>
      </c>
      <c r="AN25" s="3">
        <v>1</v>
      </c>
      <c r="AO25" s="3">
        <v>1</v>
      </c>
      <c r="AP25" s="3">
        <v>1</v>
      </c>
      <c r="AQ25" s="3">
        <v>1</v>
      </c>
      <c r="AR25" s="3">
        <v>1</v>
      </c>
      <c r="AS25" s="3">
        <v>1</v>
      </c>
      <c r="AT25" s="3">
        <v>1</v>
      </c>
      <c r="AU25" s="3">
        <v>1</v>
      </c>
      <c r="AV25" s="3">
        <v>1</v>
      </c>
      <c r="AW25" s="3">
        <v>1</v>
      </c>
      <c r="AX25" s="3">
        <v>1</v>
      </c>
      <c r="AY25" s="3">
        <v>1</v>
      </c>
      <c r="AZ25" s="3">
        <v>1</v>
      </c>
      <c r="BA25" s="3">
        <v>1</v>
      </c>
      <c r="BB25" s="3">
        <v>1</v>
      </c>
      <c r="BC25" s="3">
        <v>1</v>
      </c>
      <c r="BD25" s="3">
        <v>1</v>
      </c>
      <c r="BE25" s="3">
        <v>1</v>
      </c>
      <c r="BF25" s="3">
        <v>1</v>
      </c>
      <c r="BG25" s="3">
        <v>1</v>
      </c>
      <c r="BH25" s="3">
        <v>1</v>
      </c>
      <c r="BI25" s="3">
        <v>1</v>
      </c>
      <c r="BJ25" s="3">
        <v>1</v>
      </c>
      <c r="BK25" s="3">
        <v>1</v>
      </c>
      <c r="BL25" s="3">
        <v>1</v>
      </c>
      <c r="BM25" s="3">
        <v>1</v>
      </c>
      <c r="BN25" s="3">
        <v>1</v>
      </c>
      <c r="BO25" s="3">
        <v>1</v>
      </c>
      <c r="BP25" s="3">
        <v>1</v>
      </c>
      <c r="BQ25" s="3">
        <v>1</v>
      </c>
      <c r="BR25" s="3"/>
    </row>
    <row r="26" spans="1:70" x14ac:dyDescent="0.3">
      <c r="A26" s="5" t="s">
        <v>246</v>
      </c>
      <c r="B26" s="5" t="s">
        <v>247</v>
      </c>
      <c r="C26" s="5" t="s">
        <v>115</v>
      </c>
      <c r="D26" s="5" t="s">
        <v>248</v>
      </c>
      <c r="E26" s="5" t="s">
        <v>139</v>
      </c>
      <c r="F26" s="7" t="s">
        <v>176</v>
      </c>
      <c r="G26" s="5" t="s">
        <v>140</v>
      </c>
      <c r="H26" s="5">
        <v>0</v>
      </c>
      <c r="I26" s="3">
        <v>1</v>
      </c>
      <c r="J26" s="3">
        <v>1</v>
      </c>
      <c r="K26" s="3">
        <v>1</v>
      </c>
      <c r="L26" s="3">
        <v>1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1</v>
      </c>
      <c r="S26" s="3">
        <v>1</v>
      </c>
      <c r="T26" s="3">
        <v>1</v>
      </c>
      <c r="U26" s="3">
        <v>1</v>
      </c>
      <c r="V26" s="3">
        <v>1</v>
      </c>
      <c r="W26" s="3">
        <v>1</v>
      </c>
      <c r="X26" s="3">
        <v>1</v>
      </c>
      <c r="Y26" s="3">
        <v>1</v>
      </c>
      <c r="Z26" s="3">
        <v>1</v>
      </c>
      <c r="AA26" s="3">
        <v>1</v>
      </c>
      <c r="AB26" s="3">
        <v>1</v>
      </c>
      <c r="AC26" s="3">
        <v>1</v>
      </c>
      <c r="AD26" s="3">
        <v>1</v>
      </c>
      <c r="AE26" s="3">
        <v>1</v>
      </c>
      <c r="AF26" s="3">
        <v>1</v>
      </c>
      <c r="AG26" s="3">
        <v>1</v>
      </c>
      <c r="AH26" s="3">
        <v>1</v>
      </c>
      <c r="AI26" s="3">
        <v>1</v>
      </c>
      <c r="AJ26" s="3">
        <v>1</v>
      </c>
      <c r="AK26" s="3">
        <v>1</v>
      </c>
      <c r="AL26" s="3">
        <v>1</v>
      </c>
      <c r="AM26" s="3">
        <v>1</v>
      </c>
      <c r="AN26" s="3">
        <v>1</v>
      </c>
      <c r="AO26" s="3">
        <v>1</v>
      </c>
      <c r="AP26" s="3">
        <v>1</v>
      </c>
      <c r="AQ26" s="3">
        <v>1</v>
      </c>
      <c r="AR26" s="3">
        <v>1</v>
      </c>
      <c r="AS26" s="3">
        <v>1</v>
      </c>
      <c r="AT26" s="3">
        <v>1</v>
      </c>
      <c r="AU26" s="3">
        <v>1</v>
      </c>
      <c r="AV26" s="3">
        <v>1</v>
      </c>
      <c r="AW26" s="3">
        <v>1</v>
      </c>
      <c r="AX26" s="3">
        <v>1</v>
      </c>
      <c r="AY26" s="3">
        <v>1</v>
      </c>
      <c r="AZ26" s="3">
        <v>1</v>
      </c>
      <c r="BA26" s="3">
        <v>1</v>
      </c>
      <c r="BB26" s="3">
        <v>1</v>
      </c>
      <c r="BC26" s="3">
        <v>1</v>
      </c>
      <c r="BD26" s="3">
        <v>1</v>
      </c>
      <c r="BE26" s="3">
        <v>1</v>
      </c>
      <c r="BF26" s="3">
        <v>1</v>
      </c>
      <c r="BG26" s="3">
        <v>1</v>
      </c>
      <c r="BH26" s="3">
        <v>1</v>
      </c>
      <c r="BI26" s="3">
        <v>1</v>
      </c>
      <c r="BJ26" s="3">
        <v>1</v>
      </c>
      <c r="BK26" s="3">
        <v>1</v>
      </c>
      <c r="BL26" s="3">
        <v>1</v>
      </c>
      <c r="BM26" s="3">
        <v>1</v>
      </c>
      <c r="BN26" s="3">
        <v>1</v>
      </c>
      <c r="BO26" s="3">
        <v>1</v>
      </c>
      <c r="BP26" s="3">
        <v>1</v>
      </c>
      <c r="BQ26" s="3">
        <v>1</v>
      </c>
      <c r="BR26" s="3"/>
    </row>
    <row r="27" spans="1:70" x14ac:dyDescent="0.3">
      <c r="A27" s="4" t="s">
        <v>246</v>
      </c>
      <c r="B27" s="4" t="s">
        <v>247</v>
      </c>
      <c r="C27" s="4" t="s">
        <v>249</v>
      </c>
      <c r="D27" s="4" t="s">
        <v>250</v>
      </c>
      <c r="E27" s="4" t="s">
        <v>11</v>
      </c>
      <c r="F27" s="7"/>
      <c r="G27" s="4" t="s">
        <v>140</v>
      </c>
      <c r="H27" s="4">
        <v>0</v>
      </c>
      <c r="I27" s="3">
        <v>1</v>
      </c>
      <c r="J27" s="3">
        <v>1</v>
      </c>
      <c r="K27" s="3">
        <v>1</v>
      </c>
      <c r="L27" s="3">
        <v>1</v>
      </c>
      <c r="M27" s="3">
        <v>1</v>
      </c>
      <c r="N27" s="3">
        <v>1</v>
      </c>
      <c r="O27" s="3">
        <v>1</v>
      </c>
      <c r="P27" s="3">
        <v>1</v>
      </c>
      <c r="Q27" s="3">
        <v>1</v>
      </c>
      <c r="R27" s="3">
        <v>1</v>
      </c>
      <c r="S27" s="3">
        <v>1</v>
      </c>
      <c r="T27" s="3">
        <v>1</v>
      </c>
      <c r="U27" s="3">
        <v>1</v>
      </c>
      <c r="V27" s="3">
        <v>1</v>
      </c>
      <c r="W27" s="3">
        <v>1</v>
      </c>
      <c r="X27" s="3">
        <v>1</v>
      </c>
      <c r="Y27" s="3">
        <v>1</v>
      </c>
      <c r="Z27" s="3">
        <v>1</v>
      </c>
      <c r="AA27" s="3">
        <v>1</v>
      </c>
      <c r="AB27" s="3">
        <v>1</v>
      </c>
      <c r="AC27" s="3">
        <v>1</v>
      </c>
      <c r="AD27" s="3">
        <v>1</v>
      </c>
      <c r="AE27" s="3">
        <v>1</v>
      </c>
      <c r="AF27" s="3">
        <v>1</v>
      </c>
      <c r="AG27" s="3">
        <v>1</v>
      </c>
      <c r="AH27" s="3">
        <v>1</v>
      </c>
      <c r="AI27" s="3">
        <v>1</v>
      </c>
      <c r="AJ27" s="3">
        <v>1</v>
      </c>
      <c r="AK27" s="3">
        <v>1</v>
      </c>
      <c r="AL27" s="3">
        <v>1</v>
      </c>
      <c r="AM27" s="3">
        <v>1</v>
      </c>
      <c r="AN27" s="3">
        <v>1</v>
      </c>
      <c r="AO27" s="3">
        <v>1</v>
      </c>
      <c r="AP27" s="3">
        <v>1</v>
      </c>
      <c r="AQ27" s="3">
        <v>1</v>
      </c>
      <c r="AR27" s="3">
        <v>1</v>
      </c>
      <c r="AS27" s="3">
        <v>1</v>
      </c>
      <c r="AT27" s="3">
        <v>1</v>
      </c>
      <c r="AU27" s="3">
        <v>1</v>
      </c>
      <c r="AV27" s="3">
        <v>1</v>
      </c>
      <c r="AW27" s="3">
        <v>1</v>
      </c>
      <c r="AX27" s="3">
        <v>1</v>
      </c>
      <c r="AY27" s="3">
        <v>1</v>
      </c>
      <c r="AZ27" s="3">
        <v>1</v>
      </c>
      <c r="BA27" s="3">
        <v>1</v>
      </c>
      <c r="BB27" s="3">
        <v>1</v>
      </c>
      <c r="BC27" s="3">
        <v>1</v>
      </c>
      <c r="BD27" s="3">
        <v>1</v>
      </c>
      <c r="BE27" s="3">
        <v>1</v>
      </c>
      <c r="BF27" s="3">
        <v>1</v>
      </c>
      <c r="BG27" s="3">
        <v>1</v>
      </c>
      <c r="BH27" s="3">
        <v>1</v>
      </c>
      <c r="BI27" s="3">
        <v>1</v>
      </c>
      <c r="BJ27" s="3">
        <v>1</v>
      </c>
      <c r="BK27" s="3">
        <v>1</v>
      </c>
      <c r="BL27" s="3">
        <v>1</v>
      </c>
      <c r="BM27" s="3">
        <v>1</v>
      </c>
      <c r="BN27" s="3">
        <v>1</v>
      </c>
      <c r="BO27" s="3">
        <v>1</v>
      </c>
      <c r="BP27" s="3">
        <v>1</v>
      </c>
      <c r="BQ27" s="3">
        <v>1</v>
      </c>
      <c r="BR27" s="3"/>
    </row>
    <row r="28" spans="1:70" x14ac:dyDescent="0.3">
      <c r="A28" s="4" t="s">
        <v>257</v>
      </c>
      <c r="B28" s="4" t="s">
        <v>258</v>
      </c>
      <c r="C28" s="14" t="s">
        <v>177</v>
      </c>
      <c r="D28" s="4" t="s">
        <v>727</v>
      </c>
      <c r="E28" s="4" t="s">
        <v>139</v>
      </c>
      <c r="F28" s="7" t="s">
        <v>176</v>
      </c>
      <c r="G28" s="4" t="s">
        <v>140</v>
      </c>
      <c r="H28" s="4">
        <v>0</v>
      </c>
      <c r="I28" s="3">
        <v>1</v>
      </c>
      <c r="J28" s="3">
        <v>1</v>
      </c>
      <c r="K28" s="3">
        <v>1</v>
      </c>
      <c r="L28" s="3">
        <v>1</v>
      </c>
      <c r="M28" s="3">
        <v>1</v>
      </c>
      <c r="N28" s="3">
        <v>1</v>
      </c>
      <c r="O28" s="3">
        <v>1</v>
      </c>
      <c r="P28" s="3">
        <v>1</v>
      </c>
      <c r="Q28" s="3">
        <v>1</v>
      </c>
      <c r="R28" s="3">
        <v>1</v>
      </c>
      <c r="S28" s="3">
        <v>1</v>
      </c>
      <c r="T28" s="3">
        <v>1</v>
      </c>
      <c r="U28" s="3">
        <v>1</v>
      </c>
      <c r="V28" s="3">
        <v>1</v>
      </c>
      <c r="W28" s="3">
        <v>1</v>
      </c>
      <c r="X28" s="3">
        <v>1</v>
      </c>
      <c r="Y28" s="3">
        <v>1</v>
      </c>
      <c r="Z28" s="3">
        <v>1</v>
      </c>
      <c r="AA28" s="3">
        <v>1</v>
      </c>
      <c r="AB28" s="3">
        <v>1</v>
      </c>
      <c r="AC28" s="3">
        <v>1</v>
      </c>
      <c r="AD28" s="3">
        <v>1</v>
      </c>
      <c r="AE28" s="3">
        <v>1</v>
      </c>
      <c r="AF28" s="3">
        <v>1</v>
      </c>
      <c r="AG28" s="3">
        <v>1</v>
      </c>
      <c r="AH28" s="3">
        <v>1</v>
      </c>
      <c r="AI28" s="3">
        <v>1</v>
      </c>
      <c r="AJ28" s="3">
        <v>1</v>
      </c>
      <c r="AK28" s="3">
        <v>1</v>
      </c>
      <c r="AL28" s="3">
        <v>1</v>
      </c>
      <c r="AM28" s="3">
        <v>1</v>
      </c>
      <c r="AN28" s="3">
        <v>1</v>
      </c>
      <c r="AO28" s="3">
        <v>1</v>
      </c>
      <c r="AP28" s="3">
        <v>1</v>
      </c>
      <c r="AQ28" s="3">
        <v>1</v>
      </c>
      <c r="AR28" s="3">
        <v>1</v>
      </c>
      <c r="AS28" s="3">
        <v>1</v>
      </c>
      <c r="AT28" s="3">
        <v>1</v>
      </c>
      <c r="AU28" s="3">
        <v>1</v>
      </c>
      <c r="AV28" s="3">
        <v>1</v>
      </c>
      <c r="AW28" s="3">
        <v>1</v>
      </c>
      <c r="AX28" s="3">
        <v>1</v>
      </c>
      <c r="AY28" s="3">
        <v>1</v>
      </c>
      <c r="AZ28" s="3">
        <v>1</v>
      </c>
      <c r="BA28" s="3">
        <v>1</v>
      </c>
      <c r="BB28" s="3">
        <v>1</v>
      </c>
      <c r="BC28" s="3">
        <v>1</v>
      </c>
      <c r="BD28" s="3">
        <v>1</v>
      </c>
      <c r="BE28" s="3">
        <v>1</v>
      </c>
      <c r="BF28" s="3">
        <v>1</v>
      </c>
      <c r="BG28" s="3">
        <v>1</v>
      </c>
      <c r="BH28" s="3">
        <v>1</v>
      </c>
      <c r="BI28" s="3">
        <v>1</v>
      </c>
      <c r="BJ28" s="3">
        <v>1</v>
      </c>
      <c r="BK28" s="3">
        <v>1</v>
      </c>
      <c r="BL28" s="3">
        <v>1</v>
      </c>
      <c r="BM28" s="3">
        <v>1</v>
      </c>
      <c r="BN28" s="3">
        <v>1</v>
      </c>
      <c r="BO28" s="3">
        <v>1</v>
      </c>
      <c r="BP28" s="3">
        <v>1</v>
      </c>
      <c r="BQ28" s="3">
        <v>1</v>
      </c>
      <c r="BR28" s="3"/>
    </row>
    <row r="29" spans="1:70" x14ac:dyDescent="0.3">
      <c r="A29" s="5" t="s">
        <v>257</v>
      </c>
      <c r="B29" s="5" t="s">
        <v>258</v>
      </c>
      <c r="C29" s="5" t="s">
        <v>249</v>
      </c>
      <c r="D29" s="5" t="s">
        <v>250</v>
      </c>
      <c r="E29" s="5" t="s">
        <v>11</v>
      </c>
      <c r="F29" s="7"/>
      <c r="G29" s="5" t="s">
        <v>140</v>
      </c>
      <c r="H29" s="5">
        <v>0</v>
      </c>
      <c r="I29" s="3">
        <v>1</v>
      </c>
      <c r="J29" s="3">
        <v>1</v>
      </c>
      <c r="K29" s="3">
        <v>1</v>
      </c>
      <c r="L29" s="3">
        <v>1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1</v>
      </c>
      <c r="S29" s="3">
        <v>1</v>
      </c>
      <c r="T29" s="3">
        <v>1</v>
      </c>
      <c r="U29" s="3">
        <v>1</v>
      </c>
      <c r="V29" s="3">
        <v>1</v>
      </c>
      <c r="W29" s="3">
        <v>1</v>
      </c>
      <c r="X29" s="3">
        <v>1</v>
      </c>
      <c r="Y29" s="3">
        <v>1</v>
      </c>
      <c r="Z29" s="3">
        <v>1</v>
      </c>
      <c r="AA29" s="3">
        <v>1</v>
      </c>
      <c r="AB29" s="3">
        <v>1</v>
      </c>
      <c r="AC29" s="3">
        <v>1</v>
      </c>
      <c r="AD29" s="3">
        <v>1</v>
      </c>
      <c r="AE29" s="3">
        <v>1</v>
      </c>
      <c r="AF29" s="3">
        <v>1</v>
      </c>
      <c r="AG29" s="3">
        <v>1</v>
      </c>
      <c r="AH29" s="3">
        <v>1</v>
      </c>
      <c r="AI29" s="3">
        <v>1</v>
      </c>
      <c r="AJ29" s="3">
        <v>1</v>
      </c>
      <c r="AK29" s="3">
        <v>1</v>
      </c>
      <c r="AL29" s="3">
        <v>1</v>
      </c>
      <c r="AM29" s="3">
        <v>1</v>
      </c>
      <c r="AN29" s="3">
        <v>1</v>
      </c>
      <c r="AO29" s="3">
        <v>1</v>
      </c>
      <c r="AP29" s="3">
        <v>1</v>
      </c>
      <c r="AQ29" s="3">
        <v>1</v>
      </c>
      <c r="AR29" s="3">
        <v>1</v>
      </c>
      <c r="AS29" s="3">
        <v>1</v>
      </c>
      <c r="AT29" s="3">
        <v>1</v>
      </c>
      <c r="AU29" s="3">
        <v>1</v>
      </c>
      <c r="AV29" s="3">
        <v>1</v>
      </c>
      <c r="AW29" s="3">
        <v>1</v>
      </c>
      <c r="AX29" s="3">
        <v>1</v>
      </c>
      <c r="AY29" s="3">
        <v>1</v>
      </c>
      <c r="AZ29" s="3">
        <v>1</v>
      </c>
      <c r="BA29" s="3">
        <v>1</v>
      </c>
      <c r="BB29" s="3">
        <v>1</v>
      </c>
      <c r="BC29" s="3">
        <v>1</v>
      </c>
      <c r="BD29" s="3">
        <v>1</v>
      </c>
      <c r="BE29" s="3">
        <v>1</v>
      </c>
      <c r="BF29" s="3">
        <v>1</v>
      </c>
      <c r="BG29" s="3">
        <v>1</v>
      </c>
      <c r="BH29" s="3">
        <v>1</v>
      </c>
      <c r="BI29" s="3">
        <v>1</v>
      </c>
      <c r="BJ29" s="3">
        <v>1</v>
      </c>
      <c r="BK29" s="3">
        <v>1</v>
      </c>
      <c r="BL29" s="3">
        <v>1</v>
      </c>
      <c r="BM29" s="3">
        <v>1</v>
      </c>
      <c r="BN29" s="3">
        <v>1</v>
      </c>
      <c r="BO29" s="3">
        <v>1</v>
      </c>
      <c r="BP29" s="3">
        <v>1</v>
      </c>
      <c r="BQ29" s="3">
        <v>1</v>
      </c>
      <c r="BR29" s="3"/>
    </row>
    <row r="30" spans="1:70" x14ac:dyDescent="0.3">
      <c r="A30" s="4" t="s">
        <v>174</v>
      </c>
      <c r="B30" s="4" t="s">
        <v>175</v>
      </c>
      <c r="C30" s="4" t="s">
        <v>177</v>
      </c>
      <c r="D30" s="4" t="s">
        <v>725</v>
      </c>
      <c r="E30" s="4" t="s">
        <v>139</v>
      </c>
      <c r="F30" s="7" t="s">
        <v>176</v>
      </c>
      <c r="G30" s="4" t="s">
        <v>140</v>
      </c>
      <c r="H30" s="4">
        <v>0</v>
      </c>
      <c r="I30" s="3">
        <v>1</v>
      </c>
      <c r="J30" s="3">
        <v>1</v>
      </c>
      <c r="K30" s="3">
        <v>1</v>
      </c>
      <c r="L30" s="3">
        <v>1</v>
      </c>
      <c r="M30" s="3">
        <v>1</v>
      </c>
      <c r="N30" s="3">
        <v>1</v>
      </c>
      <c r="O30" s="3">
        <v>1</v>
      </c>
      <c r="P30" s="3">
        <v>1</v>
      </c>
      <c r="Q30" s="3">
        <v>1</v>
      </c>
      <c r="R30" s="3">
        <v>1</v>
      </c>
      <c r="S30" s="3">
        <v>1</v>
      </c>
      <c r="T30" s="3">
        <v>1</v>
      </c>
      <c r="U30" s="3">
        <v>1</v>
      </c>
      <c r="V30" s="3">
        <v>1</v>
      </c>
      <c r="W30" s="3">
        <v>1</v>
      </c>
      <c r="X30" s="3">
        <v>1</v>
      </c>
      <c r="Y30" s="3">
        <v>1</v>
      </c>
      <c r="Z30" s="3">
        <v>1</v>
      </c>
      <c r="AA30" s="3">
        <v>1</v>
      </c>
      <c r="AB30" s="3">
        <v>1</v>
      </c>
      <c r="AC30" s="3">
        <v>1</v>
      </c>
      <c r="AD30" s="3">
        <v>1</v>
      </c>
      <c r="AE30" s="3">
        <v>1</v>
      </c>
      <c r="AF30" s="3">
        <v>1</v>
      </c>
      <c r="AG30" s="3">
        <v>1</v>
      </c>
      <c r="AH30" s="3">
        <v>1</v>
      </c>
      <c r="AI30" s="3">
        <v>1</v>
      </c>
      <c r="AJ30" s="3">
        <v>1</v>
      </c>
      <c r="AK30" s="3">
        <v>1</v>
      </c>
      <c r="AL30" s="3">
        <v>1</v>
      </c>
      <c r="AM30" s="3">
        <v>1</v>
      </c>
      <c r="AN30" s="3">
        <v>1</v>
      </c>
      <c r="AO30" s="3">
        <v>1</v>
      </c>
      <c r="AP30" s="3">
        <v>1</v>
      </c>
      <c r="AQ30" s="3">
        <v>1</v>
      </c>
      <c r="AR30" s="3">
        <v>1</v>
      </c>
      <c r="AS30" s="3">
        <v>1</v>
      </c>
      <c r="AT30" s="3">
        <v>1</v>
      </c>
      <c r="AU30" s="3">
        <v>1</v>
      </c>
      <c r="AV30" s="3">
        <v>1</v>
      </c>
      <c r="AW30" s="3">
        <v>1</v>
      </c>
      <c r="AX30" s="3">
        <v>1</v>
      </c>
      <c r="AY30" s="3">
        <v>1</v>
      </c>
      <c r="AZ30" s="3">
        <v>1</v>
      </c>
      <c r="BA30" s="3">
        <v>1</v>
      </c>
      <c r="BB30" s="3">
        <v>1</v>
      </c>
      <c r="BC30" s="3">
        <v>1</v>
      </c>
      <c r="BD30" s="3">
        <v>1</v>
      </c>
      <c r="BE30" s="3">
        <v>1</v>
      </c>
      <c r="BF30" s="3">
        <v>1</v>
      </c>
      <c r="BG30" s="3">
        <v>1</v>
      </c>
      <c r="BH30" s="3">
        <v>1</v>
      </c>
      <c r="BI30" s="3">
        <v>1</v>
      </c>
      <c r="BJ30" s="3">
        <v>1</v>
      </c>
      <c r="BK30" s="3">
        <v>1</v>
      </c>
      <c r="BL30" s="3">
        <v>1</v>
      </c>
      <c r="BM30" s="3">
        <v>1</v>
      </c>
      <c r="BN30" s="3">
        <v>1</v>
      </c>
      <c r="BO30" s="3">
        <v>1</v>
      </c>
      <c r="BP30" s="3">
        <v>1</v>
      </c>
      <c r="BQ30" s="3">
        <v>1</v>
      </c>
      <c r="BR30" s="3"/>
    </row>
    <row r="31" spans="1:70" x14ac:dyDescent="0.3">
      <c r="A31" s="4" t="s">
        <v>174</v>
      </c>
      <c r="B31" s="4" t="s">
        <v>175</v>
      </c>
      <c r="C31" s="4" t="s">
        <v>726</v>
      </c>
      <c r="D31" s="4" t="s">
        <v>727</v>
      </c>
      <c r="E31" s="4" t="s">
        <v>11</v>
      </c>
      <c r="F31" s="7"/>
      <c r="G31" s="4" t="s">
        <v>140</v>
      </c>
      <c r="H31" s="4">
        <v>0</v>
      </c>
      <c r="I31" s="3">
        <v>1</v>
      </c>
      <c r="J31" s="3">
        <v>1</v>
      </c>
      <c r="K31" s="3">
        <v>1</v>
      </c>
      <c r="L31" s="3">
        <v>1</v>
      </c>
      <c r="M31" s="3">
        <v>1</v>
      </c>
      <c r="N31" s="3">
        <v>1</v>
      </c>
      <c r="O31" s="3">
        <v>1</v>
      </c>
      <c r="P31" s="3">
        <v>1</v>
      </c>
      <c r="Q31" s="3">
        <v>1</v>
      </c>
      <c r="R31" s="3">
        <v>1</v>
      </c>
      <c r="S31" s="3">
        <v>1</v>
      </c>
      <c r="T31" s="3">
        <v>1</v>
      </c>
      <c r="U31" s="3">
        <v>1</v>
      </c>
      <c r="V31" s="3">
        <v>1</v>
      </c>
      <c r="W31" s="3">
        <v>1</v>
      </c>
      <c r="X31" s="3">
        <v>1</v>
      </c>
      <c r="Y31" s="3">
        <v>1</v>
      </c>
      <c r="Z31" s="3">
        <v>1</v>
      </c>
      <c r="AA31" s="3">
        <v>1</v>
      </c>
      <c r="AB31" s="3">
        <v>1</v>
      </c>
      <c r="AC31" s="3">
        <v>1</v>
      </c>
      <c r="AD31" s="3">
        <v>1</v>
      </c>
      <c r="AE31" s="3">
        <v>1</v>
      </c>
      <c r="AF31" s="3">
        <v>1</v>
      </c>
      <c r="AG31" s="3">
        <v>1</v>
      </c>
      <c r="AH31" s="3">
        <v>1</v>
      </c>
      <c r="AI31" s="3">
        <v>1</v>
      </c>
      <c r="AJ31" s="3">
        <v>1</v>
      </c>
      <c r="AK31" s="3">
        <v>1</v>
      </c>
      <c r="AL31" s="3">
        <v>1</v>
      </c>
      <c r="AM31" s="3">
        <v>1</v>
      </c>
      <c r="AN31" s="3">
        <v>1</v>
      </c>
      <c r="AO31" s="3">
        <v>1</v>
      </c>
      <c r="AP31" s="3">
        <v>1</v>
      </c>
      <c r="AQ31" s="3">
        <v>1</v>
      </c>
      <c r="AR31" s="3">
        <v>1</v>
      </c>
      <c r="AS31" s="3">
        <v>1</v>
      </c>
      <c r="AT31" s="3">
        <v>1</v>
      </c>
      <c r="AU31" s="3">
        <v>1</v>
      </c>
      <c r="AV31" s="3">
        <v>1</v>
      </c>
      <c r="AW31" s="3">
        <v>1</v>
      </c>
      <c r="AX31" s="3">
        <v>1</v>
      </c>
      <c r="AY31" s="3">
        <v>1</v>
      </c>
      <c r="AZ31" s="3">
        <v>1</v>
      </c>
      <c r="BA31" s="3">
        <v>1</v>
      </c>
      <c r="BB31" s="3">
        <v>1</v>
      </c>
      <c r="BC31" s="3">
        <v>1</v>
      </c>
      <c r="BD31" s="3">
        <v>1</v>
      </c>
      <c r="BE31" s="3">
        <v>1</v>
      </c>
      <c r="BF31" s="3">
        <v>1</v>
      </c>
      <c r="BG31" s="3">
        <v>1</v>
      </c>
      <c r="BH31" s="3">
        <v>1</v>
      </c>
      <c r="BI31" s="3">
        <v>1</v>
      </c>
      <c r="BJ31" s="3">
        <v>1</v>
      </c>
      <c r="BK31" s="3">
        <v>1</v>
      </c>
      <c r="BL31" s="3">
        <v>1</v>
      </c>
      <c r="BM31" s="3">
        <v>1</v>
      </c>
      <c r="BN31" s="3">
        <v>1</v>
      </c>
      <c r="BO31" s="3">
        <v>1</v>
      </c>
      <c r="BP31" s="3">
        <v>1</v>
      </c>
      <c r="BQ31" s="3">
        <v>1</v>
      </c>
      <c r="BR31" s="3"/>
    </row>
    <row r="32" spans="1:70" x14ac:dyDescent="0.3">
      <c r="A32" s="5" t="s">
        <v>178</v>
      </c>
      <c r="B32" s="5" t="s">
        <v>179</v>
      </c>
      <c r="C32" s="5" t="s">
        <v>72</v>
      </c>
      <c r="D32" s="5" t="s">
        <v>180</v>
      </c>
      <c r="E32" s="5" t="s">
        <v>139</v>
      </c>
      <c r="F32" s="7" t="s">
        <v>181</v>
      </c>
      <c r="G32" s="5" t="s">
        <v>140</v>
      </c>
      <c r="H32" s="5">
        <v>0</v>
      </c>
      <c r="I32" s="28">
        <v>6.0833000000000004</v>
      </c>
      <c r="J32" s="28">
        <v>6.0833000000000004</v>
      </c>
      <c r="K32" s="28">
        <v>6.0833000000000004</v>
      </c>
      <c r="L32" s="28">
        <v>6.0833000000000004</v>
      </c>
      <c r="M32" s="28">
        <v>6.0833000000000004</v>
      </c>
      <c r="N32" s="28">
        <v>6.0833000000000004</v>
      </c>
      <c r="O32" s="3">
        <v>6.0833000000000004</v>
      </c>
      <c r="P32" s="3">
        <v>5.6487999999999996</v>
      </c>
      <c r="Q32" s="3">
        <v>5.6361999999999997</v>
      </c>
      <c r="R32" s="3">
        <v>5.8425000000000002</v>
      </c>
      <c r="S32" s="3">
        <v>5.8701999999999996</v>
      </c>
      <c r="T32" s="3">
        <v>5.7830000000000004</v>
      </c>
      <c r="U32" s="3">
        <v>5.7830000000000004</v>
      </c>
      <c r="V32" s="3">
        <v>5.7830000000000004</v>
      </c>
      <c r="W32" s="3">
        <v>5.7830000000000004</v>
      </c>
      <c r="X32" s="3">
        <v>5.7830000000000004</v>
      </c>
      <c r="Y32" s="3">
        <v>5.7830000000000004</v>
      </c>
      <c r="Z32" s="3">
        <v>5.7830000000000004</v>
      </c>
      <c r="AA32" s="3">
        <v>5.7830000000000004</v>
      </c>
      <c r="AB32" s="3">
        <v>5.7830000000000004</v>
      </c>
      <c r="AC32" s="3">
        <v>5.7830000000000004</v>
      </c>
      <c r="AD32" s="3">
        <v>5.7830000000000004</v>
      </c>
      <c r="AE32" s="3">
        <v>5.7830000000000004</v>
      </c>
      <c r="AF32" s="3">
        <v>5.7830000000000004</v>
      </c>
      <c r="AG32" s="3">
        <v>5.7830000000000004</v>
      </c>
      <c r="AH32" s="3">
        <v>5.7830000000000004</v>
      </c>
      <c r="AI32" s="3">
        <v>5.7830000000000004</v>
      </c>
      <c r="AJ32" s="3">
        <v>5.7830000000000004</v>
      </c>
      <c r="AK32" s="3">
        <v>5.7830000000000004</v>
      </c>
      <c r="AL32" s="3">
        <v>5.7830000000000004</v>
      </c>
      <c r="AM32" s="3">
        <v>5.7830000000000004</v>
      </c>
      <c r="AN32" s="3">
        <v>5.7830000000000004</v>
      </c>
      <c r="AO32" s="3">
        <v>5.7830000000000004</v>
      </c>
      <c r="AP32" s="3">
        <v>5.7830000000000004</v>
      </c>
      <c r="AQ32" s="3">
        <v>5.7830000000000004</v>
      </c>
      <c r="AR32" s="3">
        <v>5.7830000000000004</v>
      </c>
      <c r="AS32" s="3">
        <v>5.7830000000000004</v>
      </c>
      <c r="AT32" s="3">
        <v>5.7830000000000004</v>
      </c>
      <c r="AU32" s="3">
        <v>5.7830000000000004</v>
      </c>
      <c r="AV32" s="3">
        <v>5.7830000000000004</v>
      </c>
      <c r="AW32" s="3">
        <v>5.7830000000000004</v>
      </c>
      <c r="AX32" s="3">
        <v>5.7830000000000004</v>
      </c>
      <c r="AY32" s="3">
        <v>5.7830000000000004</v>
      </c>
      <c r="AZ32" s="3">
        <v>5.7830000000000004</v>
      </c>
      <c r="BA32" s="3">
        <v>5.7830000000000004</v>
      </c>
      <c r="BB32" s="3">
        <v>5.7830000000000004</v>
      </c>
      <c r="BC32" s="3">
        <v>5.7830000000000004</v>
      </c>
      <c r="BD32" s="3">
        <v>5.7830000000000004</v>
      </c>
      <c r="BE32" s="3">
        <v>5.7830000000000004</v>
      </c>
      <c r="BF32" s="3">
        <v>5.7830000000000004</v>
      </c>
      <c r="BG32" s="3">
        <v>5.7830000000000004</v>
      </c>
      <c r="BH32" s="3">
        <v>5.7830000000000004</v>
      </c>
      <c r="BI32" s="3">
        <v>5.7830000000000004</v>
      </c>
      <c r="BJ32" s="3">
        <v>5.7830000000000004</v>
      </c>
      <c r="BK32" s="3">
        <v>5.7830000000000004</v>
      </c>
      <c r="BL32" s="3">
        <v>5.7830000000000004</v>
      </c>
      <c r="BM32" s="3">
        <v>5.7830000000000004</v>
      </c>
      <c r="BN32" s="3">
        <v>5.7830000000000004</v>
      </c>
      <c r="BO32" s="3">
        <v>5.7830000000000004</v>
      </c>
      <c r="BP32" s="3">
        <v>5.7830000000000004</v>
      </c>
      <c r="BQ32" s="3">
        <v>5.7830000000000004</v>
      </c>
      <c r="BR32" s="3"/>
    </row>
    <row r="33" spans="1:70" x14ac:dyDescent="0.3">
      <c r="A33" s="5" t="s">
        <v>178</v>
      </c>
      <c r="B33" s="5" t="s">
        <v>179</v>
      </c>
      <c r="C33" s="5" t="s">
        <v>76</v>
      </c>
      <c r="D33" s="5" t="s">
        <v>77</v>
      </c>
      <c r="E33" s="5" t="s">
        <v>11</v>
      </c>
      <c r="F33" s="7"/>
      <c r="G33" s="5" t="s">
        <v>140</v>
      </c>
      <c r="H33" s="5">
        <v>0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/>
    </row>
    <row r="34" spans="1:70" x14ac:dyDescent="0.3">
      <c r="A34" s="4" t="s">
        <v>189</v>
      </c>
      <c r="B34" s="4" t="s">
        <v>190</v>
      </c>
      <c r="C34" s="4" t="s">
        <v>68</v>
      </c>
      <c r="D34" s="4" t="s">
        <v>191</v>
      </c>
      <c r="E34" s="4" t="s">
        <v>139</v>
      </c>
      <c r="F34" s="7"/>
      <c r="G34" s="4" t="s">
        <v>140</v>
      </c>
      <c r="H34" s="4">
        <v>0</v>
      </c>
      <c r="I34" s="3">
        <v>1.9763999999999999</v>
      </c>
      <c r="J34" s="3">
        <v>1.9855</v>
      </c>
      <c r="K34" s="3">
        <v>1.9846999999999999</v>
      </c>
      <c r="L34" s="3">
        <v>1.9793000000000001</v>
      </c>
      <c r="M34" s="3">
        <v>1.9861</v>
      </c>
      <c r="N34" s="3">
        <v>1.9818</v>
      </c>
      <c r="O34" s="3">
        <v>1.7627999999999999</v>
      </c>
      <c r="P34" s="3">
        <v>1.9809000000000001</v>
      </c>
      <c r="Q34" s="3">
        <v>1.9835</v>
      </c>
      <c r="R34" s="3">
        <v>1.9824999999999999</v>
      </c>
      <c r="S34" s="3">
        <v>1.9824999999999999</v>
      </c>
      <c r="T34" s="3">
        <v>1.9827999999999999</v>
      </c>
      <c r="U34" s="3">
        <v>1.9827999999999999</v>
      </c>
      <c r="V34" s="3">
        <v>1.9827999999999999</v>
      </c>
      <c r="W34" s="3">
        <v>1.9827999999999999</v>
      </c>
      <c r="X34" s="3">
        <v>1.9827999999999999</v>
      </c>
      <c r="Y34" s="3">
        <v>1.9827999999999999</v>
      </c>
      <c r="Z34" s="3">
        <v>1.9827999999999999</v>
      </c>
      <c r="AA34" s="3">
        <v>1.9827999999999999</v>
      </c>
      <c r="AB34" s="3">
        <v>1.9827999999999999</v>
      </c>
      <c r="AC34" s="3">
        <v>1.9827999999999999</v>
      </c>
      <c r="AD34" s="3">
        <v>1.9827999999999999</v>
      </c>
      <c r="AE34" s="3">
        <v>1.9827999999999999</v>
      </c>
      <c r="AF34" s="3">
        <v>1.9827999999999999</v>
      </c>
      <c r="AG34" s="3">
        <v>1.9827999999999999</v>
      </c>
      <c r="AH34" s="3">
        <v>1.9827999999999999</v>
      </c>
      <c r="AI34" s="3">
        <v>1.9827999999999999</v>
      </c>
      <c r="AJ34" s="3">
        <v>1.9827999999999999</v>
      </c>
      <c r="AK34" s="3">
        <v>1.9827999999999999</v>
      </c>
      <c r="AL34" s="3">
        <v>1.9827999999999999</v>
      </c>
      <c r="AM34" s="3">
        <v>1.9827999999999999</v>
      </c>
      <c r="AN34" s="3">
        <v>1.9827999999999999</v>
      </c>
      <c r="AO34" s="3">
        <v>1.9827999999999999</v>
      </c>
      <c r="AP34" s="3">
        <v>1.9827999999999999</v>
      </c>
      <c r="AQ34" s="3">
        <v>1.9827999999999999</v>
      </c>
      <c r="AR34" s="3">
        <v>1.9827999999999999</v>
      </c>
      <c r="AS34" s="3">
        <v>1.9827999999999999</v>
      </c>
      <c r="AT34" s="3">
        <v>1.9827999999999999</v>
      </c>
      <c r="AU34" s="3">
        <v>1.9827999999999999</v>
      </c>
      <c r="AV34" s="3">
        <v>1.9827999999999999</v>
      </c>
      <c r="AW34" s="3">
        <v>1.9827999999999999</v>
      </c>
      <c r="AX34" s="3">
        <v>1.9827999999999999</v>
      </c>
      <c r="AY34" s="3">
        <v>1.9827999999999999</v>
      </c>
      <c r="AZ34" s="3">
        <v>1.9827999999999999</v>
      </c>
      <c r="BA34" s="3">
        <v>1.9827999999999999</v>
      </c>
      <c r="BB34" s="3">
        <v>1.9827999999999999</v>
      </c>
      <c r="BC34" s="3">
        <v>1.9827999999999999</v>
      </c>
      <c r="BD34" s="3">
        <v>1.9827999999999999</v>
      </c>
      <c r="BE34" s="3">
        <v>1.9827999999999999</v>
      </c>
      <c r="BF34" s="3">
        <v>1.9827999999999999</v>
      </c>
      <c r="BG34" s="3">
        <v>1.9827999999999999</v>
      </c>
      <c r="BH34" s="3">
        <v>1.9827999999999999</v>
      </c>
      <c r="BI34" s="3">
        <v>1.9827999999999999</v>
      </c>
      <c r="BJ34" s="3">
        <v>1.9827999999999999</v>
      </c>
      <c r="BK34" s="3">
        <v>1.9827999999999999</v>
      </c>
      <c r="BL34" s="3">
        <v>1.9827999999999999</v>
      </c>
      <c r="BM34" s="3">
        <v>1.9827999999999999</v>
      </c>
      <c r="BN34" s="3">
        <v>1.9827999999999999</v>
      </c>
      <c r="BO34" s="3">
        <v>1.9827999999999999</v>
      </c>
      <c r="BP34" s="3">
        <v>1.9827999999999999</v>
      </c>
      <c r="BQ34" s="3">
        <v>1.9827999999999999</v>
      </c>
      <c r="BR34" s="3"/>
    </row>
    <row r="35" spans="1:70" x14ac:dyDescent="0.3">
      <c r="A35" s="5" t="s">
        <v>189</v>
      </c>
      <c r="B35" s="5" t="s">
        <v>190</v>
      </c>
      <c r="C35" s="5" t="s">
        <v>76</v>
      </c>
      <c r="D35" s="5" t="s">
        <v>77</v>
      </c>
      <c r="E35" s="5" t="s">
        <v>11</v>
      </c>
      <c r="F35" s="7"/>
      <c r="G35" s="5" t="s">
        <v>140</v>
      </c>
      <c r="H35" s="5">
        <v>0</v>
      </c>
      <c r="I35" s="3">
        <v>1</v>
      </c>
      <c r="J35" s="3">
        <v>1</v>
      </c>
      <c r="K35" s="3">
        <v>1</v>
      </c>
      <c r="L35" s="3">
        <v>1</v>
      </c>
      <c r="M35" s="3">
        <v>1</v>
      </c>
      <c r="N35" s="3">
        <v>1</v>
      </c>
      <c r="O35" s="3">
        <v>1</v>
      </c>
      <c r="P35" s="3">
        <v>1</v>
      </c>
      <c r="Q35" s="3">
        <v>1</v>
      </c>
      <c r="R35" s="3">
        <v>1</v>
      </c>
      <c r="S35" s="3">
        <v>1</v>
      </c>
      <c r="T35" s="3">
        <v>1</v>
      </c>
      <c r="U35" s="3">
        <v>1</v>
      </c>
      <c r="V35" s="3">
        <v>1</v>
      </c>
      <c r="W35" s="3">
        <v>1</v>
      </c>
      <c r="X35" s="3">
        <v>1</v>
      </c>
      <c r="Y35" s="3">
        <v>1</v>
      </c>
      <c r="Z35" s="3">
        <v>1</v>
      </c>
      <c r="AA35" s="3">
        <v>1</v>
      </c>
      <c r="AB35" s="3">
        <v>1</v>
      </c>
      <c r="AC35" s="3">
        <v>1</v>
      </c>
      <c r="AD35" s="3">
        <v>1</v>
      </c>
      <c r="AE35" s="3">
        <v>1</v>
      </c>
      <c r="AF35" s="3">
        <v>1</v>
      </c>
      <c r="AG35" s="3">
        <v>1</v>
      </c>
      <c r="AH35" s="3">
        <v>1</v>
      </c>
      <c r="AI35" s="3">
        <v>1</v>
      </c>
      <c r="AJ35" s="3">
        <v>1</v>
      </c>
      <c r="AK35" s="3">
        <v>1</v>
      </c>
      <c r="AL35" s="3">
        <v>1</v>
      </c>
      <c r="AM35" s="3">
        <v>1</v>
      </c>
      <c r="AN35" s="3">
        <v>1</v>
      </c>
      <c r="AO35" s="3">
        <v>1</v>
      </c>
      <c r="AP35" s="3">
        <v>1</v>
      </c>
      <c r="AQ35" s="3">
        <v>1</v>
      </c>
      <c r="AR35" s="3">
        <v>1</v>
      </c>
      <c r="AS35" s="3">
        <v>1</v>
      </c>
      <c r="AT35" s="3">
        <v>1</v>
      </c>
      <c r="AU35" s="3">
        <v>1</v>
      </c>
      <c r="AV35" s="3">
        <v>1</v>
      </c>
      <c r="AW35" s="3">
        <v>1</v>
      </c>
      <c r="AX35" s="3">
        <v>1</v>
      </c>
      <c r="AY35" s="3">
        <v>1</v>
      </c>
      <c r="AZ35" s="3">
        <v>1</v>
      </c>
      <c r="BA35" s="3">
        <v>1</v>
      </c>
      <c r="BB35" s="3">
        <v>1</v>
      </c>
      <c r="BC35" s="3">
        <v>1</v>
      </c>
      <c r="BD35" s="3">
        <v>1</v>
      </c>
      <c r="BE35" s="3">
        <v>1</v>
      </c>
      <c r="BF35" s="3">
        <v>1</v>
      </c>
      <c r="BG35" s="3">
        <v>1</v>
      </c>
      <c r="BH35" s="3">
        <v>1</v>
      </c>
      <c r="BI35" s="3">
        <v>1</v>
      </c>
      <c r="BJ35" s="3">
        <v>1</v>
      </c>
      <c r="BK35" s="3">
        <v>1</v>
      </c>
      <c r="BL35" s="3">
        <v>1</v>
      </c>
      <c r="BM35" s="3">
        <v>1</v>
      </c>
      <c r="BN35" s="3">
        <v>1</v>
      </c>
      <c r="BO35" s="3">
        <v>1</v>
      </c>
      <c r="BP35" s="3">
        <v>1</v>
      </c>
      <c r="BQ35" s="3">
        <v>1</v>
      </c>
      <c r="BR35" s="3"/>
    </row>
    <row r="36" spans="1:70" x14ac:dyDescent="0.3">
      <c r="A36" s="4" t="s">
        <v>182</v>
      </c>
      <c r="B36" s="4" t="s">
        <v>183</v>
      </c>
      <c r="C36" s="4" t="s">
        <v>60</v>
      </c>
      <c r="D36" s="4" t="s">
        <v>184</v>
      </c>
      <c r="E36" s="4" t="s">
        <v>139</v>
      </c>
      <c r="F36" s="7" t="s">
        <v>181</v>
      </c>
      <c r="G36" s="4" t="s">
        <v>140</v>
      </c>
      <c r="H36" s="4">
        <v>0</v>
      </c>
      <c r="I36" s="3">
        <v>1.9763999999999999</v>
      </c>
      <c r="J36" s="3">
        <v>1.9855</v>
      </c>
      <c r="K36" s="3">
        <v>1.9846999999999999</v>
      </c>
      <c r="L36" s="3">
        <v>1.9793000000000001</v>
      </c>
      <c r="M36" s="3">
        <v>1.9861</v>
      </c>
      <c r="N36" s="3">
        <v>1.9818</v>
      </c>
      <c r="O36" s="3">
        <v>1.7627999999999999</v>
      </c>
      <c r="P36" s="3">
        <v>1.9809000000000001</v>
      </c>
      <c r="Q36" s="3">
        <v>1.9835</v>
      </c>
      <c r="R36" s="3">
        <v>1.9824999999999999</v>
      </c>
      <c r="S36" s="3">
        <v>1.9824999999999999</v>
      </c>
      <c r="T36" s="3">
        <v>1.9827999999999999</v>
      </c>
      <c r="U36" s="3">
        <v>1.9827999999999999</v>
      </c>
      <c r="V36" s="3">
        <v>1.9827999999999999</v>
      </c>
      <c r="W36" s="3">
        <v>1.9827999999999999</v>
      </c>
      <c r="X36" s="3">
        <v>1.9827999999999999</v>
      </c>
      <c r="Y36" s="3">
        <v>1.9827999999999999</v>
      </c>
      <c r="Z36" s="3">
        <v>1.9827999999999999</v>
      </c>
      <c r="AA36" s="3">
        <v>1.9827999999999999</v>
      </c>
      <c r="AB36" s="3">
        <v>1.9827999999999999</v>
      </c>
      <c r="AC36" s="3">
        <v>1.9827999999999999</v>
      </c>
      <c r="AD36" s="3">
        <v>1.9827999999999999</v>
      </c>
      <c r="AE36" s="3">
        <v>1.9827999999999999</v>
      </c>
      <c r="AF36" s="3">
        <v>1.9827999999999999</v>
      </c>
      <c r="AG36" s="3">
        <v>1.9827999999999999</v>
      </c>
      <c r="AH36" s="3">
        <v>1.9827999999999999</v>
      </c>
      <c r="AI36" s="3">
        <v>1.9827999999999999</v>
      </c>
      <c r="AJ36" s="3">
        <v>1.9827999999999999</v>
      </c>
      <c r="AK36" s="3">
        <v>1.9827999999999999</v>
      </c>
      <c r="AL36" s="3">
        <v>1.9827999999999999</v>
      </c>
      <c r="AM36" s="3">
        <v>1.9827999999999999</v>
      </c>
      <c r="AN36" s="3">
        <v>1.9827999999999999</v>
      </c>
      <c r="AO36" s="3">
        <v>1.9827999999999999</v>
      </c>
      <c r="AP36" s="3">
        <v>1.9827999999999999</v>
      </c>
      <c r="AQ36" s="3">
        <v>1.9827999999999999</v>
      </c>
      <c r="AR36" s="3">
        <v>1.9827999999999999</v>
      </c>
      <c r="AS36" s="3">
        <v>1.9827999999999999</v>
      </c>
      <c r="AT36" s="3">
        <v>1.9827999999999999</v>
      </c>
      <c r="AU36" s="3">
        <v>1.9827999999999999</v>
      </c>
      <c r="AV36" s="3">
        <v>1.9827999999999999</v>
      </c>
      <c r="AW36" s="3">
        <v>1.9827999999999999</v>
      </c>
      <c r="AX36" s="3">
        <v>1.9827999999999999</v>
      </c>
      <c r="AY36" s="3">
        <v>1.9827999999999999</v>
      </c>
      <c r="AZ36" s="3">
        <v>1.9827999999999999</v>
      </c>
      <c r="BA36" s="3">
        <v>1.9827999999999999</v>
      </c>
      <c r="BB36" s="3">
        <v>1.9827999999999999</v>
      </c>
      <c r="BC36" s="3">
        <v>1.9827999999999999</v>
      </c>
      <c r="BD36" s="3">
        <v>1.9827999999999999</v>
      </c>
      <c r="BE36" s="3">
        <v>1.9827999999999999</v>
      </c>
      <c r="BF36" s="3">
        <v>1.9827999999999999</v>
      </c>
      <c r="BG36" s="3">
        <v>1.9827999999999999</v>
      </c>
      <c r="BH36" s="3">
        <v>1.9827999999999999</v>
      </c>
      <c r="BI36" s="3">
        <v>1.9827999999999999</v>
      </c>
      <c r="BJ36" s="3">
        <v>1.9827999999999999</v>
      </c>
      <c r="BK36" s="3">
        <v>1.9827999999999999</v>
      </c>
      <c r="BL36" s="3">
        <v>1.9827999999999999</v>
      </c>
      <c r="BM36" s="3">
        <v>1.9827999999999999</v>
      </c>
      <c r="BN36" s="3">
        <v>1.9827999999999999</v>
      </c>
      <c r="BO36" s="3">
        <v>1.9827999999999999</v>
      </c>
      <c r="BP36" s="3">
        <v>1.9827999999999999</v>
      </c>
      <c r="BQ36" s="3">
        <v>1.9827999999999999</v>
      </c>
      <c r="BR36" s="3"/>
    </row>
    <row r="37" spans="1:70" x14ac:dyDescent="0.3">
      <c r="A37" s="4" t="s">
        <v>182</v>
      </c>
      <c r="B37" s="4" t="s">
        <v>183</v>
      </c>
      <c r="C37" s="4" t="s">
        <v>76</v>
      </c>
      <c r="D37" s="4" t="s">
        <v>77</v>
      </c>
      <c r="E37" s="4" t="s">
        <v>11</v>
      </c>
      <c r="F37" s="7"/>
      <c r="G37" s="4" t="s">
        <v>140</v>
      </c>
      <c r="H37" s="4">
        <v>0</v>
      </c>
      <c r="I37" s="3">
        <v>1</v>
      </c>
      <c r="J37" s="3">
        <v>1</v>
      </c>
      <c r="K37" s="3">
        <v>1</v>
      </c>
      <c r="L37" s="3">
        <v>1</v>
      </c>
      <c r="M37" s="3">
        <v>1</v>
      </c>
      <c r="N37" s="3">
        <v>1</v>
      </c>
      <c r="O37" s="3">
        <v>1</v>
      </c>
      <c r="P37" s="3">
        <v>1</v>
      </c>
      <c r="Q37" s="3">
        <v>1</v>
      </c>
      <c r="R37" s="3">
        <v>1</v>
      </c>
      <c r="S37" s="3">
        <v>1</v>
      </c>
      <c r="T37" s="3">
        <v>1</v>
      </c>
      <c r="U37" s="3">
        <v>1</v>
      </c>
      <c r="V37" s="3">
        <v>1</v>
      </c>
      <c r="W37" s="3">
        <v>1</v>
      </c>
      <c r="X37" s="3">
        <v>1</v>
      </c>
      <c r="Y37" s="3">
        <v>1</v>
      </c>
      <c r="Z37" s="3">
        <v>1</v>
      </c>
      <c r="AA37" s="3">
        <v>1</v>
      </c>
      <c r="AB37" s="3">
        <v>1</v>
      </c>
      <c r="AC37" s="3">
        <v>1</v>
      </c>
      <c r="AD37" s="3">
        <v>1</v>
      </c>
      <c r="AE37" s="3">
        <v>1</v>
      </c>
      <c r="AF37" s="3">
        <v>1</v>
      </c>
      <c r="AG37" s="3">
        <v>1</v>
      </c>
      <c r="AH37" s="3">
        <v>1</v>
      </c>
      <c r="AI37" s="3">
        <v>1</v>
      </c>
      <c r="AJ37" s="3">
        <v>1</v>
      </c>
      <c r="AK37" s="3">
        <v>1</v>
      </c>
      <c r="AL37" s="3">
        <v>1</v>
      </c>
      <c r="AM37" s="3">
        <v>1</v>
      </c>
      <c r="AN37" s="3">
        <v>1</v>
      </c>
      <c r="AO37" s="3">
        <v>1</v>
      </c>
      <c r="AP37" s="3">
        <v>1</v>
      </c>
      <c r="AQ37" s="3">
        <v>1</v>
      </c>
      <c r="AR37" s="3">
        <v>1</v>
      </c>
      <c r="AS37" s="3">
        <v>1</v>
      </c>
      <c r="AT37" s="3">
        <v>1</v>
      </c>
      <c r="AU37" s="3">
        <v>1</v>
      </c>
      <c r="AV37" s="3">
        <v>1</v>
      </c>
      <c r="AW37" s="3">
        <v>1</v>
      </c>
      <c r="AX37" s="3">
        <v>1</v>
      </c>
      <c r="AY37" s="3">
        <v>1</v>
      </c>
      <c r="AZ37" s="3">
        <v>1</v>
      </c>
      <c r="BA37" s="3">
        <v>1</v>
      </c>
      <c r="BB37" s="3">
        <v>1</v>
      </c>
      <c r="BC37" s="3">
        <v>1</v>
      </c>
      <c r="BD37" s="3">
        <v>1</v>
      </c>
      <c r="BE37" s="3">
        <v>1</v>
      </c>
      <c r="BF37" s="3">
        <v>1</v>
      </c>
      <c r="BG37" s="3">
        <v>1</v>
      </c>
      <c r="BH37" s="3">
        <v>1</v>
      </c>
      <c r="BI37" s="3">
        <v>1</v>
      </c>
      <c r="BJ37" s="3">
        <v>1</v>
      </c>
      <c r="BK37" s="3">
        <v>1</v>
      </c>
      <c r="BL37" s="3">
        <v>1</v>
      </c>
      <c r="BM37" s="3">
        <v>1</v>
      </c>
      <c r="BN37" s="3">
        <v>1</v>
      </c>
      <c r="BO37" s="3">
        <v>1</v>
      </c>
      <c r="BP37" s="3">
        <v>1</v>
      </c>
      <c r="BQ37" s="3">
        <v>1</v>
      </c>
      <c r="BR37" s="3"/>
    </row>
    <row r="38" spans="1:70" x14ac:dyDescent="0.3">
      <c r="A38" s="5" t="s">
        <v>182</v>
      </c>
      <c r="B38" s="5" t="s">
        <v>183</v>
      </c>
      <c r="C38" s="5" t="s">
        <v>185</v>
      </c>
      <c r="D38" s="5" t="s">
        <v>186</v>
      </c>
      <c r="E38" s="5" t="s">
        <v>11</v>
      </c>
      <c r="F38" s="7"/>
      <c r="G38" s="5" t="s">
        <v>140</v>
      </c>
      <c r="H38" s="5">
        <v>0</v>
      </c>
      <c r="I38" s="3">
        <v>1</v>
      </c>
      <c r="J38" s="3">
        <v>1</v>
      </c>
      <c r="K38" s="3">
        <v>1</v>
      </c>
      <c r="L38" s="3">
        <v>1</v>
      </c>
      <c r="M38" s="3">
        <v>1</v>
      </c>
      <c r="N38" s="3">
        <v>1</v>
      </c>
      <c r="O38" s="3">
        <v>1</v>
      </c>
      <c r="P38" s="3">
        <v>1</v>
      </c>
      <c r="Q38" s="3">
        <v>1</v>
      </c>
      <c r="R38" s="3">
        <v>1</v>
      </c>
      <c r="S38" s="3">
        <v>1</v>
      </c>
      <c r="T38" s="3">
        <v>1</v>
      </c>
      <c r="U38" s="3">
        <v>1</v>
      </c>
      <c r="V38" s="3">
        <v>1</v>
      </c>
      <c r="W38" s="3">
        <v>1</v>
      </c>
      <c r="X38" s="3">
        <v>1</v>
      </c>
      <c r="Y38" s="3">
        <v>1</v>
      </c>
      <c r="Z38" s="3">
        <v>1</v>
      </c>
      <c r="AA38" s="3">
        <v>1</v>
      </c>
      <c r="AB38" s="3">
        <v>1</v>
      </c>
      <c r="AC38" s="3">
        <v>1</v>
      </c>
      <c r="AD38" s="3">
        <v>1</v>
      </c>
      <c r="AE38" s="3">
        <v>1</v>
      </c>
      <c r="AF38" s="3">
        <v>1</v>
      </c>
      <c r="AG38" s="3">
        <v>1</v>
      </c>
      <c r="AH38" s="3">
        <v>1</v>
      </c>
      <c r="AI38" s="3">
        <v>1</v>
      </c>
      <c r="AJ38" s="3">
        <v>1</v>
      </c>
      <c r="AK38" s="3">
        <v>1</v>
      </c>
      <c r="AL38" s="3">
        <v>1</v>
      </c>
      <c r="AM38" s="3">
        <v>1</v>
      </c>
      <c r="AN38" s="3">
        <v>1</v>
      </c>
      <c r="AO38" s="3">
        <v>1</v>
      </c>
      <c r="AP38" s="3">
        <v>1</v>
      </c>
      <c r="AQ38" s="3">
        <v>1</v>
      </c>
      <c r="AR38" s="3">
        <v>1</v>
      </c>
      <c r="AS38" s="3">
        <v>1</v>
      </c>
      <c r="AT38" s="3">
        <v>1</v>
      </c>
      <c r="AU38" s="3">
        <v>1</v>
      </c>
      <c r="AV38" s="3">
        <v>1</v>
      </c>
      <c r="AW38" s="3">
        <v>1</v>
      </c>
      <c r="AX38" s="3">
        <v>1</v>
      </c>
      <c r="AY38" s="3">
        <v>1</v>
      </c>
      <c r="AZ38" s="3">
        <v>1</v>
      </c>
      <c r="BA38" s="3">
        <v>1</v>
      </c>
      <c r="BB38" s="3">
        <v>1</v>
      </c>
      <c r="BC38" s="3">
        <v>1</v>
      </c>
      <c r="BD38" s="3">
        <v>1</v>
      </c>
      <c r="BE38" s="3">
        <v>1</v>
      </c>
      <c r="BF38" s="3">
        <v>1</v>
      </c>
      <c r="BG38" s="3">
        <v>1</v>
      </c>
      <c r="BH38" s="3">
        <v>1</v>
      </c>
      <c r="BI38" s="3">
        <v>1</v>
      </c>
      <c r="BJ38" s="3">
        <v>1</v>
      </c>
      <c r="BK38" s="3">
        <v>1</v>
      </c>
      <c r="BL38" s="3">
        <v>1</v>
      </c>
      <c r="BM38" s="3">
        <v>1</v>
      </c>
      <c r="BN38" s="3">
        <v>1</v>
      </c>
      <c r="BO38" s="3">
        <v>1</v>
      </c>
      <c r="BP38" s="3">
        <v>1</v>
      </c>
      <c r="BQ38" s="3">
        <v>1</v>
      </c>
      <c r="BR38" s="3"/>
    </row>
    <row r="39" spans="1:70" x14ac:dyDescent="0.3">
      <c r="A39" s="5" t="s">
        <v>192</v>
      </c>
      <c r="B39" s="5" t="s">
        <v>193</v>
      </c>
      <c r="C39" s="5" t="s">
        <v>23</v>
      </c>
      <c r="D39" s="5" t="s">
        <v>24</v>
      </c>
      <c r="E39" s="5" t="s">
        <v>139</v>
      </c>
      <c r="F39" s="7" t="s">
        <v>181</v>
      </c>
      <c r="G39" s="5" t="s">
        <v>140</v>
      </c>
      <c r="H39" s="5">
        <v>0</v>
      </c>
      <c r="I39" s="3">
        <v>2.86</v>
      </c>
      <c r="J39" s="3">
        <v>2.86</v>
      </c>
      <c r="K39" s="3">
        <v>2.86</v>
      </c>
      <c r="L39" s="3">
        <v>2.86</v>
      </c>
      <c r="M39" s="3">
        <v>2.86</v>
      </c>
      <c r="N39" s="3">
        <v>2.86</v>
      </c>
      <c r="O39" s="3">
        <v>2.86</v>
      </c>
      <c r="P39" s="3">
        <v>2.86</v>
      </c>
      <c r="Q39" s="3">
        <v>2.86</v>
      </c>
      <c r="R39" s="3">
        <v>2.86</v>
      </c>
      <c r="S39" s="3">
        <v>2.86</v>
      </c>
      <c r="T39" s="3">
        <v>2.86</v>
      </c>
      <c r="U39" s="3">
        <v>2.86</v>
      </c>
      <c r="V39" s="3">
        <v>2.86</v>
      </c>
      <c r="W39" s="3">
        <v>2.86</v>
      </c>
      <c r="X39" s="3">
        <v>2.86</v>
      </c>
      <c r="Y39" s="3">
        <v>2.86</v>
      </c>
      <c r="Z39" s="3">
        <v>2.86</v>
      </c>
      <c r="AA39" s="3">
        <v>2.86</v>
      </c>
      <c r="AB39" s="3">
        <v>2.86</v>
      </c>
      <c r="AC39" s="3">
        <v>2.86</v>
      </c>
      <c r="AD39" s="3">
        <v>2.86</v>
      </c>
      <c r="AE39" s="3">
        <v>2.86</v>
      </c>
      <c r="AF39" s="3">
        <v>2.86</v>
      </c>
      <c r="AG39" s="3">
        <v>2.86</v>
      </c>
      <c r="AH39" s="3">
        <v>2.86</v>
      </c>
      <c r="AI39" s="3">
        <v>2.86</v>
      </c>
      <c r="AJ39" s="3">
        <v>2.86</v>
      </c>
      <c r="AK39" s="3">
        <v>2.86</v>
      </c>
      <c r="AL39" s="3">
        <v>2.86</v>
      </c>
      <c r="AM39" s="3">
        <v>2.86</v>
      </c>
      <c r="AN39" s="3">
        <v>2.86</v>
      </c>
      <c r="AO39" s="3">
        <v>2.86</v>
      </c>
      <c r="AP39" s="3">
        <v>2.86</v>
      </c>
      <c r="AQ39" s="3">
        <v>2.86</v>
      </c>
      <c r="AR39" s="3">
        <v>2.86</v>
      </c>
      <c r="AS39" s="3">
        <v>2.86</v>
      </c>
      <c r="AT39" s="3">
        <v>2.86</v>
      </c>
      <c r="AU39" s="3">
        <v>2.86</v>
      </c>
      <c r="AV39" s="3">
        <v>2.86</v>
      </c>
      <c r="AW39" s="3">
        <v>2.86</v>
      </c>
      <c r="AX39" s="3">
        <v>2.86</v>
      </c>
      <c r="AY39" s="3">
        <v>2.86</v>
      </c>
      <c r="AZ39" s="3">
        <v>2.86</v>
      </c>
      <c r="BA39" s="3">
        <v>2.86</v>
      </c>
      <c r="BB39" s="3">
        <v>2.86</v>
      </c>
      <c r="BC39" s="3">
        <v>2.86</v>
      </c>
      <c r="BD39" s="3">
        <v>2.86</v>
      </c>
      <c r="BE39" s="3">
        <v>2.86</v>
      </c>
      <c r="BF39" s="3">
        <v>2.86</v>
      </c>
      <c r="BG39" s="3">
        <v>2.86</v>
      </c>
      <c r="BH39" s="3">
        <v>2.86</v>
      </c>
      <c r="BI39" s="3">
        <v>2.86</v>
      </c>
      <c r="BJ39" s="3">
        <v>2.86</v>
      </c>
      <c r="BK39" s="3">
        <v>2.86</v>
      </c>
      <c r="BL39" s="3">
        <v>2.86</v>
      </c>
      <c r="BM39" s="3">
        <v>2.86</v>
      </c>
      <c r="BN39" s="3">
        <v>2.86</v>
      </c>
      <c r="BO39" s="3">
        <v>2.86</v>
      </c>
      <c r="BP39" s="3">
        <v>2.86</v>
      </c>
      <c r="BQ39" s="3">
        <v>2.86</v>
      </c>
      <c r="BR39" s="3"/>
    </row>
    <row r="40" spans="1:70" x14ac:dyDescent="0.3">
      <c r="A40" s="4" t="s">
        <v>192</v>
      </c>
      <c r="B40" s="4" t="s">
        <v>193</v>
      </c>
      <c r="C40" s="4" t="s">
        <v>788</v>
      </c>
      <c r="D40" s="4" t="s">
        <v>77</v>
      </c>
      <c r="E40" s="4" t="s">
        <v>11</v>
      </c>
      <c r="F40" s="7"/>
      <c r="G40" s="4" t="s">
        <v>140</v>
      </c>
      <c r="H40" s="4">
        <v>0</v>
      </c>
      <c r="I40" s="3">
        <v>1</v>
      </c>
      <c r="J40" s="3">
        <v>1</v>
      </c>
      <c r="K40" s="3">
        <v>1</v>
      </c>
      <c r="L40" s="3">
        <v>1</v>
      </c>
      <c r="M40" s="3">
        <v>1</v>
      </c>
      <c r="N40" s="3">
        <v>1</v>
      </c>
      <c r="O40" s="3">
        <v>1</v>
      </c>
      <c r="P40" s="3">
        <v>1</v>
      </c>
      <c r="Q40" s="3">
        <v>1</v>
      </c>
      <c r="R40" s="3">
        <v>1</v>
      </c>
      <c r="S40" s="3">
        <v>1</v>
      </c>
      <c r="T40" s="3">
        <v>1</v>
      </c>
      <c r="U40" s="3">
        <v>1</v>
      </c>
      <c r="V40" s="3">
        <v>1</v>
      </c>
      <c r="W40" s="3">
        <v>1</v>
      </c>
      <c r="X40" s="3">
        <v>1</v>
      </c>
      <c r="Y40" s="3">
        <v>1</v>
      </c>
      <c r="Z40" s="3">
        <v>1</v>
      </c>
      <c r="AA40" s="3">
        <v>1</v>
      </c>
      <c r="AB40" s="3">
        <v>1</v>
      </c>
      <c r="AC40" s="3">
        <v>1</v>
      </c>
      <c r="AD40" s="3">
        <v>1</v>
      </c>
      <c r="AE40" s="3">
        <v>1</v>
      </c>
      <c r="AF40" s="3">
        <v>1</v>
      </c>
      <c r="AG40" s="3">
        <v>1</v>
      </c>
      <c r="AH40" s="3">
        <v>1</v>
      </c>
      <c r="AI40" s="3">
        <v>1</v>
      </c>
      <c r="AJ40" s="3">
        <v>1</v>
      </c>
      <c r="AK40" s="3">
        <v>1</v>
      </c>
      <c r="AL40" s="3">
        <v>1</v>
      </c>
      <c r="AM40" s="3">
        <v>1</v>
      </c>
      <c r="AN40" s="3">
        <v>1</v>
      </c>
      <c r="AO40" s="3">
        <v>1</v>
      </c>
      <c r="AP40" s="3">
        <v>1</v>
      </c>
      <c r="AQ40" s="3">
        <v>1</v>
      </c>
      <c r="AR40" s="3">
        <v>1</v>
      </c>
      <c r="AS40" s="3">
        <v>1</v>
      </c>
      <c r="AT40" s="3">
        <v>1</v>
      </c>
      <c r="AU40" s="3">
        <v>1</v>
      </c>
      <c r="AV40" s="3">
        <v>1</v>
      </c>
      <c r="AW40" s="3">
        <v>1</v>
      </c>
      <c r="AX40" s="3">
        <v>1</v>
      </c>
      <c r="AY40" s="3">
        <v>1</v>
      </c>
      <c r="AZ40" s="3">
        <v>1</v>
      </c>
      <c r="BA40" s="3">
        <v>1</v>
      </c>
      <c r="BB40" s="3">
        <v>1</v>
      </c>
      <c r="BC40" s="3">
        <v>1</v>
      </c>
      <c r="BD40" s="3">
        <v>1</v>
      </c>
      <c r="BE40" s="3">
        <v>1</v>
      </c>
      <c r="BF40" s="3">
        <v>1</v>
      </c>
      <c r="BG40" s="3">
        <v>1</v>
      </c>
      <c r="BH40" s="3">
        <v>1</v>
      </c>
      <c r="BI40" s="3">
        <v>1</v>
      </c>
      <c r="BJ40" s="3">
        <v>1</v>
      </c>
      <c r="BK40" s="3">
        <v>1</v>
      </c>
      <c r="BL40" s="3">
        <v>1</v>
      </c>
      <c r="BM40" s="3">
        <v>1</v>
      </c>
      <c r="BN40" s="3">
        <v>1</v>
      </c>
      <c r="BO40" s="3">
        <v>1</v>
      </c>
      <c r="BP40" s="3">
        <v>1</v>
      </c>
      <c r="BQ40" s="3">
        <v>1</v>
      </c>
      <c r="BR40" s="3"/>
    </row>
    <row r="41" spans="1:70" x14ac:dyDescent="0.3">
      <c r="A41" s="5" t="s">
        <v>204</v>
      </c>
      <c r="B41" s="5" t="s">
        <v>205</v>
      </c>
      <c r="C41" s="5" t="s">
        <v>759</v>
      </c>
      <c r="D41" s="14" t="s">
        <v>783</v>
      </c>
      <c r="E41" s="5" t="s">
        <v>139</v>
      </c>
      <c r="F41" s="7"/>
      <c r="G41" s="5" t="s">
        <v>140</v>
      </c>
      <c r="H41" s="5">
        <v>0</v>
      </c>
      <c r="I41" s="3">
        <v>4.4737</v>
      </c>
      <c r="J41" s="3">
        <v>2.8483000000000001</v>
      </c>
      <c r="K41" s="3">
        <v>2.0367999999999999</v>
      </c>
      <c r="L41" s="3">
        <v>2.2496999999999998</v>
      </c>
      <c r="M41" s="3">
        <v>2.2671999999999999</v>
      </c>
      <c r="N41" s="3">
        <v>2.6036000000000001</v>
      </c>
      <c r="O41" s="3">
        <v>2.5731000000000002</v>
      </c>
      <c r="P41" s="3">
        <v>2.2151999999999998</v>
      </c>
      <c r="Q41" s="3">
        <v>2.7423999999999999</v>
      </c>
      <c r="R41" s="3">
        <v>2.9929999999999999</v>
      </c>
      <c r="S41" s="3">
        <v>2.9348999999999998</v>
      </c>
      <c r="T41" s="3">
        <v>2.8900999999999999</v>
      </c>
      <c r="U41" s="3">
        <v>2.8900999999999999</v>
      </c>
      <c r="V41" s="3">
        <v>2.8900999999999999</v>
      </c>
      <c r="W41" s="3">
        <v>2.8900999999999999</v>
      </c>
      <c r="X41" s="3">
        <v>2.8900999999999999</v>
      </c>
      <c r="Y41" s="3">
        <v>2.8900999999999999</v>
      </c>
      <c r="Z41" s="3">
        <v>2.8900999999999999</v>
      </c>
      <c r="AA41" s="3">
        <v>2.8900999999999999</v>
      </c>
      <c r="AB41" s="3">
        <v>2.8900999999999999</v>
      </c>
      <c r="AC41" s="3">
        <v>2.8900999999999999</v>
      </c>
      <c r="AD41" s="3">
        <v>2.8900999999999999</v>
      </c>
      <c r="AE41" s="3">
        <v>2.8900999999999999</v>
      </c>
      <c r="AF41" s="3">
        <v>2.8900999999999999</v>
      </c>
      <c r="AG41" s="3">
        <v>2.8900999999999999</v>
      </c>
      <c r="AH41" s="3">
        <v>2.8900999999999999</v>
      </c>
      <c r="AI41" s="3">
        <v>2.8900999999999999</v>
      </c>
      <c r="AJ41" s="3">
        <v>2.8900999999999999</v>
      </c>
      <c r="AK41" s="3">
        <v>2.8900999999999999</v>
      </c>
      <c r="AL41" s="3">
        <v>2.8900999999999999</v>
      </c>
      <c r="AM41" s="3">
        <v>2.8900999999999999</v>
      </c>
      <c r="AN41" s="3">
        <v>2.8900999999999999</v>
      </c>
      <c r="AO41" s="3">
        <v>2.8900999999999999</v>
      </c>
      <c r="AP41" s="3">
        <v>2.8900999999999999</v>
      </c>
      <c r="AQ41" s="3">
        <v>2.8900999999999999</v>
      </c>
      <c r="AR41" s="3">
        <v>2.8900999999999999</v>
      </c>
      <c r="AS41" s="3">
        <v>2.8900999999999999</v>
      </c>
      <c r="AT41" s="3">
        <v>2.8900999999999999</v>
      </c>
      <c r="AU41" s="3">
        <v>2.8900999999999999</v>
      </c>
      <c r="AV41" s="3">
        <v>2.8900999999999999</v>
      </c>
      <c r="AW41" s="3">
        <v>2.8900999999999999</v>
      </c>
      <c r="AX41" s="3">
        <v>2.8900999999999999</v>
      </c>
      <c r="AY41" s="3">
        <v>2.8900999999999999</v>
      </c>
      <c r="AZ41" s="3">
        <v>2.8900999999999999</v>
      </c>
      <c r="BA41" s="3">
        <v>2.8900999999999999</v>
      </c>
      <c r="BB41" s="3">
        <v>2.8900999999999999</v>
      </c>
      <c r="BC41" s="3">
        <v>2.8900999999999999</v>
      </c>
      <c r="BD41" s="3">
        <v>2.8900999999999999</v>
      </c>
      <c r="BE41" s="3">
        <v>2.8900999999999999</v>
      </c>
      <c r="BF41" s="3">
        <v>2.8900999999999999</v>
      </c>
      <c r="BG41" s="3">
        <v>2.8900999999999999</v>
      </c>
      <c r="BH41" s="3">
        <v>2.8900999999999999</v>
      </c>
      <c r="BI41" s="3">
        <v>2.8900999999999999</v>
      </c>
      <c r="BJ41" s="3">
        <v>2.8900999999999999</v>
      </c>
      <c r="BK41" s="3">
        <v>2.8900999999999999</v>
      </c>
      <c r="BL41" s="3">
        <v>2.8900999999999999</v>
      </c>
      <c r="BM41" s="3">
        <v>2.8900999999999999</v>
      </c>
      <c r="BN41" s="3">
        <v>2.8900999999999999</v>
      </c>
      <c r="BO41" s="3">
        <v>2.8900999999999999</v>
      </c>
      <c r="BP41" s="3">
        <v>2.8900999999999999</v>
      </c>
      <c r="BQ41" s="3">
        <v>2.8900999999999999</v>
      </c>
      <c r="BR41" s="3"/>
    </row>
    <row r="42" spans="1:70" x14ac:dyDescent="0.3">
      <c r="A42" s="4" t="s">
        <v>204</v>
      </c>
      <c r="B42" s="4" t="s">
        <v>205</v>
      </c>
      <c r="C42" s="4" t="s">
        <v>788</v>
      </c>
      <c r="D42" s="4" t="s">
        <v>77</v>
      </c>
      <c r="E42" s="4" t="s">
        <v>11</v>
      </c>
      <c r="F42" s="7"/>
      <c r="G42" s="4" t="s">
        <v>140</v>
      </c>
      <c r="H42" s="4">
        <v>0</v>
      </c>
      <c r="I42" s="3">
        <v>1</v>
      </c>
      <c r="J42" s="3">
        <v>1</v>
      </c>
      <c r="K42" s="3">
        <v>1</v>
      </c>
      <c r="L42" s="3">
        <v>1</v>
      </c>
      <c r="M42" s="3">
        <v>1</v>
      </c>
      <c r="N42" s="3">
        <v>1</v>
      </c>
      <c r="O42" s="3">
        <v>1</v>
      </c>
      <c r="P42" s="3">
        <v>1</v>
      </c>
      <c r="Q42" s="3">
        <v>1</v>
      </c>
      <c r="R42" s="3">
        <v>1</v>
      </c>
      <c r="S42" s="3">
        <v>1</v>
      </c>
      <c r="T42" s="3">
        <v>1</v>
      </c>
      <c r="U42" s="3">
        <v>1</v>
      </c>
      <c r="V42" s="3">
        <v>1</v>
      </c>
      <c r="W42" s="3">
        <v>1</v>
      </c>
      <c r="X42" s="3">
        <v>1</v>
      </c>
      <c r="Y42" s="3">
        <v>1</v>
      </c>
      <c r="Z42" s="3">
        <v>1</v>
      </c>
      <c r="AA42" s="3">
        <v>1</v>
      </c>
      <c r="AB42" s="3">
        <v>1</v>
      </c>
      <c r="AC42" s="3">
        <v>1</v>
      </c>
      <c r="AD42" s="3">
        <v>1</v>
      </c>
      <c r="AE42" s="3">
        <v>1</v>
      </c>
      <c r="AF42" s="3">
        <v>1</v>
      </c>
      <c r="AG42" s="3">
        <v>1</v>
      </c>
      <c r="AH42" s="3">
        <v>1</v>
      </c>
      <c r="AI42" s="3">
        <v>1</v>
      </c>
      <c r="AJ42" s="3">
        <v>1</v>
      </c>
      <c r="AK42" s="3">
        <v>1</v>
      </c>
      <c r="AL42" s="3">
        <v>1</v>
      </c>
      <c r="AM42" s="3">
        <v>1</v>
      </c>
      <c r="AN42" s="3">
        <v>1</v>
      </c>
      <c r="AO42" s="3">
        <v>1</v>
      </c>
      <c r="AP42" s="3">
        <v>1</v>
      </c>
      <c r="AQ42" s="3">
        <v>1</v>
      </c>
      <c r="AR42" s="3">
        <v>1</v>
      </c>
      <c r="AS42" s="3">
        <v>1</v>
      </c>
      <c r="AT42" s="3">
        <v>1</v>
      </c>
      <c r="AU42" s="3">
        <v>1</v>
      </c>
      <c r="AV42" s="3">
        <v>1</v>
      </c>
      <c r="AW42" s="3">
        <v>1</v>
      </c>
      <c r="AX42" s="3">
        <v>1</v>
      </c>
      <c r="AY42" s="3">
        <v>1</v>
      </c>
      <c r="AZ42" s="3">
        <v>1</v>
      </c>
      <c r="BA42" s="3">
        <v>1</v>
      </c>
      <c r="BB42" s="3">
        <v>1</v>
      </c>
      <c r="BC42" s="3">
        <v>1</v>
      </c>
      <c r="BD42" s="3">
        <v>1</v>
      </c>
      <c r="BE42" s="3">
        <v>1</v>
      </c>
      <c r="BF42" s="3">
        <v>1</v>
      </c>
      <c r="BG42" s="3">
        <v>1</v>
      </c>
      <c r="BH42" s="3">
        <v>1</v>
      </c>
      <c r="BI42" s="3">
        <v>1</v>
      </c>
      <c r="BJ42" s="3">
        <v>1</v>
      </c>
      <c r="BK42" s="3">
        <v>1</v>
      </c>
      <c r="BL42" s="3">
        <v>1</v>
      </c>
      <c r="BM42" s="3">
        <v>1</v>
      </c>
      <c r="BN42" s="3">
        <v>1</v>
      </c>
      <c r="BO42" s="3">
        <v>1</v>
      </c>
      <c r="BP42" s="3">
        <v>1</v>
      </c>
      <c r="BQ42" s="3">
        <v>1</v>
      </c>
      <c r="BR42" s="3"/>
    </row>
    <row r="43" spans="1:70" x14ac:dyDescent="0.3">
      <c r="A43" s="4" t="s">
        <v>198</v>
      </c>
      <c r="B43" s="4" t="s">
        <v>199</v>
      </c>
      <c r="C43" s="4" t="s">
        <v>15</v>
      </c>
      <c r="D43" s="4" t="s">
        <v>16</v>
      </c>
      <c r="E43" s="4" t="s">
        <v>139</v>
      </c>
      <c r="F43" s="7" t="s">
        <v>181</v>
      </c>
      <c r="G43" s="4" t="s">
        <v>140</v>
      </c>
      <c r="H43" s="4">
        <v>0</v>
      </c>
      <c r="I43" s="3">
        <v>4.4737</v>
      </c>
      <c r="J43" s="3">
        <v>2.8483000000000001</v>
      </c>
      <c r="K43" s="3">
        <v>2.0367999999999999</v>
      </c>
      <c r="L43" s="3">
        <v>2.2496999999999998</v>
      </c>
      <c r="M43" s="3">
        <v>2.2671999999999999</v>
      </c>
      <c r="N43" s="3">
        <v>2.6036000000000001</v>
      </c>
      <c r="O43" s="3">
        <v>2.5731000000000002</v>
      </c>
      <c r="P43" s="3">
        <v>2.2151999999999998</v>
      </c>
      <c r="Q43" s="3">
        <v>2.7423999999999999</v>
      </c>
      <c r="R43" s="3">
        <v>2.9929999999999999</v>
      </c>
      <c r="S43" s="3">
        <v>2.9348999999999998</v>
      </c>
      <c r="T43" s="3">
        <v>2.8900999999999999</v>
      </c>
      <c r="U43" s="3">
        <v>2.8900999999999999</v>
      </c>
      <c r="V43" s="3">
        <v>2.8900999999999999</v>
      </c>
      <c r="W43" s="3">
        <v>2.8900999999999999</v>
      </c>
      <c r="X43" s="3">
        <v>2.8900999999999999</v>
      </c>
      <c r="Y43" s="3">
        <v>2.8900999999999999</v>
      </c>
      <c r="Z43" s="3">
        <v>2.8900999999999999</v>
      </c>
      <c r="AA43" s="3">
        <v>2.8900999999999999</v>
      </c>
      <c r="AB43" s="3">
        <v>2.8900999999999999</v>
      </c>
      <c r="AC43" s="3">
        <v>2.8900999999999999</v>
      </c>
      <c r="AD43" s="3">
        <v>2.8900999999999999</v>
      </c>
      <c r="AE43" s="3">
        <v>2.8900999999999999</v>
      </c>
      <c r="AF43" s="3">
        <v>2.8900999999999999</v>
      </c>
      <c r="AG43" s="3">
        <v>2.8900999999999999</v>
      </c>
      <c r="AH43" s="3">
        <v>2.8900999999999999</v>
      </c>
      <c r="AI43" s="3">
        <v>2.8900999999999999</v>
      </c>
      <c r="AJ43" s="3">
        <v>2.8900999999999999</v>
      </c>
      <c r="AK43" s="3">
        <v>2.8900999999999999</v>
      </c>
      <c r="AL43" s="3">
        <v>2.8900999999999999</v>
      </c>
      <c r="AM43" s="3">
        <v>2.8900999999999999</v>
      </c>
      <c r="AN43" s="3">
        <v>2.8900999999999999</v>
      </c>
      <c r="AO43" s="3">
        <v>2.8900999999999999</v>
      </c>
      <c r="AP43" s="3">
        <v>2.8900999999999999</v>
      </c>
      <c r="AQ43" s="3">
        <v>2.8900999999999999</v>
      </c>
      <c r="AR43" s="3">
        <v>2.8900999999999999</v>
      </c>
      <c r="AS43" s="3">
        <v>2.8900999999999999</v>
      </c>
      <c r="AT43" s="3">
        <v>2.8900999999999999</v>
      </c>
      <c r="AU43" s="3">
        <v>2.8900999999999999</v>
      </c>
      <c r="AV43" s="3">
        <v>2.8900999999999999</v>
      </c>
      <c r="AW43" s="3">
        <v>2.8900999999999999</v>
      </c>
      <c r="AX43" s="3">
        <v>2.8900999999999999</v>
      </c>
      <c r="AY43" s="3">
        <v>2.8900999999999999</v>
      </c>
      <c r="AZ43" s="3">
        <v>2.8900999999999999</v>
      </c>
      <c r="BA43" s="3">
        <v>2.8900999999999999</v>
      </c>
      <c r="BB43" s="3">
        <v>2.8900999999999999</v>
      </c>
      <c r="BC43" s="3">
        <v>2.8900999999999999</v>
      </c>
      <c r="BD43" s="3">
        <v>2.8900999999999999</v>
      </c>
      <c r="BE43" s="3">
        <v>2.8900999999999999</v>
      </c>
      <c r="BF43" s="3">
        <v>2.8900999999999999</v>
      </c>
      <c r="BG43" s="3">
        <v>2.8900999999999999</v>
      </c>
      <c r="BH43" s="3">
        <v>2.8900999999999999</v>
      </c>
      <c r="BI43" s="3">
        <v>2.8900999999999999</v>
      </c>
      <c r="BJ43" s="3">
        <v>2.8900999999999999</v>
      </c>
      <c r="BK43" s="3">
        <v>2.8900999999999999</v>
      </c>
      <c r="BL43" s="3">
        <v>2.8900999999999999</v>
      </c>
      <c r="BM43" s="3">
        <v>2.8900999999999999</v>
      </c>
      <c r="BN43" s="3">
        <v>2.8900999999999999</v>
      </c>
      <c r="BO43" s="3">
        <v>2.8900999999999999</v>
      </c>
      <c r="BP43" s="3">
        <v>2.8900999999999999</v>
      </c>
      <c r="BQ43" s="3">
        <v>2.8900999999999999</v>
      </c>
      <c r="BR43" s="3"/>
    </row>
    <row r="44" spans="1:70" x14ac:dyDescent="0.3">
      <c r="A44" s="5" t="s">
        <v>198</v>
      </c>
      <c r="B44" s="5" t="s">
        <v>199</v>
      </c>
      <c r="C44" s="5" t="s">
        <v>788</v>
      </c>
      <c r="D44" s="5" t="s">
        <v>77</v>
      </c>
      <c r="E44" s="5" t="s">
        <v>11</v>
      </c>
      <c r="F44" s="7"/>
      <c r="G44" s="5" t="s">
        <v>140</v>
      </c>
      <c r="H44" s="5">
        <v>0</v>
      </c>
      <c r="I44" s="3">
        <v>1</v>
      </c>
      <c r="J44" s="3">
        <v>1</v>
      </c>
      <c r="K44" s="3">
        <v>1</v>
      </c>
      <c r="L44" s="3">
        <v>1</v>
      </c>
      <c r="M44" s="3">
        <v>1</v>
      </c>
      <c r="N44" s="3">
        <v>1</v>
      </c>
      <c r="O44" s="3">
        <v>1</v>
      </c>
      <c r="P44" s="3">
        <v>1</v>
      </c>
      <c r="Q44" s="3">
        <v>1</v>
      </c>
      <c r="R44" s="3">
        <v>1</v>
      </c>
      <c r="S44" s="3">
        <v>1</v>
      </c>
      <c r="T44" s="3">
        <v>1</v>
      </c>
      <c r="U44" s="3">
        <v>1</v>
      </c>
      <c r="V44" s="3">
        <v>1</v>
      </c>
      <c r="W44" s="3">
        <v>1</v>
      </c>
      <c r="X44" s="3">
        <v>1</v>
      </c>
      <c r="Y44" s="3">
        <v>1</v>
      </c>
      <c r="Z44" s="3">
        <v>1</v>
      </c>
      <c r="AA44" s="3">
        <v>1</v>
      </c>
      <c r="AB44" s="3">
        <v>1</v>
      </c>
      <c r="AC44" s="3">
        <v>1</v>
      </c>
      <c r="AD44" s="3">
        <v>1</v>
      </c>
      <c r="AE44" s="3">
        <v>1</v>
      </c>
      <c r="AF44" s="3">
        <v>1</v>
      </c>
      <c r="AG44" s="3">
        <v>1</v>
      </c>
      <c r="AH44" s="3">
        <v>1</v>
      </c>
      <c r="AI44" s="3">
        <v>1</v>
      </c>
      <c r="AJ44" s="3">
        <v>1</v>
      </c>
      <c r="AK44" s="3">
        <v>1</v>
      </c>
      <c r="AL44" s="3">
        <v>1</v>
      </c>
      <c r="AM44" s="3">
        <v>1</v>
      </c>
      <c r="AN44" s="3">
        <v>1</v>
      </c>
      <c r="AO44" s="3">
        <v>1</v>
      </c>
      <c r="AP44" s="3">
        <v>1</v>
      </c>
      <c r="AQ44" s="3">
        <v>1</v>
      </c>
      <c r="AR44" s="3">
        <v>1</v>
      </c>
      <c r="AS44" s="3">
        <v>1</v>
      </c>
      <c r="AT44" s="3">
        <v>1</v>
      </c>
      <c r="AU44" s="3">
        <v>1</v>
      </c>
      <c r="AV44" s="3">
        <v>1</v>
      </c>
      <c r="AW44" s="3">
        <v>1</v>
      </c>
      <c r="AX44" s="3">
        <v>1</v>
      </c>
      <c r="AY44" s="3">
        <v>1</v>
      </c>
      <c r="AZ44" s="3">
        <v>1</v>
      </c>
      <c r="BA44" s="3">
        <v>1</v>
      </c>
      <c r="BB44" s="3">
        <v>1</v>
      </c>
      <c r="BC44" s="3">
        <v>1</v>
      </c>
      <c r="BD44" s="3">
        <v>1</v>
      </c>
      <c r="BE44" s="3">
        <v>1</v>
      </c>
      <c r="BF44" s="3">
        <v>1</v>
      </c>
      <c r="BG44" s="3">
        <v>1</v>
      </c>
      <c r="BH44" s="3">
        <v>1</v>
      </c>
      <c r="BI44" s="3">
        <v>1</v>
      </c>
      <c r="BJ44" s="3">
        <v>1</v>
      </c>
      <c r="BK44" s="3">
        <v>1</v>
      </c>
      <c r="BL44" s="3">
        <v>1</v>
      </c>
      <c r="BM44" s="3">
        <v>1</v>
      </c>
      <c r="BN44" s="3">
        <v>1</v>
      </c>
      <c r="BO44" s="3">
        <v>1</v>
      </c>
      <c r="BP44" s="3">
        <v>1</v>
      </c>
      <c r="BQ44" s="3">
        <v>1</v>
      </c>
      <c r="BR44" s="3"/>
    </row>
    <row r="45" spans="1:70" x14ac:dyDescent="0.3">
      <c r="A45" s="5" t="s">
        <v>200</v>
      </c>
      <c r="B45" s="5" t="s">
        <v>201</v>
      </c>
      <c r="C45" s="5" t="s">
        <v>15</v>
      </c>
      <c r="D45" s="5" t="s">
        <v>16</v>
      </c>
      <c r="E45" s="5" t="s">
        <v>139</v>
      </c>
      <c r="F45" s="7" t="s">
        <v>181</v>
      </c>
      <c r="G45" s="5" t="s">
        <v>140</v>
      </c>
      <c r="H45" s="5">
        <v>0</v>
      </c>
      <c r="I45" s="3">
        <v>4.4737</v>
      </c>
      <c r="J45" s="3">
        <v>2.8483000000000001</v>
      </c>
      <c r="K45" s="3">
        <v>2.0367999999999999</v>
      </c>
      <c r="L45" s="3">
        <v>2.2496999999999998</v>
      </c>
      <c r="M45" s="3">
        <v>2.2671999999999999</v>
      </c>
      <c r="N45" s="3">
        <v>2.6036000000000001</v>
      </c>
      <c r="O45" s="3">
        <v>2.5731000000000002</v>
      </c>
      <c r="P45" s="3">
        <v>2.2151999999999998</v>
      </c>
      <c r="Q45" s="3">
        <v>2.7423999999999999</v>
      </c>
      <c r="R45" s="3">
        <v>2.9929999999999999</v>
      </c>
      <c r="S45" s="3">
        <v>2.9348999999999998</v>
      </c>
      <c r="T45" s="3">
        <v>2.8900999999999999</v>
      </c>
      <c r="U45" s="3">
        <v>2.8900999999999999</v>
      </c>
      <c r="V45" s="3">
        <v>2.8900999999999999</v>
      </c>
      <c r="W45" s="3">
        <v>2.8900999999999999</v>
      </c>
      <c r="X45" s="3">
        <v>2.8900999999999999</v>
      </c>
      <c r="Y45" s="3">
        <v>2.8900999999999999</v>
      </c>
      <c r="Z45" s="3">
        <v>2.8900999999999999</v>
      </c>
      <c r="AA45" s="3">
        <v>2.8900999999999999</v>
      </c>
      <c r="AB45" s="3">
        <v>2.8900999999999999</v>
      </c>
      <c r="AC45" s="3">
        <v>2.8900999999999999</v>
      </c>
      <c r="AD45" s="3">
        <v>2.8900999999999999</v>
      </c>
      <c r="AE45" s="3">
        <v>2.8900999999999999</v>
      </c>
      <c r="AF45" s="3">
        <v>2.8900999999999999</v>
      </c>
      <c r="AG45" s="3">
        <v>2.8900999999999999</v>
      </c>
      <c r="AH45" s="3">
        <v>2.8900999999999999</v>
      </c>
      <c r="AI45" s="3">
        <v>2.8900999999999999</v>
      </c>
      <c r="AJ45" s="3">
        <v>2.8900999999999999</v>
      </c>
      <c r="AK45" s="3">
        <v>2.8900999999999999</v>
      </c>
      <c r="AL45" s="3">
        <v>2.8900999999999999</v>
      </c>
      <c r="AM45" s="3">
        <v>2.8900999999999999</v>
      </c>
      <c r="AN45" s="3">
        <v>2.8900999999999999</v>
      </c>
      <c r="AO45" s="3">
        <v>2.8900999999999999</v>
      </c>
      <c r="AP45" s="3">
        <v>2.8900999999999999</v>
      </c>
      <c r="AQ45" s="3">
        <v>2.8900999999999999</v>
      </c>
      <c r="AR45" s="3">
        <v>2.8900999999999999</v>
      </c>
      <c r="AS45" s="3">
        <v>2.8900999999999999</v>
      </c>
      <c r="AT45" s="3">
        <v>2.8900999999999999</v>
      </c>
      <c r="AU45" s="3">
        <v>2.8900999999999999</v>
      </c>
      <c r="AV45" s="3">
        <v>2.8900999999999999</v>
      </c>
      <c r="AW45" s="3">
        <v>2.8900999999999999</v>
      </c>
      <c r="AX45" s="3">
        <v>2.8900999999999999</v>
      </c>
      <c r="AY45" s="3">
        <v>2.8900999999999999</v>
      </c>
      <c r="AZ45" s="3">
        <v>2.8900999999999999</v>
      </c>
      <c r="BA45" s="3">
        <v>2.8900999999999999</v>
      </c>
      <c r="BB45" s="3">
        <v>2.8900999999999999</v>
      </c>
      <c r="BC45" s="3">
        <v>2.8900999999999999</v>
      </c>
      <c r="BD45" s="3">
        <v>2.8900999999999999</v>
      </c>
      <c r="BE45" s="3">
        <v>2.8900999999999999</v>
      </c>
      <c r="BF45" s="3">
        <v>2.8900999999999999</v>
      </c>
      <c r="BG45" s="3">
        <v>2.8900999999999999</v>
      </c>
      <c r="BH45" s="3">
        <v>2.8900999999999999</v>
      </c>
      <c r="BI45" s="3">
        <v>2.8900999999999999</v>
      </c>
      <c r="BJ45" s="3">
        <v>2.8900999999999999</v>
      </c>
      <c r="BK45" s="3">
        <v>2.8900999999999999</v>
      </c>
      <c r="BL45" s="3">
        <v>2.8900999999999999</v>
      </c>
      <c r="BM45" s="3">
        <v>2.8900999999999999</v>
      </c>
      <c r="BN45" s="3">
        <v>2.8900999999999999</v>
      </c>
      <c r="BO45" s="3">
        <v>2.8900999999999999</v>
      </c>
      <c r="BP45" s="3">
        <v>2.8900999999999999</v>
      </c>
      <c r="BQ45" s="3">
        <v>2.8900999999999999</v>
      </c>
      <c r="BR45" s="3"/>
    </row>
    <row r="46" spans="1:70" x14ac:dyDescent="0.3">
      <c r="A46" s="4" t="s">
        <v>200</v>
      </c>
      <c r="B46" s="4" t="s">
        <v>201</v>
      </c>
      <c r="C46" s="4" t="s">
        <v>788</v>
      </c>
      <c r="D46" s="4" t="s">
        <v>77</v>
      </c>
      <c r="E46" s="4" t="s">
        <v>11</v>
      </c>
      <c r="F46" s="7"/>
      <c r="G46" s="4" t="s">
        <v>140</v>
      </c>
      <c r="H46" s="4">
        <v>0</v>
      </c>
      <c r="I46" s="3">
        <v>1</v>
      </c>
      <c r="J46" s="3">
        <v>1</v>
      </c>
      <c r="K46" s="3">
        <v>1</v>
      </c>
      <c r="L46" s="3">
        <v>1</v>
      </c>
      <c r="M46" s="3">
        <v>1</v>
      </c>
      <c r="N46" s="3">
        <v>1</v>
      </c>
      <c r="O46" s="3">
        <v>1</v>
      </c>
      <c r="P46" s="3">
        <v>1</v>
      </c>
      <c r="Q46" s="3">
        <v>1</v>
      </c>
      <c r="R46" s="3">
        <v>1</v>
      </c>
      <c r="S46" s="3">
        <v>1</v>
      </c>
      <c r="T46" s="3">
        <v>1</v>
      </c>
      <c r="U46" s="3">
        <v>1</v>
      </c>
      <c r="V46" s="3">
        <v>1</v>
      </c>
      <c r="W46" s="3">
        <v>1</v>
      </c>
      <c r="X46" s="3">
        <v>1</v>
      </c>
      <c r="Y46" s="3">
        <v>1</v>
      </c>
      <c r="Z46" s="3">
        <v>1</v>
      </c>
      <c r="AA46" s="3">
        <v>1</v>
      </c>
      <c r="AB46" s="3">
        <v>1</v>
      </c>
      <c r="AC46" s="3">
        <v>1</v>
      </c>
      <c r="AD46" s="3">
        <v>1</v>
      </c>
      <c r="AE46" s="3">
        <v>1</v>
      </c>
      <c r="AF46" s="3">
        <v>1</v>
      </c>
      <c r="AG46" s="3">
        <v>1</v>
      </c>
      <c r="AH46" s="3">
        <v>1</v>
      </c>
      <c r="AI46" s="3">
        <v>1</v>
      </c>
      <c r="AJ46" s="3">
        <v>1</v>
      </c>
      <c r="AK46" s="3">
        <v>1</v>
      </c>
      <c r="AL46" s="3">
        <v>1</v>
      </c>
      <c r="AM46" s="3">
        <v>1</v>
      </c>
      <c r="AN46" s="3">
        <v>1</v>
      </c>
      <c r="AO46" s="3">
        <v>1</v>
      </c>
      <c r="AP46" s="3">
        <v>1</v>
      </c>
      <c r="AQ46" s="3">
        <v>1</v>
      </c>
      <c r="AR46" s="3">
        <v>1</v>
      </c>
      <c r="AS46" s="3">
        <v>1</v>
      </c>
      <c r="AT46" s="3">
        <v>1</v>
      </c>
      <c r="AU46" s="3">
        <v>1</v>
      </c>
      <c r="AV46" s="3">
        <v>1</v>
      </c>
      <c r="AW46" s="3">
        <v>1</v>
      </c>
      <c r="AX46" s="3">
        <v>1</v>
      </c>
      <c r="AY46" s="3">
        <v>1</v>
      </c>
      <c r="AZ46" s="3">
        <v>1</v>
      </c>
      <c r="BA46" s="3">
        <v>1</v>
      </c>
      <c r="BB46" s="3">
        <v>1</v>
      </c>
      <c r="BC46" s="3">
        <v>1</v>
      </c>
      <c r="BD46" s="3">
        <v>1</v>
      </c>
      <c r="BE46" s="3">
        <v>1</v>
      </c>
      <c r="BF46" s="3">
        <v>1</v>
      </c>
      <c r="BG46" s="3">
        <v>1</v>
      </c>
      <c r="BH46" s="3">
        <v>1</v>
      </c>
      <c r="BI46" s="3">
        <v>1</v>
      </c>
      <c r="BJ46" s="3">
        <v>1</v>
      </c>
      <c r="BK46" s="3">
        <v>1</v>
      </c>
      <c r="BL46" s="3">
        <v>1</v>
      </c>
      <c r="BM46" s="3">
        <v>1</v>
      </c>
      <c r="BN46" s="3">
        <v>1</v>
      </c>
      <c r="BO46" s="3">
        <v>1</v>
      </c>
      <c r="BP46" s="3">
        <v>1</v>
      </c>
      <c r="BQ46" s="3">
        <v>1</v>
      </c>
      <c r="BR46" s="3"/>
    </row>
    <row r="47" spans="1:70" x14ac:dyDescent="0.3">
      <c r="A47" s="4" t="s">
        <v>194</v>
      </c>
      <c r="B47" s="4" t="s">
        <v>195</v>
      </c>
      <c r="C47" s="4" t="s">
        <v>31</v>
      </c>
      <c r="D47" s="4" t="s">
        <v>157</v>
      </c>
      <c r="E47" s="4" t="s">
        <v>139</v>
      </c>
      <c r="F47" s="7" t="s">
        <v>181</v>
      </c>
      <c r="G47" s="4" t="s">
        <v>140</v>
      </c>
      <c r="H47" s="4">
        <v>0</v>
      </c>
      <c r="I47" s="3">
        <v>3.5398000000000001</v>
      </c>
      <c r="J47" s="3">
        <v>4.6566000000000001</v>
      </c>
      <c r="K47" s="3">
        <v>4.8483999999999998</v>
      </c>
      <c r="L47" s="3">
        <v>4.6292</v>
      </c>
      <c r="M47" s="3">
        <v>4.7725</v>
      </c>
      <c r="N47" s="3">
        <v>4.3602999999999996</v>
      </c>
      <c r="O47" s="3">
        <v>3.677</v>
      </c>
      <c r="P47" s="3">
        <v>3.0716000000000001</v>
      </c>
      <c r="Q47" s="3">
        <v>2.6568999999999998</v>
      </c>
      <c r="R47" s="3">
        <v>2.6916000000000002</v>
      </c>
      <c r="S47" s="3">
        <v>2.6871</v>
      </c>
      <c r="T47" s="3">
        <v>2.6785000000000001</v>
      </c>
      <c r="U47" s="3">
        <v>2.6785000000000001</v>
      </c>
      <c r="V47" s="3">
        <v>2.6785000000000001</v>
      </c>
      <c r="W47" s="3">
        <v>2.6785000000000001</v>
      </c>
      <c r="X47" s="3">
        <v>2.6785000000000001</v>
      </c>
      <c r="Y47" s="3">
        <v>2.6785000000000001</v>
      </c>
      <c r="Z47" s="3">
        <v>2.6785000000000001</v>
      </c>
      <c r="AA47" s="3">
        <v>2.6785000000000001</v>
      </c>
      <c r="AB47" s="3">
        <v>2.6785000000000001</v>
      </c>
      <c r="AC47" s="3">
        <v>2.6785000000000001</v>
      </c>
      <c r="AD47" s="3">
        <v>2.6785000000000001</v>
      </c>
      <c r="AE47" s="3">
        <v>2.6785000000000001</v>
      </c>
      <c r="AF47" s="3">
        <v>2.6785000000000001</v>
      </c>
      <c r="AG47" s="3">
        <v>2.6785000000000001</v>
      </c>
      <c r="AH47" s="3">
        <v>2.6785000000000001</v>
      </c>
      <c r="AI47" s="3">
        <v>2.6785000000000001</v>
      </c>
      <c r="AJ47" s="3">
        <v>2.6785000000000001</v>
      </c>
      <c r="AK47" s="3">
        <v>2.6785000000000001</v>
      </c>
      <c r="AL47" s="3">
        <v>2.6785000000000001</v>
      </c>
      <c r="AM47" s="3">
        <v>2.6785000000000001</v>
      </c>
      <c r="AN47" s="3">
        <v>2.6785000000000001</v>
      </c>
      <c r="AO47" s="3">
        <v>2.6785000000000001</v>
      </c>
      <c r="AP47" s="3">
        <v>2.6785000000000001</v>
      </c>
      <c r="AQ47" s="3">
        <v>2.6785000000000001</v>
      </c>
      <c r="AR47" s="3">
        <v>2.6785000000000001</v>
      </c>
      <c r="AS47" s="3">
        <v>2.6785000000000001</v>
      </c>
      <c r="AT47" s="3">
        <v>2.6785000000000001</v>
      </c>
      <c r="AU47" s="3">
        <v>2.6785000000000001</v>
      </c>
      <c r="AV47" s="3">
        <v>2.6785000000000001</v>
      </c>
      <c r="AW47" s="3">
        <v>2.6785000000000001</v>
      </c>
      <c r="AX47" s="3">
        <v>2.6785000000000001</v>
      </c>
      <c r="AY47" s="3">
        <v>2.6785000000000001</v>
      </c>
      <c r="AZ47" s="3">
        <v>2.6785000000000001</v>
      </c>
      <c r="BA47" s="3">
        <v>2.6785000000000001</v>
      </c>
      <c r="BB47" s="3">
        <v>2.6785000000000001</v>
      </c>
      <c r="BC47" s="3">
        <v>2.6785000000000001</v>
      </c>
      <c r="BD47" s="3">
        <v>2.6785000000000001</v>
      </c>
      <c r="BE47" s="3">
        <v>2.6785000000000001</v>
      </c>
      <c r="BF47" s="3">
        <v>2.6785000000000001</v>
      </c>
      <c r="BG47" s="3">
        <v>2.6785000000000001</v>
      </c>
      <c r="BH47" s="3">
        <v>2.6785000000000001</v>
      </c>
      <c r="BI47" s="3">
        <v>2.6785000000000001</v>
      </c>
      <c r="BJ47" s="3">
        <v>2.6785000000000001</v>
      </c>
      <c r="BK47" s="3">
        <v>2.6785000000000001</v>
      </c>
      <c r="BL47" s="3">
        <v>2.6785000000000001</v>
      </c>
      <c r="BM47" s="3">
        <v>2.6785000000000001</v>
      </c>
      <c r="BN47" s="3">
        <v>2.6785000000000001</v>
      </c>
      <c r="BO47" s="3">
        <v>2.6785000000000001</v>
      </c>
      <c r="BP47" s="3">
        <v>2.6785000000000001</v>
      </c>
      <c r="BQ47" s="3">
        <v>2.6785000000000001</v>
      </c>
      <c r="BR47" s="3"/>
    </row>
    <row r="48" spans="1:70" x14ac:dyDescent="0.3">
      <c r="A48" s="5" t="s">
        <v>194</v>
      </c>
      <c r="B48" s="5" t="s">
        <v>195</v>
      </c>
      <c r="C48" s="5" t="s">
        <v>788</v>
      </c>
      <c r="D48" s="5" t="s">
        <v>77</v>
      </c>
      <c r="E48" s="5" t="s">
        <v>11</v>
      </c>
      <c r="F48" s="7"/>
      <c r="G48" s="5" t="s">
        <v>140</v>
      </c>
      <c r="H48" s="5">
        <v>0</v>
      </c>
      <c r="I48" s="3">
        <v>1</v>
      </c>
      <c r="J48" s="3">
        <v>1</v>
      </c>
      <c r="K48" s="3">
        <v>1</v>
      </c>
      <c r="L48" s="3">
        <v>1</v>
      </c>
      <c r="M48" s="3">
        <v>1</v>
      </c>
      <c r="N48" s="3">
        <v>1</v>
      </c>
      <c r="O48" s="3">
        <v>1</v>
      </c>
      <c r="P48" s="3">
        <v>1</v>
      </c>
      <c r="Q48" s="3">
        <v>1</v>
      </c>
      <c r="R48" s="3">
        <v>1</v>
      </c>
      <c r="S48" s="3">
        <v>1</v>
      </c>
      <c r="T48" s="3">
        <v>1</v>
      </c>
      <c r="U48" s="3">
        <v>1</v>
      </c>
      <c r="V48" s="3">
        <v>1</v>
      </c>
      <c r="W48" s="3">
        <v>1</v>
      </c>
      <c r="X48" s="3">
        <v>1</v>
      </c>
      <c r="Y48" s="3">
        <v>1</v>
      </c>
      <c r="Z48" s="3">
        <v>1</v>
      </c>
      <c r="AA48" s="3">
        <v>1</v>
      </c>
      <c r="AB48" s="3">
        <v>1</v>
      </c>
      <c r="AC48" s="3">
        <v>1</v>
      </c>
      <c r="AD48" s="3">
        <v>1</v>
      </c>
      <c r="AE48" s="3">
        <v>1</v>
      </c>
      <c r="AF48" s="3">
        <v>1</v>
      </c>
      <c r="AG48" s="3">
        <v>1</v>
      </c>
      <c r="AH48" s="3">
        <v>1</v>
      </c>
      <c r="AI48" s="3">
        <v>1</v>
      </c>
      <c r="AJ48" s="3">
        <v>1</v>
      </c>
      <c r="AK48" s="3">
        <v>1</v>
      </c>
      <c r="AL48" s="3">
        <v>1</v>
      </c>
      <c r="AM48" s="3">
        <v>1</v>
      </c>
      <c r="AN48" s="3">
        <v>1</v>
      </c>
      <c r="AO48" s="3">
        <v>1</v>
      </c>
      <c r="AP48" s="3">
        <v>1</v>
      </c>
      <c r="AQ48" s="3">
        <v>1</v>
      </c>
      <c r="AR48" s="3">
        <v>1</v>
      </c>
      <c r="AS48" s="3">
        <v>1</v>
      </c>
      <c r="AT48" s="3">
        <v>1</v>
      </c>
      <c r="AU48" s="3">
        <v>1</v>
      </c>
      <c r="AV48" s="3">
        <v>1</v>
      </c>
      <c r="AW48" s="3">
        <v>1</v>
      </c>
      <c r="AX48" s="3">
        <v>1</v>
      </c>
      <c r="AY48" s="3">
        <v>1</v>
      </c>
      <c r="AZ48" s="3">
        <v>1</v>
      </c>
      <c r="BA48" s="3">
        <v>1</v>
      </c>
      <c r="BB48" s="3">
        <v>1</v>
      </c>
      <c r="BC48" s="3">
        <v>1</v>
      </c>
      <c r="BD48" s="3">
        <v>1</v>
      </c>
      <c r="BE48" s="3">
        <v>1</v>
      </c>
      <c r="BF48" s="3">
        <v>1</v>
      </c>
      <c r="BG48" s="3">
        <v>1</v>
      </c>
      <c r="BH48" s="3">
        <v>1</v>
      </c>
      <c r="BI48" s="3">
        <v>1</v>
      </c>
      <c r="BJ48" s="3">
        <v>1</v>
      </c>
      <c r="BK48" s="3">
        <v>1</v>
      </c>
      <c r="BL48" s="3">
        <v>1</v>
      </c>
      <c r="BM48" s="3">
        <v>1</v>
      </c>
      <c r="BN48" s="3">
        <v>1</v>
      </c>
      <c r="BO48" s="3">
        <v>1</v>
      </c>
      <c r="BP48" s="3">
        <v>1</v>
      </c>
      <c r="BQ48" s="3">
        <v>1</v>
      </c>
      <c r="BR48" s="3"/>
    </row>
    <row r="49" spans="1:70" x14ac:dyDescent="0.3">
      <c r="A49" s="5" t="s">
        <v>196</v>
      </c>
      <c r="B49" s="5" t="s">
        <v>197</v>
      </c>
      <c r="C49" s="5" t="s">
        <v>31</v>
      </c>
      <c r="D49" s="5" t="s">
        <v>157</v>
      </c>
      <c r="E49" s="5" t="s">
        <v>139</v>
      </c>
      <c r="F49" s="7" t="s">
        <v>181</v>
      </c>
      <c r="G49" s="5" t="s">
        <v>140</v>
      </c>
      <c r="H49" s="5">
        <v>0</v>
      </c>
      <c r="I49" s="3">
        <v>3.5398000000000001</v>
      </c>
      <c r="J49" s="3">
        <v>4.6566000000000001</v>
      </c>
      <c r="K49" s="3">
        <v>4.8483999999999998</v>
      </c>
      <c r="L49" s="3">
        <v>4.6292</v>
      </c>
      <c r="M49" s="3">
        <v>4.7725</v>
      </c>
      <c r="N49" s="3">
        <v>4.3602999999999996</v>
      </c>
      <c r="O49" s="3">
        <v>3.677</v>
      </c>
      <c r="P49" s="3">
        <v>3.0716000000000001</v>
      </c>
      <c r="Q49" s="3">
        <v>2.6568999999999998</v>
      </c>
      <c r="R49" s="3">
        <v>2.6916000000000002</v>
      </c>
      <c r="S49" s="3">
        <v>2.6871</v>
      </c>
      <c r="T49" s="3">
        <v>2.6785000000000001</v>
      </c>
      <c r="U49" s="3">
        <v>2.6785000000000001</v>
      </c>
      <c r="V49" s="3">
        <v>2.6785000000000001</v>
      </c>
      <c r="W49" s="3">
        <v>2.6785000000000001</v>
      </c>
      <c r="X49" s="3">
        <v>2.6785000000000001</v>
      </c>
      <c r="Y49" s="3">
        <v>2.6785000000000001</v>
      </c>
      <c r="Z49" s="3">
        <v>2.6785000000000001</v>
      </c>
      <c r="AA49" s="3">
        <v>2.6785000000000001</v>
      </c>
      <c r="AB49" s="3">
        <v>2.6785000000000001</v>
      </c>
      <c r="AC49" s="3">
        <v>2.6785000000000001</v>
      </c>
      <c r="AD49" s="3">
        <v>2.6785000000000001</v>
      </c>
      <c r="AE49" s="3">
        <v>2.6785000000000001</v>
      </c>
      <c r="AF49" s="3">
        <v>2.6785000000000001</v>
      </c>
      <c r="AG49" s="3">
        <v>2.6785000000000001</v>
      </c>
      <c r="AH49" s="3">
        <v>2.6785000000000001</v>
      </c>
      <c r="AI49" s="3">
        <v>2.6785000000000001</v>
      </c>
      <c r="AJ49" s="3">
        <v>2.6785000000000001</v>
      </c>
      <c r="AK49" s="3">
        <v>2.6785000000000001</v>
      </c>
      <c r="AL49" s="3">
        <v>2.6785000000000001</v>
      </c>
      <c r="AM49" s="3">
        <v>2.6785000000000001</v>
      </c>
      <c r="AN49" s="3">
        <v>2.6785000000000001</v>
      </c>
      <c r="AO49" s="3">
        <v>2.6785000000000001</v>
      </c>
      <c r="AP49" s="3">
        <v>2.6785000000000001</v>
      </c>
      <c r="AQ49" s="3">
        <v>2.6785000000000001</v>
      </c>
      <c r="AR49" s="3">
        <v>2.6785000000000001</v>
      </c>
      <c r="AS49" s="3">
        <v>2.6785000000000001</v>
      </c>
      <c r="AT49" s="3">
        <v>2.6785000000000001</v>
      </c>
      <c r="AU49" s="3">
        <v>2.6785000000000001</v>
      </c>
      <c r="AV49" s="3">
        <v>2.6785000000000001</v>
      </c>
      <c r="AW49" s="3">
        <v>2.6785000000000001</v>
      </c>
      <c r="AX49" s="3">
        <v>2.6785000000000001</v>
      </c>
      <c r="AY49" s="3">
        <v>2.6785000000000001</v>
      </c>
      <c r="AZ49" s="3">
        <v>2.6785000000000001</v>
      </c>
      <c r="BA49" s="3">
        <v>2.6785000000000001</v>
      </c>
      <c r="BB49" s="3">
        <v>2.6785000000000001</v>
      </c>
      <c r="BC49" s="3">
        <v>2.6785000000000001</v>
      </c>
      <c r="BD49" s="3">
        <v>2.6785000000000001</v>
      </c>
      <c r="BE49" s="3">
        <v>2.6785000000000001</v>
      </c>
      <c r="BF49" s="3">
        <v>2.6785000000000001</v>
      </c>
      <c r="BG49" s="3">
        <v>2.6785000000000001</v>
      </c>
      <c r="BH49" s="3">
        <v>2.6785000000000001</v>
      </c>
      <c r="BI49" s="3">
        <v>2.6785000000000001</v>
      </c>
      <c r="BJ49" s="3">
        <v>2.6785000000000001</v>
      </c>
      <c r="BK49" s="3">
        <v>2.6785000000000001</v>
      </c>
      <c r="BL49" s="3">
        <v>2.6785000000000001</v>
      </c>
      <c r="BM49" s="3">
        <v>2.6785000000000001</v>
      </c>
      <c r="BN49" s="3">
        <v>2.6785000000000001</v>
      </c>
      <c r="BO49" s="3">
        <v>2.6785000000000001</v>
      </c>
      <c r="BP49" s="3">
        <v>2.6785000000000001</v>
      </c>
      <c r="BQ49" s="3">
        <v>2.6785000000000001</v>
      </c>
      <c r="BR49" s="3"/>
    </row>
    <row r="50" spans="1:70" x14ac:dyDescent="0.3">
      <c r="A50" s="4" t="s">
        <v>196</v>
      </c>
      <c r="B50" s="4" t="s">
        <v>197</v>
      </c>
      <c r="C50" s="4" t="s">
        <v>788</v>
      </c>
      <c r="D50" s="4" t="s">
        <v>77</v>
      </c>
      <c r="E50" s="4" t="s">
        <v>11</v>
      </c>
      <c r="F50" s="7"/>
      <c r="G50" s="4" t="s">
        <v>140</v>
      </c>
      <c r="H50" s="4">
        <v>0</v>
      </c>
      <c r="I50" s="3">
        <v>1</v>
      </c>
      <c r="J50" s="3">
        <v>1</v>
      </c>
      <c r="K50" s="3">
        <v>1</v>
      </c>
      <c r="L50" s="3">
        <v>1</v>
      </c>
      <c r="M50" s="3">
        <v>1</v>
      </c>
      <c r="N50" s="3">
        <v>1</v>
      </c>
      <c r="O50" s="3">
        <v>1</v>
      </c>
      <c r="P50" s="3">
        <v>1</v>
      </c>
      <c r="Q50" s="3">
        <v>1</v>
      </c>
      <c r="R50" s="3">
        <v>1</v>
      </c>
      <c r="S50" s="3">
        <v>1</v>
      </c>
      <c r="T50" s="3">
        <v>1</v>
      </c>
      <c r="U50" s="3">
        <v>1</v>
      </c>
      <c r="V50" s="3">
        <v>1</v>
      </c>
      <c r="W50" s="3">
        <v>1</v>
      </c>
      <c r="X50" s="3">
        <v>1</v>
      </c>
      <c r="Y50" s="3">
        <v>1</v>
      </c>
      <c r="Z50" s="3">
        <v>1</v>
      </c>
      <c r="AA50" s="3">
        <v>1</v>
      </c>
      <c r="AB50" s="3">
        <v>1</v>
      </c>
      <c r="AC50" s="3">
        <v>1</v>
      </c>
      <c r="AD50" s="3">
        <v>1</v>
      </c>
      <c r="AE50" s="3">
        <v>1</v>
      </c>
      <c r="AF50" s="3">
        <v>1</v>
      </c>
      <c r="AG50" s="3">
        <v>1</v>
      </c>
      <c r="AH50" s="3">
        <v>1</v>
      </c>
      <c r="AI50" s="3">
        <v>1</v>
      </c>
      <c r="AJ50" s="3">
        <v>1</v>
      </c>
      <c r="AK50" s="3">
        <v>1</v>
      </c>
      <c r="AL50" s="3">
        <v>1</v>
      </c>
      <c r="AM50" s="3">
        <v>1</v>
      </c>
      <c r="AN50" s="3">
        <v>1</v>
      </c>
      <c r="AO50" s="3">
        <v>1</v>
      </c>
      <c r="AP50" s="3">
        <v>1</v>
      </c>
      <c r="AQ50" s="3">
        <v>1</v>
      </c>
      <c r="AR50" s="3">
        <v>1</v>
      </c>
      <c r="AS50" s="3">
        <v>1</v>
      </c>
      <c r="AT50" s="3">
        <v>1</v>
      </c>
      <c r="AU50" s="3">
        <v>1</v>
      </c>
      <c r="AV50" s="3">
        <v>1</v>
      </c>
      <c r="AW50" s="3">
        <v>1</v>
      </c>
      <c r="AX50" s="3">
        <v>1</v>
      </c>
      <c r="AY50" s="3">
        <v>1</v>
      </c>
      <c r="AZ50" s="3">
        <v>1</v>
      </c>
      <c r="BA50" s="3">
        <v>1</v>
      </c>
      <c r="BB50" s="3">
        <v>1</v>
      </c>
      <c r="BC50" s="3">
        <v>1</v>
      </c>
      <c r="BD50" s="3">
        <v>1</v>
      </c>
      <c r="BE50" s="3">
        <v>1</v>
      </c>
      <c r="BF50" s="3">
        <v>1</v>
      </c>
      <c r="BG50" s="3">
        <v>1</v>
      </c>
      <c r="BH50" s="3">
        <v>1</v>
      </c>
      <c r="BI50" s="3">
        <v>1</v>
      </c>
      <c r="BJ50" s="3">
        <v>1</v>
      </c>
      <c r="BK50" s="3">
        <v>1</v>
      </c>
      <c r="BL50" s="3">
        <v>1</v>
      </c>
      <c r="BM50" s="3">
        <v>1</v>
      </c>
      <c r="BN50" s="3">
        <v>1</v>
      </c>
      <c r="BO50" s="3">
        <v>1</v>
      </c>
      <c r="BP50" s="3">
        <v>1</v>
      </c>
      <c r="BQ50" s="3">
        <v>1</v>
      </c>
      <c r="BR50" s="3"/>
    </row>
    <row r="51" spans="1:70" x14ac:dyDescent="0.3">
      <c r="A51" s="4" t="s">
        <v>202</v>
      </c>
      <c r="B51" s="4" t="s">
        <v>203</v>
      </c>
      <c r="C51" s="14" t="s">
        <v>177</v>
      </c>
      <c r="D51" s="4" t="s">
        <v>727</v>
      </c>
      <c r="E51" s="4" t="s">
        <v>139</v>
      </c>
      <c r="F51" s="7" t="s">
        <v>181</v>
      </c>
      <c r="G51" s="4" t="s">
        <v>140</v>
      </c>
      <c r="H51" s="4">
        <v>0</v>
      </c>
      <c r="I51" s="3">
        <v>2.4211</v>
      </c>
      <c r="J51" s="3">
        <v>2.4921000000000002</v>
      </c>
      <c r="K51" s="3">
        <v>2.895</v>
      </c>
      <c r="L51" s="3">
        <v>2.8003999999999998</v>
      </c>
      <c r="M51" s="3">
        <v>2.7717999999999998</v>
      </c>
      <c r="N51" s="3">
        <v>2.6840999999999999</v>
      </c>
      <c r="O51" s="3">
        <v>3.0941999999999998</v>
      </c>
      <c r="P51" s="3">
        <v>4.0989000000000004</v>
      </c>
      <c r="Q51" s="3">
        <v>3.2932000000000001</v>
      </c>
      <c r="R51" s="3">
        <v>3.1819999999999999</v>
      </c>
      <c r="S51" s="3">
        <v>3.1124000000000001</v>
      </c>
      <c r="T51" s="3">
        <v>3.1959</v>
      </c>
      <c r="U51" s="3">
        <v>3.1959</v>
      </c>
      <c r="V51" s="3">
        <v>3.1959</v>
      </c>
      <c r="W51" s="3">
        <v>3.1959</v>
      </c>
      <c r="X51" s="3">
        <v>3.1959</v>
      </c>
      <c r="Y51" s="3">
        <v>3.1959</v>
      </c>
      <c r="Z51" s="3">
        <v>3.1959</v>
      </c>
      <c r="AA51" s="3">
        <v>3.1959</v>
      </c>
      <c r="AB51" s="3">
        <v>3.1959</v>
      </c>
      <c r="AC51" s="3">
        <v>3.1959</v>
      </c>
      <c r="AD51" s="3">
        <v>3.1959</v>
      </c>
      <c r="AE51" s="3">
        <v>3.1959</v>
      </c>
      <c r="AF51" s="3">
        <v>3.1959</v>
      </c>
      <c r="AG51" s="3">
        <v>3.1959</v>
      </c>
      <c r="AH51" s="3">
        <v>3.1959</v>
      </c>
      <c r="AI51" s="3">
        <v>3.1959</v>
      </c>
      <c r="AJ51" s="3">
        <v>3.1959</v>
      </c>
      <c r="AK51" s="3">
        <v>3.1959</v>
      </c>
      <c r="AL51" s="3">
        <v>3.1959</v>
      </c>
      <c r="AM51" s="3">
        <v>3.1959</v>
      </c>
      <c r="AN51" s="3">
        <v>3.1959</v>
      </c>
      <c r="AO51" s="3">
        <v>3.1959</v>
      </c>
      <c r="AP51" s="3">
        <v>3.1959</v>
      </c>
      <c r="AQ51" s="3">
        <v>3.1959</v>
      </c>
      <c r="AR51" s="3">
        <v>3.1959</v>
      </c>
      <c r="AS51" s="3">
        <v>3.1959</v>
      </c>
      <c r="AT51" s="3">
        <v>3.1959</v>
      </c>
      <c r="AU51" s="3">
        <v>3.1959</v>
      </c>
      <c r="AV51" s="3">
        <v>3.1959</v>
      </c>
      <c r="AW51" s="3">
        <v>3.1959</v>
      </c>
      <c r="AX51" s="3">
        <v>3.1959</v>
      </c>
      <c r="AY51" s="3">
        <v>3.1959</v>
      </c>
      <c r="AZ51" s="3">
        <v>3.1959</v>
      </c>
      <c r="BA51" s="3">
        <v>3.1959</v>
      </c>
      <c r="BB51" s="3">
        <v>3.1959</v>
      </c>
      <c r="BC51" s="3">
        <v>3.1959</v>
      </c>
      <c r="BD51" s="3">
        <v>3.1959</v>
      </c>
      <c r="BE51" s="3">
        <v>3.1959</v>
      </c>
      <c r="BF51" s="3">
        <v>3.1959</v>
      </c>
      <c r="BG51" s="3">
        <v>3.1959</v>
      </c>
      <c r="BH51" s="3">
        <v>3.1959</v>
      </c>
      <c r="BI51" s="3">
        <v>3.1959</v>
      </c>
      <c r="BJ51" s="3">
        <v>3.1959</v>
      </c>
      <c r="BK51" s="3">
        <v>3.1959</v>
      </c>
      <c r="BL51" s="3">
        <v>3.1959</v>
      </c>
      <c r="BM51" s="3">
        <v>3.1959</v>
      </c>
      <c r="BN51" s="3">
        <v>3.1959</v>
      </c>
      <c r="BO51" s="3">
        <v>3.1959</v>
      </c>
      <c r="BP51" s="3">
        <v>3.1959</v>
      </c>
      <c r="BQ51" s="3">
        <v>3.1959</v>
      </c>
      <c r="BR51" s="3"/>
    </row>
    <row r="52" spans="1:70" x14ac:dyDescent="0.3">
      <c r="A52" s="5" t="s">
        <v>202</v>
      </c>
      <c r="B52" s="5" t="s">
        <v>203</v>
      </c>
      <c r="C52" s="5" t="s">
        <v>788</v>
      </c>
      <c r="D52" s="5" t="s">
        <v>77</v>
      </c>
      <c r="E52" s="5" t="s">
        <v>11</v>
      </c>
      <c r="F52" s="7"/>
      <c r="G52" s="5" t="s">
        <v>140</v>
      </c>
      <c r="H52" s="5">
        <v>0</v>
      </c>
      <c r="I52" s="3">
        <v>1</v>
      </c>
      <c r="J52" s="3">
        <v>1</v>
      </c>
      <c r="K52" s="3">
        <v>1</v>
      </c>
      <c r="L52" s="3">
        <v>1</v>
      </c>
      <c r="M52" s="3">
        <v>1</v>
      </c>
      <c r="N52" s="3">
        <v>1</v>
      </c>
      <c r="O52" s="3">
        <v>1</v>
      </c>
      <c r="P52" s="3">
        <v>1</v>
      </c>
      <c r="Q52" s="3">
        <v>1</v>
      </c>
      <c r="R52" s="3">
        <v>1</v>
      </c>
      <c r="S52" s="3">
        <v>1</v>
      </c>
      <c r="T52" s="3">
        <v>1</v>
      </c>
      <c r="U52" s="3">
        <v>1</v>
      </c>
      <c r="V52" s="3">
        <v>1</v>
      </c>
      <c r="W52" s="3">
        <v>1</v>
      </c>
      <c r="X52" s="3">
        <v>1</v>
      </c>
      <c r="Y52" s="3">
        <v>1</v>
      </c>
      <c r="Z52" s="3">
        <v>1</v>
      </c>
      <c r="AA52" s="3">
        <v>1</v>
      </c>
      <c r="AB52" s="3">
        <v>1</v>
      </c>
      <c r="AC52" s="3">
        <v>1</v>
      </c>
      <c r="AD52" s="3">
        <v>1</v>
      </c>
      <c r="AE52" s="3">
        <v>1</v>
      </c>
      <c r="AF52" s="3">
        <v>1</v>
      </c>
      <c r="AG52" s="3">
        <v>1</v>
      </c>
      <c r="AH52" s="3">
        <v>1</v>
      </c>
      <c r="AI52" s="3">
        <v>1</v>
      </c>
      <c r="AJ52" s="3">
        <v>1</v>
      </c>
      <c r="AK52" s="3">
        <v>1</v>
      </c>
      <c r="AL52" s="3">
        <v>1</v>
      </c>
      <c r="AM52" s="3">
        <v>1</v>
      </c>
      <c r="AN52" s="3">
        <v>1</v>
      </c>
      <c r="AO52" s="3">
        <v>1</v>
      </c>
      <c r="AP52" s="3">
        <v>1</v>
      </c>
      <c r="AQ52" s="3">
        <v>1</v>
      </c>
      <c r="AR52" s="3">
        <v>1</v>
      </c>
      <c r="AS52" s="3">
        <v>1</v>
      </c>
      <c r="AT52" s="3">
        <v>1</v>
      </c>
      <c r="AU52" s="3">
        <v>1</v>
      </c>
      <c r="AV52" s="3">
        <v>1</v>
      </c>
      <c r="AW52" s="3">
        <v>1</v>
      </c>
      <c r="AX52" s="3">
        <v>1</v>
      </c>
      <c r="AY52" s="3">
        <v>1</v>
      </c>
      <c r="AZ52" s="3">
        <v>1</v>
      </c>
      <c r="BA52" s="3">
        <v>1</v>
      </c>
      <c r="BB52" s="3">
        <v>1</v>
      </c>
      <c r="BC52" s="3">
        <v>1</v>
      </c>
      <c r="BD52" s="3">
        <v>1</v>
      </c>
      <c r="BE52" s="3">
        <v>1</v>
      </c>
      <c r="BF52" s="3">
        <v>1</v>
      </c>
      <c r="BG52" s="3">
        <v>1</v>
      </c>
      <c r="BH52" s="3">
        <v>1</v>
      </c>
      <c r="BI52" s="3">
        <v>1</v>
      </c>
      <c r="BJ52" s="3">
        <v>1</v>
      </c>
      <c r="BK52" s="3">
        <v>1</v>
      </c>
      <c r="BL52" s="3">
        <v>1</v>
      </c>
      <c r="BM52" s="3">
        <v>1</v>
      </c>
      <c r="BN52" s="3">
        <v>1</v>
      </c>
      <c r="BO52" s="3">
        <v>1</v>
      </c>
      <c r="BP52" s="3">
        <v>1</v>
      </c>
      <c r="BQ52" s="3">
        <v>1</v>
      </c>
      <c r="BR52" s="3"/>
    </row>
    <row r="53" spans="1:70" x14ac:dyDescent="0.3">
      <c r="A53" s="5" t="s">
        <v>187</v>
      </c>
      <c r="B53" s="5" t="s">
        <v>188</v>
      </c>
      <c r="C53" s="5" t="s">
        <v>60</v>
      </c>
      <c r="D53" s="5" t="s">
        <v>184</v>
      </c>
      <c r="E53" s="5" t="s">
        <v>139</v>
      </c>
      <c r="F53" s="7" t="s">
        <v>181</v>
      </c>
      <c r="G53" s="5" t="s">
        <v>140</v>
      </c>
      <c r="H53" s="5">
        <v>0</v>
      </c>
      <c r="I53" s="3">
        <v>1.9763999999999999</v>
      </c>
      <c r="J53" s="3">
        <v>1.9855</v>
      </c>
      <c r="K53" s="3">
        <v>1.9846999999999999</v>
      </c>
      <c r="L53" s="3">
        <v>1.9793000000000001</v>
      </c>
      <c r="M53" s="3">
        <v>1.9861</v>
      </c>
      <c r="N53" s="3">
        <v>1.9818</v>
      </c>
      <c r="O53" s="3">
        <v>1.7627999999999999</v>
      </c>
      <c r="P53" s="3">
        <v>1.9809000000000001</v>
      </c>
      <c r="Q53" s="3">
        <v>1.9835</v>
      </c>
      <c r="R53" s="3">
        <v>1.9824999999999999</v>
      </c>
      <c r="S53" s="3">
        <v>1.9824999999999999</v>
      </c>
      <c r="T53" s="3">
        <v>1.9827999999999999</v>
      </c>
      <c r="U53" s="3">
        <v>1.9827999999999999</v>
      </c>
      <c r="V53" s="3">
        <v>1.9827999999999999</v>
      </c>
      <c r="W53" s="3">
        <v>1.9827999999999999</v>
      </c>
      <c r="X53" s="3">
        <v>1.9827999999999999</v>
      </c>
      <c r="Y53" s="3">
        <v>1.9827999999999999</v>
      </c>
      <c r="Z53" s="3">
        <v>1.9827999999999999</v>
      </c>
      <c r="AA53" s="3">
        <v>1.9827999999999999</v>
      </c>
      <c r="AB53" s="3">
        <v>1.9827999999999999</v>
      </c>
      <c r="AC53" s="3">
        <v>1.9827999999999999</v>
      </c>
      <c r="AD53" s="3">
        <v>1.9827999999999999</v>
      </c>
      <c r="AE53" s="3">
        <v>1.9827999999999999</v>
      </c>
      <c r="AF53" s="3">
        <v>1.9827999999999999</v>
      </c>
      <c r="AG53" s="3">
        <v>1.9827999999999999</v>
      </c>
      <c r="AH53" s="3">
        <v>1.9827999999999999</v>
      </c>
      <c r="AI53" s="3">
        <v>1.9827999999999999</v>
      </c>
      <c r="AJ53" s="3">
        <v>1.9827999999999999</v>
      </c>
      <c r="AK53" s="3">
        <v>1.9827999999999999</v>
      </c>
      <c r="AL53" s="3">
        <v>1.9827999999999999</v>
      </c>
      <c r="AM53" s="3">
        <v>1.9827999999999999</v>
      </c>
      <c r="AN53" s="3">
        <v>1.9827999999999999</v>
      </c>
      <c r="AO53" s="3">
        <v>1.9827999999999999</v>
      </c>
      <c r="AP53" s="3">
        <v>1.9827999999999999</v>
      </c>
      <c r="AQ53" s="3">
        <v>1.9827999999999999</v>
      </c>
      <c r="AR53" s="3">
        <v>1.9827999999999999</v>
      </c>
      <c r="AS53" s="3">
        <v>1.9827999999999999</v>
      </c>
      <c r="AT53" s="3">
        <v>1.9827999999999999</v>
      </c>
      <c r="AU53" s="3">
        <v>1.9827999999999999</v>
      </c>
      <c r="AV53" s="3">
        <v>1.9827999999999999</v>
      </c>
      <c r="AW53" s="3">
        <v>1.9827999999999999</v>
      </c>
      <c r="AX53" s="3">
        <v>1.9827999999999999</v>
      </c>
      <c r="AY53" s="3">
        <v>1.9827999999999999</v>
      </c>
      <c r="AZ53" s="3">
        <v>1.9827999999999999</v>
      </c>
      <c r="BA53" s="3">
        <v>1.9827999999999999</v>
      </c>
      <c r="BB53" s="3">
        <v>1.9827999999999999</v>
      </c>
      <c r="BC53" s="3">
        <v>1.9827999999999999</v>
      </c>
      <c r="BD53" s="3">
        <v>1.9827999999999999</v>
      </c>
      <c r="BE53" s="3">
        <v>1.9827999999999999</v>
      </c>
      <c r="BF53" s="3">
        <v>1.9827999999999999</v>
      </c>
      <c r="BG53" s="3">
        <v>1.9827999999999999</v>
      </c>
      <c r="BH53" s="3">
        <v>1.9827999999999999</v>
      </c>
      <c r="BI53" s="3">
        <v>1.9827999999999999</v>
      </c>
      <c r="BJ53" s="3">
        <v>1.9827999999999999</v>
      </c>
      <c r="BK53" s="3">
        <v>1.9827999999999999</v>
      </c>
      <c r="BL53" s="3">
        <v>1.9827999999999999</v>
      </c>
      <c r="BM53" s="3">
        <v>1.9827999999999999</v>
      </c>
      <c r="BN53" s="3">
        <v>1.9827999999999999</v>
      </c>
      <c r="BO53" s="3">
        <v>1.9827999999999999</v>
      </c>
      <c r="BP53" s="3">
        <v>1.9827999999999999</v>
      </c>
      <c r="BQ53" s="3">
        <v>1.9827999999999999</v>
      </c>
      <c r="BR53" s="3"/>
    </row>
    <row r="54" spans="1:70" x14ac:dyDescent="0.3">
      <c r="A54" s="4" t="s">
        <v>187</v>
      </c>
      <c r="B54" s="4" t="s">
        <v>188</v>
      </c>
      <c r="C54" s="4" t="s">
        <v>76</v>
      </c>
      <c r="D54" s="4" t="s">
        <v>77</v>
      </c>
      <c r="E54" s="4" t="s">
        <v>11</v>
      </c>
      <c r="F54" s="7"/>
      <c r="G54" s="4" t="s">
        <v>140</v>
      </c>
      <c r="H54" s="4">
        <v>0</v>
      </c>
      <c r="I54" s="3">
        <v>1</v>
      </c>
      <c r="J54" s="3">
        <v>1</v>
      </c>
      <c r="K54" s="3">
        <v>1</v>
      </c>
      <c r="L54" s="3">
        <v>1</v>
      </c>
      <c r="M54" s="3">
        <v>1</v>
      </c>
      <c r="N54" s="3">
        <v>1</v>
      </c>
      <c r="O54" s="3">
        <v>1</v>
      </c>
      <c r="P54" s="3">
        <v>1</v>
      </c>
      <c r="Q54" s="3">
        <v>1</v>
      </c>
      <c r="R54" s="3">
        <v>1</v>
      </c>
      <c r="S54" s="3">
        <v>1</v>
      </c>
      <c r="T54" s="3">
        <v>1</v>
      </c>
      <c r="U54" s="3">
        <v>1</v>
      </c>
      <c r="V54" s="3">
        <v>1</v>
      </c>
      <c r="W54" s="3">
        <v>1</v>
      </c>
      <c r="X54" s="3">
        <v>1</v>
      </c>
      <c r="Y54" s="3">
        <v>1</v>
      </c>
      <c r="Z54" s="3">
        <v>1</v>
      </c>
      <c r="AA54" s="3">
        <v>1</v>
      </c>
      <c r="AB54" s="3">
        <v>1</v>
      </c>
      <c r="AC54" s="3">
        <v>1</v>
      </c>
      <c r="AD54" s="3">
        <v>1</v>
      </c>
      <c r="AE54" s="3">
        <v>1</v>
      </c>
      <c r="AF54" s="3">
        <v>1</v>
      </c>
      <c r="AG54" s="3">
        <v>1</v>
      </c>
      <c r="AH54" s="3">
        <v>1</v>
      </c>
      <c r="AI54" s="3">
        <v>1</v>
      </c>
      <c r="AJ54" s="3">
        <v>1</v>
      </c>
      <c r="AK54" s="3">
        <v>1</v>
      </c>
      <c r="AL54" s="3">
        <v>1</v>
      </c>
      <c r="AM54" s="3">
        <v>1</v>
      </c>
      <c r="AN54" s="3">
        <v>1</v>
      </c>
      <c r="AO54" s="3">
        <v>1</v>
      </c>
      <c r="AP54" s="3">
        <v>1</v>
      </c>
      <c r="AQ54" s="3">
        <v>1</v>
      </c>
      <c r="AR54" s="3">
        <v>1</v>
      </c>
      <c r="AS54" s="3">
        <v>1</v>
      </c>
      <c r="AT54" s="3">
        <v>1</v>
      </c>
      <c r="AU54" s="3">
        <v>1</v>
      </c>
      <c r="AV54" s="3">
        <v>1</v>
      </c>
      <c r="AW54" s="3">
        <v>1</v>
      </c>
      <c r="AX54" s="3">
        <v>1</v>
      </c>
      <c r="AY54" s="3">
        <v>1</v>
      </c>
      <c r="AZ54" s="3">
        <v>1</v>
      </c>
      <c r="BA54" s="3">
        <v>1</v>
      </c>
      <c r="BB54" s="3">
        <v>1</v>
      </c>
      <c r="BC54" s="3">
        <v>1</v>
      </c>
      <c r="BD54" s="3">
        <v>1</v>
      </c>
      <c r="BE54" s="3">
        <v>1</v>
      </c>
      <c r="BF54" s="3">
        <v>1</v>
      </c>
      <c r="BG54" s="3">
        <v>1</v>
      </c>
      <c r="BH54" s="3">
        <v>1</v>
      </c>
      <c r="BI54" s="3">
        <v>1</v>
      </c>
      <c r="BJ54" s="3">
        <v>1</v>
      </c>
      <c r="BK54" s="3">
        <v>1</v>
      </c>
      <c r="BL54" s="3">
        <v>1</v>
      </c>
      <c r="BM54" s="3">
        <v>1</v>
      </c>
      <c r="BN54" s="3">
        <v>1</v>
      </c>
      <c r="BO54" s="3">
        <v>1</v>
      </c>
      <c r="BP54" s="3">
        <v>1</v>
      </c>
      <c r="BQ54" s="3">
        <v>1</v>
      </c>
      <c r="BR54" s="3"/>
    </row>
    <row r="55" spans="1:70" x14ac:dyDescent="0.3">
      <c r="A55" s="4" t="s">
        <v>206</v>
      </c>
      <c r="B55" s="4" t="s">
        <v>207</v>
      </c>
      <c r="C55" s="4" t="s">
        <v>46</v>
      </c>
      <c r="D55" s="4" t="s">
        <v>47</v>
      </c>
      <c r="E55" s="4" t="s">
        <v>139</v>
      </c>
      <c r="F55" s="7" t="s">
        <v>181</v>
      </c>
      <c r="G55" s="4" t="s">
        <v>140</v>
      </c>
      <c r="H55" s="4">
        <v>0</v>
      </c>
      <c r="I55" s="3">
        <v>2.86</v>
      </c>
      <c r="J55" s="3">
        <v>2.86</v>
      </c>
      <c r="K55" s="3">
        <v>2.86</v>
      </c>
      <c r="L55" s="3">
        <v>2.86</v>
      </c>
      <c r="M55" s="3">
        <v>2.86</v>
      </c>
      <c r="N55" s="3">
        <v>2.86</v>
      </c>
      <c r="O55" s="3">
        <v>2.86</v>
      </c>
      <c r="P55" s="3">
        <v>2.86</v>
      </c>
      <c r="Q55" s="3">
        <v>2.86</v>
      </c>
      <c r="R55" s="3">
        <v>2.86</v>
      </c>
      <c r="S55" s="3">
        <v>2.86</v>
      </c>
      <c r="T55" s="3">
        <v>2.86</v>
      </c>
      <c r="U55" s="3">
        <v>2.86</v>
      </c>
      <c r="V55" s="3">
        <v>2.86</v>
      </c>
      <c r="W55" s="3">
        <v>2.86</v>
      </c>
      <c r="X55" s="3">
        <v>2.86</v>
      </c>
      <c r="Y55" s="3">
        <v>2.86</v>
      </c>
      <c r="Z55" s="3">
        <v>2.86</v>
      </c>
      <c r="AA55" s="3">
        <v>2.86</v>
      </c>
      <c r="AB55" s="3">
        <v>2.86</v>
      </c>
      <c r="AC55" s="3">
        <v>2.86</v>
      </c>
      <c r="AD55" s="3">
        <v>2.86</v>
      </c>
      <c r="AE55" s="3">
        <v>2.86</v>
      </c>
      <c r="AF55" s="3">
        <v>2.86</v>
      </c>
      <c r="AG55" s="3">
        <v>2.86</v>
      </c>
      <c r="AH55" s="3">
        <v>2.86</v>
      </c>
      <c r="AI55" s="3">
        <v>2.86</v>
      </c>
      <c r="AJ55" s="3">
        <v>2.86</v>
      </c>
      <c r="AK55" s="3">
        <v>2.86</v>
      </c>
      <c r="AL55" s="3">
        <v>2.86</v>
      </c>
      <c r="AM55" s="3">
        <v>2.86</v>
      </c>
      <c r="AN55" s="3">
        <v>2.86</v>
      </c>
      <c r="AO55" s="3">
        <v>2.86</v>
      </c>
      <c r="AP55" s="3">
        <v>2.86</v>
      </c>
      <c r="AQ55" s="3">
        <v>2.86</v>
      </c>
      <c r="AR55" s="3">
        <v>2.86</v>
      </c>
      <c r="AS55" s="3">
        <v>2.86</v>
      </c>
      <c r="AT55" s="3">
        <v>2.86</v>
      </c>
      <c r="AU55" s="3">
        <v>2.86</v>
      </c>
      <c r="AV55" s="3">
        <v>2.86</v>
      </c>
      <c r="AW55" s="3">
        <v>2.86</v>
      </c>
      <c r="AX55" s="3">
        <v>2.86</v>
      </c>
      <c r="AY55" s="3">
        <v>2.86</v>
      </c>
      <c r="AZ55" s="3">
        <v>2.86</v>
      </c>
      <c r="BA55" s="3">
        <v>2.86</v>
      </c>
      <c r="BB55" s="3">
        <v>2.86</v>
      </c>
      <c r="BC55" s="3">
        <v>2.86</v>
      </c>
      <c r="BD55" s="3">
        <v>2.86</v>
      </c>
      <c r="BE55" s="3">
        <v>2.86</v>
      </c>
      <c r="BF55" s="3">
        <v>2.86</v>
      </c>
      <c r="BG55" s="3">
        <v>2.86</v>
      </c>
      <c r="BH55" s="3">
        <v>2.86</v>
      </c>
      <c r="BI55" s="3">
        <v>2.86</v>
      </c>
      <c r="BJ55" s="3">
        <v>2.86</v>
      </c>
      <c r="BK55" s="3">
        <v>2.86</v>
      </c>
      <c r="BL55" s="3">
        <v>2.86</v>
      </c>
      <c r="BM55" s="3">
        <v>2.86</v>
      </c>
      <c r="BN55" s="3">
        <v>2.86</v>
      </c>
      <c r="BO55" s="3">
        <v>2.86</v>
      </c>
      <c r="BP55" s="3">
        <v>2.86</v>
      </c>
      <c r="BQ55" s="3">
        <v>2.86</v>
      </c>
      <c r="BR55" s="3"/>
    </row>
    <row r="56" spans="1:70" x14ac:dyDescent="0.3">
      <c r="A56" s="5" t="s">
        <v>206</v>
      </c>
      <c r="B56" s="5" t="s">
        <v>207</v>
      </c>
      <c r="C56" s="5" t="s">
        <v>76</v>
      </c>
      <c r="D56" s="5" t="s">
        <v>77</v>
      </c>
      <c r="E56" s="5" t="s">
        <v>11</v>
      </c>
      <c r="F56" s="7"/>
      <c r="G56" s="5" t="s">
        <v>140</v>
      </c>
      <c r="H56" s="5">
        <v>0</v>
      </c>
      <c r="I56" s="3">
        <v>1</v>
      </c>
      <c r="J56" s="3">
        <v>1</v>
      </c>
      <c r="K56" s="3">
        <v>1</v>
      </c>
      <c r="L56" s="3">
        <v>1</v>
      </c>
      <c r="M56" s="3">
        <v>1</v>
      </c>
      <c r="N56" s="3">
        <v>1</v>
      </c>
      <c r="O56" s="3">
        <v>1</v>
      </c>
      <c r="P56" s="3">
        <v>1</v>
      </c>
      <c r="Q56" s="3">
        <v>1</v>
      </c>
      <c r="R56" s="3">
        <v>1</v>
      </c>
      <c r="S56" s="3">
        <v>1</v>
      </c>
      <c r="T56" s="3">
        <v>1</v>
      </c>
      <c r="U56" s="3">
        <v>1</v>
      </c>
      <c r="V56" s="3">
        <v>1</v>
      </c>
      <c r="W56" s="3">
        <v>1</v>
      </c>
      <c r="X56" s="3">
        <v>1</v>
      </c>
      <c r="Y56" s="3">
        <v>1</v>
      </c>
      <c r="Z56" s="3">
        <v>1</v>
      </c>
      <c r="AA56" s="3">
        <v>1</v>
      </c>
      <c r="AB56" s="3">
        <v>1</v>
      </c>
      <c r="AC56" s="3">
        <v>1</v>
      </c>
      <c r="AD56" s="3">
        <v>1</v>
      </c>
      <c r="AE56" s="3">
        <v>1</v>
      </c>
      <c r="AF56" s="3">
        <v>1</v>
      </c>
      <c r="AG56" s="3">
        <v>1</v>
      </c>
      <c r="AH56" s="3">
        <v>1</v>
      </c>
      <c r="AI56" s="3">
        <v>1</v>
      </c>
      <c r="AJ56" s="3">
        <v>1</v>
      </c>
      <c r="AK56" s="3">
        <v>1</v>
      </c>
      <c r="AL56" s="3">
        <v>1</v>
      </c>
      <c r="AM56" s="3">
        <v>1</v>
      </c>
      <c r="AN56" s="3">
        <v>1</v>
      </c>
      <c r="AO56" s="3">
        <v>1</v>
      </c>
      <c r="AP56" s="3">
        <v>1</v>
      </c>
      <c r="AQ56" s="3">
        <v>1</v>
      </c>
      <c r="AR56" s="3">
        <v>1</v>
      </c>
      <c r="AS56" s="3">
        <v>1</v>
      </c>
      <c r="AT56" s="3">
        <v>1</v>
      </c>
      <c r="AU56" s="3">
        <v>1</v>
      </c>
      <c r="AV56" s="3">
        <v>1</v>
      </c>
      <c r="AW56" s="3">
        <v>1</v>
      </c>
      <c r="AX56" s="3">
        <v>1</v>
      </c>
      <c r="AY56" s="3">
        <v>1</v>
      </c>
      <c r="AZ56" s="3">
        <v>1</v>
      </c>
      <c r="BA56" s="3">
        <v>1</v>
      </c>
      <c r="BB56" s="3">
        <v>1</v>
      </c>
      <c r="BC56" s="3">
        <v>1</v>
      </c>
      <c r="BD56" s="3">
        <v>1</v>
      </c>
      <c r="BE56" s="3">
        <v>1</v>
      </c>
      <c r="BF56" s="3">
        <v>1</v>
      </c>
      <c r="BG56" s="3">
        <v>1</v>
      </c>
      <c r="BH56" s="3">
        <v>1</v>
      </c>
      <c r="BI56" s="3">
        <v>1</v>
      </c>
      <c r="BJ56" s="3">
        <v>1</v>
      </c>
      <c r="BK56" s="3">
        <v>1</v>
      </c>
      <c r="BL56" s="3">
        <v>1</v>
      </c>
      <c r="BM56" s="3">
        <v>1</v>
      </c>
      <c r="BN56" s="3">
        <v>1</v>
      </c>
      <c r="BO56" s="3">
        <v>1</v>
      </c>
      <c r="BP56" s="3">
        <v>1</v>
      </c>
      <c r="BQ56" s="3">
        <v>1</v>
      </c>
      <c r="BR56" s="3"/>
    </row>
    <row r="57" spans="1:70" x14ac:dyDescent="0.3">
      <c r="A57" s="4" t="s">
        <v>787</v>
      </c>
      <c r="B57" s="4" t="s">
        <v>786</v>
      </c>
      <c r="C57" s="4" t="s">
        <v>788</v>
      </c>
      <c r="D57" s="4" t="s">
        <v>789</v>
      </c>
      <c r="E57" s="4" t="s">
        <v>139</v>
      </c>
      <c r="F57" s="7" t="s">
        <v>181</v>
      </c>
      <c r="G57" s="4" t="s">
        <v>140</v>
      </c>
      <c r="H57" s="4">
        <v>0</v>
      </c>
      <c r="I57" s="3">
        <v>1</v>
      </c>
      <c r="J57" s="3">
        <v>1</v>
      </c>
      <c r="K57" s="3">
        <v>1</v>
      </c>
      <c r="L57" s="3">
        <v>1</v>
      </c>
      <c r="M57" s="3">
        <v>1</v>
      </c>
      <c r="N57" s="3">
        <v>1</v>
      </c>
      <c r="O57" s="3">
        <v>1</v>
      </c>
      <c r="P57" s="3">
        <v>1</v>
      </c>
      <c r="Q57" s="3">
        <v>1</v>
      </c>
      <c r="R57" s="3">
        <v>1</v>
      </c>
      <c r="S57" s="3">
        <v>1</v>
      </c>
      <c r="T57" s="3">
        <v>1</v>
      </c>
      <c r="U57" s="3">
        <v>1</v>
      </c>
      <c r="V57" s="3">
        <v>1</v>
      </c>
      <c r="W57" s="3">
        <v>1</v>
      </c>
      <c r="X57" s="3">
        <v>1</v>
      </c>
      <c r="Y57" s="3">
        <v>1</v>
      </c>
      <c r="Z57" s="3">
        <v>1</v>
      </c>
      <c r="AA57" s="3">
        <v>1</v>
      </c>
      <c r="AB57" s="3">
        <v>1</v>
      </c>
      <c r="AC57" s="3">
        <v>1</v>
      </c>
      <c r="AD57" s="3">
        <v>1</v>
      </c>
      <c r="AE57" s="3">
        <v>1</v>
      </c>
      <c r="AF57" s="3">
        <v>1</v>
      </c>
      <c r="AG57" s="3">
        <v>1</v>
      </c>
      <c r="AH57" s="3">
        <v>1</v>
      </c>
      <c r="AI57" s="3">
        <v>1</v>
      </c>
      <c r="AJ57" s="3">
        <v>1</v>
      </c>
      <c r="AK57" s="3">
        <v>1</v>
      </c>
      <c r="AL57" s="3">
        <v>1</v>
      </c>
      <c r="AM57" s="3">
        <v>1</v>
      </c>
      <c r="AN57" s="3">
        <v>1</v>
      </c>
      <c r="AO57" s="3">
        <v>1</v>
      </c>
      <c r="AP57" s="3">
        <v>1</v>
      </c>
      <c r="AQ57" s="3">
        <v>1</v>
      </c>
      <c r="AR57" s="3">
        <v>1</v>
      </c>
      <c r="AS57" s="3">
        <v>1</v>
      </c>
      <c r="AT57" s="3">
        <v>1</v>
      </c>
      <c r="AU57" s="3">
        <v>1</v>
      </c>
      <c r="AV57" s="3">
        <v>1</v>
      </c>
      <c r="AW57" s="3">
        <v>1</v>
      </c>
      <c r="AX57" s="3">
        <v>1</v>
      </c>
      <c r="AY57" s="3">
        <v>1</v>
      </c>
      <c r="AZ57" s="3">
        <v>1</v>
      </c>
      <c r="BA57" s="3">
        <v>1</v>
      </c>
      <c r="BB57" s="3">
        <v>1</v>
      </c>
      <c r="BC57" s="3">
        <v>1</v>
      </c>
      <c r="BD57" s="3">
        <v>1</v>
      </c>
      <c r="BE57" s="3">
        <v>1</v>
      </c>
      <c r="BF57" s="3">
        <v>1</v>
      </c>
      <c r="BG57" s="3">
        <v>1</v>
      </c>
      <c r="BH57" s="3">
        <v>1</v>
      </c>
      <c r="BI57" s="3">
        <v>1</v>
      </c>
      <c r="BJ57" s="3">
        <v>1</v>
      </c>
      <c r="BK57" s="3">
        <v>1</v>
      </c>
      <c r="BL57" s="3">
        <v>1</v>
      </c>
      <c r="BM57" s="3">
        <v>1</v>
      </c>
      <c r="BN57" s="3">
        <v>1</v>
      </c>
      <c r="BO57" s="3">
        <v>1</v>
      </c>
      <c r="BP57" s="3">
        <v>1</v>
      </c>
      <c r="BQ57" s="3">
        <v>1</v>
      </c>
      <c r="BR57" s="3"/>
    </row>
    <row r="58" spans="1:70" x14ac:dyDescent="0.3">
      <c r="A58" s="4" t="s">
        <v>787</v>
      </c>
      <c r="B58" s="4" t="s">
        <v>786</v>
      </c>
      <c r="C58" s="4" t="s">
        <v>76</v>
      </c>
      <c r="D58" s="5" t="s">
        <v>77</v>
      </c>
      <c r="E58" s="4" t="s">
        <v>11</v>
      </c>
      <c r="F58" s="7"/>
      <c r="G58" s="5" t="s">
        <v>140</v>
      </c>
      <c r="H58" s="4">
        <v>0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/>
    </row>
    <row r="59" spans="1:70" x14ac:dyDescent="0.3">
      <c r="A59" s="5" t="s">
        <v>216</v>
      </c>
      <c r="B59" s="5" t="s">
        <v>217</v>
      </c>
      <c r="C59" s="5" t="s">
        <v>759</v>
      </c>
      <c r="D59" s="14" t="s">
        <v>783</v>
      </c>
      <c r="E59" s="5" t="s">
        <v>139</v>
      </c>
      <c r="F59" s="7"/>
      <c r="G59" s="5" t="s">
        <v>140</v>
      </c>
      <c r="H59" s="5">
        <v>0</v>
      </c>
      <c r="I59" s="3">
        <v>3.5398000000000001</v>
      </c>
      <c r="J59" s="3">
        <v>4.6566000000000001</v>
      </c>
      <c r="K59" s="3">
        <v>4.8483999999999998</v>
      </c>
      <c r="L59" s="3">
        <v>4.6292</v>
      </c>
      <c r="M59" s="3">
        <v>4.7725</v>
      </c>
      <c r="N59" s="3">
        <v>4.3602999999999996</v>
      </c>
      <c r="O59" s="3">
        <v>3.677</v>
      </c>
      <c r="P59" s="3">
        <v>3.0716000000000001</v>
      </c>
      <c r="Q59" s="3">
        <v>2.4908000000000001</v>
      </c>
      <c r="R59" s="3">
        <v>2.6722000000000001</v>
      </c>
      <c r="S59" s="3">
        <v>2.7822</v>
      </c>
      <c r="T59" s="3">
        <v>2.6484000000000001</v>
      </c>
      <c r="U59" s="3">
        <v>2.6484000000000001</v>
      </c>
      <c r="V59" s="3">
        <v>2.6484000000000001</v>
      </c>
      <c r="W59" s="3">
        <v>2.6484000000000001</v>
      </c>
      <c r="X59" s="3">
        <v>2.6484000000000001</v>
      </c>
      <c r="Y59" s="3">
        <v>2.6484000000000001</v>
      </c>
      <c r="Z59" s="3">
        <v>2.6484000000000001</v>
      </c>
      <c r="AA59" s="3">
        <v>2.6484000000000001</v>
      </c>
      <c r="AB59" s="3">
        <v>2.6484000000000001</v>
      </c>
      <c r="AC59" s="3">
        <v>2.6484000000000001</v>
      </c>
      <c r="AD59" s="3">
        <v>2.6484000000000001</v>
      </c>
      <c r="AE59" s="3">
        <v>2.6484000000000001</v>
      </c>
      <c r="AF59" s="3">
        <v>2.6484000000000001</v>
      </c>
      <c r="AG59" s="3">
        <v>2.6484000000000001</v>
      </c>
      <c r="AH59" s="3">
        <v>2.6484000000000001</v>
      </c>
      <c r="AI59" s="3">
        <v>2.6484000000000001</v>
      </c>
      <c r="AJ59" s="3">
        <v>2.6484000000000001</v>
      </c>
      <c r="AK59" s="3">
        <v>2.6484000000000001</v>
      </c>
      <c r="AL59" s="3">
        <v>2.6484000000000001</v>
      </c>
      <c r="AM59" s="3">
        <v>2.6484000000000001</v>
      </c>
      <c r="AN59" s="3">
        <v>2.6484000000000001</v>
      </c>
      <c r="AO59" s="3">
        <v>2.6484000000000001</v>
      </c>
      <c r="AP59" s="3">
        <v>2.6484000000000001</v>
      </c>
      <c r="AQ59" s="3">
        <v>2.6484000000000001</v>
      </c>
      <c r="AR59" s="3">
        <v>2.6484000000000001</v>
      </c>
      <c r="AS59" s="3">
        <v>2.6484000000000001</v>
      </c>
      <c r="AT59" s="3">
        <v>2.6484000000000001</v>
      </c>
      <c r="AU59" s="3">
        <v>2.6484000000000001</v>
      </c>
      <c r="AV59" s="3">
        <v>2.6484000000000001</v>
      </c>
      <c r="AW59" s="3">
        <v>2.6484000000000001</v>
      </c>
      <c r="AX59" s="3">
        <v>2.6484000000000001</v>
      </c>
      <c r="AY59" s="3">
        <v>2.6484000000000001</v>
      </c>
      <c r="AZ59" s="3">
        <v>2.6484000000000001</v>
      </c>
      <c r="BA59" s="3">
        <v>2.6484000000000001</v>
      </c>
      <c r="BB59" s="3">
        <v>2.6484000000000001</v>
      </c>
      <c r="BC59" s="3">
        <v>2.6484000000000001</v>
      </c>
      <c r="BD59" s="3">
        <v>2.6484000000000001</v>
      </c>
      <c r="BE59" s="3">
        <v>2.6484000000000001</v>
      </c>
      <c r="BF59" s="3">
        <v>2.6484000000000001</v>
      </c>
      <c r="BG59" s="3">
        <v>2.6484000000000001</v>
      </c>
      <c r="BH59" s="3">
        <v>2.6484000000000001</v>
      </c>
      <c r="BI59" s="3">
        <v>2.6484000000000001</v>
      </c>
      <c r="BJ59" s="3">
        <v>2.6484000000000001</v>
      </c>
      <c r="BK59" s="3">
        <v>2.6484000000000001</v>
      </c>
      <c r="BL59" s="3">
        <v>2.6484000000000001</v>
      </c>
      <c r="BM59" s="3">
        <v>2.6484000000000001</v>
      </c>
      <c r="BN59" s="3">
        <v>2.6484000000000001</v>
      </c>
      <c r="BO59" s="3">
        <v>2.6484000000000001</v>
      </c>
      <c r="BP59" s="3">
        <v>2.6484000000000001</v>
      </c>
      <c r="BQ59" s="3">
        <v>2.6484000000000001</v>
      </c>
      <c r="BR59" s="3"/>
    </row>
    <row r="60" spans="1:70" x14ac:dyDescent="0.3">
      <c r="A60" s="4" t="s">
        <v>216</v>
      </c>
      <c r="B60" s="4" t="s">
        <v>217</v>
      </c>
      <c r="C60" s="5" t="s">
        <v>112</v>
      </c>
      <c r="D60" s="4" t="s">
        <v>77</v>
      </c>
      <c r="E60" s="4" t="s">
        <v>11</v>
      </c>
      <c r="F60" s="7"/>
      <c r="G60" s="4" t="s">
        <v>140</v>
      </c>
      <c r="H60" s="4">
        <v>0</v>
      </c>
      <c r="I60" s="3">
        <v>1</v>
      </c>
      <c r="J60" s="3">
        <v>1</v>
      </c>
      <c r="K60" s="3">
        <v>1</v>
      </c>
      <c r="L60" s="3">
        <v>1</v>
      </c>
      <c r="M60" s="3">
        <v>1</v>
      </c>
      <c r="N60" s="3">
        <v>1</v>
      </c>
      <c r="O60" s="3">
        <v>1</v>
      </c>
      <c r="P60" s="3">
        <v>1</v>
      </c>
      <c r="Q60" s="3">
        <v>1</v>
      </c>
      <c r="R60" s="3">
        <v>1</v>
      </c>
      <c r="S60" s="3">
        <v>1</v>
      </c>
      <c r="T60" s="3">
        <v>1</v>
      </c>
      <c r="U60" s="3">
        <v>1</v>
      </c>
      <c r="V60" s="3">
        <v>1</v>
      </c>
      <c r="W60" s="3">
        <v>1</v>
      </c>
      <c r="X60" s="3">
        <v>1</v>
      </c>
      <c r="Y60" s="3">
        <v>1</v>
      </c>
      <c r="Z60" s="3">
        <v>1</v>
      </c>
      <c r="AA60" s="3">
        <v>1</v>
      </c>
      <c r="AB60" s="3">
        <v>1</v>
      </c>
      <c r="AC60" s="3">
        <v>1</v>
      </c>
      <c r="AD60" s="3">
        <v>1</v>
      </c>
      <c r="AE60" s="3">
        <v>1</v>
      </c>
      <c r="AF60" s="3">
        <v>1</v>
      </c>
      <c r="AG60" s="3">
        <v>1</v>
      </c>
      <c r="AH60" s="3">
        <v>1</v>
      </c>
      <c r="AI60" s="3">
        <v>1</v>
      </c>
      <c r="AJ60" s="3">
        <v>1</v>
      </c>
      <c r="AK60" s="3">
        <v>1</v>
      </c>
      <c r="AL60" s="3">
        <v>1</v>
      </c>
      <c r="AM60" s="3">
        <v>1</v>
      </c>
      <c r="AN60" s="3">
        <v>1</v>
      </c>
      <c r="AO60" s="3">
        <v>1</v>
      </c>
      <c r="AP60" s="3">
        <v>1</v>
      </c>
      <c r="AQ60" s="3">
        <v>1</v>
      </c>
      <c r="AR60" s="3">
        <v>1</v>
      </c>
      <c r="AS60" s="3">
        <v>1</v>
      </c>
      <c r="AT60" s="3">
        <v>1</v>
      </c>
      <c r="AU60" s="3">
        <v>1</v>
      </c>
      <c r="AV60" s="3">
        <v>1</v>
      </c>
      <c r="AW60" s="3">
        <v>1</v>
      </c>
      <c r="AX60" s="3">
        <v>1</v>
      </c>
      <c r="AY60" s="3">
        <v>1</v>
      </c>
      <c r="AZ60" s="3">
        <v>1</v>
      </c>
      <c r="BA60" s="3">
        <v>1</v>
      </c>
      <c r="BB60" s="3">
        <v>1</v>
      </c>
      <c r="BC60" s="3">
        <v>1</v>
      </c>
      <c r="BD60" s="3">
        <v>1</v>
      </c>
      <c r="BE60" s="3">
        <v>1</v>
      </c>
      <c r="BF60" s="3">
        <v>1</v>
      </c>
      <c r="BG60" s="3">
        <v>1</v>
      </c>
      <c r="BH60" s="3">
        <v>1</v>
      </c>
      <c r="BI60" s="3">
        <v>1</v>
      </c>
      <c r="BJ60" s="3">
        <v>1</v>
      </c>
      <c r="BK60" s="3">
        <v>1</v>
      </c>
      <c r="BL60" s="3">
        <v>1</v>
      </c>
      <c r="BM60" s="3">
        <v>1</v>
      </c>
      <c r="BN60" s="3">
        <v>1</v>
      </c>
      <c r="BO60" s="3">
        <v>1</v>
      </c>
      <c r="BP60" s="3">
        <v>1</v>
      </c>
      <c r="BQ60" s="3">
        <v>1</v>
      </c>
      <c r="BR60" s="3"/>
    </row>
    <row r="61" spans="1:70" x14ac:dyDescent="0.3">
      <c r="A61" s="4" t="s">
        <v>218</v>
      </c>
      <c r="B61" s="4" t="s">
        <v>219</v>
      </c>
      <c r="C61" s="5" t="s">
        <v>759</v>
      </c>
      <c r="D61" s="14" t="s">
        <v>783</v>
      </c>
      <c r="E61" s="4" t="s">
        <v>139</v>
      </c>
      <c r="F61" s="7"/>
      <c r="G61" s="4" t="s">
        <v>140</v>
      </c>
      <c r="H61" s="4">
        <v>0</v>
      </c>
      <c r="I61" s="3">
        <v>3.5398000000000001</v>
      </c>
      <c r="J61" s="3">
        <v>4.6566000000000001</v>
      </c>
      <c r="K61" s="3">
        <v>4.8483999999999998</v>
      </c>
      <c r="L61" s="3">
        <v>4.6292</v>
      </c>
      <c r="M61" s="3">
        <v>4.7725</v>
      </c>
      <c r="N61" s="3">
        <v>4.3602999999999996</v>
      </c>
      <c r="O61" s="3">
        <v>3.677</v>
      </c>
      <c r="P61" s="3">
        <v>3.0716000000000001</v>
      </c>
      <c r="Q61" s="3">
        <v>2.4908000000000001</v>
      </c>
      <c r="R61" s="3">
        <v>2.6722000000000001</v>
      </c>
      <c r="S61" s="3">
        <v>2.7822</v>
      </c>
      <c r="T61" s="3">
        <v>2.6484000000000001</v>
      </c>
      <c r="U61" s="3">
        <v>2.6484000000000001</v>
      </c>
      <c r="V61" s="3">
        <v>2.6484000000000001</v>
      </c>
      <c r="W61" s="3">
        <v>2.6484000000000001</v>
      </c>
      <c r="X61" s="3">
        <v>2.6484000000000001</v>
      </c>
      <c r="Y61" s="3">
        <v>2.6484000000000001</v>
      </c>
      <c r="Z61" s="3">
        <v>2.6484000000000001</v>
      </c>
      <c r="AA61" s="3">
        <v>2.6484000000000001</v>
      </c>
      <c r="AB61" s="3">
        <v>2.6484000000000001</v>
      </c>
      <c r="AC61" s="3">
        <v>2.6484000000000001</v>
      </c>
      <c r="AD61" s="3">
        <v>2.6484000000000001</v>
      </c>
      <c r="AE61" s="3">
        <v>2.6484000000000001</v>
      </c>
      <c r="AF61" s="3">
        <v>2.6484000000000001</v>
      </c>
      <c r="AG61" s="3">
        <v>2.6484000000000001</v>
      </c>
      <c r="AH61" s="3">
        <v>2.6484000000000001</v>
      </c>
      <c r="AI61" s="3">
        <v>2.6484000000000001</v>
      </c>
      <c r="AJ61" s="3">
        <v>2.6484000000000001</v>
      </c>
      <c r="AK61" s="3">
        <v>2.6484000000000001</v>
      </c>
      <c r="AL61" s="3">
        <v>2.6484000000000001</v>
      </c>
      <c r="AM61" s="3">
        <v>2.6484000000000001</v>
      </c>
      <c r="AN61" s="3">
        <v>2.6484000000000001</v>
      </c>
      <c r="AO61" s="3">
        <v>2.6484000000000001</v>
      </c>
      <c r="AP61" s="3">
        <v>2.6484000000000001</v>
      </c>
      <c r="AQ61" s="3">
        <v>2.6484000000000001</v>
      </c>
      <c r="AR61" s="3">
        <v>2.6484000000000001</v>
      </c>
      <c r="AS61" s="3">
        <v>2.6484000000000001</v>
      </c>
      <c r="AT61" s="3">
        <v>2.6484000000000001</v>
      </c>
      <c r="AU61" s="3">
        <v>2.6484000000000001</v>
      </c>
      <c r="AV61" s="3">
        <v>2.6484000000000001</v>
      </c>
      <c r="AW61" s="3">
        <v>2.6484000000000001</v>
      </c>
      <c r="AX61" s="3">
        <v>2.6484000000000001</v>
      </c>
      <c r="AY61" s="3">
        <v>2.6484000000000001</v>
      </c>
      <c r="AZ61" s="3">
        <v>2.6484000000000001</v>
      </c>
      <c r="BA61" s="3">
        <v>2.6484000000000001</v>
      </c>
      <c r="BB61" s="3">
        <v>2.6484000000000001</v>
      </c>
      <c r="BC61" s="3">
        <v>2.6484000000000001</v>
      </c>
      <c r="BD61" s="3">
        <v>2.6484000000000001</v>
      </c>
      <c r="BE61" s="3">
        <v>2.6484000000000001</v>
      </c>
      <c r="BF61" s="3">
        <v>2.6484000000000001</v>
      </c>
      <c r="BG61" s="3">
        <v>2.6484000000000001</v>
      </c>
      <c r="BH61" s="3">
        <v>2.6484000000000001</v>
      </c>
      <c r="BI61" s="3">
        <v>2.6484000000000001</v>
      </c>
      <c r="BJ61" s="3">
        <v>2.6484000000000001</v>
      </c>
      <c r="BK61" s="3">
        <v>2.6484000000000001</v>
      </c>
      <c r="BL61" s="3">
        <v>2.6484000000000001</v>
      </c>
      <c r="BM61" s="3">
        <v>2.6484000000000001</v>
      </c>
      <c r="BN61" s="3">
        <v>2.6484000000000001</v>
      </c>
      <c r="BO61" s="3">
        <v>2.6484000000000001</v>
      </c>
      <c r="BP61" s="3">
        <v>2.6484000000000001</v>
      </c>
      <c r="BQ61" s="3">
        <v>2.6484000000000001</v>
      </c>
      <c r="BR61" s="3"/>
    </row>
    <row r="62" spans="1:70" x14ac:dyDescent="0.3">
      <c r="A62" s="5" t="s">
        <v>218</v>
      </c>
      <c r="B62" s="5" t="s">
        <v>219</v>
      </c>
      <c r="C62" s="5" t="s">
        <v>112</v>
      </c>
      <c r="D62" s="5" t="s">
        <v>77</v>
      </c>
      <c r="E62" s="5" t="s">
        <v>11</v>
      </c>
      <c r="F62" s="7"/>
      <c r="G62" s="5" t="s">
        <v>140</v>
      </c>
      <c r="H62" s="5">
        <v>0</v>
      </c>
      <c r="I62" s="3">
        <v>1</v>
      </c>
      <c r="J62" s="3">
        <v>1</v>
      </c>
      <c r="K62" s="3">
        <v>1</v>
      </c>
      <c r="L62" s="3">
        <v>1</v>
      </c>
      <c r="M62" s="3">
        <v>1</v>
      </c>
      <c r="N62" s="3">
        <v>1</v>
      </c>
      <c r="O62" s="3">
        <v>1</v>
      </c>
      <c r="P62" s="3">
        <v>1</v>
      </c>
      <c r="Q62" s="3">
        <v>1</v>
      </c>
      <c r="R62" s="3">
        <v>1</v>
      </c>
      <c r="S62" s="3">
        <v>1</v>
      </c>
      <c r="T62" s="3">
        <v>1</v>
      </c>
      <c r="U62" s="3">
        <v>1</v>
      </c>
      <c r="V62" s="3">
        <v>1</v>
      </c>
      <c r="W62" s="3">
        <v>1</v>
      </c>
      <c r="X62" s="3">
        <v>1</v>
      </c>
      <c r="Y62" s="3">
        <v>1</v>
      </c>
      <c r="Z62" s="3">
        <v>1</v>
      </c>
      <c r="AA62" s="3">
        <v>1</v>
      </c>
      <c r="AB62" s="3">
        <v>1</v>
      </c>
      <c r="AC62" s="3">
        <v>1</v>
      </c>
      <c r="AD62" s="3">
        <v>1</v>
      </c>
      <c r="AE62" s="3">
        <v>1</v>
      </c>
      <c r="AF62" s="3">
        <v>1</v>
      </c>
      <c r="AG62" s="3">
        <v>1</v>
      </c>
      <c r="AH62" s="3">
        <v>1</v>
      </c>
      <c r="AI62" s="3">
        <v>1</v>
      </c>
      <c r="AJ62" s="3">
        <v>1</v>
      </c>
      <c r="AK62" s="3">
        <v>1</v>
      </c>
      <c r="AL62" s="3">
        <v>1</v>
      </c>
      <c r="AM62" s="3">
        <v>1</v>
      </c>
      <c r="AN62" s="3">
        <v>1</v>
      </c>
      <c r="AO62" s="3">
        <v>1</v>
      </c>
      <c r="AP62" s="3">
        <v>1</v>
      </c>
      <c r="AQ62" s="3">
        <v>1</v>
      </c>
      <c r="AR62" s="3">
        <v>1</v>
      </c>
      <c r="AS62" s="3">
        <v>1</v>
      </c>
      <c r="AT62" s="3">
        <v>1</v>
      </c>
      <c r="AU62" s="3">
        <v>1</v>
      </c>
      <c r="AV62" s="3">
        <v>1</v>
      </c>
      <c r="AW62" s="3">
        <v>1</v>
      </c>
      <c r="AX62" s="3">
        <v>1</v>
      </c>
      <c r="AY62" s="3">
        <v>1</v>
      </c>
      <c r="AZ62" s="3">
        <v>1</v>
      </c>
      <c r="BA62" s="3">
        <v>1</v>
      </c>
      <c r="BB62" s="3">
        <v>1</v>
      </c>
      <c r="BC62" s="3">
        <v>1</v>
      </c>
      <c r="BD62" s="3">
        <v>1</v>
      </c>
      <c r="BE62" s="3">
        <v>1</v>
      </c>
      <c r="BF62" s="3">
        <v>1</v>
      </c>
      <c r="BG62" s="3">
        <v>1</v>
      </c>
      <c r="BH62" s="3">
        <v>1</v>
      </c>
      <c r="BI62" s="3">
        <v>1</v>
      </c>
      <c r="BJ62" s="3">
        <v>1</v>
      </c>
      <c r="BK62" s="3">
        <v>1</v>
      </c>
      <c r="BL62" s="3">
        <v>1</v>
      </c>
      <c r="BM62" s="3">
        <v>1</v>
      </c>
      <c r="BN62" s="3">
        <v>1</v>
      </c>
      <c r="BO62" s="3">
        <v>1</v>
      </c>
      <c r="BP62" s="3">
        <v>1</v>
      </c>
      <c r="BQ62" s="3">
        <v>1</v>
      </c>
      <c r="BR62" s="3"/>
    </row>
    <row r="63" spans="1:70" x14ac:dyDescent="0.3">
      <c r="A63" s="4" t="s">
        <v>214</v>
      </c>
      <c r="B63" s="4" t="s">
        <v>215</v>
      </c>
      <c r="C63" s="4" t="s">
        <v>15</v>
      </c>
      <c r="D63" s="4" t="s">
        <v>16</v>
      </c>
      <c r="E63" s="4" t="s">
        <v>139</v>
      </c>
      <c r="F63" s="7" t="s">
        <v>181</v>
      </c>
      <c r="G63" s="4" t="s">
        <v>140</v>
      </c>
      <c r="H63" s="4">
        <v>0</v>
      </c>
      <c r="I63" s="3">
        <v>4.4737</v>
      </c>
      <c r="J63" s="3">
        <v>2.8483000000000001</v>
      </c>
      <c r="K63" s="3">
        <v>2.0367999999999999</v>
      </c>
      <c r="L63" s="3">
        <v>2.2496999999999998</v>
      </c>
      <c r="M63" s="3">
        <v>2.2671999999999999</v>
      </c>
      <c r="N63" s="3">
        <v>2.6036000000000001</v>
      </c>
      <c r="O63" s="3">
        <v>2.5731000000000002</v>
      </c>
      <c r="P63" s="3">
        <v>2.2151999999999998</v>
      </c>
      <c r="Q63" s="3">
        <v>2.7423999999999999</v>
      </c>
      <c r="R63" s="3">
        <v>2.9929999999999999</v>
      </c>
      <c r="S63" s="3">
        <v>2.9348999999999998</v>
      </c>
      <c r="T63" s="3">
        <v>2.8900999999999999</v>
      </c>
      <c r="U63" s="3">
        <v>2.8900999999999999</v>
      </c>
      <c r="V63" s="3">
        <v>2.8900999999999999</v>
      </c>
      <c r="W63" s="3">
        <v>2.8900999999999999</v>
      </c>
      <c r="X63" s="3">
        <v>2.8900999999999999</v>
      </c>
      <c r="Y63" s="3">
        <v>2.8900999999999999</v>
      </c>
      <c r="Z63" s="3">
        <v>2.8900999999999999</v>
      </c>
      <c r="AA63" s="3">
        <v>2.8900999999999999</v>
      </c>
      <c r="AB63" s="3">
        <v>2.8900999999999999</v>
      </c>
      <c r="AC63" s="3">
        <v>2.8900999999999999</v>
      </c>
      <c r="AD63" s="3">
        <v>2.8900999999999999</v>
      </c>
      <c r="AE63" s="3">
        <v>2.8900999999999999</v>
      </c>
      <c r="AF63" s="3">
        <v>2.8900999999999999</v>
      </c>
      <c r="AG63" s="3">
        <v>2.8900999999999999</v>
      </c>
      <c r="AH63" s="3">
        <v>2.8900999999999999</v>
      </c>
      <c r="AI63" s="3">
        <v>2.8900999999999999</v>
      </c>
      <c r="AJ63" s="3">
        <v>2.8900999999999999</v>
      </c>
      <c r="AK63" s="3">
        <v>2.8900999999999999</v>
      </c>
      <c r="AL63" s="3">
        <v>2.8900999999999999</v>
      </c>
      <c r="AM63" s="3">
        <v>2.8900999999999999</v>
      </c>
      <c r="AN63" s="3">
        <v>2.8900999999999999</v>
      </c>
      <c r="AO63" s="3">
        <v>2.8900999999999999</v>
      </c>
      <c r="AP63" s="3">
        <v>2.8900999999999999</v>
      </c>
      <c r="AQ63" s="3">
        <v>2.8900999999999999</v>
      </c>
      <c r="AR63" s="3">
        <v>2.8900999999999999</v>
      </c>
      <c r="AS63" s="3">
        <v>2.8900999999999999</v>
      </c>
      <c r="AT63" s="3">
        <v>2.8900999999999999</v>
      </c>
      <c r="AU63" s="3">
        <v>2.8900999999999999</v>
      </c>
      <c r="AV63" s="3">
        <v>2.8900999999999999</v>
      </c>
      <c r="AW63" s="3">
        <v>2.8900999999999999</v>
      </c>
      <c r="AX63" s="3">
        <v>2.8900999999999999</v>
      </c>
      <c r="AY63" s="3">
        <v>2.8900999999999999</v>
      </c>
      <c r="AZ63" s="3">
        <v>2.8900999999999999</v>
      </c>
      <c r="BA63" s="3">
        <v>2.8900999999999999</v>
      </c>
      <c r="BB63" s="3">
        <v>2.8900999999999999</v>
      </c>
      <c r="BC63" s="3">
        <v>2.8900999999999999</v>
      </c>
      <c r="BD63" s="3">
        <v>2.8900999999999999</v>
      </c>
      <c r="BE63" s="3">
        <v>2.8900999999999999</v>
      </c>
      <c r="BF63" s="3">
        <v>2.8900999999999999</v>
      </c>
      <c r="BG63" s="3">
        <v>2.8900999999999999</v>
      </c>
      <c r="BH63" s="3">
        <v>2.8900999999999999</v>
      </c>
      <c r="BI63" s="3">
        <v>2.8900999999999999</v>
      </c>
      <c r="BJ63" s="3">
        <v>2.8900999999999999</v>
      </c>
      <c r="BK63" s="3">
        <v>2.8900999999999999</v>
      </c>
      <c r="BL63" s="3">
        <v>2.8900999999999999</v>
      </c>
      <c r="BM63" s="3">
        <v>2.8900999999999999</v>
      </c>
      <c r="BN63" s="3">
        <v>2.8900999999999999</v>
      </c>
      <c r="BO63" s="3">
        <v>2.8900999999999999</v>
      </c>
      <c r="BP63" s="3">
        <v>2.8900999999999999</v>
      </c>
      <c r="BQ63" s="3">
        <v>2.8900999999999999</v>
      </c>
      <c r="BR63" s="3"/>
    </row>
    <row r="64" spans="1:70" x14ac:dyDescent="0.3">
      <c r="A64" s="5" t="s">
        <v>214</v>
      </c>
      <c r="B64" s="5" t="s">
        <v>215</v>
      </c>
      <c r="C64" s="5" t="s">
        <v>112</v>
      </c>
      <c r="D64" s="5" t="s">
        <v>77</v>
      </c>
      <c r="E64" s="5" t="s">
        <v>11</v>
      </c>
      <c r="F64" s="7"/>
      <c r="G64" s="5" t="s">
        <v>140</v>
      </c>
      <c r="H64" s="5">
        <v>0</v>
      </c>
      <c r="I64" s="3">
        <v>1</v>
      </c>
      <c r="J64" s="3">
        <v>1</v>
      </c>
      <c r="K64" s="3">
        <v>1</v>
      </c>
      <c r="L64" s="3">
        <v>1</v>
      </c>
      <c r="M64" s="3">
        <v>1</v>
      </c>
      <c r="N64" s="3">
        <v>1</v>
      </c>
      <c r="O64" s="3">
        <v>1</v>
      </c>
      <c r="P64" s="3">
        <v>1</v>
      </c>
      <c r="Q64" s="3">
        <v>1</v>
      </c>
      <c r="R64" s="3">
        <v>1</v>
      </c>
      <c r="S64" s="3">
        <v>1</v>
      </c>
      <c r="T64" s="3">
        <v>1</v>
      </c>
      <c r="U64" s="3">
        <v>1</v>
      </c>
      <c r="V64" s="3">
        <v>1</v>
      </c>
      <c r="W64" s="3">
        <v>1</v>
      </c>
      <c r="X64" s="3">
        <v>1</v>
      </c>
      <c r="Y64" s="3">
        <v>1</v>
      </c>
      <c r="Z64" s="3">
        <v>1</v>
      </c>
      <c r="AA64" s="3">
        <v>1</v>
      </c>
      <c r="AB64" s="3">
        <v>1</v>
      </c>
      <c r="AC64" s="3">
        <v>1</v>
      </c>
      <c r="AD64" s="3">
        <v>1</v>
      </c>
      <c r="AE64" s="3">
        <v>1</v>
      </c>
      <c r="AF64" s="3">
        <v>1</v>
      </c>
      <c r="AG64" s="3">
        <v>1</v>
      </c>
      <c r="AH64" s="3">
        <v>1</v>
      </c>
      <c r="AI64" s="3">
        <v>1</v>
      </c>
      <c r="AJ64" s="3">
        <v>1</v>
      </c>
      <c r="AK64" s="3">
        <v>1</v>
      </c>
      <c r="AL64" s="3">
        <v>1</v>
      </c>
      <c r="AM64" s="3">
        <v>1</v>
      </c>
      <c r="AN64" s="3">
        <v>1</v>
      </c>
      <c r="AO64" s="3">
        <v>1</v>
      </c>
      <c r="AP64" s="3">
        <v>1</v>
      </c>
      <c r="AQ64" s="3">
        <v>1</v>
      </c>
      <c r="AR64" s="3">
        <v>1</v>
      </c>
      <c r="AS64" s="3">
        <v>1</v>
      </c>
      <c r="AT64" s="3">
        <v>1</v>
      </c>
      <c r="AU64" s="3">
        <v>1</v>
      </c>
      <c r="AV64" s="3">
        <v>1</v>
      </c>
      <c r="AW64" s="3">
        <v>1</v>
      </c>
      <c r="AX64" s="3">
        <v>1</v>
      </c>
      <c r="AY64" s="3">
        <v>1</v>
      </c>
      <c r="AZ64" s="3">
        <v>1</v>
      </c>
      <c r="BA64" s="3">
        <v>1</v>
      </c>
      <c r="BB64" s="3">
        <v>1</v>
      </c>
      <c r="BC64" s="3">
        <v>1</v>
      </c>
      <c r="BD64" s="3">
        <v>1</v>
      </c>
      <c r="BE64" s="3">
        <v>1</v>
      </c>
      <c r="BF64" s="3">
        <v>1</v>
      </c>
      <c r="BG64" s="3">
        <v>1</v>
      </c>
      <c r="BH64" s="3">
        <v>1</v>
      </c>
      <c r="BI64" s="3">
        <v>1</v>
      </c>
      <c r="BJ64" s="3">
        <v>1</v>
      </c>
      <c r="BK64" s="3">
        <v>1</v>
      </c>
      <c r="BL64" s="3">
        <v>1</v>
      </c>
      <c r="BM64" s="3">
        <v>1</v>
      </c>
      <c r="BN64" s="3">
        <v>1</v>
      </c>
      <c r="BO64" s="3">
        <v>1</v>
      </c>
      <c r="BP64" s="3">
        <v>1</v>
      </c>
      <c r="BQ64" s="3">
        <v>1</v>
      </c>
      <c r="BR64" s="3"/>
    </row>
    <row r="65" spans="1:70" x14ac:dyDescent="0.3">
      <c r="A65" s="4" t="s">
        <v>210</v>
      </c>
      <c r="B65" s="4" t="s">
        <v>211</v>
      </c>
      <c r="C65" s="4" t="s">
        <v>15</v>
      </c>
      <c r="D65" s="4" t="s">
        <v>16</v>
      </c>
      <c r="E65" s="4" t="s">
        <v>139</v>
      </c>
      <c r="F65" s="7" t="s">
        <v>181</v>
      </c>
      <c r="G65" s="4" t="s">
        <v>140</v>
      </c>
      <c r="H65" s="4">
        <v>0</v>
      </c>
      <c r="I65" s="3">
        <v>4.4737</v>
      </c>
      <c r="J65" s="3">
        <v>2.8483000000000001</v>
      </c>
      <c r="K65" s="3">
        <v>2.0367999999999999</v>
      </c>
      <c r="L65" s="3">
        <v>2.2496999999999998</v>
      </c>
      <c r="M65" s="3">
        <v>2.2671999999999999</v>
      </c>
      <c r="N65" s="3">
        <v>2.6036000000000001</v>
      </c>
      <c r="O65" s="3">
        <v>2.5731000000000002</v>
      </c>
      <c r="P65" s="3">
        <v>2.2151999999999998</v>
      </c>
      <c r="Q65" s="3">
        <v>2.7423999999999999</v>
      </c>
      <c r="R65" s="3">
        <v>2.9929999999999999</v>
      </c>
      <c r="S65" s="3">
        <v>2.9348999999999998</v>
      </c>
      <c r="T65" s="3">
        <v>2.8900999999999999</v>
      </c>
      <c r="U65" s="3">
        <v>2.8900999999999999</v>
      </c>
      <c r="V65" s="3">
        <v>2.8900999999999999</v>
      </c>
      <c r="W65" s="3">
        <v>2.8900999999999999</v>
      </c>
      <c r="X65" s="3">
        <v>2.8900999999999999</v>
      </c>
      <c r="Y65" s="3">
        <v>2.8900999999999999</v>
      </c>
      <c r="Z65" s="3">
        <v>2.8900999999999999</v>
      </c>
      <c r="AA65" s="3">
        <v>2.8900999999999999</v>
      </c>
      <c r="AB65" s="3">
        <v>2.8900999999999999</v>
      </c>
      <c r="AC65" s="3">
        <v>2.8900999999999999</v>
      </c>
      <c r="AD65" s="3">
        <v>2.8900999999999999</v>
      </c>
      <c r="AE65" s="3">
        <v>2.8900999999999999</v>
      </c>
      <c r="AF65" s="3">
        <v>2.8900999999999999</v>
      </c>
      <c r="AG65" s="3">
        <v>2.8900999999999999</v>
      </c>
      <c r="AH65" s="3">
        <v>2.8900999999999999</v>
      </c>
      <c r="AI65" s="3">
        <v>2.8900999999999999</v>
      </c>
      <c r="AJ65" s="3">
        <v>2.8900999999999999</v>
      </c>
      <c r="AK65" s="3">
        <v>2.8900999999999999</v>
      </c>
      <c r="AL65" s="3">
        <v>2.8900999999999999</v>
      </c>
      <c r="AM65" s="3">
        <v>2.8900999999999999</v>
      </c>
      <c r="AN65" s="3">
        <v>2.8900999999999999</v>
      </c>
      <c r="AO65" s="3">
        <v>2.8900999999999999</v>
      </c>
      <c r="AP65" s="3">
        <v>2.8900999999999999</v>
      </c>
      <c r="AQ65" s="3">
        <v>2.8900999999999999</v>
      </c>
      <c r="AR65" s="3">
        <v>2.8900999999999999</v>
      </c>
      <c r="AS65" s="3">
        <v>2.8900999999999999</v>
      </c>
      <c r="AT65" s="3">
        <v>2.8900999999999999</v>
      </c>
      <c r="AU65" s="3">
        <v>2.8900999999999999</v>
      </c>
      <c r="AV65" s="3">
        <v>2.8900999999999999</v>
      </c>
      <c r="AW65" s="3">
        <v>2.8900999999999999</v>
      </c>
      <c r="AX65" s="3">
        <v>2.8900999999999999</v>
      </c>
      <c r="AY65" s="3">
        <v>2.8900999999999999</v>
      </c>
      <c r="AZ65" s="3">
        <v>2.8900999999999999</v>
      </c>
      <c r="BA65" s="3">
        <v>2.8900999999999999</v>
      </c>
      <c r="BB65" s="3">
        <v>2.8900999999999999</v>
      </c>
      <c r="BC65" s="3">
        <v>2.8900999999999999</v>
      </c>
      <c r="BD65" s="3">
        <v>2.8900999999999999</v>
      </c>
      <c r="BE65" s="3">
        <v>2.8900999999999999</v>
      </c>
      <c r="BF65" s="3">
        <v>2.8900999999999999</v>
      </c>
      <c r="BG65" s="3">
        <v>2.8900999999999999</v>
      </c>
      <c r="BH65" s="3">
        <v>2.8900999999999999</v>
      </c>
      <c r="BI65" s="3">
        <v>2.8900999999999999</v>
      </c>
      <c r="BJ65" s="3">
        <v>2.8900999999999999</v>
      </c>
      <c r="BK65" s="3">
        <v>2.8900999999999999</v>
      </c>
      <c r="BL65" s="3">
        <v>2.8900999999999999</v>
      </c>
      <c r="BM65" s="3">
        <v>2.8900999999999999</v>
      </c>
      <c r="BN65" s="3">
        <v>2.8900999999999999</v>
      </c>
      <c r="BO65" s="3">
        <v>2.8900999999999999</v>
      </c>
      <c r="BP65" s="3">
        <v>2.8900999999999999</v>
      </c>
      <c r="BQ65" s="3">
        <v>2.8900999999999999</v>
      </c>
      <c r="BR65" s="3"/>
    </row>
    <row r="66" spans="1:70" x14ac:dyDescent="0.3">
      <c r="A66" s="5" t="s">
        <v>210</v>
      </c>
      <c r="B66" s="5" t="s">
        <v>211</v>
      </c>
      <c r="C66" s="5" t="s">
        <v>112</v>
      </c>
      <c r="D66" s="5" t="s">
        <v>77</v>
      </c>
      <c r="E66" s="5" t="s">
        <v>11</v>
      </c>
      <c r="F66" s="7"/>
      <c r="G66" s="5" t="s">
        <v>140</v>
      </c>
      <c r="H66" s="5">
        <v>0</v>
      </c>
      <c r="I66" s="3">
        <v>1</v>
      </c>
      <c r="J66" s="3">
        <v>1</v>
      </c>
      <c r="K66" s="3">
        <v>1</v>
      </c>
      <c r="L66" s="3">
        <v>1</v>
      </c>
      <c r="M66" s="3">
        <v>1</v>
      </c>
      <c r="N66" s="3">
        <v>1</v>
      </c>
      <c r="O66" s="3">
        <v>1</v>
      </c>
      <c r="P66" s="3">
        <v>1</v>
      </c>
      <c r="Q66" s="3">
        <v>1</v>
      </c>
      <c r="R66" s="3">
        <v>1</v>
      </c>
      <c r="S66" s="3">
        <v>1</v>
      </c>
      <c r="T66" s="3">
        <v>1</v>
      </c>
      <c r="U66" s="3">
        <v>1</v>
      </c>
      <c r="V66" s="3">
        <v>1</v>
      </c>
      <c r="W66" s="3">
        <v>1</v>
      </c>
      <c r="X66" s="3">
        <v>1</v>
      </c>
      <c r="Y66" s="3">
        <v>1</v>
      </c>
      <c r="Z66" s="3">
        <v>1</v>
      </c>
      <c r="AA66" s="3">
        <v>1</v>
      </c>
      <c r="AB66" s="3">
        <v>1</v>
      </c>
      <c r="AC66" s="3">
        <v>1</v>
      </c>
      <c r="AD66" s="3">
        <v>1</v>
      </c>
      <c r="AE66" s="3">
        <v>1</v>
      </c>
      <c r="AF66" s="3">
        <v>1</v>
      </c>
      <c r="AG66" s="3">
        <v>1</v>
      </c>
      <c r="AH66" s="3">
        <v>1</v>
      </c>
      <c r="AI66" s="3">
        <v>1</v>
      </c>
      <c r="AJ66" s="3">
        <v>1</v>
      </c>
      <c r="AK66" s="3">
        <v>1</v>
      </c>
      <c r="AL66" s="3">
        <v>1</v>
      </c>
      <c r="AM66" s="3">
        <v>1</v>
      </c>
      <c r="AN66" s="3">
        <v>1</v>
      </c>
      <c r="AO66" s="3">
        <v>1</v>
      </c>
      <c r="AP66" s="3">
        <v>1</v>
      </c>
      <c r="AQ66" s="3">
        <v>1</v>
      </c>
      <c r="AR66" s="3">
        <v>1</v>
      </c>
      <c r="AS66" s="3">
        <v>1</v>
      </c>
      <c r="AT66" s="3">
        <v>1</v>
      </c>
      <c r="AU66" s="3">
        <v>1</v>
      </c>
      <c r="AV66" s="3">
        <v>1</v>
      </c>
      <c r="AW66" s="3">
        <v>1</v>
      </c>
      <c r="AX66" s="3">
        <v>1</v>
      </c>
      <c r="AY66" s="3">
        <v>1</v>
      </c>
      <c r="AZ66" s="3">
        <v>1</v>
      </c>
      <c r="BA66" s="3">
        <v>1</v>
      </c>
      <c r="BB66" s="3">
        <v>1</v>
      </c>
      <c r="BC66" s="3">
        <v>1</v>
      </c>
      <c r="BD66" s="3">
        <v>1</v>
      </c>
      <c r="BE66" s="3">
        <v>1</v>
      </c>
      <c r="BF66" s="3">
        <v>1</v>
      </c>
      <c r="BG66" s="3">
        <v>1</v>
      </c>
      <c r="BH66" s="3">
        <v>1</v>
      </c>
      <c r="BI66" s="3">
        <v>1</v>
      </c>
      <c r="BJ66" s="3">
        <v>1</v>
      </c>
      <c r="BK66" s="3">
        <v>1</v>
      </c>
      <c r="BL66" s="3">
        <v>1</v>
      </c>
      <c r="BM66" s="3">
        <v>1</v>
      </c>
      <c r="BN66" s="3">
        <v>1</v>
      </c>
      <c r="BO66" s="3">
        <v>1</v>
      </c>
      <c r="BP66" s="3">
        <v>1</v>
      </c>
      <c r="BQ66" s="3">
        <v>1</v>
      </c>
      <c r="BR66" s="3"/>
    </row>
    <row r="67" spans="1:70" x14ac:dyDescent="0.3">
      <c r="A67" s="5" t="s">
        <v>212</v>
      </c>
      <c r="B67" s="5" t="s">
        <v>213</v>
      </c>
      <c r="C67" s="5" t="s">
        <v>15</v>
      </c>
      <c r="D67" s="5" t="s">
        <v>16</v>
      </c>
      <c r="E67" s="5" t="s">
        <v>139</v>
      </c>
      <c r="F67" s="7" t="s">
        <v>181</v>
      </c>
      <c r="G67" s="5" t="s">
        <v>140</v>
      </c>
      <c r="H67" s="5">
        <v>0</v>
      </c>
      <c r="I67" s="3">
        <v>4.4737</v>
      </c>
      <c r="J67" s="3">
        <v>2.8483000000000001</v>
      </c>
      <c r="K67" s="3">
        <v>2.0367999999999999</v>
      </c>
      <c r="L67" s="3">
        <v>2.2496999999999998</v>
      </c>
      <c r="M67" s="3">
        <v>2.2671999999999999</v>
      </c>
      <c r="N67" s="3">
        <v>2.6036000000000001</v>
      </c>
      <c r="O67" s="3">
        <v>2.5731000000000002</v>
      </c>
      <c r="P67" s="3">
        <v>2.2151999999999998</v>
      </c>
      <c r="Q67" s="3">
        <v>2.7423999999999999</v>
      </c>
      <c r="R67" s="3">
        <v>2.9929999999999999</v>
      </c>
      <c r="S67" s="3">
        <v>2.9348999999999998</v>
      </c>
      <c r="T67" s="3">
        <v>2.8900999999999999</v>
      </c>
      <c r="U67" s="3">
        <v>2.8900999999999999</v>
      </c>
      <c r="V67" s="3">
        <v>2.8900999999999999</v>
      </c>
      <c r="W67" s="3">
        <v>2.8900999999999999</v>
      </c>
      <c r="X67" s="3">
        <v>2.8900999999999999</v>
      </c>
      <c r="Y67" s="3">
        <v>2.8900999999999999</v>
      </c>
      <c r="Z67" s="3">
        <v>2.8900999999999999</v>
      </c>
      <c r="AA67" s="3">
        <v>2.8900999999999999</v>
      </c>
      <c r="AB67" s="3">
        <v>2.8900999999999999</v>
      </c>
      <c r="AC67" s="3">
        <v>2.8900999999999999</v>
      </c>
      <c r="AD67" s="3">
        <v>2.8900999999999999</v>
      </c>
      <c r="AE67" s="3">
        <v>2.8900999999999999</v>
      </c>
      <c r="AF67" s="3">
        <v>2.8900999999999999</v>
      </c>
      <c r="AG67" s="3">
        <v>2.8900999999999999</v>
      </c>
      <c r="AH67" s="3">
        <v>2.8900999999999999</v>
      </c>
      <c r="AI67" s="3">
        <v>2.8900999999999999</v>
      </c>
      <c r="AJ67" s="3">
        <v>2.8900999999999999</v>
      </c>
      <c r="AK67" s="3">
        <v>2.8900999999999999</v>
      </c>
      <c r="AL67" s="3">
        <v>2.8900999999999999</v>
      </c>
      <c r="AM67" s="3">
        <v>2.8900999999999999</v>
      </c>
      <c r="AN67" s="3">
        <v>2.8900999999999999</v>
      </c>
      <c r="AO67" s="3">
        <v>2.8900999999999999</v>
      </c>
      <c r="AP67" s="3">
        <v>2.8900999999999999</v>
      </c>
      <c r="AQ67" s="3">
        <v>2.8900999999999999</v>
      </c>
      <c r="AR67" s="3">
        <v>2.8900999999999999</v>
      </c>
      <c r="AS67" s="3">
        <v>2.8900999999999999</v>
      </c>
      <c r="AT67" s="3">
        <v>2.8900999999999999</v>
      </c>
      <c r="AU67" s="3">
        <v>2.8900999999999999</v>
      </c>
      <c r="AV67" s="3">
        <v>2.8900999999999999</v>
      </c>
      <c r="AW67" s="3">
        <v>2.8900999999999999</v>
      </c>
      <c r="AX67" s="3">
        <v>2.8900999999999999</v>
      </c>
      <c r="AY67" s="3">
        <v>2.8900999999999999</v>
      </c>
      <c r="AZ67" s="3">
        <v>2.8900999999999999</v>
      </c>
      <c r="BA67" s="3">
        <v>2.8900999999999999</v>
      </c>
      <c r="BB67" s="3">
        <v>2.8900999999999999</v>
      </c>
      <c r="BC67" s="3">
        <v>2.8900999999999999</v>
      </c>
      <c r="BD67" s="3">
        <v>2.8900999999999999</v>
      </c>
      <c r="BE67" s="3">
        <v>2.8900999999999999</v>
      </c>
      <c r="BF67" s="3">
        <v>2.8900999999999999</v>
      </c>
      <c r="BG67" s="3">
        <v>2.8900999999999999</v>
      </c>
      <c r="BH67" s="3">
        <v>2.8900999999999999</v>
      </c>
      <c r="BI67" s="3">
        <v>2.8900999999999999</v>
      </c>
      <c r="BJ67" s="3">
        <v>2.8900999999999999</v>
      </c>
      <c r="BK67" s="3">
        <v>2.8900999999999999</v>
      </c>
      <c r="BL67" s="3">
        <v>2.8900999999999999</v>
      </c>
      <c r="BM67" s="3">
        <v>2.8900999999999999</v>
      </c>
      <c r="BN67" s="3">
        <v>2.8900999999999999</v>
      </c>
      <c r="BO67" s="3">
        <v>2.8900999999999999</v>
      </c>
      <c r="BP67" s="3">
        <v>2.8900999999999999</v>
      </c>
      <c r="BQ67" s="3">
        <v>2.8900999999999999</v>
      </c>
      <c r="BR67" s="3"/>
    </row>
    <row r="68" spans="1:70" x14ac:dyDescent="0.3">
      <c r="A68" s="4" t="s">
        <v>212</v>
      </c>
      <c r="B68" s="4" t="s">
        <v>213</v>
      </c>
      <c r="C68" s="5" t="s">
        <v>112</v>
      </c>
      <c r="D68" s="4" t="s">
        <v>77</v>
      </c>
      <c r="E68" s="4" t="s">
        <v>11</v>
      </c>
      <c r="F68" s="7"/>
      <c r="G68" s="4" t="s">
        <v>140</v>
      </c>
      <c r="H68" s="4">
        <v>0</v>
      </c>
      <c r="I68" s="3">
        <v>1</v>
      </c>
      <c r="J68" s="3">
        <v>1</v>
      </c>
      <c r="K68" s="3">
        <v>1</v>
      </c>
      <c r="L68" s="3">
        <v>1</v>
      </c>
      <c r="M68" s="3">
        <v>1</v>
      </c>
      <c r="N68" s="3">
        <v>1</v>
      </c>
      <c r="O68" s="3">
        <v>1</v>
      </c>
      <c r="P68" s="3">
        <v>1</v>
      </c>
      <c r="Q68" s="3">
        <v>1</v>
      </c>
      <c r="R68" s="3">
        <v>1</v>
      </c>
      <c r="S68" s="3">
        <v>1</v>
      </c>
      <c r="T68" s="3">
        <v>1</v>
      </c>
      <c r="U68" s="3">
        <v>1</v>
      </c>
      <c r="V68" s="3">
        <v>1</v>
      </c>
      <c r="W68" s="3">
        <v>1</v>
      </c>
      <c r="X68" s="3">
        <v>1</v>
      </c>
      <c r="Y68" s="3">
        <v>1</v>
      </c>
      <c r="Z68" s="3">
        <v>1</v>
      </c>
      <c r="AA68" s="3">
        <v>1</v>
      </c>
      <c r="AB68" s="3">
        <v>1</v>
      </c>
      <c r="AC68" s="3">
        <v>1</v>
      </c>
      <c r="AD68" s="3">
        <v>1</v>
      </c>
      <c r="AE68" s="3">
        <v>1</v>
      </c>
      <c r="AF68" s="3">
        <v>1</v>
      </c>
      <c r="AG68" s="3">
        <v>1</v>
      </c>
      <c r="AH68" s="3">
        <v>1</v>
      </c>
      <c r="AI68" s="3">
        <v>1</v>
      </c>
      <c r="AJ68" s="3">
        <v>1</v>
      </c>
      <c r="AK68" s="3">
        <v>1</v>
      </c>
      <c r="AL68" s="3">
        <v>1</v>
      </c>
      <c r="AM68" s="3">
        <v>1</v>
      </c>
      <c r="AN68" s="3">
        <v>1</v>
      </c>
      <c r="AO68" s="3">
        <v>1</v>
      </c>
      <c r="AP68" s="3">
        <v>1</v>
      </c>
      <c r="AQ68" s="3">
        <v>1</v>
      </c>
      <c r="AR68" s="3">
        <v>1</v>
      </c>
      <c r="AS68" s="3">
        <v>1</v>
      </c>
      <c r="AT68" s="3">
        <v>1</v>
      </c>
      <c r="AU68" s="3">
        <v>1</v>
      </c>
      <c r="AV68" s="3">
        <v>1</v>
      </c>
      <c r="AW68" s="3">
        <v>1</v>
      </c>
      <c r="AX68" s="3">
        <v>1</v>
      </c>
      <c r="AY68" s="3">
        <v>1</v>
      </c>
      <c r="AZ68" s="3">
        <v>1</v>
      </c>
      <c r="BA68" s="3">
        <v>1</v>
      </c>
      <c r="BB68" s="3">
        <v>1</v>
      </c>
      <c r="BC68" s="3">
        <v>1</v>
      </c>
      <c r="BD68" s="3">
        <v>1</v>
      </c>
      <c r="BE68" s="3">
        <v>1</v>
      </c>
      <c r="BF68" s="3">
        <v>1</v>
      </c>
      <c r="BG68" s="3">
        <v>1</v>
      </c>
      <c r="BH68" s="3">
        <v>1</v>
      </c>
      <c r="BI68" s="3">
        <v>1</v>
      </c>
      <c r="BJ68" s="3">
        <v>1</v>
      </c>
      <c r="BK68" s="3">
        <v>1</v>
      </c>
      <c r="BL68" s="3">
        <v>1</v>
      </c>
      <c r="BM68" s="3">
        <v>1</v>
      </c>
      <c r="BN68" s="3">
        <v>1</v>
      </c>
      <c r="BO68" s="3">
        <v>1</v>
      </c>
      <c r="BP68" s="3">
        <v>1</v>
      </c>
      <c r="BQ68" s="3">
        <v>1</v>
      </c>
      <c r="BR68" s="3"/>
    </row>
    <row r="69" spans="1:70" x14ac:dyDescent="0.3">
      <c r="A69" s="5" t="s">
        <v>208</v>
      </c>
      <c r="B69" s="5" t="s">
        <v>209</v>
      </c>
      <c r="C69" s="5" t="s">
        <v>15</v>
      </c>
      <c r="D69" s="5" t="s">
        <v>16</v>
      </c>
      <c r="E69" s="5" t="s">
        <v>139</v>
      </c>
      <c r="F69" s="7" t="s">
        <v>181</v>
      </c>
      <c r="G69" s="5" t="s">
        <v>140</v>
      </c>
      <c r="H69" s="5">
        <v>0</v>
      </c>
      <c r="I69" s="3">
        <v>4.4737</v>
      </c>
      <c r="J69" s="3">
        <v>2.8483000000000001</v>
      </c>
      <c r="K69" s="3">
        <v>2.0367999999999999</v>
      </c>
      <c r="L69" s="3">
        <v>2.2496999999999998</v>
      </c>
      <c r="M69" s="3">
        <v>2.2671999999999999</v>
      </c>
      <c r="N69" s="3">
        <v>2.6036000000000001</v>
      </c>
      <c r="O69" s="3">
        <v>2.5731000000000002</v>
      </c>
      <c r="P69" s="3">
        <v>2.2151999999999998</v>
      </c>
      <c r="Q69" s="3">
        <v>2.7423999999999999</v>
      </c>
      <c r="R69" s="3">
        <v>2.9929999999999999</v>
      </c>
      <c r="S69" s="3">
        <v>2.9348999999999998</v>
      </c>
      <c r="T69" s="3">
        <v>2.8900999999999999</v>
      </c>
      <c r="U69" s="3">
        <v>2.8900999999999999</v>
      </c>
      <c r="V69" s="3">
        <v>2.8900999999999999</v>
      </c>
      <c r="W69" s="3">
        <v>2.8900999999999999</v>
      </c>
      <c r="X69" s="3">
        <v>2.8900999999999999</v>
      </c>
      <c r="Y69" s="3">
        <v>2.8900999999999999</v>
      </c>
      <c r="Z69" s="3">
        <v>2.8900999999999999</v>
      </c>
      <c r="AA69" s="3">
        <v>2.8900999999999999</v>
      </c>
      <c r="AB69" s="3">
        <v>2.8900999999999999</v>
      </c>
      <c r="AC69" s="3">
        <v>2.8900999999999999</v>
      </c>
      <c r="AD69" s="3">
        <v>2.8900999999999999</v>
      </c>
      <c r="AE69" s="3">
        <v>2.8900999999999999</v>
      </c>
      <c r="AF69" s="3">
        <v>2.8900999999999999</v>
      </c>
      <c r="AG69" s="3">
        <v>2.8900999999999999</v>
      </c>
      <c r="AH69" s="3">
        <v>2.8900999999999999</v>
      </c>
      <c r="AI69" s="3">
        <v>2.8900999999999999</v>
      </c>
      <c r="AJ69" s="3">
        <v>2.8900999999999999</v>
      </c>
      <c r="AK69" s="3">
        <v>2.8900999999999999</v>
      </c>
      <c r="AL69" s="3">
        <v>2.8900999999999999</v>
      </c>
      <c r="AM69" s="3">
        <v>2.8900999999999999</v>
      </c>
      <c r="AN69" s="3">
        <v>2.8900999999999999</v>
      </c>
      <c r="AO69" s="3">
        <v>2.8900999999999999</v>
      </c>
      <c r="AP69" s="3">
        <v>2.8900999999999999</v>
      </c>
      <c r="AQ69" s="3">
        <v>2.8900999999999999</v>
      </c>
      <c r="AR69" s="3">
        <v>2.8900999999999999</v>
      </c>
      <c r="AS69" s="3">
        <v>2.8900999999999999</v>
      </c>
      <c r="AT69" s="3">
        <v>2.8900999999999999</v>
      </c>
      <c r="AU69" s="3">
        <v>2.8900999999999999</v>
      </c>
      <c r="AV69" s="3">
        <v>2.8900999999999999</v>
      </c>
      <c r="AW69" s="3">
        <v>2.8900999999999999</v>
      </c>
      <c r="AX69" s="3">
        <v>2.8900999999999999</v>
      </c>
      <c r="AY69" s="3">
        <v>2.8900999999999999</v>
      </c>
      <c r="AZ69" s="3">
        <v>2.8900999999999999</v>
      </c>
      <c r="BA69" s="3">
        <v>2.8900999999999999</v>
      </c>
      <c r="BB69" s="3">
        <v>2.8900999999999999</v>
      </c>
      <c r="BC69" s="3">
        <v>2.8900999999999999</v>
      </c>
      <c r="BD69" s="3">
        <v>2.8900999999999999</v>
      </c>
      <c r="BE69" s="3">
        <v>2.8900999999999999</v>
      </c>
      <c r="BF69" s="3">
        <v>2.8900999999999999</v>
      </c>
      <c r="BG69" s="3">
        <v>2.8900999999999999</v>
      </c>
      <c r="BH69" s="3">
        <v>2.8900999999999999</v>
      </c>
      <c r="BI69" s="3">
        <v>2.8900999999999999</v>
      </c>
      <c r="BJ69" s="3">
        <v>2.8900999999999999</v>
      </c>
      <c r="BK69" s="3">
        <v>2.8900999999999999</v>
      </c>
      <c r="BL69" s="3">
        <v>2.8900999999999999</v>
      </c>
      <c r="BM69" s="3">
        <v>2.8900999999999999</v>
      </c>
      <c r="BN69" s="3">
        <v>2.8900999999999999</v>
      </c>
      <c r="BO69" s="3">
        <v>2.8900999999999999</v>
      </c>
      <c r="BP69" s="3">
        <v>2.8900999999999999</v>
      </c>
      <c r="BQ69" s="3">
        <v>2.8900999999999999</v>
      </c>
      <c r="BR69" s="3"/>
    </row>
    <row r="70" spans="1:70" x14ac:dyDescent="0.3">
      <c r="A70" s="4" t="s">
        <v>208</v>
      </c>
      <c r="B70" s="4" t="s">
        <v>209</v>
      </c>
      <c r="C70" s="5" t="s">
        <v>112</v>
      </c>
      <c r="D70" s="4" t="s">
        <v>77</v>
      </c>
      <c r="E70" s="4" t="s">
        <v>11</v>
      </c>
      <c r="F70" s="7"/>
      <c r="G70" s="4" t="s">
        <v>140</v>
      </c>
      <c r="H70" s="4">
        <v>0</v>
      </c>
      <c r="I70" s="3">
        <v>1</v>
      </c>
      <c r="J70" s="3">
        <v>1</v>
      </c>
      <c r="K70" s="3">
        <v>1</v>
      </c>
      <c r="L70" s="3">
        <v>1</v>
      </c>
      <c r="M70" s="3">
        <v>1</v>
      </c>
      <c r="N70" s="3">
        <v>1</v>
      </c>
      <c r="O70" s="3">
        <v>1</v>
      </c>
      <c r="P70" s="3">
        <v>1</v>
      </c>
      <c r="Q70" s="3">
        <v>1</v>
      </c>
      <c r="R70" s="3">
        <v>1</v>
      </c>
      <c r="S70" s="3">
        <v>1</v>
      </c>
      <c r="T70" s="3">
        <v>1</v>
      </c>
      <c r="U70" s="3">
        <v>1</v>
      </c>
      <c r="V70" s="3">
        <v>1</v>
      </c>
      <c r="W70" s="3">
        <v>1</v>
      </c>
      <c r="X70" s="3">
        <v>1</v>
      </c>
      <c r="Y70" s="3">
        <v>1</v>
      </c>
      <c r="Z70" s="3">
        <v>1</v>
      </c>
      <c r="AA70" s="3">
        <v>1</v>
      </c>
      <c r="AB70" s="3">
        <v>1</v>
      </c>
      <c r="AC70" s="3">
        <v>1</v>
      </c>
      <c r="AD70" s="3">
        <v>1</v>
      </c>
      <c r="AE70" s="3">
        <v>1</v>
      </c>
      <c r="AF70" s="3">
        <v>1</v>
      </c>
      <c r="AG70" s="3">
        <v>1</v>
      </c>
      <c r="AH70" s="3">
        <v>1</v>
      </c>
      <c r="AI70" s="3">
        <v>1</v>
      </c>
      <c r="AJ70" s="3">
        <v>1</v>
      </c>
      <c r="AK70" s="3">
        <v>1</v>
      </c>
      <c r="AL70" s="3">
        <v>1</v>
      </c>
      <c r="AM70" s="3">
        <v>1</v>
      </c>
      <c r="AN70" s="3">
        <v>1</v>
      </c>
      <c r="AO70" s="3">
        <v>1</v>
      </c>
      <c r="AP70" s="3">
        <v>1</v>
      </c>
      <c r="AQ70" s="3">
        <v>1</v>
      </c>
      <c r="AR70" s="3">
        <v>1</v>
      </c>
      <c r="AS70" s="3">
        <v>1</v>
      </c>
      <c r="AT70" s="3">
        <v>1</v>
      </c>
      <c r="AU70" s="3">
        <v>1</v>
      </c>
      <c r="AV70" s="3">
        <v>1</v>
      </c>
      <c r="AW70" s="3">
        <v>1</v>
      </c>
      <c r="AX70" s="3">
        <v>1</v>
      </c>
      <c r="AY70" s="3">
        <v>1</v>
      </c>
      <c r="AZ70" s="3">
        <v>1</v>
      </c>
      <c r="BA70" s="3">
        <v>1</v>
      </c>
      <c r="BB70" s="3">
        <v>1</v>
      </c>
      <c r="BC70" s="3">
        <v>1</v>
      </c>
      <c r="BD70" s="3">
        <v>1</v>
      </c>
      <c r="BE70" s="3">
        <v>1</v>
      </c>
      <c r="BF70" s="3">
        <v>1</v>
      </c>
      <c r="BG70" s="3">
        <v>1</v>
      </c>
      <c r="BH70" s="3">
        <v>1</v>
      </c>
      <c r="BI70" s="3">
        <v>1</v>
      </c>
      <c r="BJ70" s="3">
        <v>1</v>
      </c>
      <c r="BK70" s="3">
        <v>1</v>
      </c>
      <c r="BL70" s="3">
        <v>1</v>
      </c>
      <c r="BM70" s="3">
        <v>1</v>
      </c>
      <c r="BN70" s="3">
        <v>1</v>
      </c>
      <c r="BO70" s="3">
        <v>1</v>
      </c>
      <c r="BP70" s="3">
        <v>1</v>
      </c>
      <c r="BQ70" s="3">
        <v>1</v>
      </c>
      <c r="BR70" s="3"/>
    </row>
    <row r="71" spans="1:70" x14ac:dyDescent="0.3">
      <c r="A71" s="4" t="s">
        <v>222</v>
      </c>
      <c r="B71" s="4" t="s">
        <v>223</v>
      </c>
      <c r="C71" s="4" t="s">
        <v>15</v>
      </c>
      <c r="D71" s="4" t="s">
        <v>16</v>
      </c>
      <c r="E71" s="4" t="s">
        <v>139</v>
      </c>
      <c r="F71" s="7" t="s">
        <v>181</v>
      </c>
      <c r="G71" s="4" t="s">
        <v>140</v>
      </c>
      <c r="H71" s="4">
        <v>0</v>
      </c>
      <c r="I71" s="3">
        <v>4.4737</v>
      </c>
      <c r="J71" s="3">
        <v>2.8483000000000001</v>
      </c>
      <c r="K71" s="3">
        <v>2.0367999999999999</v>
      </c>
      <c r="L71" s="3">
        <v>2.2496999999999998</v>
      </c>
      <c r="M71" s="3">
        <v>2.2671999999999999</v>
      </c>
      <c r="N71" s="3">
        <v>2.6036000000000001</v>
      </c>
      <c r="O71" s="3">
        <v>2.5731000000000002</v>
      </c>
      <c r="P71" s="3">
        <v>2.2151999999999998</v>
      </c>
      <c r="Q71" s="3">
        <v>2.7423999999999999</v>
      </c>
      <c r="R71" s="3">
        <v>2.9929999999999999</v>
      </c>
      <c r="S71" s="3">
        <v>2.9348999999999998</v>
      </c>
      <c r="T71" s="3">
        <v>2.8900999999999999</v>
      </c>
      <c r="U71" s="3">
        <v>2.8900999999999999</v>
      </c>
      <c r="V71" s="3">
        <v>2.8900999999999999</v>
      </c>
      <c r="W71" s="3">
        <v>2.8900999999999999</v>
      </c>
      <c r="X71" s="3">
        <v>2.8900999999999999</v>
      </c>
      <c r="Y71" s="3">
        <v>2.8900999999999999</v>
      </c>
      <c r="Z71" s="3">
        <v>2.8900999999999999</v>
      </c>
      <c r="AA71" s="3">
        <v>2.8900999999999999</v>
      </c>
      <c r="AB71" s="3">
        <v>2.8900999999999999</v>
      </c>
      <c r="AC71" s="3">
        <v>2.8900999999999999</v>
      </c>
      <c r="AD71" s="3">
        <v>2.8900999999999999</v>
      </c>
      <c r="AE71" s="3">
        <v>2.8900999999999999</v>
      </c>
      <c r="AF71" s="3">
        <v>2.8900999999999999</v>
      </c>
      <c r="AG71" s="3">
        <v>2.8900999999999999</v>
      </c>
      <c r="AH71" s="3">
        <v>2.8900999999999999</v>
      </c>
      <c r="AI71" s="3">
        <v>2.8900999999999999</v>
      </c>
      <c r="AJ71" s="3">
        <v>2.8900999999999999</v>
      </c>
      <c r="AK71" s="3">
        <v>2.8900999999999999</v>
      </c>
      <c r="AL71" s="3">
        <v>2.8900999999999999</v>
      </c>
      <c r="AM71" s="3">
        <v>2.8900999999999999</v>
      </c>
      <c r="AN71" s="3">
        <v>2.8900999999999999</v>
      </c>
      <c r="AO71" s="3">
        <v>2.8900999999999999</v>
      </c>
      <c r="AP71" s="3">
        <v>2.8900999999999999</v>
      </c>
      <c r="AQ71" s="3">
        <v>2.8900999999999999</v>
      </c>
      <c r="AR71" s="3">
        <v>2.8900999999999999</v>
      </c>
      <c r="AS71" s="3">
        <v>2.8900999999999999</v>
      </c>
      <c r="AT71" s="3">
        <v>2.8900999999999999</v>
      </c>
      <c r="AU71" s="3">
        <v>2.8900999999999999</v>
      </c>
      <c r="AV71" s="3">
        <v>2.8900999999999999</v>
      </c>
      <c r="AW71" s="3">
        <v>2.8900999999999999</v>
      </c>
      <c r="AX71" s="3">
        <v>2.8900999999999999</v>
      </c>
      <c r="AY71" s="3">
        <v>2.8900999999999999</v>
      </c>
      <c r="AZ71" s="3">
        <v>2.8900999999999999</v>
      </c>
      <c r="BA71" s="3">
        <v>2.8900999999999999</v>
      </c>
      <c r="BB71" s="3">
        <v>2.8900999999999999</v>
      </c>
      <c r="BC71" s="3">
        <v>2.8900999999999999</v>
      </c>
      <c r="BD71" s="3">
        <v>2.8900999999999999</v>
      </c>
      <c r="BE71" s="3">
        <v>2.8900999999999999</v>
      </c>
      <c r="BF71" s="3">
        <v>2.8900999999999999</v>
      </c>
      <c r="BG71" s="3">
        <v>2.8900999999999999</v>
      </c>
      <c r="BH71" s="3">
        <v>2.8900999999999999</v>
      </c>
      <c r="BI71" s="3">
        <v>2.8900999999999999</v>
      </c>
      <c r="BJ71" s="3">
        <v>2.8900999999999999</v>
      </c>
      <c r="BK71" s="3">
        <v>2.8900999999999999</v>
      </c>
      <c r="BL71" s="3">
        <v>2.8900999999999999</v>
      </c>
      <c r="BM71" s="3">
        <v>2.8900999999999999</v>
      </c>
      <c r="BN71" s="3">
        <v>2.8900999999999999</v>
      </c>
      <c r="BO71" s="3">
        <v>2.8900999999999999</v>
      </c>
      <c r="BP71" s="3">
        <v>2.8900999999999999</v>
      </c>
      <c r="BQ71" s="3">
        <v>2.8900999999999999</v>
      </c>
      <c r="BR71" s="3"/>
    </row>
    <row r="72" spans="1:70" x14ac:dyDescent="0.3">
      <c r="A72" s="5" t="s">
        <v>222</v>
      </c>
      <c r="B72" s="5" t="s">
        <v>223</v>
      </c>
      <c r="C72" s="5" t="s">
        <v>112</v>
      </c>
      <c r="D72" s="5" t="s">
        <v>77</v>
      </c>
      <c r="E72" s="5" t="s">
        <v>11</v>
      </c>
      <c r="F72" s="7"/>
      <c r="G72" s="5" t="s">
        <v>140</v>
      </c>
      <c r="H72" s="5">
        <v>0</v>
      </c>
      <c r="I72" s="3">
        <v>1</v>
      </c>
      <c r="J72" s="3">
        <v>1</v>
      </c>
      <c r="K72" s="3">
        <v>1</v>
      </c>
      <c r="L72" s="3">
        <v>1</v>
      </c>
      <c r="M72" s="3">
        <v>1</v>
      </c>
      <c r="N72" s="3">
        <v>1</v>
      </c>
      <c r="O72" s="3">
        <v>1</v>
      </c>
      <c r="P72" s="3">
        <v>1</v>
      </c>
      <c r="Q72" s="3">
        <v>1</v>
      </c>
      <c r="R72" s="3">
        <v>1</v>
      </c>
      <c r="S72" s="3">
        <v>1</v>
      </c>
      <c r="T72" s="3">
        <v>1</v>
      </c>
      <c r="U72" s="3">
        <v>1</v>
      </c>
      <c r="V72" s="3">
        <v>1</v>
      </c>
      <c r="W72" s="3">
        <v>1</v>
      </c>
      <c r="X72" s="3">
        <v>1</v>
      </c>
      <c r="Y72" s="3">
        <v>1</v>
      </c>
      <c r="Z72" s="3">
        <v>1</v>
      </c>
      <c r="AA72" s="3">
        <v>1</v>
      </c>
      <c r="AB72" s="3">
        <v>1</v>
      </c>
      <c r="AC72" s="3">
        <v>1</v>
      </c>
      <c r="AD72" s="3">
        <v>1</v>
      </c>
      <c r="AE72" s="3">
        <v>1</v>
      </c>
      <c r="AF72" s="3">
        <v>1</v>
      </c>
      <c r="AG72" s="3">
        <v>1</v>
      </c>
      <c r="AH72" s="3">
        <v>1</v>
      </c>
      <c r="AI72" s="3">
        <v>1</v>
      </c>
      <c r="AJ72" s="3">
        <v>1</v>
      </c>
      <c r="AK72" s="3">
        <v>1</v>
      </c>
      <c r="AL72" s="3">
        <v>1</v>
      </c>
      <c r="AM72" s="3">
        <v>1</v>
      </c>
      <c r="AN72" s="3">
        <v>1</v>
      </c>
      <c r="AO72" s="3">
        <v>1</v>
      </c>
      <c r="AP72" s="3">
        <v>1</v>
      </c>
      <c r="AQ72" s="3">
        <v>1</v>
      </c>
      <c r="AR72" s="3">
        <v>1</v>
      </c>
      <c r="AS72" s="3">
        <v>1</v>
      </c>
      <c r="AT72" s="3">
        <v>1</v>
      </c>
      <c r="AU72" s="3">
        <v>1</v>
      </c>
      <c r="AV72" s="3">
        <v>1</v>
      </c>
      <c r="AW72" s="3">
        <v>1</v>
      </c>
      <c r="AX72" s="3">
        <v>1</v>
      </c>
      <c r="AY72" s="3">
        <v>1</v>
      </c>
      <c r="AZ72" s="3">
        <v>1</v>
      </c>
      <c r="BA72" s="3">
        <v>1</v>
      </c>
      <c r="BB72" s="3">
        <v>1</v>
      </c>
      <c r="BC72" s="3">
        <v>1</v>
      </c>
      <c r="BD72" s="3">
        <v>1</v>
      </c>
      <c r="BE72" s="3">
        <v>1</v>
      </c>
      <c r="BF72" s="3">
        <v>1</v>
      </c>
      <c r="BG72" s="3">
        <v>1</v>
      </c>
      <c r="BH72" s="3">
        <v>1</v>
      </c>
      <c r="BI72" s="3">
        <v>1</v>
      </c>
      <c r="BJ72" s="3">
        <v>1</v>
      </c>
      <c r="BK72" s="3">
        <v>1</v>
      </c>
      <c r="BL72" s="3">
        <v>1</v>
      </c>
      <c r="BM72" s="3">
        <v>1</v>
      </c>
      <c r="BN72" s="3">
        <v>1</v>
      </c>
      <c r="BO72" s="3">
        <v>1</v>
      </c>
      <c r="BP72" s="3">
        <v>1</v>
      </c>
      <c r="BQ72" s="3">
        <v>1</v>
      </c>
      <c r="BR72" s="3"/>
    </row>
    <row r="73" spans="1:70" x14ac:dyDescent="0.3">
      <c r="A73" s="5" t="s">
        <v>220</v>
      </c>
      <c r="B73" s="5" t="s">
        <v>221</v>
      </c>
      <c r="C73" s="5" t="s">
        <v>15</v>
      </c>
      <c r="D73" s="5" t="s">
        <v>16</v>
      </c>
      <c r="E73" s="5" t="s">
        <v>139</v>
      </c>
      <c r="F73" s="7" t="s">
        <v>181</v>
      </c>
      <c r="G73" s="5" t="s">
        <v>140</v>
      </c>
      <c r="H73" s="5">
        <v>0</v>
      </c>
      <c r="I73" s="3">
        <v>4.4737</v>
      </c>
      <c r="J73" s="3">
        <v>2.8483000000000001</v>
      </c>
      <c r="K73" s="3">
        <v>2.0367999999999999</v>
      </c>
      <c r="L73" s="3">
        <v>2.2496999999999998</v>
      </c>
      <c r="M73" s="3">
        <v>2.2671999999999999</v>
      </c>
      <c r="N73" s="3">
        <v>2.6036000000000001</v>
      </c>
      <c r="O73" s="3">
        <v>2.5731000000000002</v>
      </c>
      <c r="P73" s="3">
        <v>2.2151999999999998</v>
      </c>
      <c r="Q73" s="3">
        <v>2.7423999999999999</v>
      </c>
      <c r="R73" s="3">
        <v>2.9929999999999999</v>
      </c>
      <c r="S73" s="3">
        <v>2.9348999999999998</v>
      </c>
      <c r="T73" s="3">
        <v>2.8900999999999999</v>
      </c>
      <c r="U73" s="3">
        <v>2.8900999999999999</v>
      </c>
      <c r="V73" s="3">
        <v>2.8900999999999999</v>
      </c>
      <c r="W73" s="3">
        <v>2.8900999999999999</v>
      </c>
      <c r="X73" s="3">
        <v>2.8900999999999999</v>
      </c>
      <c r="Y73" s="3">
        <v>2.8900999999999999</v>
      </c>
      <c r="Z73" s="3">
        <v>2.8900999999999999</v>
      </c>
      <c r="AA73" s="3">
        <v>2.8900999999999999</v>
      </c>
      <c r="AB73" s="3">
        <v>2.8900999999999999</v>
      </c>
      <c r="AC73" s="3">
        <v>2.8900999999999999</v>
      </c>
      <c r="AD73" s="3">
        <v>2.8900999999999999</v>
      </c>
      <c r="AE73" s="3">
        <v>2.8900999999999999</v>
      </c>
      <c r="AF73" s="3">
        <v>2.8900999999999999</v>
      </c>
      <c r="AG73" s="3">
        <v>2.8900999999999999</v>
      </c>
      <c r="AH73" s="3">
        <v>2.8900999999999999</v>
      </c>
      <c r="AI73" s="3">
        <v>2.8900999999999999</v>
      </c>
      <c r="AJ73" s="3">
        <v>2.8900999999999999</v>
      </c>
      <c r="AK73" s="3">
        <v>2.8900999999999999</v>
      </c>
      <c r="AL73" s="3">
        <v>2.8900999999999999</v>
      </c>
      <c r="AM73" s="3">
        <v>2.8900999999999999</v>
      </c>
      <c r="AN73" s="3">
        <v>2.8900999999999999</v>
      </c>
      <c r="AO73" s="3">
        <v>2.8900999999999999</v>
      </c>
      <c r="AP73" s="3">
        <v>2.8900999999999999</v>
      </c>
      <c r="AQ73" s="3">
        <v>2.8900999999999999</v>
      </c>
      <c r="AR73" s="3">
        <v>2.8900999999999999</v>
      </c>
      <c r="AS73" s="3">
        <v>2.8900999999999999</v>
      </c>
      <c r="AT73" s="3">
        <v>2.8900999999999999</v>
      </c>
      <c r="AU73" s="3">
        <v>2.8900999999999999</v>
      </c>
      <c r="AV73" s="3">
        <v>2.8900999999999999</v>
      </c>
      <c r="AW73" s="3">
        <v>2.8900999999999999</v>
      </c>
      <c r="AX73" s="3">
        <v>2.8900999999999999</v>
      </c>
      <c r="AY73" s="3">
        <v>2.8900999999999999</v>
      </c>
      <c r="AZ73" s="3">
        <v>2.8900999999999999</v>
      </c>
      <c r="BA73" s="3">
        <v>2.8900999999999999</v>
      </c>
      <c r="BB73" s="3">
        <v>2.8900999999999999</v>
      </c>
      <c r="BC73" s="3">
        <v>2.8900999999999999</v>
      </c>
      <c r="BD73" s="3">
        <v>2.8900999999999999</v>
      </c>
      <c r="BE73" s="3">
        <v>2.8900999999999999</v>
      </c>
      <c r="BF73" s="3">
        <v>2.8900999999999999</v>
      </c>
      <c r="BG73" s="3">
        <v>2.8900999999999999</v>
      </c>
      <c r="BH73" s="3">
        <v>2.8900999999999999</v>
      </c>
      <c r="BI73" s="3">
        <v>2.8900999999999999</v>
      </c>
      <c r="BJ73" s="3">
        <v>2.8900999999999999</v>
      </c>
      <c r="BK73" s="3">
        <v>2.8900999999999999</v>
      </c>
      <c r="BL73" s="3">
        <v>2.8900999999999999</v>
      </c>
      <c r="BM73" s="3">
        <v>2.8900999999999999</v>
      </c>
      <c r="BN73" s="3">
        <v>2.8900999999999999</v>
      </c>
      <c r="BO73" s="3">
        <v>2.8900999999999999</v>
      </c>
      <c r="BP73" s="3">
        <v>2.8900999999999999</v>
      </c>
      <c r="BQ73" s="3">
        <v>2.8900999999999999</v>
      </c>
      <c r="BR73" s="3"/>
    </row>
    <row r="74" spans="1:70" x14ac:dyDescent="0.3">
      <c r="A74" s="4" t="s">
        <v>220</v>
      </c>
      <c r="B74" s="4" t="s">
        <v>221</v>
      </c>
      <c r="C74" s="5" t="s">
        <v>112</v>
      </c>
      <c r="D74" s="4" t="s">
        <v>77</v>
      </c>
      <c r="E74" s="4" t="s">
        <v>11</v>
      </c>
      <c r="F74" s="7"/>
      <c r="G74" s="4" t="s">
        <v>140</v>
      </c>
      <c r="H74" s="4">
        <v>0</v>
      </c>
      <c r="I74" s="3">
        <v>1</v>
      </c>
      <c r="J74" s="3">
        <v>1</v>
      </c>
      <c r="K74" s="3">
        <v>1</v>
      </c>
      <c r="L74" s="3">
        <v>1</v>
      </c>
      <c r="M74" s="3">
        <v>1</v>
      </c>
      <c r="N74" s="3">
        <v>1</v>
      </c>
      <c r="O74" s="3">
        <v>1</v>
      </c>
      <c r="P74" s="3">
        <v>1</v>
      </c>
      <c r="Q74" s="3">
        <v>1</v>
      </c>
      <c r="R74" s="3">
        <v>1</v>
      </c>
      <c r="S74" s="3">
        <v>1</v>
      </c>
      <c r="T74" s="3">
        <v>1</v>
      </c>
      <c r="U74" s="3">
        <v>1</v>
      </c>
      <c r="V74" s="3">
        <v>1</v>
      </c>
      <c r="W74" s="3">
        <v>1</v>
      </c>
      <c r="X74" s="3">
        <v>1</v>
      </c>
      <c r="Y74" s="3">
        <v>1</v>
      </c>
      <c r="Z74" s="3">
        <v>1</v>
      </c>
      <c r="AA74" s="3">
        <v>1</v>
      </c>
      <c r="AB74" s="3">
        <v>1</v>
      </c>
      <c r="AC74" s="3">
        <v>1</v>
      </c>
      <c r="AD74" s="3">
        <v>1</v>
      </c>
      <c r="AE74" s="3">
        <v>1</v>
      </c>
      <c r="AF74" s="3">
        <v>1</v>
      </c>
      <c r="AG74" s="3">
        <v>1</v>
      </c>
      <c r="AH74" s="3">
        <v>1</v>
      </c>
      <c r="AI74" s="3">
        <v>1</v>
      </c>
      <c r="AJ74" s="3">
        <v>1</v>
      </c>
      <c r="AK74" s="3">
        <v>1</v>
      </c>
      <c r="AL74" s="3">
        <v>1</v>
      </c>
      <c r="AM74" s="3">
        <v>1</v>
      </c>
      <c r="AN74" s="3">
        <v>1</v>
      </c>
      <c r="AO74" s="3">
        <v>1</v>
      </c>
      <c r="AP74" s="3">
        <v>1</v>
      </c>
      <c r="AQ74" s="3">
        <v>1</v>
      </c>
      <c r="AR74" s="3">
        <v>1</v>
      </c>
      <c r="AS74" s="3">
        <v>1</v>
      </c>
      <c r="AT74" s="3">
        <v>1</v>
      </c>
      <c r="AU74" s="3">
        <v>1</v>
      </c>
      <c r="AV74" s="3">
        <v>1</v>
      </c>
      <c r="AW74" s="3">
        <v>1</v>
      </c>
      <c r="AX74" s="3">
        <v>1</v>
      </c>
      <c r="AY74" s="3">
        <v>1</v>
      </c>
      <c r="AZ74" s="3">
        <v>1</v>
      </c>
      <c r="BA74" s="3">
        <v>1</v>
      </c>
      <c r="BB74" s="3">
        <v>1</v>
      </c>
      <c r="BC74" s="3">
        <v>1</v>
      </c>
      <c r="BD74" s="3">
        <v>1</v>
      </c>
      <c r="BE74" s="3">
        <v>1</v>
      </c>
      <c r="BF74" s="3">
        <v>1</v>
      </c>
      <c r="BG74" s="3">
        <v>1</v>
      </c>
      <c r="BH74" s="3">
        <v>1</v>
      </c>
      <c r="BI74" s="3">
        <v>1</v>
      </c>
      <c r="BJ74" s="3">
        <v>1</v>
      </c>
      <c r="BK74" s="3">
        <v>1</v>
      </c>
      <c r="BL74" s="3">
        <v>1</v>
      </c>
      <c r="BM74" s="3">
        <v>1</v>
      </c>
      <c r="BN74" s="3">
        <v>1</v>
      </c>
      <c r="BO74" s="3">
        <v>1</v>
      </c>
      <c r="BP74" s="3">
        <v>1</v>
      </c>
      <c r="BQ74" s="3">
        <v>1</v>
      </c>
      <c r="BR74" s="3"/>
    </row>
    <row r="75" spans="1:70" x14ac:dyDescent="0.3">
      <c r="A75" s="4" t="s">
        <v>721</v>
      </c>
      <c r="B75" s="4" t="s">
        <v>722</v>
      </c>
      <c r="C75" s="4" t="s">
        <v>31</v>
      </c>
      <c r="D75" s="4" t="s">
        <v>157</v>
      </c>
      <c r="E75" s="4" t="s">
        <v>139</v>
      </c>
      <c r="F75" s="7" t="s">
        <v>181</v>
      </c>
      <c r="G75" s="4" t="s">
        <v>140</v>
      </c>
      <c r="H75" s="4">
        <v>0</v>
      </c>
      <c r="I75" s="3">
        <v>3.5398000000000001</v>
      </c>
      <c r="J75" s="3">
        <v>4.6566000000000001</v>
      </c>
      <c r="K75" s="3">
        <v>4.8483999999999998</v>
      </c>
      <c r="L75" s="3">
        <v>4.6292</v>
      </c>
      <c r="M75" s="3">
        <v>4.7725</v>
      </c>
      <c r="N75" s="3">
        <v>4.3602999999999996</v>
      </c>
      <c r="O75" s="3">
        <v>3.677</v>
      </c>
      <c r="P75" s="3">
        <v>3.0716000000000001</v>
      </c>
      <c r="Q75" s="3">
        <v>2.6568999999999998</v>
      </c>
      <c r="R75" s="3">
        <v>2.6916000000000002</v>
      </c>
      <c r="S75" s="3">
        <v>2.6871</v>
      </c>
      <c r="T75" s="3">
        <v>2.6785000000000001</v>
      </c>
      <c r="U75" s="3">
        <v>2.6785000000000001</v>
      </c>
      <c r="V75" s="3">
        <v>2.6785000000000001</v>
      </c>
      <c r="W75" s="3">
        <v>2.6785000000000001</v>
      </c>
      <c r="X75" s="3">
        <v>2.6785000000000001</v>
      </c>
      <c r="Y75" s="3">
        <v>2.6785000000000001</v>
      </c>
      <c r="Z75" s="3">
        <v>2.6785000000000001</v>
      </c>
      <c r="AA75" s="3">
        <v>2.6785000000000001</v>
      </c>
      <c r="AB75" s="3">
        <v>2.6785000000000001</v>
      </c>
      <c r="AC75" s="3">
        <v>2.6785000000000001</v>
      </c>
      <c r="AD75" s="3">
        <v>2.6785000000000001</v>
      </c>
      <c r="AE75" s="3">
        <v>2.6785000000000001</v>
      </c>
      <c r="AF75" s="3">
        <v>2.6785000000000001</v>
      </c>
      <c r="AG75" s="3">
        <v>2.6785000000000001</v>
      </c>
      <c r="AH75" s="3">
        <v>2.6785000000000001</v>
      </c>
      <c r="AI75" s="3">
        <v>2.6785000000000001</v>
      </c>
      <c r="AJ75" s="3">
        <v>2.6785000000000001</v>
      </c>
      <c r="AK75" s="3">
        <v>2.6785000000000001</v>
      </c>
      <c r="AL75" s="3">
        <v>2.6785000000000001</v>
      </c>
      <c r="AM75" s="3">
        <v>2.6785000000000001</v>
      </c>
      <c r="AN75" s="3">
        <v>2.6785000000000001</v>
      </c>
      <c r="AO75" s="3">
        <v>2.6785000000000001</v>
      </c>
      <c r="AP75" s="3">
        <v>2.6785000000000001</v>
      </c>
      <c r="AQ75" s="3">
        <v>2.6785000000000001</v>
      </c>
      <c r="AR75" s="3">
        <v>2.6785000000000001</v>
      </c>
      <c r="AS75" s="3">
        <v>2.6785000000000001</v>
      </c>
      <c r="AT75" s="3">
        <v>2.6785000000000001</v>
      </c>
      <c r="AU75" s="3">
        <v>2.6785000000000001</v>
      </c>
      <c r="AV75" s="3">
        <v>2.6785000000000001</v>
      </c>
      <c r="AW75" s="3">
        <v>2.6785000000000001</v>
      </c>
      <c r="AX75" s="3">
        <v>2.6785000000000001</v>
      </c>
      <c r="AY75" s="3">
        <v>2.6785000000000001</v>
      </c>
      <c r="AZ75" s="3">
        <v>2.6785000000000001</v>
      </c>
      <c r="BA75" s="3">
        <v>2.6785000000000001</v>
      </c>
      <c r="BB75" s="3">
        <v>2.6785000000000001</v>
      </c>
      <c r="BC75" s="3">
        <v>2.6785000000000001</v>
      </c>
      <c r="BD75" s="3">
        <v>2.6785000000000001</v>
      </c>
      <c r="BE75" s="3">
        <v>2.6785000000000001</v>
      </c>
      <c r="BF75" s="3">
        <v>2.6785000000000001</v>
      </c>
      <c r="BG75" s="3">
        <v>2.6785000000000001</v>
      </c>
      <c r="BH75" s="3">
        <v>2.6785000000000001</v>
      </c>
      <c r="BI75" s="3">
        <v>2.6785000000000001</v>
      </c>
      <c r="BJ75" s="3">
        <v>2.6785000000000001</v>
      </c>
      <c r="BK75" s="3">
        <v>2.6785000000000001</v>
      </c>
      <c r="BL75" s="3">
        <v>2.6785000000000001</v>
      </c>
      <c r="BM75" s="3">
        <v>2.6785000000000001</v>
      </c>
      <c r="BN75" s="3">
        <v>2.6785000000000001</v>
      </c>
      <c r="BO75" s="3">
        <v>2.6785000000000001</v>
      </c>
      <c r="BP75" s="3">
        <v>2.6785000000000001</v>
      </c>
      <c r="BQ75" s="3">
        <v>2.6785000000000001</v>
      </c>
      <c r="BR75" s="3"/>
    </row>
    <row r="76" spans="1:70" x14ac:dyDescent="0.3">
      <c r="A76" s="5" t="s">
        <v>721</v>
      </c>
      <c r="B76" s="5" t="s">
        <v>722</v>
      </c>
      <c r="C76" s="5" t="s">
        <v>112</v>
      </c>
      <c r="D76" s="5" t="s">
        <v>77</v>
      </c>
      <c r="E76" s="5" t="s">
        <v>11</v>
      </c>
      <c r="F76" s="7"/>
      <c r="G76" s="5" t="s">
        <v>140</v>
      </c>
      <c r="H76" s="5">
        <v>0</v>
      </c>
      <c r="I76" s="3">
        <v>1</v>
      </c>
      <c r="J76" s="3">
        <v>1</v>
      </c>
      <c r="K76" s="3">
        <v>1</v>
      </c>
      <c r="L76" s="3">
        <v>1</v>
      </c>
      <c r="M76" s="3">
        <v>1</v>
      </c>
      <c r="N76" s="3">
        <v>1</v>
      </c>
      <c r="O76" s="3">
        <v>1</v>
      </c>
      <c r="P76" s="3">
        <v>1</v>
      </c>
      <c r="Q76" s="3">
        <v>1</v>
      </c>
      <c r="R76" s="3">
        <v>1</v>
      </c>
      <c r="S76" s="3">
        <v>1</v>
      </c>
      <c r="T76" s="3">
        <v>1</v>
      </c>
      <c r="U76" s="3">
        <v>1</v>
      </c>
      <c r="V76" s="3">
        <v>1</v>
      </c>
      <c r="W76" s="3">
        <v>1</v>
      </c>
      <c r="X76" s="3">
        <v>1</v>
      </c>
      <c r="Y76" s="3">
        <v>1</v>
      </c>
      <c r="Z76" s="3">
        <v>1</v>
      </c>
      <c r="AA76" s="3">
        <v>1</v>
      </c>
      <c r="AB76" s="3">
        <v>1</v>
      </c>
      <c r="AC76" s="3">
        <v>1</v>
      </c>
      <c r="AD76" s="3">
        <v>1</v>
      </c>
      <c r="AE76" s="3">
        <v>1</v>
      </c>
      <c r="AF76" s="3">
        <v>1</v>
      </c>
      <c r="AG76" s="3">
        <v>1</v>
      </c>
      <c r="AH76" s="3">
        <v>1</v>
      </c>
      <c r="AI76" s="3">
        <v>1</v>
      </c>
      <c r="AJ76" s="3">
        <v>1</v>
      </c>
      <c r="AK76" s="3">
        <v>1</v>
      </c>
      <c r="AL76" s="3">
        <v>1</v>
      </c>
      <c r="AM76" s="3">
        <v>1</v>
      </c>
      <c r="AN76" s="3">
        <v>1</v>
      </c>
      <c r="AO76" s="3">
        <v>1</v>
      </c>
      <c r="AP76" s="3">
        <v>1</v>
      </c>
      <c r="AQ76" s="3">
        <v>1</v>
      </c>
      <c r="AR76" s="3">
        <v>1</v>
      </c>
      <c r="AS76" s="3">
        <v>1</v>
      </c>
      <c r="AT76" s="3">
        <v>1</v>
      </c>
      <c r="AU76" s="3">
        <v>1</v>
      </c>
      <c r="AV76" s="3">
        <v>1</v>
      </c>
      <c r="AW76" s="3">
        <v>1</v>
      </c>
      <c r="AX76" s="3">
        <v>1</v>
      </c>
      <c r="AY76" s="3">
        <v>1</v>
      </c>
      <c r="AZ76" s="3">
        <v>1</v>
      </c>
      <c r="BA76" s="3">
        <v>1</v>
      </c>
      <c r="BB76" s="3">
        <v>1</v>
      </c>
      <c r="BC76" s="3">
        <v>1</v>
      </c>
      <c r="BD76" s="3">
        <v>1</v>
      </c>
      <c r="BE76" s="3">
        <v>1</v>
      </c>
      <c r="BF76" s="3">
        <v>1</v>
      </c>
      <c r="BG76" s="3">
        <v>1</v>
      </c>
      <c r="BH76" s="3">
        <v>1</v>
      </c>
      <c r="BI76" s="3">
        <v>1</v>
      </c>
      <c r="BJ76" s="3">
        <v>1</v>
      </c>
      <c r="BK76" s="3">
        <v>1</v>
      </c>
      <c r="BL76" s="3">
        <v>1</v>
      </c>
      <c r="BM76" s="3">
        <v>1</v>
      </c>
      <c r="BN76" s="3">
        <v>1</v>
      </c>
      <c r="BO76" s="3">
        <v>1</v>
      </c>
      <c r="BP76" s="3">
        <v>1</v>
      </c>
      <c r="BQ76" s="3">
        <v>1</v>
      </c>
      <c r="BR76" s="3"/>
    </row>
    <row r="77" spans="1:70" x14ac:dyDescent="0.3">
      <c r="A77" s="4" t="s">
        <v>226</v>
      </c>
      <c r="B77" s="4" t="s">
        <v>227</v>
      </c>
      <c r="C77" s="14" t="s">
        <v>177</v>
      </c>
      <c r="D77" s="4" t="s">
        <v>727</v>
      </c>
      <c r="E77" s="4" t="s">
        <v>139</v>
      </c>
      <c r="F77" s="7" t="s">
        <v>181</v>
      </c>
      <c r="G77" s="4" t="s">
        <v>140</v>
      </c>
      <c r="H77" s="4">
        <v>0</v>
      </c>
      <c r="I77" s="3">
        <v>2.4211</v>
      </c>
      <c r="J77" s="3">
        <v>2.4921000000000002</v>
      </c>
      <c r="K77" s="3">
        <v>2.895</v>
      </c>
      <c r="L77" s="3">
        <v>2.8003999999999998</v>
      </c>
      <c r="M77" s="3">
        <v>2.7717999999999998</v>
      </c>
      <c r="N77" s="3">
        <v>2.6840999999999999</v>
      </c>
      <c r="O77" s="3">
        <v>3.0941999999999998</v>
      </c>
      <c r="P77" s="3">
        <v>4.0989000000000004</v>
      </c>
      <c r="Q77" s="3">
        <v>3.2932000000000001</v>
      </c>
      <c r="R77" s="3">
        <v>3.1819999999999999</v>
      </c>
      <c r="S77" s="3">
        <v>3.1124000000000001</v>
      </c>
      <c r="T77" s="3">
        <v>3.1959</v>
      </c>
      <c r="U77" s="3">
        <v>3.1959</v>
      </c>
      <c r="V77" s="3">
        <v>3.1959</v>
      </c>
      <c r="W77" s="3">
        <v>3.1959</v>
      </c>
      <c r="X77" s="3">
        <v>3.1959</v>
      </c>
      <c r="Y77" s="3">
        <v>3.1959</v>
      </c>
      <c r="Z77" s="3">
        <v>3.1959</v>
      </c>
      <c r="AA77" s="3">
        <v>3.1959</v>
      </c>
      <c r="AB77" s="3">
        <v>3.1959</v>
      </c>
      <c r="AC77" s="3">
        <v>3.1959</v>
      </c>
      <c r="AD77" s="3">
        <v>3.1959</v>
      </c>
      <c r="AE77" s="3">
        <v>3.1959</v>
      </c>
      <c r="AF77" s="3">
        <v>3.1959</v>
      </c>
      <c r="AG77" s="3">
        <v>3.1959</v>
      </c>
      <c r="AH77" s="3">
        <v>3.1959</v>
      </c>
      <c r="AI77" s="3">
        <v>3.1959</v>
      </c>
      <c r="AJ77" s="3">
        <v>3.1959</v>
      </c>
      <c r="AK77" s="3">
        <v>3.1959</v>
      </c>
      <c r="AL77" s="3">
        <v>3.1959</v>
      </c>
      <c r="AM77" s="3">
        <v>3.1959</v>
      </c>
      <c r="AN77" s="3">
        <v>3.1959</v>
      </c>
      <c r="AO77" s="3">
        <v>3.1959</v>
      </c>
      <c r="AP77" s="3">
        <v>3.1959</v>
      </c>
      <c r="AQ77" s="3">
        <v>3.1959</v>
      </c>
      <c r="AR77" s="3">
        <v>3.1959</v>
      </c>
      <c r="AS77" s="3">
        <v>3.1959</v>
      </c>
      <c r="AT77" s="3">
        <v>3.1959</v>
      </c>
      <c r="AU77" s="3">
        <v>3.1959</v>
      </c>
      <c r="AV77" s="3">
        <v>3.1959</v>
      </c>
      <c r="AW77" s="3">
        <v>3.1959</v>
      </c>
      <c r="AX77" s="3">
        <v>3.1959</v>
      </c>
      <c r="AY77" s="3">
        <v>3.1959</v>
      </c>
      <c r="AZ77" s="3">
        <v>3.1959</v>
      </c>
      <c r="BA77" s="3">
        <v>3.1959</v>
      </c>
      <c r="BB77" s="3">
        <v>3.1959</v>
      </c>
      <c r="BC77" s="3">
        <v>3.1959</v>
      </c>
      <c r="BD77" s="3">
        <v>3.1959</v>
      </c>
      <c r="BE77" s="3">
        <v>3.1959</v>
      </c>
      <c r="BF77" s="3">
        <v>3.1959</v>
      </c>
      <c r="BG77" s="3">
        <v>3.1959</v>
      </c>
      <c r="BH77" s="3">
        <v>3.1959</v>
      </c>
      <c r="BI77" s="3">
        <v>3.1959</v>
      </c>
      <c r="BJ77" s="3">
        <v>3.1959</v>
      </c>
      <c r="BK77" s="3">
        <v>3.1959</v>
      </c>
      <c r="BL77" s="3">
        <v>3.1959</v>
      </c>
      <c r="BM77" s="3">
        <v>3.1959</v>
      </c>
      <c r="BN77" s="3">
        <v>3.1959</v>
      </c>
      <c r="BO77" s="3">
        <v>3.1959</v>
      </c>
      <c r="BP77" s="3">
        <v>3.1959</v>
      </c>
      <c r="BQ77" s="3">
        <v>3.1959</v>
      </c>
      <c r="BR77" s="3"/>
    </row>
    <row r="78" spans="1:70" x14ac:dyDescent="0.3">
      <c r="A78" s="5" t="s">
        <v>226</v>
      </c>
      <c r="B78" s="5" t="s">
        <v>227</v>
      </c>
      <c r="C78" s="5" t="s">
        <v>112</v>
      </c>
      <c r="D78" s="5" t="s">
        <v>77</v>
      </c>
      <c r="E78" s="5" t="s">
        <v>11</v>
      </c>
      <c r="F78" s="7"/>
      <c r="G78" s="5" t="s">
        <v>140</v>
      </c>
      <c r="H78" s="5">
        <v>0</v>
      </c>
      <c r="I78" s="3">
        <v>1</v>
      </c>
      <c r="J78" s="3">
        <v>1</v>
      </c>
      <c r="K78" s="3">
        <v>1</v>
      </c>
      <c r="L78" s="3">
        <v>1</v>
      </c>
      <c r="M78" s="3">
        <v>1</v>
      </c>
      <c r="N78" s="3">
        <v>1</v>
      </c>
      <c r="O78" s="3">
        <v>1</v>
      </c>
      <c r="P78" s="3">
        <v>1</v>
      </c>
      <c r="Q78" s="3">
        <v>1</v>
      </c>
      <c r="R78" s="3">
        <v>1</v>
      </c>
      <c r="S78" s="3">
        <v>1</v>
      </c>
      <c r="T78" s="3">
        <v>1</v>
      </c>
      <c r="U78" s="3">
        <v>1</v>
      </c>
      <c r="V78" s="3">
        <v>1</v>
      </c>
      <c r="W78" s="3">
        <v>1</v>
      </c>
      <c r="X78" s="3">
        <v>1</v>
      </c>
      <c r="Y78" s="3">
        <v>1</v>
      </c>
      <c r="Z78" s="3">
        <v>1</v>
      </c>
      <c r="AA78" s="3">
        <v>1</v>
      </c>
      <c r="AB78" s="3">
        <v>1</v>
      </c>
      <c r="AC78" s="3">
        <v>1</v>
      </c>
      <c r="AD78" s="3">
        <v>1</v>
      </c>
      <c r="AE78" s="3">
        <v>1</v>
      </c>
      <c r="AF78" s="3">
        <v>1</v>
      </c>
      <c r="AG78" s="3">
        <v>1</v>
      </c>
      <c r="AH78" s="3">
        <v>1</v>
      </c>
      <c r="AI78" s="3">
        <v>1</v>
      </c>
      <c r="AJ78" s="3">
        <v>1</v>
      </c>
      <c r="AK78" s="3">
        <v>1</v>
      </c>
      <c r="AL78" s="3">
        <v>1</v>
      </c>
      <c r="AM78" s="3">
        <v>1</v>
      </c>
      <c r="AN78" s="3">
        <v>1</v>
      </c>
      <c r="AO78" s="3">
        <v>1</v>
      </c>
      <c r="AP78" s="3">
        <v>1</v>
      </c>
      <c r="AQ78" s="3">
        <v>1</v>
      </c>
      <c r="AR78" s="3">
        <v>1</v>
      </c>
      <c r="AS78" s="3">
        <v>1</v>
      </c>
      <c r="AT78" s="3">
        <v>1</v>
      </c>
      <c r="AU78" s="3">
        <v>1</v>
      </c>
      <c r="AV78" s="3">
        <v>1</v>
      </c>
      <c r="AW78" s="3">
        <v>1</v>
      </c>
      <c r="AX78" s="3">
        <v>1</v>
      </c>
      <c r="AY78" s="3">
        <v>1</v>
      </c>
      <c r="AZ78" s="3">
        <v>1</v>
      </c>
      <c r="BA78" s="3">
        <v>1</v>
      </c>
      <c r="BB78" s="3">
        <v>1</v>
      </c>
      <c r="BC78" s="3">
        <v>1</v>
      </c>
      <c r="BD78" s="3">
        <v>1</v>
      </c>
      <c r="BE78" s="3">
        <v>1</v>
      </c>
      <c r="BF78" s="3">
        <v>1</v>
      </c>
      <c r="BG78" s="3">
        <v>1</v>
      </c>
      <c r="BH78" s="3">
        <v>1</v>
      </c>
      <c r="BI78" s="3">
        <v>1</v>
      </c>
      <c r="BJ78" s="3">
        <v>1</v>
      </c>
      <c r="BK78" s="3">
        <v>1</v>
      </c>
      <c r="BL78" s="3">
        <v>1</v>
      </c>
      <c r="BM78" s="3">
        <v>1</v>
      </c>
      <c r="BN78" s="3">
        <v>1</v>
      </c>
      <c r="BO78" s="3">
        <v>1</v>
      </c>
      <c r="BP78" s="3">
        <v>1</v>
      </c>
      <c r="BQ78" s="3">
        <v>1</v>
      </c>
      <c r="BR78" s="3"/>
    </row>
    <row r="79" spans="1:70" x14ac:dyDescent="0.3">
      <c r="A79" s="5" t="s">
        <v>228</v>
      </c>
      <c r="B79" s="5" t="s">
        <v>229</v>
      </c>
      <c r="C79" s="14" t="s">
        <v>177</v>
      </c>
      <c r="D79" s="4" t="s">
        <v>727</v>
      </c>
      <c r="E79" s="5" t="s">
        <v>139</v>
      </c>
      <c r="F79" s="7" t="s">
        <v>181</v>
      </c>
      <c r="G79" s="5" t="s">
        <v>140</v>
      </c>
      <c r="H79" s="5">
        <v>0</v>
      </c>
      <c r="I79" s="3">
        <v>2.4211</v>
      </c>
      <c r="J79" s="3">
        <v>2.4921000000000002</v>
      </c>
      <c r="K79" s="3">
        <v>2.895</v>
      </c>
      <c r="L79" s="3">
        <v>2.8003999999999998</v>
      </c>
      <c r="M79" s="3">
        <v>2.7717999999999998</v>
      </c>
      <c r="N79" s="3">
        <v>2.6840999999999999</v>
      </c>
      <c r="O79" s="3">
        <v>3.0941999999999998</v>
      </c>
      <c r="P79" s="3">
        <v>4.0989000000000004</v>
      </c>
      <c r="Q79" s="3">
        <v>3.2932000000000001</v>
      </c>
      <c r="R79" s="3">
        <v>3.1819999999999999</v>
      </c>
      <c r="S79" s="3">
        <v>3.1124000000000001</v>
      </c>
      <c r="T79" s="3">
        <v>3.1959</v>
      </c>
      <c r="U79" s="3">
        <v>3.1959</v>
      </c>
      <c r="V79" s="3">
        <v>3.1959</v>
      </c>
      <c r="W79" s="3">
        <v>3.1959</v>
      </c>
      <c r="X79" s="3">
        <v>3.1959</v>
      </c>
      <c r="Y79" s="3">
        <v>3.1959</v>
      </c>
      <c r="Z79" s="3">
        <v>3.1959</v>
      </c>
      <c r="AA79" s="3">
        <v>3.1959</v>
      </c>
      <c r="AB79" s="3">
        <v>3.1959</v>
      </c>
      <c r="AC79" s="3">
        <v>3.1959</v>
      </c>
      <c r="AD79" s="3">
        <v>3.1959</v>
      </c>
      <c r="AE79" s="3">
        <v>3.1959</v>
      </c>
      <c r="AF79" s="3">
        <v>3.1959</v>
      </c>
      <c r="AG79" s="3">
        <v>3.1959</v>
      </c>
      <c r="AH79" s="3">
        <v>3.1959</v>
      </c>
      <c r="AI79" s="3">
        <v>3.1959</v>
      </c>
      <c r="AJ79" s="3">
        <v>3.1959</v>
      </c>
      <c r="AK79" s="3">
        <v>3.1959</v>
      </c>
      <c r="AL79" s="3">
        <v>3.1959</v>
      </c>
      <c r="AM79" s="3">
        <v>3.1959</v>
      </c>
      <c r="AN79" s="3">
        <v>3.1959</v>
      </c>
      <c r="AO79" s="3">
        <v>3.1959</v>
      </c>
      <c r="AP79" s="3">
        <v>3.1959</v>
      </c>
      <c r="AQ79" s="3">
        <v>3.1959</v>
      </c>
      <c r="AR79" s="3">
        <v>3.1959</v>
      </c>
      <c r="AS79" s="3">
        <v>3.1959</v>
      </c>
      <c r="AT79" s="3">
        <v>3.1959</v>
      </c>
      <c r="AU79" s="3">
        <v>3.1959</v>
      </c>
      <c r="AV79" s="3">
        <v>3.1959</v>
      </c>
      <c r="AW79" s="3">
        <v>3.1959</v>
      </c>
      <c r="AX79" s="3">
        <v>3.1959</v>
      </c>
      <c r="AY79" s="3">
        <v>3.1959</v>
      </c>
      <c r="AZ79" s="3">
        <v>3.1959</v>
      </c>
      <c r="BA79" s="3">
        <v>3.1959</v>
      </c>
      <c r="BB79" s="3">
        <v>3.1959</v>
      </c>
      <c r="BC79" s="3">
        <v>3.1959</v>
      </c>
      <c r="BD79" s="3">
        <v>3.1959</v>
      </c>
      <c r="BE79" s="3">
        <v>3.1959</v>
      </c>
      <c r="BF79" s="3">
        <v>3.1959</v>
      </c>
      <c r="BG79" s="3">
        <v>3.1959</v>
      </c>
      <c r="BH79" s="3">
        <v>3.1959</v>
      </c>
      <c r="BI79" s="3">
        <v>3.1959</v>
      </c>
      <c r="BJ79" s="3">
        <v>3.1959</v>
      </c>
      <c r="BK79" s="3">
        <v>3.1959</v>
      </c>
      <c r="BL79" s="3">
        <v>3.1959</v>
      </c>
      <c r="BM79" s="3">
        <v>3.1959</v>
      </c>
      <c r="BN79" s="3">
        <v>3.1959</v>
      </c>
      <c r="BO79" s="3">
        <v>3.1959</v>
      </c>
      <c r="BP79" s="3">
        <v>3.1959</v>
      </c>
      <c r="BQ79" s="3">
        <v>3.1959</v>
      </c>
      <c r="BR79" s="3"/>
    </row>
    <row r="80" spans="1:70" x14ac:dyDescent="0.3">
      <c r="A80" s="4" t="s">
        <v>228</v>
      </c>
      <c r="B80" s="4" t="s">
        <v>229</v>
      </c>
      <c r="C80" s="5" t="s">
        <v>112</v>
      </c>
      <c r="D80" s="4" t="s">
        <v>77</v>
      </c>
      <c r="E80" s="4" t="s">
        <v>11</v>
      </c>
      <c r="F80" s="7"/>
      <c r="G80" s="4" t="s">
        <v>140</v>
      </c>
      <c r="H80" s="4">
        <v>0</v>
      </c>
      <c r="I80" s="3">
        <v>1</v>
      </c>
      <c r="J80" s="3">
        <v>1</v>
      </c>
      <c r="K80" s="3">
        <v>1</v>
      </c>
      <c r="L80" s="3">
        <v>1</v>
      </c>
      <c r="M80" s="3">
        <v>1</v>
      </c>
      <c r="N80" s="3">
        <v>1</v>
      </c>
      <c r="O80" s="3">
        <v>1</v>
      </c>
      <c r="P80" s="3">
        <v>1</v>
      </c>
      <c r="Q80" s="3">
        <v>1</v>
      </c>
      <c r="R80" s="3">
        <v>1</v>
      </c>
      <c r="S80" s="3">
        <v>1</v>
      </c>
      <c r="T80" s="3">
        <v>1</v>
      </c>
      <c r="U80" s="3">
        <v>1</v>
      </c>
      <c r="V80" s="3">
        <v>1</v>
      </c>
      <c r="W80" s="3">
        <v>1</v>
      </c>
      <c r="X80" s="3">
        <v>1</v>
      </c>
      <c r="Y80" s="3">
        <v>1</v>
      </c>
      <c r="Z80" s="3">
        <v>1</v>
      </c>
      <c r="AA80" s="3">
        <v>1</v>
      </c>
      <c r="AB80" s="3">
        <v>1</v>
      </c>
      <c r="AC80" s="3">
        <v>1</v>
      </c>
      <c r="AD80" s="3">
        <v>1</v>
      </c>
      <c r="AE80" s="3">
        <v>1</v>
      </c>
      <c r="AF80" s="3">
        <v>1</v>
      </c>
      <c r="AG80" s="3">
        <v>1</v>
      </c>
      <c r="AH80" s="3">
        <v>1</v>
      </c>
      <c r="AI80" s="3">
        <v>1</v>
      </c>
      <c r="AJ80" s="3">
        <v>1</v>
      </c>
      <c r="AK80" s="3">
        <v>1</v>
      </c>
      <c r="AL80" s="3">
        <v>1</v>
      </c>
      <c r="AM80" s="3">
        <v>1</v>
      </c>
      <c r="AN80" s="3">
        <v>1</v>
      </c>
      <c r="AO80" s="3">
        <v>1</v>
      </c>
      <c r="AP80" s="3">
        <v>1</v>
      </c>
      <c r="AQ80" s="3">
        <v>1</v>
      </c>
      <c r="AR80" s="3">
        <v>1</v>
      </c>
      <c r="AS80" s="3">
        <v>1</v>
      </c>
      <c r="AT80" s="3">
        <v>1</v>
      </c>
      <c r="AU80" s="3">
        <v>1</v>
      </c>
      <c r="AV80" s="3">
        <v>1</v>
      </c>
      <c r="AW80" s="3">
        <v>1</v>
      </c>
      <c r="AX80" s="3">
        <v>1</v>
      </c>
      <c r="AY80" s="3">
        <v>1</v>
      </c>
      <c r="AZ80" s="3">
        <v>1</v>
      </c>
      <c r="BA80" s="3">
        <v>1</v>
      </c>
      <c r="BB80" s="3">
        <v>1</v>
      </c>
      <c r="BC80" s="3">
        <v>1</v>
      </c>
      <c r="BD80" s="3">
        <v>1</v>
      </c>
      <c r="BE80" s="3">
        <v>1</v>
      </c>
      <c r="BF80" s="3">
        <v>1</v>
      </c>
      <c r="BG80" s="3">
        <v>1</v>
      </c>
      <c r="BH80" s="3">
        <v>1</v>
      </c>
      <c r="BI80" s="3">
        <v>1</v>
      </c>
      <c r="BJ80" s="3">
        <v>1</v>
      </c>
      <c r="BK80" s="3">
        <v>1</v>
      </c>
      <c r="BL80" s="3">
        <v>1</v>
      </c>
      <c r="BM80" s="3">
        <v>1</v>
      </c>
      <c r="BN80" s="3">
        <v>1</v>
      </c>
      <c r="BO80" s="3">
        <v>1</v>
      </c>
      <c r="BP80" s="3">
        <v>1</v>
      </c>
      <c r="BQ80" s="3">
        <v>1</v>
      </c>
      <c r="BR80" s="3"/>
    </row>
    <row r="81" spans="1:70" x14ac:dyDescent="0.3">
      <c r="A81" s="5" t="s">
        <v>224</v>
      </c>
      <c r="B81" s="5" t="s">
        <v>225</v>
      </c>
      <c r="C81" s="14" t="s">
        <v>177</v>
      </c>
      <c r="D81" s="4" t="s">
        <v>727</v>
      </c>
      <c r="E81" s="5" t="s">
        <v>139</v>
      </c>
      <c r="F81" s="7" t="s">
        <v>181</v>
      </c>
      <c r="G81" s="5" t="s">
        <v>140</v>
      </c>
      <c r="H81" s="5">
        <v>0</v>
      </c>
      <c r="I81" s="3">
        <v>2.4211</v>
      </c>
      <c r="J81" s="3">
        <v>2.4921000000000002</v>
      </c>
      <c r="K81" s="3">
        <v>2.895</v>
      </c>
      <c r="L81" s="3">
        <v>2.8003999999999998</v>
      </c>
      <c r="M81" s="3">
        <v>2.7717999999999998</v>
      </c>
      <c r="N81" s="3">
        <v>2.6840999999999999</v>
      </c>
      <c r="O81" s="3">
        <v>3.0941999999999998</v>
      </c>
      <c r="P81" s="3">
        <v>4.0989000000000004</v>
      </c>
      <c r="Q81" s="3">
        <v>3.2932000000000001</v>
      </c>
      <c r="R81" s="3">
        <v>3.1819999999999999</v>
      </c>
      <c r="S81" s="3">
        <v>3.1124000000000001</v>
      </c>
      <c r="T81" s="3">
        <v>3.1959</v>
      </c>
      <c r="U81" s="3">
        <v>3.1959</v>
      </c>
      <c r="V81" s="3">
        <v>3.1959</v>
      </c>
      <c r="W81" s="3">
        <v>3.1959</v>
      </c>
      <c r="X81" s="3">
        <v>3.1959</v>
      </c>
      <c r="Y81" s="3">
        <v>3.1959</v>
      </c>
      <c r="Z81" s="3">
        <v>3.1959</v>
      </c>
      <c r="AA81" s="3">
        <v>3.1959</v>
      </c>
      <c r="AB81" s="3">
        <v>3.1959</v>
      </c>
      <c r="AC81" s="3">
        <v>3.1959</v>
      </c>
      <c r="AD81" s="3">
        <v>3.1959</v>
      </c>
      <c r="AE81" s="3">
        <v>3.1959</v>
      </c>
      <c r="AF81" s="3">
        <v>3.1959</v>
      </c>
      <c r="AG81" s="3">
        <v>3.1959</v>
      </c>
      <c r="AH81" s="3">
        <v>3.1959</v>
      </c>
      <c r="AI81" s="3">
        <v>3.1959</v>
      </c>
      <c r="AJ81" s="3">
        <v>3.1959</v>
      </c>
      <c r="AK81" s="3">
        <v>3.1959</v>
      </c>
      <c r="AL81" s="3">
        <v>3.1959</v>
      </c>
      <c r="AM81" s="3">
        <v>3.1959</v>
      </c>
      <c r="AN81" s="3">
        <v>3.1959</v>
      </c>
      <c r="AO81" s="3">
        <v>3.1959</v>
      </c>
      <c r="AP81" s="3">
        <v>3.1959</v>
      </c>
      <c r="AQ81" s="3">
        <v>3.1959</v>
      </c>
      <c r="AR81" s="3">
        <v>3.1959</v>
      </c>
      <c r="AS81" s="3">
        <v>3.1959</v>
      </c>
      <c r="AT81" s="3">
        <v>3.1959</v>
      </c>
      <c r="AU81" s="3">
        <v>3.1959</v>
      </c>
      <c r="AV81" s="3">
        <v>3.1959</v>
      </c>
      <c r="AW81" s="3">
        <v>3.1959</v>
      </c>
      <c r="AX81" s="3">
        <v>3.1959</v>
      </c>
      <c r="AY81" s="3">
        <v>3.1959</v>
      </c>
      <c r="AZ81" s="3">
        <v>3.1959</v>
      </c>
      <c r="BA81" s="3">
        <v>3.1959</v>
      </c>
      <c r="BB81" s="3">
        <v>3.1959</v>
      </c>
      <c r="BC81" s="3">
        <v>3.1959</v>
      </c>
      <c r="BD81" s="3">
        <v>3.1959</v>
      </c>
      <c r="BE81" s="3">
        <v>3.1959</v>
      </c>
      <c r="BF81" s="3">
        <v>3.1959</v>
      </c>
      <c r="BG81" s="3">
        <v>3.1959</v>
      </c>
      <c r="BH81" s="3">
        <v>3.1959</v>
      </c>
      <c r="BI81" s="3">
        <v>3.1959</v>
      </c>
      <c r="BJ81" s="3">
        <v>3.1959</v>
      </c>
      <c r="BK81" s="3">
        <v>3.1959</v>
      </c>
      <c r="BL81" s="3">
        <v>3.1959</v>
      </c>
      <c r="BM81" s="3">
        <v>3.1959</v>
      </c>
      <c r="BN81" s="3">
        <v>3.1959</v>
      </c>
      <c r="BO81" s="3">
        <v>3.1959</v>
      </c>
      <c r="BP81" s="3">
        <v>3.1959</v>
      </c>
      <c r="BQ81" s="3">
        <v>3.1959</v>
      </c>
      <c r="BR81" s="3"/>
    </row>
    <row r="82" spans="1:70" x14ac:dyDescent="0.3">
      <c r="A82" s="4" t="s">
        <v>224</v>
      </c>
      <c r="B82" s="4" t="s">
        <v>225</v>
      </c>
      <c r="C82" s="5" t="s">
        <v>112</v>
      </c>
      <c r="D82" s="4" t="s">
        <v>77</v>
      </c>
      <c r="E82" s="4" t="s">
        <v>11</v>
      </c>
      <c r="F82" s="7"/>
      <c r="G82" s="4" t="s">
        <v>140</v>
      </c>
      <c r="H82" s="4">
        <v>0</v>
      </c>
      <c r="I82" s="3">
        <v>1</v>
      </c>
      <c r="J82" s="3">
        <v>1</v>
      </c>
      <c r="K82" s="3">
        <v>1</v>
      </c>
      <c r="L82" s="3">
        <v>1</v>
      </c>
      <c r="M82" s="3">
        <v>1</v>
      </c>
      <c r="N82" s="3">
        <v>1</v>
      </c>
      <c r="O82" s="3">
        <v>1</v>
      </c>
      <c r="P82" s="3">
        <v>1</v>
      </c>
      <c r="Q82" s="3">
        <v>1</v>
      </c>
      <c r="R82" s="3">
        <v>1</v>
      </c>
      <c r="S82" s="3">
        <v>1</v>
      </c>
      <c r="T82" s="3">
        <v>1</v>
      </c>
      <c r="U82" s="3">
        <v>1</v>
      </c>
      <c r="V82" s="3">
        <v>1</v>
      </c>
      <c r="W82" s="3">
        <v>1</v>
      </c>
      <c r="X82" s="3">
        <v>1</v>
      </c>
      <c r="Y82" s="3">
        <v>1</v>
      </c>
      <c r="Z82" s="3">
        <v>1</v>
      </c>
      <c r="AA82" s="3">
        <v>1</v>
      </c>
      <c r="AB82" s="3">
        <v>1</v>
      </c>
      <c r="AC82" s="3">
        <v>1</v>
      </c>
      <c r="AD82" s="3">
        <v>1</v>
      </c>
      <c r="AE82" s="3">
        <v>1</v>
      </c>
      <c r="AF82" s="3">
        <v>1</v>
      </c>
      <c r="AG82" s="3">
        <v>1</v>
      </c>
      <c r="AH82" s="3">
        <v>1</v>
      </c>
      <c r="AI82" s="3">
        <v>1</v>
      </c>
      <c r="AJ82" s="3">
        <v>1</v>
      </c>
      <c r="AK82" s="3">
        <v>1</v>
      </c>
      <c r="AL82" s="3">
        <v>1</v>
      </c>
      <c r="AM82" s="3">
        <v>1</v>
      </c>
      <c r="AN82" s="3">
        <v>1</v>
      </c>
      <c r="AO82" s="3">
        <v>1</v>
      </c>
      <c r="AP82" s="3">
        <v>1</v>
      </c>
      <c r="AQ82" s="3">
        <v>1</v>
      </c>
      <c r="AR82" s="3">
        <v>1</v>
      </c>
      <c r="AS82" s="3">
        <v>1</v>
      </c>
      <c r="AT82" s="3">
        <v>1</v>
      </c>
      <c r="AU82" s="3">
        <v>1</v>
      </c>
      <c r="AV82" s="3">
        <v>1</v>
      </c>
      <c r="AW82" s="3">
        <v>1</v>
      </c>
      <c r="AX82" s="3">
        <v>1</v>
      </c>
      <c r="AY82" s="3">
        <v>1</v>
      </c>
      <c r="AZ82" s="3">
        <v>1</v>
      </c>
      <c r="BA82" s="3">
        <v>1</v>
      </c>
      <c r="BB82" s="3">
        <v>1</v>
      </c>
      <c r="BC82" s="3">
        <v>1</v>
      </c>
      <c r="BD82" s="3">
        <v>1</v>
      </c>
      <c r="BE82" s="3">
        <v>1</v>
      </c>
      <c r="BF82" s="3">
        <v>1</v>
      </c>
      <c r="BG82" s="3">
        <v>1</v>
      </c>
      <c r="BH82" s="3">
        <v>1</v>
      </c>
      <c r="BI82" s="3">
        <v>1</v>
      </c>
      <c r="BJ82" s="3">
        <v>1</v>
      </c>
      <c r="BK82" s="3">
        <v>1</v>
      </c>
      <c r="BL82" s="3">
        <v>1</v>
      </c>
      <c r="BM82" s="3">
        <v>1</v>
      </c>
      <c r="BN82" s="3">
        <v>1</v>
      </c>
      <c r="BO82" s="3">
        <v>1</v>
      </c>
      <c r="BP82" s="3">
        <v>1</v>
      </c>
      <c r="BQ82" s="3">
        <v>1</v>
      </c>
      <c r="BR82" s="3"/>
    </row>
    <row r="83" spans="1:70" x14ac:dyDescent="0.3">
      <c r="A83" s="4" t="s">
        <v>230</v>
      </c>
      <c r="B83" s="4" t="s">
        <v>231</v>
      </c>
      <c r="C83" s="18" t="s">
        <v>68</v>
      </c>
      <c r="D83" s="4" t="s">
        <v>191</v>
      </c>
      <c r="E83" s="4" t="s">
        <v>139</v>
      </c>
      <c r="F83" s="7" t="s">
        <v>176</v>
      </c>
      <c r="G83" s="4" t="s">
        <v>140</v>
      </c>
      <c r="H83" s="4">
        <v>0</v>
      </c>
      <c r="I83" s="3">
        <v>1</v>
      </c>
      <c r="J83" s="3">
        <v>1</v>
      </c>
      <c r="K83" s="3">
        <v>1</v>
      </c>
      <c r="L83" s="3">
        <v>1</v>
      </c>
      <c r="M83" s="3">
        <v>1</v>
      </c>
      <c r="N83" s="3">
        <v>1</v>
      </c>
      <c r="O83" s="3">
        <v>1</v>
      </c>
      <c r="P83" s="3">
        <v>1</v>
      </c>
      <c r="Q83" s="3">
        <v>1</v>
      </c>
      <c r="R83" s="3">
        <v>1</v>
      </c>
      <c r="S83" s="3">
        <v>1</v>
      </c>
      <c r="T83" s="3">
        <v>1</v>
      </c>
      <c r="U83" s="3">
        <v>1</v>
      </c>
      <c r="V83" s="3">
        <v>1</v>
      </c>
      <c r="W83" s="3">
        <v>1</v>
      </c>
      <c r="X83" s="3">
        <v>1</v>
      </c>
      <c r="Y83" s="3">
        <v>1</v>
      </c>
      <c r="Z83" s="3">
        <v>1</v>
      </c>
      <c r="AA83" s="3">
        <v>1</v>
      </c>
      <c r="AB83" s="3">
        <v>1</v>
      </c>
      <c r="AC83" s="3">
        <v>1</v>
      </c>
      <c r="AD83" s="3">
        <v>1</v>
      </c>
      <c r="AE83" s="3">
        <v>1</v>
      </c>
      <c r="AF83" s="3">
        <v>1</v>
      </c>
      <c r="AG83" s="3">
        <v>1</v>
      </c>
      <c r="AH83" s="3">
        <v>1</v>
      </c>
      <c r="AI83" s="3">
        <v>1</v>
      </c>
      <c r="AJ83" s="3">
        <v>1</v>
      </c>
      <c r="AK83" s="3">
        <v>1</v>
      </c>
      <c r="AL83" s="3">
        <v>1</v>
      </c>
      <c r="AM83" s="3">
        <v>1</v>
      </c>
      <c r="AN83" s="3">
        <v>1</v>
      </c>
      <c r="AO83" s="3">
        <v>1</v>
      </c>
      <c r="AP83" s="3">
        <v>1</v>
      </c>
      <c r="AQ83" s="3">
        <v>1</v>
      </c>
      <c r="AR83" s="3">
        <v>1</v>
      </c>
      <c r="AS83" s="3">
        <v>1</v>
      </c>
      <c r="AT83" s="3">
        <v>1</v>
      </c>
      <c r="AU83" s="3">
        <v>1</v>
      </c>
      <c r="AV83" s="3">
        <v>1</v>
      </c>
      <c r="AW83" s="3">
        <v>1</v>
      </c>
      <c r="AX83" s="3">
        <v>1</v>
      </c>
      <c r="AY83" s="3">
        <v>1</v>
      </c>
      <c r="AZ83" s="3">
        <v>1</v>
      </c>
      <c r="BA83" s="3">
        <v>1</v>
      </c>
      <c r="BB83" s="3">
        <v>1</v>
      </c>
      <c r="BC83" s="3">
        <v>1</v>
      </c>
      <c r="BD83" s="3">
        <v>1</v>
      </c>
      <c r="BE83" s="3">
        <v>1</v>
      </c>
      <c r="BF83" s="3">
        <v>1</v>
      </c>
      <c r="BG83" s="3">
        <v>1</v>
      </c>
      <c r="BH83" s="3">
        <v>1</v>
      </c>
      <c r="BI83" s="3">
        <v>1</v>
      </c>
      <c r="BJ83" s="3">
        <v>1</v>
      </c>
      <c r="BK83" s="3">
        <v>1</v>
      </c>
      <c r="BL83" s="3">
        <v>1</v>
      </c>
      <c r="BM83" s="3">
        <v>1</v>
      </c>
      <c r="BN83" s="3">
        <v>1</v>
      </c>
      <c r="BO83" s="3">
        <v>1</v>
      </c>
      <c r="BP83" s="3">
        <v>1</v>
      </c>
      <c r="BQ83" s="3">
        <v>1</v>
      </c>
      <c r="BR83" s="3"/>
    </row>
    <row r="84" spans="1:70" x14ac:dyDescent="0.3">
      <c r="A84" s="5" t="s">
        <v>230</v>
      </c>
      <c r="B84" s="5" t="s">
        <v>231</v>
      </c>
      <c r="C84" s="5" t="s">
        <v>232</v>
      </c>
      <c r="D84" s="5" t="s">
        <v>233</v>
      </c>
      <c r="E84" s="5" t="s">
        <v>11</v>
      </c>
      <c r="F84" s="7"/>
      <c r="G84" s="5" t="s">
        <v>140</v>
      </c>
      <c r="H84" s="5">
        <v>0</v>
      </c>
      <c r="I84" s="3">
        <v>1</v>
      </c>
      <c r="J84" s="3">
        <v>1</v>
      </c>
      <c r="K84" s="3">
        <v>1</v>
      </c>
      <c r="L84" s="3">
        <v>1</v>
      </c>
      <c r="M84" s="3">
        <v>1</v>
      </c>
      <c r="N84" s="3">
        <v>1</v>
      </c>
      <c r="O84" s="3">
        <v>1</v>
      </c>
      <c r="P84" s="3">
        <v>1</v>
      </c>
      <c r="Q84" s="3">
        <v>1</v>
      </c>
      <c r="R84" s="3">
        <v>1</v>
      </c>
      <c r="S84" s="3">
        <v>1</v>
      </c>
      <c r="T84" s="3">
        <v>1</v>
      </c>
      <c r="U84" s="3">
        <v>1</v>
      </c>
      <c r="V84" s="3">
        <v>1</v>
      </c>
      <c r="W84" s="3">
        <v>1</v>
      </c>
      <c r="X84" s="3">
        <v>1</v>
      </c>
      <c r="Y84" s="3">
        <v>1</v>
      </c>
      <c r="Z84" s="3">
        <v>1</v>
      </c>
      <c r="AA84" s="3">
        <v>1</v>
      </c>
      <c r="AB84" s="3">
        <v>1</v>
      </c>
      <c r="AC84" s="3">
        <v>1</v>
      </c>
      <c r="AD84" s="3">
        <v>1</v>
      </c>
      <c r="AE84" s="3">
        <v>1</v>
      </c>
      <c r="AF84" s="3">
        <v>1</v>
      </c>
      <c r="AG84" s="3">
        <v>1</v>
      </c>
      <c r="AH84" s="3">
        <v>1</v>
      </c>
      <c r="AI84" s="3">
        <v>1</v>
      </c>
      <c r="AJ84" s="3">
        <v>1</v>
      </c>
      <c r="AK84" s="3">
        <v>1</v>
      </c>
      <c r="AL84" s="3">
        <v>1</v>
      </c>
      <c r="AM84" s="3">
        <v>1</v>
      </c>
      <c r="AN84" s="3">
        <v>1</v>
      </c>
      <c r="AO84" s="3">
        <v>1</v>
      </c>
      <c r="AP84" s="3">
        <v>1</v>
      </c>
      <c r="AQ84" s="3">
        <v>1</v>
      </c>
      <c r="AR84" s="3">
        <v>1</v>
      </c>
      <c r="AS84" s="3">
        <v>1</v>
      </c>
      <c r="AT84" s="3">
        <v>1</v>
      </c>
      <c r="AU84" s="3">
        <v>1</v>
      </c>
      <c r="AV84" s="3">
        <v>1</v>
      </c>
      <c r="AW84" s="3">
        <v>1</v>
      </c>
      <c r="AX84" s="3">
        <v>1</v>
      </c>
      <c r="AY84" s="3">
        <v>1</v>
      </c>
      <c r="AZ84" s="3">
        <v>1</v>
      </c>
      <c r="BA84" s="3">
        <v>1</v>
      </c>
      <c r="BB84" s="3">
        <v>1</v>
      </c>
      <c r="BC84" s="3">
        <v>1</v>
      </c>
      <c r="BD84" s="3">
        <v>1</v>
      </c>
      <c r="BE84" s="3">
        <v>1</v>
      </c>
      <c r="BF84" s="3">
        <v>1</v>
      </c>
      <c r="BG84" s="3">
        <v>1</v>
      </c>
      <c r="BH84" s="3">
        <v>1</v>
      </c>
      <c r="BI84" s="3">
        <v>1</v>
      </c>
      <c r="BJ84" s="3">
        <v>1</v>
      </c>
      <c r="BK84" s="3">
        <v>1</v>
      </c>
      <c r="BL84" s="3">
        <v>1</v>
      </c>
      <c r="BM84" s="3">
        <v>1</v>
      </c>
      <c r="BN84" s="3">
        <v>1</v>
      </c>
      <c r="BO84" s="3">
        <v>1</v>
      </c>
      <c r="BP84" s="3">
        <v>1</v>
      </c>
      <c r="BQ84" s="3">
        <v>1</v>
      </c>
      <c r="BR84" s="3"/>
    </row>
    <row r="85" spans="1:70" x14ac:dyDescent="0.3">
      <c r="A85" s="4" t="s">
        <v>136</v>
      </c>
      <c r="B85" s="4" t="s">
        <v>137</v>
      </c>
      <c r="C85" s="17" t="s">
        <v>9</v>
      </c>
      <c r="D85" s="5" t="s">
        <v>138</v>
      </c>
      <c r="E85" s="4" t="s">
        <v>139</v>
      </c>
      <c r="F85" s="7"/>
      <c r="G85" s="4" t="s">
        <v>140</v>
      </c>
      <c r="H85" s="4">
        <v>0</v>
      </c>
      <c r="I85" s="3">
        <v>1</v>
      </c>
      <c r="J85" s="3">
        <v>1</v>
      </c>
      <c r="K85" s="3">
        <v>1</v>
      </c>
      <c r="L85" s="3">
        <v>1</v>
      </c>
      <c r="M85" s="3">
        <v>1</v>
      </c>
      <c r="N85" s="3">
        <v>1</v>
      </c>
      <c r="O85" s="3">
        <v>1</v>
      </c>
      <c r="P85" s="3">
        <v>1</v>
      </c>
      <c r="Q85" s="3">
        <v>1</v>
      </c>
      <c r="R85" s="3">
        <v>1</v>
      </c>
      <c r="S85" s="3">
        <v>1</v>
      </c>
      <c r="T85" s="3">
        <v>1</v>
      </c>
      <c r="U85" s="3">
        <v>1</v>
      </c>
      <c r="V85" s="3">
        <v>1</v>
      </c>
      <c r="W85" s="3">
        <v>1</v>
      </c>
      <c r="X85" s="3">
        <v>1</v>
      </c>
      <c r="Y85" s="3">
        <v>1</v>
      </c>
      <c r="Z85" s="3">
        <v>1</v>
      </c>
      <c r="AA85" s="3">
        <v>1</v>
      </c>
      <c r="AB85" s="3">
        <v>1</v>
      </c>
      <c r="AC85" s="3">
        <v>1</v>
      </c>
      <c r="AD85" s="3">
        <v>1</v>
      </c>
      <c r="AE85" s="3">
        <v>1</v>
      </c>
      <c r="AF85" s="3">
        <v>1</v>
      </c>
      <c r="AG85" s="3">
        <v>1</v>
      </c>
      <c r="AH85" s="3">
        <v>1</v>
      </c>
      <c r="AI85" s="3">
        <v>1</v>
      </c>
      <c r="AJ85" s="3">
        <v>1</v>
      </c>
      <c r="AK85" s="3">
        <v>1</v>
      </c>
      <c r="AL85" s="3">
        <v>1</v>
      </c>
      <c r="AM85" s="3">
        <v>1</v>
      </c>
      <c r="AN85" s="3">
        <v>1</v>
      </c>
      <c r="AO85" s="3">
        <v>1</v>
      </c>
      <c r="AP85" s="3">
        <v>1</v>
      </c>
      <c r="AQ85" s="3">
        <v>1</v>
      </c>
      <c r="AR85" s="3">
        <v>1</v>
      </c>
      <c r="AS85" s="3">
        <v>1</v>
      </c>
      <c r="AT85" s="3">
        <v>1</v>
      </c>
      <c r="AU85" s="3">
        <v>1</v>
      </c>
      <c r="AV85" s="3">
        <v>1</v>
      </c>
      <c r="AW85" s="3">
        <v>1</v>
      </c>
      <c r="AX85" s="3">
        <v>1</v>
      </c>
      <c r="AY85" s="3">
        <v>1</v>
      </c>
      <c r="AZ85" s="3">
        <v>1</v>
      </c>
      <c r="BA85" s="3">
        <v>1</v>
      </c>
      <c r="BB85" s="3">
        <v>1</v>
      </c>
      <c r="BC85" s="3">
        <v>1</v>
      </c>
      <c r="BD85" s="3">
        <v>1</v>
      </c>
      <c r="BE85" s="3">
        <v>1</v>
      </c>
      <c r="BF85" s="3">
        <v>1</v>
      </c>
      <c r="BG85" s="3">
        <v>1</v>
      </c>
      <c r="BH85" s="3">
        <v>1</v>
      </c>
      <c r="BI85" s="3">
        <v>1</v>
      </c>
      <c r="BJ85" s="3">
        <v>1</v>
      </c>
      <c r="BK85" s="3">
        <v>1</v>
      </c>
      <c r="BL85" s="3">
        <v>1</v>
      </c>
      <c r="BM85" s="3">
        <v>1</v>
      </c>
      <c r="BN85" s="3">
        <v>1</v>
      </c>
      <c r="BO85" s="3">
        <v>1</v>
      </c>
      <c r="BP85" s="3">
        <v>1</v>
      </c>
      <c r="BQ85" s="3">
        <v>1</v>
      </c>
      <c r="BR85" s="3"/>
    </row>
    <row r="86" spans="1:70" x14ac:dyDescent="0.3">
      <c r="A86" s="4" t="s">
        <v>136</v>
      </c>
      <c r="B86" s="4" t="s">
        <v>137</v>
      </c>
      <c r="C86" s="4" t="s">
        <v>39</v>
      </c>
      <c r="D86" s="5" t="s">
        <v>10</v>
      </c>
      <c r="E86" s="4" t="s">
        <v>11</v>
      </c>
      <c r="F86" s="7"/>
      <c r="G86" s="4" t="s">
        <v>140</v>
      </c>
      <c r="H86" s="4">
        <v>0</v>
      </c>
      <c r="I86" s="3">
        <v>1</v>
      </c>
      <c r="J86" s="3">
        <v>1</v>
      </c>
      <c r="K86" s="3">
        <v>1</v>
      </c>
      <c r="L86" s="3">
        <v>1</v>
      </c>
      <c r="M86" s="3">
        <v>1</v>
      </c>
      <c r="N86" s="3">
        <v>1</v>
      </c>
      <c r="O86" s="3">
        <v>1</v>
      </c>
      <c r="P86" s="3">
        <v>1</v>
      </c>
      <c r="Q86" s="3">
        <v>1</v>
      </c>
      <c r="R86" s="3">
        <v>1</v>
      </c>
      <c r="S86" s="3">
        <v>1</v>
      </c>
      <c r="T86" s="3">
        <v>1</v>
      </c>
      <c r="U86" s="3">
        <v>1</v>
      </c>
      <c r="V86" s="3">
        <v>1</v>
      </c>
      <c r="W86" s="3">
        <v>1</v>
      </c>
      <c r="X86" s="3">
        <v>1</v>
      </c>
      <c r="Y86" s="3">
        <v>1</v>
      </c>
      <c r="Z86" s="3">
        <v>1</v>
      </c>
      <c r="AA86" s="3">
        <v>1</v>
      </c>
      <c r="AB86" s="3">
        <v>1</v>
      </c>
      <c r="AC86" s="3">
        <v>1</v>
      </c>
      <c r="AD86" s="3">
        <v>1</v>
      </c>
      <c r="AE86" s="3">
        <v>1</v>
      </c>
      <c r="AF86" s="3">
        <v>1</v>
      </c>
      <c r="AG86" s="3">
        <v>1</v>
      </c>
      <c r="AH86" s="3">
        <v>1</v>
      </c>
      <c r="AI86" s="3">
        <v>1</v>
      </c>
      <c r="AJ86" s="3">
        <v>1</v>
      </c>
      <c r="AK86" s="3">
        <v>1</v>
      </c>
      <c r="AL86" s="3">
        <v>1</v>
      </c>
      <c r="AM86" s="3">
        <v>1</v>
      </c>
      <c r="AN86" s="3">
        <v>1</v>
      </c>
      <c r="AO86" s="3">
        <v>1</v>
      </c>
      <c r="AP86" s="3">
        <v>1</v>
      </c>
      <c r="AQ86" s="3">
        <v>1</v>
      </c>
      <c r="AR86" s="3">
        <v>1</v>
      </c>
      <c r="AS86" s="3">
        <v>1</v>
      </c>
      <c r="AT86" s="3">
        <v>1</v>
      </c>
      <c r="AU86" s="3">
        <v>1</v>
      </c>
      <c r="AV86" s="3">
        <v>1</v>
      </c>
      <c r="AW86" s="3">
        <v>1</v>
      </c>
      <c r="AX86" s="3">
        <v>1</v>
      </c>
      <c r="AY86" s="3">
        <v>1</v>
      </c>
      <c r="AZ86" s="3">
        <v>1</v>
      </c>
      <c r="BA86" s="3">
        <v>1</v>
      </c>
      <c r="BB86" s="3">
        <v>1</v>
      </c>
      <c r="BC86" s="3">
        <v>1</v>
      </c>
      <c r="BD86" s="3">
        <v>1</v>
      </c>
      <c r="BE86" s="3">
        <v>1</v>
      </c>
      <c r="BF86" s="3">
        <v>1</v>
      </c>
      <c r="BG86" s="3">
        <v>1</v>
      </c>
      <c r="BH86" s="3">
        <v>1</v>
      </c>
      <c r="BI86" s="3">
        <v>1</v>
      </c>
      <c r="BJ86" s="3">
        <v>1</v>
      </c>
      <c r="BK86" s="3">
        <v>1</v>
      </c>
      <c r="BL86" s="3">
        <v>1</v>
      </c>
      <c r="BM86" s="3">
        <v>1</v>
      </c>
      <c r="BN86" s="3">
        <v>1</v>
      </c>
      <c r="BO86" s="3">
        <v>1</v>
      </c>
      <c r="BP86" s="3">
        <v>1</v>
      </c>
      <c r="BQ86" s="3">
        <v>1</v>
      </c>
      <c r="BR86" s="3"/>
    </row>
    <row r="87" spans="1:70" x14ac:dyDescent="0.3">
      <c r="A87" s="5" t="s">
        <v>238</v>
      </c>
      <c r="B87" s="5" t="s">
        <v>239</v>
      </c>
      <c r="C87" s="17" t="s">
        <v>60</v>
      </c>
      <c r="D87" s="5" t="s">
        <v>184</v>
      </c>
      <c r="E87" s="5" t="s">
        <v>139</v>
      </c>
      <c r="F87" s="7" t="s">
        <v>176</v>
      </c>
      <c r="G87" s="5" t="s">
        <v>140</v>
      </c>
      <c r="H87" s="5">
        <v>0</v>
      </c>
      <c r="I87" s="3">
        <v>1</v>
      </c>
      <c r="J87" s="3">
        <v>1</v>
      </c>
      <c r="K87" s="3">
        <v>1</v>
      </c>
      <c r="L87" s="3">
        <v>1</v>
      </c>
      <c r="M87" s="3">
        <v>1</v>
      </c>
      <c r="N87" s="3">
        <v>1</v>
      </c>
      <c r="O87" s="3">
        <v>1</v>
      </c>
      <c r="P87" s="3">
        <v>1</v>
      </c>
      <c r="Q87" s="3">
        <v>1</v>
      </c>
      <c r="R87" s="3">
        <v>1</v>
      </c>
      <c r="S87" s="3">
        <v>1</v>
      </c>
      <c r="T87" s="3">
        <v>1</v>
      </c>
      <c r="U87" s="3">
        <v>1</v>
      </c>
      <c r="V87" s="3">
        <v>1</v>
      </c>
      <c r="W87" s="3">
        <v>1</v>
      </c>
      <c r="X87" s="3">
        <v>1</v>
      </c>
      <c r="Y87" s="3">
        <v>1</v>
      </c>
      <c r="Z87" s="3">
        <v>1</v>
      </c>
      <c r="AA87" s="3">
        <v>1</v>
      </c>
      <c r="AB87" s="3">
        <v>1</v>
      </c>
      <c r="AC87" s="3">
        <v>1</v>
      </c>
      <c r="AD87" s="3">
        <v>1</v>
      </c>
      <c r="AE87" s="3">
        <v>1</v>
      </c>
      <c r="AF87" s="3">
        <v>1</v>
      </c>
      <c r="AG87" s="3">
        <v>1</v>
      </c>
      <c r="AH87" s="3">
        <v>1</v>
      </c>
      <c r="AI87" s="3">
        <v>1</v>
      </c>
      <c r="AJ87" s="3">
        <v>1</v>
      </c>
      <c r="AK87" s="3">
        <v>1</v>
      </c>
      <c r="AL87" s="3">
        <v>1</v>
      </c>
      <c r="AM87" s="3">
        <v>1</v>
      </c>
      <c r="AN87" s="3">
        <v>1</v>
      </c>
      <c r="AO87" s="3">
        <v>1</v>
      </c>
      <c r="AP87" s="3">
        <v>1</v>
      </c>
      <c r="AQ87" s="3">
        <v>1</v>
      </c>
      <c r="AR87" s="3">
        <v>1</v>
      </c>
      <c r="AS87" s="3">
        <v>1</v>
      </c>
      <c r="AT87" s="3">
        <v>1</v>
      </c>
      <c r="AU87" s="3">
        <v>1</v>
      </c>
      <c r="AV87" s="3">
        <v>1</v>
      </c>
      <c r="AW87" s="3">
        <v>1</v>
      </c>
      <c r="AX87" s="3">
        <v>1</v>
      </c>
      <c r="AY87" s="3">
        <v>1</v>
      </c>
      <c r="AZ87" s="3">
        <v>1</v>
      </c>
      <c r="BA87" s="3">
        <v>1</v>
      </c>
      <c r="BB87" s="3">
        <v>1</v>
      </c>
      <c r="BC87" s="3">
        <v>1</v>
      </c>
      <c r="BD87" s="3">
        <v>1</v>
      </c>
      <c r="BE87" s="3">
        <v>1</v>
      </c>
      <c r="BF87" s="3">
        <v>1</v>
      </c>
      <c r="BG87" s="3">
        <v>1</v>
      </c>
      <c r="BH87" s="3">
        <v>1</v>
      </c>
      <c r="BI87" s="3">
        <v>1</v>
      </c>
      <c r="BJ87" s="3">
        <v>1</v>
      </c>
      <c r="BK87" s="3">
        <v>1</v>
      </c>
      <c r="BL87" s="3">
        <v>1</v>
      </c>
      <c r="BM87" s="3">
        <v>1</v>
      </c>
      <c r="BN87" s="3">
        <v>1</v>
      </c>
      <c r="BO87" s="3">
        <v>1</v>
      </c>
      <c r="BP87" s="3">
        <v>1</v>
      </c>
      <c r="BQ87" s="3">
        <v>1</v>
      </c>
      <c r="BR87" s="3"/>
    </row>
    <row r="88" spans="1:70" x14ac:dyDescent="0.3">
      <c r="A88" s="5" t="s">
        <v>238</v>
      </c>
      <c r="B88" s="5" t="s">
        <v>239</v>
      </c>
      <c r="C88" s="5" t="s">
        <v>240</v>
      </c>
      <c r="D88" s="5" t="s">
        <v>241</v>
      </c>
      <c r="E88" s="5" t="s">
        <v>11</v>
      </c>
      <c r="F88" s="7"/>
      <c r="G88" s="5" t="s">
        <v>140</v>
      </c>
      <c r="H88" s="5">
        <v>0</v>
      </c>
      <c r="I88" s="3">
        <v>1</v>
      </c>
      <c r="J88" s="3">
        <v>1</v>
      </c>
      <c r="K88" s="3">
        <v>1</v>
      </c>
      <c r="L88" s="3">
        <v>1</v>
      </c>
      <c r="M88" s="3">
        <v>1</v>
      </c>
      <c r="N88" s="3">
        <v>1</v>
      </c>
      <c r="O88" s="3">
        <v>1</v>
      </c>
      <c r="P88" s="3">
        <v>1</v>
      </c>
      <c r="Q88" s="3">
        <v>1</v>
      </c>
      <c r="R88" s="3">
        <v>1</v>
      </c>
      <c r="S88" s="3">
        <v>1</v>
      </c>
      <c r="T88" s="3">
        <v>1</v>
      </c>
      <c r="U88" s="3">
        <v>1</v>
      </c>
      <c r="V88" s="3">
        <v>1</v>
      </c>
      <c r="W88" s="3">
        <v>1</v>
      </c>
      <c r="X88" s="3">
        <v>1</v>
      </c>
      <c r="Y88" s="3">
        <v>1</v>
      </c>
      <c r="Z88" s="3">
        <v>1</v>
      </c>
      <c r="AA88" s="3">
        <v>1</v>
      </c>
      <c r="AB88" s="3">
        <v>1</v>
      </c>
      <c r="AC88" s="3">
        <v>1</v>
      </c>
      <c r="AD88" s="3">
        <v>1</v>
      </c>
      <c r="AE88" s="3">
        <v>1</v>
      </c>
      <c r="AF88" s="3">
        <v>1</v>
      </c>
      <c r="AG88" s="3">
        <v>1</v>
      </c>
      <c r="AH88" s="3">
        <v>1</v>
      </c>
      <c r="AI88" s="3">
        <v>1</v>
      </c>
      <c r="AJ88" s="3">
        <v>1</v>
      </c>
      <c r="AK88" s="3">
        <v>1</v>
      </c>
      <c r="AL88" s="3">
        <v>1</v>
      </c>
      <c r="AM88" s="3">
        <v>1</v>
      </c>
      <c r="AN88" s="3">
        <v>1</v>
      </c>
      <c r="AO88" s="3">
        <v>1</v>
      </c>
      <c r="AP88" s="3">
        <v>1</v>
      </c>
      <c r="AQ88" s="3">
        <v>1</v>
      </c>
      <c r="AR88" s="3">
        <v>1</v>
      </c>
      <c r="AS88" s="3">
        <v>1</v>
      </c>
      <c r="AT88" s="3">
        <v>1</v>
      </c>
      <c r="AU88" s="3">
        <v>1</v>
      </c>
      <c r="AV88" s="3">
        <v>1</v>
      </c>
      <c r="AW88" s="3">
        <v>1</v>
      </c>
      <c r="AX88" s="3">
        <v>1</v>
      </c>
      <c r="AY88" s="3">
        <v>1</v>
      </c>
      <c r="AZ88" s="3">
        <v>1</v>
      </c>
      <c r="BA88" s="3">
        <v>1</v>
      </c>
      <c r="BB88" s="3">
        <v>1</v>
      </c>
      <c r="BC88" s="3">
        <v>1</v>
      </c>
      <c r="BD88" s="3">
        <v>1</v>
      </c>
      <c r="BE88" s="3">
        <v>1</v>
      </c>
      <c r="BF88" s="3">
        <v>1</v>
      </c>
      <c r="BG88" s="3">
        <v>1</v>
      </c>
      <c r="BH88" s="3">
        <v>1</v>
      </c>
      <c r="BI88" s="3">
        <v>1</v>
      </c>
      <c r="BJ88" s="3">
        <v>1</v>
      </c>
      <c r="BK88" s="3">
        <v>1</v>
      </c>
      <c r="BL88" s="3">
        <v>1</v>
      </c>
      <c r="BM88" s="3">
        <v>1</v>
      </c>
      <c r="BN88" s="3">
        <v>1</v>
      </c>
      <c r="BO88" s="3">
        <v>1</v>
      </c>
      <c r="BP88" s="3">
        <v>1</v>
      </c>
      <c r="BQ88" s="3">
        <v>1</v>
      </c>
      <c r="BR88" s="3"/>
    </row>
    <row r="89" spans="1:70" x14ac:dyDescent="0.3">
      <c r="A89" s="4" t="s">
        <v>52</v>
      </c>
      <c r="B89" s="4" t="s">
        <v>53</v>
      </c>
      <c r="C89" s="4" t="s">
        <v>54</v>
      </c>
      <c r="D89" s="14" t="s">
        <v>172</v>
      </c>
      <c r="E89" s="4" t="s">
        <v>139</v>
      </c>
      <c r="F89" s="7"/>
      <c r="G89" s="4" t="s">
        <v>140</v>
      </c>
      <c r="H89" s="4">
        <v>0</v>
      </c>
      <c r="I89" s="3">
        <v>1</v>
      </c>
      <c r="J89" s="3">
        <v>1</v>
      </c>
      <c r="K89" s="3">
        <v>1</v>
      </c>
      <c r="L89" s="3">
        <v>1</v>
      </c>
      <c r="M89" s="3">
        <v>1</v>
      </c>
      <c r="N89" s="3">
        <v>1</v>
      </c>
      <c r="O89" s="3">
        <v>1</v>
      </c>
      <c r="P89" s="3">
        <v>1</v>
      </c>
      <c r="Q89" s="3">
        <v>1</v>
      </c>
      <c r="R89" s="3">
        <v>1</v>
      </c>
      <c r="S89" s="3">
        <v>1</v>
      </c>
      <c r="T89" s="3">
        <v>1</v>
      </c>
      <c r="U89" s="3">
        <v>1</v>
      </c>
      <c r="V89" s="3">
        <v>1</v>
      </c>
      <c r="W89" s="3">
        <v>1</v>
      </c>
      <c r="X89" s="3">
        <v>1</v>
      </c>
      <c r="Y89" s="3">
        <v>1</v>
      </c>
      <c r="Z89" s="3">
        <v>1</v>
      </c>
      <c r="AA89" s="3">
        <v>1</v>
      </c>
      <c r="AB89" s="3">
        <v>1</v>
      </c>
      <c r="AC89" s="3">
        <v>1</v>
      </c>
      <c r="AD89" s="3">
        <v>1</v>
      </c>
      <c r="AE89" s="3">
        <v>1</v>
      </c>
      <c r="AF89" s="3">
        <v>1</v>
      </c>
      <c r="AG89" s="3">
        <v>1</v>
      </c>
      <c r="AH89" s="3">
        <v>1</v>
      </c>
      <c r="AI89" s="3">
        <v>1</v>
      </c>
      <c r="AJ89" s="3">
        <v>1</v>
      </c>
      <c r="AK89" s="3">
        <v>1</v>
      </c>
      <c r="AL89" s="3">
        <v>1</v>
      </c>
      <c r="AM89" s="3">
        <v>1</v>
      </c>
      <c r="AN89" s="3">
        <v>1</v>
      </c>
      <c r="AO89" s="3">
        <v>1</v>
      </c>
      <c r="AP89" s="3">
        <v>1</v>
      </c>
      <c r="AQ89" s="3">
        <v>1</v>
      </c>
      <c r="AR89" s="3">
        <v>1</v>
      </c>
      <c r="AS89" s="3">
        <v>1</v>
      </c>
      <c r="AT89" s="3">
        <v>1</v>
      </c>
      <c r="AU89" s="3">
        <v>1</v>
      </c>
      <c r="AV89" s="3">
        <v>1</v>
      </c>
      <c r="AW89" s="3">
        <v>1</v>
      </c>
      <c r="AX89" s="3">
        <v>1</v>
      </c>
      <c r="AY89" s="3">
        <v>1</v>
      </c>
      <c r="AZ89" s="3">
        <v>1</v>
      </c>
      <c r="BA89" s="3">
        <v>1</v>
      </c>
      <c r="BB89" s="3">
        <v>1</v>
      </c>
      <c r="BC89" s="3">
        <v>1</v>
      </c>
      <c r="BD89" s="3">
        <v>1</v>
      </c>
      <c r="BE89" s="3">
        <v>1</v>
      </c>
      <c r="BF89" s="3">
        <v>1</v>
      </c>
      <c r="BG89" s="3">
        <v>1</v>
      </c>
      <c r="BH89" s="3">
        <v>1</v>
      </c>
      <c r="BI89" s="3">
        <v>1</v>
      </c>
      <c r="BJ89" s="3">
        <v>1</v>
      </c>
      <c r="BK89" s="3">
        <v>1</v>
      </c>
      <c r="BL89" s="3">
        <v>1</v>
      </c>
      <c r="BM89" s="3">
        <v>1</v>
      </c>
      <c r="BN89" s="3">
        <v>1</v>
      </c>
      <c r="BO89" s="3">
        <v>1</v>
      </c>
      <c r="BP89" s="3">
        <v>1</v>
      </c>
      <c r="BQ89" s="3">
        <v>1</v>
      </c>
      <c r="BR89" s="3"/>
    </row>
    <row r="90" spans="1:70" x14ac:dyDescent="0.3">
      <c r="A90" s="4" t="s">
        <v>52</v>
      </c>
      <c r="B90" s="4" t="s">
        <v>53</v>
      </c>
      <c r="C90" s="4" t="s">
        <v>177</v>
      </c>
      <c r="D90" s="5" t="s">
        <v>725</v>
      </c>
      <c r="E90" s="4" t="s">
        <v>11</v>
      </c>
      <c r="F90" s="7"/>
      <c r="G90" s="4" t="s">
        <v>140</v>
      </c>
      <c r="H90" s="4">
        <v>0</v>
      </c>
      <c r="I90" s="3">
        <v>1</v>
      </c>
      <c r="J90" s="3">
        <v>1</v>
      </c>
      <c r="K90" s="3">
        <v>1</v>
      </c>
      <c r="L90" s="3">
        <v>1</v>
      </c>
      <c r="M90" s="3">
        <v>1</v>
      </c>
      <c r="N90" s="3">
        <v>1</v>
      </c>
      <c r="O90" s="3">
        <v>1</v>
      </c>
      <c r="P90" s="3">
        <v>1</v>
      </c>
      <c r="Q90" s="3">
        <v>1</v>
      </c>
      <c r="R90" s="3">
        <v>1</v>
      </c>
      <c r="S90" s="3">
        <v>1</v>
      </c>
      <c r="T90" s="3">
        <v>1</v>
      </c>
      <c r="U90" s="3">
        <v>1</v>
      </c>
      <c r="V90" s="3">
        <v>1</v>
      </c>
      <c r="W90" s="3">
        <v>1</v>
      </c>
      <c r="X90" s="3">
        <v>1</v>
      </c>
      <c r="Y90" s="3">
        <v>1</v>
      </c>
      <c r="Z90" s="3">
        <v>1</v>
      </c>
      <c r="AA90" s="3">
        <v>1</v>
      </c>
      <c r="AB90" s="3">
        <v>1</v>
      </c>
      <c r="AC90" s="3">
        <v>1</v>
      </c>
      <c r="AD90" s="3">
        <v>1</v>
      </c>
      <c r="AE90" s="3">
        <v>1</v>
      </c>
      <c r="AF90" s="3">
        <v>1</v>
      </c>
      <c r="AG90" s="3">
        <v>1</v>
      </c>
      <c r="AH90" s="3">
        <v>1</v>
      </c>
      <c r="AI90" s="3">
        <v>1</v>
      </c>
      <c r="AJ90" s="3">
        <v>1</v>
      </c>
      <c r="AK90" s="3">
        <v>1</v>
      </c>
      <c r="AL90" s="3">
        <v>1</v>
      </c>
      <c r="AM90" s="3">
        <v>1</v>
      </c>
      <c r="AN90" s="3">
        <v>1</v>
      </c>
      <c r="AO90" s="3">
        <v>1</v>
      </c>
      <c r="AP90" s="3">
        <v>1</v>
      </c>
      <c r="AQ90" s="3">
        <v>1</v>
      </c>
      <c r="AR90" s="3">
        <v>1</v>
      </c>
      <c r="AS90" s="3">
        <v>1</v>
      </c>
      <c r="AT90" s="3">
        <v>1</v>
      </c>
      <c r="AU90" s="3">
        <v>1</v>
      </c>
      <c r="AV90" s="3">
        <v>1</v>
      </c>
      <c r="AW90" s="3">
        <v>1</v>
      </c>
      <c r="AX90" s="3">
        <v>1</v>
      </c>
      <c r="AY90" s="3">
        <v>1</v>
      </c>
      <c r="AZ90" s="3">
        <v>1</v>
      </c>
      <c r="BA90" s="3">
        <v>1</v>
      </c>
      <c r="BB90" s="3">
        <v>1</v>
      </c>
      <c r="BC90" s="3">
        <v>1</v>
      </c>
      <c r="BD90" s="3">
        <v>1</v>
      </c>
      <c r="BE90" s="3">
        <v>1</v>
      </c>
      <c r="BF90" s="3">
        <v>1</v>
      </c>
      <c r="BG90" s="3">
        <v>1</v>
      </c>
      <c r="BH90" s="3">
        <v>1</v>
      </c>
      <c r="BI90" s="3">
        <v>1</v>
      </c>
      <c r="BJ90" s="3">
        <v>1</v>
      </c>
      <c r="BK90" s="3">
        <v>1</v>
      </c>
      <c r="BL90" s="3">
        <v>1</v>
      </c>
      <c r="BM90" s="3">
        <v>1</v>
      </c>
      <c r="BN90" s="3">
        <v>1</v>
      </c>
      <c r="BO90" s="3">
        <v>1</v>
      </c>
      <c r="BP90" s="3">
        <v>1</v>
      </c>
      <c r="BQ90" s="3">
        <v>1</v>
      </c>
      <c r="BR90" s="3"/>
    </row>
    <row r="91" spans="1:70" x14ac:dyDescent="0.3">
      <c r="A91" s="16" t="s">
        <v>757</v>
      </c>
      <c r="B91" s="16" t="s">
        <v>758</v>
      </c>
      <c r="C91" s="16" t="s">
        <v>759</v>
      </c>
      <c r="D91" s="14" t="s">
        <v>783</v>
      </c>
      <c r="E91" s="16" t="s">
        <v>139</v>
      </c>
      <c r="F91" s="16"/>
      <c r="G91" s="16" t="s">
        <v>140</v>
      </c>
      <c r="H91" s="16">
        <v>0</v>
      </c>
      <c r="I91" s="16">
        <v>1</v>
      </c>
      <c r="J91" s="16">
        <v>1</v>
      </c>
      <c r="K91" s="16">
        <v>1</v>
      </c>
      <c r="L91" s="16">
        <v>1</v>
      </c>
      <c r="M91" s="16">
        <v>1</v>
      </c>
      <c r="N91" s="16">
        <v>1</v>
      </c>
      <c r="O91" s="16">
        <v>1</v>
      </c>
      <c r="P91" s="16">
        <v>1</v>
      </c>
      <c r="Q91" s="16">
        <v>1</v>
      </c>
      <c r="R91" s="16">
        <v>1</v>
      </c>
      <c r="S91" s="16">
        <v>1</v>
      </c>
      <c r="T91" s="16">
        <v>1</v>
      </c>
      <c r="U91" s="16">
        <v>1</v>
      </c>
      <c r="V91" s="16">
        <v>1</v>
      </c>
      <c r="W91" s="16">
        <v>1</v>
      </c>
      <c r="X91" s="16">
        <v>1</v>
      </c>
      <c r="Y91" s="16">
        <v>1</v>
      </c>
      <c r="Z91" s="16">
        <v>1</v>
      </c>
      <c r="AA91" s="16">
        <v>1</v>
      </c>
      <c r="AB91" s="16">
        <v>1</v>
      </c>
      <c r="AC91" s="16">
        <v>1</v>
      </c>
      <c r="AD91" s="16">
        <v>1</v>
      </c>
      <c r="AE91" s="16">
        <v>1</v>
      </c>
      <c r="AF91" s="16">
        <v>1</v>
      </c>
      <c r="AG91" s="16">
        <v>1</v>
      </c>
      <c r="AH91" s="16">
        <v>1</v>
      </c>
      <c r="AI91" s="16">
        <v>1</v>
      </c>
      <c r="AJ91" s="16">
        <v>1</v>
      </c>
      <c r="AK91" s="16">
        <v>1</v>
      </c>
      <c r="AL91" s="16">
        <v>1</v>
      </c>
      <c r="AM91" s="16">
        <v>1</v>
      </c>
      <c r="AN91" s="16">
        <v>1</v>
      </c>
      <c r="AO91" s="16">
        <v>1</v>
      </c>
      <c r="AP91" s="16">
        <v>1</v>
      </c>
      <c r="AQ91" s="16">
        <v>1</v>
      </c>
      <c r="AR91" s="16">
        <v>1</v>
      </c>
      <c r="AS91" s="16">
        <v>1</v>
      </c>
      <c r="AT91" s="16">
        <v>1</v>
      </c>
      <c r="AU91" s="16">
        <v>1</v>
      </c>
      <c r="AV91" s="16">
        <v>1</v>
      </c>
      <c r="AW91" s="16">
        <v>1</v>
      </c>
      <c r="AX91" s="16">
        <v>1</v>
      </c>
      <c r="AY91" s="16">
        <v>1</v>
      </c>
      <c r="AZ91" s="16">
        <v>1</v>
      </c>
      <c r="BA91" s="16">
        <v>1</v>
      </c>
      <c r="BB91" s="16">
        <v>1</v>
      </c>
      <c r="BC91" s="16">
        <v>1</v>
      </c>
      <c r="BD91" s="16">
        <v>1</v>
      </c>
      <c r="BE91" s="16">
        <v>1</v>
      </c>
      <c r="BF91" s="16">
        <v>1</v>
      </c>
      <c r="BG91" s="16">
        <v>1</v>
      </c>
      <c r="BH91" s="16">
        <v>1</v>
      </c>
      <c r="BI91" s="16">
        <v>1</v>
      </c>
      <c r="BJ91" s="16">
        <v>1</v>
      </c>
      <c r="BK91" s="16">
        <v>1</v>
      </c>
      <c r="BL91" s="16">
        <v>1</v>
      </c>
      <c r="BM91" s="16">
        <v>1</v>
      </c>
      <c r="BN91" s="16">
        <v>1</v>
      </c>
      <c r="BO91" s="16">
        <v>1</v>
      </c>
      <c r="BP91" s="16">
        <v>1</v>
      </c>
      <c r="BQ91" s="16">
        <v>1</v>
      </c>
      <c r="BR91" s="1"/>
    </row>
    <row r="92" spans="1:70" x14ac:dyDescent="0.3">
      <c r="A92" s="16" t="s">
        <v>757</v>
      </c>
      <c r="B92" s="16" t="s">
        <v>758</v>
      </c>
      <c r="C92" s="14" t="s">
        <v>781</v>
      </c>
      <c r="D92" s="14" t="s">
        <v>784</v>
      </c>
      <c r="E92" s="16" t="s">
        <v>11</v>
      </c>
      <c r="F92" s="16"/>
      <c r="G92" s="16" t="s">
        <v>140</v>
      </c>
      <c r="H92" s="16">
        <v>0</v>
      </c>
      <c r="I92" s="16">
        <v>1</v>
      </c>
      <c r="J92" s="16">
        <v>1</v>
      </c>
      <c r="K92" s="16">
        <v>1</v>
      </c>
      <c r="L92" s="16">
        <v>1</v>
      </c>
      <c r="M92" s="16">
        <v>1</v>
      </c>
      <c r="N92" s="16">
        <v>1</v>
      </c>
      <c r="O92" s="16">
        <v>1</v>
      </c>
      <c r="P92" s="16">
        <v>1</v>
      </c>
      <c r="Q92" s="16">
        <v>1</v>
      </c>
      <c r="R92" s="16">
        <v>1</v>
      </c>
      <c r="S92" s="16">
        <v>1</v>
      </c>
      <c r="T92" s="16">
        <f t="shared" ref="T92:AY92" si="0">T91</f>
        <v>1</v>
      </c>
      <c r="U92" s="16">
        <f t="shared" si="0"/>
        <v>1</v>
      </c>
      <c r="V92" s="16">
        <f t="shared" si="0"/>
        <v>1</v>
      </c>
      <c r="W92" s="16">
        <f t="shared" si="0"/>
        <v>1</v>
      </c>
      <c r="X92" s="16">
        <f t="shared" si="0"/>
        <v>1</v>
      </c>
      <c r="Y92" s="16">
        <f t="shared" si="0"/>
        <v>1</v>
      </c>
      <c r="Z92" s="16">
        <f t="shared" si="0"/>
        <v>1</v>
      </c>
      <c r="AA92" s="16">
        <f t="shared" si="0"/>
        <v>1</v>
      </c>
      <c r="AB92" s="16">
        <f t="shared" si="0"/>
        <v>1</v>
      </c>
      <c r="AC92" s="16">
        <f t="shared" si="0"/>
        <v>1</v>
      </c>
      <c r="AD92" s="16">
        <f t="shared" si="0"/>
        <v>1</v>
      </c>
      <c r="AE92" s="16">
        <f t="shared" si="0"/>
        <v>1</v>
      </c>
      <c r="AF92" s="16">
        <f t="shared" si="0"/>
        <v>1</v>
      </c>
      <c r="AG92" s="16">
        <f t="shared" si="0"/>
        <v>1</v>
      </c>
      <c r="AH92" s="16">
        <f t="shared" si="0"/>
        <v>1</v>
      </c>
      <c r="AI92" s="16">
        <f t="shared" si="0"/>
        <v>1</v>
      </c>
      <c r="AJ92" s="16">
        <f t="shared" si="0"/>
        <v>1</v>
      </c>
      <c r="AK92" s="16">
        <f t="shared" si="0"/>
        <v>1</v>
      </c>
      <c r="AL92" s="16">
        <f t="shared" si="0"/>
        <v>1</v>
      </c>
      <c r="AM92" s="16">
        <f t="shared" si="0"/>
        <v>1</v>
      </c>
      <c r="AN92" s="16">
        <f t="shared" si="0"/>
        <v>1</v>
      </c>
      <c r="AO92" s="16">
        <f t="shared" si="0"/>
        <v>1</v>
      </c>
      <c r="AP92" s="16">
        <f t="shared" si="0"/>
        <v>1</v>
      </c>
      <c r="AQ92" s="16">
        <f t="shared" si="0"/>
        <v>1</v>
      </c>
      <c r="AR92" s="16">
        <f t="shared" si="0"/>
        <v>1</v>
      </c>
      <c r="AS92" s="16">
        <f t="shared" si="0"/>
        <v>1</v>
      </c>
      <c r="AT92" s="16">
        <f t="shared" si="0"/>
        <v>1</v>
      </c>
      <c r="AU92" s="16">
        <f t="shared" si="0"/>
        <v>1</v>
      </c>
      <c r="AV92" s="16">
        <f t="shared" si="0"/>
        <v>1</v>
      </c>
      <c r="AW92" s="16">
        <f t="shared" si="0"/>
        <v>1</v>
      </c>
      <c r="AX92" s="16">
        <f t="shared" si="0"/>
        <v>1</v>
      </c>
      <c r="AY92" s="16">
        <f t="shared" si="0"/>
        <v>1</v>
      </c>
      <c r="AZ92" s="16">
        <f t="shared" ref="AZ92:BQ92" si="1">AZ91</f>
        <v>1</v>
      </c>
      <c r="BA92" s="16">
        <f t="shared" si="1"/>
        <v>1</v>
      </c>
      <c r="BB92" s="16">
        <f t="shared" si="1"/>
        <v>1</v>
      </c>
      <c r="BC92" s="16">
        <f t="shared" si="1"/>
        <v>1</v>
      </c>
      <c r="BD92" s="16">
        <f t="shared" si="1"/>
        <v>1</v>
      </c>
      <c r="BE92" s="16">
        <f t="shared" si="1"/>
        <v>1</v>
      </c>
      <c r="BF92" s="16">
        <f t="shared" si="1"/>
        <v>1</v>
      </c>
      <c r="BG92" s="16">
        <f t="shared" si="1"/>
        <v>1</v>
      </c>
      <c r="BH92" s="16">
        <f t="shared" si="1"/>
        <v>1</v>
      </c>
      <c r="BI92" s="16">
        <f t="shared" si="1"/>
        <v>1</v>
      </c>
      <c r="BJ92" s="16">
        <f t="shared" si="1"/>
        <v>1</v>
      </c>
      <c r="BK92" s="16">
        <f t="shared" si="1"/>
        <v>1</v>
      </c>
      <c r="BL92" s="16">
        <f t="shared" si="1"/>
        <v>1</v>
      </c>
      <c r="BM92" s="16">
        <f t="shared" si="1"/>
        <v>1</v>
      </c>
      <c r="BN92" s="16">
        <f t="shared" si="1"/>
        <v>1</v>
      </c>
      <c r="BO92" s="16">
        <f t="shared" si="1"/>
        <v>1</v>
      </c>
      <c r="BP92" s="16">
        <f t="shared" si="1"/>
        <v>1</v>
      </c>
      <c r="BQ92" s="16">
        <f t="shared" si="1"/>
        <v>1</v>
      </c>
      <c r="BR92" s="1"/>
    </row>
    <row r="93" spans="1:70" x14ac:dyDescent="0.3">
      <c r="A93" s="16" t="s">
        <v>757</v>
      </c>
      <c r="B93" s="16" t="s">
        <v>758</v>
      </c>
      <c r="C93" s="16" t="s">
        <v>15</v>
      </c>
      <c r="D93" s="16" t="s">
        <v>16</v>
      </c>
      <c r="E93" s="16" t="s">
        <v>139</v>
      </c>
      <c r="F93" s="16" t="s">
        <v>176</v>
      </c>
      <c r="G93" s="16" t="s">
        <v>140</v>
      </c>
      <c r="H93" s="16">
        <v>0</v>
      </c>
      <c r="I93" s="16">
        <v>2.1000000000000001E-2</v>
      </c>
      <c r="J93" s="16">
        <v>2.0799999999999999E-2</v>
      </c>
      <c r="K93" s="16">
        <v>1.9699999999999999E-2</v>
      </c>
      <c r="L93" s="16">
        <v>2.12E-2</v>
      </c>
      <c r="M93" s="16">
        <v>2.1299999999999999E-2</v>
      </c>
      <c r="N93" s="16">
        <v>2.0400000000000001E-2</v>
      </c>
      <c r="O93" s="16">
        <v>1.83E-2</v>
      </c>
      <c r="P93" s="16">
        <v>1.5699999999999999E-2</v>
      </c>
      <c r="Q93" s="16">
        <v>1.3299999999999999E-2</v>
      </c>
      <c r="R93" s="16">
        <v>1.49E-2</v>
      </c>
      <c r="S93" s="16">
        <v>1.5699999999999999E-2</v>
      </c>
      <c r="T93" s="16">
        <v>1.3299999999999999E-2</v>
      </c>
      <c r="U93" s="16">
        <v>1.43E-2</v>
      </c>
      <c r="V93" s="16">
        <v>1.43E-2</v>
      </c>
      <c r="W93" s="16">
        <v>1.43E-2</v>
      </c>
      <c r="X93" s="16">
        <v>1.43E-2</v>
      </c>
      <c r="Y93" s="16">
        <v>1.43E-2</v>
      </c>
      <c r="Z93" s="16">
        <v>1.43E-2</v>
      </c>
      <c r="AA93" s="16">
        <v>1.43E-2</v>
      </c>
      <c r="AB93" s="16">
        <v>1.43E-2</v>
      </c>
      <c r="AC93" s="16">
        <v>1.43E-2</v>
      </c>
      <c r="AD93" s="16">
        <v>1.43E-2</v>
      </c>
      <c r="AE93" s="16">
        <v>1.43E-2</v>
      </c>
      <c r="AF93" s="16">
        <v>1.43E-2</v>
      </c>
      <c r="AG93" s="16">
        <v>1.43E-2</v>
      </c>
      <c r="AH93" s="16">
        <v>1.43E-2</v>
      </c>
      <c r="AI93" s="16">
        <v>1.43E-2</v>
      </c>
      <c r="AJ93" s="16">
        <v>1.43E-2</v>
      </c>
      <c r="AK93" s="16">
        <v>1.43E-2</v>
      </c>
      <c r="AL93" s="16">
        <v>1.43E-2</v>
      </c>
      <c r="AM93" s="16">
        <v>1.43E-2</v>
      </c>
      <c r="AN93" s="16">
        <v>1.43E-2</v>
      </c>
      <c r="AO93" s="16">
        <v>1.43E-2</v>
      </c>
      <c r="AP93" s="16">
        <v>1.43E-2</v>
      </c>
      <c r="AQ93" s="16">
        <v>1.43E-2</v>
      </c>
      <c r="AR93" s="16">
        <v>1.43E-2</v>
      </c>
      <c r="AS93" s="16">
        <v>1.43E-2</v>
      </c>
      <c r="AT93" s="16">
        <v>1.43E-2</v>
      </c>
      <c r="AU93" s="16">
        <v>1.43E-2</v>
      </c>
      <c r="AV93" s="16">
        <v>1.43E-2</v>
      </c>
      <c r="AW93" s="16">
        <v>1.43E-2</v>
      </c>
      <c r="AX93" s="16">
        <v>1.43E-2</v>
      </c>
      <c r="AY93" s="16">
        <v>1.43E-2</v>
      </c>
      <c r="AZ93" s="16">
        <v>1.43E-2</v>
      </c>
      <c r="BA93" s="16">
        <v>1.43E-2</v>
      </c>
      <c r="BB93" s="16">
        <v>1.43E-2</v>
      </c>
      <c r="BC93" s="16">
        <v>1.43E-2</v>
      </c>
      <c r="BD93" s="16">
        <v>1.43E-2</v>
      </c>
      <c r="BE93" s="16">
        <v>1.43E-2</v>
      </c>
      <c r="BF93" s="16">
        <v>1.43E-2</v>
      </c>
      <c r="BG93" s="16">
        <v>1.43E-2</v>
      </c>
      <c r="BH93" s="16">
        <v>1.43E-2</v>
      </c>
      <c r="BI93" s="16">
        <v>1.43E-2</v>
      </c>
      <c r="BJ93" s="16">
        <v>1.43E-2</v>
      </c>
      <c r="BK93" s="16">
        <v>1.43E-2</v>
      </c>
      <c r="BL93" s="16">
        <v>1.43E-2</v>
      </c>
      <c r="BM93" s="16">
        <v>1.43E-2</v>
      </c>
      <c r="BN93" s="16">
        <v>1.43E-2</v>
      </c>
      <c r="BO93" s="16">
        <v>1.43E-2</v>
      </c>
      <c r="BP93" s="16">
        <v>1.43E-2</v>
      </c>
      <c r="BQ93" s="16">
        <v>1.43E-2</v>
      </c>
      <c r="BR93" s="1"/>
    </row>
    <row r="94" spans="1:70" x14ac:dyDescent="0.3">
      <c r="A94" s="16" t="s">
        <v>757</v>
      </c>
      <c r="B94" s="16" t="s">
        <v>758</v>
      </c>
      <c r="C94" s="16" t="s">
        <v>31</v>
      </c>
      <c r="D94" s="16" t="s">
        <v>157</v>
      </c>
      <c r="E94" s="16" t="s">
        <v>139</v>
      </c>
      <c r="F94" s="16" t="s">
        <v>176</v>
      </c>
      <c r="G94" s="16" t="s">
        <v>140</v>
      </c>
      <c r="H94" s="16">
        <v>0</v>
      </c>
      <c r="I94" s="16">
        <v>2.69E-2</v>
      </c>
      <c r="J94" s="16">
        <v>2.8899999999999999E-2</v>
      </c>
      <c r="K94" s="16">
        <v>2.9499999999999998E-2</v>
      </c>
      <c r="L94" s="16">
        <v>2.6700000000000002E-2</v>
      </c>
      <c r="M94" s="16">
        <v>2.69E-2</v>
      </c>
      <c r="N94" s="16">
        <v>2.12E-2</v>
      </c>
      <c r="O94" s="16">
        <v>2.6499999999999999E-2</v>
      </c>
      <c r="P94" s="16">
        <v>2.5899999999999999E-2</v>
      </c>
      <c r="Q94" s="16">
        <v>2.3699999999999999E-2</v>
      </c>
      <c r="R94" s="16">
        <v>2.3699999999999999E-2</v>
      </c>
      <c r="S94" s="16">
        <v>2.4199999999999999E-2</v>
      </c>
      <c r="T94" s="16">
        <v>2.3300000000000001E-2</v>
      </c>
      <c r="U94" s="16">
        <v>2.3699999999999999E-2</v>
      </c>
      <c r="V94" s="16">
        <v>2.3699999999999999E-2</v>
      </c>
      <c r="W94" s="16">
        <v>2.3699999999999999E-2</v>
      </c>
      <c r="X94" s="16">
        <v>2.3699999999999999E-2</v>
      </c>
      <c r="Y94" s="16">
        <v>2.3699999999999999E-2</v>
      </c>
      <c r="Z94" s="16">
        <v>2.3699999999999999E-2</v>
      </c>
      <c r="AA94" s="16">
        <v>2.3699999999999999E-2</v>
      </c>
      <c r="AB94" s="16">
        <v>2.3699999999999999E-2</v>
      </c>
      <c r="AC94" s="16">
        <v>2.3699999999999999E-2</v>
      </c>
      <c r="AD94" s="16">
        <v>2.3699999999999999E-2</v>
      </c>
      <c r="AE94" s="16">
        <v>2.3699999999999999E-2</v>
      </c>
      <c r="AF94" s="16">
        <v>2.3699999999999999E-2</v>
      </c>
      <c r="AG94" s="16">
        <v>2.3699999999999999E-2</v>
      </c>
      <c r="AH94" s="16">
        <v>2.3699999999999999E-2</v>
      </c>
      <c r="AI94" s="16">
        <v>2.3699999999999999E-2</v>
      </c>
      <c r="AJ94" s="16">
        <v>2.3699999999999999E-2</v>
      </c>
      <c r="AK94" s="16">
        <v>2.3699999999999999E-2</v>
      </c>
      <c r="AL94" s="16">
        <v>2.3699999999999999E-2</v>
      </c>
      <c r="AM94" s="16">
        <v>2.3699999999999999E-2</v>
      </c>
      <c r="AN94" s="16">
        <v>2.3699999999999999E-2</v>
      </c>
      <c r="AO94" s="16">
        <v>2.3699999999999999E-2</v>
      </c>
      <c r="AP94" s="16">
        <v>2.3699999999999999E-2</v>
      </c>
      <c r="AQ94" s="16">
        <v>2.3699999999999999E-2</v>
      </c>
      <c r="AR94" s="16">
        <v>2.3699999999999999E-2</v>
      </c>
      <c r="AS94" s="16">
        <v>2.3699999999999999E-2</v>
      </c>
      <c r="AT94" s="16">
        <v>2.3699999999999999E-2</v>
      </c>
      <c r="AU94" s="16">
        <v>2.3699999999999999E-2</v>
      </c>
      <c r="AV94" s="16">
        <v>2.3699999999999999E-2</v>
      </c>
      <c r="AW94" s="16">
        <v>2.3699999999999999E-2</v>
      </c>
      <c r="AX94" s="16">
        <v>2.3699999999999999E-2</v>
      </c>
      <c r="AY94" s="16">
        <v>2.3699999999999999E-2</v>
      </c>
      <c r="AZ94" s="16">
        <v>2.3699999999999999E-2</v>
      </c>
      <c r="BA94" s="16">
        <v>2.3699999999999999E-2</v>
      </c>
      <c r="BB94" s="16">
        <v>2.3699999999999999E-2</v>
      </c>
      <c r="BC94" s="16">
        <v>2.3699999999999999E-2</v>
      </c>
      <c r="BD94" s="16">
        <v>2.3699999999999999E-2</v>
      </c>
      <c r="BE94" s="16">
        <v>2.3699999999999999E-2</v>
      </c>
      <c r="BF94" s="16">
        <v>2.3699999999999999E-2</v>
      </c>
      <c r="BG94" s="16">
        <v>2.3699999999999999E-2</v>
      </c>
      <c r="BH94" s="16">
        <v>2.3699999999999999E-2</v>
      </c>
      <c r="BI94" s="16">
        <v>2.3699999999999999E-2</v>
      </c>
      <c r="BJ94" s="16">
        <v>2.3699999999999999E-2</v>
      </c>
      <c r="BK94" s="16">
        <v>2.3699999999999999E-2</v>
      </c>
      <c r="BL94" s="16">
        <v>2.3699999999999999E-2</v>
      </c>
      <c r="BM94" s="16">
        <v>2.3699999999999999E-2</v>
      </c>
      <c r="BN94" s="16">
        <v>2.3699999999999999E-2</v>
      </c>
      <c r="BO94" s="16">
        <v>2.3699999999999999E-2</v>
      </c>
      <c r="BP94" s="16">
        <v>2.3699999999999999E-2</v>
      </c>
      <c r="BQ94" s="16">
        <v>2.3699999999999999E-2</v>
      </c>
      <c r="BR94" s="1"/>
    </row>
    <row r="95" spans="1:70" x14ac:dyDescent="0.3">
      <c r="A95" s="16" t="s">
        <v>757</v>
      </c>
      <c r="B95" s="16" t="s">
        <v>758</v>
      </c>
      <c r="C95" s="16" t="s">
        <v>35</v>
      </c>
      <c r="D95" s="16" t="s">
        <v>160</v>
      </c>
      <c r="E95" s="16" t="s">
        <v>139</v>
      </c>
      <c r="F95" s="16" t="s">
        <v>176</v>
      </c>
      <c r="G95" s="16" t="s">
        <v>140</v>
      </c>
      <c r="H95" s="16">
        <v>0</v>
      </c>
      <c r="I95" s="16">
        <v>5.0000000000000001E-4</v>
      </c>
      <c r="J95" s="16">
        <v>6.9999999999999999E-4</v>
      </c>
      <c r="K95" s="16">
        <v>6.9999999999999999E-4</v>
      </c>
      <c r="L95" s="16">
        <v>5.9999999999999995E-4</v>
      </c>
      <c r="M95" s="16">
        <v>5.0000000000000001E-4</v>
      </c>
      <c r="N95" s="16">
        <v>5.0000000000000001E-4</v>
      </c>
      <c r="O95" s="16">
        <v>2.9999999999999997E-4</v>
      </c>
      <c r="P95" s="16">
        <v>2.9999999999999997E-4</v>
      </c>
      <c r="Q95" s="16">
        <v>2.9999999999999997E-4</v>
      </c>
      <c r="R95" s="16">
        <v>4.0000000000000002E-4</v>
      </c>
      <c r="S95" s="16">
        <v>5.0000000000000001E-4</v>
      </c>
      <c r="T95" s="16">
        <v>4.0000000000000002E-4</v>
      </c>
      <c r="U95" s="16">
        <v>4.0000000000000002E-4</v>
      </c>
      <c r="V95" s="16">
        <v>4.0000000000000002E-4</v>
      </c>
      <c r="W95" s="16">
        <v>4.0000000000000002E-4</v>
      </c>
      <c r="X95" s="16">
        <v>4.0000000000000002E-4</v>
      </c>
      <c r="Y95" s="16">
        <v>4.0000000000000002E-4</v>
      </c>
      <c r="Z95" s="16">
        <v>4.0000000000000002E-4</v>
      </c>
      <c r="AA95" s="16">
        <v>4.0000000000000002E-4</v>
      </c>
      <c r="AB95" s="16">
        <v>4.0000000000000002E-4</v>
      </c>
      <c r="AC95" s="16">
        <v>4.0000000000000002E-4</v>
      </c>
      <c r="AD95" s="16">
        <v>4.0000000000000002E-4</v>
      </c>
      <c r="AE95" s="16">
        <v>4.0000000000000002E-4</v>
      </c>
      <c r="AF95" s="16">
        <v>4.0000000000000002E-4</v>
      </c>
      <c r="AG95" s="16">
        <v>4.0000000000000002E-4</v>
      </c>
      <c r="AH95" s="16">
        <v>4.0000000000000002E-4</v>
      </c>
      <c r="AI95" s="16">
        <v>4.0000000000000002E-4</v>
      </c>
      <c r="AJ95" s="16">
        <v>4.0000000000000002E-4</v>
      </c>
      <c r="AK95" s="16">
        <v>4.0000000000000002E-4</v>
      </c>
      <c r="AL95" s="16">
        <v>4.0000000000000002E-4</v>
      </c>
      <c r="AM95" s="16">
        <v>4.0000000000000002E-4</v>
      </c>
      <c r="AN95" s="16">
        <v>4.0000000000000002E-4</v>
      </c>
      <c r="AO95" s="16">
        <v>4.0000000000000002E-4</v>
      </c>
      <c r="AP95" s="16">
        <v>4.0000000000000002E-4</v>
      </c>
      <c r="AQ95" s="16">
        <v>4.0000000000000002E-4</v>
      </c>
      <c r="AR95" s="16">
        <v>4.0000000000000002E-4</v>
      </c>
      <c r="AS95" s="16">
        <v>4.0000000000000002E-4</v>
      </c>
      <c r="AT95" s="16">
        <v>4.0000000000000002E-4</v>
      </c>
      <c r="AU95" s="16">
        <v>4.0000000000000002E-4</v>
      </c>
      <c r="AV95" s="16">
        <v>4.0000000000000002E-4</v>
      </c>
      <c r="AW95" s="16">
        <v>4.0000000000000002E-4</v>
      </c>
      <c r="AX95" s="16">
        <v>4.0000000000000002E-4</v>
      </c>
      <c r="AY95" s="16">
        <v>4.0000000000000002E-4</v>
      </c>
      <c r="AZ95" s="16">
        <v>4.0000000000000002E-4</v>
      </c>
      <c r="BA95" s="16">
        <v>4.0000000000000002E-4</v>
      </c>
      <c r="BB95" s="16">
        <v>4.0000000000000002E-4</v>
      </c>
      <c r="BC95" s="16">
        <v>4.0000000000000002E-4</v>
      </c>
      <c r="BD95" s="16">
        <v>4.0000000000000002E-4</v>
      </c>
      <c r="BE95" s="16">
        <v>4.0000000000000002E-4</v>
      </c>
      <c r="BF95" s="16">
        <v>4.0000000000000002E-4</v>
      </c>
      <c r="BG95" s="16">
        <v>4.0000000000000002E-4</v>
      </c>
      <c r="BH95" s="16">
        <v>4.0000000000000002E-4</v>
      </c>
      <c r="BI95" s="16">
        <v>4.0000000000000002E-4</v>
      </c>
      <c r="BJ95" s="16">
        <v>4.0000000000000002E-4</v>
      </c>
      <c r="BK95" s="16">
        <v>4.0000000000000002E-4</v>
      </c>
      <c r="BL95" s="16">
        <v>4.0000000000000002E-4</v>
      </c>
      <c r="BM95" s="16">
        <v>4.0000000000000002E-4</v>
      </c>
      <c r="BN95" s="16">
        <v>4.0000000000000002E-4</v>
      </c>
      <c r="BO95" s="16">
        <v>4.0000000000000002E-4</v>
      </c>
      <c r="BP95" s="16">
        <v>4.0000000000000002E-4</v>
      </c>
      <c r="BQ95" s="16">
        <v>4.0000000000000002E-4</v>
      </c>
      <c r="BR95" s="1"/>
    </row>
    <row r="96" spans="1:70" x14ac:dyDescent="0.3">
      <c r="A96" s="16" t="s">
        <v>757</v>
      </c>
      <c r="B96" s="16" t="s">
        <v>758</v>
      </c>
      <c r="C96" s="16" t="s">
        <v>173</v>
      </c>
      <c r="D96" s="16" t="s">
        <v>760</v>
      </c>
      <c r="E96" s="16" t="s">
        <v>139</v>
      </c>
      <c r="F96" s="16" t="s">
        <v>176</v>
      </c>
      <c r="G96" s="16" t="s">
        <v>140</v>
      </c>
      <c r="H96" s="16">
        <v>0</v>
      </c>
      <c r="I96" s="16">
        <v>1.26E-2</v>
      </c>
      <c r="J96" s="16">
        <v>1.2699999999999999E-2</v>
      </c>
      <c r="K96" s="16">
        <v>1.3100000000000001E-2</v>
      </c>
      <c r="L96" s="16">
        <v>1.34E-2</v>
      </c>
      <c r="M96" s="16">
        <v>1.4200000000000001E-2</v>
      </c>
      <c r="N96" s="16">
        <v>1.7100000000000001E-2</v>
      </c>
      <c r="O96" s="16">
        <v>1.2800000000000001E-2</v>
      </c>
      <c r="P96" s="16">
        <v>1.26E-2</v>
      </c>
      <c r="Q96" s="16">
        <v>3.3E-3</v>
      </c>
      <c r="R96" s="16">
        <v>3.5999999999999999E-3</v>
      </c>
      <c r="S96" s="16">
        <v>3.5000000000000001E-3</v>
      </c>
      <c r="T96" s="16">
        <v>3.0999999999999999E-3</v>
      </c>
      <c r="U96" s="16">
        <v>3.3999999999999998E-3</v>
      </c>
      <c r="V96" s="16">
        <v>3.3999999999999998E-3</v>
      </c>
      <c r="W96" s="16">
        <v>3.3999999999999998E-3</v>
      </c>
      <c r="X96" s="16">
        <v>3.3999999999999998E-3</v>
      </c>
      <c r="Y96" s="16">
        <v>3.3999999999999998E-3</v>
      </c>
      <c r="Z96" s="16">
        <v>3.3999999999999998E-3</v>
      </c>
      <c r="AA96" s="16">
        <v>3.3999999999999998E-3</v>
      </c>
      <c r="AB96" s="16">
        <v>3.3999999999999998E-3</v>
      </c>
      <c r="AC96" s="16">
        <v>3.3999999999999998E-3</v>
      </c>
      <c r="AD96" s="16">
        <v>3.3999999999999998E-3</v>
      </c>
      <c r="AE96" s="16">
        <v>3.3999999999999998E-3</v>
      </c>
      <c r="AF96" s="16">
        <v>3.3999999999999998E-3</v>
      </c>
      <c r="AG96" s="16">
        <v>3.3999999999999998E-3</v>
      </c>
      <c r="AH96" s="16">
        <v>3.3999999999999998E-3</v>
      </c>
      <c r="AI96" s="16">
        <v>3.3999999999999998E-3</v>
      </c>
      <c r="AJ96" s="16">
        <v>3.3999999999999998E-3</v>
      </c>
      <c r="AK96" s="16">
        <v>3.3999999999999998E-3</v>
      </c>
      <c r="AL96" s="16">
        <v>3.3999999999999998E-3</v>
      </c>
      <c r="AM96" s="16">
        <v>3.3999999999999998E-3</v>
      </c>
      <c r="AN96" s="16">
        <v>3.3999999999999998E-3</v>
      </c>
      <c r="AO96" s="16">
        <v>3.3999999999999998E-3</v>
      </c>
      <c r="AP96" s="16">
        <v>3.3999999999999998E-3</v>
      </c>
      <c r="AQ96" s="16">
        <v>3.3999999999999998E-3</v>
      </c>
      <c r="AR96" s="16">
        <v>3.3999999999999998E-3</v>
      </c>
      <c r="AS96" s="16">
        <v>3.3999999999999998E-3</v>
      </c>
      <c r="AT96" s="16">
        <v>3.3999999999999998E-3</v>
      </c>
      <c r="AU96" s="16">
        <v>3.3999999999999998E-3</v>
      </c>
      <c r="AV96" s="16">
        <v>3.3999999999999998E-3</v>
      </c>
      <c r="AW96" s="16">
        <v>3.3999999999999998E-3</v>
      </c>
      <c r="AX96" s="16">
        <v>3.3999999999999998E-3</v>
      </c>
      <c r="AY96" s="16">
        <v>3.3999999999999998E-3</v>
      </c>
      <c r="AZ96" s="16">
        <v>3.3999999999999998E-3</v>
      </c>
      <c r="BA96" s="16">
        <v>3.3999999999999998E-3</v>
      </c>
      <c r="BB96" s="16">
        <v>3.3999999999999998E-3</v>
      </c>
      <c r="BC96" s="16">
        <v>3.3999999999999998E-3</v>
      </c>
      <c r="BD96" s="16">
        <v>3.3999999999999998E-3</v>
      </c>
      <c r="BE96" s="16">
        <v>3.3999999999999998E-3</v>
      </c>
      <c r="BF96" s="16">
        <v>3.3999999999999998E-3</v>
      </c>
      <c r="BG96" s="16">
        <v>3.3999999999999998E-3</v>
      </c>
      <c r="BH96" s="16">
        <v>3.3999999999999998E-3</v>
      </c>
      <c r="BI96" s="16">
        <v>3.3999999999999998E-3</v>
      </c>
      <c r="BJ96" s="16">
        <v>3.3999999999999998E-3</v>
      </c>
      <c r="BK96" s="16">
        <v>3.3999999999999998E-3</v>
      </c>
      <c r="BL96" s="16">
        <v>3.3999999999999998E-3</v>
      </c>
      <c r="BM96" s="16">
        <v>3.3999999999999998E-3</v>
      </c>
      <c r="BN96" s="16">
        <v>3.3999999999999998E-3</v>
      </c>
      <c r="BO96" s="16">
        <v>3.3999999999999998E-3</v>
      </c>
      <c r="BP96" s="16">
        <v>3.3999999999999998E-3</v>
      </c>
      <c r="BQ96" s="16">
        <v>3.3999999999999998E-3</v>
      </c>
      <c r="BR96" s="1"/>
    </row>
    <row r="97" spans="1:70" x14ac:dyDescent="0.3">
      <c r="A97" s="4" t="s">
        <v>161</v>
      </c>
      <c r="B97" s="4" t="s">
        <v>162</v>
      </c>
      <c r="C97" s="5" t="s">
        <v>781</v>
      </c>
      <c r="D97" s="14" t="s">
        <v>784</v>
      </c>
      <c r="E97" s="4" t="s">
        <v>139</v>
      </c>
      <c r="F97" s="7"/>
      <c r="G97" s="4" t="s">
        <v>140</v>
      </c>
      <c r="H97" s="4">
        <v>0</v>
      </c>
      <c r="I97" s="3">
        <v>1.0196000000000001</v>
      </c>
      <c r="J97" s="3">
        <v>1.0196000000000001</v>
      </c>
      <c r="K97" s="3">
        <v>1.0196000000000001</v>
      </c>
      <c r="L97" s="3">
        <v>1.0196000000000001</v>
      </c>
      <c r="M97" s="3">
        <v>1.0196000000000001</v>
      </c>
      <c r="N97" s="3">
        <v>1.0196000000000001</v>
      </c>
      <c r="O97" s="3">
        <v>1.0196000000000001</v>
      </c>
      <c r="P97" s="3">
        <v>1.0196000000000001</v>
      </c>
      <c r="Q97" s="3">
        <v>1.0196000000000001</v>
      </c>
      <c r="R97" s="3">
        <v>1.0431999999999999</v>
      </c>
      <c r="S97" s="3">
        <v>1.0341</v>
      </c>
      <c r="T97" s="3">
        <v>1.0328999999999999</v>
      </c>
      <c r="U97" s="3">
        <v>1.0324500000000001</v>
      </c>
      <c r="V97" s="3">
        <v>1.0324500000000001</v>
      </c>
      <c r="W97" s="3">
        <v>1.0324500000000001</v>
      </c>
      <c r="X97" s="3">
        <v>1.0324500000000001</v>
      </c>
      <c r="Y97" s="3">
        <v>1.0324500000000001</v>
      </c>
      <c r="Z97" s="3">
        <v>1.0324500000000001</v>
      </c>
      <c r="AA97" s="3">
        <v>1.0324500000000001</v>
      </c>
      <c r="AB97" s="3">
        <v>1.0324500000000001</v>
      </c>
      <c r="AC97" s="3">
        <v>1.0324500000000001</v>
      </c>
      <c r="AD97" s="3">
        <v>1.0324500000000001</v>
      </c>
      <c r="AE97" s="3">
        <v>1.0324500000000001</v>
      </c>
      <c r="AF97" s="3">
        <v>1.0324500000000001</v>
      </c>
      <c r="AG97" s="3">
        <v>1.0324500000000001</v>
      </c>
      <c r="AH97" s="3">
        <v>1.0324500000000001</v>
      </c>
      <c r="AI97" s="3">
        <v>1.0324500000000001</v>
      </c>
      <c r="AJ97" s="3">
        <v>1.0324500000000001</v>
      </c>
      <c r="AK97" s="3">
        <v>1.0324500000000001</v>
      </c>
      <c r="AL97" s="3">
        <v>1.0324500000000001</v>
      </c>
      <c r="AM97" s="3">
        <v>1.0324500000000001</v>
      </c>
      <c r="AN97" s="3">
        <v>1.0324500000000001</v>
      </c>
      <c r="AO97" s="3">
        <v>1.0324500000000001</v>
      </c>
      <c r="AP97" s="3">
        <v>1.0324500000000001</v>
      </c>
      <c r="AQ97" s="3">
        <v>1.0324500000000001</v>
      </c>
      <c r="AR97" s="3">
        <v>1.0324500000000001</v>
      </c>
      <c r="AS97" s="3">
        <v>1.0324500000000001</v>
      </c>
      <c r="AT97" s="3">
        <v>1.0324500000000001</v>
      </c>
      <c r="AU97" s="3">
        <v>1.0324500000000001</v>
      </c>
      <c r="AV97" s="3">
        <v>1.0324500000000001</v>
      </c>
      <c r="AW97" s="3">
        <v>1.0324500000000001</v>
      </c>
      <c r="AX97" s="3">
        <v>1.0324500000000001</v>
      </c>
      <c r="AY97" s="3">
        <v>1.0324500000000001</v>
      </c>
      <c r="AZ97" s="3">
        <v>1.0324500000000001</v>
      </c>
      <c r="BA97" s="3">
        <v>1.0324500000000001</v>
      </c>
      <c r="BB97" s="3">
        <v>1.0324500000000001</v>
      </c>
      <c r="BC97" s="3">
        <v>1.0324500000000001</v>
      </c>
      <c r="BD97" s="3">
        <v>1.0324500000000001</v>
      </c>
      <c r="BE97" s="3">
        <v>1.0324500000000001</v>
      </c>
      <c r="BF97" s="3">
        <v>1.0324500000000001</v>
      </c>
      <c r="BG97" s="3">
        <v>1.0324500000000001</v>
      </c>
      <c r="BH97" s="3">
        <v>1.0324500000000001</v>
      </c>
      <c r="BI97" s="3">
        <v>1.0324500000000001</v>
      </c>
      <c r="BJ97" s="3">
        <v>1.0324500000000001</v>
      </c>
      <c r="BK97" s="3">
        <v>1.0324500000000001</v>
      </c>
      <c r="BL97" s="3">
        <v>1.0324500000000001</v>
      </c>
      <c r="BM97" s="3">
        <v>1.0324500000000001</v>
      </c>
      <c r="BN97" s="3">
        <v>1.0324500000000001</v>
      </c>
      <c r="BO97" s="3">
        <v>1.0324500000000001</v>
      </c>
      <c r="BP97" s="3">
        <v>1.0324500000000001</v>
      </c>
      <c r="BQ97" s="3">
        <v>1.0324500000000001</v>
      </c>
      <c r="BR97" s="3"/>
    </row>
    <row r="98" spans="1:70" x14ac:dyDescent="0.3">
      <c r="A98" s="4" t="s">
        <v>161</v>
      </c>
      <c r="B98" s="4" t="s">
        <v>162</v>
      </c>
      <c r="C98" s="4" t="s">
        <v>42</v>
      </c>
      <c r="D98" s="4" t="s">
        <v>163</v>
      </c>
      <c r="E98" s="4" t="s">
        <v>11</v>
      </c>
      <c r="F98" s="7"/>
      <c r="G98" s="4" t="s">
        <v>140</v>
      </c>
      <c r="H98" s="4">
        <v>0</v>
      </c>
      <c r="I98" s="3">
        <v>1</v>
      </c>
      <c r="J98" s="3">
        <v>1</v>
      </c>
      <c r="K98" s="3">
        <v>1</v>
      </c>
      <c r="L98" s="3">
        <v>1</v>
      </c>
      <c r="M98" s="3">
        <v>1</v>
      </c>
      <c r="N98" s="3">
        <v>1</v>
      </c>
      <c r="O98" s="3">
        <v>1</v>
      </c>
      <c r="P98" s="3">
        <v>1</v>
      </c>
      <c r="Q98" s="3">
        <v>1</v>
      </c>
      <c r="R98" s="3">
        <v>1</v>
      </c>
      <c r="S98" s="3">
        <v>1</v>
      </c>
      <c r="T98" s="3">
        <v>1</v>
      </c>
      <c r="U98" s="3">
        <v>1</v>
      </c>
      <c r="V98" s="3">
        <v>1</v>
      </c>
      <c r="W98" s="3">
        <v>1</v>
      </c>
      <c r="X98" s="3">
        <v>1</v>
      </c>
      <c r="Y98" s="3">
        <v>1</v>
      </c>
      <c r="Z98" s="3">
        <v>1</v>
      </c>
      <c r="AA98" s="3">
        <v>1</v>
      </c>
      <c r="AB98" s="3">
        <v>1</v>
      </c>
      <c r="AC98" s="3">
        <v>1</v>
      </c>
      <c r="AD98" s="3">
        <v>1</v>
      </c>
      <c r="AE98" s="3">
        <v>1</v>
      </c>
      <c r="AF98" s="3">
        <v>1</v>
      </c>
      <c r="AG98" s="3">
        <v>1</v>
      </c>
      <c r="AH98" s="3">
        <v>1</v>
      </c>
      <c r="AI98" s="3">
        <v>1</v>
      </c>
      <c r="AJ98" s="3">
        <v>1</v>
      </c>
      <c r="AK98" s="3">
        <v>1</v>
      </c>
      <c r="AL98" s="3">
        <v>1</v>
      </c>
      <c r="AM98" s="3">
        <v>1</v>
      </c>
      <c r="AN98" s="3">
        <v>1</v>
      </c>
      <c r="AO98" s="3">
        <v>1</v>
      </c>
      <c r="AP98" s="3">
        <v>1</v>
      </c>
      <c r="AQ98" s="3">
        <v>1</v>
      </c>
      <c r="AR98" s="3">
        <v>1</v>
      </c>
      <c r="AS98" s="3">
        <v>1</v>
      </c>
      <c r="AT98" s="3">
        <v>1</v>
      </c>
      <c r="AU98" s="3">
        <v>1</v>
      </c>
      <c r="AV98" s="3">
        <v>1</v>
      </c>
      <c r="AW98" s="3">
        <v>1</v>
      </c>
      <c r="AX98" s="3">
        <v>1</v>
      </c>
      <c r="AY98" s="3">
        <v>1</v>
      </c>
      <c r="AZ98" s="3">
        <v>1</v>
      </c>
      <c r="BA98" s="3">
        <v>1</v>
      </c>
      <c r="BB98" s="3">
        <v>1</v>
      </c>
      <c r="BC98" s="3">
        <v>1</v>
      </c>
      <c r="BD98" s="3">
        <v>1</v>
      </c>
      <c r="BE98" s="3">
        <v>1</v>
      </c>
      <c r="BF98" s="3">
        <v>1</v>
      </c>
      <c r="BG98" s="3">
        <v>1</v>
      </c>
      <c r="BH98" s="3">
        <v>1</v>
      </c>
      <c r="BI98" s="3">
        <v>1</v>
      </c>
      <c r="BJ98" s="3">
        <v>1</v>
      </c>
      <c r="BK98" s="3">
        <v>1</v>
      </c>
      <c r="BL98" s="3">
        <v>1</v>
      </c>
      <c r="BM98" s="3">
        <v>1</v>
      </c>
      <c r="BN98" s="3">
        <v>1</v>
      </c>
      <c r="BO98" s="3">
        <v>1</v>
      </c>
      <c r="BP98" s="3">
        <v>1</v>
      </c>
      <c r="BQ98" s="3">
        <v>1</v>
      </c>
      <c r="BR98" s="3"/>
    </row>
    <row r="99" spans="1:70" x14ac:dyDescent="0.3">
      <c r="A99" s="5" t="s">
        <v>149</v>
      </c>
      <c r="B99" s="5" t="s">
        <v>150</v>
      </c>
      <c r="C99" s="5" t="s">
        <v>781</v>
      </c>
      <c r="D99" s="14" t="s">
        <v>784</v>
      </c>
      <c r="E99" s="5" t="s">
        <v>139</v>
      </c>
      <c r="F99" s="7"/>
      <c r="G99" s="5" t="s">
        <v>140</v>
      </c>
      <c r="H99" s="5">
        <v>0</v>
      </c>
      <c r="I99" s="3">
        <v>1.0196000000000001</v>
      </c>
      <c r="J99" s="3">
        <v>1.0196000000000001</v>
      </c>
      <c r="K99" s="3">
        <v>1.0196000000000001</v>
      </c>
      <c r="L99" s="3">
        <v>1.0196000000000001</v>
      </c>
      <c r="M99" s="3">
        <v>1.0196000000000001</v>
      </c>
      <c r="N99" s="3">
        <v>1.0196000000000001</v>
      </c>
      <c r="O99" s="3">
        <v>1.0196000000000001</v>
      </c>
      <c r="P99" s="3">
        <v>1.0196000000000001</v>
      </c>
      <c r="Q99" s="3">
        <v>1.0196000000000001</v>
      </c>
      <c r="R99" s="3">
        <v>1.0431999999999999</v>
      </c>
      <c r="S99" s="3">
        <v>1.0341</v>
      </c>
      <c r="T99" s="3">
        <v>1.0328999999999999</v>
      </c>
      <c r="U99" s="3">
        <v>1.0324500000000001</v>
      </c>
      <c r="V99" s="3">
        <v>1.0324500000000001</v>
      </c>
      <c r="W99" s="3">
        <v>1.0324500000000001</v>
      </c>
      <c r="X99" s="3">
        <v>1.0324500000000001</v>
      </c>
      <c r="Y99" s="3">
        <v>1.0324500000000001</v>
      </c>
      <c r="Z99" s="3">
        <v>1.0324500000000001</v>
      </c>
      <c r="AA99" s="3">
        <v>1.0324500000000001</v>
      </c>
      <c r="AB99" s="3">
        <v>1.0324500000000001</v>
      </c>
      <c r="AC99" s="3">
        <v>1.0324500000000001</v>
      </c>
      <c r="AD99" s="3">
        <v>1.0324500000000001</v>
      </c>
      <c r="AE99" s="3">
        <v>1.0324500000000001</v>
      </c>
      <c r="AF99" s="3">
        <v>1.0324500000000001</v>
      </c>
      <c r="AG99" s="3">
        <v>1.0324500000000001</v>
      </c>
      <c r="AH99" s="3">
        <v>1.0324500000000001</v>
      </c>
      <c r="AI99" s="3">
        <v>1.0324500000000001</v>
      </c>
      <c r="AJ99" s="3">
        <v>1.0324500000000001</v>
      </c>
      <c r="AK99" s="3">
        <v>1.0324500000000001</v>
      </c>
      <c r="AL99" s="3">
        <v>1.0324500000000001</v>
      </c>
      <c r="AM99" s="3">
        <v>1.0324500000000001</v>
      </c>
      <c r="AN99" s="3">
        <v>1.0324500000000001</v>
      </c>
      <c r="AO99" s="3">
        <v>1.0324500000000001</v>
      </c>
      <c r="AP99" s="3">
        <v>1.0324500000000001</v>
      </c>
      <c r="AQ99" s="3">
        <v>1.0324500000000001</v>
      </c>
      <c r="AR99" s="3">
        <v>1.0324500000000001</v>
      </c>
      <c r="AS99" s="3">
        <v>1.0324500000000001</v>
      </c>
      <c r="AT99" s="3">
        <v>1.0324500000000001</v>
      </c>
      <c r="AU99" s="3">
        <v>1.0324500000000001</v>
      </c>
      <c r="AV99" s="3">
        <v>1.0324500000000001</v>
      </c>
      <c r="AW99" s="3">
        <v>1.0324500000000001</v>
      </c>
      <c r="AX99" s="3">
        <v>1.0324500000000001</v>
      </c>
      <c r="AY99" s="3">
        <v>1.0324500000000001</v>
      </c>
      <c r="AZ99" s="3">
        <v>1.0324500000000001</v>
      </c>
      <c r="BA99" s="3">
        <v>1.0324500000000001</v>
      </c>
      <c r="BB99" s="3">
        <v>1.0324500000000001</v>
      </c>
      <c r="BC99" s="3">
        <v>1.0324500000000001</v>
      </c>
      <c r="BD99" s="3">
        <v>1.0324500000000001</v>
      </c>
      <c r="BE99" s="3">
        <v>1.0324500000000001</v>
      </c>
      <c r="BF99" s="3">
        <v>1.0324500000000001</v>
      </c>
      <c r="BG99" s="3">
        <v>1.0324500000000001</v>
      </c>
      <c r="BH99" s="3">
        <v>1.0324500000000001</v>
      </c>
      <c r="BI99" s="3">
        <v>1.0324500000000001</v>
      </c>
      <c r="BJ99" s="3">
        <v>1.0324500000000001</v>
      </c>
      <c r="BK99" s="3">
        <v>1.0324500000000001</v>
      </c>
      <c r="BL99" s="3">
        <v>1.0324500000000001</v>
      </c>
      <c r="BM99" s="3">
        <v>1.0324500000000001</v>
      </c>
      <c r="BN99" s="3">
        <v>1.0324500000000001</v>
      </c>
      <c r="BO99" s="3">
        <v>1.0324500000000001</v>
      </c>
      <c r="BP99" s="3">
        <v>1.0324500000000001</v>
      </c>
      <c r="BQ99" s="3">
        <v>1.0324500000000001</v>
      </c>
      <c r="BR99" s="3"/>
    </row>
    <row r="100" spans="1:70" x14ac:dyDescent="0.3">
      <c r="A100" s="5" t="s">
        <v>149</v>
      </c>
      <c r="B100" s="5" t="s">
        <v>150</v>
      </c>
      <c r="C100" s="5" t="s">
        <v>15</v>
      </c>
      <c r="D100" s="5" t="s">
        <v>16</v>
      </c>
      <c r="E100" s="5" t="s">
        <v>11</v>
      </c>
      <c r="F100" s="7"/>
      <c r="G100" s="5" t="s">
        <v>140</v>
      </c>
      <c r="H100" s="5">
        <v>0</v>
      </c>
      <c r="I100" s="3">
        <v>1</v>
      </c>
      <c r="J100" s="3">
        <v>1</v>
      </c>
      <c r="K100" s="3">
        <v>1</v>
      </c>
      <c r="L100" s="3">
        <v>1</v>
      </c>
      <c r="M100" s="3">
        <v>1</v>
      </c>
      <c r="N100" s="3">
        <v>1</v>
      </c>
      <c r="O100" s="3">
        <v>1</v>
      </c>
      <c r="P100" s="3">
        <v>1</v>
      </c>
      <c r="Q100" s="3">
        <v>1</v>
      </c>
      <c r="R100" s="3">
        <v>1</v>
      </c>
      <c r="S100" s="3">
        <v>1</v>
      </c>
      <c r="T100" s="3">
        <v>1</v>
      </c>
      <c r="U100" s="3">
        <v>1</v>
      </c>
      <c r="V100" s="3">
        <v>1</v>
      </c>
      <c r="W100" s="3">
        <v>1</v>
      </c>
      <c r="X100" s="3">
        <v>1</v>
      </c>
      <c r="Y100" s="3">
        <v>1</v>
      </c>
      <c r="Z100" s="3">
        <v>1</v>
      </c>
      <c r="AA100" s="3">
        <v>1</v>
      </c>
      <c r="AB100" s="3">
        <v>1</v>
      </c>
      <c r="AC100" s="3">
        <v>1</v>
      </c>
      <c r="AD100" s="3">
        <v>1</v>
      </c>
      <c r="AE100" s="3">
        <v>1</v>
      </c>
      <c r="AF100" s="3">
        <v>1</v>
      </c>
      <c r="AG100" s="3">
        <v>1</v>
      </c>
      <c r="AH100" s="3">
        <v>1</v>
      </c>
      <c r="AI100" s="3">
        <v>1</v>
      </c>
      <c r="AJ100" s="3">
        <v>1</v>
      </c>
      <c r="AK100" s="3">
        <v>1</v>
      </c>
      <c r="AL100" s="3">
        <v>1</v>
      </c>
      <c r="AM100" s="3">
        <v>1</v>
      </c>
      <c r="AN100" s="3">
        <v>1</v>
      </c>
      <c r="AO100" s="3">
        <v>1</v>
      </c>
      <c r="AP100" s="3">
        <v>1</v>
      </c>
      <c r="AQ100" s="3">
        <v>1</v>
      </c>
      <c r="AR100" s="3">
        <v>1</v>
      </c>
      <c r="AS100" s="3">
        <v>1</v>
      </c>
      <c r="AT100" s="3">
        <v>1</v>
      </c>
      <c r="AU100" s="3">
        <v>1</v>
      </c>
      <c r="AV100" s="3">
        <v>1</v>
      </c>
      <c r="AW100" s="3">
        <v>1</v>
      </c>
      <c r="AX100" s="3">
        <v>1</v>
      </c>
      <c r="AY100" s="3">
        <v>1</v>
      </c>
      <c r="AZ100" s="3">
        <v>1</v>
      </c>
      <c r="BA100" s="3">
        <v>1</v>
      </c>
      <c r="BB100" s="3">
        <v>1</v>
      </c>
      <c r="BC100" s="3">
        <v>1</v>
      </c>
      <c r="BD100" s="3">
        <v>1</v>
      </c>
      <c r="BE100" s="3">
        <v>1</v>
      </c>
      <c r="BF100" s="3">
        <v>1</v>
      </c>
      <c r="BG100" s="3">
        <v>1</v>
      </c>
      <c r="BH100" s="3">
        <v>1</v>
      </c>
      <c r="BI100" s="3">
        <v>1</v>
      </c>
      <c r="BJ100" s="3">
        <v>1</v>
      </c>
      <c r="BK100" s="3">
        <v>1</v>
      </c>
      <c r="BL100" s="3">
        <v>1</v>
      </c>
      <c r="BM100" s="3">
        <v>1</v>
      </c>
      <c r="BN100" s="3">
        <v>1</v>
      </c>
      <c r="BO100" s="3">
        <v>1</v>
      </c>
      <c r="BP100" s="3">
        <v>1</v>
      </c>
      <c r="BQ100" s="3">
        <v>1</v>
      </c>
      <c r="BR100" s="3"/>
    </row>
    <row r="101" spans="1:70" x14ac:dyDescent="0.3">
      <c r="A101" s="4" t="s">
        <v>155</v>
      </c>
      <c r="B101" s="4" t="s">
        <v>156</v>
      </c>
      <c r="C101" s="5" t="s">
        <v>781</v>
      </c>
      <c r="D101" s="14" t="s">
        <v>784</v>
      </c>
      <c r="E101" s="4" t="s">
        <v>139</v>
      </c>
      <c r="F101" s="7"/>
      <c r="G101" s="4" t="s">
        <v>140</v>
      </c>
      <c r="H101" s="4">
        <v>0</v>
      </c>
      <c r="I101" s="3">
        <v>1.0196000000000001</v>
      </c>
      <c r="J101" s="3">
        <v>1.0196000000000001</v>
      </c>
      <c r="K101" s="3">
        <v>1.0196000000000001</v>
      </c>
      <c r="L101" s="3">
        <v>1.0196000000000001</v>
      </c>
      <c r="M101" s="3">
        <v>1.0196000000000001</v>
      </c>
      <c r="N101" s="3">
        <v>1.0196000000000001</v>
      </c>
      <c r="O101" s="3">
        <v>1.0196000000000001</v>
      </c>
      <c r="P101" s="3">
        <v>1.0196000000000001</v>
      </c>
      <c r="Q101" s="3">
        <v>1.0196000000000001</v>
      </c>
      <c r="R101" s="3">
        <v>1.0431999999999999</v>
      </c>
      <c r="S101" s="3">
        <v>1.0341</v>
      </c>
      <c r="T101" s="3">
        <v>1.0328999999999999</v>
      </c>
      <c r="U101" s="3">
        <v>1.0324500000000001</v>
      </c>
      <c r="V101" s="3">
        <v>1.0324500000000001</v>
      </c>
      <c r="W101" s="3">
        <v>1.0324500000000001</v>
      </c>
      <c r="X101" s="3">
        <v>1.0324500000000001</v>
      </c>
      <c r="Y101" s="3">
        <v>1.0324500000000001</v>
      </c>
      <c r="Z101" s="3">
        <v>1.0324500000000001</v>
      </c>
      <c r="AA101" s="3">
        <v>1.0324500000000001</v>
      </c>
      <c r="AB101" s="3">
        <v>1.0324500000000001</v>
      </c>
      <c r="AC101" s="3">
        <v>1.0324500000000001</v>
      </c>
      <c r="AD101" s="3">
        <v>1.0324500000000001</v>
      </c>
      <c r="AE101" s="3">
        <v>1.0324500000000001</v>
      </c>
      <c r="AF101" s="3">
        <v>1.0324500000000001</v>
      </c>
      <c r="AG101" s="3">
        <v>1.0324500000000001</v>
      </c>
      <c r="AH101" s="3">
        <v>1.0324500000000001</v>
      </c>
      <c r="AI101" s="3">
        <v>1.0324500000000001</v>
      </c>
      <c r="AJ101" s="3">
        <v>1.0324500000000001</v>
      </c>
      <c r="AK101" s="3">
        <v>1.0324500000000001</v>
      </c>
      <c r="AL101" s="3">
        <v>1.0324500000000001</v>
      </c>
      <c r="AM101" s="3">
        <v>1.0324500000000001</v>
      </c>
      <c r="AN101" s="3">
        <v>1.0324500000000001</v>
      </c>
      <c r="AO101" s="3">
        <v>1.0324500000000001</v>
      </c>
      <c r="AP101" s="3">
        <v>1.0324500000000001</v>
      </c>
      <c r="AQ101" s="3">
        <v>1.0324500000000001</v>
      </c>
      <c r="AR101" s="3">
        <v>1.0324500000000001</v>
      </c>
      <c r="AS101" s="3">
        <v>1.0324500000000001</v>
      </c>
      <c r="AT101" s="3">
        <v>1.0324500000000001</v>
      </c>
      <c r="AU101" s="3">
        <v>1.0324500000000001</v>
      </c>
      <c r="AV101" s="3">
        <v>1.0324500000000001</v>
      </c>
      <c r="AW101" s="3">
        <v>1.0324500000000001</v>
      </c>
      <c r="AX101" s="3">
        <v>1.0324500000000001</v>
      </c>
      <c r="AY101" s="3">
        <v>1.0324500000000001</v>
      </c>
      <c r="AZ101" s="3">
        <v>1.0324500000000001</v>
      </c>
      <c r="BA101" s="3">
        <v>1.0324500000000001</v>
      </c>
      <c r="BB101" s="3">
        <v>1.0324500000000001</v>
      </c>
      <c r="BC101" s="3">
        <v>1.0324500000000001</v>
      </c>
      <c r="BD101" s="3">
        <v>1.0324500000000001</v>
      </c>
      <c r="BE101" s="3">
        <v>1.0324500000000001</v>
      </c>
      <c r="BF101" s="3">
        <v>1.0324500000000001</v>
      </c>
      <c r="BG101" s="3">
        <v>1.0324500000000001</v>
      </c>
      <c r="BH101" s="3">
        <v>1.0324500000000001</v>
      </c>
      <c r="BI101" s="3">
        <v>1.0324500000000001</v>
      </c>
      <c r="BJ101" s="3">
        <v>1.0324500000000001</v>
      </c>
      <c r="BK101" s="3">
        <v>1.0324500000000001</v>
      </c>
      <c r="BL101" s="3">
        <v>1.0324500000000001</v>
      </c>
      <c r="BM101" s="3">
        <v>1.0324500000000001</v>
      </c>
      <c r="BN101" s="3">
        <v>1.0324500000000001</v>
      </c>
      <c r="BO101" s="3">
        <v>1.0324500000000001</v>
      </c>
      <c r="BP101" s="3">
        <v>1.0324500000000001</v>
      </c>
      <c r="BQ101" s="3">
        <v>1.0324500000000001</v>
      </c>
      <c r="BR101" s="3"/>
    </row>
    <row r="102" spans="1:70" x14ac:dyDescent="0.3">
      <c r="A102" s="4" t="s">
        <v>155</v>
      </c>
      <c r="B102" s="4" t="s">
        <v>156</v>
      </c>
      <c r="C102" s="4" t="s">
        <v>31</v>
      </c>
      <c r="D102" s="4" t="s">
        <v>157</v>
      </c>
      <c r="E102" s="4" t="s">
        <v>11</v>
      </c>
      <c r="F102" s="7"/>
      <c r="G102" s="4" t="s">
        <v>140</v>
      </c>
      <c r="H102" s="4">
        <v>0</v>
      </c>
      <c r="I102" s="3">
        <v>1</v>
      </c>
      <c r="J102" s="3">
        <v>1</v>
      </c>
      <c r="K102" s="3">
        <v>1</v>
      </c>
      <c r="L102" s="3">
        <v>1</v>
      </c>
      <c r="M102" s="3">
        <v>1</v>
      </c>
      <c r="N102" s="3">
        <v>1</v>
      </c>
      <c r="O102" s="3">
        <v>1</v>
      </c>
      <c r="P102" s="3">
        <v>1</v>
      </c>
      <c r="Q102" s="3">
        <v>1</v>
      </c>
      <c r="R102" s="3">
        <v>1</v>
      </c>
      <c r="S102" s="3">
        <v>1</v>
      </c>
      <c r="T102" s="3">
        <v>1</v>
      </c>
      <c r="U102" s="3">
        <v>1</v>
      </c>
      <c r="V102" s="3">
        <v>1</v>
      </c>
      <c r="W102" s="3">
        <v>1</v>
      </c>
      <c r="X102" s="3">
        <v>1</v>
      </c>
      <c r="Y102" s="3">
        <v>1</v>
      </c>
      <c r="Z102" s="3">
        <v>1</v>
      </c>
      <c r="AA102" s="3">
        <v>1</v>
      </c>
      <c r="AB102" s="3">
        <v>1</v>
      </c>
      <c r="AC102" s="3">
        <v>1</v>
      </c>
      <c r="AD102" s="3">
        <v>1</v>
      </c>
      <c r="AE102" s="3">
        <v>1</v>
      </c>
      <c r="AF102" s="3">
        <v>1</v>
      </c>
      <c r="AG102" s="3">
        <v>1</v>
      </c>
      <c r="AH102" s="3">
        <v>1</v>
      </c>
      <c r="AI102" s="3">
        <v>1</v>
      </c>
      <c r="AJ102" s="3">
        <v>1</v>
      </c>
      <c r="AK102" s="3">
        <v>1</v>
      </c>
      <c r="AL102" s="3">
        <v>1</v>
      </c>
      <c r="AM102" s="3">
        <v>1</v>
      </c>
      <c r="AN102" s="3">
        <v>1</v>
      </c>
      <c r="AO102" s="3">
        <v>1</v>
      </c>
      <c r="AP102" s="3">
        <v>1</v>
      </c>
      <c r="AQ102" s="3">
        <v>1</v>
      </c>
      <c r="AR102" s="3">
        <v>1</v>
      </c>
      <c r="AS102" s="3">
        <v>1</v>
      </c>
      <c r="AT102" s="3">
        <v>1</v>
      </c>
      <c r="AU102" s="3">
        <v>1</v>
      </c>
      <c r="AV102" s="3">
        <v>1</v>
      </c>
      <c r="AW102" s="3">
        <v>1</v>
      </c>
      <c r="AX102" s="3">
        <v>1</v>
      </c>
      <c r="AY102" s="3">
        <v>1</v>
      </c>
      <c r="AZ102" s="3">
        <v>1</v>
      </c>
      <c r="BA102" s="3">
        <v>1</v>
      </c>
      <c r="BB102" s="3">
        <v>1</v>
      </c>
      <c r="BC102" s="3">
        <v>1</v>
      </c>
      <c r="BD102" s="3">
        <v>1</v>
      </c>
      <c r="BE102" s="3">
        <v>1</v>
      </c>
      <c r="BF102" s="3">
        <v>1</v>
      </c>
      <c r="BG102" s="3">
        <v>1</v>
      </c>
      <c r="BH102" s="3">
        <v>1</v>
      </c>
      <c r="BI102" s="3">
        <v>1</v>
      </c>
      <c r="BJ102" s="3">
        <v>1</v>
      </c>
      <c r="BK102" s="3">
        <v>1</v>
      </c>
      <c r="BL102" s="3">
        <v>1</v>
      </c>
      <c r="BM102" s="3">
        <v>1</v>
      </c>
      <c r="BN102" s="3">
        <v>1</v>
      </c>
      <c r="BO102" s="3">
        <v>1</v>
      </c>
      <c r="BP102" s="3">
        <v>1</v>
      </c>
      <c r="BQ102" s="3">
        <v>1</v>
      </c>
      <c r="BR102" s="3"/>
    </row>
    <row r="103" spans="1:70" x14ac:dyDescent="0.3">
      <c r="A103" s="5" t="s">
        <v>151</v>
      </c>
      <c r="B103" s="5" t="s">
        <v>152</v>
      </c>
      <c r="C103" s="5" t="s">
        <v>781</v>
      </c>
      <c r="D103" s="14" t="s">
        <v>784</v>
      </c>
      <c r="E103" s="5" t="s">
        <v>139</v>
      </c>
      <c r="F103" s="7"/>
      <c r="G103" s="5" t="s">
        <v>140</v>
      </c>
      <c r="H103" s="5">
        <v>0</v>
      </c>
      <c r="I103" s="3">
        <v>1.0196000000000001</v>
      </c>
      <c r="J103" s="3">
        <v>1.0196000000000001</v>
      </c>
      <c r="K103" s="3">
        <v>1.0196000000000001</v>
      </c>
      <c r="L103" s="3">
        <v>1.0196000000000001</v>
      </c>
      <c r="M103" s="3">
        <v>1.0196000000000001</v>
      </c>
      <c r="N103" s="3">
        <v>1.0196000000000001</v>
      </c>
      <c r="O103" s="3">
        <v>1.0196000000000001</v>
      </c>
      <c r="P103" s="3">
        <v>1.0196000000000001</v>
      </c>
      <c r="Q103" s="3">
        <v>1.0196000000000001</v>
      </c>
      <c r="R103" s="3">
        <v>1.0431999999999999</v>
      </c>
      <c r="S103" s="3">
        <v>1.0341</v>
      </c>
      <c r="T103" s="3">
        <v>1.0328999999999999</v>
      </c>
      <c r="U103" s="3">
        <v>1.0324500000000001</v>
      </c>
      <c r="V103" s="3">
        <v>1.0324500000000001</v>
      </c>
      <c r="W103" s="3">
        <v>1.0324500000000001</v>
      </c>
      <c r="X103" s="3">
        <v>1.0324500000000001</v>
      </c>
      <c r="Y103" s="3">
        <v>1.0324500000000001</v>
      </c>
      <c r="Z103" s="3">
        <v>1.0324500000000001</v>
      </c>
      <c r="AA103" s="3">
        <v>1.0324500000000001</v>
      </c>
      <c r="AB103" s="3">
        <v>1.0324500000000001</v>
      </c>
      <c r="AC103" s="3">
        <v>1.0324500000000001</v>
      </c>
      <c r="AD103" s="3">
        <v>1.0324500000000001</v>
      </c>
      <c r="AE103" s="3">
        <v>1.0324500000000001</v>
      </c>
      <c r="AF103" s="3">
        <v>1.0324500000000001</v>
      </c>
      <c r="AG103" s="3">
        <v>1.0324500000000001</v>
      </c>
      <c r="AH103" s="3">
        <v>1.0324500000000001</v>
      </c>
      <c r="AI103" s="3">
        <v>1.0324500000000001</v>
      </c>
      <c r="AJ103" s="3">
        <v>1.0324500000000001</v>
      </c>
      <c r="AK103" s="3">
        <v>1.0324500000000001</v>
      </c>
      <c r="AL103" s="3">
        <v>1.0324500000000001</v>
      </c>
      <c r="AM103" s="3">
        <v>1.0324500000000001</v>
      </c>
      <c r="AN103" s="3">
        <v>1.0324500000000001</v>
      </c>
      <c r="AO103" s="3">
        <v>1.0324500000000001</v>
      </c>
      <c r="AP103" s="3">
        <v>1.0324500000000001</v>
      </c>
      <c r="AQ103" s="3">
        <v>1.0324500000000001</v>
      </c>
      <c r="AR103" s="3">
        <v>1.0324500000000001</v>
      </c>
      <c r="AS103" s="3">
        <v>1.0324500000000001</v>
      </c>
      <c r="AT103" s="3">
        <v>1.0324500000000001</v>
      </c>
      <c r="AU103" s="3">
        <v>1.0324500000000001</v>
      </c>
      <c r="AV103" s="3">
        <v>1.0324500000000001</v>
      </c>
      <c r="AW103" s="3">
        <v>1.0324500000000001</v>
      </c>
      <c r="AX103" s="3">
        <v>1.0324500000000001</v>
      </c>
      <c r="AY103" s="3">
        <v>1.0324500000000001</v>
      </c>
      <c r="AZ103" s="3">
        <v>1.0324500000000001</v>
      </c>
      <c r="BA103" s="3">
        <v>1.0324500000000001</v>
      </c>
      <c r="BB103" s="3">
        <v>1.0324500000000001</v>
      </c>
      <c r="BC103" s="3">
        <v>1.0324500000000001</v>
      </c>
      <c r="BD103" s="3">
        <v>1.0324500000000001</v>
      </c>
      <c r="BE103" s="3">
        <v>1.0324500000000001</v>
      </c>
      <c r="BF103" s="3">
        <v>1.0324500000000001</v>
      </c>
      <c r="BG103" s="3">
        <v>1.0324500000000001</v>
      </c>
      <c r="BH103" s="3">
        <v>1.0324500000000001</v>
      </c>
      <c r="BI103" s="3">
        <v>1.0324500000000001</v>
      </c>
      <c r="BJ103" s="3">
        <v>1.0324500000000001</v>
      </c>
      <c r="BK103" s="3">
        <v>1.0324500000000001</v>
      </c>
      <c r="BL103" s="3">
        <v>1.0324500000000001</v>
      </c>
      <c r="BM103" s="3">
        <v>1.0324500000000001</v>
      </c>
      <c r="BN103" s="3">
        <v>1.0324500000000001</v>
      </c>
      <c r="BO103" s="3">
        <v>1.0324500000000001</v>
      </c>
      <c r="BP103" s="3">
        <v>1.0324500000000001</v>
      </c>
      <c r="BQ103" s="3">
        <v>1.0324500000000001</v>
      </c>
      <c r="BR103" s="3"/>
    </row>
    <row r="104" spans="1:70" x14ac:dyDescent="0.3">
      <c r="A104" s="5" t="s">
        <v>151</v>
      </c>
      <c r="B104" s="5" t="s">
        <v>152</v>
      </c>
      <c r="C104" s="5" t="s">
        <v>19</v>
      </c>
      <c r="D104" s="5" t="s">
        <v>20</v>
      </c>
      <c r="E104" s="5" t="s">
        <v>11</v>
      </c>
      <c r="F104" s="7"/>
      <c r="G104" s="5" t="s">
        <v>140</v>
      </c>
      <c r="H104" s="5">
        <v>0</v>
      </c>
      <c r="I104" s="3">
        <v>1</v>
      </c>
      <c r="J104" s="3">
        <v>1</v>
      </c>
      <c r="K104" s="3">
        <v>1</v>
      </c>
      <c r="L104" s="3">
        <v>1</v>
      </c>
      <c r="M104" s="3">
        <v>1</v>
      </c>
      <c r="N104" s="3">
        <v>1</v>
      </c>
      <c r="O104" s="3">
        <v>1</v>
      </c>
      <c r="P104" s="3">
        <v>1</v>
      </c>
      <c r="Q104" s="3">
        <v>1</v>
      </c>
      <c r="R104" s="3">
        <v>1</v>
      </c>
      <c r="S104" s="3">
        <v>1</v>
      </c>
      <c r="T104" s="3">
        <v>1</v>
      </c>
      <c r="U104" s="3">
        <v>1</v>
      </c>
      <c r="V104" s="3">
        <v>1</v>
      </c>
      <c r="W104" s="3">
        <v>1</v>
      </c>
      <c r="X104" s="3">
        <v>1</v>
      </c>
      <c r="Y104" s="3">
        <v>1</v>
      </c>
      <c r="Z104" s="3">
        <v>1</v>
      </c>
      <c r="AA104" s="3">
        <v>1</v>
      </c>
      <c r="AB104" s="3">
        <v>1</v>
      </c>
      <c r="AC104" s="3">
        <v>1</v>
      </c>
      <c r="AD104" s="3">
        <v>1</v>
      </c>
      <c r="AE104" s="3">
        <v>1</v>
      </c>
      <c r="AF104" s="3">
        <v>1</v>
      </c>
      <c r="AG104" s="3">
        <v>1</v>
      </c>
      <c r="AH104" s="3">
        <v>1</v>
      </c>
      <c r="AI104" s="3">
        <v>1</v>
      </c>
      <c r="AJ104" s="3">
        <v>1</v>
      </c>
      <c r="AK104" s="3">
        <v>1</v>
      </c>
      <c r="AL104" s="3">
        <v>1</v>
      </c>
      <c r="AM104" s="3">
        <v>1</v>
      </c>
      <c r="AN104" s="3">
        <v>1</v>
      </c>
      <c r="AO104" s="3">
        <v>1</v>
      </c>
      <c r="AP104" s="3">
        <v>1</v>
      </c>
      <c r="AQ104" s="3">
        <v>1</v>
      </c>
      <c r="AR104" s="3">
        <v>1</v>
      </c>
      <c r="AS104" s="3">
        <v>1</v>
      </c>
      <c r="AT104" s="3">
        <v>1</v>
      </c>
      <c r="AU104" s="3">
        <v>1</v>
      </c>
      <c r="AV104" s="3">
        <v>1</v>
      </c>
      <c r="AW104" s="3">
        <v>1</v>
      </c>
      <c r="AX104" s="3">
        <v>1</v>
      </c>
      <c r="AY104" s="3">
        <v>1</v>
      </c>
      <c r="AZ104" s="3">
        <v>1</v>
      </c>
      <c r="BA104" s="3">
        <v>1</v>
      </c>
      <c r="BB104" s="3">
        <v>1</v>
      </c>
      <c r="BC104" s="3">
        <v>1</v>
      </c>
      <c r="BD104" s="3">
        <v>1</v>
      </c>
      <c r="BE104" s="3">
        <v>1</v>
      </c>
      <c r="BF104" s="3">
        <v>1</v>
      </c>
      <c r="BG104" s="3">
        <v>1</v>
      </c>
      <c r="BH104" s="3">
        <v>1</v>
      </c>
      <c r="BI104" s="3">
        <v>1</v>
      </c>
      <c r="BJ104" s="3">
        <v>1</v>
      </c>
      <c r="BK104" s="3">
        <v>1</v>
      </c>
      <c r="BL104" s="3">
        <v>1</v>
      </c>
      <c r="BM104" s="3">
        <v>1</v>
      </c>
      <c r="BN104" s="3">
        <v>1</v>
      </c>
      <c r="BO104" s="3">
        <v>1</v>
      </c>
      <c r="BP104" s="3">
        <v>1</v>
      </c>
      <c r="BQ104" s="3">
        <v>1</v>
      </c>
      <c r="BR104" s="3"/>
    </row>
    <row r="105" spans="1:70" x14ac:dyDescent="0.3">
      <c r="A105" s="4" t="s">
        <v>158</v>
      </c>
      <c r="B105" s="4" t="s">
        <v>159</v>
      </c>
      <c r="C105" s="17" t="s">
        <v>781</v>
      </c>
      <c r="D105" s="14" t="s">
        <v>784</v>
      </c>
      <c r="E105" s="4" t="s">
        <v>139</v>
      </c>
      <c r="F105" s="7"/>
      <c r="G105" s="4" t="s">
        <v>140</v>
      </c>
      <c r="H105" s="4">
        <v>0</v>
      </c>
      <c r="I105" s="3">
        <v>1.0196000000000001</v>
      </c>
      <c r="J105" s="3">
        <v>1.0196000000000001</v>
      </c>
      <c r="K105" s="3">
        <v>1.0196000000000001</v>
      </c>
      <c r="L105" s="3">
        <v>1.0196000000000001</v>
      </c>
      <c r="M105" s="3">
        <v>1.0196000000000001</v>
      </c>
      <c r="N105" s="3">
        <v>1.0196000000000001</v>
      </c>
      <c r="O105" s="3">
        <v>1.0196000000000001</v>
      </c>
      <c r="P105" s="3">
        <v>1.0196000000000001</v>
      </c>
      <c r="Q105" s="3">
        <v>1.0196000000000001</v>
      </c>
      <c r="R105" s="3">
        <v>1.0431999999999999</v>
      </c>
      <c r="S105" s="3">
        <v>1.0341</v>
      </c>
      <c r="T105" s="3">
        <v>1.0328999999999999</v>
      </c>
      <c r="U105" s="3">
        <v>1.0324500000000001</v>
      </c>
      <c r="V105" s="3">
        <v>1.0324500000000001</v>
      </c>
      <c r="W105" s="3">
        <v>1.0324500000000001</v>
      </c>
      <c r="X105" s="3">
        <v>1.0324500000000001</v>
      </c>
      <c r="Y105" s="3">
        <v>1.0324500000000001</v>
      </c>
      <c r="Z105" s="3">
        <v>1.0324500000000001</v>
      </c>
      <c r="AA105" s="3">
        <v>1.0324500000000001</v>
      </c>
      <c r="AB105" s="3">
        <v>1.0324500000000001</v>
      </c>
      <c r="AC105" s="3">
        <v>1.0324500000000001</v>
      </c>
      <c r="AD105" s="3">
        <v>1.0324500000000001</v>
      </c>
      <c r="AE105" s="3">
        <v>1.0324500000000001</v>
      </c>
      <c r="AF105" s="3">
        <v>1.0324500000000001</v>
      </c>
      <c r="AG105" s="3">
        <v>1.0324500000000001</v>
      </c>
      <c r="AH105" s="3">
        <v>1.0324500000000001</v>
      </c>
      <c r="AI105" s="3">
        <v>1.0324500000000001</v>
      </c>
      <c r="AJ105" s="3">
        <v>1.0324500000000001</v>
      </c>
      <c r="AK105" s="3">
        <v>1.0324500000000001</v>
      </c>
      <c r="AL105" s="3">
        <v>1.0324500000000001</v>
      </c>
      <c r="AM105" s="3">
        <v>1.0324500000000001</v>
      </c>
      <c r="AN105" s="3">
        <v>1.0324500000000001</v>
      </c>
      <c r="AO105" s="3">
        <v>1.0324500000000001</v>
      </c>
      <c r="AP105" s="3">
        <v>1.0324500000000001</v>
      </c>
      <c r="AQ105" s="3">
        <v>1.0324500000000001</v>
      </c>
      <c r="AR105" s="3">
        <v>1.0324500000000001</v>
      </c>
      <c r="AS105" s="3">
        <v>1.0324500000000001</v>
      </c>
      <c r="AT105" s="3">
        <v>1.0324500000000001</v>
      </c>
      <c r="AU105" s="3">
        <v>1.0324500000000001</v>
      </c>
      <c r="AV105" s="3">
        <v>1.0324500000000001</v>
      </c>
      <c r="AW105" s="3">
        <v>1.0324500000000001</v>
      </c>
      <c r="AX105" s="3">
        <v>1.0324500000000001</v>
      </c>
      <c r="AY105" s="3">
        <v>1.0324500000000001</v>
      </c>
      <c r="AZ105" s="3">
        <v>1.0324500000000001</v>
      </c>
      <c r="BA105" s="3">
        <v>1.0324500000000001</v>
      </c>
      <c r="BB105" s="3">
        <v>1.0324500000000001</v>
      </c>
      <c r="BC105" s="3">
        <v>1.0324500000000001</v>
      </c>
      <c r="BD105" s="3">
        <v>1.0324500000000001</v>
      </c>
      <c r="BE105" s="3">
        <v>1.0324500000000001</v>
      </c>
      <c r="BF105" s="3">
        <v>1.0324500000000001</v>
      </c>
      <c r="BG105" s="3">
        <v>1.0324500000000001</v>
      </c>
      <c r="BH105" s="3">
        <v>1.0324500000000001</v>
      </c>
      <c r="BI105" s="3">
        <v>1.0324500000000001</v>
      </c>
      <c r="BJ105" s="3">
        <v>1.0324500000000001</v>
      </c>
      <c r="BK105" s="3">
        <v>1.0324500000000001</v>
      </c>
      <c r="BL105" s="3">
        <v>1.0324500000000001</v>
      </c>
      <c r="BM105" s="3">
        <v>1.0324500000000001</v>
      </c>
      <c r="BN105" s="3">
        <v>1.0324500000000001</v>
      </c>
      <c r="BO105" s="3">
        <v>1.0324500000000001</v>
      </c>
      <c r="BP105" s="3">
        <v>1.0324500000000001</v>
      </c>
      <c r="BQ105" s="3">
        <v>1.0324500000000001</v>
      </c>
      <c r="BR105" s="3"/>
    </row>
    <row r="106" spans="1:70" x14ac:dyDescent="0.3">
      <c r="A106" s="4" t="s">
        <v>158</v>
      </c>
      <c r="B106" s="4" t="s">
        <v>159</v>
      </c>
      <c r="C106" s="4" t="s">
        <v>35</v>
      </c>
      <c r="D106" s="4" t="s">
        <v>160</v>
      </c>
      <c r="E106" s="4" t="s">
        <v>11</v>
      </c>
      <c r="F106" s="7"/>
      <c r="G106" s="4" t="s">
        <v>140</v>
      </c>
      <c r="H106" s="4">
        <v>0</v>
      </c>
      <c r="I106" s="3">
        <v>1</v>
      </c>
      <c r="J106" s="3">
        <v>1</v>
      </c>
      <c r="K106" s="3">
        <v>1</v>
      </c>
      <c r="L106" s="3">
        <v>1</v>
      </c>
      <c r="M106" s="3">
        <v>1</v>
      </c>
      <c r="N106" s="3">
        <v>1</v>
      </c>
      <c r="O106" s="3">
        <v>1</v>
      </c>
      <c r="P106" s="3">
        <v>1</v>
      </c>
      <c r="Q106" s="3">
        <v>1</v>
      </c>
      <c r="R106" s="3">
        <v>1</v>
      </c>
      <c r="S106" s="3">
        <v>1</v>
      </c>
      <c r="T106" s="3">
        <v>1</v>
      </c>
      <c r="U106" s="3">
        <v>1</v>
      </c>
      <c r="V106" s="3">
        <v>1</v>
      </c>
      <c r="W106" s="3">
        <v>1</v>
      </c>
      <c r="X106" s="3">
        <v>1</v>
      </c>
      <c r="Y106" s="3">
        <v>1</v>
      </c>
      <c r="Z106" s="3">
        <v>1</v>
      </c>
      <c r="AA106" s="3">
        <v>1</v>
      </c>
      <c r="AB106" s="3">
        <v>1</v>
      </c>
      <c r="AC106" s="3">
        <v>1</v>
      </c>
      <c r="AD106" s="3">
        <v>1</v>
      </c>
      <c r="AE106" s="3">
        <v>1</v>
      </c>
      <c r="AF106" s="3">
        <v>1</v>
      </c>
      <c r="AG106" s="3">
        <v>1</v>
      </c>
      <c r="AH106" s="3">
        <v>1</v>
      </c>
      <c r="AI106" s="3">
        <v>1</v>
      </c>
      <c r="AJ106" s="3">
        <v>1</v>
      </c>
      <c r="AK106" s="3">
        <v>1</v>
      </c>
      <c r="AL106" s="3">
        <v>1</v>
      </c>
      <c r="AM106" s="3">
        <v>1</v>
      </c>
      <c r="AN106" s="3">
        <v>1</v>
      </c>
      <c r="AO106" s="3">
        <v>1</v>
      </c>
      <c r="AP106" s="3">
        <v>1</v>
      </c>
      <c r="AQ106" s="3">
        <v>1</v>
      </c>
      <c r="AR106" s="3">
        <v>1</v>
      </c>
      <c r="AS106" s="3">
        <v>1</v>
      </c>
      <c r="AT106" s="3">
        <v>1</v>
      </c>
      <c r="AU106" s="3">
        <v>1</v>
      </c>
      <c r="AV106" s="3">
        <v>1</v>
      </c>
      <c r="AW106" s="3">
        <v>1</v>
      </c>
      <c r="AX106" s="3">
        <v>1</v>
      </c>
      <c r="AY106" s="3">
        <v>1</v>
      </c>
      <c r="AZ106" s="3">
        <v>1</v>
      </c>
      <c r="BA106" s="3">
        <v>1</v>
      </c>
      <c r="BB106" s="3">
        <v>1</v>
      </c>
      <c r="BC106" s="3">
        <v>1</v>
      </c>
      <c r="BD106" s="3">
        <v>1</v>
      </c>
      <c r="BE106" s="3">
        <v>1</v>
      </c>
      <c r="BF106" s="3">
        <v>1</v>
      </c>
      <c r="BG106" s="3">
        <v>1</v>
      </c>
      <c r="BH106" s="3">
        <v>1</v>
      </c>
      <c r="BI106" s="3">
        <v>1</v>
      </c>
      <c r="BJ106" s="3">
        <v>1</v>
      </c>
      <c r="BK106" s="3">
        <v>1</v>
      </c>
      <c r="BL106" s="3">
        <v>1</v>
      </c>
      <c r="BM106" s="3">
        <v>1</v>
      </c>
      <c r="BN106" s="3">
        <v>1</v>
      </c>
      <c r="BO106" s="3">
        <v>1</v>
      </c>
      <c r="BP106" s="3">
        <v>1</v>
      </c>
      <c r="BQ106" s="3">
        <v>1</v>
      </c>
      <c r="BR106" s="3"/>
    </row>
    <row r="107" spans="1:70" x14ac:dyDescent="0.3">
      <c r="A107" s="5" t="s">
        <v>153</v>
      </c>
      <c r="B107" s="5" t="s">
        <v>154</v>
      </c>
      <c r="C107" s="5" t="s">
        <v>781</v>
      </c>
      <c r="D107" s="14" t="s">
        <v>784</v>
      </c>
      <c r="E107" s="5" t="s">
        <v>139</v>
      </c>
      <c r="F107" s="7"/>
      <c r="G107" s="5" t="s">
        <v>140</v>
      </c>
      <c r="H107" s="5">
        <v>0</v>
      </c>
      <c r="I107" s="3">
        <v>1.0196000000000001</v>
      </c>
      <c r="J107" s="3">
        <v>1.0196000000000001</v>
      </c>
      <c r="K107" s="3">
        <v>1.0196000000000001</v>
      </c>
      <c r="L107" s="3">
        <v>1.0196000000000001</v>
      </c>
      <c r="M107" s="3">
        <v>1.0196000000000001</v>
      </c>
      <c r="N107" s="3">
        <v>1.0196000000000001</v>
      </c>
      <c r="O107" s="3">
        <v>1.0196000000000001</v>
      </c>
      <c r="P107" s="3">
        <v>1.0196000000000001</v>
      </c>
      <c r="Q107" s="3">
        <v>1.0196000000000001</v>
      </c>
      <c r="R107" s="3">
        <v>1.0431999999999999</v>
      </c>
      <c r="S107" s="3">
        <v>1.0341</v>
      </c>
      <c r="T107" s="3">
        <v>1.0328999999999999</v>
      </c>
      <c r="U107" s="3">
        <v>1.0324500000000001</v>
      </c>
      <c r="V107" s="3">
        <v>1.0324500000000001</v>
      </c>
      <c r="W107" s="3">
        <v>1.0324500000000001</v>
      </c>
      <c r="X107" s="3">
        <v>1.0324500000000001</v>
      </c>
      <c r="Y107" s="3">
        <v>1.0324500000000001</v>
      </c>
      <c r="Z107" s="3">
        <v>1.0324500000000001</v>
      </c>
      <c r="AA107" s="3">
        <v>1.0324500000000001</v>
      </c>
      <c r="AB107" s="3">
        <v>1.0324500000000001</v>
      </c>
      <c r="AC107" s="3">
        <v>1.0324500000000001</v>
      </c>
      <c r="AD107" s="3">
        <v>1.0324500000000001</v>
      </c>
      <c r="AE107" s="3">
        <v>1.0324500000000001</v>
      </c>
      <c r="AF107" s="3">
        <v>1.0324500000000001</v>
      </c>
      <c r="AG107" s="3">
        <v>1.0324500000000001</v>
      </c>
      <c r="AH107" s="3">
        <v>1.0324500000000001</v>
      </c>
      <c r="AI107" s="3">
        <v>1.0324500000000001</v>
      </c>
      <c r="AJ107" s="3">
        <v>1.0324500000000001</v>
      </c>
      <c r="AK107" s="3">
        <v>1.0324500000000001</v>
      </c>
      <c r="AL107" s="3">
        <v>1.0324500000000001</v>
      </c>
      <c r="AM107" s="3">
        <v>1.0324500000000001</v>
      </c>
      <c r="AN107" s="3">
        <v>1.0324500000000001</v>
      </c>
      <c r="AO107" s="3">
        <v>1.0324500000000001</v>
      </c>
      <c r="AP107" s="3">
        <v>1.0324500000000001</v>
      </c>
      <c r="AQ107" s="3">
        <v>1.0324500000000001</v>
      </c>
      <c r="AR107" s="3">
        <v>1.0324500000000001</v>
      </c>
      <c r="AS107" s="3">
        <v>1.0324500000000001</v>
      </c>
      <c r="AT107" s="3">
        <v>1.0324500000000001</v>
      </c>
      <c r="AU107" s="3">
        <v>1.0324500000000001</v>
      </c>
      <c r="AV107" s="3">
        <v>1.0324500000000001</v>
      </c>
      <c r="AW107" s="3">
        <v>1.0324500000000001</v>
      </c>
      <c r="AX107" s="3">
        <v>1.0324500000000001</v>
      </c>
      <c r="AY107" s="3">
        <v>1.0324500000000001</v>
      </c>
      <c r="AZ107" s="3">
        <v>1.0324500000000001</v>
      </c>
      <c r="BA107" s="3">
        <v>1.0324500000000001</v>
      </c>
      <c r="BB107" s="3">
        <v>1.0324500000000001</v>
      </c>
      <c r="BC107" s="3">
        <v>1.0324500000000001</v>
      </c>
      <c r="BD107" s="3">
        <v>1.0324500000000001</v>
      </c>
      <c r="BE107" s="3">
        <v>1.0324500000000001</v>
      </c>
      <c r="BF107" s="3">
        <v>1.0324500000000001</v>
      </c>
      <c r="BG107" s="3">
        <v>1.0324500000000001</v>
      </c>
      <c r="BH107" s="3">
        <v>1.0324500000000001</v>
      </c>
      <c r="BI107" s="3">
        <v>1.0324500000000001</v>
      </c>
      <c r="BJ107" s="3">
        <v>1.0324500000000001</v>
      </c>
      <c r="BK107" s="3">
        <v>1.0324500000000001</v>
      </c>
      <c r="BL107" s="3">
        <v>1.0324500000000001</v>
      </c>
      <c r="BM107" s="3">
        <v>1.0324500000000001</v>
      </c>
      <c r="BN107" s="3">
        <v>1.0324500000000001</v>
      </c>
      <c r="BO107" s="3">
        <v>1.0324500000000001</v>
      </c>
      <c r="BP107" s="3">
        <v>1.0324500000000001</v>
      </c>
      <c r="BQ107" s="3">
        <v>1.0324500000000001</v>
      </c>
      <c r="BR107" s="3"/>
    </row>
    <row r="108" spans="1:70" x14ac:dyDescent="0.3">
      <c r="A108" s="5" t="s">
        <v>153</v>
      </c>
      <c r="B108" s="5" t="s">
        <v>154</v>
      </c>
      <c r="C108" s="5" t="s">
        <v>27</v>
      </c>
      <c r="D108" s="5" t="s">
        <v>28</v>
      </c>
      <c r="E108" s="5" t="s">
        <v>11</v>
      </c>
      <c r="F108" s="7"/>
      <c r="G108" s="5" t="s">
        <v>140</v>
      </c>
      <c r="H108" s="5">
        <v>0</v>
      </c>
      <c r="I108" s="3">
        <v>1</v>
      </c>
      <c r="J108" s="3">
        <v>1</v>
      </c>
      <c r="K108" s="3">
        <v>1</v>
      </c>
      <c r="L108" s="3">
        <v>1</v>
      </c>
      <c r="M108" s="3">
        <v>1</v>
      </c>
      <c r="N108" s="3">
        <v>1</v>
      </c>
      <c r="O108" s="3">
        <v>1</v>
      </c>
      <c r="P108" s="3">
        <v>1</v>
      </c>
      <c r="Q108" s="3">
        <v>1</v>
      </c>
      <c r="R108" s="3">
        <v>1</v>
      </c>
      <c r="S108" s="3">
        <v>1</v>
      </c>
      <c r="T108" s="3">
        <v>1</v>
      </c>
      <c r="U108" s="3">
        <v>1</v>
      </c>
      <c r="V108" s="3">
        <v>1</v>
      </c>
      <c r="W108" s="3">
        <v>1</v>
      </c>
      <c r="X108" s="3">
        <v>1</v>
      </c>
      <c r="Y108" s="3">
        <v>1</v>
      </c>
      <c r="Z108" s="3">
        <v>1</v>
      </c>
      <c r="AA108" s="3">
        <v>1</v>
      </c>
      <c r="AB108" s="3">
        <v>1</v>
      </c>
      <c r="AC108" s="3">
        <v>1</v>
      </c>
      <c r="AD108" s="3">
        <v>1</v>
      </c>
      <c r="AE108" s="3">
        <v>1</v>
      </c>
      <c r="AF108" s="3">
        <v>1</v>
      </c>
      <c r="AG108" s="3">
        <v>1</v>
      </c>
      <c r="AH108" s="3">
        <v>1</v>
      </c>
      <c r="AI108" s="3">
        <v>1</v>
      </c>
      <c r="AJ108" s="3">
        <v>1</v>
      </c>
      <c r="AK108" s="3">
        <v>1</v>
      </c>
      <c r="AL108" s="3">
        <v>1</v>
      </c>
      <c r="AM108" s="3">
        <v>1</v>
      </c>
      <c r="AN108" s="3">
        <v>1</v>
      </c>
      <c r="AO108" s="3">
        <v>1</v>
      </c>
      <c r="AP108" s="3">
        <v>1</v>
      </c>
      <c r="AQ108" s="3">
        <v>1</v>
      </c>
      <c r="AR108" s="3">
        <v>1</v>
      </c>
      <c r="AS108" s="3">
        <v>1</v>
      </c>
      <c r="AT108" s="3">
        <v>1</v>
      </c>
      <c r="AU108" s="3">
        <v>1</v>
      </c>
      <c r="AV108" s="3">
        <v>1</v>
      </c>
      <c r="AW108" s="3">
        <v>1</v>
      </c>
      <c r="AX108" s="3">
        <v>1</v>
      </c>
      <c r="AY108" s="3">
        <v>1</v>
      </c>
      <c r="AZ108" s="3">
        <v>1</v>
      </c>
      <c r="BA108" s="3">
        <v>1</v>
      </c>
      <c r="BB108" s="3">
        <v>1</v>
      </c>
      <c r="BC108" s="3">
        <v>1</v>
      </c>
      <c r="BD108" s="3">
        <v>1</v>
      </c>
      <c r="BE108" s="3">
        <v>1</v>
      </c>
      <c r="BF108" s="3">
        <v>1</v>
      </c>
      <c r="BG108" s="3">
        <v>1</v>
      </c>
      <c r="BH108" s="3">
        <v>1</v>
      </c>
      <c r="BI108" s="3">
        <v>1</v>
      </c>
      <c r="BJ108" s="3">
        <v>1</v>
      </c>
      <c r="BK108" s="3">
        <v>1</v>
      </c>
      <c r="BL108" s="3">
        <v>1</v>
      </c>
      <c r="BM108" s="3">
        <v>1</v>
      </c>
      <c r="BN108" s="3">
        <v>1</v>
      </c>
      <c r="BO108" s="3">
        <v>1</v>
      </c>
      <c r="BP108" s="3">
        <v>1</v>
      </c>
      <c r="BQ108" s="3">
        <v>1</v>
      </c>
      <c r="BR108" s="3"/>
    </row>
    <row r="109" spans="1:70" x14ac:dyDescent="0.3">
      <c r="A109" s="4" t="s">
        <v>168</v>
      </c>
      <c r="B109" s="4" t="s">
        <v>169</v>
      </c>
      <c r="C109" s="5" t="s">
        <v>781</v>
      </c>
      <c r="D109" s="14" t="s">
        <v>784</v>
      </c>
      <c r="E109" s="4" t="s">
        <v>139</v>
      </c>
      <c r="F109" s="7"/>
      <c r="G109" s="4" t="s">
        <v>140</v>
      </c>
      <c r="H109" s="4">
        <v>0</v>
      </c>
      <c r="I109" s="3">
        <v>1.0196000000000001</v>
      </c>
      <c r="J109" s="3">
        <v>1.0196000000000001</v>
      </c>
      <c r="K109" s="3">
        <v>1.0196000000000001</v>
      </c>
      <c r="L109" s="3">
        <v>1.0196000000000001</v>
      </c>
      <c r="M109" s="3">
        <v>1.0196000000000001</v>
      </c>
      <c r="N109" s="3">
        <v>1.0196000000000001</v>
      </c>
      <c r="O109" s="3">
        <v>1.0196000000000001</v>
      </c>
      <c r="P109" s="3">
        <v>1.0196000000000001</v>
      </c>
      <c r="Q109" s="3">
        <v>1.0196000000000001</v>
      </c>
      <c r="R109" s="3">
        <v>1.0431999999999999</v>
      </c>
      <c r="S109" s="3">
        <v>1.0341</v>
      </c>
      <c r="T109" s="3">
        <v>1.0328999999999999</v>
      </c>
      <c r="U109" s="3">
        <v>1.0324500000000001</v>
      </c>
      <c r="V109" s="3">
        <v>1.0324500000000001</v>
      </c>
      <c r="W109" s="3">
        <v>1.0324500000000001</v>
      </c>
      <c r="X109" s="3">
        <v>1.0324500000000001</v>
      </c>
      <c r="Y109" s="3">
        <v>1.0324500000000001</v>
      </c>
      <c r="Z109" s="3">
        <v>1.0324500000000001</v>
      </c>
      <c r="AA109" s="3">
        <v>1.0324500000000001</v>
      </c>
      <c r="AB109" s="3">
        <v>1.0324500000000001</v>
      </c>
      <c r="AC109" s="3">
        <v>1.0324500000000001</v>
      </c>
      <c r="AD109" s="3">
        <v>1.0324500000000001</v>
      </c>
      <c r="AE109" s="3">
        <v>1.0324500000000001</v>
      </c>
      <c r="AF109" s="3">
        <v>1.0324500000000001</v>
      </c>
      <c r="AG109" s="3">
        <v>1.0324500000000001</v>
      </c>
      <c r="AH109" s="3">
        <v>1.0324500000000001</v>
      </c>
      <c r="AI109" s="3">
        <v>1.0324500000000001</v>
      </c>
      <c r="AJ109" s="3">
        <v>1.0324500000000001</v>
      </c>
      <c r="AK109" s="3">
        <v>1.0324500000000001</v>
      </c>
      <c r="AL109" s="3">
        <v>1.0324500000000001</v>
      </c>
      <c r="AM109" s="3">
        <v>1.0324500000000001</v>
      </c>
      <c r="AN109" s="3">
        <v>1.0324500000000001</v>
      </c>
      <c r="AO109" s="3">
        <v>1.0324500000000001</v>
      </c>
      <c r="AP109" s="3">
        <v>1.0324500000000001</v>
      </c>
      <c r="AQ109" s="3">
        <v>1.0324500000000001</v>
      </c>
      <c r="AR109" s="3">
        <v>1.0324500000000001</v>
      </c>
      <c r="AS109" s="3">
        <v>1.0324500000000001</v>
      </c>
      <c r="AT109" s="3">
        <v>1.0324500000000001</v>
      </c>
      <c r="AU109" s="3">
        <v>1.0324500000000001</v>
      </c>
      <c r="AV109" s="3">
        <v>1.0324500000000001</v>
      </c>
      <c r="AW109" s="3">
        <v>1.0324500000000001</v>
      </c>
      <c r="AX109" s="3">
        <v>1.0324500000000001</v>
      </c>
      <c r="AY109" s="3">
        <v>1.0324500000000001</v>
      </c>
      <c r="AZ109" s="3">
        <v>1.0324500000000001</v>
      </c>
      <c r="BA109" s="3">
        <v>1.0324500000000001</v>
      </c>
      <c r="BB109" s="3">
        <v>1.0324500000000001</v>
      </c>
      <c r="BC109" s="3">
        <v>1.0324500000000001</v>
      </c>
      <c r="BD109" s="3">
        <v>1.0324500000000001</v>
      </c>
      <c r="BE109" s="3">
        <v>1.0324500000000001</v>
      </c>
      <c r="BF109" s="3">
        <v>1.0324500000000001</v>
      </c>
      <c r="BG109" s="3">
        <v>1.0324500000000001</v>
      </c>
      <c r="BH109" s="3">
        <v>1.0324500000000001</v>
      </c>
      <c r="BI109" s="3">
        <v>1.0324500000000001</v>
      </c>
      <c r="BJ109" s="3">
        <v>1.0324500000000001</v>
      </c>
      <c r="BK109" s="3">
        <v>1.0324500000000001</v>
      </c>
      <c r="BL109" s="3">
        <v>1.0324500000000001</v>
      </c>
      <c r="BM109" s="3">
        <v>1.0324500000000001</v>
      </c>
      <c r="BN109" s="3">
        <v>1.0324500000000001</v>
      </c>
      <c r="BO109" s="3">
        <v>1.0324500000000001</v>
      </c>
      <c r="BP109" s="3">
        <v>1.0324500000000001</v>
      </c>
      <c r="BQ109" s="3">
        <v>1.0324500000000001</v>
      </c>
      <c r="BR109" s="3"/>
    </row>
    <row r="110" spans="1:70" x14ac:dyDescent="0.3">
      <c r="A110" s="4" t="s">
        <v>168</v>
      </c>
      <c r="B110" s="4" t="s">
        <v>169</v>
      </c>
      <c r="C110" s="4" t="s">
        <v>170</v>
      </c>
      <c r="D110" s="4" t="s">
        <v>171</v>
      </c>
      <c r="E110" s="4" t="s">
        <v>11</v>
      </c>
      <c r="F110" s="7"/>
      <c r="G110" s="4" t="s">
        <v>140</v>
      </c>
      <c r="H110" s="4">
        <v>0</v>
      </c>
      <c r="I110" s="3">
        <v>1</v>
      </c>
      <c r="J110" s="3">
        <v>1</v>
      </c>
      <c r="K110" s="3">
        <v>1</v>
      </c>
      <c r="L110" s="3">
        <v>1</v>
      </c>
      <c r="M110" s="3">
        <v>1</v>
      </c>
      <c r="N110" s="3">
        <v>1</v>
      </c>
      <c r="O110" s="3">
        <v>1</v>
      </c>
      <c r="P110" s="3">
        <v>1</v>
      </c>
      <c r="Q110" s="3">
        <v>1</v>
      </c>
      <c r="R110" s="3">
        <v>1</v>
      </c>
      <c r="S110" s="3">
        <v>1</v>
      </c>
      <c r="T110" s="3">
        <v>1</v>
      </c>
      <c r="U110" s="3">
        <v>1</v>
      </c>
      <c r="V110" s="3">
        <v>1</v>
      </c>
      <c r="W110" s="3">
        <v>1</v>
      </c>
      <c r="X110" s="3">
        <v>1</v>
      </c>
      <c r="Y110" s="3">
        <v>1</v>
      </c>
      <c r="Z110" s="3">
        <v>1</v>
      </c>
      <c r="AA110" s="3">
        <v>1</v>
      </c>
      <c r="AB110" s="3">
        <v>1</v>
      </c>
      <c r="AC110" s="3">
        <v>1</v>
      </c>
      <c r="AD110" s="3">
        <v>1</v>
      </c>
      <c r="AE110" s="3">
        <v>1</v>
      </c>
      <c r="AF110" s="3">
        <v>1</v>
      </c>
      <c r="AG110" s="3">
        <v>1</v>
      </c>
      <c r="AH110" s="3">
        <v>1</v>
      </c>
      <c r="AI110" s="3">
        <v>1</v>
      </c>
      <c r="AJ110" s="3">
        <v>1</v>
      </c>
      <c r="AK110" s="3">
        <v>1</v>
      </c>
      <c r="AL110" s="3">
        <v>1</v>
      </c>
      <c r="AM110" s="3">
        <v>1</v>
      </c>
      <c r="AN110" s="3">
        <v>1</v>
      </c>
      <c r="AO110" s="3">
        <v>1</v>
      </c>
      <c r="AP110" s="3">
        <v>1</v>
      </c>
      <c r="AQ110" s="3">
        <v>1</v>
      </c>
      <c r="AR110" s="3">
        <v>1</v>
      </c>
      <c r="AS110" s="3">
        <v>1</v>
      </c>
      <c r="AT110" s="3">
        <v>1</v>
      </c>
      <c r="AU110" s="3">
        <v>1</v>
      </c>
      <c r="AV110" s="3">
        <v>1</v>
      </c>
      <c r="AW110" s="3">
        <v>1</v>
      </c>
      <c r="AX110" s="3">
        <v>1</v>
      </c>
      <c r="AY110" s="3">
        <v>1</v>
      </c>
      <c r="AZ110" s="3">
        <v>1</v>
      </c>
      <c r="BA110" s="3">
        <v>1</v>
      </c>
      <c r="BB110" s="3">
        <v>1</v>
      </c>
      <c r="BC110" s="3">
        <v>1</v>
      </c>
      <c r="BD110" s="3">
        <v>1</v>
      </c>
      <c r="BE110" s="3">
        <v>1</v>
      </c>
      <c r="BF110" s="3">
        <v>1</v>
      </c>
      <c r="BG110" s="3">
        <v>1</v>
      </c>
      <c r="BH110" s="3">
        <v>1</v>
      </c>
      <c r="BI110" s="3">
        <v>1</v>
      </c>
      <c r="BJ110" s="3">
        <v>1</v>
      </c>
      <c r="BK110" s="3">
        <v>1</v>
      </c>
      <c r="BL110" s="3">
        <v>1</v>
      </c>
      <c r="BM110" s="3">
        <v>1</v>
      </c>
      <c r="BN110" s="3">
        <v>1</v>
      </c>
      <c r="BO110" s="3">
        <v>1</v>
      </c>
      <c r="BP110" s="3">
        <v>1</v>
      </c>
      <c r="BQ110" s="3">
        <v>1</v>
      </c>
      <c r="BR110" s="3"/>
    </row>
    <row r="111" spans="1:70" x14ac:dyDescent="0.3">
      <c r="A111" s="5" t="s">
        <v>164</v>
      </c>
      <c r="B111" s="5" t="s">
        <v>165</v>
      </c>
      <c r="C111" s="5" t="s">
        <v>781</v>
      </c>
      <c r="D111" s="14" t="s">
        <v>784</v>
      </c>
      <c r="E111" s="5" t="s">
        <v>139</v>
      </c>
      <c r="F111" s="7"/>
      <c r="G111" s="5" t="s">
        <v>140</v>
      </c>
      <c r="H111" s="5">
        <v>0</v>
      </c>
      <c r="I111" s="3">
        <v>1.0196000000000001</v>
      </c>
      <c r="J111" s="3">
        <v>1.0196000000000001</v>
      </c>
      <c r="K111" s="3">
        <v>1.0196000000000001</v>
      </c>
      <c r="L111" s="3">
        <v>1.0196000000000001</v>
      </c>
      <c r="M111" s="3">
        <v>1.0196000000000001</v>
      </c>
      <c r="N111" s="3">
        <v>1.0196000000000001</v>
      </c>
      <c r="O111" s="3">
        <v>1.0196000000000001</v>
      </c>
      <c r="P111" s="3">
        <v>1.0196000000000001</v>
      </c>
      <c r="Q111" s="3">
        <v>1.0196000000000001</v>
      </c>
      <c r="R111" s="3">
        <v>1.0431999999999999</v>
      </c>
      <c r="S111" s="3">
        <v>1.0341</v>
      </c>
      <c r="T111" s="3">
        <v>1.0328999999999999</v>
      </c>
      <c r="U111" s="3">
        <v>1.0324500000000001</v>
      </c>
      <c r="V111" s="3">
        <v>1.0324500000000001</v>
      </c>
      <c r="W111" s="3">
        <v>1.0324500000000001</v>
      </c>
      <c r="X111" s="3">
        <v>1.0324500000000001</v>
      </c>
      <c r="Y111" s="3">
        <v>1.0324500000000001</v>
      </c>
      <c r="Z111" s="3">
        <v>1.0324500000000001</v>
      </c>
      <c r="AA111" s="3">
        <v>1.0324500000000001</v>
      </c>
      <c r="AB111" s="3">
        <v>1.0324500000000001</v>
      </c>
      <c r="AC111" s="3">
        <v>1.0324500000000001</v>
      </c>
      <c r="AD111" s="3">
        <v>1.0324500000000001</v>
      </c>
      <c r="AE111" s="3">
        <v>1.0324500000000001</v>
      </c>
      <c r="AF111" s="3">
        <v>1.0324500000000001</v>
      </c>
      <c r="AG111" s="3">
        <v>1.0324500000000001</v>
      </c>
      <c r="AH111" s="3">
        <v>1.0324500000000001</v>
      </c>
      <c r="AI111" s="3">
        <v>1.0324500000000001</v>
      </c>
      <c r="AJ111" s="3">
        <v>1.0324500000000001</v>
      </c>
      <c r="AK111" s="3">
        <v>1.0324500000000001</v>
      </c>
      <c r="AL111" s="3">
        <v>1.0324500000000001</v>
      </c>
      <c r="AM111" s="3">
        <v>1.0324500000000001</v>
      </c>
      <c r="AN111" s="3">
        <v>1.0324500000000001</v>
      </c>
      <c r="AO111" s="3">
        <v>1.0324500000000001</v>
      </c>
      <c r="AP111" s="3">
        <v>1.0324500000000001</v>
      </c>
      <c r="AQ111" s="3">
        <v>1.0324500000000001</v>
      </c>
      <c r="AR111" s="3">
        <v>1.0324500000000001</v>
      </c>
      <c r="AS111" s="3">
        <v>1.0324500000000001</v>
      </c>
      <c r="AT111" s="3">
        <v>1.0324500000000001</v>
      </c>
      <c r="AU111" s="3">
        <v>1.0324500000000001</v>
      </c>
      <c r="AV111" s="3">
        <v>1.0324500000000001</v>
      </c>
      <c r="AW111" s="3">
        <v>1.0324500000000001</v>
      </c>
      <c r="AX111" s="3">
        <v>1.0324500000000001</v>
      </c>
      <c r="AY111" s="3">
        <v>1.0324500000000001</v>
      </c>
      <c r="AZ111" s="3">
        <v>1.0324500000000001</v>
      </c>
      <c r="BA111" s="3">
        <v>1.0324500000000001</v>
      </c>
      <c r="BB111" s="3">
        <v>1.0324500000000001</v>
      </c>
      <c r="BC111" s="3">
        <v>1.0324500000000001</v>
      </c>
      <c r="BD111" s="3">
        <v>1.0324500000000001</v>
      </c>
      <c r="BE111" s="3">
        <v>1.0324500000000001</v>
      </c>
      <c r="BF111" s="3">
        <v>1.0324500000000001</v>
      </c>
      <c r="BG111" s="3">
        <v>1.0324500000000001</v>
      </c>
      <c r="BH111" s="3">
        <v>1.0324500000000001</v>
      </c>
      <c r="BI111" s="3">
        <v>1.0324500000000001</v>
      </c>
      <c r="BJ111" s="3">
        <v>1.0324500000000001</v>
      </c>
      <c r="BK111" s="3">
        <v>1.0324500000000001</v>
      </c>
      <c r="BL111" s="3">
        <v>1.0324500000000001</v>
      </c>
      <c r="BM111" s="3">
        <v>1.0324500000000001</v>
      </c>
      <c r="BN111" s="3">
        <v>1.0324500000000001</v>
      </c>
      <c r="BO111" s="3">
        <v>1.0324500000000001</v>
      </c>
      <c r="BP111" s="3">
        <v>1.0324500000000001</v>
      </c>
      <c r="BQ111" s="3">
        <v>1.0324500000000001</v>
      </c>
      <c r="BR111" s="3"/>
    </row>
    <row r="112" spans="1:70" x14ac:dyDescent="0.3">
      <c r="A112" s="5" t="s">
        <v>164</v>
      </c>
      <c r="B112" s="5" t="s">
        <v>165</v>
      </c>
      <c r="C112" s="5" t="s">
        <v>166</v>
      </c>
      <c r="D112" s="5" t="s">
        <v>167</v>
      </c>
      <c r="E112" s="5" t="s">
        <v>11</v>
      </c>
      <c r="F112" s="7"/>
      <c r="G112" s="5" t="s">
        <v>140</v>
      </c>
      <c r="H112" s="5">
        <v>0</v>
      </c>
      <c r="I112" s="3">
        <v>1</v>
      </c>
      <c r="J112" s="3">
        <v>1</v>
      </c>
      <c r="K112" s="3">
        <v>1</v>
      </c>
      <c r="L112" s="3">
        <v>1</v>
      </c>
      <c r="M112" s="3">
        <v>1</v>
      </c>
      <c r="N112" s="3">
        <v>1</v>
      </c>
      <c r="O112" s="3">
        <v>1</v>
      </c>
      <c r="P112" s="3">
        <v>1</v>
      </c>
      <c r="Q112" s="3">
        <v>1</v>
      </c>
      <c r="R112" s="3">
        <v>1</v>
      </c>
      <c r="S112" s="3">
        <v>1</v>
      </c>
      <c r="T112" s="3">
        <v>1</v>
      </c>
      <c r="U112" s="3">
        <v>1</v>
      </c>
      <c r="V112" s="3">
        <v>1</v>
      </c>
      <c r="W112" s="3">
        <v>1</v>
      </c>
      <c r="X112" s="3">
        <v>1</v>
      </c>
      <c r="Y112" s="3">
        <v>1</v>
      </c>
      <c r="Z112" s="3">
        <v>1</v>
      </c>
      <c r="AA112" s="3">
        <v>1</v>
      </c>
      <c r="AB112" s="3">
        <v>1</v>
      </c>
      <c r="AC112" s="3">
        <v>1</v>
      </c>
      <c r="AD112" s="3">
        <v>1</v>
      </c>
      <c r="AE112" s="3">
        <v>1</v>
      </c>
      <c r="AF112" s="3">
        <v>1</v>
      </c>
      <c r="AG112" s="3">
        <v>1</v>
      </c>
      <c r="AH112" s="3">
        <v>1</v>
      </c>
      <c r="AI112" s="3">
        <v>1</v>
      </c>
      <c r="AJ112" s="3">
        <v>1</v>
      </c>
      <c r="AK112" s="3">
        <v>1</v>
      </c>
      <c r="AL112" s="3">
        <v>1</v>
      </c>
      <c r="AM112" s="3">
        <v>1</v>
      </c>
      <c r="AN112" s="3">
        <v>1</v>
      </c>
      <c r="AO112" s="3">
        <v>1</v>
      </c>
      <c r="AP112" s="3">
        <v>1</v>
      </c>
      <c r="AQ112" s="3">
        <v>1</v>
      </c>
      <c r="AR112" s="3">
        <v>1</v>
      </c>
      <c r="AS112" s="3">
        <v>1</v>
      </c>
      <c r="AT112" s="3">
        <v>1</v>
      </c>
      <c r="AU112" s="3">
        <v>1</v>
      </c>
      <c r="AV112" s="3">
        <v>1</v>
      </c>
      <c r="AW112" s="3">
        <v>1</v>
      </c>
      <c r="AX112" s="3">
        <v>1</v>
      </c>
      <c r="AY112" s="3">
        <v>1</v>
      </c>
      <c r="AZ112" s="3">
        <v>1</v>
      </c>
      <c r="BA112" s="3">
        <v>1</v>
      </c>
      <c r="BB112" s="3">
        <v>1</v>
      </c>
      <c r="BC112" s="3">
        <v>1</v>
      </c>
      <c r="BD112" s="3">
        <v>1</v>
      </c>
      <c r="BE112" s="3">
        <v>1</v>
      </c>
      <c r="BF112" s="3">
        <v>1</v>
      </c>
      <c r="BG112" s="3">
        <v>1</v>
      </c>
      <c r="BH112" s="3">
        <v>1</v>
      </c>
      <c r="BI112" s="3">
        <v>1</v>
      </c>
      <c r="BJ112" s="3">
        <v>1</v>
      </c>
      <c r="BK112" s="3">
        <v>1</v>
      </c>
      <c r="BL112" s="3">
        <v>1</v>
      </c>
      <c r="BM112" s="3">
        <v>1</v>
      </c>
      <c r="BN112" s="3">
        <v>1</v>
      </c>
      <c r="BO112" s="3">
        <v>1</v>
      </c>
      <c r="BP112" s="3">
        <v>1</v>
      </c>
      <c r="BQ112" s="3">
        <v>1</v>
      </c>
      <c r="BR112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P111"/>
  <sheetViews>
    <sheetView topLeftCell="I1" workbookViewId="0">
      <pane ySplit="1" topLeftCell="A92" activePane="bottomLeft" state="frozen"/>
      <selection pane="bottomLeft" activeCell="L114" sqref="L114"/>
    </sheetView>
  </sheetViews>
  <sheetFormatPr baseColWidth="10" defaultColWidth="8.88671875" defaultRowHeight="14.4" x14ac:dyDescent="0.3"/>
  <cols>
    <col min="1" max="1" width="15.88671875" bestFit="1" customWidth="1"/>
    <col min="2" max="2" width="44.5546875" bestFit="1" customWidth="1"/>
    <col min="3" max="3" width="17.33203125" bestFit="1" customWidth="1"/>
    <col min="4" max="4" width="30.5546875" bestFit="1" customWidth="1"/>
    <col min="5" max="5" width="13.33203125" bestFit="1" customWidth="1"/>
    <col min="6" max="6" width="20.109375" bestFit="1" customWidth="1"/>
    <col min="7" max="7" width="24.109375" bestFit="1" customWidth="1"/>
    <col min="8" max="15" width="24.109375" customWidth="1"/>
    <col min="16" max="16" width="12" bestFit="1" customWidth="1"/>
  </cols>
  <sheetData>
    <row r="1" spans="1:6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  <c r="V1" s="1">
        <v>2024</v>
      </c>
      <c r="W1" s="1">
        <v>2025</v>
      </c>
      <c r="X1" s="1">
        <v>2026</v>
      </c>
      <c r="Y1" s="1">
        <v>2027</v>
      </c>
      <c r="Z1" s="1">
        <v>2028</v>
      </c>
      <c r="AA1" s="1">
        <v>2029</v>
      </c>
      <c r="AB1" s="1">
        <v>2030</v>
      </c>
      <c r="AC1" s="1">
        <v>2031</v>
      </c>
      <c r="AD1" s="1">
        <v>2032</v>
      </c>
      <c r="AE1" s="1">
        <v>2033</v>
      </c>
      <c r="AF1" s="1">
        <v>2034</v>
      </c>
      <c r="AG1" s="1">
        <v>2035</v>
      </c>
      <c r="AH1" s="1">
        <v>2036</v>
      </c>
      <c r="AI1" s="1">
        <v>2037</v>
      </c>
      <c r="AJ1" s="1">
        <v>2038</v>
      </c>
      <c r="AK1" s="1">
        <v>2039</v>
      </c>
      <c r="AL1" s="1">
        <v>2040</v>
      </c>
      <c r="AM1" s="1">
        <v>2041</v>
      </c>
      <c r="AN1" s="1">
        <v>2042</v>
      </c>
      <c r="AO1" s="1">
        <v>2043</v>
      </c>
      <c r="AP1" s="1">
        <v>2044</v>
      </c>
      <c r="AQ1" s="1">
        <v>2045</v>
      </c>
      <c r="AR1" s="1">
        <v>2046</v>
      </c>
      <c r="AS1" s="1">
        <v>2047</v>
      </c>
      <c r="AT1" s="1">
        <v>2048</v>
      </c>
      <c r="AU1" s="1">
        <v>2049</v>
      </c>
      <c r="AV1" s="1">
        <v>2050</v>
      </c>
      <c r="AW1">
        <v>2051</v>
      </c>
      <c r="AX1">
        <v>2052</v>
      </c>
      <c r="AY1">
        <v>2053</v>
      </c>
      <c r="AZ1">
        <v>2054</v>
      </c>
      <c r="BA1">
        <v>2055</v>
      </c>
      <c r="BB1">
        <v>2056</v>
      </c>
      <c r="BC1">
        <v>2057</v>
      </c>
      <c r="BD1">
        <v>2058</v>
      </c>
      <c r="BE1">
        <v>2059</v>
      </c>
      <c r="BF1">
        <v>2060</v>
      </c>
      <c r="BG1">
        <v>2061</v>
      </c>
      <c r="BH1">
        <v>2062</v>
      </c>
      <c r="BI1">
        <v>2063</v>
      </c>
      <c r="BJ1">
        <v>2064</v>
      </c>
      <c r="BK1">
        <v>2065</v>
      </c>
      <c r="BL1">
        <v>2066</v>
      </c>
      <c r="BM1">
        <v>2067</v>
      </c>
      <c r="BN1">
        <v>2068</v>
      </c>
      <c r="BO1">
        <v>2069</v>
      </c>
      <c r="BP1">
        <v>2070</v>
      </c>
    </row>
    <row r="2" spans="1:68" x14ac:dyDescent="0.3">
      <c r="A2" s="4" t="s">
        <v>263</v>
      </c>
      <c r="B2" s="4" t="s">
        <v>264</v>
      </c>
      <c r="C2" s="4" t="s">
        <v>112</v>
      </c>
      <c r="D2" s="4"/>
      <c r="E2" s="4" t="s">
        <v>139</v>
      </c>
      <c r="F2" s="4" t="s">
        <v>140</v>
      </c>
      <c r="G2" s="4">
        <v>0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4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</row>
    <row r="3" spans="1:68" x14ac:dyDescent="0.3">
      <c r="A3" s="4" t="s">
        <v>263</v>
      </c>
      <c r="B3" s="4" t="s">
        <v>264</v>
      </c>
      <c r="C3" s="4" t="s">
        <v>265</v>
      </c>
      <c r="D3" s="4" t="s">
        <v>266</v>
      </c>
      <c r="E3" s="4" t="s">
        <v>11</v>
      </c>
      <c r="F3" s="4" t="s">
        <v>140</v>
      </c>
      <c r="G3" s="4">
        <v>0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</row>
    <row r="4" spans="1:68" x14ac:dyDescent="0.3">
      <c r="A4" s="5" t="s">
        <v>267</v>
      </c>
      <c r="B4" s="5" t="s">
        <v>268</v>
      </c>
      <c r="C4" s="5" t="s">
        <v>19</v>
      </c>
      <c r="D4" s="5"/>
      <c r="E4" s="5" t="s">
        <v>139</v>
      </c>
      <c r="F4" s="5" t="s">
        <v>140</v>
      </c>
      <c r="G4" s="5">
        <v>0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</row>
    <row r="5" spans="1:68" x14ac:dyDescent="0.3">
      <c r="A5" s="5" t="s">
        <v>267</v>
      </c>
      <c r="B5" s="5" t="s">
        <v>268</v>
      </c>
      <c r="C5" s="5" t="s">
        <v>269</v>
      </c>
      <c r="D5" s="5" t="s">
        <v>270</v>
      </c>
      <c r="E5" s="5" t="s">
        <v>11</v>
      </c>
      <c r="F5" s="5" t="s">
        <v>140</v>
      </c>
      <c r="G5" s="5">
        <v>0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</row>
    <row r="6" spans="1:68" x14ac:dyDescent="0.3">
      <c r="A6" s="4" t="s">
        <v>271</v>
      </c>
      <c r="B6" s="4" t="s">
        <v>272</v>
      </c>
      <c r="C6" s="4" t="s">
        <v>27</v>
      </c>
      <c r="D6" s="4"/>
      <c r="E6" s="4" t="s">
        <v>139</v>
      </c>
      <c r="F6" s="4" t="s">
        <v>140</v>
      </c>
      <c r="G6" s="4">
        <v>0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</row>
    <row r="7" spans="1:68" x14ac:dyDescent="0.3">
      <c r="A7" s="4" t="s">
        <v>271</v>
      </c>
      <c r="B7" s="4" t="s">
        <v>272</v>
      </c>
      <c r="C7" s="4" t="s">
        <v>273</v>
      </c>
      <c r="D7" s="4" t="s">
        <v>274</v>
      </c>
      <c r="E7" s="4" t="s">
        <v>11</v>
      </c>
      <c r="F7" s="4" t="s">
        <v>140</v>
      </c>
      <c r="G7" s="4">
        <v>0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</row>
    <row r="8" spans="1:68" x14ac:dyDescent="0.3">
      <c r="A8" s="5" t="s">
        <v>275</v>
      </c>
      <c r="B8" s="5" t="s">
        <v>276</v>
      </c>
      <c r="C8" s="5" t="s">
        <v>166</v>
      </c>
      <c r="D8" s="5"/>
      <c r="E8" s="5" t="s">
        <v>139</v>
      </c>
      <c r="F8" s="5" t="s">
        <v>140</v>
      </c>
      <c r="G8" s="5">
        <v>0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</row>
    <row r="9" spans="1:68" x14ac:dyDescent="0.3">
      <c r="A9" s="5" t="s">
        <v>275</v>
      </c>
      <c r="B9" s="5" t="s">
        <v>276</v>
      </c>
      <c r="C9" s="5" t="s">
        <v>277</v>
      </c>
      <c r="D9" s="5" t="s">
        <v>278</v>
      </c>
      <c r="E9" s="5" t="s">
        <v>11</v>
      </c>
      <c r="F9" s="5" t="s">
        <v>140</v>
      </c>
      <c r="G9" s="5">
        <v>0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</row>
    <row r="10" spans="1:68" x14ac:dyDescent="0.3">
      <c r="A10" s="5" t="s">
        <v>279</v>
      </c>
      <c r="B10" s="5" t="s">
        <v>280</v>
      </c>
      <c r="C10" s="5" t="s">
        <v>112</v>
      </c>
      <c r="D10" s="5"/>
      <c r="E10" s="5" t="s">
        <v>139</v>
      </c>
      <c r="F10" s="5" t="s">
        <v>140</v>
      </c>
      <c r="G10" s="5">
        <v>0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</row>
    <row r="11" spans="1:68" x14ac:dyDescent="0.3">
      <c r="A11" s="5" t="s">
        <v>279</v>
      </c>
      <c r="B11" s="5" t="s">
        <v>280</v>
      </c>
      <c r="C11" s="5" t="s">
        <v>281</v>
      </c>
      <c r="D11" s="5" t="s">
        <v>282</v>
      </c>
      <c r="E11" s="5" t="s">
        <v>11</v>
      </c>
      <c r="F11" s="5" t="s">
        <v>140</v>
      </c>
      <c r="G11" s="5">
        <v>0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</row>
    <row r="12" spans="1:68" x14ac:dyDescent="0.3">
      <c r="A12" s="4" t="s">
        <v>283</v>
      </c>
      <c r="B12" s="4" t="s">
        <v>284</v>
      </c>
      <c r="C12" s="4" t="s">
        <v>15</v>
      </c>
      <c r="D12" s="4"/>
      <c r="E12" s="4" t="s">
        <v>139</v>
      </c>
      <c r="F12" s="4" t="s">
        <v>140</v>
      </c>
      <c r="G12" s="4">
        <v>0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</row>
    <row r="13" spans="1:68" x14ac:dyDescent="0.3">
      <c r="A13" s="4" t="s">
        <v>283</v>
      </c>
      <c r="B13" s="4" t="s">
        <v>284</v>
      </c>
      <c r="C13" s="4" t="s">
        <v>285</v>
      </c>
      <c r="D13" s="4" t="s">
        <v>286</v>
      </c>
      <c r="E13" s="4" t="s">
        <v>11</v>
      </c>
      <c r="F13" s="4" t="s">
        <v>140</v>
      </c>
      <c r="G13" s="4">
        <v>0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</row>
    <row r="14" spans="1:68" x14ac:dyDescent="0.3">
      <c r="A14" s="5" t="s">
        <v>287</v>
      </c>
      <c r="B14" s="5" t="s">
        <v>280</v>
      </c>
      <c r="C14" s="5" t="s">
        <v>19</v>
      </c>
      <c r="D14" s="5"/>
      <c r="E14" s="5" t="s">
        <v>139</v>
      </c>
      <c r="F14" s="5" t="s">
        <v>140</v>
      </c>
      <c r="G14" s="5">
        <v>0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</row>
    <row r="15" spans="1:68" x14ac:dyDescent="0.3">
      <c r="A15" s="5" t="s">
        <v>287</v>
      </c>
      <c r="B15" s="5" t="s">
        <v>280</v>
      </c>
      <c r="C15" s="5" t="s">
        <v>288</v>
      </c>
      <c r="D15" s="5" t="s">
        <v>289</v>
      </c>
      <c r="E15" s="5" t="s">
        <v>11</v>
      </c>
      <c r="F15" s="5" t="s">
        <v>140</v>
      </c>
      <c r="G15" s="5">
        <v>0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</row>
    <row r="16" spans="1:68" x14ac:dyDescent="0.3">
      <c r="A16" s="4" t="s">
        <v>290</v>
      </c>
      <c r="B16" s="4" t="s">
        <v>291</v>
      </c>
      <c r="C16" s="4" t="s">
        <v>35</v>
      </c>
      <c r="D16" s="4"/>
      <c r="E16" s="4" t="s">
        <v>139</v>
      </c>
      <c r="F16" s="4" t="s">
        <v>140</v>
      </c>
      <c r="G16" s="4">
        <v>0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</row>
    <row r="17" spans="1:68" x14ac:dyDescent="0.3">
      <c r="A17" s="4" t="s">
        <v>290</v>
      </c>
      <c r="B17" s="4" t="s">
        <v>291</v>
      </c>
      <c r="C17" s="4" t="s">
        <v>292</v>
      </c>
      <c r="D17" s="4" t="s">
        <v>293</v>
      </c>
      <c r="E17" s="4" t="s">
        <v>11</v>
      </c>
      <c r="F17" s="4" t="s">
        <v>140</v>
      </c>
      <c r="G17" s="4">
        <v>0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</row>
    <row r="18" spans="1:68" x14ac:dyDescent="0.3">
      <c r="A18" s="5" t="s">
        <v>294</v>
      </c>
      <c r="B18" s="5" t="s">
        <v>295</v>
      </c>
      <c r="C18" s="5" t="s">
        <v>27</v>
      </c>
      <c r="D18" s="5"/>
      <c r="E18" s="5" t="s">
        <v>139</v>
      </c>
      <c r="F18" s="5" t="s">
        <v>140</v>
      </c>
      <c r="G18" s="5">
        <v>0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</row>
    <row r="19" spans="1:68" x14ac:dyDescent="0.3">
      <c r="A19" s="5" t="s">
        <v>294</v>
      </c>
      <c r="B19" s="5" t="s">
        <v>295</v>
      </c>
      <c r="C19" s="5" t="s">
        <v>296</v>
      </c>
      <c r="D19" s="5" t="s">
        <v>297</v>
      </c>
      <c r="E19" s="5" t="s">
        <v>11</v>
      </c>
      <c r="F19" s="5" t="s">
        <v>140</v>
      </c>
      <c r="G19" s="5">
        <v>0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</row>
    <row r="20" spans="1:68" x14ac:dyDescent="0.3">
      <c r="A20" s="4" t="s">
        <v>298</v>
      </c>
      <c r="B20" s="4" t="s">
        <v>299</v>
      </c>
      <c r="C20" s="4" t="s">
        <v>166</v>
      </c>
      <c r="D20" s="4"/>
      <c r="E20" s="4" t="s">
        <v>139</v>
      </c>
      <c r="F20" s="4" t="s">
        <v>140</v>
      </c>
      <c r="G20" s="4">
        <v>0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</row>
    <row r="21" spans="1:68" x14ac:dyDescent="0.3">
      <c r="A21" s="4" t="s">
        <v>298</v>
      </c>
      <c r="B21" s="4" t="s">
        <v>299</v>
      </c>
      <c r="C21" s="4" t="s">
        <v>300</v>
      </c>
      <c r="D21" s="4" t="s">
        <v>301</v>
      </c>
      <c r="E21" s="4" t="s">
        <v>11</v>
      </c>
      <c r="F21" s="4" t="s">
        <v>140</v>
      </c>
      <c r="G21" s="4">
        <v>0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</row>
    <row r="22" spans="1:68" x14ac:dyDescent="0.3">
      <c r="A22" s="5" t="s">
        <v>302</v>
      </c>
      <c r="B22" s="5" t="s">
        <v>303</v>
      </c>
      <c r="C22" s="5" t="s">
        <v>15</v>
      </c>
      <c r="D22" s="5"/>
      <c r="E22" s="5" t="s">
        <v>139</v>
      </c>
      <c r="F22" s="5" t="s">
        <v>140</v>
      </c>
      <c r="G22" s="5">
        <v>0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</row>
    <row r="23" spans="1:68" x14ac:dyDescent="0.3">
      <c r="A23" s="5" t="s">
        <v>302</v>
      </c>
      <c r="B23" s="5" t="s">
        <v>303</v>
      </c>
      <c r="C23" s="5" t="s">
        <v>304</v>
      </c>
      <c r="D23" s="5" t="s">
        <v>305</v>
      </c>
      <c r="E23" s="5" t="s">
        <v>11</v>
      </c>
      <c r="F23" s="5" t="s">
        <v>140</v>
      </c>
      <c r="G23" s="5">
        <v>0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</row>
    <row r="24" spans="1:68" x14ac:dyDescent="0.3">
      <c r="A24" s="4" t="s">
        <v>306</v>
      </c>
      <c r="B24" s="4" t="s">
        <v>307</v>
      </c>
      <c r="C24" s="4" t="s">
        <v>112</v>
      </c>
      <c r="D24" s="4"/>
      <c r="E24" s="4" t="s">
        <v>139</v>
      </c>
      <c r="F24" s="4" t="s">
        <v>140</v>
      </c>
      <c r="G24" s="4">
        <v>0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</row>
    <row r="25" spans="1:68" x14ac:dyDescent="0.3">
      <c r="A25" s="4" t="s">
        <v>306</v>
      </c>
      <c r="B25" s="4" t="s">
        <v>307</v>
      </c>
      <c r="C25" s="4" t="s">
        <v>308</v>
      </c>
      <c r="D25" s="4" t="s">
        <v>309</v>
      </c>
      <c r="E25" s="4" t="s">
        <v>11</v>
      </c>
      <c r="F25" s="4" t="s">
        <v>140</v>
      </c>
      <c r="G25" s="4">
        <v>0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</row>
    <row r="26" spans="1:68" x14ac:dyDescent="0.3">
      <c r="A26" s="5" t="s">
        <v>310</v>
      </c>
      <c r="B26" s="5" t="s">
        <v>311</v>
      </c>
      <c r="C26" s="5" t="s">
        <v>31</v>
      </c>
      <c r="D26" s="5"/>
      <c r="E26" s="5" t="s">
        <v>139</v>
      </c>
      <c r="F26" s="5" t="s">
        <v>140</v>
      </c>
      <c r="G26" s="5">
        <v>0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</row>
    <row r="27" spans="1:68" x14ac:dyDescent="0.3">
      <c r="A27" s="5" t="s">
        <v>310</v>
      </c>
      <c r="B27" s="5" t="s">
        <v>311</v>
      </c>
      <c r="C27" s="5" t="s">
        <v>312</v>
      </c>
      <c r="D27" s="5" t="s">
        <v>313</v>
      </c>
      <c r="E27" s="5" t="s">
        <v>11</v>
      </c>
      <c r="F27" s="5" t="s">
        <v>140</v>
      </c>
      <c r="G27" s="5">
        <v>0</v>
      </c>
      <c r="H27" s="5">
        <v>1</v>
      </c>
      <c r="I27" s="5">
        <v>1</v>
      </c>
      <c r="J27" s="5">
        <v>1</v>
      </c>
      <c r="K27" s="5">
        <v>1</v>
      </c>
      <c r="L27" s="5">
        <v>1</v>
      </c>
      <c r="M27" s="5">
        <v>1</v>
      </c>
      <c r="N27" s="5">
        <v>1</v>
      </c>
      <c r="O27" s="5">
        <v>1</v>
      </c>
      <c r="P27" s="5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</row>
    <row r="28" spans="1:68" x14ac:dyDescent="0.3">
      <c r="A28" s="4" t="s">
        <v>314</v>
      </c>
      <c r="B28" s="4" t="s">
        <v>315</v>
      </c>
      <c r="C28" s="4" t="s">
        <v>19</v>
      </c>
      <c r="D28" s="4"/>
      <c r="E28" s="4" t="s">
        <v>139</v>
      </c>
      <c r="F28" s="4" t="s">
        <v>140</v>
      </c>
      <c r="G28" s="4">
        <v>0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</row>
    <row r="29" spans="1:68" x14ac:dyDescent="0.3">
      <c r="A29" s="4" t="s">
        <v>314</v>
      </c>
      <c r="B29" s="4" t="s">
        <v>315</v>
      </c>
      <c r="C29" s="4" t="s">
        <v>316</v>
      </c>
      <c r="D29" s="4" t="s">
        <v>317</v>
      </c>
      <c r="E29" s="4" t="s">
        <v>11</v>
      </c>
      <c r="F29" s="4" t="s">
        <v>140</v>
      </c>
      <c r="G29" s="4">
        <v>0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</row>
    <row r="30" spans="1:68" x14ac:dyDescent="0.3">
      <c r="A30" s="5" t="s">
        <v>318</v>
      </c>
      <c r="B30" s="5" t="s">
        <v>319</v>
      </c>
      <c r="C30" s="5" t="s">
        <v>27</v>
      </c>
      <c r="D30" s="5"/>
      <c r="E30" s="5" t="s">
        <v>139</v>
      </c>
      <c r="F30" s="5" t="s">
        <v>140</v>
      </c>
      <c r="G30" s="5">
        <v>0</v>
      </c>
      <c r="H30" s="5">
        <v>1</v>
      </c>
      <c r="I30" s="5">
        <v>1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5">
        <v>1</v>
      </c>
      <c r="P30" s="5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</row>
    <row r="31" spans="1:68" x14ac:dyDescent="0.3">
      <c r="A31" s="5" t="s">
        <v>318</v>
      </c>
      <c r="B31" s="5" t="s">
        <v>319</v>
      </c>
      <c r="C31" s="5" t="s">
        <v>320</v>
      </c>
      <c r="D31" s="5" t="s">
        <v>321</v>
      </c>
      <c r="E31" s="5" t="s">
        <v>11</v>
      </c>
      <c r="F31" s="5" t="s">
        <v>140</v>
      </c>
      <c r="G31" s="5">
        <v>0</v>
      </c>
      <c r="H31" s="5">
        <v>1</v>
      </c>
      <c r="I31" s="5">
        <v>1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5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</row>
    <row r="32" spans="1:68" x14ac:dyDescent="0.3">
      <c r="A32" s="4" t="s">
        <v>322</v>
      </c>
      <c r="B32" s="4" t="s">
        <v>323</v>
      </c>
      <c r="C32" s="4" t="s">
        <v>15</v>
      </c>
      <c r="D32" s="4"/>
      <c r="E32" s="4" t="s">
        <v>139</v>
      </c>
      <c r="F32" s="4" t="s">
        <v>140</v>
      </c>
      <c r="G32" s="4">
        <v>0</v>
      </c>
      <c r="H32" s="4">
        <v>1</v>
      </c>
      <c r="I32" s="4">
        <v>1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</row>
    <row r="33" spans="1:68" x14ac:dyDescent="0.3">
      <c r="A33" s="4" t="s">
        <v>322</v>
      </c>
      <c r="B33" s="4" t="s">
        <v>323</v>
      </c>
      <c r="C33" s="4" t="s">
        <v>324</v>
      </c>
      <c r="D33" s="4" t="s">
        <v>325</v>
      </c>
      <c r="E33" s="4" t="s">
        <v>11</v>
      </c>
      <c r="F33" s="4" t="s">
        <v>140</v>
      </c>
      <c r="G33" s="4">
        <v>0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</row>
    <row r="34" spans="1:68" x14ac:dyDescent="0.3">
      <c r="A34" s="5" t="s">
        <v>326</v>
      </c>
      <c r="B34" s="5" t="s">
        <v>327</v>
      </c>
      <c r="C34" s="5" t="s">
        <v>112</v>
      </c>
      <c r="D34" s="5"/>
      <c r="E34" s="5" t="s">
        <v>139</v>
      </c>
      <c r="F34" s="5" t="s">
        <v>140</v>
      </c>
      <c r="G34" s="5">
        <v>0</v>
      </c>
      <c r="H34" s="5">
        <v>1</v>
      </c>
      <c r="I34" s="5">
        <v>1</v>
      </c>
      <c r="J34" s="5">
        <v>1</v>
      </c>
      <c r="K34" s="5">
        <v>1</v>
      </c>
      <c r="L34" s="5">
        <v>1</v>
      </c>
      <c r="M34" s="5">
        <v>1</v>
      </c>
      <c r="N34" s="5">
        <v>1</v>
      </c>
      <c r="O34" s="5">
        <v>1</v>
      </c>
      <c r="P34" s="5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</row>
    <row r="35" spans="1:68" x14ac:dyDescent="0.3">
      <c r="A35" s="5" t="s">
        <v>326</v>
      </c>
      <c r="B35" s="5" t="s">
        <v>327</v>
      </c>
      <c r="C35" s="5" t="s">
        <v>328</v>
      </c>
      <c r="D35" s="5" t="s">
        <v>329</v>
      </c>
      <c r="E35" s="5" t="s">
        <v>11</v>
      </c>
      <c r="F35" s="5" t="s">
        <v>140</v>
      </c>
      <c r="G35" s="5">
        <v>0</v>
      </c>
      <c r="H35" s="5">
        <v>1</v>
      </c>
      <c r="I35" s="5">
        <v>1</v>
      </c>
      <c r="J35" s="5">
        <v>1</v>
      </c>
      <c r="K35" s="5">
        <v>1</v>
      </c>
      <c r="L35" s="5">
        <v>1</v>
      </c>
      <c r="M35" s="5">
        <v>1</v>
      </c>
      <c r="N35" s="5">
        <v>1</v>
      </c>
      <c r="O35" s="5">
        <v>1</v>
      </c>
      <c r="P35" s="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</row>
    <row r="36" spans="1:68" x14ac:dyDescent="0.3">
      <c r="A36" s="4" t="s">
        <v>330</v>
      </c>
      <c r="B36" s="4" t="s">
        <v>331</v>
      </c>
      <c r="C36" s="4" t="s">
        <v>50</v>
      </c>
      <c r="D36" s="4"/>
      <c r="E36" s="4" t="s">
        <v>139</v>
      </c>
      <c r="F36" s="4" t="s">
        <v>140</v>
      </c>
      <c r="G36" s="4">
        <v>0</v>
      </c>
      <c r="H36" s="4">
        <v>1</v>
      </c>
      <c r="I36" s="4">
        <v>1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</row>
    <row r="37" spans="1:68" x14ac:dyDescent="0.3">
      <c r="A37" s="4" t="s">
        <v>330</v>
      </c>
      <c r="B37" s="4" t="s">
        <v>331</v>
      </c>
      <c r="C37" s="4" t="s">
        <v>332</v>
      </c>
      <c r="D37" s="4" t="s">
        <v>333</v>
      </c>
      <c r="E37" s="4" t="s">
        <v>11</v>
      </c>
      <c r="F37" s="4" t="s">
        <v>140</v>
      </c>
      <c r="G37" s="4">
        <v>0</v>
      </c>
      <c r="H37" s="4">
        <v>1</v>
      </c>
      <c r="I37" s="4">
        <v>1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</row>
    <row r="38" spans="1:68" x14ac:dyDescent="0.3">
      <c r="A38" s="5" t="s">
        <v>334</v>
      </c>
      <c r="B38" s="5" t="s">
        <v>335</v>
      </c>
      <c r="C38" s="5" t="s">
        <v>31</v>
      </c>
      <c r="D38" s="5"/>
      <c r="E38" s="5" t="s">
        <v>139</v>
      </c>
      <c r="F38" s="5" t="s">
        <v>140</v>
      </c>
      <c r="G38" s="5">
        <v>0</v>
      </c>
      <c r="H38" s="5">
        <v>1</v>
      </c>
      <c r="I38" s="5">
        <v>1</v>
      </c>
      <c r="J38" s="5">
        <v>1</v>
      </c>
      <c r="K38" s="5">
        <v>1</v>
      </c>
      <c r="L38" s="5">
        <v>1</v>
      </c>
      <c r="M38" s="5">
        <v>1</v>
      </c>
      <c r="N38" s="5">
        <v>1</v>
      </c>
      <c r="O38" s="5">
        <v>1</v>
      </c>
      <c r="P38" s="5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</row>
    <row r="39" spans="1:68" x14ac:dyDescent="0.3">
      <c r="A39" s="5" t="s">
        <v>334</v>
      </c>
      <c r="B39" s="5" t="s">
        <v>335</v>
      </c>
      <c r="C39" s="5" t="s">
        <v>336</v>
      </c>
      <c r="D39" s="5" t="s">
        <v>337</v>
      </c>
      <c r="E39" s="5" t="s">
        <v>11</v>
      </c>
      <c r="F39" s="5" t="s">
        <v>140</v>
      </c>
      <c r="G39" s="5">
        <v>0</v>
      </c>
      <c r="H39" s="5">
        <v>1</v>
      </c>
      <c r="I39" s="5">
        <v>1</v>
      </c>
      <c r="J39" s="5">
        <v>1</v>
      </c>
      <c r="K39" s="5">
        <v>1</v>
      </c>
      <c r="L39" s="5">
        <v>1</v>
      </c>
      <c r="M39" s="5">
        <v>1</v>
      </c>
      <c r="N39" s="5">
        <v>1</v>
      </c>
      <c r="O39" s="5">
        <v>1</v>
      </c>
      <c r="P39" s="5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</row>
    <row r="40" spans="1:68" x14ac:dyDescent="0.3">
      <c r="A40" s="4" t="s">
        <v>338</v>
      </c>
      <c r="B40" s="4" t="s">
        <v>339</v>
      </c>
      <c r="C40" s="4" t="s">
        <v>19</v>
      </c>
      <c r="D40" s="4"/>
      <c r="E40" s="4" t="s">
        <v>139</v>
      </c>
      <c r="F40" s="4" t="s">
        <v>140</v>
      </c>
      <c r="G40" s="4">
        <v>0</v>
      </c>
      <c r="H40" s="4">
        <v>1</v>
      </c>
      <c r="I40" s="4">
        <v>1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</row>
    <row r="41" spans="1:68" x14ac:dyDescent="0.3">
      <c r="A41" s="4" t="s">
        <v>338</v>
      </c>
      <c r="B41" s="4" t="s">
        <v>339</v>
      </c>
      <c r="C41" s="4" t="s">
        <v>340</v>
      </c>
      <c r="D41" s="4" t="s">
        <v>341</v>
      </c>
      <c r="E41" s="4" t="s">
        <v>11</v>
      </c>
      <c r="F41" s="4" t="s">
        <v>140</v>
      </c>
      <c r="G41" s="4">
        <v>0</v>
      </c>
      <c r="H41" s="4">
        <v>1</v>
      </c>
      <c r="I41" s="4">
        <v>1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</row>
    <row r="42" spans="1:68" x14ac:dyDescent="0.3">
      <c r="A42" s="5" t="s">
        <v>342</v>
      </c>
      <c r="B42" s="5" t="s">
        <v>343</v>
      </c>
      <c r="C42" s="5" t="s">
        <v>261</v>
      </c>
      <c r="D42" s="5"/>
      <c r="E42" s="5" t="s">
        <v>139</v>
      </c>
      <c r="F42" s="5" t="s">
        <v>140</v>
      </c>
      <c r="G42" s="5">
        <v>0</v>
      </c>
      <c r="H42" s="5">
        <v>1</v>
      </c>
      <c r="I42" s="5">
        <v>1</v>
      </c>
      <c r="J42" s="5">
        <v>1</v>
      </c>
      <c r="K42" s="5">
        <v>1</v>
      </c>
      <c r="L42" s="5">
        <v>1</v>
      </c>
      <c r="M42" s="5">
        <v>1</v>
      </c>
      <c r="N42" s="5">
        <v>1</v>
      </c>
      <c r="O42" s="5">
        <v>1</v>
      </c>
      <c r="P42" s="5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</row>
    <row r="43" spans="1:68" x14ac:dyDescent="0.3">
      <c r="A43" s="5" t="s">
        <v>342</v>
      </c>
      <c r="B43" s="5" t="s">
        <v>343</v>
      </c>
      <c r="C43" s="5" t="s">
        <v>344</v>
      </c>
      <c r="D43" s="5" t="s">
        <v>345</v>
      </c>
      <c r="E43" s="5" t="s">
        <v>11</v>
      </c>
      <c r="F43" s="5" t="s">
        <v>140</v>
      </c>
      <c r="G43" s="5">
        <v>0</v>
      </c>
      <c r="H43" s="5">
        <v>1</v>
      </c>
      <c r="I43" s="5">
        <v>1</v>
      </c>
      <c r="J43" s="5">
        <v>1</v>
      </c>
      <c r="K43" s="5">
        <v>1</v>
      </c>
      <c r="L43" s="5">
        <v>1</v>
      </c>
      <c r="M43" s="5">
        <v>1</v>
      </c>
      <c r="N43" s="5">
        <v>1</v>
      </c>
      <c r="O43" s="5">
        <v>1</v>
      </c>
      <c r="P43" s="5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</row>
    <row r="44" spans="1:68" x14ac:dyDescent="0.3">
      <c r="A44" s="4" t="s">
        <v>346</v>
      </c>
      <c r="B44" s="4" t="s">
        <v>347</v>
      </c>
      <c r="C44" s="4" t="s">
        <v>42</v>
      </c>
      <c r="D44" s="4"/>
      <c r="E44" s="4" t="s">
        <v>139</v>
      </c>
      <c r="F44" s="4" t="s">
        <v>140</v>
      </c>
      <c r="G44" s="4">
        <v>0</v>
      </c>
      <c r="H44" s="4">
        <v>1</v>
      </c>
      <c r="I44" s="4">
        <v>1</v>
      </c>
      <c r="J44" s="4">
        <v>1</v>
      </c>
      <c r="K44" s="4">
        <v>1</v>
      </c>
      <c r="L44" s="4">
        <v>1</v>
      </c>
      <c r="M44" s="4">
        <v>1</v>
      </c>
      <c r="N44" s="4">
        <v>1</v>
      </c>
      <c r="O44" s="4">
        <v>1</v>
      </c>
      <c r="P44" s="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</row>
    <row r="45" spans="1:68" x14ac:dyDescent="0.3">
      <c r="A45" s="4" t="s">
        <v>346</v>
      </c>
      <c r="B45" s="4" t="s">
        <v>347</v>
      </c>
      <c r="C45" s="4" t="s">
        <v>348</v>
      </c>
      <c r="D45" s="4" t="s">
        <v>349</v>
      </c>
      <c r="E45" s="4" t="s">
        <v>11</v>
      </c>
      <c r="F45" s="4" t="s">
        <v>140</v>
      </c>
      <c r="G45" s="4">
        <v>0</v>
      </c>
      <c r="H45" s="4">
        <v>1</v>
      </c>
      <c r="I45" s="4">
        <v>1</v>
      </c>
      <c r="J45" s="4">
        <v>1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</row>
    <row r="46" spans="1:68" x14ac:dyDescent="0.3">
      <c r="A46" s="5" t="s">
        <v>350</v>
      </c>
      <c r="B46" s="5" t="s">
        <v>351</v>
      </c>
      <c r="C46" s="5" t="s">
        <v>27</v>
      </c>
      <c r="D46" s="5"/>
      <c r="E46" s="5" t="s">
        <v>139</v>
      </c>
      <c r="F46" s="5" t="s">
        <v>140</v>
      </c>
      <c r="G46" s="5">
        <v>0</v>
      </c>
      <c r="H46" s="5">
        <v>1</v>
      </c>
      <c r="I46" s="5">
        <v>1</v>
      </c>
      <c r="J46" s="5">
        <v>1</v>
      </c>
      <c r="K46" s="5">
        <v>1</v>
      </c>
      <c r="L46" s="5">
        <v>1</v>
      </c>
      <c r="M46" s="5">
        <v>1</v>
      </c>
      <c r="N46" s="5">
        <v>1</v>
      </c>
      <c r="O46" s="5">
        <v>1</v>
      </c>
      <c r="P46" s="5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</row>
    <row r="47" spans="1:68" x14ac:dyDescent="0.3">
      <c r="A47" s="5" t="s">
        <v>350</v>
      </c>
      <c r="B47" s="5" t="s">
        <v>351</v>
      </c>
      <c r="C47" s="5" t="s">
        <v>352</v>
      </c>
      <c r="D47" s="5" t="s">
        <v>353</v>
      </c>
      <c r="E47" s="5" t="s">
        <v>11</v>
      </c>
      <c r="F47" s="5" t="s">
        <v>140</v>
      </c>
      <c r="G47" s="5">
        <v>0</v>
      </c>
      <c r="H47" s="5">
        <v>1</v>
      </c>
      <c r="I47" s="5">
        <v>1</v>
      </c>
      <c r="J47" s="5">
        <v>1</v>
      </c>
      <c r="K47" s="5">
        <v>1</v>
      </c>
      <c r="L47" s="5">
        <v>1</v>
      </c>
      <c r="M47" s="5">
        <v>1</v>
      </c>
      <c r="N47" s="5">
        <v>1</v>
      </c>
      <c r="O47" s="5">
        <v>1</v>
      </c>
      <c r="P47" s="5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</row>
    <row r="48" spans="1:68" x14ac:dyDescent="0.3">
      <c r="A48" s="4" t="s">
        <v>354</v>
      </c>
      <c r="B48" s="4" t="s">
        <v>355</v>
      </c>
      <c r="C48" s="4" t="s">
        <v>726</v>
      </c>
      <c r="D48" s="4"/>
      <c r="E48" s="4" t="s">
        <v>139</v>
      </c>
      <c r="F48" s="4" t="s">
        <v>140</v>
      </c>
      <c r="G48" s="4">
        <v>0</v>
      </c>
      <c r="H48" s="4">
        <v>1</v>
      </c>
      <c r="I48" s="4">
        <v>1</v>
      </c>
      <c r="J48" s="4">
        <v>1</v>
      </c>
      <c r="K48" s="4">
        <v>1</v>
      </c>
      <c r="L48" s="4">
        <v>1</v>
      </c>
      <c r="M48" s="4">
        <v>1</v>
      </c>
      <c r="N48" s="4">
        <v>1</v>
      </c>
      <c r="O48" s="4">
        <v>1</v>
      </c>
      <c r="P48" s="4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</row>
    <row r="49" spans="1:68" x14ac:dyDescent="0.3">
      <c r="A49" s="4" t="s">
        <v>354</v>
      </c>
      <c r="B49" s="4" t="s">
        <v>355</v>
      </c>
      <c r="C49" s="4" t="s">
        <v>356</v>
      </c>
      <c r="D49" s="4" t="s">
        <v>357</v>
      </c>
      <c r="E49" s="4" t="s">
        <v>11</v>
      </c>
      <c r="F49" s="4" t="s">
        <v>140</v>
      </c>
      <c r="G49" s="4">
        <v>0</v>
      </c>
      <c r="H49" s="4">
        <v>1</v>
      </c>
      <c r="I49" s="4">
        <v>1</v>
      </c>
      <c r="J49" s="4">
        <v>1</v>
      </c>
      <c r="K49" s="4">
        <v>1</v>
      </c>
      <c r="L49" s="4">
        <v>1</v>
      </c>
      <c r="M49" s="4">
        <v>1</v>
      </c>
      <c r="N49" s="4">
        <v>1</v>
      </c>
      <c r="O49" s="4">
        <v>1</v>
      </c>
      <c r="P49" s="4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</row>
    <row r="50" spans="1:68" x14ac:dyDescent="0.3">
      <c r="A50" s="5" t="s">
        <v>358</v>
      </c>
      <c r="B50" s="5" t="s">
        <v>359</v>
      </c>
      <c r="C50" s="5" t="s">
        <v>60</v>
      </c>
      <c r="D50" s="5"/>
      <c r="E50" s="5" t="s">
        <v>139</v>
      </c>
      <c r="F50" s="5" t="s">
        <v>140</v>
      </c>
      <c r="G50" s="5">
        <v>0</v>
      </c>
      <c r="H50" s="5">
        <v>1</v>
      </c>
      <c r="I50" s="5">
        <v>1</v>
      </c>
      <c r="J50" s="5">
        <v>1</v>
      </c>
      <c r="K50" s="5">
        <v>1</v>
      </c>
      <c r="L50" s="5">
        <v>1</v>
      </c>
      <c r="M50" s="5">
        <v>1</v>
      </c>
      <c r="N50" s="5">
        <v>1</v>
      </c>
      <c r="O50" s="5">
        <v>1</v>
      </c>
      <c r="P50" s="5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</row>
    <row r="51" spans="1:68" x14ac:dyDescent="0.3">
      <c r="A51" s="5" t="s">
        <v>358</v>
      </c>
      <c r="B51" s="5" t="s">
        <v>359</v>
      </c>
      <c r="C51" s="5" t="s">
        <v>360</v>
      </c>
      <c r="D51" s="5" t="s">
        <v>361</v>
      </c>
      <c r="E51" s="5" t="s">
        <v>11</v>
      </c>
      <c r="F51" s="5" t="s">
        <v>140</v>
      </c>
      <c r="G51" s="5">
        <v>0</v>
      </c>
      <c r="H51" s="5">
        <v>1</v>
      </c>
      <c r="I51" s="5">
        <v>1</v>
      </c>
      <c r="J51" s="5">
        <v>1</v>
      </c>
      <c r="K51" s="5">
        <v>1</v>
      </c>
      <c r="L51" s="5">
        <v>1</v>
      </c>
      <c r="M51" s="5">
        <v>1</v>
      </c>
      <c r="N51" s="5">
        <v>1</v>
      </c>
      <c r="O51" s="5">
        <v>1</v>
      </c>
      <c r="P51" s="5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</row>
    <row r="52" spans="1:68" x14ac:dyDescent="0.3">
      <c r="A52" s="4" t="s">
        <v>362</v>
      </c>
      <c r="B52" s="4" t="s">
        <v>363</v>
      </c>
      <c r="C52" s="4" t="s">
        <v>185</v>
      </c>
      <c r="D52" s="4"/>
      <c r="E52" s="4" t="s">
        <v>139</v>
      </c>
      <c r="F52" s="4" t="s">
        <v>140</v>
      </c>
      <c r="G52" s="4">
        <v>0</v>
      </c>
      <c r="H52" s="4">
        <v>1</v>
      </c>
      <c r="I52" s="4">
        <v>1</v>
      </c>
      <c r="J52" s="4">
        <v>1</v>
      </c>
      <c r="K52" s="4">
        <v>1</v>
      </c>
      <c r="L52" s="4">
        <v>1</v>
      </c>
      <c r="M52" s="4">
        <v>1</v>
      </c>
      <c r="N52" s="4">
        <v>1</v>
      </c>
      <c r="O52" s="4">
        <v>1</v>
      </c>
      <c r="P52" s="4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</row>
    <row r="53" spans="1:68" x14ac:dyDescent="0.3">
      <c r="A53" s="4" t="s">
        <v>362</v>
      </c>
      <c r="B53" s="4" t="s">
        <v>363</v>
      </c>
      <c r="C53" s="4" t="s">
        <v>364</v>
      </c>
      <c r="D53" s="4" t="s">
        <v>365</v>
      </c>
      <c r="E53" s="4" t="s">
        <v>11</v>
      </c>
      <c r="F53" s="4" t="s">
        <v>140</v>
      </c>
      <c r="G53" s="4">
        <v>0</v>
      </c>
      <c r="H53" s="4">
        <v>1</v>
      </c>
      <c r="I53" s="4">
        <v>1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</row>
    <row r="54" spans="1:68" x14ac:dyDescent="0.3">
      <c r="A54" s="5" t="s">
        <v>366</v>
      </c>
      <c r="B54" s="5" t="s">
        <v>367</v>
      </c>
      <c r="C54" s="5" t="s">
        <v>112</v>
      </c>
      <c r="D54" s="5"/>
      <c r="E54" s="5" t="s">
        <v>139</v>
      </c>
      <c r="F54" s="5" t="s">
        <v>140</v>
      </c>
      <c r="G54" s="5">
        <v>0</v>
      </c>
      <c r="H54" s="5">
        <v>1</v>
      </c>
      <c r="I54" s="5">
        <v>1</v>
      </c>
      <c r="J54" s="5">
        <v>1</v>
      </c>
      <c r="K54" s="5">
        <v>1</v>
      </c>
      <c r="L54" s="5">
        <v>1</v>
      </c>
      <c r="M54" s="5">
        <v>1</v>
      </c>
      <c r="N54" s="5">
        <v>1</v>
      </c>
      <c r="O54" s="5">
        <v>1</v>
      </c>
      <c r="P54" s="5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</row>
    <row r="55" spans="1:68" x14ac:dyDescent="0.3">
      <c r="A55" s="5" t="s">
        <v>366</v>
      </c>
      <c r="B55" s="5" t="s">
        <v>367</v>
      </c>
      <c r="C55" s="5" t="s">
        <v>368</v>
      </c>
      <c r="D55" s="5" t="s">
        <v>369</v>
      </c>
      <c r="E55" s="5" t="s">
        <v>11</v>
      </c>
      <c r="F55" s="5" t="s">
        <v>140</v>
      </c>
      <c r="G55" s="5">
        <v>0</v>
      </c>
      <c r="H55" s="5">
        <v>1</v>
      </c>
      <c r="I55" s="5">
        <v>1</v>
      </c>
      <c r="J55" s="5">
        <v>1</v>
      </c>
      <c r="K55" s="5">
        <v>1</v>
      </c>
      <c r="L55" s="5">
        <v>1</v>
      </c>
      <c r="M55" s="5">
        <v>1</v>
      </c>
      <c r="N55" s="5">
        <v>1</v>
      </c>
      <c r="O55" s="5">
        <v>1</v>
      </c>
      <c r="P55" s="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</row>
    <row r="56" spans="1:68" x14ac:dyDescent="0.3">
      <c r="A56" s="4" t="s">
        <v>370</v>
      </c>
      <c r="B56" s="4" t="s">
        <v>371</v>
      </c>
      <c r="C56" s="4" t="s">
        <v>50</v>
      </c>
      <c r="D56" s="4"/>
      <c r="E56" s="4" t="s">
        <v>139</v>
      </c>
      <c r="F56" s="4" t="s">
        <v>140</v>
      </c>
      <c r="G56" s="4">
        <v>0</v>
      </c>
      <c r="H56" s="4">
        <v>1</v>
      </c>
      <c r="I56" s="4">
        <v>1</v>
      </c>
      <c r="J56" s="4">
        <v>1</v>
      </c>
      <c r="K56" s="4">
        <v>1</v>
      </c>
      <c r="L56" s="4">
        <v>1</v>
      </c>
      <c r="M56" s="4">
        <v>1</v>
      </c>
      <c r="N56" s="4">
        <v>1</v>
      </c>
      <c r="O56" s="4">
        <v>1</v>
      </c>
      <c r="P56" s="4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</row>
    <row r="57" spans="1:68" x14ac:dyDescent="0.3">
      <c r="A57" s="4" t="s">
        <v>370</v>
      </c>
      <c r="B57" s="4" t="s">
        <v>371</v>
      </c>
      <c r="C57" s="4" t="s">
        <v>372</v>
      </c>
      <c r="D57" s="4" t="s">
        <v>373</v>
      </c>
      <c r="E57" s="4" t="s">
        <v>11</v>
      </c>
      <c r="F57" s="4" t="s">
        <v>140</v>
      </c>
      <c r="G57" s="4">
        <v>0</v>
      </c>
      <c r="H57" s="4">
        <v>1</v>
      </c>
      <c r="I57" s="4">
        <v>1</v>
      </c>
      <c r="J57" s="4">
        <v>1</v>
      </c>
      <c r="K57" s="4">
        <v>1</v>
      </c>
      <c r="L57" s="4">
        <v>1</v>
      </c>
      <c r="M57" s="4">
        <v>1</v>
      </c>
      <c r="N57" s="4">
        <v>1</v>
      </c>
      <c r="O57" s="4">
        <v>1</v>
      </c>
      <c r="P57" s="4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</row>
    <row r="58" spans="1:68" x14ac:dyDescent="0.3">
      <c r="A58" s="5" t="s">
        <v>374</v>
      </c>
      <c r="B58" s="5" t="s">
        <v>375</v>
      </c>
      <c r="C58" s="5" t="s">
        <v>27</v>
      </c>
      <c r="D58" s="5"/>
      <c r="E58" s="5" t="s">
        <v>139</v>
      </c>
      <c r="F58" s="5" t="s">
        <v>140</v>
      </c>
      <c r="G58" s="5">
        <v>0</v>
      </c>
      <c r="H58" s="5">
        <v>1</v>
      </c>
      <c r="I58" s="5">
        <v>1</v>
      </c>
      <c r="J58" s="5">
        <v>1</v>
      </c>
      <c r="K58" s="5">
        <v>1</v>
      </c>
      <c r="L58" s="5">
        <v>1</v>
      </c>
      <c r="M58" s="5">
        <v>1</v>
      </c>
      <c r="N58" s="5">
        <v>1</v>
      </c>
      <c r="O58" s="5">
        <v>1</v>
      </c>
      <c r="P58" s="5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</row>
    <row r="59" spans="1:68" x14ac:dyDescent="0.3">
      <c r="A59" s="5" t="s">
        <v>374</v>
      </c>
      <c r="B59" s="5" t="s">
        <v>375</v>
      </c>
      <c r="C59" s="5" t="s">
        <v>376</v>
      </c>
      <c r="D59" s="5" t="s">
        <v>377</v>
      </c>
      <c r="E59" s="5" t="s">
        <v>11</v>
      </c>
      <c r="F59" s="5" t="s">
        <v>140</v>
      </c>
      <c r="G59" s="5">
        <v>0</v>
      </c>
      <c r="H59" s="5">
        <v>1</v>
      </c>
      <c r="I59" s="5">
        <v>1</v>
      </c>
      <c r="J59" s="5">
        <v>1</v>
      </c>
      <c r="K59" s="5">
        <v>1</v>
      </c>
      <c r="L59" s="5">
        <v>1</v>
      </c>
      <c r="M59" s="5">
        <v>1</v>
      </c>
      <c r="N59" s="5">
        <v>1</v>
      </c>
      <c r="O59" s="5">
        <v>1</v>
      </c>
      <c r="P59" s="5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</row>
    <row r="60" spans="1:68" x14ac:dyDescent="0.3">
      <c r="A60" s="4" t="s">
        <v>378</v>
      </c>
      <c r="B60" s="4" t="s">
        <v>379</v>
      </c>
      <c r="C60" s="4" t="s">
        <v>726</v>
      </c>
      <c r="D60" s="4"/>
      <c r="E60" s="4" t="s">
        <v>139</v>
      </c>
      <c r="F60" s="4" t="s">
        <v>140</v>
      </c>
      <c r="G60" s="4">
        <v>0</v>
      </c>
      <c r="H60" s="4">
        <v>1</v>
      </c>
      <c r="I60" s="4">
        <v>1</v>
      </c>
      <c r="J60" s="4">
        <v>1</v>
      </c>
      <c r="K60" s="4">
        <v>1</v>
      </c>
      <c r="L60" s="4">
        <v>1</v>
      </c>
      <c r="M60" s="4">
        <v>1</v>
      </c>
      <c r="N60" s="4">
        <v>1</v>
      </c>
      <c r="O60" s="4">
        <v>1</v>
      </c>
      <c r="P60" s="4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</row>
    <row r="61" spans="1:68" x14ac:dyDescent="0.3">
      <c r="A61" s="4" t="s">
        <v>378</v>
      </c>
      <c r="B61" s="4" t="s">
        <v>379</v>
      </c>
      <c r="C61" s="4" t="s">
        <v>380</v>
      </c>
      <c r="D61" s="4" t="s">
        <v>381</v>
      </c>
      <c r="E61" s="4" t="s">
        <v>11</v>
      </c>
      <c r="F61" s="4" t="s">
        <v>140</v>
      </c>
      <c r="G61" s="4">
        <v>0</v>
      </c>
      <c r="H61" s="4">
        <v>1</v>
      </c>
      <c r="I61" s="4">
        <v>1</v>
      </c>
      <c r="J61" s="4">
        <v>1</v>
      </c>
      <c r="K61" s="4">
        <v>1</v>
      </c>
      <c r="L61" s="4">
        <v>1</v>
      </c>
      <c r="M61" s="4">
        <v>1</v>
      </c>
      <c r="N61" s="4">
        <v>1</v>
      </c>
      <c r="O61" s="4">
        <v>1</v>
      </c>
      <c r="P61" s="4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</row>
    <row r="62" spans="1:68" x14ac:dyDescent="0.3">
      <c r="A62" s="5" t="s">
        <v>382</v>
      </c>
      <c r="B62" s="5" t="s">
        <v>383</v>
      </c>
      <c r="C62" s="5" t="s">
        <v>39</v>
      </c>
      <c r="D62" s="5"/>
      <c r="E62" s="5" t="s">
        <v>139</v>
      </c>
      <c r="F62" s="5" t="s">
        <v>140</v>
      </c>
      <c r="G62" s="5">
        <v>0</v>
      </c>
      <c r="H62" s="5">
        <v>1</v>
      </c>
      <c r="I62" s="5">
        <v>1</v>
      </c>
      <c r="J62" s="5">
        <v>1</v>
      </c>
      <c r="K62" s="5">
        <v>1</v>
      </c>
      <c r="L62" s="5">
        <v>1</v>
      </c>
      <c r="M62" s="5">
        <v>1</v>
      </c>
      <c r="N62" s="5">
        <v>1</v>
      </c>
      <c r="O62" s="5">
        <v>1</v>
      </c>
      <c r="P62" s="5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</row>
    <row r="63" spans="1:68" x14ac:dyDescent="0.3">
      <c r="A63" s="5" t="s">
        <v>382</v>
      </c>
      <c r="B63" s="5" t="s">
        <v>383</v>
      </c>
      <c r="C63" s="5" t="s">
        <v>384</v>
      </c>
      <c r="D63" s="5" t="s">
        <v>385</v>
      </c>
      <c r="E63" s="5" t="s">
        <v>11</v>
      </c>
      <c r="F63" s="5" t="s">
        <v>140</v>
      </c>
      <c r="G63" s="5">
        <v>0</v>
      </c>
      <c r="H63" s="5">
        <v>1</v>
      </c>
      <c r="I63" s="5">
        <v>1</v>
      </c>
      <c r="J63" s="5">
        <v>1</v>
      </c>
      <c r="K63" s="5">
        <v>1</v>
      </c>
      <c r="L63" s="5">
        <v>1</v>
      </c>
      <c r="M63" s="5">
        <v>1</v>
      </c>
      <c r="N63" s="5">
        <v>1</v>
      </c>
      <c r="O63" s="5">
        <v>1</v>
      </c>
      <c r="P63" s="5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</row>
    <row r="64" spans="1:68" x14ac:dyDescent="0.3">
      <c r="A64" s="4" t="s">
        <v>386</v>
      </c>
      <c r="B64" s="4" t="s">
        <v>387</v>
      </c>
      <c r="C64" s="4" t="s">
        <v>170</v>
      </c>
      <c r="D64" s="4"/>
      <c r="E64" s="4" t="s">
        <v>139</v>
      </c>
      <c r="F64" s="4" t="s">
        <v>140</v>
      </c>
      <c r="G64" s="4">
        <v>0</v>
      </c>
      <c r="H64" s="4">
        <v>1</v>
      </c>
      <c r="I64" s="4">
        <v>1</v>
      </c>
      <c r="J64" s="4">
        <v>1</v>
      </c>
      <c r="K64" s="4">
        <v>1</v>
      </c>
      <c r="L64" s="4">
        <v>1</v>
      </c>
      <c r="M64" s="4">
        <v>1</v>
      </c>
      <c r="N64" s="4">
        <v>1</v>
      </c>
      <c r="O64" s="4">
        <v>1</v>
      </c>
      <c r="P64" s="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</row>
    <row r="65" spans="1:68" x14ac:dyDescent="0.3">
      <c r="A65" s="4" t="s">
        <v>386</v>
      </c>
      <c r="B65" s="4" t="s">
        <v>387</v>
      </c>
      <c r="C65" s="4" t="s">
        <v>388</v>
      </c>
      <c r="D65" s="4" t="s">
        <v>389</v>
      </c>
      <c r="E65" s="4" t="s">
        <v>11</v>
      </c>
      <c r="F65" s="4" t="s">
        <v>140</v>
      </c>
      <c r="G65" s="4">
        <v>0</v>
      </c>
      <c r="H65" s="4">
        <v>1</v>
      </c>
      <c r="I65" s="4">
        <v>1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</row>
    <row r="66" spans="1:68" x14ac:dyDescent="0.3">
      <c r="A66" s="5" t="s">
        <v>390</v>
      </c>
      <c r="B66" s="5" t="s">
        <v>391</v>
      </c>
      <c r="C66" s="5" t="s">
        <v>15</v>
      </c>
      <c r="D66" s="5"/>
      <c r="E66" s="5" t="s">
        <v>139</v>
      </c>
      <c r="F66" s="5" t="s">
        <v>140</v>
      </c>
      <c r="G66" s="5">
        <v>0</v>
      </c>
      <c r="H66" s="5">
        <v>1</v>
      </c>
      <c r="I66" s="5">
        <v>1</v>
      </c>
      <c r="J66" s="5">
        <v>1</v>
      </c>
      <c r="K66" s="5">
        <v>1</v>
      </c>
      <c r="L66" s="5">
        <v>1</v>
      </c>
      <c r="M66" s="5">
        <v>1</v>
      </c>
      <c r="N66" s="5">
        <v>1</v>
      </c>
      <c r="O66" s="5">
        <v>1</v>
      </c>
      <c r="P66" s="5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</row>
    <row r="67" spans="1:68" x14ac:dyDescent="0.3">
      <c r="A67" s="5" t="s">
        <v>390</v>
      </c>
      <c r="B67" s="5" t="s">
        <v>391</v>
      </c>
      <c r="C67" s="5" t="s">
        <v>392</v>
      </c>
      <c r="D67" s="5" t="s">
        <v>393</v>
      </c>
      <c r="E67" s="5" t="s">
        <v>11</v>
      </c>
      <c r="F67" s="5" t="s">
        <v>140</v>
      </c>
      <c r="G67" s="5">
        <v>0</v>
      </c>
      <c r="H67" s="5">
        <v>1</v>
      </c>
      <c r="I67" s="5">
        <v>1</v>
      </c>
      <c r="J67" s="5">
        <v>1</v>
      </c>
      <c r="K67" s="5">
        <v>1</v>
      </c>
      <c r="L67" s="5">
        <v>1</v>
      </c>
      <c r="M67" s="5">
        <v>1</v>
      </c>
      <c r="N67" s="5">
        <v>1</v>
      </c>
      <c r="O67" s="5">
        <v>1</v>
      </c>
      <c r="P67" s="5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</row>
    <row r="68" spans="1:68" x14ac:dyDescent="0.3">
      <c r="A68" s="4" t="s">
        <v>394</v>
      </c>
      <c r="B68" s="4" t="s">
        <v>395</v>
      </c>
      <c r="C68" s="4" t="s">
        <v>76</v>
      </c>
      <c r="D68" s="4"/>
      <c r="E68" s="4" t="s">
        <v>139</v>
      </c>
      <c r="F68" s="4" t="s">
        <v>140</v>
      </c>
      <c r="G68" s="4">
        <v>0</v>
      </c>
      <c r="H68" s="4">
        <v>1</v>
      </c>
      <c r="I68" s="4">
        <v>1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1</v>
      </c>
      <c r="P68" s="4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</row>
    <row r="69" spans="1:68" x14ac:dyDescent="0.3">
      <c r="A69" s="4" t="s">
        <v>394</v>
      </c>
      <c r="B69" s="4" t="s">
        <v>395</v>
      </c>
      <c r="C69" s="4" t="s">
        <v>396</v>
      </c>
      <c r="D69" s="4" t="s">
        <v>397</v>
      </c>
      <c r="E69" s="4" t="s">
        <v>11</v>
      </c>
      <c r="F69" s="4" t="s">
        <v>140</v>
      </c>
      <c r="G69" s="4">
        <v>0</v>
      </c>
      <c r="H69" s="4">
        <v>1</v>
      </c>
      <c r="I69" s="4">
        <v>1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</row>
    <row r="70" spans="1:68" x14ac:dyDescent="0.3">
      <c r="A70" s="5" t="s">
        <v>398</v>
      </c>
      <c r="B70" s="5" t="s">
        <v>399</v>
      </c>
      <c r="C70" s="5" t="s">
        <v>31</v>
      </c>
      <c r="D70" s="5"/>
      <c r="E70" s="5" t="s">
        <v>139</v>
      </c>
      <c r="F70" s="5" t="s">
        <v>140</v>
      </c>
      <c r="G70" s="5">
        <v>0</v>
      </c>
      <c r="H70" s="5">
        <v>1</v>
      </c>
      <c r="I70" s="5">
        <v>1</v>
      </c>
      <c r="J70" s="5">
        <v>1</v>
      </c>
      <c r="K70" s="5">
        <v>1</v>
      </c>
      <c r="L70" s="5">
        <v>1</v>
      </c>
      <c r="M70" s="5">
        <v>1</v>
      </c>
      <c r="N70" s="5">
        <v>1</v>
      </c>
      <c r="O70" s="5">
        <v>1</v>
      </c>
      <c r="P70" s="5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</row>
    <row r="71" spans="1:68" x14ac:dyDescent="0.3">
      <c r="A71" s="5" t="s">
        <v>398</v>
      </c>
      <c r="B71" s="5" t="s">
        <v>399</v>
      </c>
      <c r="C71" s="5" t="s">
        <v>400</v>
      </c>
      <c r="D71" s="5" t="s">
        <v>401</v>
      </c>
      <c r="E71" s="5" t="s">
        <v>11</v>
      </c>
      <c r="F71" s="5" t="s">
        <v>140</v>
      </c>
      <c r="G71" s="5">
        <v>0</v>
      </c>
      <c r="H71" s="5">
        <v>1</v>
      </c>
      <c r="I71" s="5">
        <v>1</v>
      </c>
      <c r="J71" s="5">
        <v>1</v>
      </c>
      <c r="K71" s="5">
        <v>1</v>
      </c>
      <c r="L71" s="5">
        <v>1</v>
      </c>
      <c r="M71" s="5">
        <v>1</v>
      </c>
      <c r="N71" s="5">
        <v>1</v>
      </c>
      <c r="O71" s="5">
        <v>1</v>
      </c>
      <c r="P71" s="5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</row>
    <row r="72" spans="1:68" x14ac:dyDescent="0.3">
      <c r="A72" s="4" t="s">
        <v>402</v>
      </c>
      <c r="B72" s="4" t="s">
        <v>403</v>
      </c>
      <c r="C72" s="4" t="s">
        <v>19</v>
      </c>
      <c r="D72" s="4"/>
      <c r="E72" s="4" t="s">
        <v>139</v>
      </c>
      <c r="F72" s="4" t="s">
        <v>140</v>
      </c>
      <c r="G72" s="4">
        <v>0</v>
      </c>
      <c r="H72" s="4">
        <v>1</v>
      </c>
      <c r="I72" s="4">
        <v>1</v>
      </c>
      <c r="J72" s="4">
        <v>1</v>
      </c>
      <c r="K72" s="4">
        <v>1</v>
      </c>
      <c r="L72" s="4">
        <v>1</v>
      </c>
      <c r="M72" s="4">
        <v>1</v>
      </c>
      <c r="N72" s="4">
        <v>1</v>
      </c>
      <c r="O72" s="4">
        <v>1</v>
      </c>
      <c r="P72" s="4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</row>
    <row r="73" spans="1:68" x14ac:dyDescent="0.3">
      <c r="A73" s="4" t="s">
        <v>402</v>
      </c>
      <c r="B73" s="4" t="s">
        <v>403</v>
      </c>
      <c r="C73" s="4" t="s">
        <v>404</v>
      </c>
      <c r="D73" s="4" t="s">
        <v>405</v>
      </c>
      <c r="E73" s="4" t="s">
        <v>11</v>
      </c>
      <c r="F73" s="4" t="s">
        <v>140</v>
      </c>
      <c r="G73" s="4">
        <v>0</v>
      </c>
      <c r="H73" s="4">
        <v>1</v>
      </c>
      <c r="I73" s="4">
        <v>1</v>
      </c>
      <c r="J73" s="4">
        <v>1</v>
      </c>
      <c r="K73" s="4">
        <v>1</v>
      </c>
      <c r="L73" s="4">
        <v>1</v>
      </c>
      <c r="M73" s="4">
        <v>1</v>
      </c>
      <c r="N73" s="4">
        <v>1</v>
      </c>
      <c r="O73" s="4">
        <v>1</v>
      </c>
      <c r="P73" s="4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</row>
    <row r="74" spans="1:68" x14ac:dyDescent="0.3">
      <c r="A74" s="5" t="s">
        <v>406</v>
      </c>
      <c r="B74" s="5" t="s">
        <v>407</v>
      </c>
      <c r="C74" s="5" t="s">
        <v>27</v>
      </c>
      <c r="D74" s="5"/>
      <c r="E74" s="5" t="s">
        <v>139</v>
      </c>
      <c r="F74" s="5" t="s">
        <v>140</v>
      </c>
      <c r="G74" s="5">
        <v>0</v>
      </c>
      <c r="H74" s="5">
        <v>1</v>
      </c>
      <c r="I74" s="5">
        <v>1</v>
      </c>
      <c r="J74" s="5">
        <v>1</v>
      </c>
      <c r="K74" s="5">
        <v>1</v>
      </c>
      <c r="L74" s="5">
        <v>1</v>
      </c>
      <c r="M74" s="5">
        <v>1</v>
      </c>
      <c r="N74" s="5">
        <v>1</v>
      </c>
      <c r="O74" s="5">
        <v>1</v>
      </c>
      <c r="P74" s="5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</row>
    <row r="75" spans="1:68" x14ac:dyDescent="0.3">
      <c r="A75" s="5" t="s">
        <v>406</v>
      </c>
      <c r="B75" s="5" t="s">
        <v>407</v>
      </c>
      <c r="C75" s="5" t="s">
        <v>408</v>
      </c>
      <c r="D75" s="5" t="s">
        <v>409</v>
      </c>
      <c r="E75" s="5" t="s">
        <v>11</v>
      </c>
      <c r="F75" s="5" t="s">
        <v>140</v>
      </c>
      <c r="G75" s="5">
        <v>0</v>
      </c>
      <c r="H75" s="5">
        <v>1</v>
      </c>
      <c r="I75" s="5">
        <v>1</v>
      </c>
      <c r="J75" s="5">
        <v>1</v>
      </c>
      <c r="K75" s="5">
        <v>1</v>
      </c>
      <c r="L75" s="5">
        <v>1</v>
      </c>
      <c r="M75" s="5">
        <v>1</v>
      </c>
      <c r="N75" s="5">
        <v>1</v>
      </c>
      <c r="O75" s="5">
        <v>1</v>
      </c>
      <c r="P75" s="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</row>
    <row r="76" spans="1:68" x14ac:dyDescent="0.3">
      <c r="A76" s="4" t="s">
        <v>410</v>
      </c>
      <c r="B76" s="4" t="s">
        <v>411</v>
      </c>
      <c r="C76" s="4" t="s">
        <v>68</v>
      </c>
      <c r="D76" s="4"/>
      <c r="E76" s="4" t="s">
        <v>139</v>
      </c>
      <c r="F76" s="4" t="s">
        <v>140</v>
      </c>
      <c r="G76" s="4">
        <v>0</v>
      </c>
      <c r="H76" s="4">
        <v>1</v>
      </c>
      <c r="I76" s="4">
        <v>1</v>
      </c>
      <c r="J76" s="4">
        <v>1</v>
      </c>
      <c r="K76" s="4">
        <v>1</v>
      </c>
      <c r="L76" s="4">
        <v>1</v>
      </c>
      <c r="M76" s="4">
        <v>1</v>
      </c>
      <c r="N76" s="4">
        <v>1</v>
      </c>
      <c r="O76" s="4">
        <v>1</v>
      </c>
      <c r="P76" s="4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</row>
    <row r="77" spans="1:68" x14ac:dyDescent="0.3">
      <c r="A77" s="4" t="s">
        <v>410</v>
      </c>
      <c r="B77" s="4" t="s">
        <v>411</v>
      </c>
      <c r="C77" s="4" t="s">
        <v>412</v>
      </c>
      <c r="D77" s="4" t="s">
        <v>413</v>
      </c>
      <c r="E77" s="4" t="s">
        <v>11</v>
      </c>
      <c r="F77" s="4" t="s">
        <v>140</v>
      </c>
      <c r="G77" s="4">
        <v>0</v>
      </c>
      <c r="H77" s="4">
        <v>1</v>
      </c>
      <c r="I77" s="4">
        <v>1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</row>
    <row r="78" spans="1:68" x14ac:dyDescent="0.3">
      <c r="A78" s="5" t="s">
        <v>414</v>
      </c>
      <c r="B78" s="5" t="s">
        <v>415</v>
      </c>
      <c r="C78" s="5" t="s">
        <v>19</v>
      </c>
      <c r="D78" s="5"/>
      <c r="E78" s="5" t="s">
        <v>139</v>
      </c>
      <c r="F78" s="5" t="s">
        <v>140</v>
      </c>
      <c r="G78" s="5">
        <v>0</v>
      </c>
      <c r="H78" s="5">
        <v>1</v>
      </c>
      <c r="I78" s="5">
        <v>1</v>
      </c>
      <c r="J78" s="5">
        <v>1</v>
      </c>
      <c r="K78" s="5">
        <v>1</v>
      </c>
      <c r="L78" s="5">
        <v>1</v>
      </c>
      <c r="M78" s="5">
        <v>1</v>
      </c>
      <c r="N78" s="5">
        <v>1</v>
      </c>
      <c r="O78" s="5">
        <v>1</v>
      </c>
      <c r="P78" s="5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</row>
    <row r="79" spans="1:68" x14ac:dyDescent="0.3">
      <c r="A79" s="5" t="s">
        <v>414</v>
      </c>
      <c r="B79" s="5" t="s">
        <v>415</v>
      </c>
      <c r="C79" s="5" t="s">
        <v>416</v>
      </c>
      <c r="D79" s="5" t="s">
        <v>417</v>
      </c>
      <c r="E79" s="5" t="s">
        <v>11</v>
      </c>
      <c r="F79" s="5" t="s">
        <v>140</v>
      </c>
      <c r="G79" s="5">
        <v>0</v>
      </c>
      <c r="H79" s="5">
        <v>1</v>
      </c>
      <c r="I79" s="5">
        <v>1</v>
      </c>
      <c r="J79" s="5">
        <v>1</v>
      </c>
      <c r="K79" s="5">
        <v>1</v>
      </c>
      <c r="L79" s="5">
        <v>1</v>
      </c>
      <c r="M79" s="5">
        <v>1</v>
      </c>
      <c r="N79" s="5">
        <v>1</v>
      </c>
      <c r="O79" s="5">
        <v>1</v>
      </c>
      <c r="P79" s="5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</row>
    <row r="80" spans="1:68" x14ac:dyDescent="0.3">
      <c r="A80" s="4" t="s">
        <v>418</v>
      </c>
      <c r="B80" s="4" t="s">
        <v>419</v>
      </c>
      <c r="C80" s="4" t="s">
        <v>35</v>
      </c>
      <c r="D80" s="4"/>
      <c r="E80" s="4" t="s">
        <v>139</v>
      </c>
      <c r="F80" s="4" t="s">
        <v>140</v>
      </c>
      <c r="G80" s="4">
        <v>0</v>
      </c>
      <c r="H80" s="4">
        <v>1</v>
      </c>
      <c r="I80" s="4">
        <v>1</v>
      </c>
      <c r="J80" s="4">
        <v>1</v>
      </c>
      <c r="K80" s="4">
        <v>1</v>
      </c>
      <c r="L80" s="4">
        <v>1</v>
      </c>
      <c r="M80" s="4">
        <v>1</v>
      </c>
      <c r="N80" s="4">
        <v>1</v>
      </c>
      <c r="O80" s="4">
        <v>1</v>
      </c>
      <c r="P80" s="4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</row>
    <row r="81" spans="1:68" x14ac:dyDescent="0.3">
      <c r="A81" s="4" t="s">
        <v>418</v>
      </c>
      <c r="B81" s="4" t="s">
        <v>419</v>
      </c>
      <c r="C81" s="4" t="s">
        <v>420</v>
      </c>
      <c r="D81" s="4" t="s">
        <v>421</v>
      </c>
      <c r="E81" s="4" t="s">
        <v>11</v>
      </c>
      <c r="F81" s="4" t="s">
        <v>140</v>
      </c>
      <c r="G81" s="4">
        <v>0</v>
      </c>
      <c r="H81" s="4">
        <v>1</v>
      </c>
      <c r="I81" s="4">
        <v>1</v>
      </c>
      <c r="J81" s="4">
        <v>1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</row>
    <row r="82" spans="1:68" x14ac:dyDescent="0.3">
      <c r="A82" s="5" t="s">
        <v>422</v>
      </c>
      <c r="B82" s="5" t="s">
        <v>423</v>
      </c>
      <c r="C82" s="5" t="s">
        <v>15</v>
      </c>
      <c r="D82" s="5"/>
      <c r="E82" s="5" t="s">
        <v>139</v>
      </c>
      <c r="F82" s="5" t="s">
        <v>140</v>
      </c>
      <c r="G82" s="5">
        <v>0</v>
      </c>
      <c r="H82" s="5">
        <v>1</v>
      </c>
      <c r="I82" s="5">
        <v>1</v>
      </c>
      <c r="J82" s="5">
        <v>1</v>
      </c>
      <c r="K82" s="5">
        <v>1</v>
      </c>
      <c r="L82" s="5">
        <v>1</v>
      </c>
      <c r="M82" s="5">
        <v>1</v>
      </c>
      <c r="N82" s="5">
        <v>1</v>
      </c>
      <c r="O82" s="5">
        <v>1</v>
      </c>
      <c r="P82" s="5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</row>
    <row r="83" spans="1:68" x14ac:dyDescent="0.3">
      <c r="A83" s="5" t="s">
        <v>422</v>
      </c>
      <c r="B83" s="5" t="s">
        <v>423</v>
      </c>
      <c r="C83" s="5" t="s">
        <v>424</v>
      </c>
      <c r="D83" s="5" t="s">
        <v>425</v>
      </c>
      <c r="E83" s="5" t="s">
        <v>11</v>
      </c>
      <c r="F83" s="5" t="s">
        <v>140</v>
      </c>
      <c r="G83" s="5">
        <v>0</v>
      </c>
      <c r="H83" s="5">
        <v>1</v>
      </c>
      <c r="I83" s="5">
        <v>1</v>
      </c>
      <c r="J83" s="5">
        <v>1</v>
      </c>
      <c r="K83" s="5">
        <v>1</v>
      </c>
      <c r="L83" s="5">
        <v>1</v>
      </c>
      <c r="M83" s="5">
        <v>1</v>
      </c>
      <c r="N83" s="5">
        <v>1</v>
      </c>
      <c r="O83" s="5">
        <v>1</v>
      </c>
      <c r="P83" s="5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</row>
    <row r="84" spans="1:68" x14ac:dyDescent="0.3">
      <c r="A84" s="4" t="s">
        <v>426</v>
      </c>
      <c r="B84" s="4" t="s">
        <v>427</v>
      </c>
      <c r="C84" s="4" t="s">
        <v>31</v>
      </c>
      <c r="D84" s="4"/>
      <c r="E84" s="4" t="s">
        <v>139</v>
      </c>
      <c r="F84" s="4" t="s">
        <v>140</v>
      </c>
      <c r="G84" s="4">
        <v>0</v>
      </c>
      <c r="H84" s="4">
        <v>1</v>
      </c>
      <c r="I84" s="4">
        <v>1</v>
      </c>
      <c r="J84" s="4">
        <v>1</v>
      </c>
      <c r="K84" s="4">
        <v>1</v>
      </c>
      <c r="L84" s="4">
        <v>1</v>
      </c>
      <c r="M84" s="4">
        <v>1</v>
      </c>
      <c r="N84" s="4">
        <v>1</v>
      </c>
      <c r="O84" s="4">
        <v>1</v>
      </c>
      <c r="P84" s="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</row>
    <row r="85" spans="1:68" x14ac:dyDescent="0.3">
      <c r="A85" s="4" t="s">
        <v>426</v>
      </c>
      <c r="B85" s="4" t="s">
        <v>427</v>
      </c>
      <c r="C85" s="4" t="s">
        <v>428</v>
      </c>
      <c r="D85" s="4" t="s">
        <v>429</v>
      </c>
      <c r="E85" s="4" t="s">
        <v>11</v>
      </c>
      <c r="F85" s="4" t="s">
        <v>140</v>
      </c>
      <c r="G85" s="4">
        <v>0</v>
      </c>
      <c r="H85" s="4">
        <v>1</v>
      </c>
      <c r="I85" s="4">
        <v>1</v>
      </c>
      <c r="J85" s="4">
        <v>1</v>
      </c>
      <c r="K85" s="4">
        <v>1</v>
      </c>
      <c r="L85" s="4">
        <v>1</v>
      </c>
      <c r="M85" s="4">
        <v>1</v>
      </c>
      <c r="N85" s="4">
        <v>1</v>
      </c>
      <c r="O85" s="4">
        <v>1</v>
      </c>
      <c r="P85" s="4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</row>
    <row r="86" spans="1:68" x14ac:dyDescent="0.3">
      <c r="A86" s="5" t="s">
        <v>430</v>
      </c>
      <c r="B86" s="5" t="s">
        <v>431</v>
      </c>
      <c r="C86" s="5" t="s">
        <v>19</v>
      </c>
      <c r="D86" s="5"/>
      <c r="E86" s="5" t="s">
        <v>139</v>
      </c>
      <c r="F86" s="5" t="s">
        <v>140</v>
      </c>
      <c r="G86" s="5">
        <v>0</v>
      </c>
      <c r="H86" s="5">
        <v>1</v>
      </c>
      <c r="I86" s="5">
        <v>1</v>
      </c>
      <c r="J86" s="5">
        <v>1</v>
      </c>
      <c r="K86" s="5">
        <v>1</v>
      </c>
      <c r="L86" s="5">
        <v>1</v>
      </c>
      <c r="M86" s="5">
        <v>1</v>
      </c>
      <c r="N86" s="5">
        <v>1</v>
      </c>
      <c r="O86" s="5">
        <v>1</v>
      </c>
      <c r="P86" s="5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</row>
    <row r="87" spans="1:68" x14ac:dyDescent="0.3">
      <c r="A87" s="5" t="s">
        <v>430</v>
      </c>
      <c r="B87" s="5" t="s">
        <v>431</v>
      </c>
      <c r="C87" s="5" t="s">
        <v>432</v>
      </c>
      <c r="D87" s="5" t="s">
        <v>433</v>
      </c>
      <c r="E87" s="5" t="s">
        <v>11</v>
      </c>
      <c r="F87" s="5" t="s">
        <v>140</v>
      </c>
      <c r="G87" s="5">
        <v>0</v>
      </c>
      <c r="H87" s="5">
        <v>1</v>
      </c>
      <c r="I87" s="5">
        <v>1</v>
      </c>
      <c r="J87" s="5">
        <v>1</v>
      </c>
      <c r="K87" s="5">
        <v>1</v>
      </c>
      <c r="L87" s="5">
        <v>1</v>
      </c>
      <c r="M87" s="5">
        <v>1</v>
      </c>
      <c r="N87" s="5">
        <v>1</v>
      </c>
      <c r="O87" s="5">
        <v>1</v>
      </c>
      <c r="P87" s="5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</row>
    <row r="88" spans="1:68" x14ac:dyDescent="0.3">
      <c r="A88" s="4" t="s">
        <v>728</v>
      </c>
      <c r="B88" s="4" t="s">
        <v>731</v>
      </c>
      <c r="C88" s="4" t="s">
        <v>173</v>
      </c>
      <c r="D88" s="4"/>
      <c r="E88" s="4" t="s">
        <v>139</v>
      </c>
      <c r="F88" s="4" t="s">
        <v>140</v>
      </c>
      <c r="G88" s="4">
        <v>0</v>
      </c>
      <c r="H88" s="4">
        <v>1</v>
      </c>
      <c r="I88" s="4">
        <v>1</v>
      </c>
      <c r="J88" s="4">
        <v>1</v>
      </c>
      <c r="K88" s="4">
        <v>1</v>
      </c>
      <c r="L88" s="4">
        <v>1</v>
      </c>
      <c r="M88" s="4">
        <v>1</v>
      </c>
      <c r="N88" s="4">
        <v>1</v>
      </c>
      <c r="O88" s="4">
        <v>1</v>
      </c>
      <c r="P88" s="4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</row>
    <row r="89" spans="1:68" x14ac:dyDescent="0.3">
      <c r="A89" s="4" t="s">
        <v>728</v>
      </c>
      <c r="B89" s="4" t="s">
        <v>731</v>
      </c>
      <c r="C89" s="4" t="s">
        <v>730</v>
      </c>
      <c r="D89" s="4" t="s">
        <v>729</v>
      </c>
      <c r="E89" s="4" t="s">
        <v>11</v>
      </c>
      <c r="F89" s="4" t="s">
        <v>140</v>
      </c>
      <c r="G89" s="4">
        <v>0</v>
      </c>
      <c r="H89" s="4">
        <v>1</v>
      </c>
      <c r="I89" s="4">
        <v>1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</row>
    <row r="90" spans="1:68" x14ac:dyDescent="0.3">
      <c r="A90" s="5" t="s">
        <v>766</v>
      </c>
      <c r="B90" s="5" t="s">
        <v>775</v>
      </c>
      <c r="C90" s="5" t="s">
        <v>76</v>
      </c>
      <c r="D90" s="5" t="s">
        <v>765</v>
      </c>
      <c r="E90" s="5" t="s">
        <v>139</v>
      </c>
      <c r="F90" s="5" t="s">
        <v>140</v>
      </c>
      <c r="G90" s="5">
        <v>0</v>
      </c>
      <c r="H90" s="5">
        <v>1</v>
      </c>
      <c r="I90" s="5">
        <v>1</v>
      </c>
      <c r="J90" s="5">
        <v>1</v>
      </c>
      <c r="K90" s="5">
        <v>1</v>
      </c>
      <c r="L90" s="5">
        <v>1</v>
      </c>
      <c r="M90" s="5">
        <v>1</v>
      </c>
      <c r="N90" s="5">
        <v>1</v>
      </c>
      <c r="O90" s="5">
        <v>1</v>
      </c>
      <c r="P90" s="5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</row>
    <row r="91" spans="1:68" x14ac:dyDescent="0.3">
      <c r="A91" s="5" t="s">
        <v>766</v>
      </c>
      <c r="B91" s="5" t="s">
        <v>775</v>
      </c>
      <c r="C91" s="5" t="s">
        <v>771</v>
      </c>
      <c r="D91" s="5" t="s">
        <v>780</v>
      </c>
      <c r="E91" s="5" t="s">
        <v>11</v>
      </c>
      <c r="F91" s="5" t="s">
        <v>140</v>
      </c>
      <c r="G91" s="5">
        <v>0</v>
      </c>
      <c r="H91" s="5">
        <v>1</v>
      </c>
      <c r="I91" s="5">
        <v>1</v>
      </c>
      <c r="J91" s="5">
        <v>1</v>
      </c>
      <c r="K91" s="5">
        <v>1</v>
      </c>
      <c r="L91" s="5">
        <v>1</v>
      </c>
      <c r="M91" s="5">
        <v>1</v>
      </c>
      <c r="N91" s="5">
        <v>1</v>
      </c>
      <c r="O91" s="5">
        <v>1</v>
      </c>
      <c r="P91" s="5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</row>
    <row r="92" spans="1:68" x14ac:dyDescent="0.3">
      <c r="A92" s="4" t="s">
        <v>767</v>
      </c>
      <c r="B92" s="4" t="s">
        <v>744</v>
      </c>
      <c r="C92" s="4" t="s">
        <v>39</v>
      </c>
      <c r="D92" s="4"/>
      <c r="E92" s="4" t="s">
        <v>139</v>
      </c>
      <c r="F92" s="4" t="s">
        <v>140</v>
      </c>
      <c r="G92" s="4">
        <v>0</v>
      </c>
      <c r="H92" s="4">
        <v>1</v>
      </c>
      <c r="I92" s="4">
        <v>1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1</v>
      </c>
      <c r="P92" s="4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</row>
    <row r="93" spans="1:68" x14ac:dyDescent="0.3">
      <c r="A93" s="4" t="s">
        <v>767</v>
      </c>
      <c r="B93" s="4" t="s">
        <v>744</v>
      </c>
      <c r="C93" s="4" t="s">
        <v>772</v>
      </c>
      <c r="D93" s="4" t="s">
        <v>779</v>
      </c>
      <c r="E93" s="4" t="s">
        <v>11</v>
      </c>
      <c r="F93" s="4" t="s">
        <v>140</v>
      </c>
      <c r="G93" s="4">
        <v>0</v>
      </c>
      <c r="H93" s="4">
        <v>1</v>
      </c>
      <c r="I93" s="4">
        <v>1</v>
      </c>
      <c r="J93" s="4">
        <v>1</v>
      </c>
      <c r="K93" s="4">
        <v>1</v>
      </c>
      <c r="L93" s="4">
        <v>1</v>
      </c>
      <c r="M93" s="4">
        <v>1</v>
      </c>
      <c r="N93" s="4">
        <v>1</v>
      </c>
      <c r="O93" s="4">
        <v>1</v>
      </c>
      <c r="P93" s="4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</row>
    <row r="94" spans="1:68" x14ac:dyDescent="0.3">
      <c r="A94" s="5" t="s">
        <v>769</v>
      </c>
      <c r="B94" s="5" t="s">
        <v>776</v>
      </c>
      <c r="C94" s="5" t="s">
        <v>19</v>
      </c>
      <c r="D94" s="5"/>
      <c r="E94" s="5" t="s">
        <v>139</v>
      </c>
      <c r="F94" s="5" t="s">
        <v>140</v>
      </c>
      <c r="G94" s="5">
        <v>0</v>
      </c>
      <c r="H94" s="5">
        <v>1</v>
      </c>
      <c r="I94" s="5">
        <v>1</v>
      </c>
      <c r="J94" s="5">
        <v>1</v>
      </c>
      <c r="K94" s="5">
        <v>1</v>
      </c>
      <c r="L94" s="5">
        <v>1</v>
      </c>
      <c r="M94" s="5">
        <v>1</v>
      </c>
      <c r="N94" s="5">
        <v>1</v>
      </c>
      <c r="O94" s="5">
        <v>1</v>
      </c>
      <c r="P94" s="5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</row>
    <row r="95" spans="1:68" x14ac:dyDescent="0.3">
      <c r="A95" s="5" t="s">
        <v>769</v>
      </c>
      <c r="B95" s="5" t="s">
        <v>776</v>
      </c>
      <c r="C95" s="5" t="s">
        <v>774</v>
      </c>
      <c r="D95" s="5" t="s">
        <v>770</v>
      </c>
      <c r="E95" s="5" t="s">
        <v>11</v>
      </c>
      <c r="F95" s="5" t="s">
        <v>140</v>
      </c>
      <c r="G95" s="5">
        <v>0</v>
      </c>
      <c r="H95" s="5">
        <v>1</v>
      </c>
      <c r="I95" s="5">
        <v>1</v>
      </c>
      <c r="J95" s="5">
        <v>1</v>
      </c>
      <c r="K95" s="5">
        <v>1</v>
      </c>
      <c r="L95" s="5">
        <v>1</v>
      </c>
      <c r="M95" s="5">
        <v>1</v>
      </c>
      <c r="N95" s="5">
        <v>1</v>
      </c>
      <c r="O95" s="5">
        <v>1</v>
      </c>
      <c r="P95" s="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</row>
    <row r="96" spans="1:68" x14ac:dyDescent="0.3">
      <c r="A96" s="4" t="s">
        <v>768</v>
      </c>
      <c r="B96" s="4" t="s">
        <v>777</v>
      </c>
      <c r="C96" s="4" t="s">
        <v>27</v>
      </c>
      <c r="D96" s="4"/>
      <c r="E96" s="4" t="s">
        <v>139</v>
      </c>
      <c r="F96" s="4" t="s">
        <v>140</v>
      </c>
      <c r="G96" s="4">
        <v>0</v>
      </c>
      <c r="H96" s="4">
        <v>1</v>
      </c>
      <c r="I96" s="4">
        <v>1</v>
      </c>
      <c r="J96" s="4">
        <v>1</v>
      </c>
      <c r="K96" s="4">
        <v>1</v>
      </c>
      <c r="L96" s="4">
        <v>1</v>
      </c>
      <c r="M96" s="4">
        <v>1</v>
      </c>
      <c r="N96" s="4">
        <v>1</v>
      </c>
      <c r="O96" s="4">
        <v>1</v>
      </c>
      <c r="P96" s="4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</row>
    <row r="97" spans="1:68" x14ac:dyDescent="0.3">
      <c r="A97" s="4" t="s">
        <v>768</v>
      </c>
      <c r="B97" s="4" t="s">
        <v>777</v>
      </c>
      <c r="C97" s="4" t="s">
        <v>773</v>
      </c>
      <c r="D97" s="4" t="s">
        <v>778</v>
      </c>
      <c r="E97" s="4" t="s">
        <v>11</v>
      </c>
      <c r="F97" s="4" t="s">
        <v>140</v>
      </c>
      <c r="G97" s="4">
        <v>0</v>
      </c>
      <c r="H97" s="4">
        <v>1</v>
      </c>
      <c r="I97" s="4">
        <v>1</v>
      </c>
      <c r="J97" s="4">
        <v>1</v>
      </c>
      <c r="K97" s="4">
        <v>1</v>
      </c>
      <c r="L97" s="4">
        <v>1</v>
      </c>
      <c r="M97" s="4">
        <v>1</v>
      </c>
      <c r="N97" s="4">
        <v>1</v>
      </c>
      <c r="O97" s="4">
        <v>1</v>
      </c>
      <c r="P97" s="4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</row>
    <row r="98" spans="1:68" x14ac:dyDescent="0.3">
      <c r="A98" s="5" t="s">
        <v>751</v>
      </c>
      <c r="B98" s="5" t="s">
        <v>752</v>
      </c>
      <c r="C98" s="5" t="s">
        <v>19</v>
      </c>
      <c r="D98" s="5"/>
      <c r="E98" s="5" t="s">
        <v>139</v>
      </c>
      <c r="F98" s="5" t="s">
        <v>140</v>
      </c>
      <c r="G98" s="5">
        <v>0</v>
      </c>
      <c r="H98" s="5">
        <v>4.0891490585390503E-2</v>
      </c>
      <c r="I98" s="5">
        <v>4.0891490585390503E-2</v>
      </c>
      <c r="J98" s="5">
        <v>4.0891490585390503E-2</v>
      </c>
      <c r="K98" s="5">
        <v>4.0891490585390503E-2</v>
      </c>
      <c r="L98" s="5">
        <v>4.0891490585390503E-2</v>
      </c>
      <c r="M98" s="5">
        <v>4.0891490585390503E-2</v>
      </c>
      <c r="N98" s="5">
        <v>4.0891490585390503E-2</v>
      </c>
      <c r="O98" s="5">
        <v>4.0891490585390503E-2</v>
      </c>
      <c r="P98" s="5">
        <v>4.0891490585390503E-2</v>
      </c>
      <c r="Q98">
        <v>4.0891490585390503E-2</v>
      </c>
      <c r="R98">
        <v>4.0891490585390503E-2</v>
      </c>
      <c r="S98">
        <v>4.0891490585390503E-2</v>
      </c>
      <c r="T98">
        <v>4.0891490585390503E-2</v>
      </c>
      <c r="U98">
        <v>4.0891490585390503E-2</v>
      </c>
      <c r="V98">
        <v>4.0891490585390503E-2</v>
      </c>
      <c r="W98">
        <v>4.0891490585390503E-2</v>
      </c>
      <c r="X98">
        <v>4.0891490585390503E-2</v>
      </c>
      <c r="Y98">
        <v>4.0891490585390503E-2</v>
      </c>
      <c r="Z98">
        <v>4.0891490585390503E-2</v>
      </c>
      <c r="AA98">
        <v>4.0891490585390503E-2</v>
      </c>
      <c r="AB98">
        <v>4.0891490585390503E-2</v>
      </c>
      <c r="AC98">
        <v>4.0891490585390503E-2</v>
      </c>
      <c r="AD98">
        <v>4.0891490585390503E-2</v>
      </c>
      <c r="AE98">
        <v>4.0891490585390503E-2</v>
      </c>
      <c r="AF98">
        <v>4.0891490585390503E-2</v>
      </c>
      <c r="AG98">
        <v>4.0891490585390503E-2</v>
      </c>
      <c r="AH98">
        <v>4.0891490585390503E-2</v>
      </c>
      <c r="AI98">
        <v>4.0891490585390503E-2</v>
      </c>
      <c r="AJ98">
        <v>4.0891490585390503E-2</v>
      </c>
      <c r="AK98">
        <v>4.0891490585390503E-2</v>
      </c>
      <c r="AL98">
        <v>4.0891490585390503E-2</v>
      </c>
      <c r="AM98">
        <v>4.0891490585390503E-2</v>
      </c>
      <c r="AN98">
        <v>4.0891490585390503E-2</v>
      </c>
      <c r="AO98">
        <v>4.0891490585390503E-2</v>
      </c>
      <c r="AP98">
        <v>4.0891490585390503E-2</v>
      </c>
      <c r="AQ98">
        <v>4.0891490585390503E-2</v>
      </c>
      <c r="AR98">
        <v>4.0891490585390503E-2</v>
      </c>
      <c r="AS98">
        <v>4.0891490585390503E-2</v>
      </c>
      <c r="AT98">
        <v>4.0891490585390503E-2</v>
      </c>
      <c r="AU98">
        <v>4.0891490585390503E-2</v>
      </c>
      <c r="AV98">
        <v>4.0891490585390503E-2</v>
      </c>
      <c r="AW98">
        <v>4.0891490585390503E-2</v>
      </c>
      <c r="AX98">
        <v>4.0891490585390503E-2</v>
      </c>
      <c r="AY98">
        <v>4.0891490585390503E-2</v>
      </c>
      <c r="AZ98">
        <v>4.0891490585390503E-2</v>
      </c>
      <c r="BA98">
        <v>4.0891490585390503E-2</v>
      </c>
      <c r="BB98">
        <v>4.0891490585390503E-2</v>
      </c>
      <c r="BC98">
        <v>4.0891490585390503E-2</v>
      </c>
      <c r="BD98">
        <v>4.0891490585390503E-2</v>
      </c>
      <c r="BE98">
        <v>4.0891490585390503E-2</v>
      </c>
      <c r="BF98">
        <v>4.0891490585390503E-2</v>
      </c>
      <c r="BG98">
        <v>4.0891490585390503E-2</v>
      </c>
      <c r="BH98">
        <v>4.0891490585390503E-2</v>
      </c>
      <c r="BI98">
        <v>4.0891490585390503E-2</v>
      </c>
      <c r="BJ98">
        <v>4.0891490585390503E-2</v>
      </c>
      <c r="BK98">
        <v>4.0891490585390503E-2</v>
      </c>
      <c r="BL98">
        <v>4.0891490585390503E-2</v>
      </c>
      <c r="BM98">
        <v>4.0891490585390503E-2</v>
      </c>
      <c r="BN98">
        <v>4.0891490585390503E-2</v>
      </c>
      <c r="BO98">
        <v>4.0891490585390503E-2</v>
      </c>
      <c r="BP98">
        <v>4.0891490585390503E-2</v>
      </c>
    </row>
    <row r="99" spans="1:68" x14ac:dyDescent="0.3">
      <c r="A99" s="5" t="s">
        <v>751</v>
      </c>
      <c r="B99" s="5" t="s">
        <v>752</v>
      </c>
      <c r="C99" s="5" t="s">
        <v>745</v>
      </c>
      <c r="D99" s="5" t="s">
        <v>749</v>
      </c>
      <c r="E99" s="5" t="s">
        <v>11</v>
      </c>
      <c r="F99" s="5" t="s">
        <v>140</v>
      </c>
      <c r="G99" s="5">
        <v>0</v>
      </c>
      <c r="H99" s="5">
        <v>1</v>
      </c>
      <c r="I99" s="5">
        <v>1</v>
      </c>
      <c r="J99" s="5">
        <v>1</v>
      </c>
      <c r="K99" s="5">
        <v>1</v>
      </c>
      <c r="L99" s="5">
        <v>1</v>
      </c>
      <c r="M99" s="5">
        <v>1</v>
      </c>
      <c r="N99" s="5">
        <v>1</v>
      </c>
      <c r="O99" s="5">
        <v>1</v>
      </c>
      <c r="P99" s="5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</row>
    <row r="100" spans="1:68" x14ac:dyDescent="0.3">
      <c r="A100" s="4" t="s">
        <v>747</v>
      </c>
      <c r="B100" s="4" t="s">
        <v>753</v>
      </c>
      <c r="C100" s="4" t="s">
        <v>35</v>
      </c>
      <c r="D100" s="4"/>
      <c r="E100" s="4" t="s">
        <v>139</v>
      </c>
      <c r="F100" s="4" t="s">
        <v>140</v>
      </c>
      <c r="G100" s="4">
        <v>0</v>
      </c>
      <c r="H100" s="4">
        <v>7.6373441414846182E-3</v>
      </c>
      <c r="I100" s="4">
        <v>7.6373441414846182E-3</v>
      </c>
      <c r="J100" s="4">
        <v>7.6373441414846182E-3</v>
      </c>
      <c r="K100" s="4">
        <v>7.6373441414846182E-3</v>
      </c>
      <c r="L100" s="4">
        <v>7.6373441414846182E-3</v>
      </c>
      <c r="M100" s="4">
        <v>7.6373441414846182E-3</v>
      </c>
      <c r="N100" s="4">
        <v>7.6373441414846182E-3</v>
      </c>
      <c r="O100" s="4">
        <v>7.6373441414846182E-3</v>
      </c>
      <c r="P100" s="4">
        <v>7.6373441414846182E-3</v>
      </c>
      <c r="Q100">
        <v>7.6373441414846182E-3</v>
      </c>
      <c r="R100">
        <v>7.6373441414846182E-3</v>
      </c>
      <c r="S100">
        <v>7.6373441414846182E-3</v>
      </c>
      <c r="T100">
        <v>7.6373441414846182E-3</v>
      </c>
      <c r="U100">
        <v>7.6373441414846182E-3</v>
      </c>
      <c r="V100">
        <v>7.6373441414846182E-3</v>
      </c>
      <c r="W100">
        <v>7.6373441414846182E-3</v>
      </c>
      <c r="X100">
        <v>7.6373441414846182E-3</v>
      </c>
      <c r="Y100">
        <v>7.6373441414846182E-3</v>
      </c>
      <c r="Z100">
        <v>7.6373441414846182E-3</v>
      </c>
      <c r="AA100">
        <v>7.6373441414846182E-3</v>
      </c>
      <c r="AB100">
        <v>7.6373441414846182E-3</v>
      </c>
      <c r="AC100">
        <v>7.6373441414846182E-3</v>
      </c>
      <c r="AD100">
        <v>7.6373441414846182E-3</v>
      </c>
      <c r="AE100">
        <v>7.6373441414846182E-3</v>
      </c>
      <c r="AF100">
        <v>7.6373441414846182E-3</v>
      </c>
      <c r="AG100">
        <v>7.6373441414846182E-3</v>
      </c>
      <c r="AH100">
        <v>7.6373441414846182E-3</v>
      </c>
      <c r="AI100">
        <v>7.6373441414846182E-3</v>
      </c>
      <c r="AJ100">
        <v>7.6373441414846182E-3</v>
      </c>
      <c r="AK100">
        <v>7.6373441414846182E-3</v>
      </c>
      <c r="AL100">
        <v>7.6373441414846182E-3</v>
      </c>
      <c r="AM100">
        <v>7.6373441414846182E-3</v>
      </c>
      <c r="AN100">
        <v>7.6373441414846182E-3</v>
      </c>
      <c r="AO100">
        <v>7.6373441414846182E-3</v>
      </c>
      <c r="AP100">
        <v>7.6373441414846182E-3</v>
      </c>
      <c r="AQ100">
        <v>7.6373441414846182E-3</v>
      </c>
      <c r="AR100">
        <v>7.6373441414846182E-3</v>
      </c>
      <c r="AS100">
        <v>7.6373441414846182E-3</v>
      </c>
      <c r="AT100">
        <v>7.6373441414846182E-3</v>
      </c>
      <c r="AU100">
        <v>7.6373441414846182E-3</v>
      </c>
      <c r="AV100">
        <v>7.6373441414846182E-3</v>
      </c>
      <c r="AW100">
        <v>7.6373441414846182E-3</v>
      </c>
      <c r="AX100">
        <v>7.6373441414846182E-3</v>
      </c>
      <c r="AY100">
        <v>7.6373441414846182E-3</v>
      </c>
      <c r="AZ100">
        <v>7.6373441414846182E-3</v>
      </c>
      <c r="BA100">
        <v>7.6373441414846182E-3</v>
      </c>
      <c r="BB100">
        <v>7.6373441414846182E-3</v>
      </c>
      <c r="BC100">
        <v>7.6373441414846182E-3</v>
      </c>
      <c r="BD100">
        <v>7.6373441414846182E-3</v>
      </c>
      <c r="BE100">
        <v>7.6373441414846182E-3</v>
      </c>
      <c r="BF100">
        <v>7.6373441414846182E-3</v>
      </c>
      <c r="BG100">
        <v>7.6373441414846182E-3</v>
      </c>
      <c r="BH100">
        <v>7.6373441414846182E-3</v>
      </c>
      <c r="BI100">
        <v>7.6373441414846182E-3</v>
      </c>
      <c r="BJ100">
        <v>7.6373441414846182E-3</v>
      </c>
      <c r="BK100">
        <v>7.6373441414846182E-3</v>
      </c>
      <c r="BL100">
        <v>7.6373441414846182E-3</v>
      </c>
      <c r="BM100">
        <v>7.6373441414846182E-3</v>
      </c>
      <c r="BN100">
        <v>7.6373441414846182E-3</v>
      </c>
      <c r="BO100">
        <v>7.6373441414846182E-3</v>
      </c>
      <c r="BP100">
        <v>7.6373441414846182E-3</v>
      </c>
    </row>
    <row r="101" spans="1:68" x14ac:dyDescent="0.3">
      <c r="A101" s="4" t="s">
        <v>747</v>
      </c>
      <c r="B101" s="4" t="s">
        <v>753</v>
      </c>
      <c r="C101" s="4" t="s">
        <v>745</v>
      </c>
      <c r="D101" s="4" t="s">
        <v>749</v>
      </c>
      <c r="E101" s="4" t="s">
        <v>11</v>
      </c>
      <c r="F101" s="4" t="s">
        <v>140</v>
      </c>
      <c r="G101" s="4">
        <v>0</v>
      </c>
      <c r="H101" s="4">
        <v>1</v>
      </c>
      <c r="I101" s="4">
        <v>1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1</v>
      </c>
      <c r="P101" s="4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</row>
    <row r="102" spans="1:68" x14ac:dyDescent="0.3">
      <c r="A102" s="5" t="s">
        <v>750</v>
      </c>
      <c r="B102" s="5" t="s">
        <v>746</v>
      </c>
      <c r="C102" s="5" t="s">
        <v>15</v>
      </c>
      <c r="D102" s="5"/>
      <c r="E102" s="5" t="s">
        <v>139</v>
      </c>
      <c r="F102" s="5" t="s">
        <v>140</v>
      </c>
      <c r="G102" s="5">
        <v>0</v>
      </c>
      <c r="H102" s="5">
        <v>0.29229728263069926</v>
      </c>
      <c r="I102" s="5">
        <v>0.29229728263069926</v>
      </c>
      <c r="J102" s="5">
        <v>0.29229728263069926</v>
      </c>
      <c r="K102" s="5">
        <v>0.29229728263069926</v>
      </c>
      <c r="L102" s="5">
        <v>0.29229728263069926</v>
      </c>
      <c r="M102" s="5">
        <v>0.29229728263069926</v>
      </c>
      <c r="N102" s="5">
        <v>0.29229728263069926</v>
      </c>
      <c r="O102" s="5">
        <v>0.29229728263069926</v>
      </c>
      <c r="P102" s="5">
        <v>0.29229728263069926</v>
      </c>
      <c r="Q102">
        <v>0.29229728263069926</v>
      </c>
      <c r="R102">
        <v>0.29229728263069926</v>
      </c>
      <c r="S102">
        <v>0.29229728263069926</v>
      </c>
      <c r="T102">
        <v>0.29229728263069926</v>
      </c>
      <c r="U102">
        <v>0.29229728263069926</v>
      </c>
      <c r="V102">
        <v>0.29229728263069926</v>
      </c>
      <c r="W102">
        <v>0.29229728263069926</v>
      </c>
      <c r="X102">
        <v>0.29229728263069926</v>
      </c>
      <c r="Y102">
        <v>0.29229728263069926</v>
      </c>
      <c r="Z102">
        <v>0.29229728263069926</v>
      </c>
      <c r="AA102">
        <v>0.29229728263069926</v>
      </c>
      <c r="AB102">
        <v>0.29229728263069926</v>
      </c>
      <c r="AC102">
        <v>0.29229728263069926</v>
      </c>
      <c r="AD102">
        <v>0.29229728263069926</v>
      </c>
      <c r="AE102">
        <v>0.29229728263069926</v>
      </c>
      <c r="AF102">
        <v>0.29229728263069926</v>
      </c>
      <c r="AG102">
        <v>0.29229728263069926</v>
      </c>
      <c r="AH102">
        <v>0.29229728263069926</v>
      </c>
      <c r="AI102">
        <v>0.29229728263069926</v>
      </c>
      <c r="AJ102">
        <v>0.29229728263069926</v>
      </c>
      <c r="AK102">
        <v>0.29229728263069926</v>
      </c>
      <c r="AL102">
        <v>0.29229728263069926</v>
      </c>
      <c r="AM102">
        <v>0.29229728263069926</v>
      </c>
      <c r="AN102">
        <v>0.29229728263069926</v>
      </c>
      <c r="AO102">
        <v>0.29229728263069926</v>
      </c>
      <c r="AP102">
        <v>0.29229728263069926</v>
      </c>
      <c r="AQ102">
        <v>0.29229728263069926</v>
      </c>
      <c r="AR102">
        <v>0.29229728263069926</v>
      </c>
      <c r="AS102">
        <v>0.29229728263069926</v>
      </c>
      <c r="AT102">
        <v>0.29229728263069926</v>
      </c>
      <c r="AU102">
        <v>0.29229728263069926</v>
      </c>
      <c r="AV102">
        <v>0.29229728263069926</v>
      </c>
      <c r="AW102">
        <v>0.29229728263069926</v>
      </c>
      <c r="AX102">
        <v>0.29229728263069926</v>
      </c>
      <c r="AY102">
        <v>0.29229728263069926</v>
      </c>
      <c r="AZ102">
        <v>0.29229728263069926</v>
      </c>
      <c r="BA102">
        <v>0.29229728263069926</v>
      </c>
      <c r="BB102">
        <v>0.29229728263069926</v>
      </c>
      <c r="BC102">
        <v>0.29229728263069926</v>
      </c>
      <c r="BD102">
        <v>0.29229728263069926</v>
      </c>
      <c r="BE102">
        <v>0.29229728263069926</v>
      </c>
      <c r="BF102">
        <v>0.29229728263069926</v>
      </c>
      <c r="BG102">
        <v>0.29229728263069926</v>
      </c>
      <c r="BH102">
        <v>0.29229728263069926</v>
      </c>
      <c r="BI102">
        <v>0.29229728263069926</v>
      </c>
      <c r="BJ102">
        <v>0.29229728263069926</v>
      </c>
      <c r="BK102">
        <v>0.29229728263069926</v>
      </c>
      <c r="BL102">
        <v>0.29229728263069926</v>
      </c>
      <c r="BM102">
        <v>0.29229728263069926</v>
      </c>
      <c r="BN102">
        <v>0.29229728263069926</v>
      </c>
      <c r="BO102">
        <v>0.29229728263069926</v>
      </c>
      <c r="BP102">
        <v>0.29229728263069926</v>
      </c>
    </row>
    <row r="103" spans="1:68" x14ac:dyDescent="0.3">
      <c r="A103" s="5" t="s">
        <v>750</v>
      </c>
      <c r="B103" s="5" t="s">
        <v>746</v>
      </c>
      <c r="C103" s="5" t="s">
        <v>745</v>
      </c>
      <c r="D103" s="5" t="s">
        <v>749</v>
      </c>
      <c r="E103" s="5" t="s">
        <v>11</v>
      </c>
      <c r="F103" s="5" t="s">
        <v>140</v>
      </c>
      <c r="G103" s="5">
        <v>0</v>
      </c>
      <c r="H103" s="5">
        <v>1</v>
      </c>
      <c r="I103" s="5">
        <v>1</v>
      </c>
      <c r="J103" s="5">
        <v>1</v>
      </c>
      <c r="K103" s="5">
        <v>1</v>
      </c>
      <c r="L103" s="5">
        <v>1</v>
      </c>
      <c r="M103" s="5">
        <v>1</v>
      </c>
      <c r="N103" s="5">
        <v>1</v>
      </c>
      <c r="O103" s="5">
        <v>1</v>
      </c>
      <c r="P103" s="5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</row>
    <row r="104" spans="1:68" x14ac:dyDescent="0.3">
      <c r="A104" s="4" t="s">
        <v>748</v>
      </c>
      <c r="B104" s="4" t="s">
        <v>754</v>
      </c>
      <c r="C104" s="4" t="s">
        <v>31</v>
      </c>
      <c r="D104" s="4"/>
      <c r="E104" s="4" t="s">
        <v>139</v>
      </c>
      <c r="F104" s="4" t="s">
        <v>140</v>
      </c>
      <c r="G104" s="4">
        <v>0</v>
      </c>
      <c r="H104" s="4">
        <v>0.50842289343234259</v>
      </c>
      <c r="I104" s="4">
        <v>0.50842289343234259</v>
      </c>
      <c r="J104" s="4">
        <v>0.50842289343234259</v>
      </c>
      <c r="K104" s="4">
        <v>0.50842289343234259</v>
      </c>
      <c r="L104" s="4">
        <v>0.50842289343234259</v>
      </c>
      <c r="M104" s="4">
        <v>0.50842289343234259</v>
      </c>
      <c r="N104" s="4">
        <v>0.50842289343234259</v>
      </c>
      <c r="O104" s="4">
        <v>0.50842289343234259</v>
      </c>
      <c r="P104" s="4">
        <v>0.50842289343234259</v>
      </c>
      <c r="Q104">
        <v>0.50842289343234259</v>
      </c>
      <c r="R104">
        <v>0.50842289343234259</v>
      </c>
      <c r="S104">
        <v>0.50842289343234259</v>
      </c>
      <c r="T104">
        <v>0.50842289343234259</v>
      </c>
      <c r="U104">
        <v>0.50842289343234259</v>
      </c>
      <c r="V104">
        <v>0.50842289343234259</v>
      </c>
      <c r="W104">
        <v>0.50842289343234259</v>
      </c>
      <c r="X104">
        <v>0.50842289343234259</v>
      </c>
      <c r="Y104">
        <v>0.50842289343234259</v>
      </c>
      <c r="Z104">
        <v>0.50842289343234259</v>
      </c>
      <c r="AA104">
        <v>0.50842289343234259</v>
      </c>
      <c r="AB104">
        <v>0.50842289343234259</v>
      </c>
      <c r="AC104">
        <v>0.50842289343234259</v>
      </c>
      <c r="AD104">
        <v>0.50842289343234259</v>
      </c>
      <c r="AE104">
        <v>0.50842289343234259</v>
      </c>
      <c r="AF104">
        <v>0.50842289343234259</v>
      </c>
      <c r="AG104">
        <v>0.50842289343234259</v>
      </c>
      <c r="AH104">
        <v>0.50842289343234259</v>
      </c>
      <c r="AI104">
        <v>0.50842289343234259</v>
      </c>
      <c r="AJ104">
        <v>0.50842289343234259</v>
      </c>
      <c r="AK104">
        <v>0.50842289343234259</v>
      </c>
      <c r="AL104">
        <v>0.50842289343234259</v>
      </c>
      <c r="AM104">
        <v>0.50842289343234259</v>
      </c>
      <c r="AN104">
        <v>0.50842289343234259</v>
      </c>
      <c r="AO104">
        <v>0.50842289343234259</v>
      </c>
      <c r="AP104">
        <v>0.50842289343234259</v>
      </c>
      <c r="AQ104">
        <v>0.50842289343234259</v>
      </c>
      <c r="AR104">
        <v>0.50842289343234259</v>
      </c>
      <c r="AS104">
        <v>0.50842289343234259</v>
      </c>
      <c r="AT104">
        <v>0.50842289343234259</v>
      </c>
      <c r="AU104">
        <v>0.50842289343234259</v>
      </c>
      <c r="AV104">
        <v>0.50842289343234259</v>
      </c>
      <c r="AW104">
        <v>0.50842289343234259</v>
      </c>
      <c r="AX104">
        <v>0.50842289343234259</v>
      </c>
      <c r="AY104">
        <v>0.50842289343234259</v>
      </c>
      <c r="AZ104">
        <v>0.50842289343234259</v>
      </c>
      <c r="BA104">
        <v>0.50842289343234259</v>
      </c>
      <c r="BB104">
        <v>0.50842289343234259</v>
      </c>
      <c r="BC104">
        <v>0.50842289343234259</v>
      </c>
      <c r="BD104">
        <v>0.50842289343234259</v>
      </c>
      <c r="BE104">
        <v>0.50842289343234259</v>
      </c>
      <c r="BF104">
        <v>0.50842289343234259</v>
      </c>
      <c r="BG104">
        <v>0.50842289343234259</v>
      </c>
      <c r="BH104">
        <v>0.50842289343234259</v>
      </c>
      <c r="BI104">
        <v>0.50842289343234259</v>
      </c>
      <c r="BJ104">
        <v>0.50842289343234259</v>
      </c>
      <c r="BK104">
        <v>0.50842289343234259</v>
      </c>
      <c r="BL104">
        <v>0.50842289343234259</v>
      </c>
      <c r="BM104">
        <v>0.50842289343234259</v>
      </c>
      <c r="BN104">
        <v>0.50842289343234259</v>
      </c>
      <c r="BO104">
        <v>0.50842289343234259</v>
      </c>
      <c r="BP104">
        <v>0.50842289343234259</v>
      </c>
    </row>
    <row r="105" spans="1:68" x14ac:dyDescent="0.3">
      <c r="A105" s="4" t="s">
        <v>748</v>
      </c>
      <c r="B105" s="4" t="s">
        <v>754</v>
      </c>
      <c r="C105" s="4" t="s">
        <v>745</v>
      </c>
      <c r="D105" s="4" t="s">
        <v>749</v>
      </c>
      <c r="E105" s="4" t="s">
        <v>11</v>
      </c>
      <c r="F105" s="4" t="s">
        <v>140</v>
      </c>
      <c r="G105" s="4">
        <v>0</v>
      </c>
      <c r="H105" s="4">
        <v>1</v>
      </c>
      <c r="I105" s="4">
        <v>1</v>
      </c>
      <c r="J105" s="4">
        <v>1</v>
      </c>
      <c r="K105" s="4">
        <v>1</v>
      </c>
      <c r="L105" s="4">
        <v>1</v>
      </c>
      <c r="M105" s="4">
        <v>1</v>
      </c>
      <c r="N105" s="4">
        <v>1</v>
      </c>
      <c r="O105" s="4">
        <v>1</v>
      </c>
      <c r="P105" s="4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</row>
    <row r="106" spans="1:68" x14ac:dyDescent="0.3">
      <c r="A106" s="5" t="s">
        <v>756</v>
      </c>
      <c r="B106" s="5" t="s">
        <v>755</v>
      </c>
      <c r="C106" s="5" t="s">
        <v>27</v>
      </c>
      <c r="D106" s="5"/>
      <c r="E106" s="5" t="s">
        <v>139</v>
      </c>
      <c r="F106" s="5" t="s">
        <v>140</v>
      </c>
      <c r="G106" s="5">
        <v>0</v>
      </c>
      <c r="H106" s="5">
        <v>0.15075098921008312</v>
      </c>
      <c r="I106" s="5">
        <v>0.15075098921008312</v>
      </c>
      <c r="J106" s="5">
        <v>0.15075098921008312</v>
      </c>
      <c r="K106" s="5">
        <v>0.15075098921008312</v>
      </c>
      <c r="L106" s="5">
        <v>0.15075098921008312</v>
      </c>
      <c r="M106" s="5">
        <v>0.15075098921008312</v>
      </c>
      <c r="N106" s="5">
        <v>0.15075098921008312</v>
      </c>
      <c r="O106" s="5">
        <v>0.15075098921008312</v>
      </c>
      <c r="P106" s="5">
        <v>0.15075098921008312</v>
      </c>
      <c r="Q106">
        <v>0.15075098921008312</v>
      </c>
      <c r="R106">
        <v>0.15075098921008312</v>
      </c>
      <c r="S106">
        <v>0.15075098921008312</v>
      </c>
      <c r="T106">
        <v>0.15075098921008312</v>
      </c>
      <c r="U106">
        <v>0.15075098921008312</v>
      </c>
      <c r="V106">
        <v>0.15075098921008312</v>
      </c>
      <c r="W106">
        <v>0.15075098921008312</v>
      </c>
      <c r="X106">
        <v>0.15075098921008312</v>
      </c>
      <c r="Y106">
        <v>0.15075098921008312</v>
      </c>
      <c r="Z106">
        <v>0.15075098921008312</v>
      </c>
      <c r="AA106">
        <v>0.15075098921008312</v>
      </c>
      <c r="AB106">
        <v>0.15075098921008312</v>
      </c>
      <c r="AC106">
        <v>0.15075098921008312</v>
      </c>
      <c r="AD106">
        <v>0.15075098921008312</v>
      </c>
      <c r="AE106">
        <v>0.15075098921008312</v>
      </c>
      <c r="AF106">
        <v>0.15075098921008312</v>
      </c>
      <c r="AG106">
        <v>0.15075098921008312</v>
      </c>
      <c r="AH106">
        <v>0.15075098921008312</v>
      </c>
      <c r="AI106">
        <v>0.15075098921008312</v>
      </c>
      <c r="AJ106">
        <v>0.15075098921008312</v>
      </c>
      <c r="AK106">
        <v>0.15075098921008312</v>
      </c>
      <c r="AL106">
        <v>0.15075098921008312</v>
      </c>
      <c r="AM106">
        <v>0.15075098921008312</v>
      </c>
      <c r="AN106">
        <v>0.15075098921008312</v>
      </c>
      <c r="AO106">
        <v>0.15075098921008312</v>
      </c>
      <c r="AP106">
        <v>0.15075098921008312</v>
      </c>
      <c r="AQ106">
        <v>0.15075098921008312</v>
      </c>
      <c r="AR106">
        <v>0.15075098921008312</v>
      </c>
      <c r="AS106">
        <v>0.15075098921008312</v>
      </c>
      <c r="AT106">
        <v>0.15075098921008312</v>
      </c>
      <c r="AU106">
        <v>0.15075098921008312</v>
      </c>
      <c r="AV106">
        <v>0.15075098921008312</v>
      </c>
      <c r="AW106">
        <v>0.15075098921008312</v>
      </c>
      <c r="AX106">
        <v>0.15075098921008312</v>
      </c>
      <c r="AY106">
        <v>0.15075098921008312</v>
      </c>
      <c r="AZ106">
        <v>0.15075098921008312</v>
      </c>
      <c r="BA106">
        <v>0.15075098921008312</v>
      </c>
      <c r="BB106">
        <v>0.15075098921008312</v>
      </c>
      <c r="BC106">
        <v>0.15075098921008312</v>
      </c>
      <c r="BD106">
        <v>0.15075098921008312</v>
      </c>
      <c r="BE106">
        <v>0.15075098921008312</v>
      </c>
      <c r="BF106">
        <v>0.15075098921008312</v>
      </c>
      <c r="BG106">
        <v>0.15075098921008312</v>
      </c>
      <c r="BH106">
        <v>0.15075098921008312</v>
      </c>
      <c r="BI106">
        <v>0.15075098921008312</v>
      </c>
      <c r="BJ106">
        <v>0.15075098921008312</v>
      </c>
      <c r="BK106">
        <v>0.15075098921008312</v>
      </c>
      <c r="BL106">
        <v>0.15075098921008312</v>
      </c>
      <c r="BM106">
        <v>0.15075098921008312</v>
      </c>
      <c r="BN106">
        <v>0.15075098921008312</v>
      </c>
      <c r="BO106">
        <v>0.15075098921008312</v>
      </c>
      <c r="BP106">
        <v>0.15075098921008312</v>
      </c>
    </row>
    <row r="107" spans="1:68" x14ac:dyDescent="0.3">
      <c r="A107" s="5" t="s">
        <v>756</v>
      </c>
      <c r="B107" s="5" t="s">
        <v>755</v>
      </c>
      <c r="C107" s="5" t="s">
        <v>745</v>
      </c>
      <c r="D107" s="5" t="s">
        <v>749</v>
      </c>
      <c r="E107" s="5" t="s">
        <v>11</v>
      </c>
      <c r="F107" s="5" t="s">
        <v>140</v>
      </c>
      <c r="G107" s="5">
        <v>0</v>
      </c>
      <c r="H107" s="5">
        <v>1</v>
      </c>
      <c r="I107" s="5">
        <v>1</v>
      </c>
      <c r="J107" s="5">
        <v>1</v>
      </c>
      <c r="K107" s="5">
        <v>1</v>
      </c>
      <c r="L107" s="5">
        <v>1</v>
      </c>
      <c r="M107" s="5">
        <v>1</v>
      </c>
      <c r="N107" s="5">
        <v>1</v>
      </c>
      <c r="O107" s="5">
        <v>1</v>
      </c>
      <c r="P107" s="5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</row>
    <row r="108" spans="1:68" x14ac:dyDescent="0.3">
      <c r="A108" s="4" t="s">
        <v>761</v>
      </c>
      <c r="B108" s="4" t="s">
        <v>762</v>
      </c>
      <c r="C108" s="4" t="s">
        <v>15</v>
      </c>
      <c r="D108" s="4"/>
      <c r="E108" s="4" t="s">
        <v>139</v>
      </c>
      <c r="F108" s="4" t="s">
        <v>140</v>
      </c>
      <c r="G108" s="4">
        <v>0</v>
      </c>
      <c r="H108" s="4">
        <v>6.1800000000000001E-2</v>
      </c>
      <c r="I108" s="4">
        <v>6.1800000000000001E-2</v>
      </c>
      <c r="J108" s="4">
        <v>6.1800000000000001E-2</v>
      </c>
      <c r="K108" s="4">
        <v>6.1800000000000001E-2</v>
      </c>
      <c r="L108" s="4">
        <v>6.1800000000000001E-2</v>
      </c>
      <c r="M108" s="4">
        <v>6.1800000000000001E-2</v>
      </c>
      <c r="N108" s="4">
        <v>6.1800000000000001E-2</v>
      </c>
      <c r="O108" s="4">
        <v>6.1800000000000001E-2</v>
      </c>
      <c r="P108" s="4">
        <v>6.1800000000000001E-2</v>
      </c>
      <c r="Q108">
        <v>6.3899999999999998E-2</v>
      </c>
      <c r="R108">
        <v>0</v>
      </c>
      <c r="S108">
        <v>0</v>
      </c>
      <c r="T108">
        <v>3.1399999999999997E-2</v>
      </c>
      <c r="U108">
        <v>3.1399999999999997E-2</v>
      </c>
      <c r="V108">
        <v>3.1399999999999997E-2</v>
      </c>
      <c r="W108">
        <v>3.1399999999999997E-2</v>
      </c>
      <c r="X108">
        <v>3.1399999999999997E-2</v>
      </c>
      <c r="Y108">
        <v>3.1399999999999997E-2</v>
      </c>
      <c r="Z108">
        <v>3.1399999999999997E-2</v>
      </c>
      <c r="AA108">
        <v>3.1399999999999997E-2</v>
      </c>
      <c r="AB108">
        <v>3.1399999999999997E-2</v>
      </c>
      <c r="AC108">
        <v>3.1399999999999997E-2</v>
      </c>
      <c r="AD108">
        <v>3.1399999999999997E-2</v>
      </c>
      <c r="AE108">
        <v>3.1399999999999997E-2</v>
      </c>
      <c r="AF108">
        <v>3.1399999999999997E-2</v>
      </c>
      <c r="AG108">
        <v>3.1399999999999997E-2</v>
      </c>
      <c r="AH108">
        <v>3.1399999999999997E-2</v>
      </c>
      <c r="AI108">
        <v>3.1399999999999997E-2</v>
      </c>
      <c r="AJ108">
        <v>3.1399999999999997E-2</v>
      </c>
      <c r="AK108">
        <v>3.1399999999999997E-2</v>
      </c>
      <c r="AL108">
        <v>3.1399999999999997E-2</v>
      </c>
      <c r="AM108">
        <v>3.1399999999999997E-2</v>
      </c>
      <c r="AN108">
        <v>3.1399999999999997E-2</v>
      </c>
      <c r="AO108">
        <v>3.1399999999999997E-2</v>
      </c>
      <c r="AP108">
        <v>3.1399999999999997E-2</v>
      </c>
      <c r="AQ108">
        <v>3.1399999999999997E-2</v>
      </c>
      <c r="AR108">
        <v>3.1399999999999997E-2</v>
      </c>
      <c r="AS108">
        <v>3.1399999999999997E-2</v>
      </c>
      <c r="AT108">
        <v>3.1399999999999997E-2</v>
      </c>
      <c r="AU108">
        <v>3.1399999999999997E-2</v>
      </c>
      <c r="AV108">
        <v>3.1399999999999997E-2</v>
      </c>
      <c r="AW108">
        <v>3.1399999999999997E-2</v>
      </c>
      <c r="AX108">
        <v>3.1399999999999997E-2</v>
      </c>
      <c r="AY108">
        <v>3.1399999999999997E-2</v>
      </c>
      <c r="AZ108">
        <v>3.1399999999999997E-2</v>
      </c>
      <c r="BA108">
        <v>3.1399999999999997E-2</v>
      </c>
      <c r="BB108">
        <v>3.1399999999999997E-2</v>
      </c>
      <c r="BC108">
        <v>3.1399999999999997E-2</v>
      </c>
      <c r="BD108">
        <v>3.1399999999999997E-2</v>
      </c>
      <c r="BE108">
        <v>3.1399999999999997E-2</v>
      </c>
      <c r="BF108">
        <v>3.1399999999999997E-2</v>
      </c>
      <c r="BG108">
        <v>3.1399999999999997E-2</v>
      </c>
      <c r="BH108">
        <v>3.1399999999999997E-2</v>
      </c>
      <c r="BI108">
        <v>3.1399999999999997E-2</v>
      </c>
      <c r="BJ108">
        <v>3.1399999999999997E-2</v>
      </c>
      <c r="BK108">
        <v>3.1399999999999997E-2</v>
      </c>
      <c r="BL108">
        <v>3.1399999999999997E-2</v>
      </c>
      <c r="BM108">
        <v>3.1399999999999997E-2</v>
      </c>
      <c r="BN108">
        <v>3.1399999999999997E-2</v>
      </c>
      <c r="BO108">
        <v>3.1399999999999997E-2</v>
      </c>
      <c r="BP108">
        <v>3.1399999999999997E-2</v>
      </c>
    </row>
    <row r="109" spans="1:68" x14ac:dyDescent="0.3">
      <c r="A109" s="4" t="s">
        <v>761</v>
      </c>
      <c r="B109" s="4" t="s">
        <v>762</v>
      </c>
      <c r="C109" s="4" t="s">
        <v>763</v>
      </c>
      <c r="D109" s="4" t="s">
        <v>764</v>
      </c>
      <c r="E109" s="4" t="s">
        <v>11</v>
      </c>
      <c r="F109" s="4" t="s">
        <v>140</v>
      </c>
      <c r="G109" s="4">
        <v>0</v>
      </c>
      <c r="H109" s="4">
        <v>1</v>
      </c>
      <c r="I109" s="4">
        <v>1</v>
      </c>
      <c r="J109" s="4">
        <v>1</v>
      </c>
      <c r="K109" s="4">
        <v>1</v>
      </c>
      <c r="L109" s="4">
        <v>1</v>
      </c>
      <c r="M109" s="4">
        <v>1</v>
      </c>
      <c r="N109" s="4">
        <v>1</v>
      </c>
      <c r="O109" s="4">
        <v>1</v>
      </c>
      <c r="P109" s="4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</row>
    <row r="110" spans="1:68" x14ac:dyDescent="0.3">
      <c r="A110" s="4" t="s">
        <v>761</v>
      </c>
      <c r="B110" s="4" t="s">
        <v>762</v>
      </c>
      <c r="C110" s="4" t="s">
        <v>35</v>
      </c>
      <c r="D110" s="4"/>
      <c r="E110" s="4" t="s">
        <v>139</v>
      </c>
      <c r="F110" s="4" t="s">
        <v>140</v>
      </c>
      <c r="G110" s="4">
        <v>0</v>
      </c>
      <c r="H110" s="4">
        <v>0.28639999999999999</v>
      </c>
      <c r="I110" s="4">
        <v>0.28639999999999999</v>
      </c>
      <c r="J110" s="4">
        <v>0.28639999999999999</v>
      </c>
      <c r="K110" s="4">
        <v>0.28639999999999999</v>
      </c>
      <c r="L110" s="4">
        <v>0.28639999999999999</v>
      </c>
      <c r="M110" s="4">
        <v>0.28639999999999999</v>
      </c>
      <c r="N110" s="4">
        <v>0.28639999999999999</v>
      </c>
      <c r="O110" s="4">
        <v>0.28639999999999999</v>
      </c>
      <c r="P110" s="4">
        <v>0.28639999999999999</v>
      </c>
      <c r="Q110">
        <v>0.34300000000000003</v>
      </c>
      <c r="R110">
        <v>0.5383</v>
      </c>
      <c r="S110">
        <v>0.1928</v>
      </c>
      <c r="T110">
        <v>0.34010000000000001</v>
      </c>
      <c r="U110">
        <v>0.34010000000000001</v>
      </c>
      <c r="V110">
        <v>0.34010000000000001</v>
      </c>
      <c r="W110">
        <v>0.34010000000000001</v>
      </c>
      <c r="X110">
        <v>0.34010000000000001</v>
      </c>
      <c r="Y110">
        <v>0.34010000000000001</v>
      </c>
      <c r="Z110">
        <v>0.34010000000000001</v>
      </c>
      <c r="AA110">
        <v>0.34010000000000001</v>
      </c>
      <c r="AB110">
        <v>0.34010000000000001</v>
      </c>
      <c r="AC110">
        <v>0.34010000000000001</v>
      </c>
      <c r="AD110">
        <v>0.34010000000000001</v>
      </c>
      <c r="AE110">
        <v>0.34010000000000001</v>
      </c>
      <c r="AF110">
        <v>0.34010000000000001</v>
      </c>
      <c r="AG110">
        <v>0.34010000000000001</v>
      </c>
      <c r="AH110">
        <v>0.34010000000000001</v>
      </c>
      <c r="AI110">
        <v>0.34010000000000001</v>
      </c>
      <c r="AJ110">
        <v>0.34010000000000001</v>
      </c>
      <c r="AK110">
        <v>0.34010000000000001</v>
      </c>
      <c r="AL110">
        <v>0.34010000000000001</v>
      </c>
      <c r="AM110">
        <v>0.34010000000000001</v>
      </c>
      <c r="AN110">
        <v>0.34010000000000001</v>
      </c>
      <c r="AO110">
        <v>0.34010000000000001</v>
      </c>
      <c r="AP110">
        <v>0.34010000000000001</v>
      </c>
      <c r="AQ110">
        <v>0.34010000000000001</v>
      </c>
      <c r="AR110">
        <v>0.34010000000000001</v>
      </c>
      <c r="AS110">
        <v>0.34010000000000001</v>
      </c>
      <c r="AT110">
        <v>0.34010000000000001</v>
      </c>
      <c r="AU110">
        <v>0.34010000000000001</v>
      </c>
      <c r="AV110">
        <v>0.34010000000000001</v>
      </c>
      <c r="AW110">
        <v>0.34010000000000001</v>
      </c>
      <c r="AX110">
        <v>0.34010000000000001</v>
      </c>
      <c r="AY110">
        <v>0.34010000000000001</v>
      </c>
      <c r="AZ110">
        <v>0.34010000000000001</v>
      </c>
      <c r="BA110">
        <v>0.34010000000000001</v>
      </c>
      <c r="BB110">
        <v>0.34010000000000001</v>
      </c>
      <c r="BC110">
        <v>0.34010000000000001</v>
      </c>
      <c r="BD110">
        <v>0.34010000000000001</v>
      </c>
      <c r="BE110">
        <v>0.34010000000000001</v>
      </c>
      <c r="BF110">
        <v>0.34010000000000001</v>
      </c>
      <c r="BG110">
        <v>0.34010000000000001</v>
      </c>
      <c r="BH110">
        <v>0.34010000000000001</v>
      </c>
      <c r="BI110">
        <v>0.34010000000000001</v>
      </c>
      <c r="BJ110">
        <v>0.34010000000000001</v>
      </c>
      <c r="BK110">
        <v>0.34010000000000001</v>
      </c>
      <c r="BL110">
        <v>0.34010000000000001</v>
      </c>
      <c r="BM110">
        <v>0.34010000000000001</v>
      </c>
      <c r="BN110">
        <v>0.34010000000000001</v>
      </c>
      <c r="BO110">
        <v>0.34010000000000001</v>
      </c>
      <c r="BP110">
        <v>0.34010000000000001</v>
      </c>
    </row>
    <row r="111" spans="1:68" x14ac:dyDescent="0.3">
      <c r="A111" s="4" t="s">
        <v>761</v>
      </c>
      <c r="B111" s="4" t="s">
        <v>762</v>
      </c>
      <c r="C111" s="4" t="s">
        <v>31</v>
      </c>
      <c r="D111" s="4"/>
      <c r="E111" s="4" t="s">
        <v>139</v>
      </c>
      <c r="F111" s="4" t="s">
        <v>140</v>
      </c>
      <c r="G111" s="4">
        <v>0</v>
      </c>
      <c r="H111" s="4">
        <v>0.65180000000000005</v>
      </c>
      <c r="I111" s="4">
        <v>0.65180000000000005</v>
      </c>
      <c r="J111" s="4">
        <v>0.65180000000000005</v>
      </c>
      <c r="K111" s="4">
        <v>0.65180000000000005</v>
      </c>
      <c r="L111" s="4">
        <v>0.65180000000000005</v>
      </c>
      <c r="M111" s="4">
        <v>0.65180000000000005</v>
      </c>
      <c r="N111" s="4">
        <v>0.65180000000000005</v>
      </c>
      <c r="O111" s="4">
        <v>0.65180000000000005</v>
      </c>
      <c r="P111" s="4">
        <v>0.65180000000000005</v>
      </c>
      <c r="Q111">
        <v>0.59309999999999996</v>
      </c>
      <c r="R111">
        <v>0.4617</v>
      </c>
      <c r="S111">
        <v>0.80720000000000003</v>
      </c>
      <c r="T111">
        <v>0.62849999999999995</v>
      </c>
      <c r="U111">
        <v>0.62849999999999995</v>
      </c>
      <c r="V111">
        <v>0.62849999999999995</v>
      </c>
      <c r="W111">
        <v>0.62849999999999995</v>
      </c>
      <c r="X111">
        <v>0.62849999999999995</v>
      </c>
      <c r="Y111">
        <v>0.62849999999999995</v>
      </c>
      <c r="Z111">
        <v>0.62849999999999995</v>
      </c>
      <c r="AA111">
        <v>0.62849999999999995</v>
      </c>
      <c r="AB111">
        <v>0.62849999999999995</v>
      </c>
      <c r="AC111">
        <v>0.62849999999999995</v>
      </c>
      <c r="AD111">
        <v>0.62849999999999995</v>
      </c>
      <c r="AE111">
        <v>0.62849999999999995</v>
      </c>
      <c r="AF111">
        <v>0.62849999999999995</v>
      </c>
      <c r="AG111">
        <v>0.62849999999999995</v>
      </c>
      <c r="AH111">
        <v>0.62849999999999995</v>
      </c>
      <c r="AI111">
        <v>0.62849999999999995</v>
      </c>
      <c r="AJ111">
        <v>0.62849999999999995</v>
      </c>
      <c r="AK111">
        <v>0.62849999999999995</v>
      </c>
      <c r="AL111">
        <v>0.62849999999999995</v>
      </c>
      <c r="AM111">
        <v>0.62849999999999995</v>
      </c>
      <c r="AN111">
        <v>0.62849999999999995</v>
      </c>
      <c r="AO111">
        <v>0.62849999999999995</v>
      </c>
      <c r="AP111">
        <v>0.62849999999999995</v>
      </c>
      <c r="AQ111">
        <v>0.62849999999999995</v>
      </c>
      <c r="AR111">
        <v>0.62849999999999995</v>
      </c>
      <c r="AS111">
        <v>0.62849999999999995</v>
      </c>
      <c r="AT111">
        <v>0.62849999999999995</v>
      </c>
      <c r="AU111">
        <v>0.62849999999999995</v>
      </c>
      <c r="AV111">
        <v>0.62849999999999995</v>
      </c>
      <c r="AW111">
        <v>0.62849999999999995</v>
      </c>
      <c r="AX111">
        <v>0.62849999999999995</v>
      </c>
      <c r="AY111">
        <v>0.62849999999999995</v>
      </c>
      <c r="AZ111">
        <v>0.62849999999999995</v>
      </c>
      <c r="BA111">
        <v>0.62849999999999995</v>
      </c>
      <c r="BB111">
        <v>0.62849999999999995</v>
      </c>
      <c r="BC111">
        <v>0.62849999999999995</v>
      </c>
      <c r="BD111">
        <v>0.62849999999999995</v>
      </c>
      <c r="BE111">
        <v>0.62849999999999995</v>
      </c>
      <c r="BF111">
        <v>0.62849999999999995</v>
      </c>
      <c r="BG111">
        <v>0.62849999999999995</v>
      </c>
      <c r="BH111">
        <v>0.62849999999999995</v>
      </c>
      <c r="BI111">
        <v>0.62849999999999995</v>
      </c>
      <c r="BJ111">
        <v>0.62849999999999995</v>
      </c>
      <c r="BK111">
        <v>0.62849999999999995</v>
      </c>
      <c r="BL111">
        <v>0.62849999999999995</v>
      </c>
      <c r="BM111">
        <v>0.62849999999999995</v>
      </c>
      <c r="BN111">
        <v>0.62849999999999995</v>
      </c>
      <c r="BO111">
        <v>0.62849999999999995</v>
      </c>
      <c r="BP111">
        <v>0.62849999999999995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55"/>
  <sheetViews>
    <sheetView topLeftCell="E1" workbookViewId="0">
      <pane ySplit="1" topLeftCell="A35" activePane="bottomLeft" state="frozen"/>
      <selection pane="bottomLeft" activeCell="H5" sqref="H5"/>
    </sheetView>
  </sheetViews>
  <sheetFormatPr baseColWidth="10" defaultColWidth="8.88671875" defaultRowHeight="14.4" x14ac:dyDescent="0.3"/>
  <cols>
    <col min="1" max="1" width="11.33203125" bestFit="1" customWidth="1"/>
    <col min="2" max="2" width="36.6640625" bestFit="1" customWidth="1"/>
    <col min="3" max="3" width="11.33203125" bestFit="1" customWidth="1"/>
    <col min="4" max="4" width="37.6640625" bestFit="1" customWidth="1"/>
    <col min="5" max="5" width="8.5546875" bestFit="1" customWidth="1"/>
    <col min="6" max="6" width="15.109375" bestFit="1" customWidth="1"/>
    <col min="7" max="7" width="19.109375" bestFit="1" customWidth="1"/>
    <col min="8" max="14" width="19.109375" customWidth="1"/>
    <col min="15" max="15" width="9.109375" customWidth="1"/>
    <col min="16" max="68" width="4.88671875" bestFit="1" customWidth="1"/>
  </cols>
  <sheetData>
    <row r="1" spans="1:6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  <c r="V1" s="1">
        <v>2024</v>
      </c>
      <c r="W1" s="1">
        <v>2025</v>
      </c>
      <c r="X1" s="1">
        <v>2026</v>
      </c>
      <c r="Y1" s="1">
        <v>2027</v>
      </c>
      <c r="Z1" s="1">
        <v>2028</v>
      </c>
      <c r="AA1" s="1">
        <v>2029</v>
      </c>
      <c r="AB1" s="1">
        <v>2030</v>
      </c>
      <c r="AC1" s="1">
        <v>2031</v>
      </c>
      <c r="AD1" s="1">
        <v>2032</v>
      </c>
      <c r="AE1" s="1">
        <v>2033</v>
      </c>
      <c r="AF1" s="1">
        <v>2034</v>
      </c>
      <c r="AG1" s="1">
        <v>2035</v>
      </c>
      <c r="AH1" s="1">
        <v>2036</v>
      </c>
      <c r="AI1" s="1">
        <v>2037</v>
      </c>
      <c r="AJ1" s="1">
        <v>2038</v>
      </c>
      <c r="AK1" s="1">
        <v>2039</v>
      </c>
      <c r="AL1" s="1">
        <v>2040</v>
      </c>
      <c r="AM1" s="1">
        <v>2041</v>
      </c>
      <c r="AN1" s="1">
        <v>2042</v>
      </c>
      <c r="AO1" s="1">
        <v>2043</v>
      </c>
      <c r="AP1" s="1">
        <v>2044</v>
      </c>
      <c r="AQ1" s="1">
        <v>2045</v>
      </c>
      <c r="AR1" s="1">
        <v>2046</v>
      </c>
      <c r="AS1" s="1">
        <v>2047</v>
      </c>
      <c r="AT1" s="1">
        <v>2048</v>
      </c>
      <c r="AU1" s="1">
        <v>2049</v>
      </c>
      <c r="AV1" s="1">
        <v>2050</v>
      </c>
      <c r="AW1" s="1">
        <v>2051</v>
      </c>
      <c r="AX1" s="1">
        <v>2052</v>
      </c>
      <c r="AY1" s="1">
        <v>2053</v>
      </c>
      <c r="AZ1" s="1">
        <v>2054</v>
      </c>
      <c r="BA1" s="1">
        <v>2055</v>
      </c>
      <c r="BB1" s="1">
        <v>2056</v>
      </c>
      <c r="BC1" s="1">
        <v>2057</v>
      </c>
      <c r="BD1" s="1">
        <v>2058</v>
      </c>
      <c r="BE1" s="1">
        <v>2059</v>
      </c>
      <c r="BF1" s="1">
        <v>2060</v>
      </c>
      <c r="BG1" s="1">
        <v>2061</v>
      </c>
      <c r="BH1" s="1">
        <v>2062</v>
      </c>
      <c r="BI1" s="1">
        <v>2063</v>
      </c>
      <c r="BJ1" s="1">
        <v>2064</v>
      </c>
      <c r="BK1" s="1">
        <v>2065</v>
      </c>
      <c r="BL1" s="1">
        <v>2066</v>
      </c>
      <c r="BM1" s="1">
        <v>2067</v>
      </c>
      <c r="BN1" s="1">
        <v>2068</v>
      </c>
      <c r="BO1" s="1">
        <v>2069</v>
      </c>
      <c r="BP1" s="1">
        <v>2070</v>
      </c>
    </row>
    <row r="2" spans="1:68" x14ac:dyDescent="0.3">
      <c r="A2" s="4" t="s">
        <v>434</v>
      </c>
      <c r="B2" s="4" t="s">
        <v>435</v>
      </c>
      <c r="C2" s="4" t="s">
        <v>236</v>
      </c>
      <c r="D2" s="4"/>
      <c r="E2" s="4" t="s">
        <v>139</v>
      </c>
      <c r="F2" s="4" t="s">
        <v>12</v>
      </c>
      <c r="G2" s="4">
        <v>0</v>
      </c>
      <c r="H2" s="4"/>
      <c r="I2" s="4"/>
      <c r="J2" s="4"/>
      <c r="K2" s="4"/>
      <c r="L2" s="4"/>
      <c r="M2" s="4"/>
      <c r="N2" s="4"/>
      <c r="O2" s="4"/>
      <c r="P2" s="4"/>
    </row>
    <row r="3" spans="1:68" x14ac:dyDescent="0.3">
      <c r="A3" s="4" t="s">
        <v>434</v>
      </c>
      <c r="B3" s="4" t="s">
        <v>435</v>
      </c>
      <c r="C3" s="4" t="s">
        <v>436</v>
      </c>
      <c r="D3" s="4" t="s">
        <v>437</v>
      </c>
      <c r="E3" s="4" t="s">
        <v>11</v>
      </c>
      <c r="F3" s="4" t="s">
        <v>12</v>
      </c>
      <c r="G3" s="4">
        <v>0</v>
      </c>
      <c r="H3" s="4"/>
      <c r="I3" s="4"/>
      <c r="J3" s="4"/>
      <c r="K3" s="4"/>
      <c r="L3" s="4"/>
      <c r="M3" s="4"/>
      <c r="N3" s="4"/>
      <c r="O3" s="4"/>
      <c r="P3" s="4"/>
    </row>
    <row r="4" spans="1:68" x14ac:dyDescent="0.3">
      <c r="A4" s="5" t="s">
        <v>438</v>
      </c>
      <c r="B4" s="5" t="s">
        <v>439</v>
      </c>
      <c r="C4" s="5" t="s">
        <v>726</v>
      </c>
      <c r="D4" s="5"/>
      <c r="E4" s="5" t="s">
        <v>139</v>
      </c>
      <c r="F4" s="5" t="s">
        <v>12</v>
      </c>
      <c r="G4" s="5">
        <v>0</v>
      </c>
      <c r="H4" s="5"/>
      <c r="I4" s="5"/>
      <c r="J4" s="5"/>
      <c r="K4" s="5"/>
      <c r="L4" s="5"/>
      <c r="M4" s="5"/>
      <c r="N4" s="5"/>
      <c r="O4" s="5"/>
      <c r="P4" s="5"/>
    </row>
    <row r="5" spans="1:68" x14ac:dyDescent="0.3">
      <c r="A5" s="5" t="s">
        <v>438</v>
      </c>
      <c r="B5" s="5" t="s">
        <v>439</v>
      </c>
      <c r="C5" s="5" t="s">
        <v>440</v>
      </c>
      <c r="D5" s="5" t="s">
        <v>441</v>
      </c>
      <c r="E5" s="5" t="s">
        <v>11</v>
      </c>
      <c r="F5" s="5" t="s">
        <v>12</v>
      </c>
      <c r="G5" s="5">
        <v>0</v>
      </c>
      <c r="H5" s="5"/>
      <c r="I5" s="5"/>
      <c r="J5" s="5"/>
      <c r="K5" s="5"/>
      <c r="L5" s="5"/>
      <c r="M5" s="5"/>
      <c r="N5" s="5"/>
      <c r="O5" s="5"/>
      <c r="P5" s="5"/>
    </row>
    <row r="6" spans="1:68" x14ac:dyDescent="0.3">
      <c r="A6" s="4" t="s">
        <v>442</v>
      </c>
      <c r="B6" s="4" t="s">
        <v>443</v>
      </c>
      <c r="C6" s="4" t="s">
        <v>261</v>
      </c>
      <c r="D6" s="4"/>
      <c r="E6" s="4" t="s">
        <v>139</v>
      </c>
      <c r="F6" s="4" t="s">
        <v>12</v>
      </c>
      <c r="G6" s="4">
        <v>0</v>
      </c>
      <c r="H6" s="4"/>
      <c r="I6" s="4"/>
      <c r="J6" s="4"/>
      <c r="K6" s="4"/>
      <c r="L6" s="4"/>
      <c r="M6" s="4"/>
      <c r="N6" s="4"/>
      <c r="O6" s="4"/>
      <c r="P6" s="4"/>
    </row>
    <row r="7" spans="1:68" x14ac:dyDescent="0.3">
      <c r="A7" s="4" t="s">
        <v>442</v>
      </c>
      <c r="B7" s="4" t="s">
        <v>443</v>
      </c>
      <c r="C7" s="4" t="s">
        <v>444</v>
      </c>
      <c r="D7" s="4" t="s">
        <v>445</v>
      </c>
      <c r="E7" s="4" t="s">
        <v>11</v>
      </c>
      <c r="F7" s="4" t="s">
        <v>12</v>
      </c>
      <c r="G7" s="4">
        <v>0</v>
      </c>
      <c r="H7" s="4"/>
      <c r="I7" s="4"/>
      <c r="J7" s="4"/>
      <c r="K7" s="4"/>
      <c r="L7" s="4"/>
      <c r="M7" s="4"/>
      <c r="N7" s="4"/>
      <c r="O7" s="4"/>
      <c r="P7" s="4"/>
    </row>
    <row r="8" spans="1:68" x14ac:dyDescent="0.3">
      <c r="A8" s="5" t="s">
        <v>446</v>
      </c>
      <c r="B8" s="5" t="s">
        <v>447</v>
      </c>
      <c r="C8" s="5" t="s">
        <v>112</v>
      </c>
      <c r="D8" s="5"/>
      <c r="E8" s="5" t="s">
        <v>139</v>
      </c>
      <c r="F8" s="5" t="s">
        <v>12</v>
      </c>
      <c r="G8" s="5">
        <v>0</v>
      </c>
      <c r="H8" s="5"/>
      <c r="I8" s="5"/>
      <c r="J8" s="5"/>
      <c r="K8" s="5"/>
      <c r="L8" s="5"/>
      <c r="M8" s="5"/>
      <c r="N8" s="5"/>
      <c r="O8" s="5"/>
      <c r="P8" s="5"/>
    </row>
    <row r="9" spans="1:68" x14ac:dyDescent="0.3">
      <c r="A9" s="5" t="s">
        <v>446</v>
      </c>
      <c r="B9" s="5" t="s">
        <v>447</v>
      </c>
      <c r="C9" s="5" t="s">
        <v>448</v>
      </c>
      <c r="D9" s="5" t="s">
        <v>449</v>
      </c>
      <c r="E9" s="5" t="s">
        <v>11</v>
      </c>
      <c r="F9" s="5" t="s">
        <v>12</v>
      </c>
      <c r="G9" s="5">
        <v>0</v>
      </c>
      <c r="H9" s="5"/>
      <c r="I9" s="5"/>
      <c r="J9" s="5"/>
      <c r="K9" s="5"/>
      <c r="L9" s="5"/>
      <c r="M9" s="5"/>
      <c r="N9" s="5"/>
      <c r="O9" s="5"/>
      <c r="P9" s="5"/>
    </row>
    <row r="10" spans="1:68" x14ac:dyDescent="0.3">
      <c r="A10" s="4" t="s">
        <v>450</v>
      </c>
      <c r="B10" s="4" t="s">
        <v>451</v>
      </c>
      <c r="C10" s="4" t="s">
        <v>27</v>
      </c>
      <c r="D10" s="4"/>
      <c r="E10" s="4" t="s">
        <v>139</v>
      </c>
      <c r="F10" s="4" t="s">
        <v>12</v>
      </c>
      <c r="G10" s="4">
        <v>0</v>
      </c>
      <c r="H10" s="4"/>
      <c r="I10" s="4"/>
      <c r="J10" s="4"/>
      <c r="K10" s="4"/>
      <c r="L10" s="4"/>
      <c r="M10" s="4"/>
      <c r="N10" s="4"/>
      <c r="O10" s="4"/>
      <c r="P10" s="4"/>
    </row>
    <row r="11" spans="1:68" x14ac:dyDescent="0.3">
      <c r="A11" s="4" t="s">
        <v>450</v>
      </c>
      <c r="B11" s="4" t="s">
        <v>451</v>
      </c>
      <c r="C11" s="4" t="s">
        <v>452</v>
      </c>
      <c r="D11" s="4" t="s">
        <v>453</v>
      </c>
      <c r="E11" s="4" t="s">
        <v>11</v>
      </c>
      <c r="F11" s="4" t="s">
        <v>12</v>
      </c>
      <c r="G11" s="4">
        <v>0</v>
      </c>
      <c r="H11" s="4"/>
      <c r="I11" s="4"/>
      <c r="J11" s="4"/>
      <c r="K11" s="4"/>
      <c r="L11" s="4"/>
      <c r="M11" s="4"/>
      <c r="N11" s="4"/>
      <c r="O11" s="4"/>
      <c r="P11" s="4"/>
    </row>
    <row r="12" spans="1:68" x14ac:dyDescent="0.3">
      <c r="A12" s="5" t="s">
        <v>454</v>
      </c>
      <c r="B12" s="5" t="s">
        <v>455</v>
      </c>
      <c r="C12" s="5" t="s">
        <v>244</v>
      </c>
      <c r="D12" s="5"/>
      <c r="E12" s="5" t="s">
        <v>139</v>
      </c>
      <c r="F12" s="5" t="s">
        <v>12</v>
      </c>
      <c r="G12" s="5">
        <v>0</v>
      </c>
      <c r="H12" s="5"/>
      <c r="I12" s="5"/>
      <c r="J12" s="5"/>
      <c r="K12" s="5"/>
      <c r="L12" s="5"/>
      <c r="M12" s="5"/>
      <c r="N12" s="5"/>
      <c r="O12" s="5"/>
      <c r="P12" s="5"/>
    </row>
    <row r="13" spans="1:68" x14ac:dyDescent="0.3">
      <c r="A13" s="5" t="s">
        <v>454</v>
      </c>
      <c r="B13" s="5" t="s">
        <v>455</v>
      </c>
      <c r="C13" s="5" t="s">
        <v>456</v>
      </c>
      <c r="D13" s="5" t="s">
        <v>457</v>
      </c>
      <c r="E13" s="5" t="s">
        <v>11</v>
      </c>
      <c r="F13" s="5" t="s">
        <v>12</v>
      </c>
      <c r="G13" s="5">
        <v>0</v>
      </c>
      <c r="H13" s="5"/>
      <c r="I13" s="5"/>
      <c r="J13" s="5"/>
      <c r="K13" s="5"/>
      <c r="L13" s="5"/>
      <c r="M13" s="5"/>
      <c r="N13" s="5"/>
      <c r="O13" s="5"/>
      <c r="P13" s="5"/>
    </row>
    <row r="14" spans="1:68" x14ac:dyDescent="0.3">
      <c r="A14" s="4" t="s">
        <v>458</v>
      </c>
      <c r="B14" s="4" t="s">
        <v>459</v>
      </c>
      <c r="C14" s="4" t="s">
        <v>112</v>
      </c>
      <c r="D14" s="4"/>
      <c r="E14" s="4" t="s">
        <v>139</v>
      </c>
      <c r="F14" s="4" t="s">
        <v>12</v>
      </c>
      <c r="G14" s="4">
        <v>0</v>
      </c>
      <c r="H14" s="4"/>
      <c r="I14" s="4"/>
      <c r="J14" s="4"/>
      <c r="K14" s="4"/>
      <c r="L14" s="4"/>
      <c r="M14" s="4"/>
      <c r="N14" s="4"/>
      <c r="O14" s="4"/>
      <c r="P14" s="4"/>
    </row>
    <row r="15" spans="1:68" x14ac:dyDescent="0.3">
      <c r="A15" s="4" t="s">
        <v>458</v>
      </c>
      <c r="B15" s="4" t="s">
        <v>459</v>
      </c>
      <c r="C15" s="4" t="s">
        <v>460</v>
      </c>
      <c r="D15" s="4" t="s">
        <v>461</v>
      </c>
      <c r="E15" s="4" t="s">
        <v>11</v>
      </c>
      <c r="F15" s="4" t="s">
        <v>12</v>
      </c>
      <c r="G15" s="4">
        <v>0</v>
      </c>
      <c r="H15" s="4"/>
      <c r="I15" s="4"/>
      <c r="J15" s="4"/>
      <c r="K15" s="4"/>
      <c r="L15" s="4"/>
      <c r="M15" s="4"/>
      <c r="N15" s="4"/>
      <c r="O15" s="4"/>
      <c r="P15" s="4"/>
    </row>
    <row r="16" spans="1:68" x14ac:dyDescent="0.3">
      <c r="A16" s="5" t="s">
        <v>462</v>
      </c>
      <c r="B16" s="5" t="s">
        <v>463</v>
      </c>
      <c r="C16" s="5" t="s">
        <v>244</v>
      </c>
      <c r="D16" s="5"/>
      <c r="E16" s="5" t="s">
        <v>139</v>
      </c>
      <c r="F16" s="5" t="s">
        <v>12</v>
      </c>
      <c r="G16" s="5">
        <v>0</v>
      </c>
      <c r="H16" s="5"/>
      <c r="I16" s="5"/>
      <c r="J16" s="5"/>
      <c r="K16" s="5"/>
      <c r="L16" s="5"/>
      <c r="M16" s="5"/>
      <c r="N16" s="5"/>
      <c r="O16" s="5"/>
      <c r="P16" s="5"/>
    </row>
    <row r="17" spans="1:16" x14ac:dyDescent="0.3">
      <c r="A17" s="5" t="s">
        <v>462</v>
      </c>
      <c r="B17" s="5" t="s">
        <v>463</v>
      </c>
      <c r="C17" s="5" t="s">
        <v>464</v>
      </c>
      <c r="D17" s="5" t="s">
        <v>465</v>
      </c>
      <c r="E17" s="5" t="s">
        <v>11</v>
      </c>
      <c r="F17" s="5" t="s">
        <v>12</v>
      </c>
      <c r="G17" s="5">
        <v>0</v>
      </c>
      <c r="H17" s="5"/>
      <c r="I17" s="5"/>
      <c r="J17" s="5"/>
      <c r="K17" s="5"/>
      <c r="L17" s="5"/>
      <c r="M17" s="5"/>
      <c r="N17" s="5"/>
      <c r="O17" s="5"/>
      <c r="P17" s="5"/>
    </row>
    <row r="18" spans="1:16" x14ac:dyDescent="0.3">
      <c r="A18" s="4" t="s">
        <v>466</v>
      </c>
      <c r="B18" s="4" t="s">
        <v>467</v>
      </c>
      <c r="C18" s="4" t="s">
        <v>236</v>
      </c>
      <c r="D18" s="4"/>
      <c r="E18" s="4" t="s">
        <v>139</v>
      </c>
      <c r="F18" s="4" t="s">
        <v>12</v>
      </c>
      <c r="G18" s="4">
        <v>0</v>
      </c>
      <c r="H18" s="4"/>
      <c r="I18" s="4"/>
      <c r="J18" s="4"/>
      <c r="K18" s="4"/>
      <c r="L18" s="4"/>
      <c r="M18" s="4"/>
      <c r="N18" s="4"/>
      <c r="O18" s="4"/>
      <c r="P18" s="4"/>
    </row>
    <row r="19" spans="1:16" x14ac:dyDescent="0.3">
      <c r="A19" s="4" t="s">
        <v>466</v>
      </c>
      <c r="B19" s="4" t="s">
        <v>467</v>
      </c>
      <c r="C19" s="4" t="s">
        <v>468</v>
      </c>
      <c r="D19" s="4" t="s">
        <v>469</v>
      </c>
      <c r="E19" s="4" t="s">
        <v>11</v>
      </c>
      <c r="F19" s="4" t="s">
        <v>12</v>
      </c>
      <c r="G19" s="4">
        <v>0</v>
      </c>
      <c r="H19" s="4"/>
      <c r="I19" s="4"/>
      <c r="J19" s="4"/>
      <c r="K19" s="4"/>
      <c r="L19" s="4"/>
      <c r="M19" s="4"/>
      <c r="N19" s="4"/>
      <c r="O19" s="4"/>
      <c r="P19" s="4"/>
    </row>
    <row r="20" spans="1:16" x14ac:dyDescent="0.3">
      <c r="A20" s="5" t="s">
        <v>470</v>
      </c>
      <c r="B20" s="5" t="s">
        <v>471</v>
      </c>
      <c r="C20" s="5" t="s">
        <v>726</v>
      </c>
      <c r="D20" s="5"/>
      <c r="E20" s="5" t="s">
        <v>139</v>
      </c>
      <c r="F20" s="5" t="s">
        <v>12</v>
      </c>
      <c r="G20" s="5">
        <v>0</v>
      </c>
      <c r="H20" s="5"/>
      <c r="I20" s="5"/>
      <c r="J20" s="5"/>
      <c r="K20" s="5"/>
      <c r="L20" s="5"/>
      <c r="M20" s="5"/>
      <c r="N20" s="5"/>
      <c r="O20" s="5"/>
      <c r="P20" s="5"/>
    </row>
    <row r="21" spans="1:16" x14ac:dyDescent="0.3">
      <c r="A21" s="5" t="s">
        <v>470</v>
      </c>
      <c r="B21" s="5" t="s">
        <v>471</v>
      </c>
      <c r="C21" s="5" t="s">
        <v>472</v>
      </c>
      <c r="D21" s="5" t="s">
        <v>473</v>
      </c>
      <c r="E21" s="5" t="s">
        <v>11</v>
      </c>
      <c r="F21" s="5" t="s">
        <v>12</v>
      </c>
      <c r="G21" s="5">
        <v>0</v>
      </c>
      <c r="H21" s="5"/>
      <c r="I21" s="5"/>
      <c r="J21" s="5"/>
      <c r="K21" s="5"/>
      <c r="L21" s="5"/>
      <c r="M21" s="5"/>
      <c r="N21" s="5"/>
      <c r="O21" s="5"/>
      <c r="P21" s="5"/>
    </row>
    <row r="22" spans="1:16" x14ac:dyDescent="0.3">
      <c r="A22" s="4" t="s">
        <v>474</v>
      </c>
      <c r="B22" s="4" t="s">
        <v>475</v>
      </c>
      <c r="C22" s="4" t="s">
        <v>27</v>
      </c>
      <c r="D22" s="4"/>
      <c r="E22" s="4" t="s">
        <v>139</v>
      </c>
      <c r="F22" s="4" t="s">
        <v>12</v>
      </c>
      <c r="G22" s="4">
        <v>0</v>
      </c>
      <c r="H22" s="4"/>
      <c r="I22" s="4"/>
      <c r="J22" s="4"/>
      <c r="K22" s="4"/>
      <c r="L22" s="4"/>
      <c r="M22" s="4"/>
      <c r="N22" s="4"/>
      <c r="O22" s="4"/>
      <c r="P22" s="4"/>
    </row>
    <row r="23" spans="1:16" x14ac:dyDescent="0.3">
      <c r="A23" s="4" t="s">
        <v>474</v>
      </c>
      <c r="B23" s="4" t="s">
        <v>475</v>
      </c>
      <c r="C23" s="4" t="s">
        <v>476</v>
      </c>
      <c r="D23" s="4" t="s">
        <v>477</v>
      </c>
      <c r="E23" s="4" t="s">
        <v>11</v>
      </c>
      <c r="F23" s="4" t="s">
        <v>12</v>
      </c>
      <c r="G23" s="4">
        <v>0</v>
      </c>
      <c r="H23" s="4"/>
      <c r="I23" s="4"/>
      <c r="J23" s="4"/>
      <c r="K23" s="4"/>
      <c r="L23" s="4"/>
      <c r="M23" s="4"/>
      <c r="N23" s="4"/>
      <c r="O23" s="4"/>
      <c r="P23" s="4"/>
    </row>
    <row r="24" spans="1:16" x14ac:dyDescent="0.3">
      <c r="A24" s="5" t="s">
        <v>478</v>
      </c>
      <c r="B24" s="5" t="s">
        <v>479</v>
      </c>
      <c r="C24" s="5" t="s">
        <v>236</v>
      </c>
      <c r="D24" s="5"/>
      <c r="E24" s="5" t="s">
        <v>139</v>
      </c>
      <c r="F24" s="5" t="s">
        <v>12</v>
      </c>
      <c r="G24" s="5">
        <v>0</v>
      </c>
      <c r="H24" s="5"/>
      <c r="I24" s="5"/>
      <c r="J24" s="5"/>
      <c r="K24" s="5"/>
      <c r="L24" s="5"/>
      <c r="M24" s="5"/>
      <c r="N24" s="5"/>
      <c r="O24" s="5"/>
      <c r="P24" s="5"/>
    </row>
    <row r="25" spans="1:16" x14ac:dyDescent="0.3">
      <c r="A25" s="5" t="s">
        <v>478</v>
      </c>
      <c r="B25" s="5" t="s">
        <v>479</v>
      </c>
      <c r="C25" s="5" t="s">
        <v>480</v>
      </c>
      <c r="D25" s="5" t="s">
        <v>481</v>
      </c>
      <c r="E25" s="5" t="s">
        <v>11</v>
      </c>
      <c r="F25" s="5" t="s">
        <v>12</v>
      </c>
      <c r="G25" s="5">
        <v>0</v>
      </c>
      <c r="H25" s="5"/>
      <c r="I25" s="5"/>
      <c r="J25" s="5"/>
      <c r="K25" s="5"/>
      <c r="L25" s="5"/>
      <c r="M25" s="5"/>
      <c r="N25" s="5"/>
      <c r="O25" s="5"/>
      <c r="P25" s="5"/>
    </row>
    <row r="26" spans="1:16" x14ac:dyDescent="0.3">
      <c r="A26" s="4" t="s">
        <v>482</v>
      </c>
      <c r="B26" s="4" t="s">
        <v>483</v>
      </c>
      <c r="C26" s="4" t="s">
        <v>261</v>
      </c>
      <c r="D26" s="4"/>
      <c r="E26" s="4" t="s">
        <v>139</v>
      </c>
      <c r="F26" s="4" t="s">
        <v>12</v>
      </c>
      <c r="G26" s="4">
        <v>0</v>
      </c>
      <c r="H26" s="4"/>
      <c r="I26" s="4"/>
      <c r="J26" s="4"/>
      <c r="K26" s="4"/>
      <c r="L26" s="4"/>
      <c r="M26" s="4"/>
      <c r="N26" s="4"/>
      <c r="O26" s="4"/>
      <c r="P26" s="4"/>
    </row>
    <row r="27" spans="1:16" x14ac:dyDescent="0.3">
      <c r="A27" s="4" t="s">
        <v>482</v>
      </c>
      <c r="B27" s="4" t="s">
        <v>483</v>
      </c>
      <c r="C27" s="4" t="s">
        <v>484</v>
      </c>
      <c r="D27" s="4" t="s">
        <v>485</v>
      </c>
      <c r="E27" s="4" t="s">
        <v>11</v>
      </c>
      <c r="F27" s="4" t="s">
        <v>12</v>
      </c>
      <c r="G27" s="4">
        <v>0</v>
      </c>
      <c r="H27" s="4"/>
      <c r="I27" s="4"/>
      <c r="J27" s="4"/>
      <c r="K27" s="4"/>
      <c r="L27" s="4"/>
      <c r="M27" s="4"/>
      <c r="N27" s="4"/>
      <c r="O27" s="4"/>
      <c r="P27" s="4"/>
    </row>
    <row r="28" spans="1:16" x14ac:dyDescent="0.3">
      <c r="A28" s="5" t="s">
        <v>486</v>
      </c>
      <c r="B28" s="5" t="s">
        <v>487</v>
      </c>
      <c r="C28" s="5" t="s">
        <v>112</v>
      </c>
      <c r="D28" s="5"/>
      <c r="E28" s="5" t="s">
        <v>139</v>
      </c>
      <c r="F28" s="5" t="s">
        <v>12</v>
      </c>
      <c r="G28" s="5">
        <v>0</v>
      </c>
      <c r="H28" s="5"/>
      <c r="I28" s="5"/>
      <c r="J28" s="5"/>
      <c r="K28" s="5"/>
      <c r="L28" s="5"/>
      <c r="M28" s="5"/>
      <c r="N28" s="5"/>
      <c r="O28" s="5"/>
      <c r="P28" s="5"/>
    </row>
    <row r="29" spans="1:16" x14ac:dyDescent="0.3">
      <c r="A29" s="5" t="s">
        <v>486</v>
      </c>
      <c r="B29" s="5" t="s">
        <v>487</v>
      </c>
      <c r="C29" s="5" t="s">
        <v>488</v>
      </c>
      <c r="D29" s="5" t="s">
        <v>489</v>
      </c>
      <c r="E29" s="5" t="s">
        <v>11</v>
      </c>
      <c r="F29" s="5" t="s">
        <v>12</v>
      </c>
      <c r="G29" s="5">
        <v>0</v>
      </c>
      <c r="H29" s="5"/>
      <c r="I29" s="5"/>
      <c r="J29" s="5"/>
      <c r="K29" s="5"/>
      <c r="L29" s="5"/>
      <c r="M29" s="5"/>
      <c r="N29" s="5"/>
      <c r="O29" s="5"/>
      <c r="P29" s="5"/>
    </row>
    <row r="30" spans="1:16" x14ac:dyDescent="0.3">
      <c r="A30" s="4" t="s">
        <v>490</v>
      </c>
      <c r="B30" s="4" t="s">
        <v>491</v>
      </c>
      <c r="C30" s="4" t="s">
        <v>244</v>
      </c>
      <c r="D30" s="4"/>
      <c r="E30" s="4" t="s">
        <v>139</v>
      </c>
      <c r="F30" s="4" t="s">
        <v>12</v>
      </c>
      <c r="G30" s="4">
        <v>0</v>
      </c>
      <c r="H30" s="4"/>
      <c r="I30" s="4"/>
      <c r="J30" s="4"/>
      <c r="K30" s="4"/>
      <c r="L30" s="4"/>
      <c r="M30" s="4"/>
      <c r="N30" s="4"/>
      <c r="O30" s="4"/>
      <c r="P30" s="4"/>
    </row>
    <row r="31" spans="1:16" x14ac:dyDescent="0.3">
      <c r="A31" s="4" t="s">
        <v>490</v>
      </c>
      <c r="B31" s="4" t="s">
        <v>491</v>
      </c>
      <c r="C31" s="4" t="s">
        <v>492</v>
      </c>
      <c r="D31" s="4" t="s">
        <v>493</v>
      </c>
      <c r="E31" s="4" t="s">
        <v>11</v>
      </c>
      <c r="F31" s="4" t="s">
        <v>12</v>
      </c>
      <c r="G31" s="4">
        <v>0</v>
      </c>
      <c r="H31" s="4"/>
      <c r="I31" s="4"/>
      <c r="J31" s="4"/>
      <c r="K31" s="4"/>
      <c r="L31" s="4"/>
      <c r="M31" s="4"/>
      <c r="N31" s="4"/>
      <c r="O31" s="4"/>
      <c r="P31" s="4"/>
    </row>
    <row r="32" spans="1:16" x14ac:dyDescent="0.3">
      <c r="A32" s="5" t="s">
        <v>494</v>
      </c>
      <c r="B32" s="5" t="s">
        <v>495</v>
      </c>
      <c r="C32" s="5" t="s">
        <v>27</v>
      </c>
      <c r="D32" s="5"/>
      <c r="E32" s="5" t="s">
        <v>139</v>
      </c>
      <c r="F32" s="5" t="s">
        <v>12</v>
      </c>
      <c r="G32" s="5">
        <v>0</v>
      </c>
      <c r="H32" s="5"/>
      <c r="I32" s="5"/>
      <c r="J32" s="5"/>
      <c r="K32" s="5"/>
      <c r="L32" s="5"/>
      <c r="M32" s="5"/>
      <c r="N32" s="5"/>
      <c r="O32" s="5"/>
      <c r="P32" s="5"/>
    </row>
    <row r="33" spans="1:16" x14ac:dyDescent="0.3">
      <c r="A33" s="5" t="s">
        <v>494</v>
      </c>
      <c r="B33" s="5" t="s">
        <v>495</v>
      </c>
      <c r="C33" s="5" t="s">
        <v>496</v>
      </c>
      <c r="D33" s="5" t="s">
        <v>497</v>
      </c>
      <c r="E33" s="5" t="s">
        <v>11</v>
      </c>
      <c r="F33" s="5" t="s">
        <v>12</v>
      </c>
      <c r="G33" s="5">
        <v>0</v>
      </c>
      <c r="H33" s="5"/>
      <c r="I33" s="5"/>
      <c r="J33" s="5"/>
      <c r="K33" s="5"/>
      <c r="L33" s="5"/>
      <c r="M33" s="5"/>
      <c r="N33" s="5"/>
      <c r="O33" s="5"/>
      <c r="P33" s="5"/>
    </row>
    <row r="34" spans="1:16" x14ac:dyDescent="0.3">
      <c r="A34" s="4" t="s">
        <v>498</v>
      </c>
      <c r="B34" s="4" t="s">
        <v>499</v>
      </c>
      <c r="C34" s="4" t="s">
        <v>236</v>
      </c>
      <c r="D34" s="4"/>
      <c r="E34" s="4" t="s">
        <v>139</v>
      </c>
      <c r="F34" s="4" t="s">
        <v>12</v>
      </c>
      <c r="G34" s="4">
        <v>0</v>
      </c>
      <c r="H34" s="4"/>
      <c r="I34" s="4"/>
      <c r="J34" s="4"/>
      <c r="K34" s="4"/>
      <c r="L34" s="4"/>
      <c r="M34" s="4"/>
      <c r="N34" s="4"/>
      <c r="O34" s="4"/>
      <c r="P34" s="4"/>
    </row>
    <row r="35" spans="1:16" x14ac:dyDescent="0.3">
      <c r="A35" s="4" t="s">
        <v>498</v>
      </c>
      <c r="B35" s="4" t="s">
        <v>499</v>
      </c>
      <c r="C35" s="4" t="s">
        <v>500</v>
      </c>
      <c r="D35" s="4" t="s">
        <v>501</v>
      </c>
      <c r="E35" s="4" t="s">
        <v>11</v>
      </c>
      <c r="F35" s="4" t="s">
        <v>12</v>
      </c>
      <c r="G35" s="4">
        <v>0</v>
      </c>
      <c r="H35" s="4"/>
      <c r="I35" s="4"/>
      <c r="J35" s="4"/>
      <c r="K35" s="4"/>
      <c r="L35" s="4"/>
      <c r="M35" s="4"/>
      <c r="N35" s="4"/>
      <c r="O35" s="4"/>
      <c r="P35" s="4"/>
    </row>
    <row r="36" spans="1:16" x14ac:dyDescent="0.3">
      <c r="A36" s="5" t="s">
        <v>502</v>
      </c>
      <c r="B36" s="5" t="s">
        <v>503</v>
      </c>
      <c r="C36" s="5" t="s">
        <v>726</v>
      </c>
      <c r="D36" s="5"/>
      <c r="E36" s="5" t="s">
        <v>139</v>
      </c>
      <c r="F36" s="5" t="s">
        <v>12</v>
      </c>
      <c r="G36" s="5">
        <v>0</v>
      </c>
      <c r="H36" s="5"/>
      <c r="I36" s="5"/>
      <c r="J36" s="5"/>
      <c r="K36" s="5"/>
      <c r="L36" s="5"/>
      <c r="M36" s="5"/>
      <c r="N36" s="5"/>
      <c r="O36" s="5"/>
      <c r="P36" s="5"/>
    </row>
    <row r="37" spans="1:16" x14ac:dyDescent="0.3">
      <c r="A37" s="5" t="s">
        <v>502</v>
      </c>
      <c r="B37" s="5" t="s">
        <v>503</v>
      </c>
      <c r="C37" s="5" t="s">
        <v>504</v>
      </c>
      <c r="D37" s="5" t="s">
        <v>505</v>
      </c>
      <c r="E37" s="5" t="s">
        <v>11</v>
      </c>
      <c r="F37" s="5" t="s">
        <v>12</v>
      </c>
      <c r="G37" s="5">
        <v>0</v>
      </c>
      <c r="H37" s="5"/>
      <c r="I37" s="5"/>
      <c r="J37" s="5"/>
      <c r="K37" s="5"/>
      <c r="L37" s="5"/>
      <c r="M37" s="5"/>
      <c r="N37" s="5"/>
      <c r="O37" s="5"/>
      <c r="P37" s="5"/>
    </row>
    <row r="38" spans="1:16" x14ac:dyDescent="0.3">
      <c r="A38" s="4" t="s">
        <v>506</v>
      </c>
      <c r="B38" s="4" t="s">
        <v>507</v>
      </c>
      <c r="C38" s="4" t="s">
        <v>261</v>
      </c>
      <c r="D38" s="4"/>
      <c r="E38" s="4" t="s">
        <v>139</v>
      </c>
      <c r="F38" s="4" t="s">
        <v>12</v>
      </c>
      <c r="G38" s="4">
        <v>0</v>
      </c>
      <c r="H38" s="4"/>
      <c r="I38" s="4"/>
      <c r="J38" s="4"/>
      <c r="K38" s="4"/>
      <c r="L38" s="4"/>
      <c r="M38" s="4"/>
      <c r="N38" s="4"/>
      <c r="O38" s="4"/>
      <c r="P38" s="4"/>
    </row>
    <row r="39" spans="1:16" x14ac:dyDescent="0.3">
      <c r="A39" s="4" t="s">
        <v>506</v>
      </c>
      <c r="B39" s="4" t="s">
        <v>507</v>
      </c>
      <c r="C39" s="4" t="s">
        <v>508</v>
      </c>
      <c r="D39" s="4" t="s">
        <v>509</v>
      </c>
      <c r="E39" s="4" t="s">
        <v>11</v>
      </c>
      <c r="F39" s="4" t="s">
        <v>12</v>
      </c>
      <c r="G39" s="4">
        <v>0</v>
      </c>
      <c r="H39" s="4"/>
      <c r="I39" s="4"/>
      <c r="J39" s="4"/>
      <c r="K39" s="4"/>
      <c r="L39" s="4"/>
      <c r="M39" s="4"/>
      <c r="N39" s="4"/>
      <c r="O39" s="4"/>
      <c r="P39" s="4"/>
    </row>
    <row r="40" spans="1:16" x14ac:dyDescent="0.3">
      <c r="A40" s="5" t="s">
        <v>510</v>
      </c>
      <c r="B40" s="5" t="s">
        <v>511</v>
      </c>
      <c r="C40" s="5" t="s">
        <v>112</v>
      </c>
      <c r="D40" s="5"/>
      <c r="E40" s="5" t="s">
        <v>139</v>
      </c>
      <c r="F40" s="5" t="s">
        <v>12</v>
      </c>
      <c r="G40" s="5">
        <v>0</v>
      </c>
      <c r="H40" s="5"/>
      <c r="I40" s="5"/>
      <c r="J40" s="5"/>
      <c r="K40" s="5"/>
      <c r="L40" s="5"/>
      <c r="M40" s="5"/>
      <c r="N40" s="5"/>
      <c r="O40" s="5"/>
      <c r="P40" s="5"/>
    </row>
    <row r="41" spans="1:16" x14ac:dyDescent="0.3">
      <c r="A41" s="5" t="s">
        <v>510</v>
      </c>
      <c r="B41" s="5" t="s">
        <v>511</v>
      </c>
      <c r="C41" s="5" t="s">
        <v>512</v>
      </c>
      <c r="D41" s="5" t="s">
        <v>513</v>
      </c>
      <c r="E41" s="5" t="s">
        <v>11</v>
      </c>
      <c r="F41" s="5" t="s">
        <v>12</v>
      </c>
      <c r="G41" s="5">
        <v>0</v>
      </c>
      <c r="H41" s="5"/>
      <c r="I41" s="5"/>
      <c r="J41" s="5"/>
      <c r="K41" s="5"/>
      <c r="L41" s="5"/>
      <c r="M41" s="5"/>
      <c r="N41" s="5"/>
      <c r="O41" s="5"/>
      <c r="P41" s="5"/>
    </row>
    <row r="42" spans="1:16" x14ac:dyDescent="0.3">
      <c r="A42" s="4" t="s">
        <v>514</v>
      </c>
      <c r="B42" s="4" t="s">
        <v>515</v>
      </c>
      <c r="C42" s="4" t="s">
        <v>244</v>
      </c>
      <c r="D42" s="4"/>
      <c r="E42" s="4" t="s">
        <v>139</v>
      </c>
      <c r="F42" s="4" t="s">
        <v>12</v>
      </c>
      <c r="G42" s="4">
        <v>0</v>
      </c>
      <c r="H42" s="4"/>
      <c r="I42" s="4"/>
      <c r="J42" s="4"/>
      <c r="K42" s="4"/>
      <c r="L42" s="4"/>
      <c r="M42" s="4"/>
      <c r="N42" s="4"/>
      <c r="O42" s="4"/>
      <c r="P42" s="4"/>
    </row>
    <row r="43" spans="1:16" x14ac:dyDescent="0.3">
      <c r="A43" s="4" t="s">
        <v>514</v>
      </c>
      <c r="B43" s="4" t="s">
        <v>515</v>
      </c>
      <c r="C43" s="4" t="s">
        <v>516</v>
      </c>
      <c r="D43" s="4" t="s">
        <v>517</v>
      </c>
      <c r="E43" s="4" t="s">
        <v>11</v>
      </c>
      <c r="F43" s="4" t="s">
        <v>12</v>
      </c>
      <c r="G43" s="4">
        <v>0</v>
      </c>
      <c r="H43" s="4"/>
      <c r="I43" s="4"/>
      <c r="J43" s="4"/>
      <c r="K43" s="4"/>
      <c r="L43" s="4"/>
      <c r="M43" s="4"/>
      <c r="N43" s="4"/>
      <c r="O43" s="4"/>
      <c r="P43" s="4"/>
    </row>
    <row r="44" spans="1:16" x14ac:dyDescent="0.3">
      <c r="A44" s="5" t="s">
        <v>518</v>
      </c>
      <c r="B44" s="5" t="s">
        <v>519</v>
      </c>
      <c r="C44" s="5" t="s">
        <v>27</v>
      </c>
      <c r="D44" s="5"/>
      <c r="E44" s="5" t="s">
        <v>139</v>
      </c>
      <c r="F44" s="5" t="s">
        <v>12</v>
      </c>
      <c r="G44" s="5">
        <v>0</v>
      </c>
      <c r="H44" s="5"/>
      <c r="I44" s="5"/>
      <c r="J44" s="5"/>
      <c r="K44" s="5"/>
      <c r="L44" s="5"/>
      <c r="M44" s="5"/>
      <c r="N44" s="5"/>
      <c r="O44" s="5"/>
      <c r="P44" s="5"/>
    </row>
    <row r="45" spans="1:16" x14ac:dyDescent="0.3">
      <c r="A45" s="5" t="s">
        <v>518</v>
      </c>
      <c r="B45" s="5" t="s">
        <v>519</v>
      </c>
      <c r="C45" s="5" t="s">
        <v>520</v>
      </c>
      <c r="D45" s="5" t="s">
        <v>521</v>
      </c>
      <c r="E45" s="5" t="s">
        <v>11</v>
      </c>
      <c r="F45" s="5" t="s">
        <v>12</v>
      </c>
      <c r="G45" s="5">
        <v>0</v>
      </c>
      <c r="H45" s="5"/>
      <c r="I45" s="5"/>
      <c r="J45" s="5"/>
      <c r="K45" s="5"/>
      <c r="L45" s="5"/>
      <c r="M45" s="5"/>
      <c r="N45" s="5"/>
      <c r="O45" s="5"/>
      <c r="P45" s="5"/>
    </row>
    <row r="46" spans="1:16" x14ac:dyDescent="0.3">
      <c r="A46" s="4" t="s">
        <v>522</v>
      </c>
      <c r="B46" s="4" t="s">
        <v>523</v>
      </c>
      <c r="C46" s="4" t="s">
        <v>236</v>
      </c>
      <c r="D46" s="4"/>
      <c r="E46" s="4" t="s">
        <v>139</v>
      </c>
      <c r="F46" s="4" t="s">
        <v>12</v>
      </c>
      <c r="G46" s="4">
        <v>0</v>
      </c>
      <c r="H46" s="4"/>
      <c r="I46" s="4"/>
      <c r="J46" s="4"/>
      <c r="K46" s="4"/>
      <c r="L46" s="4"/>
      <c r="M46" s="4"/>
      <c r="N46" s="4"/>
      <c r="O46" s="4"/>
      <c r="P46" s="4"/>
    </row>
    <row r="47" spans="1:16" x14ac:dyDescent="0.3">
      <c r="A47" s="4" t="s">
        <v>522</v>
      </c>
      <c r="B47" s="4" t="s">
        <v>523</v>
      </c>
      <c r="C47" s="4" t="s">
        <v>524</v>
      </c>
      <c r="D47" s="4" t="s">
        <v>525</v>
      </c>
      <c r="E47" s="4" t="s">
        <v>11</v>
      </c>
      <c r="F47" s="4" t="s">
        <v>12</v>
      </c>
      <c r="G47" s="4">
        <v>0</v>
      </c>
      <c r="H47" s="4"/>
      <c r="I47" s="4"/>
      <c r="J47" s="4"/>
      <c r="K47" s="4"/>
      <c r="L47" s="4"/>
      <c r="M47" s="4"/>
      <c r="N47" s="4"/>
      <c r="O47" s="4"/>
      <c r="P47" s="4"/>
    </row>
    <row r="48" spans="1:16" x14ac:dyDescent="0.3">
      <c r="A48" s="5" t="s">
        <v>526</v>
      </c>
      <c r="B48" s="5" t="s">
        <v>527</v>
      </c>
      <c r="C48" s="5" t="s">
        <v>726</v>
      </c>
      <c r="D48" s="5"/>
      <c r="E48" s="5" t="s">
        <v>139</v>
      </c>
      <c r="F48" s="5" t="s">
        <v>12</v>
      </c>
      <c r="G48" s="5">
        <v>0</v>
      </c>
      <c r="H48" s="5"/>
      <c r="I48" s="5"/>
      <c r="J48" s="5"/>
      <c r="K48" s="5"/>
      <c r="L48" s="5"/>
      <c r="M48" s="5"/>
      <c r="N48" s="5"/>
      <c r="O48" s="5"/>
      <c r="P48" s="5"/>
    </row>
    <row r="49" spans="1:16" x14ac:dyDescent="0.3">
      <c r="A49" s="5" t="s">
        <v>526</v>
      </c>
      <c r="B49" s="5" t="s">
        <v>527</v>
      </c>
      <c r="C49" s="5" t="s">
        <v>528</v>
      </c>
      <c r="D49" s="5" t="s">
        <v>529</v>
      </c>
      <c r="E49" s="5" t="s">
        <v>11</v>
      </c>
      <c r="F49" s="5" t="s">
        <v>12</v>
      </c>
      <c r="G49" s="5">
        <v>0</v>
      </c>
      <c r="H49" s="5"/>
      <c r="I49" s="5"/>
      <c r="J49" s="5"/>
      <c r="K49" s="5"/>
      <c r="L49" s="5"/>
      <c r="M49" s="5"/>
      <c r="N49" s="5"/>
      <c r="O49" s="5"/>
      <c r="P49" s="5"/>
    </row>
    <row r="50" spans="1:16" x14ac:dyDescent="0.3">
      <c r="A50" s="4" t="s">
        <v>530</v>
      </c>
      <c r="B50" s="4" t="s">
        <v>531</v>
      </c>
      <c r="C50" s="4" t="s">
        <v>112</v>
      </c>
      <c r="D50" s="4"/>
      <c r="E50" s="4" t="s">
        <v>139</v>
      </c>
      <c r="F50" s="4" t="s">
        <v>12</v>
      </c>
      <c r="G50" s="4">
        <v>0</v>
      </c>
      <c r="H50" s="4"/>
      <c r="I50" s="4"/>
      <c r="J50" s="4"/>
      <c r="K50" s="4"/>
      <c r="L50" s="4"/>
      <c r="M50" s="4"/>
      <c r="N50" s="4"/>
      <c r="O50" s="4"/>
      <c r="P50" s="4"/>
    </row>
    <row r="51" spans="1:16" x14ac:dyDescent="0.3">
      <c r="A51" s="4" t="s">
        <v>530</v>
      </c>
      <c r="B51" s="4" t="s">
        <v>531</v>
      </c>
      <c r="C51" s="4" t="s">
        <v>532</v>
      </c>
      <c r="D51" s="4" t="s">
        <v>533</v>
      </c>
      <c r="E51" s="4" t="s">
        <v>11</v>
      </c>
      <c r="F51" s="4" t="s">
        <v>12</v>
      </c>
      <c r="G51" s="4">
        <v>0</v>
      </c>
      <c r="H51" s="4"/>
      <c r="I51" s="4"/>
      <c r="J51" s="4"/>
      <c r="K51" s="4"/>
      <c r="L51" s="4"/>
      <c r="M51" s="4"/>
      <c r="N51" s="4"/>
      <c r="O51" s="4"/>
      <c r="P51" s="4"/>
    </row>
    <row r="52" spans="1:16" x14ac:dyDescent="0.3">
      <c r="A52" s="5" t="s">
        <v>534</v>
      </c>
      <c r="B52" s="5" t="s">
        <v>535</v>
      </c>
      <c r="C52" s="5" t="s">
        <v>244</v>
      </c>
      <c r="D52" s="5"/>
      <c r="E52" s="5" t="s">
        <v>139</v>
      </c>
      <c r="F52" s="5" t="s">
        <v>12</v>
      </c>
      <c r="G52" s="5">
        <v>0</v>
      </c>
      <c r="H52" s="5"/>
      <c r="I52" s="5"/>
      <c r="J52" s="5"/>
      <c r="K52" s="5"/>
      <c r="L52" s="5"/>
      <c r="M52" s="5"/>
      <c r="N52" s="5"/>
      <c r="O52" s="5"/>
      <c r="P52" s="5"/>
    </row>
    <row r="53" spans="1:16" x14ac:dyDescent="0.3">
      <c r="A53" s="5" t="s">
        <v>534</v>
      </c>
      <c r="B53" s="5" t="s">
        <v>535</v>
      </c>
      <c r="C53" s="5" t="s">
        <v>536</v>
      </c>
      <c r="D53" s="5" t="s">
        <v>537</v>
      </c>
      <c r="E53" s="5" t="s">
        <v>11</v>
      </c>
      <c r="F53" s="5" t="s">
        <v>12</v>
      </c>
      <c r="G53" s="5">
        <v>0</v>
      </c>
      <c r="H53" s="5"/>
      <c r="I53" s="5"/>
      <c r="J53" s="5"/>
      <c r="K53" s="5"/>
      <c r="L53" s="5"/>
      <c r="M53" s="5"/>
      <c r="N53" s="5"/>
      <c r="O53" s="5"/>
      <c r="P53" s="5"/>
    </row>
    <row r="54" spans="1:16" x14ac:dyDescent="0.3">
      <c r="A54" s="4" t="s">
        <v>538</v>
      </c>
      <c r="B54" s="4" t="s">
        <v>539</v>
      </c>
      <c r="C54" s="4" t="s">
        <v>27</v>
      </c>
      <c r="D54" s="4"/>
      <c r="E54" s="4" t="s">
        <v>139</v>
      </c>
      <c r="F54" s="4" t="s">
        <v>12</v>
      </c>
      <c r="G54" s="4">
        <v>0</v>
      </c>
      <c r="H54" s="4"/>
      <c r="I54" s="4"/>
      <c r="J54" s="4"/>
      <c r="K54" s="4"/>
      <c r="L54" s="4"/>
      <c r="M54" s="4"/>
      <c r="N54" s="4"/>
      <c r="O54" s="4"/>
      <c r="P54" s="4"/>
    </row>
    <row r="55" spans="1:16" x14ac:dyDescent="0.3">
      <c r="A55" s="4" t="s">
        <v>538</v>
      </c>
      <c r="B55" s="4" t="s">
        <v>539</v>
      </c>
      <c r="C55" s="4" t="s">
        <v>540</v>
      </c>
      <c r="D55" s="4" t="s">
        <v>541</v>
      </c>
      <c r="E55" s="4" t="s">
        <v>11</v>
      </c>
      <c r="F55" s="4" t="s">
        <v>12</v>
      </c>
      <c r="G55" s="4">
        <v>0</v>
      </c>
      <c r="H55" s="4"/>
      <c r="I55" s="4"/>
      <c r="J55" s="4"/>
      <c r="K55" s="4"/>
      <c r="L55" s="4"/>
      <c r="M55" s="4"/>
      <c r="N55" s="4"/>
      <c r="O55" s="4"/>
      <c r="P55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P146"/>
  <sheetViews>
    <sheetView topLeftCell="F1" workbookViewId="0">
      <pane ySplit="1" topLeftCell="A125" activePane="bottomLeft" state="frozen"/>
      <selection pane="bottomLeft" activeCell="P150" sqref="P150"/>
    </sheetView>
  </sheetViews>
  <sheetFormatPr baseColWidth="10" defaultColWidth="8.88671875" defaultRowHeight="14.4" x14ac:dyDescent="0.3"/>
  <cols>
    <col min="1" max="1" width="17.6640625" bestFit="1" customWidth="1"/>
    <col min="2" max="2" width="32.109375" bestFit="1" customWidth="1"/>
    <col min="3" max="3" width="14.44140625" bestFit="1" customWidth="1"/>
    <col min="4" max="4" width="9.6640625" bestFit="1" customWidth="1"/>
    <col min="5" max="5" width="8.33203125" bestFit="1" customWidth="1"/>
    <col min="6" max="6" width="19.33203125" bestFit="1" customWidth="1"/>
    <col min="7" max="7" width="18.88671875" bestFit="1" customWidth="1"/>
    <col min="8" max="14" width="18.88671875" customWidth="1"/>
    <col min="15" max="15" width="6.77734375" customWidth="1"/>
    <col min="16" max="17" width="4.88671875" bestFit="1" customWidth="1"/>
    <col min="18" max="20" width="4.88671875" customWidth="1"/>
    <col min="21" max="68" width="4.88671875" bestFit="1" customWidth="1"/>
  </cols>
  <sheetData>
    <row r="1" spans="1:6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  <c r="V1" s="1">
        <v>2024</v>
      </c>
      <c r="W1" s="1">
        <v>2025</v>
      </c>
      <c r="X1" s="1">
        <v>2026</v>
      </c>
      <c r="Y1" s="1">
        <v>2027</v>
      </c>
      <c r="Z1" s="1">
        <v>2028</v>
      </c>
      <c r="AA1" s="1">
        <v>2029</v>
      </c>
      <c r="AB1" s="1">
        <v>2030</v>
      </c>
      <c r="AC1" s="1">
        <v>2031</v>
      </c>
      <c r="AD1" s="1">
        <v>2032</v>
      </c>
      <c r="AE1" s="1">
        <v>2033</v>
      </c>
      <c r="AF1" s="1">
        <v>2034</v>
      </c>
      <c r="AG1" s="1">
        <v>2035</v>
      </c>
      <c r="AH1" s="1">
        <v>2036</v>
      </c>
      <c r="AI1" s="1">
        <v>2037</v>
      </c>
      <c r="AJ1" s="1">
        <v>2038</v>
      </c>
      <c r="AK1" s="1">
        <v>2039</v>
      </c>
      <c r="AL1" s="1">
        <v>2040</v>
      </c>
      <c r="AM1" s="1">
        <v>2041</v>
      </c>
      <c r="AN1" s="1">
        <v>2042</v>
      </c>
      <c r="AO1" s="1">
        <v>2043</v>
      </c>
      <c r="AP1" s="1">
        <v>2044</v>
      </c>
      <c r="AQ1" s="1">
        <v>2045</v>
      </c>
      <c r="AR1" s="1">
        <v>2046</v>
      </c>
      <c r="AS1" s="1">
        <v>2047</v>
      </c>
      <c r="AT1" s="1">
        <v>2048</v>
      </c>
      <c r="AU1" s="1">
        <v>2049</v>
      </c>
      <c r="AV1" s="1">
        <v>2050</v>
      </c>
      <c r="AW1" s="1">
        <v>2051</v>
      </c>
      <c r="AX1" s="1">
        <v>2052</v>
      </c>
      <c r="AY1" s="1">
        <v>2053</v>
      </c>
      <c r="AZ1" s="1">
        <v>2054</v>
      </c>
      <c r="BA1" s="1">
        <v>2055</v>
      </c>
      <c r="BB1" s="1">
        <v>2056</v>
      </c>
      <c r="BC1" s="1">
        <v>2057</v>
      </c>
      <c r="BD1" s="1">
        <v>2058</v>
      </c>
      <c r="BE1" s="1">
        <v>2059</v>
      </c>
      <c r="BF1" s="1">
        <v>2060</v>
      </c>
      <c r="BG1" s="1">
        <v>2061</v>
      </c>
      <c r="BH1" s="1">
        <v>2062</v>
      </c>
      <c r="BI1" s="1">
        <v>2063</v>
      </c>
      <c r="BJ1" s="1">
        <v>2064</v>
      </c>
      <c r="BK1" s="1">
        <v>2065</v>
      </c>
      <c r="BL1" s="1">
        <v>2066</v>
      </c>
      <c r="BM1" s="1">
        <v>2067</v>
      </c>
      <c r="BN1" s="1">
        <v>2068</v>
      </c>
      <c r="BO1" s="1">
        <v>2069</v>
      </c>
      <c r="BP1" s="1">
        <v>2070</v>
      </c>
    </row>
    <row r="2" spans="1:68" x14ac:dyDescent="0.3">
      <c r="A2" s="4" t="s">
        <v>542</v>
      </c>
      <c r="B2" s="4" t="s">
        <v>543</v>
      </c>
      <c r="C2" s="4" t="s">
        <v>436</v>
      </c>
      <c r="D2" s="4"/>
      <c r="E2" s="4" t="s">
        <v>139</v>
      </c>
      <c r="F2" s="4" t="s">
        <v>140</v>
      </c>
      <c r="G2" s="4">
        <v>0</v>
      </c>
      <c r="H2" s="4">
        <v>1.42415</v>
      </c>
      <c r="I2" s="4">
        <v>1.42415</v>
      </c>
      <c r="J2" s="4">
        <v>1.42415</v>
      </c>
      <c r="K2" s="4">
        <v>1.42415</v>
      </c>
      <c r="L2" s="4">
        <v>1.42415</v>
      </c>
      <c r="M2" s="4">
        <v>1.42415</v>
      </c>
      <c r="N2" s="4">
        <v>1.42415</v>
      </c>
      <c r="O2" s="4">
        <v>1.42415</v>
      </c>
      <c r="P2" s="4">
        <v>1.42415</v>
      </c>
      <c r="Q2">
        <v>1.4109499999999999</v>
      </c>
      <c r="R2">
        <v>1.3913599999999999</v>
      </c>
      <c r="S2">
        <v>1.36633</v>
      </c>
      <c r="T2">
        <v>1.3545199999999999</v>
      </c>
      <c r="U2">
        <v>1.3368500000000001</v>
      </c>
      <c r="V2">
        <v>1.3138000000000001</v>
      </c>
      <c r="W2">
        <v>1.2970999999999999</v>
      </c>
      <c r="X2">
        <v>1.2808200000000001</v>
      </c>
      <c r="Y2">
        <v>1.26532</v>
      </c>
      <c r="Z2">
        <v>1.24986</v>
      </c>
      <c r="AA2">
        <v>1.2369600000000001</v>
      </c>
      <c r="AB2">
        <v>1.22041</v>
      </c>
      <c r="AC2">
        <v>1.20949</v>
      </c>
      <c r="AD2">
        <v>1.1992700000000001</v>
      </c>
      <c r="AE2">
        <v>1.1886099999999999</v>
      </c>
      <c r="AF2">
        <v>1.1721200000000001</v>
      </c>
      <c r="AG2">
        <v>1.1677</v>
      </c>
      <c r="AH2">
        <v>1.1504700000000001</v>
      </c>
      <c r="AI2">
        <v>1.13961</v>
      </c>
      <c r="AJ2">
        <v>1.12896</v>
      </c>
      <c r="AK2">
        <v>1.1203099999999999</v>
      </c>
      <c r="AL2">
        <v>1.1117999999999999</v>
      </c>
      <c r="AM2">
        <v>1.0973999999999999</v>
      </c>
      <c r="AN2">
        <v>1.08918</v>
      </c>
      <c r="AO2">
        <v>1.08108</v>
      </c>
      <c r="AP2">
        <v>1.0731200000000001</v>
      </c>
      <c r="AQ2">
        <v>1.0656399999999999</v>
      </c>
      <c r="AR2">
        <v>1.05793</v>
      </c>
      <c r="AS2">
        <v>1.05033</v>
      </c>
      <c r="AT2">
        <v>1.0428599999999999</v>
      </c>
      <c r="AU2">
        <v>1.0378099999999999</v>
      </c>
      <c r="AV2">
        <v>1.0267999999999999</v>
      </c>
      <c r="AW2">
        <v>1.0278700000000001</v>
      </c>
      <c r="AX2">
        <v>1.02261</v>
      </c>
      <c r="AY2">
        <v>1.0174000000000001</v>
      </c>
      <c r="AZ2">
        <v>1.0063299999999999</v>
      </c>
      <c r="BA2">
        <v>1.00752</v>
      </c>
      <c r="BB2">
        <v>0.99656999999999996</v>
      </c>
      <c r="BC2">
        <v>0.99160000000000004</v>
      </c>
      <c r="BD2">
        <v>0.99287999999999998</v>
      </c>
      <c r="BE2">
        <v>0.99007000000000001</v>
      </c>
      <c r="BF2">
        <v>0.98143000000000002</v>
      </c>
      <c r="BG2">
        <v>0.97867000000000004</v>
      </c>
      <c r="BH2">
        <v>0.97592999999999996</v>
      </c>
      <c r="BI2">
        <v>0.97319999999999995</v>
      </c>
      <c r="BJ2">
        <v>0.97048000000000001</v>
      </c>
      <c r="BK2">
        <v>0.96777999999999997</v>
      </c>
      <c r="BL2">
        <v>0.97121000000000002</v>
      </c>
      <c r="BM2">
        <v>0.96275999999999995</v>
      </c>
      <c r="BN2">
        <v>0.96009999999999995</v>
      </c>
      <c r="BO2">
        <v>0.95679999999999998</v>
      </c>
      <c r="BP2">
        <v>0.95352000000000003</v>
      </c>
    </row>
    <row r="3" spans="1:68" x14ac:dyDescent="0.3">
      <c r="A3" s="10" t="s">
        <v>542</v>
      </c>
      <c r="B3" s="10" t="s">
        <v>543</v>
      </c>
      <c r="C3" s="10" t="s">
        <v>448</v>
      </c>
      <c r="D3" s="10"/>
      <c r="E3" s="10" t="s">
        <v>139</v>
      </c>
      <c r="F3" s="10" t="s">
        <v>140</v>
      </c>
      <c r="G3" s="10">
        <v>0</v>
      </c>
      <c r="H3" s="4">
        <v>0.65488999999999997</v>
      </c>
      <c r="I3" s="4">
        <v>0.65488999999999997</v>
      </c>
      <c r="J3" s="4">
        <v>0.65488999999999997</v>
      </c>
      <c r="K3" s="4">
        <v>0.65488999999999997</v>
      </c>
      <c r="L3" s="4">
        <v>0.65488999999999997</v>
      </c>
      <c r="M3" s="4">
        <v>0.65488999999999997</v>
      </c>
      <c r="N3" s="4">
        <v>0.65488999999999997</v>
      </c>
      <c r="O3" s="4">
        <v>0.65488999999999997</v>
      </c>
      <c r="P3" s="4">
        <v>0.65488999999999997</v>
      </c>
      <c r="Q3">
        <v>0.65841000000000005</v>
      </c>
      <c r="R3">
        <v>0.66364000000000001</v>
      </c>
      <c r="S3">
        <v>0.67030999999999996</v>
      </c>
      <c r="T3">
        <v>0.67345999999999995</v>
      </c>
      <c r="U3">
        <v>0.67817000000000005</v>
      </c>
      <c r="V3">
        <v>0.68432000000000004</v>
      </c>
      <c r="W3">
        <v>0.68876999999999999</v>
      </c>
      <c r="X3">
        <v>0.69311</v>
      </c>
      <c r="Y3">
        <v>0.69725000000000004</v>
      </c>
      <c r="Z3">
        <v>0.70137000000000005</v>
      </c>
      <c r="AA3">
        <v>0.70481000000000005</v>
      </c>
      <c r="AB3">
        <v>0.70921999999999996</v>
      </c>
      <c r="AC3">
        <v>0.71214</v>
      </c>
      <c r="AD3">
        <v>0.71486000000000005</v>
      </c>
      <c r="AE3">
        <v>0.71770999999999996</v>
      </c>
      <c r="AF3">
        <v>0.72209999999999996</v>
      </c>
      <c r="AG3">
        <v>0.72328000000000003</v>
      </c>
      <c r="AH3">
        <v>0.72787000000000002</v>
      </c>
      <c r="AI3">
        <v>0.73077000000000003</v>
      </c>
      <c r="AJ3">
        <v>0.73360999999999998</v>
      </c>
      <c r="AK3">
        <v>0.73592000000000002</v>
      </c>
      <c r="AL3">
        <v>0.73819000000000001</v>
      </c>
      <c r="AM3">
        <v>0.74202999999999997</v>
      </c>
      <c r="AN3">
        <v>0.74421999999999999</v>
      </c>
      <c r="AO3">
        <v>0.74638000000000004</v>
      </c>
      <c r="AP3">
        <v>0.74850000000000005</v>
      </c>
      <c r="AQ3">
        <v>0.75049999999999994</v>
      </c>
      <c r="AR3">
        <v>0.75255000000000005</v>
      </c>
      <c r="AS3">
        <v>0.75458000000000003</v>
      </c>
      <c r="AT3">
        <v>0.75656999999999996</v>
      </c>
      <c r="AU3">
        <v>0.75792000000000004</v>
      </c>
      <c r="AV3">
        <v>0.76085000000000003</v>
      </c>
      <c r="AW3">
        <v>0.76056999999999997</v>
      </c>
      <c r="AX3">
        <v>0.76197000000000004</v>
      </c>
      <c r="AY3">
        <v>0.76336000000000004</v>
      </c>
      <c r="AZ3">
        <v>0.76631000000000005</v>
      </c>
      <c r="BA3">
        <v>0.76600000000000001</v>
      </c>
      <c r="BB3">
        <v>0.76892000000000005</v>
      </c>
      <c r="BC3">
        <v>0.77024000000000004</v>
      </c>
      <c r="BD3">
        <v>0.76990000000000003</v>
      </c>
      <c r="BE3">
        <v>0.77064999999999995</v>
      </c>
      <c r="BF3">
        <v>0.77295000000000003</v>
      </c>
      <c r="BG3">
        <v>0.77368999999999999</v>
      </c>
      <c r="BH3">
        <v>0.77442</v>
      </c>
      <c r="BI3">
        <v>0.77515000000000001</v>
      </c>
      <c r="BJ3">
        <v>0.77586999999999995</v>
      </c>
      <c r="BK3">
        <v>0.77659</v>
      </c>
      <c r="BL3">
        <v>0.77568000000000004</v>
      </c>
      <c r="BM3">
        <v>0.77793000000000001</v>
      </c>
      <c r="BN3">
        <v>0.77864</v>
      </c>
      <c r="BO3">
        <v>0.77951999999999999</v>
      </c>
      <c r="BP3">
        <v>0.78039000000000003</v>
      </c>
    </row>
    <row r="4" spans="1:68" x14ac:dyDescent="0.3">
      <c r="A4" s="4" t="s">
        <v>542</v>
      </c>
      <c r="B4" s="4" t="s">
        <v>543</v>
      </c>
      <c r="C4" s="4" t="s">
        <v>544</v>
      </c>
      <c r="D4" s="4"/>
      <c r="E4" s="4" t="s">
        <v>11</v>
      </c>
      <c r="F4" s="4" t="s">
        <v>12</v>
      </c>
      <c r="G4" s="4">
        <v>0</v>
      </c>
      <c r="H4" s="4"/>
      <c r="I4" s="4"/>
      <c r="J4" s="4"/>
      <c r="K4" s="4"/>
      <c r="L4" s="4"/>
      <c r="M4" s="4"/>
      <c r="N4" s="4"/>
      <c r="O4" s="4"/>
      <c r="P4" s="4"/>
    </row>
    <row r="5" spans="1:68" x14ac:dyDescent="0.3">
      <c r="A5" s="19" t="s">
        <v>741</v>
      </c>
      <c r="B5" s="19" t="s">
        <v>742</v>
      </c>
      <c r="C5" s="20" t="s">
        <v>456</v>
      </c>
      <c r="D5" s="19"/>
      <c r="E5" s="19" t="s">
        <v>139</v>
      </c>
      <c r="F5" s="19" t="s">
        <v>743</v>
      </c>
      <c r="G5" s="5">
        <v>-0.7</v>
      </c>
      <c r="H5" s="5"/>
      <c r="I5" s="5"/>
      <c r="J5" s="5"/>
      <c r="K5" s="5"/>
      <c r="L5" s="5"/>
      <c r="M5" s="5"/>
      <c r="N5" s="5"/>
      <c r="O5" s="5"/>
      <c r="P5" s="5"/>
    </row>
    <row r="6" spans="1:68" x14ac:dyDescent="0.3">
      <c r="A6" s="19" t="s">
        <v>741</v>
      </c>
      <c r="B6" s="19" t="s">
        <v>742</v>
      </c>
      <c r="C6" s="19" t="s">
        <v>544</v>
      </c>
      <c r="D6" s="19"/>
      <c r="E6" s="19" t="s">
        <v>11</v>
      </c>
      <c r="F6" s="19" t="s">
        <v>12</v>
      </c>
      <c r="G6" s="5">
        <v>0</v>
      </c>
      <c r="H6" s="5"/>
      <c r="I6" s="5"/>
      <c r="J6" s="5"/>
      <c r="K6" s="5"/>
      <c r="L6" s="5"/>
      <c r="M6" s="5"/>
      <c r="N6" s="5"/>
      <c r="O6" s="5"/>
      <c r="P6" s="5"/>
    </row>
    <row r="7" spans="1:68" x14ac:dyDescent="0.3">
      <c r="A7" s="4" t="s">
        <v>545</v>
      </c>
      <c r="B7" s="4" t="s">
        <v>546</v>
      </c>
      <c r="C7" s="4" t="s">
        <v>444</v>
      </c>
      <c r="D7" s="4"/>
      <c r="E7" s="4" t="s">
        <v>139</v>
      </c>
      <c r="F7" s="4" t="s">
        <v>140</v>
      </c>
      <c r="G7" s="4">
        <v>0</v>
      </c>
      <c r="H7" s="4">
        <v>1.86</v>
      </c>
      <c r="I7" s="4">
        <v>1.86</v>
      </c>
      <c r="J7" s="4">
        <v>1.86</v>
      </c>
      <c r="K7" s="4">
        <v>1.86</v>
      </c>
      <c r="L7" s="4">
        <v>1.86</v>
      </c>
      <c r="M7" s="4">
        <v>1.86</v>
      </c>
      <c r="N7" s="4">
        <v>1.86</v>
      </c>
      <c r="O7" s="4">
        <v>1.86</v>
      </c>
      <c r="P7" s="4">
        <v>1.86</v>
      </c>
      <c r="Q7">
        <v>1.86</v>
      </c>
      <c r="R7">
        <v>1.86</v>
      </c>
      <c r="S7">
        <v>1.86</v>
      </c>
      <c r="T7">
        <v>1.84</v>
      </c>
      <c r="U7">
        <v>1.83</v>
      </c>
      <c r="V7">
        <v>1.82</v>
      </c>
      <c r="W7">
        <v>1.8</v>
      </c>
      <c r="X7">
        <v>1.78</v>
      </c>
      <c r="Y7">
        <v>1.77</v>
      </c>
      <c r="Z7">
        <v>1.76</v>
      </c>
      <c r="AA7">
        <v>1.74</v>
      </c>
      <c r="AB7">
        <v>1.72</v>
      </c>
      <c r="AC7">
        <v>1.71</v>
      </c>
      <c r="AD7">
        <v>1.69</v>
      </c>
      <c r="AE7">
        <v>1.69</v>
      </c>
      <c r="AF7">
        <v>1.67</v>
      </c>
      <c r="AG7">
        <v>1.65</v>
      </c>
      <c r="AH7">
        <v>1.61</v>
      </c>
      <c r="AI7">
        <v>1.6</v>
      </c>
      <c r="AJ7">
        <v>1.59</v>
      </c>
      <c r="AK7">
        <v>1.57</v>
      </c>
      <c r="AL7">
        <v>1.56</v>
      </c>
      <c r="AM7">
        <v>1.54</v>
      </c>
      <c r="AN7">
        <v>1.54</v>
      </c>
      <c r="AO7">
        <v>1.52</v>
      </c>
      <c r="AP7">
        <v>1.51</v>
      </c>
      <c r="AQ7">
        <v>1.48</v>
      </c>
      <c r="AR7">
        <v>1.46</v>
      </c>
      <c r="AS7">
        <v>1.45</v>
      </c>
      <c r="AT7">
        <v>1.44</v>
      </c>
      <c r="AU7">
        <v>1.42</v>
      </c>
      <c r="AV7">
        <v>1.41</v>
      </c>
      <c r="AW7">
        <f>AV7</f>
        <v>1.41</v>
      </c>
      <c r="AX7">
        <f t="shared" ref="AX7:BP7" si="0">AW7</f>
        <v>1.41</v>
      </c>
      <c r="AY7">
        <f t="shared" si="0"/>
        <v>1.41</v>
      </c>
      <c r="AZ7">
        <f t="shared" si="0"/>
        <v>1.41</v>
      </c>
      <c r="BA7">
        <f t="shared" si="0"/>
        <v>1.41</v>
      </c>
      <c r="BB7">
        <f t="shared" si="0"/>
        <v>1.41</v>
      </c>
      <c r="BC7">
        <f t="shared" si="0"/>
        <v>1.41</v>
      </c>
      <c r="BD7">
        <f t="shared" si="0"/>
        <v>1.41</v>
      </c>
      <c r="BE7">
        <f t="shared" si="0"/>
        <v>1.41</v>
      </c>
      <c r="BF7">
        <f t="shared" si="0"/>
        <v>1.41</v>
      </c>
      <c r="BG7">
        <f t="shared" si="0"/>
        <v>1.41</v>
      </c>
      <c r="BH7">
        <f t="shared" si="0"/>
        <v>1.41</v>
      </c>
      <c r="BI7">
        <f t="shared" si="0"/>
        <v>1.41</v>
      </c>
      <c r="BJ7">
        <f t="shared" si="0"/>
        <v>1.41</v>
      </c>
      <c r="BK7">
        <f t="shared" si="0"/>
        <v>1.41</v>
      </c>
      <c r="BL7">
        <f t="shared" si="0"/>
        <v>1.41</v>
      </c>
      <c r="BM7">
        <f t="shared" si="0"/>
        <v>1.41</v>
      </c>
      <c r="BN7">
        <f t="shared" si="0"/>
        <v>1.41</v>
      </c>
      <c r="BO7">
        <f t="shared" si="0"/>
        <v>1.41</v>
      </c>
      <c r="BP7">
        <f t="shared" si="0"/>
        <v>1.41</v>
      </c>
    </row>
    <row r="8" spans="1:68" x14ac:dyDescent="0.3">
      <c r="A8" s="4" t="s">
        <v>545</v>
      </c>
      <c r="B8" s="4" t="s">
        <v>546</v>
      </c>
      <c r="C8" s="4" t="s">
        <v>544</v>
      </c>
      <c r="D8" s="4"/>
      <c r="E8" s="4" t="s">
        <v>11</v>
      </c>
      <c r="F8" s="4" t="s">
        <v>12</v>
      </c>
      <c r="G8" s="4">
        <v>0</v>
      </c>
      <c r="H8" s="4"/>
      <c r="I8" s="4"/>
      <c r="J8" s="4"/>
      <c r="K8" s="4"/>
      <c r="L8" s="4"/>
      <c r="M8" s="4"/>
      <c r="N8" s="4"/>
      <c r="O8" s="4"/>
      <c r="P8" s="4"/>
    </row>
    <row r="9" spans="1:68" x14ac:dyDescent="0.3">
      <c r="A9" s="5" t="s">
        <v>547</v>
      </c>
      <c r="B9" s="5" t="s">
        <v>548</v>
      </c>
      <c r="C9" s="5" t="s">
        <v>448</v>
      </c>
      <c r="D9" s="5"/>
      <c r="E9" s="5" t="s">
        <v>139</v>
      </c>
      <c r="F9" s="5" t="s">
        <v>140</v>
      </c>
      <c r="G9" s="5">
        <v>0</v>
      </c>
      <c r="H9" s="5">
        <v>0.75</v>
      </c>
      <c r="I9" s="5">
        <v>0.75</v>
      </c>
      <c r="J9" s="5">
        <v>0.75</v>
      </c>
      <c r="K9" s="5">
        <v>0.75</v>
      </c>
      <c r="L9" s="5">
        <v>0.75</v>
      </c>
      <c r="M9" s="5">
        <v>0.75</v>
      </c>
      <c r="N9" s="5">
        <v>0.75</v>
      </c>
      <c r="O9" s="5">
        <v>0.75</v>
      </c>
      <c r="P9" s="5">
        <v>0.75</v>
      </c>
      <c r="Q9">
        <v>0.72</v>
      </c>
      <c r="R9">
        <v>0.72</v>
      </c>
      <c r="S9">
        <v>0.71</v>
      </c>
      <c r="T9">
        <v>0.71</v>
      </c>
      <c r="U9">
        <v>0.71</v>
      </c>
      <c r="V9">
        <v>0.71</v>
      </c>
      <c r="W9">
        <v>0.71</v>
      </c>
      <c r="X9">
        <v>0.7</v>
      </c>
      <c r="Y9">
        <v>0.7</v>
      </c>
      <c r="Z9">
        <v>0.7</v>
      </c>
      <c r="AA9">
        <v>0.7</v>
      </c>
      <c r="AB9">
        <v>0.68</v>
      </c>
      <c r="AC9">
        <v>0.68</v>
      </c>
      <c r="AD9">
        <v>0.68</v>
      </c>
      <c r="AE9">
        <v>0.68</v>
      </c>
      <c r="AF9">
        <v>0.67</v>
      </c>
      <c r="AG9">
        <v>0.65</v>
      </c>
      <c r="AH9">
        <v>0.64</v>
      </c>
      <c r="AI9">
        <v>0.64</v>
      </c>
      <c r="AJ9">
        <v>0.64</v>
      </c>
      <c r="AK9">
        <v>0.64</v>
      </c>
      <c r="AL9">
        <v>0.64</v>
      </c>
      <c r="AM9">
        <v>0.63</v>
      </c>
      <c r="AN9">
        <v>0.63</v>
      </c>
      <c r="AO9">
        <v>0.63</v>
      </c>
      <c r="AP9">
        <v>0.63</v>
      </c>
      <c r="AQ9">
        <v>0.61</v>
      </c>
      <c r="AR9">
        <v>0.6</v>
      </c>
      <c r="AS9">
        <v>0.6</v>
      </c>
      <c r="AT9">
        <v>0.6</v>
      </c>
      <c r="AU9">
        <v>0.6</v>
      </c>
      <c r="AV9">
        <v>0.59</v>
      </c>
      <c r="AW9">
        <f>AV9</f>
        <v>0.59</v>
      </c>
      <c r="AX9">
        <f t="shared" ref="AX9:BP9" si="1">AW9</f>
        <v>0.59</v>
      </c>
      <c r="AY9">
        <f t="shared" si="1"/>
        <v>0.59</v>
      </c>
      <c r="AZ9">
        <f t="shared" si="1"/>
        <v>0.59</v>
      </c>
      <c r="BA9">
        <f t="shared" si="1"/>
        <v>0.59</v>
      </c>
      <c r="BB9">
        <f t="shared" si="1"/>
        <v>0.59</v>
      </c>
      <c r="BC9">
        <f t="shared" si="1"/>
        <v>0.59</v>
      </c>
      <c r="BD9">
        <f t="shared" si="1"/>
        <v>0.59</v>
      </c>
      <c r="BE9">
        <f t="shared" si="1"/>
        <v>0.59</v>
      </c>
      <c r="BF9">
        <f t="shared" si="1"/>
        <v>0.59</v>
      </c>
      <c r="BG9">
        <f t="shared" si="1"/>
        <v>0.59</v>
      </c>
      <c r="BH9">
        <f t="shared" si="1"/>
        <v>0.59</v>
      </c>
      <c r="BI9">
        <f t="shared" si="1"/>
        <v>0.59</v>
      </c>
      <c r="BJ9">
        <f t="shared" si="1"/>
        <v>0.59</v>
      </c>
      <c r="BK9">
        <f t="shared" si="1"/>
        <v>0.59</v>
      </c>
      <c r="BL9">
        <f t="shared" si="1"/>
        <v>0.59</v>
      </c>
      <c r="BM9">
        <f t="shared" si="1"/>
        <v>0.59</v>
      </c>
      <c r="BN9">
        <f t="shared" si="1"/>
        <v>0.59</v>
      </c>
      <c r="BO9">
        <f t="shared" si="1"/>
        <v>0.59</v>
      </c>
      <c r="BP9">
        <f t="shared" si="1"/>
        <v>0.59</v>
      </c>
    </row>
    <row r="10" spans="1:68" x14ac:dyDescent="0.3">
      <c r="A10" s="5" t="s">
        <v>547</v>
      </c>
      <c r="B10" s="5" t="s">
        <v>548</v>
      </c>
      <c r="C10" s="5" t="s">
        <v>544</v>
      </c>
      <c r="D10" s="5"/>
      <c r="E10" s="5" t="s">
        <v>11</v>
      </c>
      <c r="F10" s="5" t="s">
        <v>12</v>
      </c>
      <c r="G10" s="5">
        <v>0</v>
      </c>
      <c r="H10" s="5"/>
      <c r="I10" s="5"/>
      <c r="J10" s="5"/>
      <c r="K10" s="5"/>
      <c r="L10" s="5"/>
      <c r="M10" s="5"/>
      <c r="N10" s="5"/>
      <c r="O10" s="5"/>
      <c r="P10" s="5"/>
    </row>
    <row r="11" spans="1:68" x14ac:dyDescent="0.3">
      <c r="A11" s="21" t="s">
        <v>549</v>
      </c>
      <c r="B11" s="21" t="s">
        <v>550</v>
      </c>
      <c r="C11" s="21" t="s">
        <v>436</v>
      </c>
      <c r="D11" s="21"/>
      <c r="E11" s="21" t="s">
        <v>139</v>
      </c>
      <c r="F11" s="21" t="s">
        <v>140</v>
      </c>
      <c r="G11" s="4">
        <v>0</v>
      </c>
      <c r="H11" s="4">
        <v>3.88</v>
      </c>
      <c r="I11" s="4">
        <v>3.88</v>
      </c>
      <c r="J11" s="4">
        <v>3.88</v>
      </c>
      <c r="K11" s="4">
        <v>3.88</v>
      </c>
      <c r="L11" s="4">
        <v>3.88</v>
      </c>
      <c r="M11" s="4">
        <v>3.88</v>
      </c>
      <c r="N11" s="4">
        <v>3.88</v>
      </c>
      <c r="O11" s="4">
        <v>3.88</v>
      </c>
      <c r="P11" s="4">
        <v>3.88</v>
      </c>
      <c r="Q11">
        <v>3.88</v>
      </c>
      <c r="R11">
        <v>3.88</v>
      </c>
      <c r="S11">
        <v>3.88</v>
      </c>
      <c r="T11">
        <v>3.85</v>
      </c>
      <c r="U11">
        <v>3.83</v>
      </c>
      <c r="V11">
        <v>3.8</v>
      </c>
      <c r="W11">
        <v>3.77</v>
      </c>
      <c r="X11">
        <v>3.75</v>
      </c>
      <c r="Y11">
        <v>3.73</v>
      </c>
      <c r="Z11">
        <v>3.7</v>
      </c>
      <c r="AA11">
        <v>3.68</v>
      </c>
      <c r="AB11">
        <v>3.56</v>
      </c>
      <c r="AC11">
        <v>3.45</v>
      </c>
      <c r="AD11">
        <v>3.35</v>
      </c>
      <c r="AE11">
        <v>3.25</v>
      </c>
      <c r="AF11">
        <v>3.16</v>
      </c>
      <c r="AG11">
        <v>3.14</v>
      </c>
      <c r="AH11">
        <v>3.11</v>
      </c>
      <c r="AI11">
        <v>3.09</v>
      </c>
      <c r="AJ11">
        <v>3.07</v>
      </c>
      <c r="AK11">
        <v>3.05</v>
      </c>
      <c r="AL11">
        <v>3.03</v>
      </c>
      <c r="AM11">
        <v>3.01</v>
      </c>
      <c r="AN11">
        <v>2.99</v>
      </c>
      <c r="AO11">
        <v>2.97</v>
      </c>
      <c r="AP11">
        <v>2.95</v>
      </c>
      <c r="AQ11">
        <v>2.93</v>
      </c>
      <c r="AR11">
        <v>2.91</v>
      </c>
      <c r="AS11">
        <v>2.89</v>
      </c>
      <c r="AT11">
        <v>2.87</v>
      </c>
      <c r="AU11">
        <v>2.85</v>
      </c>
      <c r="AV11">
        <v>2.83</v>
      </c>
      <c r="AW11">
        <f>AV11</f>
        <v>2.83</v>
      </c>
      <c r="AX11">
        <f t="shared" ref="AX11:BP11" si="2">AW11</f>
        <v>2.83</v>
      </c>
      <c r="AY11">
        <f t="shared" si="2"/>
        <v>2.83</v>
      </c>
      <c r="AZ11">
        <f t="shared" si="2"/>
        <v>2.83</v>
      </c>
      <c r="BA11">
        <f t="shared" si="2"/>
        <v>2.83</v>
      </c>
      <c r="BB11">
        <f t="shared" si="2"/>
        <v>2.83</v>
      </c>
      <c r="BC11">
        <f t="shared" si="2"/>
        <v>2.83</v>
      </c>
      <c r="BD11">
        <f t="shared" si="2"/>
        <v>2.83</v>
      </c>
      <c r="BE11">
        <f t="shared" si="2"/>
        <v>2.83</v>
      </c>
      <c r="BF11">
        <f t="shared" si="2"/>
        <v>2.83</v>
      </c>
      <c r="BG11">
        <f t="shared" si="2"/>
        <v>2.83</v>
      </c>
      <c r="BH11">
        <f t="shared" si="2"/>
        <v>2.83</v>
      </c>
      <c r="BI11">
        <f t="shared" si="2"/>
        <v>2.83</v>
      </c>
      <c r="BJ11">
        <f t="shared" si="2"/>
        <v>2.83</v>
      </c>
      <c r="BK11">
        <f t="shared" si="2"/>
        <v>2.83</v>
      </c>
      <c r="BL11">
        <f t="shared" si="2"/>
        <v>2.83</v>
      </c>
      <c r="BM11">
        <f t="shared" si="2"/>
        <v>2.83</v>
      </c>
      <c r="BN11">
        <f t="shared" si="2"/>
        <v>2.83</v>
      </c>
      <c r="BO11">
        <f t="shared" si="2"/>
        <v>2.83</v>
      </c>
      <c r="BP11">
        <f t="shared" si="2"/>
        <v>2.83</v>
      </c>
    </row>
    <row r="12" spans="1:68" x14ac:dyDescent="0.3">
      <c r="A12" s="21" t="s">
        <v>549</v>
      </c>
      <c r="B12" s="21" t="s">
        <v>550</v>
      </c>
      <c r="C12" s="21" t="s">
        <v>544</v>
      </c>
      <c r="D12" s="21"/>
      <c r="E12" s="21" t="s">
        <v>11</v>
      </c>
      <c r="F12" s="21" t="s">
        <v>12</v>
      </c>
      <c r="G12" s="4">
        <v>0</v>
      </c>
      <c r="H12" s="4"/>
      <c r="I12" s="4"/>
      <c r="J12" s="4"/>
      <c r="K12" s="4"/>
      <c r="L12" s="4"/>
      <c r="M12" s="4"/>
      <c r="N12" s="4"/>
      <c r="O12" s="4"/>
      <c r="P12" s="4"/>
    </row>
    <row r="13" spans="1:68" x14ac:dyDescent="0.3">
      <c r="A13" s="5" t="s">
        <v>551</v>
      </c>
      <c r="B13" s="5" t="s">
        <v>552</v>
      </c>
      <c r="C13" s="5" t="s">
        <v>452</v>
      </c>
      <c r="D13" s="5"/>
      <c r="E13" s="5" t="s">
        <v>139</v>
      </c>
      <c r="F13" s="5" t="s">
        <v>140</v>
      </c>
      <c r="G13" s="5">
        <v>0</v>
      </c>
      <c r="H13" s="8">
        <v>2.8</v>
      </c>
      <c r="I13" s="8">
        <v>2.8</v>
      </c>
      <c r="J13" s="8">
        <v>2.8</v>
      </c>
      <c r="K13" s="8">
        <v>2.8</v>
      </c>
      <c r="L13" s="8">
        <v>2.8</v>
      </c>
      <c r="M13" s="8">
        <v>2.8</v>
      </c>
      <c r="N13" s="8">
        <v>2.8</v>
      </c>
      <c r="O13" s="8">
        <v>2.8</v>
      </c>
      <c r="P13" s="8">
        <v>2.8</v>
      </c>
      <c r="Q13" s="9">
        <v>2.8</v>
      </c>
      <c r="R13" s="9">
        <v>2.8</v>
      </c>
      <c r="S13" s="9">
        <v>2.8</v>
      </c>
      <c r="T13" s="9">
        <v>2.78</v>
      </c>
      <c r="U13" s="9">
        <v>2.77</v>
      </c>
      <c r="V13" s="9">
        <v>2.75</v>
      </c>
      <c r="W13" s="9">
        <v>2.73</v>
      </c>
      <c r="X13" s="9">
        <v>2.71</v>
      </c>
      <c r="Y13" s="9">
        <v>2.7</v>
      </c>
      <c r="Z13" s="9">
        <v>2.68</v>
      </c>
      <c r="AA13" s="9">
        <v>2.66</v>
      </c>
      <c r="AB13" s="9">
        <v>2.58</v>
      </c>
      <c r="AC13" s="9">
        <v>2.5</v>
      </c>
      <c r="AD13" s="9">
        <v>2.42</v>
      </c>
      <c r="AE13" s="9">
        <v>2.35</v>
      </c>
      <c r="AF13" s="9">
        <v>2.2799999999999998</v>
      </c>
      <c r="AG13" s="9">
        <v>2.27</v>
      </c>
      <c r="AH13" s="9">
        <v>2.2599999999999998</v>
      </c>
      <c r="AI13" s="9">
        <v>2.2400000000000002</v>
      </c>
      <c r="AJ13" s="9">
        <v>2.2200000000000002</v>
      </c>
      <c r="AK13" s="9">
        <v>2.21</v>
      </c>
      <c r="AL13" s="9">
        <v>2.19</v>
      </c>
      <c r="AM13" s="9">
        <v>2.1800000000000002</v>
      </c>
      <c r="AN13" s="9">
        <v>2.16</v>
      </c>
      <c r="AO13" s="9">
        <v>2.15</v>
      </c>
      <c r="AP13" s="9">
        <v>2.14</v>
      </c>
      <c r="AQ13" s="9">
        <v>2.12</v>
      </c>
      <c r="AR13" s="9">
        <v>2.1</v>
      </c>
      <c r="AS13" s="9">
        <v>2.09</v>
      </c>
      <c r="AT13" s="9">
        <v>2.08</v>
      </c>
      <c r="AU13" s="9">
        <v>2.06</v>
      </c>
      <c r="AV13" s="9">
        <v>2.0499999999999998</v>
      </c>
      <c r="AW13">
        <f>AV13</f>
        <v>2.0499999999999998</v>
      </c>
      <c r="AX13">
        <f t="shared" ref="AX13:BP13" si="3">AW13</f>
        <v>2.0499999999999998</v>
      </c>
      <c r="AY13">
        <f t="shared" si="3"/>
        <v>2.0499999999999998</v>
      </c>
      <c r="AZ13">
        <f t="shared" si="3"/>
        <v>2.0499999999999998</v>
      </c>
      <c r="BA13">
        <f t="shared" si="3"/>
        <v>2.0499999999999998</v>
      </c>
      <c r="BB13">
        <f t="shared" si="3"/>
        <v>2.0499999999999998</v>
      </c>
      <c r="BC13">
        <f t="shared" si="3"/>
        <v>2.0499999999999998</v>
      </c>
      <c r="BD13">
        <f t="shared" si="3"/>
        <v>2.0499999999999998</v>
      </c>
      <c r="BE13">
        <f t="shared" si="3"/>
        <v>2.0499999999999998</v>
      </c>
      <c r="BF13">
        <f t="shared" si="3"/>
        <v>2.0499999999999998</v>
      </c>
      <c r="BG13">
        <f t="shared" si="3"/>
        <v>2.0499999999999998</v>
      </c>
      <c r="BH13">
        <f t="shared" si="3"/>
        <v>2.0499999999999998</v>
      </c>
      <c r="BI13">
        <f t="shared" si="3"/>
        <v>2.0499999999999998</v>
      </c>
      <c r="BJ13">
        <f t="shared" si="3"/>
        <v>2.0499999999999998</v>
      </c>
      <c r="BK13">
        <f t="shared" si="3"/>
        <v>2.0499999999999998</v>
      </c>
      <c r="BL13">
        <f t="shared" si="3"/>
        <v>2.0499999999999998</v>
      </c>
      <c r="BM13">
        <f t="shared" si="3"/>
        <v>2.0499999999999998</v>
      </c>
      <c r="BN13">
        <f t="shared" si="3"/>
        <v>2.0499999999999998</v>
      </c>
      <c r="BO13">
        <f t="shared" si="3"/>
        <v>2.0499999999999998</v>
      </c>
      <c r="BP13">
        <f t="shared" si="3"/>
        <v>2.0499999999999998</v>
      </c>
    </row>
    <row r="14" spans="1:68" x14ac:dyDescent="0.3">
      <c r="A14" s="5" t="s">
        <v>551</v>
      </c>
      <c r="B14" s="5" t="s">
        <v>552</v>
      </c>
      <c r="C14" s="5" t="s">
        <v>544</v>
      </c>
      <c r="D14" s="5"/>
      <c r="E14" s="5" t="s">
        <v>11</v>
      </c>
      <c r="F14" s="5" t="s">
        <v>12</v>
      </c>
      <c r="G14" s="5">
        <v>0</v>
      </c>
      <c r="H14" s="5"/>
      <c r="I14" s="5"/>
      <c r="J14" s="5"/>
      <c r="K14" s="5"/>
      <c r="L14" s="5"/>
      <c r="M14" s="5"/>
      <c r="N14" s="5"/>
      <c r="O14" s="5"/>
      <c r="P14" s="5"/>
    </row>
    <row r="15" spans="1:68" x14ac:dyDescent="0.3">
      <c r="A15" s="4" t="s">
        <v>553</v>
      </c>
      <c r="B15" s="4" t="s">
        <v>554</v>
      </c>
      <c r="C15" s="4" t="s">
        <v>436</v>
      </c>
      <c r="D15" s="4"/>
      <c r="E15" s="4" t="s">
        <v>139</v>
      </c>
      <c r="F15" s="4" t="s">
        <v>140</v>
      </c>
      <c r="G15" s="4">
        <v>0</v>
      </c>
      <c r="H15" s="4">
        <v>1.6337600000000001</v>
      </c>
      <c r="I15" s="4">
        <v>1.6337600000000001</v>
      </c>
      <c r="J15" s="4">
        <v>1.6337600000000001</v>
      </c>
      <c r="K15" s="4">
        <v>1.6337600000000001</v>
      </c>
      <c r="L15" s="4">
        <v>1.6337600000000001</v>
      </c>
      <c r="M15" s="4">
        <v>1.6337600000000001</v>
      </c>
      <c r="N15" s="4">
        <v>1.6337600000000001</v>
      </c>
      <c r="O15" s="4">
        <v>1.6337600000000001</v>
      </c>
      <c r="P15" s="4">
        <v>1.6337600000000001</v>
      </c>
      <c r="Q15">
        <v>1.6133999999999999</v>
      </c>
      <c r="R15">
        <v>1.5909899999999999</v>
      </c>
      <c r="S15">
        <v>1.5691900000000001</v>
      </c>
      <c r="T15">
        <v>1.55057</v>
      </c>
      <c r="U15">
        <v>1.5311900000000001</v>
      </c>
      <c r="V15">
        <v>1.5064900000000001</v>
      </c>
      <c r="W15">
        <v>1.4881899999999999</v>
      </c>
      <c r="X15">
        <v>1.46462</v>
      </c>
      <c r="Y15">
        <v>1.4485300000000001</v>
      </c>
      <c r="Z15">
        <v>1.4316500000000001</v>
      </c>
      <c r="AA15">
        <v>1.4120600000000001</v>
      </c>
      <c r="AB15">
        <v>1.3931100000000001</v>
      </c>
      <c r="AC15">
        <v>1.3789400000000001</v>
      </c>
      <c r="AD15">
        <v>1.3723000000000001</v>
      </c>
      <c r="AE15">
        <v>1.35151</v>
      </c>
      <c r="AF15">
        <v>1.3369500000000001</v>
      </c>
      <c r="AG15">
        <v>1.3274900000000001</v>
      </c>
      <c r="AH15">
        <v>1.3157000000000001</v>
      </c>
      <c r="AI15">
        <v>1.29806</v>
      </c>
      <c r="AJ15">
        <v>1.28677</v>
      </c>
      <c r="AK15">
        <v>1.27776</v>
      </c>
      <c r="AL15">
        <v>1.2688999999999999</v>
      </c>
      <c r="AM15">
        <v>1.25417</v>
      </c>
      <c r="AN15">
        <v>1.24563</v>
      </c>
      <c r="AO15">
        <v>1.23123</v>
      </c>
      <c r="AP15">
        <v>1.2230000000000001</v>
      </c>
      <c r="AQ15">
        <v>1.2161599999999999</v>
      </c>
      <c r="AR15">
        <v>1.2081999999999999</v>
      </c>
      <c r="AS15">
        <v>1.19438</v>
      </c>
      <c r="AT15">
        <v>1.1867000000000001</v>
      </c>
      <c r="AU15">
        <v>1.1817800000000001</v>
      </c>
      <c r="AV15">
        <v>1.17692</v>
      </c>
      <c r="AW15">
        <v>1.1721299999999999</v>
      </c>
      <c r="AX15">
        <v>1.1661300000000001</v>
      </c>
      <c r="AY15">
        <v>1.1601999999999999</v>
      </c>
      <c r="AZ15">
        <v>1.1484000000000001</v>
      </c>
      <c r="BA15">
        <v>1.14975</v>
      </c>
      <c r="BB15">
        <v>1.13809</v>
      </c>
      <c r="BC15">
        <v>1.1324099999999999</v>
      </c>
      <c r="BD15">
        <v>1.13388</v>
      </c>
      <c r="BE15">
        <v>1.1306700000000001</v>
      </c>
      <c r="BF15">
        <v>1.12164</v>
      </c>
      <c r="BG15">
        <v>1.1184799999999999</v>
      </c>
      <c r="BH15">
        <v>1.1153500000000001</v>
      </c>
      <c r="BI15">
        <v>1.1122300000000001</v>
      </c>
      <c r="BJ15">
        <v>1.1091200000000001</v>
      </c>
      <c r="BK15">
        <v>1.1060399999999999</v>
      </c>
      <c r="BL15">
        <v>1.1041700000000001</v>
      </c>
      <c r="BM15">
        <v>1.1011200000000001</v>
      </c>
      <c r="BN15">
        <v>1.0980799999999999</v>
      </c>
      <c r="BO15">
        <v>1.0943099999999999</v>
      </c>
      <c r="BP15">
        <v>1.09056</v>
      </c>
    </row>
    <row r="16" spans="1:68" x14ac:dyDescent="0.3">
      <c r="A16" s="10" t="s">
        <v>553</v>
      </c>
      <c r="B16" s="10" t="s">
        <v>554</v>
      </c>
      <c r="C16" s="10" t="s">
        <v>448</v>
      </c>
      <c r="D16" s="10"/>
      <c r="E16" s="10" t="s">
        <v>139</v>
      </c>
      <c r="F16" s="10" t="s">
        <v>140</v>
      </c>
      <c r="G16" s="10">
        <v>0</v>
      </c>
      <c r="H16" s="4">
        <v>0.77500000000000002</v>
      </c>
      <c r="I16" s="4">
        <v>0.77500000000000002</v>
      </c>
      <c r="J16" s="4">
        <v>0.77500000000000002</v>
      </c>
      <c r="K16" s="4">
        <v>0.77500000000000002</v>
      </c>
      <c r="L16" s="4">
        <v>0.77500000000000002</v>
      </c>
      <c r="M16" s="4">
        <v>0.77500000000000002</v>
      </c>
      <c r="N16" s="4">
        <v>0.77500000000000002</v>
      </c>
      <c r="O16" s="4">
        <v>0.77500000000000002</v>
      </c>
      <c r="P16" s="4">
        <v>0.77500000000000002</v>
      </c>
      <c r="Q16">
        <v>0.78042999999999996</v>
      </c>
      <c r="R16">
        <v>0.78639999999999999</v>
      </c>
      <c r="S16">
        <v>0.79222000000000004</v>
      </c>
      <c r="T16">
        <v>0.79718</v>
      </c>
      <c r="U16">
        <v>0.80235000000000001</v>
      </c>
      <c r="V16">
        <v>0.80893000000000004</v>
      </c>
      <c r="W16">
        <v>0.81381999999999999</v>
      </c>
      <c r="X16">
        <v>0.82010000000000005</v>
      </c>
      <c r="Y16">
        <v>0.82438999999999996</v>
      </c>
      <c r="Z16">
        <v>0.82889000000000002</v>
      </c>
      <c r="AA16">
        <v>0.83411999999999997</v>
      </c>
      <c r="AB16">
        <v>0.83916999999999997</v>
      </c>
      <c r="AC16">
        <v>0.84294999999999998</v>
      </c>
      <c r="AD16">
        <v>0.84472000000000003</v>
      </c>
      <c r="AE16">
        <v>0.85026000000000002</v>
      </c>
      <c r="AF16">
        <v>0.85414999999999996</v>
      </c>
      <c r="AG16">
        <v>0.85667000000000004</v>
      </c>
      <c r="AH16">
        <v>0.85980999999999996</v>
      </c>
      <c r="AI16">
        <v>0.86451999999999996</v>
      </c>
      <c r="AJ16">
        <v>0.86753000000000002</v>
      </c>
      <c r="AK16">
        <v>0.86992999999999998</v>
      </c>
      <c r="AL16">
        <v>0.87229000000000001</v>
      </c>
      <c r="AM16">
        <v>0.87622</v>
      </c>
      <c r="AN16">
        <v>0.87849999999999995</v>
      </c>
      <c r="AO16">
        <v>0.88234000000000001</v>
      </c>
      <c r="AP16">
        <v>0.88453000000000004</v>
      </c>
      <c r="AQ16">
        <v>0.88636000000000004</v>
      </c>
      <c r="AR16">
        <v>0.88848000000000005</v>
      </c>
      <c r="AS16">
        <v>0.89217000000000002</v>
      </c>
      <c r="AT16">
        <v>0.89420999999999995</v>
      </c>
      <c r="AU16">
        <v>0.89553000000000005</v>
      </c>
      <c r="AV16">
        <v>0.89681999999999995</v>
      </c>
      <c r="AW16">
        <v>0.89810000000000001</v>
      </c>
      <c r="AX16">
        <v>0.89970000000000006</v>
      </c>
      <c r="AY16">
        <v>0.90127999999999997</v>
      </c>
      <c r="AZ16">
        <v>0.90442999999999996</v>
      </c>
      <c r="BA16">
        <v>0.90407000000000004</v>
      </c>
      <c r="BB16">
        <v>0.90717999999999999</v>
      </c>
      <c r="BC16">
        <v>0.90869</v>
      </c>
      <c r="BD16">
        <v>0.9083</v>
      </c>
      <c r="BE16">
        <v>0.90915000000000001</v>
      </c>
      <c r="BF16">
        <v>0.91156000000000004</v>
      </c>
      <c r="BG16">
        <v>0.91239999999999999</v>
      </c>
      <c r="BH16">
        <v>0.91324000000000005</v>
      </c>
      <c r="BI16">
        <v>0.91407000000000005</v>
      </c>
      <c r="BJ16">
        <v>0.91490000000000005</v>
      </c>
      <c r="BK16">
        <v>0.91571999999999998</v>
      </c>
      <c r="BL16">
        <v>0.91622000000000003</v>
      </c>
      <c r="BM16">
        <v>0.91703999999999997</v>
      </c>
      <c r="BN16">
        <v>0.91785000000000005</v>
      </c>
      <c r="BO16">
        <v>0.91884999999999994</v>
      </c>
      <c r="BP16">
        <v>0.91984999999999995</v>
      </c>
    </row>
    <row r="17" spans="1:68" x14ac:dyDescent="0.3">
      <c r="A17" s="4" t="s">
        <v>553</v>
      </c>
      <c r="B17" s="4" t="s">
        <v>554</v>
      </c>
      <c r="C17" s="4" t="s">
        <v>555</v>
      </c>
      <c r="D17" s="4"/>
      <c r="E17" s="4" t="s">
        <v>11</v>
      </c>
      <c r="F17" s="4" t="s">
        <v>12</v>
      </c>
      <c r="G17" s="4">
        <v>0</v>
      </c>
      <c r="H17" s="4"/>
      <c r="I17" s="4"/>
      <c r="J17" s="4"/>
      <c r="K17" s="4"/>
      <c r="L17" s="4"/>
      <c r="M17" s="4"/>
      <c r="N17" s="4"/>
      <c r="O17" s="4"/>
      <c r="P17" s="4"/>
    </row>
    <row r="18" spans="1:68" x14ac:dyDescent="0.3">
      <c r="A18" s="5" t="s">
        <v>556</v>
      </c>
      <c r="B18" s="5" t="s">
        <v>557</v>
      </c>
      <c r="C18" s="5" t="s">
        <v>440</v>
      </c>
      <c r="D18" s="5"/>
      <c r="E18" s="5" t="s">
        <v>139</v>
      </c>
      <c r="F18" s="5" t="s">
        <v>140</v>
      </c>
      <c r="G18" s="5">
        <v>0</v>
      </c>
      <c r="H18" s="5">
        <v>3.28</v>
      </c>
      <c r="I18" s="5">
        <v>3.28</v>
      </c>
      <c r="J18" s="5">
        <v>3.28</v>
      </c>
      <c r="K18" s="5">
        <v>3.28</v>
      </c>
      <c r="L18" s="5">
        <v>3.28</v>
      </c>
      <c r="M18" s="5">
        <v>3.28</v>
      </c>
      <c r="N18" s="5">
        <v>3.28</v>
      </c>
      <c r="O18" s="5">
        <v>3.28</v>
      </c>
      <c r="P18" s="5">
        <v>3.28</v>
      </c>
      <c r="Q18">
        <v>3.28</v>
      </c>
      <c r="R18">
        <v>3.28</v>
      </c>
      <c r="S18">
        <v>3.28</v>
      </c>
      <c r="T18">
        <v>3.26</v>
      </c>
      <c r="U18">
        <v>3.24</v>
      </c>
      <c r="V18">
        <v>3.21</v>
      </c>
      <c r="W18">
        <v>3.19</v>
      </c>
      <c r="X18">
        <v>3.17</v>
      </c>
      <c r="Y18">
        <v>3.15</v>
      </c>
      <c r="Z18">
        <v>3.13</v>
      </c>
      <c r="AA18">
        <v>3.11</v>
      </c>
      <c r="AB18">
        <v>3.01</v>
      </c>
      <c r="AC18">
        <v>2.92</v>
      </c>
      <c r="AD18">
        <v>2.83</v>
      </c>
      <c r="AE18">
        <v>2.75</v>
      </c>
      <c r="AF18">
        <v>2.68</v>
      </c>
      <c r="AG18">
        <v>2.65</v>
      </c>
      <c r="AH18">
        <v>2.64</v>
      </c>
      <c r="AI18">
        <v>2.62</v>
      </c>
      <c r="AJ18">
        <v>2.6</v>
      </c>
      <c r="AK18">
        <v>2.59</v>
      </c>
      <c r="AL18">
        <v>2.56</v>
      </c>
      <c r="AM18">
        <v>2.5499999999999998</v>
      </c>
      <c r="AN18">
        <v>2.5299999999999998</v>
      </c>
      <c r="AO18">
        <v>2.5099999999999998</v>
      </c>
      <c r="AP18">
        <v>2.5</v>
      </c>
      <c r="AQ18">
        <v>2.48</v>
      </c>
      <c r="AR18">
        <v>2.4700000000000002</v>
      </c>
      <c r="AS18">
        <v>2.44</v>
      </c>
      <c r="AT18">
        <v>2.4300000000000002</v>
      </c>
      <c r="AU18">
        <v>2.41</v>
      </c>
      <c r="AV18">
        <v>2.4</v>
      </c>
      <c r="AW18">
        <f>AV18</f>
        <v>2.4</v>
      </c>
      <c r="AX18">
        <f t="shared" ref="AX18:BP18" si="4">AW18</f>
        <v>2.4</v>
      </c>
      <c r="AY18">
        <f t="shared" si="4"/>
        <v>2.4</v>
      </c>
      <c r="AZ18">
        <f t="shared" si="4"/>
        <v>2.4</v>
      </c>
      <c r="BA18">
        <f t="shared" si="4"/>
        <v>2.4</v>
      </c>
      <c r="BB18">
        <f t="shared" si="4"/>
        <v>2.4</v>
      </c>
      <c r="BC18">
        <f t="shared" si="4"/>
        <v>2.4</v>
      </c>
      <c r="BD18">
        <f t="shared" si="4"/>
        <v>2.4</v>
      </c>
      <c r="BE18">
        <f t="shared" si="4"/>
        <v>2.4</v>
      </c>
      <c r="BF18">
        <f t="shared" si="4"/>
        <v>2.4</v>
      </c>
      <c r="BG18">
        <f t="shared" si="4"/>
        <v>2.4</v>
      </c>
      <c r="BH18">
        <f t="shared" si="4"/>
        <v>2.4</v>
      </c>
      <c r="BI18">
        <f t="shared" si="4"/>
        <v>2.4</v>
      </c>
      <c r="BJ18">
        <f t="shared" si="4"/>
        <v>2.4</v>
      </c>
      <c r="BK18">
        <f t="shared" si="4"/>
        <v>2.4</v>
      </c>
      <c r="BL18">
        <f t="shared" si="4"/>
        <v>2.4</v>
      </c>
      <c r="BM18">
        <f t="shared" si="4"/>
        <v>2.4</v>
      </c>
      <c r="BN18">
        <f t="shared" si="4"/>
        <v>2.4</v>
      </c>
      <c r="BO18">
        <f t="shared" si="4"/>
        <v>2.4</v>
      </c>
      <c r="BP18">
        <f t="shared" si="4"/>
        <v>2.4</v>
      </c>
    </row>
    <row r="19" spans="1:68" x14ac:dyDescent="0.3">
      <c r="A19" s="5" t="s">
        <v>556</v>
      </c>
      <c r="B19" s="5" t="s">
        <v>557</v>
      </c>
      <c r="C19" s="5" t="s">
        <v>555</v>
      </c>
      <c r="D19" s="5"/>
      <c r="E19" s="5" t="s">
        <v>11</v>
      </c>
      <c r="F19" s="5" t="s">
        <v>12</v>
      </c>
      <c r="G19" s="5">
        <v>0</v>
      </c>
      <c r="H19" s="5"/>
      <c r="I19" s="5"/>
      <c r="J19" s="5"/>
      <c r="K19" s="5"/>
      <c r="L19" s="5"/>
      <c r="M19" s="5"/>
      <c r="N19" s="5"/>
      <c r="O19" s="5"/>
      <c r="P19" s="5"/>
    </row>
    <row r="20" spans="1:68" x14ac:dyDescent="0.3">
      <c r="A20" s="4" t="s">
        <v>558</v>
      </c>
      <c r="B20" s="4" t="s">
        <v>559</v>
      </c>
      <c r="C20" s="4" t="s">
        <v>444</v>
      </c>
      <c r="D20" s="4"/>
      <c r="E20" s="4" t="s">
        <v>139</v>
      </c>
      <c r="F20" s="4" t="s">
        <v>140</v>
      </c>
      <c r="G20" s="4">
        <v>0</v>
      </c>
      <c r="H20" s="4">
        <v>7.05</v>
      </c>
      <c r="I20" s="4">
        <v>7.05</v>
      </c>
      <c r="J20" s="4">
        <v>7.05</v>
      </c>
      <c r="K20" s="4">
        <v>7.05</v>
      </c>
      <c r="L20" s="4">
        <v>7.05</v>
      </c>
      <c r="M20" s="4">
        <v>7.05</v>
      </c>
      <c r="N20" s="4">
        <v>7.05</v>
      </c>
      <c r="O20" s="4">
        <v>7.05</v>
      </c>
      <c r="P20" s="4">
        <v>7.05</v>
      </c>
      <c r="Q20">
        <v>7.05</v>
      </c>
      <c r="R20">
        <v>7.05</v>
      </c>
      <c r="S20">
        <v>7.05</v>
      </c>
      <c r="T20">
        <v>6.93</v>
      </c>
      <c r="U20">
        <v>6.81</v>
      </c>
      <c r="V20">
        <v>6.7</v>
      </c>
      <c r="W20">
        <v>6.58</v>
      </c>
      <c r="X20">
        <v>6.47</v>
      </c>
      <c r="Y20">
        <v>6.36</v>
      </c>
      <c r="Z20">
        <v>6.26</v>
      </c>
      <c r="AA20">
        <v>6.15</v>
      </c>
      <c r="AB20">
        <v>6.04</v>
      </c>
      <c r="AC20">
        <v>5.95</v>
      </c>
      <c r="AD20">
        <v>5.84</v>
      </c>
      <c r="AE20">
        <v>5.75</v>
      </c>
      <c r="AF20">
        <v>5.65</v>
      </c>
      <c r="AG20">
        <v>5.55</v>
      </c>
      <c r="AH20">
        <v>5.46</v>
      </c>
      <c r="AI20">
        <v>5.37</v>
      </c>
      <c r="AJ20">
        <v>5.28</v>
      </c>
      <c r="AK20">
        <v>5.19</v>
      </c>
      <c r="AL20">
        <v>5.0999999999999996</v>
      </c>
      <c r="AM20">
        <v>5.01</v>
      </c>
      <c r="AN20">
        <v>4.93</v>
      </c>
      <c r="AO20">
        <v>4.8499999999999996</v>
      </c>
      <c r="AP20">
        <v>4.76</v>
      </c>
      <c r="AQ20">
        <v>4.68</v>
      </c>
      <c r="AR20">
        <v>4.5999999999999996</v>
      </c>
      <c r="AS20">
        <v>4.53</v>
      </c>
      <c r="AT20">
        <v>4.45</v>
      </c>
      <c r="AU20">
        <v>4.37</v>
      </c>
      <c r="AV20">
        <v>4.3</v>
      </c>
      <c r="AW20">
        <f>AV20</f>
        <v>4.3</v>
      </c>
      <c r="AX20">
        <f t="shared" ref="AX20:BP20" si="5">AW20</f>
        <v>4.3</v>
      </c>
      <c r="AY20">
        <f t="shared" si="5"/>
        <v>4.3</v>
      </c>
      <c r="AZ20">
        <f t="shared" si="5"/>
        <v>4.3</v>
      </c>
      <c r="BA20">
        <f t="shared" si="5"/>
        <v>4.3</v>
      </c>
      <c r="BB20">
        <f t="shared" si="5"/>
        <v>4.3</v>
      </c>
      <c r="BC20">
        <f t="shared" si="5"/>
        <v>4.3</v>
      </c>
      <c r="BD20">
        <f t="shared" si="5"/>
        <v>4.3</v>
      </c>
      <c r="BE20">
        <f t="shared" si="5"/>
        <v>4.3</v>
      </c>
      <c r="BF20">
        <f t="shared" si="5"/>
        <v>4.3</v>
      </c>
      <c r="BG20">
        <f t="shared" si="5"/>
        <v>4.3</v>
      </c>
      <c r="BH20">
        <f t="shared" si="5"/>
        <v>4.3</v>
      </c>
      <c r="BI20">
        <f t="shared" si="5"/>
        <v>4.3</v>
      </c>
      <c r="BJ20">
        <f t="shared" si="5"/>
        <v>4.3</v>
      </c>
      <c r="BK20">
        <f t="shared" si="5"/>
        <v>4.3</v>
      </c>
      <c r="BL20">
        <f t="shared" si="5"/>
        <v>4.3</v>
      </c>
      <c r="BM20">
        <f t="shared" si="5"/>
        <v>4.3</v>
      </c>
      <c r="BN20">
        <f t="shared" si="5"/>
        <v>4.3</v>
      </c>
      <c r="BO20">
        <f t="shared" si="5"/>
        <v>4.3</v>
      </c>
      <c r="BP20">
        <f t="shared" si="5"/>
        <v>4.3</v>
      </c>
    </row>
    <row r="21" spans="1:68" x14ac:dyDescent="0.3">
      <c r="A21" s="4" t="s">
        <v>558</v>
      </c>
      <c r="B21" s="4" t="s">
        <v>559</v>
      </c>
      <c r="C21" s="4" t="s">
        <v>555</v>
      </c>
      <c r="D21" s="4"/>
      <c r="E21" s="4" t="s">
        <v>11</v>
      </c>
      <c r="F21" s="4" t="s">
        <v>12</v>
      </c>
      <c r="G21" s="4">
        <v>0</v>
      </c>
      <c r="H21" s="4"/>
      <c r="I21" s="4"/>
      <c r="J21" s="4"/>
      <c r="K21" s="4"/>
      <c r="L21" s="4"/>
      <c r="M21" s="4"/>
      <c r="N21" s="4"/>
      <c r="O21" s="4"/>
      <c r="P21" s="4"/>
    </row>
    <row r="22" spans="1:68" x14ac:dyDescent="0.3">
      <c r="A22" s="5" t="s">
        <v>560</v>
      </c>
      <c r="B22" s="5" t="s">
        <v>561</v>
      </c>
      <c r="C22" s="5" t="s">
        <v>448</v>
      </c>
      <c r="D22" s="5"/>
      <c r="E22" s="5" t="s">
        <v>139</v>
      </c>
      <c r="F22" s="5" t="s">
        <v>140</v>
      </c>
      <c r="G22" s="5">
        <v>0</v>
      </c>
      <c r="H22" s="5">
        <v>0.75</v>
      </c>
      <c r="I22" s="5">
        <v>0.75</v>
      </c>
      <c r="J22" s="5">
        <v>0.75</v>
      </c>
      <c r="K22" s="5">
        <v>0.75</v>
      </c>
      <c r="L22" s="5">
        <v>0.75</v>
      </c>
      <c r="M22" s="5">
        <v>0.75</v>
      </c>
      <c r="N22" s="5">
        <v>0.75</v>
      </c>
      <c r="O22" s="5">
        <v>0.75</v>
      </c>
      <c r="P22" s="5">
        <v>0.75</v>
      </c>
      <c r="Q22">
        <v>0.72</v>
      </c>
      <c r="R22">
        <v>0.72</v>
      </c>
      <c r="S22">
        <v>0.71</v>
      </c>
      <c r="T22">
        <v>0.71</v>
      </c>
      <c r="U22">
        <v>0.71</v>
      </c>
      <c r="V22">
        <v>0.71</v>
      </c>
      <c r="W22">
        <v>0.71</v>
      </c>
      <c r="X22">
        <v>0.7</v>
      </c>
      <c r="Y22">
        <v>0.7</v>
      </c>
      <c r="Z22">
        <v>0.7</v>
      </c>
      <c r="AA22">
        <v>0.7</v>
      </c>
      <c r="AB22">
        <v>0.68</v>
      </c>
      <c r="AC22">
        <v>0.68</v>
      </c>
      <c r="AD22">
        <v>0.68</v>
      </c>
      <c r="AE22">
        <v>0.68</v>
      </c>
      <c r="AF22">
        <v>0.67</v>
      </c>
      <c r="AG22">
        <v>0.65</v>
      </c>
      <c r="AH22">
        <v>0.64</v>
      </c>
      <c r="AI22">
        <v>0.64</v>
      </c>
      <c r="AJ22">
        <v>0.64</v>
      </c>
      <c r="AK22">
        <v>0.64</v>
      </c>
      <c r="AL22">
        <v>0.64</v>
      </c>
      <c r="AM22">
        <v>0.63</v>
      </c>
      <c r="AN22">
        <v>0.63</v>
      </c>
      <c r="AO22">
        <v>0.63</v>
      </c>
      <c r="AP22">
        <v>0.63</v>
      </c>
      <c r="AQ22">
        <v>0.61</v>
      </c>
      <c r="AR22">
        <v>0.6</v>
      </c>
      <c r="AS22">
        <v>0.6</v>
      </c>
      <c r="AT22">
        <v>0.6</v>
      </c>
      <c r="AU22">
        <v>0.6</v>
      </c>
      <c r="AV22">
        <v>0.59</v>
      </c>
      <c r="AW22">
        <f>AV22</f>
        <v>0.59</v>
      </c>
      <c r="AX22">
        <f t="shared" ref="AX22:BP22" si="6">AW22</f>
        <v>0.59</v>
      </c>
      <c r="AY22">
        <f t="shared" si="6"/>
        <v>0.59</v>
      </c>
      <c r="AZ22">
        <f t="shared" si="6"/>
        <v>0.59</v>
      </c>
      <c r="BA22">
        <f t="shared" si="6"/>
        <v>0.59</v>
      </c>
      <c r="BB22">
        <f t="shared" si="6"/>
        <v>0.59</v>
      </c>
      <c r="BC22">
        <f t="shared" si="6"/>
        <v>0.59</v>
      </c>
      <c r="BD22">
        <f t="shared" si="6"/>
        <v>0.59</v>
      </c>
      <c r="BE22">
        <f t="shared" si="6"/>
        <v>0.59</v>
      </c>
      <c r="BF22">
        <f t="shared" si="6"/>
        <v>0.59</v>
      </c>
      <c r="BG22">
        <f t="shared" si="6"/>
        <v>0.59</v>
      </c>
      <c r="BH22">
        <f t="shared" si="6"/>
        <v>0.59</v>
      </c>
      <c r="BI22">
        <f t="shared" si="6"/>
        <v>0.59</v>
      </c>
      <c r="BJ22">
        <f t="shared" si="6"/>
        <v>0.59</v>
      </c>
      <c r="BK22">
        <f t="shared" si="6"/>
        <v>0.59</v>
      </c>
      <c r="BL22">
        <f t="shared" si="6"/>
        <v>0.59</v>
      </c>
      <c r="BM22">
        <f t="shared" si="6"/>
        <v>0.59</v>
      </c>
      <c r="BN22">
        <f t="shared" si="6"/>
        <v>0.59</v>
      </c>
      <c r="BO22">
        <f t="shared" si="6"/>
        <v>0.59</v>
      </c>
      <c r="BP22">
        <f t="shared" si="6"/>
        <v>0.59</v>
      </c>
    </row>
    <row r="23" spans="1:68" x14ac:dyDescent="0.3">
      <c r="A23" s="5" t="s">
        <v>560</v>
      </c>
      <c r="B23" s="5" t="s">
        <v>561</v>
      </c>
      <c r="C23" s="5" t="s">
        <v>555</v>
      </c>
      <c r="D23" s="5"/>
      <c r="E23" s="5" t="s">
        <v>11</v>
      </c>
      <c r="F23" s="5" t="s">
        <v>12</v>
      </c>
      <c r="G23" s="5">
        <v>0</v>
      </c>
      <c r="H23" s="5"/>
      <c r="I23" s="5"/>
      <c r="J23" s="5"/>
      <c r="K23" s="5"/>
      <c r="L23" s="5"/>
      <c r="M23" s="5"/>
      <c r="N23" s="5"/>
      <c r="O23" s="5"/>
      <c r="P23" s="5"/>
    </row>
    <row r="24" spans="1:68" x14ac:dyDescent="0.3">
      <c r="A24" s="21" t="s">
        <v>562</v>
      </c>
      <c r="B24" s="21" t="s">
        <v>563</v>
      </c>
      <c r="C24" s="21" t="s">
        <v>436</v>
      </c>
      <c r="D24" s="21"/>
      <c r="E24" s="21" t="s">
        <v>139</v>
      </c>
      <c r="F24" s="21" t="s">
        <v>140</v>
      </c>
      <c r="G24" s="4">
        <v>0</v>
      </c>
      <c r="H24" s="4">
        <v>4.54</v>
      </c>
      <c r="I24" s="4">
        <v>4.54</v>
      </c>
      <c r="J24" s="4">
        <v>4.54</v>
      </c>
      <c r="K24" s="4">
        <v>4.54</v>
      </c>
      <c r="L24" s="4">
        <v>4.54</v>
      </c>
      <c r="M24" s="4">
        <v>4.54</v>
      </c>
      <c r="N24" s="4">
        <v>4.54</v>
      </c>
      <c r="O24" s="4">
        <v>4.54</v>
      </c>
      <c r="P24" s="4">
        <v>4.54</v>
      </c>
      <c r="Q24">
        <v>4.54</v>
      </c>
      <c r="R24">
        <v>4.54</v>
      </c>
      <c r="S24">
        <v>4.54</v>
      </c>
      <c r="T24">
        <v>4.51</v>
      </c>
      <c r="U24">
        <v>4.4800000000000004</v>
      </c>
      <c r="V24">
        <v>4.45</v>
      </c>
      <c r="W24">
        <v>4.42</v>
      </c>
      <c r="X24">
        <v>4.3899999999999997</v>
      </c>
      <c r="Y24">
        <v>4.3600000000000003</v>
      </c>
      <c r="Z24">
        <v>4.33</v>
      </c>
      <c r="AA24">
        <v>4.3099999999999996</v>
      </c>
      <c r="AB24">
        <v>4.17</v>
      </c>
      <c r="AC24">
        <v>4.04</v>
      </c>
      <c r="AD24">
        <v>3.92</v>
      </c>
      <c r="AE24">
        <v>3.81</v>
      </c>
      <c r="AF24">
        <v>3.7</v>
      </c>
      <c r="AG24">
        <v>3.67</v>
      </c>
      <c r="AH24">
        <v>3.65</v>
      </c>
      <c r="AI24">
        <v>3.63</v>
      </c>
      <c r="AJ24">
        <v>3.6</v>
      </c>
      <c r="AK24">
        <v>3.58</v>
      </c>
      <c r="AL24">
        <v>3.55</v>
      </c>
      <c r="AM24">
        <v>3.53</v>
      </c>
      <c r="AN24">
        <v>3.51</v>
      </c>
      <c r="AO24">
        <v>3.48</v>
      </c>
      <c r="AP24">
        <v>3.46</v>
      </c>
      <c r="AQ24">
        <v>3.43</v>
      </c>
      <c r="AR24">
        <v>3.41</v>
      </c>
      <c r="AS24">
        <v>3.39</v>
      </c>
      <c r="AT24">
        <v>3.37</v>
      </c>
      <c r="AU24">
        <v>3.34</v>
      </c>
      <c r="AV24">
        <v>3.32</v>
      </c>
      <c r="AW24">
        <f>AV24</f>
        <v>3.32</v>
      </c>
      <c r="AX24">
        <f t="shared" ref="AX24:BP24" si="7">AW24</f>
        <v>3.32</v>
      </c>
      <c r="AY24">
        <f t="shared" si="7"/>
        <v>3.32</v>
      </c>
      <c r="AZ24">
        <f t="shared" si="7"/>
        <v>3.32</v>
      </c>
      <c r="BA24">
        <f t="shared" si="7"/>
        <v>3.32</v>
      </c>
      <c r="BB24">
        <f t="shared" si="7"/>
        <v>3.32</v>
      </c>
      <c r="BC24">
        <f t="shared" si="7"/>
        <v>3.32</v>
      </c>
      <c r="BD24">
        <f t="shared" si="7"/>
        <v>3.32</v>
      </c>
      <c r="BE24">
        <f t="shared" si="7"/>
        <v>3.32</v>
      </c>
      <c r="BF24">
        <f t="shared" si="7"/>
        <v>3.32</v>
      </c>
      <c r="BG24">
        <f t="shared" si="7"/>
        <v>3.32</v>
      </c>
      <c r="BH24">
        <f t="shared" si="7"/>
        <v>3.32</v>
      </c>
      <c r="BI24">
        <f t="shared" si="7"/>
        <v>3.32</v>
      </c>
      <c r="BJ24">
        <f t="shared" si="7"/>
        <v>3.32</v>
      </c>
      <c r="BK24">
        <f t="shared" si="7"/>
        <v>3.32</v>
      </c>
      <c r="BL24">
        <f t="shared" si="7"/>
        <v>3.32</v>
      </c>
      <c r="BM24">
        <f t="shared" si="7"/>
        <v>3.32</v>
      </c>
      <c r="BN24">
        <f t="shared" si="7"/>
        <v>3.32</v>
      </c>
      <c r="BO24">
        <f t="shared" si="7"/>
        <v>3.32</v>
      </c>
      <c r="BP24">
        <f t="shared" si="7"/>
        <v>3.32</v>
      </c>
    </row>
    <row r="25" spans="1:68" x14ac:dyDescent="0.3">
      <c r="A25" s="21" t="s">
        <v>562</v>
      </c>
      <c r="B25" s="21" t="s">
        <v>563</v>
      </c>
      <c r="C25" s="21" t="s">
        <v>555</v>
      </c>
      <c r="D25" s="21"/>
      <c r="E25" s="21" t="s">
        <v>11</v>
      </c>
      <c r="F25" s="21" t="s">
        <v>12</v>
      </c>
      <c r="G25" s="4">
        <v>0</v>
      </c>
      <c r="H25" s="4"/>
      <c r="I25" s="4"/>
      <c r="J25" s="4"/>
      <c r="K25" s="4"/>
      <c r="L25" s="4"/>
      <c r="M25" s="4"/>
      <c r="N25" s="4"/>
      <c r="O25" s="4"/>
      <c r="P25" s="4"/>
    </row>
    <row r="26" spans="1:68" x14ac:dyDescent="0.3">
      <c r="A26" s="5" t="s">
        <v>564</v>
      </c>
      <c r="B26" s="5" t="s">
        <v>565</v>
      </c>
      <c r="C26" s="5" t="s">
        <v>452</v>
      </c>
      <c r="D26" s="5"/>
      <c r="E26" s="5" t="s">
        <v>139</v>
      </c>
      <c r="F26" s="5" t="s">
        <v>12</v>
      </c>
      <c r="G26" s="5">
        <v>0</v>
      </c>
      <c r="H26" s="8"/>
      <c r="I26" s="8"/>
      <c r="J26" s="8"/>
      <c r="K26" s="8"/>
      <c r="L26" s="8"/>
      <c r="M26" s="8"/>
      <c r="N26" s="8"/>
      <c r="O26" s="8"/>
      <c r="P26" s="8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</row>
    <row r="27" spans="1:68" x14ac:dyDescent="0.3">
      <c r="A27" s="5" t="s">
        <v>564</v>
      </c>
      <c r="B27" s="5" t="s">
        <v>565</v>
      </c>
      <c r="C27" s="5" t="s">
        <v>555</v>
      </c>
      <c r="D27" s="5"/>
      <c r="E27" s="5" t="s">
        <v>11</v>
      </c>
      <c r="F27" s="5" t="s">
        <v>12</v>
      </c>
      <c r="G27" s="5">
        <v>0</v>
      </c>
      <c r="H27" s="5"/>
      <c r="I27" s="5"/>
      <c r="J27" s="5"/>
      <c r="K27" s="5"/>
      <c r="L27" s="5"/>
      <c r="M27" s="5"/>
      <c r="N27" s="5"/>
      <c r="O27" s="5"/>
      <c r="P27" s="5"/>
    </row>
    <row r="28" spans="1:68" x14ac:dyDescent="0.3">
      <c r="A28" s="4" t="s">
        <v>566</v>
      </c>
      <c r="B28" s="4" t="s">
        <v>567</v>
      </c>
      <c r="C28" s="4" t="s">
        <v>436</v>
      </c>
      <c r="D28" s="4"/>
      <c r="E28" s="4" t="s">
        <v>139</v>
      </c>
      <c r="F28" s="4" t="s">
        <v>140</v>
      </c>
      <c r="G28" s="4">
        <v>0</v>
      </c>
      <c r="H28" s="4">
        <v>1.2330300000000001</v>
      </c>
      <c r="I28" s="4">
        <v>1.2330300000000001</v>
      </c>
      <c r="J28" s="4">
        <v>1.2330300000000001</v>
      </c>
      <c r="K28" s="4">
        <v>1.2330300000000001</v>
      </c>
      <c r="L28" s="4">
        <v>1.2330300000000001</v>
      </c>
      <c r="M28" s="4">
        <v>1.2330300000000001</v>
      </c>
      <c r="N28" s="4">
        <v>1.2330300000000001</v>
      </c>
      <c r="O28" s="4">
        <v>1.2330300000000001</v>
      </c>
      <c r="P28" s="4">
        <v>1.2330300000000001</v>
      </c>
      <c r="Q28">
        <v>1.22692</v>
      </c>
      <c r="R28">
        <v>1.2098800000000001</v>
      </c>
      <c r="S28">
        <v>1.1933</v>
      </c>
      <c r="T28">
        <v>1.1703600000000001</v>
      </c>
      <c r="U28">
        <v>1.15428</v>
      </c>
      <c r="V28">
        <v>1.13863</v>
      </c>
      <c r="W28">
        <v>1.1175900000000001</v>
      </c>
      <c r="X28">
        <v>1.10277</v>
      </c>
      <c r="Y28">
        <v>1.09355</v>
      </c>
      <c r="Z28">
        <v>1.07942</v>
      </c>
      <c r="AA28">
        <v>1.06751</v>
      </c>
      <c r="AB28">
        <v>1.0592200000000001</v>
      </c>
      <c r="AC28">
        <v>1.0400499999999999</v>
      </c>
      <c r="AD28">
        <v>1.03817</v>
      </c>
      <c r="AE28">
        <v>1.0257000000000001</v>
      </c>
      <c r="AF28">
        <v>1.01339</v>
      </c>
      <c r="AG28">
        <v>1.0079100000000001</v>
      </c>
      <c r="AH28">
        <v>0.99748000000000003</v>
      </c>
      <c r="AI28">
        <v>0.98724999999999996</v>
      </c>
      <c r="AJ28">
        <v>0.97721999999999998</v>
      </c>
      <c r="AK28">
        <v>0.96892</v>
      </c>
      <c r="AL28">
        <v>0.95469999999999999</v>
      </c>
      <c r="AM28">
        <v>0.94665999999999995</v>
      </c>
      <c r="AN28">
        <v>0.94474999999999998</v>
      </c>
      <c r="AO28">
        <v>0.93694</v>
      </c>
      <c r="AP28">
        <v>0.92923999999999995</v>
      </c>
      <c r="AQ28">
        <v>0.92115000000000002</v>
      </c>
      <c r="AR28">
        <v>0.91366000000000003</v>
      </c>
      <c r="AS28">
        <v>0.90629000000000004</v>
      </c>
      <c r="AT28">
        <v>0.89902000000000004</v>
      </c>
      <c r="AU28">
        <v>0.89383000000000001</v>
      </c>
      <c r="AV28">
        <v>0.88870000000000005</v>
      </c>
      <c r="AW28">
        <v>0.88961999999999997</v>
      </c>
      <c r="AX28">
        <v>0.88505999999999996</v>
      </c>
      <c r="AY28">
        <v>0.88056000000000001</v>
      </c>
      <c r="AZ28">
        <v>0.87017999999999995</v>
      </c>
      <c r="BA28">
        <v>0.87121000000000004</v>
      </c>
      <c r="BB28">
        <v>0.86684000000000005</v>
      </c>
      <c r="BC28">
        <v>0.85663999999999996</v>
      </c>
      <c r="BD28">
        <v>0.85775000000000001</v>
      </c>
      <c r="BE28">
        <v>0.85533000000000003</v>
      </c>
      <c r="BF28">
        <v>0.85290999999999995</v>
      </c>
      <c r="BG28">
        <v>0.84469000000000005</v>
      </c>
      <c r="BH28">
        <v>0.84231999999999996</v>
      </c>
      <c r="BI28">
        <v>0.83996000000000004</v>
      </c>
      <c r="BJ28">
        <v>0.83762000000000003</v>
      </c>
      <c r="BK28">
        <v>0.83528999999999998</v>
      </c>
      <c r="BL28">
        <v>0.83825000000000005</v>
      </c>
      <c r="BM28">
        <v>0.83592999999999995</v>
      </c>
      <c r="BN28">
        <v>0.82786999999999999</v>
      </c>
      <c r="BO28">
        <v>0.82503000000000004</v>
      </c>
      <c r="BP28">
        <v>0.82220000000000004</v>
      </c>
    </row>
    <row r="29" spans="1:68" x14ac:dyDescent="0.3">
      <c r="A29" s="10" t="s">
        <v>566</v>
      </c>
      <c r="B29" s="10" t="s">
        <v>567</v>
      </c>
      <c r="C29" s="10" t="s">
        <v>448</v>
      </c>
      <c r="D29" s="10"/>
      <c r="E29" s="10" t="s">
        <v>139</v>
      </c>
      <c r="F29" s="10" t="s">
        <v>140</v>
      </c>
      <c r="G29" s="10">
        <v>0</v>
      </c>
      <c r="H29" s="4">
        <v>0.56186000000000003</v>
      </c>
      <c r="I29" s="4">
        <v>0.56186000000000003</v>
      </c>
      <c r="J29" s="4">
        <v>0.56186000000000003</v>
      </c>
      <c r="K29" s="4">
        <v>0.56186000000000003</v>
      </c>
      <c r="L29" s="4">
        <v>0.56186000000000003</v>
      </c>
      <c r="M29" s="4">
        <v>0.56186000000000003</v>
      </c>
      <c r="N29" s="4">
        <v>0.56186000000000003</v>
      </c>
      <c r="O29" s="4">
        <v>0.56186000000000003</v>
      </c>
      <c r="P29" s="4">
        <v>0.56186000000000003</v>
      </c>
      <c r="Q29">
        <v>0.56349000000000005</v>
      </c>
      <c r="R29">
        <v>0.56803000000000003</v>
      </c>
      <c r="S29">
        <v>0.57245000000000001</v>
      </c>
      <c r="T29">
        <v>0.57857000000000003</v>
      </c>
      <c r="U29">
        <v>0.58286000000000004</v>
      </c>
      <c r="V29">
        <v>0.58703000000000005</v>
      </c>
      <c r="W29">
        <v>0.59263999999999994</v>
      </c>
      <c r="X29">
        <v>0.59658999999999995</v>
      </c>
      <c r="Y29">
        <v>0.59904999999999997</v>
      </c>
      <c r="Z29">
        <v>0.60282000000000002</v>
      </c>
      <c r="AA29">
        <v>0.60599999999999998</v>
      </c>
      <c r="AB29">
        <v>0.60821000000000003</v>
      </c>
      <c r="AC29">
        <v>0.61331999999999998</v>
      </c>
      <c r="AD29">
        <v>0.61382000000000003</v>
      </c>
      <c r="AE29">
        <v>0.61714999999999998</v>
      </c>
      <c r="AF29">
        <v>0.62043000000000004</v>
      </c>
      <c r="AG29">
        <v>0.62189000000000005</v>
      </c>
      <c r="AH29">
        <v>0.62466999999999995</v>
      </c>
      <c r="AI29">
        <v>0.62739999999999996</v>
      </c>
      <c r="AJ29">
        <v>0.63007999999999997</v>
      </c>
      <c r="AK29">
        <v>0.63229000000000002</v>
      </c>
      <c r="AL29">
        <v>0.63607999999999998</v>
      </c>
      <c r="AM29">
        <v>0.63822000000000001</v>
      </c>
      <c r="AN29">
        <v>0.63873000000000002</v>
      </c>
      <c r="AO29">
        <v>0.64081999999999995</v>
      </c>
      <c r="AP29">
        <v>0.64287000000000005</v>
      </c>
      <c r="AQ29">
        <v>0.64502999999999999</v>
      </c>
      <c r="AR29">
        <v>0.64702000000000004</v>
      </c>
      <c r="AS29">
        <v>0.64898999999999996</v>
      </c>
      <c r="AT29">
        <v>0.65093000000000001</v>
      </c>
      <c r="AU29">
        <v>0.65230999999999995</v>
      </c>
      <c r="AV29">
        <v>0.65368000000000004</v>
      </c>
      <c r="AW29">
        <v>0.65344000000000002</v>
      </c>
      <c r="AX29">
        <v>0.65464999999999995</v>
      </c>
      <c r="AY29">
        <v>0.65585000000000004</v>
      </c>
      <c r="AZ29">
        <v>0.65861999999999998</v>
      </c>
      <c r="BA29">
        <v>0.65834999999999999</v>
      </c>
      <c r="BB29">
        <v>0.65951000000000004</v>
      </c>
      <c r="BC29">
        <v>0.66222999999999999</v>
      </c>
      <c r="BD29">
        <v>0.66193000000000002</v>
      </c>
      <c r="BE29">
        <v>0.66257999999999995</v>
      </c>
      <c r="BF29">
        <v>0.66322000000000003</v>
      </c>
      <c r="BG29">
        <v>0.66542000000000001</v>
      </c>
      <c r="BH29">
        <v>0.66605000000000003</v>
      </c>
      <c r="BI29">
        <v>0.66668000000000005</v>
      </c>
      <c r="BJ29">
        <v>0.6673</v>
      </c>
      <c r="BK29">
        <v>0.66791999999999996</v>
      </c>
      <c r="BL29">
        <v>0.66713</v>
      </c>
      <c r="BM29">
        <v>0.66774999999999995</v>
      </c>
      <c r="BN29">
        <v>0.66990000000000005</v>
      </c>
      <c r="BO29">
        <v>0.67066000000000003</v>
      </c>
      <c r="BP29">
        <v>0.67140999999999995</v>
      </c>
    </row>
    <row r="30" spans="1:68" x14ac:dyDescent="0.3">
      <c r="A30" s="4" t="s">
        <v>566</v>
      </c>
      <c r="B30" s="4" t="s">
        <v>567</v>
      </c>
      <c r="C30" s="4" t="s">
        <v>568</v>
      </c>
      <c r="D30" s="4"/>
      <c r="E30" s="4" t="s">
        <v>11</v>
      </c>
      <c r="F30" s="4" t="s">
        <v>12</v>
      </c>
      <c r="G30" s="4">
        <v>0</v>
      </c>
      <c r="H30" s="4"/>
      <c r="I30" s="4"/>
      <c r="J30" s="4"/>
      <c r="K30" s="4"/>
      <c r="L30" s="4"/>
      <c r="M30" s="4"/>
      <c r="N30" s="4"/>
      <c r="O30" s="4"/>
      <c r="P30" s="4"/>
    </row>
    <row r="31" spans="1:68" x14ac:dyDescent="0.3">
      <c r="A31" s="5" t="s">
        <v>569</v>
      </c>
      <c r="B31" s="5" t="s">
        <v>570</v>
      </c>
      <c r="C31" s="5" t="s">
        <v>448</v>
      </c>
      <c r="D31" s="5"/>
      <c r="E31" s="5" t="s">
        <v>139</v>
      </c>
      <c r="F31" s="5" t="s">
        <v>140</v>
      </c>
      <c r="G31" s="5">
        <v>0</v>
      </c>
      <c r="H31" s="5">
        <v>0.66</v>
      </c>
      <c r="I31" s="5">
        <v>0.66</v>
      </c>
      <c r="J31" s="5">
        <v>0.66</v>
      </c>
      <c r="K31" s="5">
        <v>0.66</v>
      </c>
      <c r="L31" s="5">
        <v>0.66</v>
      </c>
      <c r="M31" s="5">
        <v>0.66</v>
      </c>
      <c r="N31" s="5">
        <v>0.66</v>
      </c>
      <c r="O31" s="5">
        <v>0.66</v>
      </c>
      <c r="P31" s="5">
        <v>0.66</v>
      </c>
      <c r="Q31">
        <v>0.64</v>
      </c>
      <c r="R31">
        <v>0.63</v>
      </c>
      <c r="S31">
        <v>0.63</v>
      </c>
      <c r="T31">
        <v>0.63</v>
      </c>
      <c r="U31">
        <v>0.63</v>
      </c>
      <c r="V31">
        <v>0.63</v>
      </c>
      <c r="W31">
        <v>0.62</v>
      </c>
      <c r="X31">
        <v>0.62</v>
      </c>
      <c r="Y31">
        <v>0.62</v>
      </c>
      <c r="Z31">
        <v>0.62</v>
      </c>
      <c r="AA31">
        <v>0.62</v>
      </c>
      <c r="AB31">
        <v>0.61</v>
      </c>
      <c r="AC31">
        <v>0.6</v>
      </c>
      <c r="AD31">
        <v>0.6</v>
      </c>
      <c r="AE31">
        <v>0.6</v>
      </c>
      <c r="AF31">
        <v>0.6</v>
      </c>
      <c r="AG31">
        <v>0.56999999999999995</v>
      </c>
      <c r="AH31">
        <v>0.56999999999999995</v>
      </c>
      <c r="AI31">
        <v>0.56999999999999995</v>
      </c>
      <c r="AJ31">
        <v>0.56999999999999995</v>
      </c>
      <c r="AK31">
        <v>0.56000000000000005</v>
      </c>
      <c r="AL31">
        <v>0.56000000000000005</v>
      </c>
      <c r="AM31">
        <v>0.56000000000000005</v>
      </c>
      <c r="AN31">
        <v>0.56000000000000005</v>
      </c>
      <c r="AO31">
        <v>0.56000000000000005</v>
      </c>
      <c r="AP31">
        <v>0.56000000000000005</v>
      </c>
      <c r="AQ31">
        <v>0.54</v>
      </c>
      <c r="AR31">
        <v>0.53</v>
      </c>
      <c r="AS31">
        <v>0.53</v>
      </c>
      <c r="AT31">
        <v>0.53</v>
      </c>
      <c r="AU31">
        <v>0.53</v>
      </c>
      <c r="AV31">
        <v>0.53</v>
      </c>
      <c r="AW31">
        <f>AV31</f>
        <v>0.53</v>
      </c>
      <c r="AX31">
        <f t="shared" ref="AX31:BP31" si="8">AW31</f>
        <v>0.53</v>
      </c>
      <c r="AY31">
        <f t="shared" si="8"/>
        <v>0.53</v>
      </c>
      <c r="AZ31">
        <f t="shared" si="8"/>
        <v>0.53</v>
      </c>
      <c r="BA31">
        <f t="shared" si="8"/>
        <v>0.53</v>
      </c>
      <c r="BB31">
        <f t="shared" si="8"/>
        <v>0.53</v>
      </c>
      <c r="BC31">
        <f t="shared" si="8"/>
        <v>0.53</v>
      </c>
      <c r="BD31">
        <f t="shared" si="8"/>
        <v>0.53</v>
      </c>
      <c r="BE31">
        <f t="shared" si="8"/>
        <v>0.53</v>
      </c>
      <c r="BF31">
        <f t="shared" si="8"/>
        <v>0.53</v>
      </c>
      <c r="BG31">
        <f t="shared" si="8"/>
        <v>0.53</v>
      </c>
      <c r="BH31">
        <f t="shared" si="8"/>
        <v>0.53</v>
      </c>
      <c r="BI31">
        <f t="shared" si="8"/>
        <v>0.53</v>
      </c>
      <c r="BJ31">
        <f t="shared" si="8"/>
        <v>0.53</v>
      </c>
      <c r="BK31">
        <f t="shared" si="8"/>
        <v>0.53</v>
      </c>
      <c r="BL31">
        <f t="shared" si="8"/>
        <v>0.53</v>
      </c>
      <c r="BM31">
        <f t="shared" si="8"/>
        <v>0.53</v>
      </c>
      <c r="BN31">
        <f t="shared" si="8"/>
        <v>0.53</v>
      </c>
      <c r="BO31">
        <f t="shared" si="8"/>
        <v>0.53</v>
      </c>
      <c r="BP31">
        <f t="shared" si="8"/>
        <v>0.53</v>
      </c>
    </row>
    <row r="32" spans="1:68" x14ac:dyDescent="0.3">
      <c r="A32" s="5" t="s">
        <v>569</v>
      </c>
      <c r="B32" s="5" t="s">
        <v>570</v>
      </c>
      <c r="C32" s="5" t="s">
        <v>568</v>
      </c>
      <c r="D32" s="5"/>
      <c r="E32" s="5" t="s">
        <v>11</v>
      </c>
      <c r="F32" s="5" t="s">
        <v>12</v>
      </c>
      <c r="G32" s="5">
        <v>0</v>
      </c>
      <c r="H32" s="5"/>
      <c r="I32" s="5"/>
      <c r="J32" s="5"/>
      <c r="K32" s="5"/>
      <c r="L32" s="5"/>
      <c r="M32" s="5"/>
      <c r="N32" s="5"/>
      <c r="O32" s="5"/>
      <c r="P32" s="5"/>
    </row>
    <row r="33" spans="1:68" x14ac:dyDescent="0.3">
      <c r="A33" s="4" t="s">
        <v>571</v>
      </c>
      <c r="B33" s="4" t="s">
        <v>572</v>
      </c>
      <c r="C33" s="4" t="s">
        <v>436</v>
      </c>
      <c r="D33" s="4"/>
      <c r="E33" s="4" t="s">
        <v>139</v>
      </c>
      <c r="F33" s="4" t="s">
        <v>140</v>
      </c>
      <c r="G33" s="4">
        <v>0</v>
      </c>
      <c r="H33" s="4">
        <v>3.15</v>
      </c>
      <c r="I33" s="4">
        <v>3.15</v>
      </c>
      <c r="J33" s="4">
        <v>3.15</v>
      </c>
      <c r="K33" s="4">
        <v>3.15</v>
      </c>
      <c r="L33" s="4">
        <v>3.15</v>
      </c>
      <c r="M33" s="4">
        <v>3.15</v>
      </c>
      <c r="N33" s="4">
        <v>3.15</v>
      </c>
      <c r="O33" s="4">
        <v>3.15</v>
      </c>
      <c r="P33" s="4">
        <v>3.15</v>
      </c>
      <c r="Q33">
        <v>3.15</v>
      </c>
      <c r="R33">
        <v>3.15</v>
      </c>
      <c r="S33">
        <v>3.15</v>
      </c>
      <c r="T33">
        <v>3.13</v>
      </c>
      <c r="U33">
        <v>3.11</v>
      </c>
      <c r="V33">
        <v>3.09</v>
      </c>
      <c r="W33">
        <v>3.06</v>
      </c>
      <c r="X33">
        <v>3.04</v>
      </c>
      <c r="Y33">
        <v>3.02</v>
      </c>
      <c r="Z33">
        <v>3.01</v>
      </c>
      <c r="AA33">
        <v>2.99</v>
      </c>
      <c r="AB33">
        <v>2.89</v>
      </c>
      <c r="AC33">
        <v>2.81</v>
      </c>
      <c r="AD33">
        <v>2.72</v>
      </c>
      <c r="AE33">
        <v>2.64</v>
      </c>
      <c r="AF33">
        <v>2.57</v>
      </c>
      <c r="AG33">
        <v>2.5499999999999998</v>
      </c>
      <c r="AH33">
        <v>2.5299999999999998</v>
      </c>
      <c r="AI33">
        <v>2.5099999999999998</v>
      </c>
      <c r="AJ33">
        <v>2.4900000000000002</v>
      </c>
      <c r="AK33">
        <v>2.48</v>
      </c>
      <c r="AL33">
        <v>2.46</v>
      </c>
      <c r="AM33">
        <v>2.4500000000000002</v>
      </c>
      <c r="AN33">
        <v>2.4300000000000002</v>
      </c>
      <c r="AO33">
        <v>2.42</v>
      </c>
      <c r="AP33">
        <v>2.4</v>
      </c>
      <c r="AQ33">
        <v>2.38</v>
      </c>
      <c r="AR33">
        <v>2.37</v>
      </c>
      <c r="AS33">
        <v>2.35</v>
      </c>
      <c r="AT33">
        <v>2.33</v>
      </c>
      <c r="AU33">
        <v>2.31</v>
      </c>
      <c r="AV33">
        <v>2.2999999999999998</v>
      </c>
      <c r="AW33">
        <f>AV33</f>
        <v>2.2999999999999998</v>
      </c>
      <c r="AX33">
        <f t="shared" ref="AX33:BP33" si="9">AW33</f>
        <v>2.2999999999999998</v>
      </c>
      <c r="AY33">
        <f t="shared" si="9"/>
        <v>2.2999999999999998</v>
      </c>
      <c r="AZ33">
        <f t="shared" si="9"/>
        <v>2.2999999999999998</v>
      </c>
      <c r="BA33">
        <f t="shared" si="9"/>
        <v>2.2999999999999998</v>
      </c>
      <c r="BB33">
        <f t="shared" si="9"/>
        <v>2.2999999999999998</v>
      </c>
      <c r="BC33">
        <f t="shared" si="9"/>
        <v>2.2999999999999998</v>
      </c>
      <c r="BD33">
        <f t="shared" si="9"/>
        <v>2.2999999999999998</v>
      </c>
      <c r="BE33">
        <f t="shared" si="9"/>
        <v>2.2999999999999998</v>
      </c>
      <c r="BF33">
        <f t="shared" si="9"/>
        <v>2.2999999999999998</v>
      </c>
      <c r="BG33">
        <f t="shared" si="9"/>
        <v>2.2999999999999998</v>
      </c>
      <c r="BH33">
        <f t="shared" si="9"/>
        <v>2.2999999999999998</v>
      </c>
      <c r="BI33">
        <f t="shared" si="9"/>
        <v>2.2999999999999998</v>
      </c>
      <c r="BJ33">
        <f t="shared" si="9"/>
        <v>2.2999999999999998</v>
      </c>
      <c r="BK33">
        <f t="shared" si="9"/>
        <v>2.2999999999999998</v>
      </c>
      <c r="BL33">
        <f t="shared" si="9"/>
        <v>2.2999999999999998</v>
      </c>
      <c r="BM33">
        <f t="shared" si="9"/>
        <v>2.2999999999999998</v>
      </c>
      <c r="BN33">
        <f t="shared" si="9"/>
        <v>2.2999999999999998</v>
      </c>
      <c r="BO33">
        <f t="shared" si="9"/>
        <v>2.2999999999999998</v>
      </c>
      <c r="BP33">
        <f t="shared" si="9"/>
        <v>2.2999999999999998</v>
      </c>
    </row>
    <row r="34" spans="1:68" x14ac:dyDescent="0.3">
      <c r="A34" s="4" t="s">
        <v>571</v>
      </c>
      <c r="B34" s="4" t="s">
        <v>572</v>
      </c>
      <c r="C34" s="4" t="s">
        <v>568</v>
      </c>
      <c r="D34" s="4"/>
      <c r="E34" s="4" t="s">
        <v>11</v>
      </c>
      <c r="F34" s="4" t="s">
        <v>12</v>
      </c>
      <c r="G34" s="4">
        <v>0</v>
      </c>
      <c r="H34" s="4"/>
      <c r="I34" s="4"/>
      <c r="J34" s="4"/>
      <c r="K34" s="4"/>
      <c r="L34" s="4"/>
      <c r="M34" s="4"/>
      <c r="N34" s="4"/>
      <c r="O34" s="4"/>
      <c r="P34" s="4"/>
    </row>
    <row r="35" spans="1:68" x14ac:dyDescent="0.3">
      <c r="A35" s="5" t="s">
        <v>573</v>
      </c>
      <c r="B35" s="5" t="s">
        <v>574</v>
      </c>
      <c r="C35" s="5" t="s">
        <v>456</v>
      </c>
      <c r="D35" s="5"/>
      <c r="E35" s="5" t="s">
        <v>139</v>
      </c>
      <c r="F35" s="5" t="s">
        <v>140</v>
      </c>
      <c r="G35" s="5">
        <v>0</v>
      </c>
      <c r="H35" s="5">
        <v>1.2330300000000001</v>
      </c>
      <c r="I35" s="5">
        <v>1.2330300000000001</v>
      </c>
      <c r="J35" s="5">
        <v>1.2330300000000001</v>
      </c>
      <c r="K35" s="5">
        <v>1.2330300000000001</v>
      </c>
      <c r="L35" s="5">
        <v>1.2330300000000001</v>
      </c>
      <c r="M35" s="5">
        <v>1.2330300000000001</v>
      </c>
      <c r="N35" s="5">
        <v>1.2330300000000001</v>
      </c>
      <c r="O35" s="5">
        <v>1.2330300000000001</v>
      </c>
      <c r="P35" s="5">
        <v>1.2330300000000001</v>
      </c>
      <c r="Q35">
        <v>1.22692</v>
      </c>
      <c r="R35">
        <v>1.2098800000000001</v>
      </c>
      <c r="S35">
        <v>1.1933</v>
      </c>
      <c r="T35">
        <v>1.1703600000000001</v>
      </c>
      <c r="U35">
        <v>1.15428</v>
      </c>
      <c r="V35">
        <v>1.13863</v>
      </c>
      <c r="W35">
        <v>1.1175900000000001</v>
      </c>
      <c r="X35">
        <v>1.10277</v>
      </c>
      <c r="Y35">
        <v>1.09355</v>
      </c>
      <c r="Z35">
        <v>1.07942</v>
      </c>
      <c r="AA35">
        <v>1.06751</v>
      </c>
      <c r="AB35">
        <v>1.0592200000000001</v>
      </c>
      <c r="AC35">
        <v>1.0400499999999999</v>
      </c>
      <c r="AD35">
        <v>1.03817</v>
      </c>
      <c r="AE35">
        <v>1.0257000000000001</v>
      </c>
      <c r="AF35">
        <v>1.01339</v>
      </c>
      <c r="AG35">
        <v>1.0079100000000001</v>
      </c>
      <c r="AH35">
        <v>0.99748000000000003</v>
      </c>
      <c r="AI35">
        <v>0.98724999999999996</v>
      </c>
      <c r="AJ35">
        <v>0.97721999999999998</v>
      </c>
      <c r="AK35">
        <v>0.96892</v>
      </c>
      <c r="AL35">
        <v>0.95469999999999999</v>
      </c>
      <c r="AM35">
        <v>0.94665999999999995</v>
      </c>
      <c r="AN35">
        <v>0.94474999999999998</v>
      </c>
      <c r="AO35">
        <v>0.93694</v>
      </c>
      <c r="AP35">
        <v>0.92923999999999995</v>
      </c>
      <c r="AQ35">
        <v>0.92115000000000002</v>
      </c>
      <c r="AR35">
        <v>0.91366000000000003</v>
      </c>
      <c r="AS35">
        <v>0.90629000000000004</v>
      </c>
      <c r="AT35">
        <v>0.89902000000000004</v>
      </c>
      <c r="AU35">
        <v>0.89383000000000001</v>
      </c>
      <c r="AV35">
        <v>0.88870000000000005</v>
      </c>
      <c r="AW35">
        <v>0.88961999999999997</v>
      </c>
      <c r="AX35">
        <v>0.88505999999999996</v>
      </c>
      <c r="AY35">
        <v>0.88056000000000001</v>
      </c>
      <c r="AZ35">
        <v>0.87017999999999995</v>
      </c>
      <c r="BA35">
        <v>0.87121000000000004</v>
      </c>
      <c r="BB35">
        <v>0.86684000000000005</v>
      </c>
      <c r="BC35">
        <v>0.85663999999999996</v>
      </c>
      <c r="BD35">
        <v>0.85775000000000001</v>
      </c>
      <c r="BE35">
        <v>0.85533000000000003</v>
      </c>
      <c r="BF35">
        <v>0.85290999999999995</v>
      </c>
      <c r="BG35">
        <v>0.84469000000000005</v>
      </c>
      <c r="BH35">
        <v>0.84231999999999996</v>
      </c>
      <c r="BI35">
        <v>0.83996000000000004</v>
      </c>
      <c r="BJ35">
        <v>0.83762000000000003</v>
      </c>
      <c r="BK35">
        <v>0.83528999999999998</v>
      </c>
      <c r="BL35">
        <v>0.83825000000000005</v>
      </c>
      <c r="BM35">
        <v>0.83592999999999995</v>
      </c>
      <c r="BN35">
        <v>0.82786999999999999</v>
      </c>
      <c r="BO35">
        <v>0.82503000000000004</v>
      </c>
      <c r="BP35">
        <v>0.82220000000000004</v>
      </c>
    </row>
    <row r="36" spans="1:68" x14ac:dyDescent="0.3">
      <c r="A36" s="8" t="s">
        <v>573</v>
      </c>
      <c r="B36" s="8" t="s">
        <v>574</v>
      </c>
      <c r="C36" s="8" t="s">
        <v>448</v>
      </c>
      <c r="D36" s="8"/>
      <c r="E36" s="8" t="s">
        <v>139</v>
      </c>
      <c r="F36" s="8" t="s">
        <v>140</v>
      </c>
      <c r="G36" s="8">
        <v>0</v>
      </c>
      <c r="H36" s="5">
        <v>0.56186000000000003</v>
      </c>
      <c r="I36" s="5">
        <v>0.56186000000000003</v>
      </c>
      <c r="J36" s="5">
        <v>0.56186000000000003</v>
      </c>
      <c r="K36" s="5">
        <v>0.56186000000000003</v>
      </c>
      <c r="L36" s="5">
        <v>0.56186000000000003</v>
      </c>
      <c r="M36" s="5">
        <v>0.56186000000000003</v>
      </c>
      <c r="N36" s="5">
        <v>0.56186000000000003</v>
      </c>
      <c r="O36" s="5">
        <v>0.56186000000000003</v>
      </c>
      <c r="P36" s="5">
        <v>0.56186000000000003</v>
      </c>
      <c r="Q36">
        <v>0.56349000000000005</v>
      </c>
      <c r="R36">
        <v>0.56803000000000003</v>
      </c>
      <c r="S36">
        <v>0.57245000000000001</v>
      </c>
      <c r="T36">
        <v>0.57857000000000003</v>
      </c>
      <c r="U36">
        <v>0.58286000000000004</v>
      </c>
      <c r="V36">
        <v>0.58703000000000005</v>
      </c>
      <c r="W36">
        <v>0.59263999999999994</v>
      </c>
      <c r="X36">
        <v>0.59658999999999995</v>
      </c>
      <c r="Y36">
        <v>0.59904999999999997</v>
      </c>
      <c r="Z36">
        <v>0.60282000000000002</v>
      </c>
      <c r="AA36">
        <v>0.60599999999999998</v>
      </c>
      <c r="AB36">
        <v>0.60821000000000003</v>
      </c>
      <c r="AC36">
        <v>0.61331999999999998</v>
      </c>
      <c r="AD36">
        <v>0.61382000000000003</v>
      </c>
      <c r="AE36">
        <v>0.61714999999999998</v>
      </c>
      <c r="AF36">
        <v>0.62043000000000004</v>
      </c>
      <c r="AG36">
        <v>0.62189000000000005</v>
      </c>
      <c r="AH36">
        <v>0.62466999999999995</v>
      </c>
      <c r="AI36">
        <v>0.62739999999999996</v>
      </c>
      <c r="AJ36">
        <v>0.63007999999999997</v>
      </c>
      <c r="AK36">
        <v>0.63229000000000002</v>
      </c>
      <c r="AL36">
        <v>0.63607999999999998</v>
      </c>
      <c r="AM36">
        <v>0.63822000000000001</v>
      </c>
      <c r="AN36">
        <v>0.63873000000000002</v>
      </c>
      <c r="AO36">
        <v>0.64081999999999995</v>
      </c>
      <c r="AP36">
        <v>0.64287000000000005</v>
      </c>
      <c r="AQ36">
        <v>0.64502999999999999</v>
      </c>
      <c r="AR36">
        <v>0.64702000000000004</v>
      </c>
      <c r="AS36">
        <v>0.64898999999999996</v>
      </c>
      <c r="AT36">
        <v>0.65093000000000001</v>
      </c>
      <c r="AU36">
        <v>0.65230999999999995</v>
      </c>
      <c r="AV36">
        <v>0.65368000000000004</v>
      </c>
      <c r="AW36">
        <v>0.65344000000000002</v>
      </c>
      <c r="AX36">
        <v>0.65464999999999995</v>
      </c>
      <c r="AY36">
        <v>0.65585000000000004</v>
      </c>
      <c r="AZ36">
        <v>0.65861999999999998</v>
      </c>
      <c r="BA36">
        <v>0.65834999999999999</v>
      </c>
      <c r="BB36">
        <v>0.65951000000000004</v>
      </c>
      <c r="BC36">
        <v>0.66222999999999999</v>
      </c>
      <c r="BD36">
        <v>0.66193000000000002</v>
      </c>
      <c r="BE36">
        <v>0.66257999999999995</v>
      </c>
      <c r="BF36">
        <v>0.66322000000000003</v>
      </c>
      <c r="BG36">
        <v>0.66542000000000001</v>
      </c>
      <c r="BH36">
        <v>0.66605000000000003</v>
      </c>
      <c r="BI36">
        <v>0.66668000000000005</v>
      </c>
      <c r="BJ36">
        <v>0.6673</v>
      </c>
      <c r="BK36">
        <v>0.66791999999999996</v>
      </c>
      <c r="BL36">
        <v>0.66713</v>
      </c>
      <c r="BM36">
        <v>0.66774999999999995</v>
      </c>
      <c r="BN36">
        <v>0.66990000000000005</v>
      </c>
      <c r="BO36">
        <v>0.67066000000000003</v>
      </c>
      <c r="BP36">
        <v>0.67140999999999995</v>
      </c>
    </row>
    <row r="37" spans="1:68" x14ac:dyDescent="0.3">
      <c r="A37" s="5" t="s">
        <v>573</v>
      </c>
      <c r="B37" s="5" t="s">
        <v>574</v>
      </c>
      <c r="C37" s="5" t="s">
        <v>568</v>
      </c>
      <c r="D37" s="5"/>
      <c r="E37" s="5" t="s">
        <v>11</v>
      </c>
      <c r="F37" s="5" t="s">
        <v>12</v>
      </c>
      <c r="G37" s="5">
        <v>0</v>
      </c>
      <c r="H37" s="5"/>
      <c r="I37" s="5"/>
      <c r="J37" s="5"/>
      <c r="K37" s="5"/>
      <c r="L37" s="5"/>
      <c r="M37" s="5"/>
      <c r="N37" s="5"/>
      <c r="O37" s="5"/>
      <c r="P37" s="5"/>
    </row>
    <row r="38" spans="1:68" x14ac:dyDescent="0.3">
      <c r="A38" s="21" t="s">
        <v>575</v>
      </c>
      <c r="B38" s="21" t="s">
        <v>576</v>
      </c>
      <c r="C38" s="21" t="s">
        <v>456</v>
      </c>
      <c r="D38" s="21"/>
      <c r="E38" s="21" t="s">
        <v>139</v>
      </c>
      <c r="F38" s="21" t="s">
        <v>140</v>
      </c>
      <c r="G38" s="4">
        <v>0</v>
      </c>
      <c r="H38" s="4">
        <v>3.34</v>
      </c>
      <c r="I38" s="4">
        <v>3.34</v>
      </c>
      <c r="J38" s="4">
        <v>3.34</v>
      </c>
      <c r="K38" s="4">
        <v>3.34</v>
      </c>
      <c r="L38" s="4">
        <v>3.34</v>
      </c>
      <c r="M38" s="4">
        <v>3.34</v>
      </c>
      <c r="N38" s="4">
        <v>3.34</v>
      </c>
      <c r="O38" s="4">
        <v>3.34</v>
      </c>
      <c r="P38" s="4">
        <v>3.34</v>
      </c>
      <c r="Q38">
        <v>3.34</v>
      </c>
      <c r="R38">
        <v>3.34</v>
      </c>
      <c r="S38">
        <v>3.34</v>
      </c>
      <c r="T38">
        <v>3.32</v>
      </c>
      <c r="U38">
        <v>3.29</v>
      </c>
      <c r="V38">
        <v>3.27</v>
      </c>
      <c r="W38">
        <v>3.25</v>
      </c>
      <c r="X38">
        <v>3.23</v>
      </c>
      <c r="Y38">
        <v>3.21</v>
      </c>
      <c r="Z38">
        <v>3.18</v>
      </c>
      <c r="AA38">
        <v>3.16</v>
      </c>
      <c r="AB38">
        <v>3.06</v>
      </c>
      <c r="AC38">
        <v>2.97</v>
      </c>
      <c r="AD38">
        <v>2.88</v>
      </c>
      <c r="AE38">
        <v>2.79</v>
      </c>
      <c r="AF38">
        <v>2.72</v>
      </c>
      <c r="AG38">
        <v>2.7</v>
      </c>
      <c r="AH38">
        <v>2.68</v>
      </c>
      <c r="AI38">
        <v>2.66</v>
      </c>
      <c r="AJ38">
        <v>2.65</v>
      </c>
      <c r="AK38">
        <v>2.63</v>
      </c>
      <c r="AL38">
        <v>2.61</v>
      </c>
      <c r="AM38">
        <v>2.59</v>
      </c>
      <c r="AN38">
        <v>2.58</v>
      </c>
      <c r="AO38">
        <v>2.56</v>
      </c>
      <c r="AP38">
        <v>2.54</v>
      </c>
      <c r="AQ38">
        <v>2.5299999999999998</v>
      </c>
      <c r="AR38">
        <v>2.5099999999999998</v>
      </c>
      <c r="AS38">
        <v>2.4900000000000002</v>
      </c>
      <c r="AT38">
        <v>2.48</v>
      </c>
      <c r="AU38">
        <v>2.46</v>
      </c>
      <c r="AV38">
        <v>2.4300000000000002</v>
      </c>
      <c r="AW38">
        <f>AV38</f>
        <v>2.4300000000000002</v>
      </c>
      <c r="AX38">
        <f t="shared" ref="AX38:BP38" si="10">AW38</f>
        <v>2.4300000000000002</v>
      </c>
      <c r="AY38">
        <f t="shared" si="10"/>
        <v>2.4300000000000002</v>
      </c>
      <c r="AZ38">
        <f t="shared" si="10"/>
        <v>2.4300000000000002</v>
      </c>
      <c r="BA38">
        <f t="shared" si="10"/>
        <v>2.4300000000000002</v>
      </c>
      <c r="BB38">
        <f t="shared" si="10"/>
        <v>2.4300000000000002</v>
      </c>
      <c r="BC38">
        <f t="shared" si="10"/>
        <v>2.4300000000000002</v>
      </c>
      <c r="BD38">
        <f t="shared" si="10"/>
        <v>2.4300000000000002</v>
      </c>
      <c r="BE38">
        <f t="shared" si="10"/>
        <v>2.4300000000000002</v>
      </c>
      <c r="BF38">
        <f t="shared" si="10"/>
        <v>2.4300000000000002</v>
      </c>
      <c r="BG38">
        <f t="shared" si="10"/>
        <v>2.4300000000000002</v>
      </c>
      <c r="BH38">
        <f t="shared" si="10"/>
        <v>2.4300000000000002</v>
      </c>
      <c r="BI38">
        <f t="shared" si="10"/>
        <v>2.4300000000000002</v>
      </c>
      <c r="BJ38">
        <f t="shared" si="10"/>
        <v>2.4300000000000002</v>
      </c>
      <c r="BK38">
        <f t="shared" si="10"/>
        <v>2.4300000000000002</v>
      </c>
      <c r="BL38">
        <f t="shared" si="10"/>
        <v>2.4300000000000002</v>
      </c>
      <c r="BM38">
        <f t="shared" si="10"/>
        <v>2.4300000000000002</v>
      </c>
      <c r="BN38">
        <f t="shared" si="10"/>
        <v>2.4300000000000002</v>
      </c>
      <c r="BO38">
        <f t="shared" si="10"/>
        <v>2.4300000000000002</v>
      </c>
      <c r="BP38">
        <f t="shared" si="10"/>
        <v>2.4300000000000002</v>
      </c>
    </row>
    <row r="39" spans="1:68" x14ac:dyDescent="0.3">
      <c r="A39" s="21" t="s">
        <v>575</v>
      </c>
      <c r="B39" s="21" t="s">
        <v>576</v>
      </c>
      <c r="C39" s="21" t="s">
        <v>568</v>
      </c>
      <c r="D39" s="21"/>
      <c r="E39" s="21" t="s">
        <v>11</v>
      </c>
      <c r="F39" s="21" t="s">
        <v>12</v>
      </c>
      <c r="G39" s="4">
        <v>0</v>
      </c>
      <c r="H39" s="4"/>
      <c r="I39" s="4"/>
      <c r="J39" s="4"/>
      <c r="K39" s="4"/>
      <c r="L39" s="4"/>
      <c r="M39" s="4"/>
      <c r="N39" s="4"/>
      <c r="O39" s="4"/>
      <c r="P39" s="4"/>
    </row>
    <row r="40" spans="1:68" x14ac:dyDescent="0.3">
      <c r="A40" s="5" t="s">
        <v>577</v>
      </c>
      <c r="B40" s="5" t="s">
        <v>578</v>
      </c>
      <c r="C40" s="5" t="s">
        <v>452</v>
      </c>
      <c r="D40" s="5"/>
      <c r="E40" s="5" t="s">
        <v>139</v>
      </c>
      <c r="F40" s="10" t="s">
        <v>12</v>
      </c>
      <c r="G40" s="5">
        <v>0</v>
      </c>
      <c r="H40" s="10"/>
      <c r="I40" s="10"/>
      <c r="J40" s="10"/>
      <c r="K40" s="10"/>
      <c r="L40" s="10"/>
      <c r="M40" s="10"/>
      <c r="N40" s="10"/>
      <c r="O40" s="10"/>
      <c r="P40" s="10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</row>
    <row r="41" spans="1:68" x14ac:dyDescent="0.3">
      <c r="A41" s="5" t="s">
        <v>577</v>
      </c>
      <c r="B41" s="5" t="s">
        <v>578</v>
      </c>
      <c r="C41" s="5" t="s">
        <v>568</v>
      </c>
      <c r="D41" s="5"/>
      <c r="E41" s="5" t="s">
        <v>11</v>
      </c>
      <c r="F41" s="5" t="s">
        <v>12</v>
      </c>
      <c r="G41" s="5">
        <v>0</v>
      </c>
      <c r="H41" s="5"/>
      <c r="I41" s="5"/>
      <c r="J41" s="5"/>
      <c r="K41" s="5"/>
      <c r="L41" s="5"/>
      <c r="M41" s="5"/>
      <c r="N41" s="5"/>
      <c r="O41" s="5"/>
      <c r="P41" s="5"/>
    </row>
    <row r="42" spans="1:68" x14ac:dyDescent="0.3">
      <c r="A42" s="4" t="s">
        <v>579</v>
      </c>
      <c r="B42" s="4" t="s">
        <v>580</v>
      </c>
      <c r="C42" s="4" t="s">
        <v>444</v>
      </c>
      <c r="D42" s="4"/>
      <c r="E42" s="4" t="s">
        <v>139</v>
      </c>
      <c r="F42" s="10" t="s">
        <v>12</v>
      </c>
      <c r="G42" s="4">
        <v>0</v>
      </c>
      <c r="H42" s="4"/>
      <c r="I42" s="4"/>
      <c r="J42" s="4"/>
      <c r="K42" s="4"/>
      <c r="L42" s="4"/>
      <c r="M42" s="4"/>
      <c r="N42" s="4"/>
      <c r="O42" s="4"/>
      <c r="P42" s="4"/>
    </row>
    <row r="43" spans="1:68" x14ac:dyDescent="0.3">
      <c r="A43" s="4" t="s">
        <v>579</v>
      </c>
      <c r="B43" s="4" t="s">
        <v>580</v>
      </c>
      <c r="C43" s="4" t="s">
        <v>581</v>
      </c>
      <c r="D43" s="4"/>
      <c r="E43" s="4" t="s">
        <v>11</v>
      </c>
      <c r="F43" s="4" t="s">
        <v>12</v>
      </c>
      <c r="G43" s="4">
        <v>0</v>
      </c>
      <c r="H43" s="4"/>
      <c r="I43" s="4"/>
      <c r="J43" s="4"/>
      <c r="K43" s="4"/>
      <c r="L43" s="4"/>
      <c r="M43" s="4"/>
      <c r="N43" s="4"/>
      <c r="O43" s="4"/>
      <c r="P43" s="4"/>
    </row>
    <row r="44" spans="1:68" x14ac:dyDescent="0.3">
      <c r="A44" s="5" t="s">
        <v>582</v>
      </c>
      <c r="B44" s="5" t="s">
        <v>583</v>
      </c>
      <c r="C44" s="5" t="s">
        <v>448</v>
      </c>
      <c r="D44" s="5"/>
      <c r="E44" s="5" t="s">
        <v>139</v>
      </c>
      <c r="F44" s="5" t="s">
        <v>12</v>
      </c>
      <c r="G44" s="5">
        <v>0</v>
      </c>
      <c r="H44" s="5"/>
      <c r="I44" s="5"/>
      <c r="J44" s="5"/>
      <c r="K44" s="5"/>
      <c r="L44" s="5"/>
      <c r="M44" s="5"/>
      <c r="N44" s="5"/>
      <c r="O44" s="5"/>
      <c r="P44" s="5"/>
    </row>
    <row r="45" spans="1:68" x14ac:dyDescent="0.3">
      <c r="A45" s="5" t="s">
        <v>582</v>
      </c>
      <c r="B45" s="5" t="s">
        <v>583</v>
      </c>
      <c r="C45" s="5" t="s">
        <v>581</v>
      </c>
      <c r="D45" s="5"/>
      <c r="E45" s="5" t="s">
        <v>11</v>
      </c>
      <c r="F45" s="5" t="s">
        <v>12</v>
      </c>
      <c r="G45" s="5">
        <v>0</v>
      </c>
      <c r="H45" s="5"/>
      <c r="I45" s="5"/>
      <c r="J45" s="5"/>
      <c r="K45" s="5"/>
      <c r="L45" s="5"/>
      <c r="M45" s="5"/>
      <c r="N45" s="5"/>
      <c r="O45" s="5"/>
      <c r="P45" s="5"/>
    </row>
    <row r="46" spans="1:68" x14ac:dyDescent="0.3">
      <c r="A46" s="4" t="s">
        <v>584</v>
      </c>
      <c r="B46" s="4" t="s">
        <v>585</v>
      </c>
      <c r="C46" s="4" t="s">
        <v>436</v>
      </c>
      <c r="D46" s="4"/>
      <c r="E46" s="4" t="s">
        <v>139</v>
      </c>
      <c r="F46" s="10" t="s">
        <v>12</v>
      </c>
      <c r="G46" s="4">
        <v>0</v>
      </c>
      <c r="H46" s="4"/>
      <c r="I46" s="4"/>
      <c r="J46" s="4"/>
      <c r="K46" s="4"/>
      <c r="L46" s="4"/>
      <c r="M46" s="4"/>
      <c r="N46" s="4"/>
      <c r="O46" s="4"/>
      <c r="P46" s="4"/>
    </row>
    <row r="47" spans="1:68" x14ac:dyDescent="0.3">
      <c r="A47" s="4" t="s">
        <v>584</v>
      </c>
      <c r="B47" s="4" t="s">
        <v>585</v>
      </c>
      <c r="C47" s="4" t="s">
        <v>581</v>
      </c>
      <c r="D47" s="4"/>
      <c r="E47" s="4" t="s">
        <v>11</v>
      </c>
      <c r="F47" s="4" t="s">
        <v>12</v>
      </c>
      <c r="G47" s="4">
        <v>0</v>
      </c>
      <c r="H47" s="4"/>
      <c r="I47" s="4"/>
      <c r="J47" s="4"/>
      <c r="K47" s="4"/>
      <c r="L47" s="4"/>
      <c r="M47" s="4"/>
      <c r="N47" s="4"/>
      <c r="O47" s="4"/>
      <c r="P47" s="4"/>
    </row>
    <row r="48" spans="1:68" x14ac:dyDescent="0.3">
      <c r="A48" s="5" t="s">
        <v>586</v>
      </c>
      <c r="B48" s="5" t="s">
        <v>587</v>
      </c>
      <c r="C48" s="5" t="s">
        <v>460</v>
      </c>
      <c r="D48" s="5"/>
      <c r="E48" s="5" t="s">
        <v>139</v>
      </c>
      <c r="F48" s="5" t="s">
        <v>140</v>
      </c>
      <c r="G48" s="5">
        <v>0</v>
      </c>
      <c r="H48" s="5">
        <v>0.64</v>
      </c>
      <c r="I48" s="5">
        <v>0.64</v>
      </c>
      <c r="J48" s="5">
        <v>0.64</v>
      </c>
      <c r="K48" s="5">
        <v>0.64</v>
      </c>
      <c r="L48" s="5">
        <v>0.64</v>
      </c>
      <c r="M48" s="5">
        <v>0.64</v>
      </c>
      <c r="N48" s="5">
        <v>0.64</v>
      </c>
      <c r="O48" s="5">
        <v>0.64</v>
      </c>
      <c r="P48" s="5">
        <v>0.64</v>
      </c>
      <c r="Q48">
        <v>0.62</v>
      </c>
      <c r="R48">
        <v>0.61</v>
      </c>
      <c r="S48">
        <v>0.61</v>
      </c>
      <c r="T48">
        <v>0.61</v>
      </c>
      <c r="U48">
        <v>0.61</v>
      </c>
      <c r="V48">
        <v>0.6</v>
      </c>
      <c r="W48">
        <v>0.6</v>
      </c>
      <c r="X48">
        <v>0.6</v>
      </c>
      <c r="Y48">
        <v>0.6</v>
      </c>
      <c r="Z48">
        <v>0.6</v>
      </c>
      <c r="AA48">
        <v>0.6</v>
      </c>
      <c r="AB48">
        <v>0.57999999999999996</v>
      </c>
      <c r="AC48">
        <v>0.57999999999999996</v>
      </c>
      <c r="AD48">
        <v>0.57999999999999996</v>
      </c>
      <c r="AE48">
        <v>0.57999999999999996</v>
      </c>
      <c r="AF48">
        <v>0.56999999999999995</v>
      </c>
      <c r="AG48">
        <v>0.55000000000000004</v>
      </c>
      <c r="AH48">
        <v>0.55000000000000004</v>
      </c>
      <c r="AI48">
        <v>0.55000000000000004</v>
      </c>
      <c r="AJ48">
        <v>0.55000000000000004</v>
      </c>
      <c r="AK48">
        <v>0.55000000000000004</v>
      </c>
      <c r="AL48">
        <v>0.54</v>
      </c>
      <c r="AM48">
        <v>0.54</v>
      </c>
      <c r="AN48">
        <v>0.54</v>
      </c>
      <c r="AO48">
        <v>0.54</v>
      </c>
      <c r="AP48">
        <v>0.54</v>
      </c>
      <c r="AQ48">
        <v>0.52</v>
      </c>
      <c r="AR48">
        <v>0.51</v>
      </c>
      <c r="AS48">
        <v>0.51</v>
      </c>
      <c r="AT48">
        <v>0.51</v>
      </c>
      <c r="AU48">
        <v>0.51</v>
      </c>
      <c r="AV48">
        <v>0.51</v>
      </c>
      <c r="AW48">
        <f>AV48</f>
        <v>0.51</v>
      </c>
      <c r="AX48">
        <f t="shared" ref="AX48:BP48" si="11">AW48</f>
        <v>0.51</v>
      </c>
      <c r="AY48">
        <f t="shared" si="11"/>
        <v>0.51</v>
      </c>
      <c r="AZ48">
        <f t="shared" si="11"/>
        <v>0.51</v>
      </c>
      <c r="BA48">
        <f t="shared" si="11"/>
        <v>0.51</v>
      </c>
      <c r="BB48">
        <f t="shared" si="11"/>
        <v>0.51</v>
      </c>
      <c r="BC48">
        <f t="shared" si="11"/>
        <v>0.51</v>
      </c>
      <c r="BD48">
        <f t="shared" si="11"/>
        <v>0.51</v>
      </c>
      <c r="BE48">
        <f t="shared" si="11"/>
        <v>0.51</v>
      </c>
      <c r="BF48">
        <f t="shared" si="11"/>
        <v>0.51</v>
      </c>
      <c r="BG48">
        <f t="shared" si="11"/>
        <v>0.51</v>
      </c>
      <c r="BH48">
        <f t="shared" si="11"/>
        <v>0.51</v>
      </c>
      <c r="BI48">
        <f t="shared" si="11"/>
        <v>0.51</v>
      </c>
      <c r="BJ48">
        <f t="shared" si="11"/>
        <v>0.51</v>
      </c>
      <c r="BK48">
        <f t="shared" si="11"/>
        <v>0.51</v>
      </c>
      <c r="BL48">
        <f t="shared" si="11"/>
        <v>0.51</v>
      </c>
      <c r="BM48">
        <f t="shared" si="11"/>
        <v>0.51</v>
      </c>
      <c r="BN48">
        <f t="shared" si="11"/>
        <v>0.51</v>
      </c>
      <c r="BO48">
        <f t="shared" si="11"/>
        <v>0.51</v>
      </c>
      <c r="BP48">
        <f t="shared" si="11"/>
        <v>0.51</v>
      </c>
    </row>
    <row r="49" spans="1:68" x14ac:dyDescent="0.3">
      <c r="A49" s="5" t="s">
        <v>586</v>
      </c>
      <c r="B49" s="5" t="s">
        <v>587</v>
      </c>
      <c r="C49" s="5" t="s">
        <v>588</v>
      </c>
      <c r="D49" s="5"/>
      <c r="E49" s="5" t="s">
        <v>11</v>
      </c>
      <c r="F49" s="5" t="s">
        <v>12</v>
      </c>
      <c r="G49" s="5">
        <v>0</v>
      </c>
      <c r="H49" s="5"/>
      <c r="I49" s="5"/>
      <c r="J49" s="5"/>
      <c r="K49" s="5"/>
      <c r="L49" s="5"/>
      <c r="M49" s="5"/>
      <c r="N49" s="5"/>
      <c r="O49" s="5"/>
      <c r="P49" s="5"/>
    </row>
    <row r="50" spans="1:68" x14ac:dyDescent="0.3">
      <c r="A50" s="21" t="s">
        <v>589</v>
      </c>
      <c r="B50" s="21" t="s">
        <v>590</v>
      </c>
      <c r="C50" s="21" t="s">
        <v>464</v>
      </c>
      <c r="D50" s="21"/>
      <c r="E50" s="21" t="s">
        <v>139</v>
      </c>
      <c r="F50" s="21" t="s">
        <v>140</v>
      </c>
      <c r="G50" s="4">
        <v>0</v>
      </c>
      <c r="H50" s="4">
        <v>1.1399999999999999</v>
      </c>
      <c r="I50" s="4">
        <v>1.1399999999999999</v>
      </c>
      <c r="J50" s="4">
        <v>1.1399999999999999</v>
      </c>
      <c r="K50" s="4">
        <v>1.1399999999999999</v>
      </c>
      <c r="L50" s="4">
        <v>1.1399999999999999</v>
      </c>
      <c r="M50" s="4">
        <v>1.1399999999999999</v>
      </c>
      <c r="N50" s="4">
        <v>1.1399999999999999</v>
      </c>
      <c r="O50" s="4">
        <v>1.1399999999999999</v>
      </c>
      <c r="P50" s="4">
        <v>1.1399999999999999</v>
      </c>
      <c r="Q50">
        <v>1.1399999999999999</v>
      </c>
      <c r="R50">
        <v>1.1399999999999999</v>
      </c>
      <c r="S50">
        <v>1.1399999999999999</v>
      </c>
      <c r="T50">
        <v>1.1399999999999999</v>
      </c>
      <c r="U50">
        <v>1.1399999999999999</v>
      </c>
      <c r="V50">
        <v>1.1399999999999999</v>
      </c>
      <c r="W50">
        <v>1.1399999999999999</v>
      </c>
      <c r="X50">
        <v>1.1299999999999999</v>
      </c>
      <c r="Y50">
        <v>1.1299999999999999</v>
      </c>
      <c r="Z50">
        <v>1.1299999999999999</v>
      </c>
      <c r="AA50">
        <v>1.1299999999999999</v>
      </c>
      <c r="AB50">
        <v>1.1200000000000001</v>
      </c>
      <c r="AC50">
        <v>1.1100000000000001</v>
      </c>
      <c r="AD50">
        <v>1.1000000000000001</v>
      </c>
      <c r="AE50">
        <v>1.0900000000000001</v>
      </c>
      <c r="AF50">
        <v>1.08</v>
      </c>
      <c r="AG50">
        <v>1.08</v>
      </c>
      <c r="AH50">
        <v>1.08</v>
      </c>
      <c r="AI50">
        <v>1.08</v>
      </c>
      <c r="AJ50">
        <v>1.08</v>
      </c>
      <c r="AK50">
        <v>1.08</v>
      </c>
      <c r="AL50">
        <v>1.08</v>
      </c>
      <c r="AM50">
        <v>1.08</v>
      </c>
      <c r="AN50">
        <v>1.07</v>
      </c>
      <c r="AO50">
        <v>1.07</v>
      </c>
      <c r="AP50">
        <v>1.07</v>
      </c>
      <c r="AQ50">
        <v>1.07</v>
      </c>
      <c r="AR50">
        <v>1.06</v>
      </c>
      <c r="AS50">
        <v>1.06</v>
      </c>
      <c r="AT50">
        <v>1.06</v>
      </c>
      <c r="AU50">
        <v>1.06</v>
      </c>
      <c r="AV50">
        <v>1.05</v>
      </c>
      <c r="AW50">
        <f>AV50</f>
        <v>1.05</v>
      </c>
      <c r="AX50">
        <f t="shared" ref="AX50:BP50" si="12">AW50</f>
        <v>1.05</v>
      </c>
      <c r="AY50">
        <f t="shared" si="12"/>
        <v>1.05</v>
      </c>
      <c r="AZ50">
        <f t="shared" si="12"/>
        <v>1.05</v>
      </c>
      <c r="BA50">
        <f t="shared" si="12"/>
        <v>1.05</v>
      </c>
      <c r="BB50">
        <f t="shared" si="12"/>
        <v>1.05</v>
      </c>
      <c r="BC50">
        <f t="shared" si="12"/>
        <v>1.05</v>
      </c>
      <c r="BD50">
        <f t="shared" si="12"/>
        <v>1.05</v>
      </c>
      <c r="BE50">
        <f t="shared" si="12"/>
        <v>1.05</v>
      </c>
      <c r="BF50">
        <f t="shared" si="12"/>
        <v>1.05</v>
      </c>
      <c r="BG50">
        <f t="shared" si="12"/>
        <v>1.05</v>
      </c>
      <c r="BH50">
        <f t="shared" si="12"/>
        <v>1.05</v>
      </c>
      <c r="BI50">
        <f t="shared" si="12"/>
        <v>1.05</v>
      </c>
      <c r="BJ50">
        <f t="shared" si="12"/>
        <v>1.05</v>
      </c>
      <c r="BK50">
        <f t="shared" si="12"/>
        <v>1.05</v>
      </c>
      <c r="BL50">
        <f t="shared" si="12"/>
        <v>1.05</v>
      </c>
      <c r="BM50">
        <f t="shared" si="12"/>
        <v>1.05</v>
      </c>
      <c r="BN50">
        <f t="shared" si="12"/>
        <v>1.05</v>
      </c>
      <c r="BO50">
        <f t="shared" si="12"/>
        <v>1.05</v>
      </c>
      <c r="BP50">
        <f t="shared" si="12"/>
        <v>1.05</v>
      </c>
    </row>
    <row r="51" spans="1:68" x14ac:dyDescent="0.3">
      <c r="A51" s="21" t="s">
        <v>589</v>
      </c>
      <c r="B51" s="21" t="s">
        <v>590</v>
      </c>
      <c r="C51" s="21" t="s">
        <v>588</v>
      </c>
      <c r="D51" s="21"/>
      <c r="E51" s="21" t="s">
        <v>11</v>
      </c>
      <c r="F51" s="21" t="s">
        <v>12</v>
      </c>
      <c r="G51" s="4">
        <v>0</v>
      </c>
      <c r="H51" s="4"/>
      <c r="I51" s="4"/>
      <c r="J51" s="4"/>
      <c r="K51" s="4"/>
      <c r="L51" s="4"/>
      <c r="M51" s="4"/>
      <c r="N51" s="4"/>
      <c r="O51" s="4"/>
      <c r="P51" s="4"/>
    </row>
    <row r="52" spans="1:68" x14ac:dyDescent="0.3">
      <c r="A52" s="5" t="s">
        <v>591</v>
      </c>
      <c r="B52" s="5" t="s">
        <v>592</v>
      </c>
      <c r="C52" s="5" t="s">
        <v>460</v>
      </c>
      <c r="D52" s="5"/>
      <c r="E52" s="5" t="s">
        <v>139</v>
      </c>
      <c r="F52" s="5" t="s">
        <v>140</v>
      </c>
      <c r="G52" s="5">
        <v>0</v>
      </c>
      <c r="H52" s="5">
        <v>0.66</v>
      </c>
      <c r="I52" s="5">
        <v>0.66</v>
      </c>
      <c r="J52" s="5">
        <v>0.66</v>
      </c>
      <c r="K52" s="5">
        <v>0.66</v>
      </c>
      <c r="L52" s="5">
        <v>0.66</v>
      </c>
      <c r="M52" s="5">
        <v>0.66</v>
      </c>
      <c r="N52" s="5">
        <v>0.66</v>
      </c>
      <c r="O52" s="5">
        <v>0.66</v>
      </c>
      <c r="P52" s="5">
        <v>0.66</v>
      </c>
      <c r="Q52">
        <v>0.64</v>
      </c>
      <c r="R52">
        <v>0.63</v>
      </c>
      <c r="S52">
        <v>0.63</v>
      </c>
      <c r="T52">
        <v>0.63</v>
      </c>
      <c r="U52">
        <v>0.63</v>
      </c>
      <c r="V52">
        <v>0.63</v>
      </c>
      <c r="W52">
        <v>0.62</v>
      </c>
      <c r="X52">
        <v>0.62</v>
      </c>
      <c r="Y52">
        <v>0.62</v>
      </c>
      <c r="Z52">
        <v>0.62</v>
      </c>
      <c r="AA52">
        <v>0.62</v>
      </c>
      <c r="AB52">
        <v>0.61</v>
      </c>
      <c r="AC52">
        <v>0.6</v>
      </c>
      <c r="AD52">
        <v>0.6</v>
      </c>
      <c r="AE52">
        <v>0.6</v>
      </c>
      <c r="AF52">
        <v>0.6</v>
      </c>
      <c r="AG52">
        <v>0.56999999999999995</v>
      </c>
      <c r="AH52">
        <v>0.56999999999999995</v>
      </c>
      <c r="AI52">
        <v>0.56999999999999995</v>
      </c>
      <c r="AJ52">
        <v>0.56999999999999995</v>
      </c>
      <c r="AK52">
        <v>0.56000000000000005</v>
      </c>
      <c r="AL52">
        <v>0.56000000000000005</v>
      </c>
      <c r="AM52">
        <v>0.56000000000000005</v>
      </c>
      <c r="AN52">
        <v>0.56000000000000005</v>
      </c>
      <c r="AO52">
        <v>0.56000000000000005</v>
      </c>
      <c r="AP52">
        <v>0.56000000000000005</v>
      </c>
      <c r="AQ52">
        <v>0.54</v>
      </c>
      <c r="AR52">
        <v>0.53</v>
      </c>
      <c r="AS52">
        <v>0.53</v>
      </c>
      <c r="AT52">
        <v>0.53</v>
      </c>
      <c r="AU52">
        <v>0.53</v>
      </c>
      <c r="AV52">
        <v>0.53</v>
      </c>
      <c r="AW52">
        <f>AV52</f>
        <v>0.53</v>
      </c>
      <c r="AX52">
        <f t="shared" ref="AX52:BP52" si="13">AW52</f>
        <v>0.53</v>
      </c>
      <c r="AY52">
        <f t="shared" si="13"/>
        <v>0.53</v>
      </c>
      <c r="AZ52">
        <f t="shared" si="13"/>
        <v>0.53</v>
      </c>
      <c r="BA52">
        <f t="shared" si="13"/>
        <v>0.53</v>
      </c>
      <c r="BB52">
        <f t="shared" si="13"/>
        <v>0.53</v>
      </c>
      <c r="BC52">
        <f t="shared" si="13"/>
        <v>0.53</v>
      </c>
      <c r="BD52">
        <f t="shared" si="13"/>
        <v>0.53</v>
      </c>
      <c r="BE52">
        <f t="shared" si="13"/>
        <v>0.53</v>
      </c>
      <c r="BF52">
        <f t="shared" si="13"/>
        <v>0.53</v>
      </c>
      <c r="BG52">
        <f t="shared" si="13"/>
        <v>0.53</v>
      </c>
      <c r="BH52">
        <f t="shared" si="13"/>
        <v>0.53</v>
      </c>
      <c r="BI52">
        <f t="shared" si="13"/>
        <v>0.53</v>
      </c>
      <c r="BJ52">
        <f t="shared" si="13"/>
        <v>0.53</v>
      </c>
      <c r="BK52">
        <f t="shared" si="13"/>
        <v>0.53</v>
      </c>
      <c r="BL52">
        <f t="shared" si="13"/>
        <v>0.53</v>
      </c>
      <c r="BM52">
        <f t="shared" si="13"/>
        <v>0.53</v>
      </c>
      <c r="BN52">
        <f t="shared" si="13"/>
        <v>0.53</v>
      </c>
      <c r="BO52">
        <f t="shared" si="13"/>
        <v>0.53</v>
      </c>
      <c r="BP52">
        <f t="shared" si="13"/>
        <v>0.53</v>
      </c>
    </row>
    <row r="53" spans="1:68" x14ac:dyDescent="0.3">
      <c r="A53" s="5" t="s">
        <v>591</v>
      </c>
      <c r="B53" s="5" t="s">
        <v>592</v>
      </c>
      <c r="C53" s="5" t="s">
        <v>593</v>
      </c>
      <c r="D53" s="5"/>
      <c r="E53" s="5" t="s">
        <v>11</v>
      </c>
      <c r="F53" s="5" t="s">
        <v>12</v>
      </c>
      <c r="G53" s="5">
        <v>0</v>
      </c>
      <c r="H53" s="5"/>
      <c r="I53" s="5"/>
      <c r="J53" s="5"/>
      <c r="K53" s="5"/>
      <c r="L53" s="5"/>
      <c r="M53" s="5"/>
      <c r="N53" s="5"/>
      <c r="O53" s="5"/>
      <c r="P53" s="5"/>
    </row>
    <row r="54" spans="1:68" x14ac:dyDescent="0.3">
      <c r="A54" s="21" t="s">
        <v>594</v>
      </c>
      <c r="B54" s="21" t="s">
        <v>595</v>
      </c>
      <c r="C54" s="21" t="s">
        <v>468</v>
      </c>
      <c r="D54" s="21"/>
      <c r="E54" s="21" t="s">
        <v>139</v>
      </c>
      <c r="F54" s="22" t="s">
        <v>743</v>
      </c>
      <c r="G54" s="4">
        <v>-0.7</v>
      </c>
      <c r="H54" s="4"/>
      <c r="I54" s="4"/>
      <c r="J54" s="4"/>
      <c r="K54" s="4"/>
      <c r="L54" s="4"/>
      <c r="M54" s="4"/>
      <c r="N54" s="4"/>
      <c r="O54" s="4"/>
      <c r="P54" s="4"/>
    </row>
    <row r="55" spans="1:68" x14ac:dyDescent="0.3">
      <c r="A55" s="21" t="s">
        <v>594</v>
      </c>
      <c r="B55" s="21" t="s">
        <v>595</v>
      </c>
      <c r="C55" s="21" t="s">
        <v>593</v>
      </c>
      <c r="D55" s="21"/>
      <c r="E55" s="21" t="s">
        <v>11</v>
      </c>
      <c r="F55" s="21" t="s">
        <v>12</v>
      </c>
      <c r="G55" s="4">
        <v>0</v>
      </c>
      <c r="H55" s="4"/>
      <c r="I55" s="4"/>
      <c r="J55" s="4"/>
      <c r="K55" s="4"/>
      <c r="L55" s="4"/>
      <c r="M55" s="4"/>
      <c r="N55" s="4"/>
      <c r="O55" s="4"/>
      <c r="P55" s="4"/>
    </row>
    <row r="56" spans="1:68" x14ac:dyDescent="0.3">
      <c r="A56" s="19" t="s">
        <v>596</v>
      </c>
      <c r="B56" s="19" t="s">
        <v>597</v>
      </c>
      <c r="C56" s="19" t="s">
        <v>464</v>
      </c>
      <c r="D56" s="19"/>
      <c r="E56" s="19" t="s">
        <v>139</v>
      </c>
      <c r="F56" s="19" t="s">
        <v>140</v>
      </c>
      <c r="G56" s="5">
        <v>0</v>
      </c>
      <c r="H56" s="5">
        <v>1.1528799999999999</v>
      </c>
      <c r="I56" s="5">
        <v>1.1528799999999999</v>
      </c>
      <c r="J56" s="5">
        <v>1.1528799999999999</v>
      </c>
      <c r="K56" s="5">
        <v>1.1528799999999999</v>
      </c>
      <c r="L56" s="5">
        <v>1.1528799999999999</v>
      </c>
      <c r="M56" s="5">
        <v>1.1528799999999999</v>
      </c>
      <c r="N56" s="5">
        <v>1.1528799999999999</v>
      </c>
      <c r="O56" s="5">
        <v>1.1528799999999999</v>
      </c>
      <c r="P56" s="5">
        <v>1.1528799999999999</v>
      </c>
      <c r="Q56">
        <v>1.14103</v>
      </c>
      <c r="R56">
        <v>1.1251899999999999</v>
      </c>
      <c r="S56">
        <v>1.1097699999999999</v>
      </c>
      <c r="T56">
        <v>1.09907</v>
      </c>
      <c r="U56">
        <v>1.08361</v>
      </c>
      <c r="V56">
        <v>1.06856</v>
      </c>
      <c r="W56">
        <v>1.0481</v>
      </c>
      <c r="X56">
        <v>1.0338499999999999</v>
      </c>
      <c r="Y56">
        <v>1.02485</v>
      </c>
      <c r="Z56">
        <v>1.01125</v>
      </c>
      <c r="AA56">
        <v>0.99973999999999996</v>
      </c>
      <c r="AB56">
        <v>0.99014000000000002</v>
      </c>
      <c r="AC56">
        <v>0.97577000000000003</v>
      </c>
      <c r="AD56">
        <v>0.97253999999999996</v>
      </c>
      <c r="AE56">
        <v>0.95933000000000002</v>
      </c>
      <c r="AF56">
        <v>0.95235000000000003</v>
      </c>
      <c r="AG56">
        <v>0.94030999999999998</v>
      </c>
      <c r="AH56">
        <v>0.93628999999999996</v>
      </c>
      <c r="AI56">
        <v>0.92630999999999997</v>
      </c>
      <c r="AJ56">
        <v>0.91652</v>
      </c>
      <c r="AK56">
        <v>0.90835999999999995</v>
      </c>
      <c r="AL56">
        <v>0.90032000000000001</v>
      </c>
      <c r="AM56">
        <v>0.89239000000000002</v>
      </c>
      <c r="AN56">
        <v>0.88458000000000003</v>
      </c>
      <c r="AO56">
        <v>0.87687999999999999</v>
      </c>
      <c r="AP56">
        <v>0.86929000000000001</v>
      </c>
      <c r="AQ56">
        <v>0.86695999999999995</v>
      </c>
      <c r="AR56">
        <v>0.85355999999999999</v>
      </c>
      <c r="AS56">
        <v>0.85226999999999997</v>
      </c>
      <c r="AT56">
        <v>0.84508000000000005</v>
      </c>
      <c r="AU56">
        <v>0.83984000000000003</v>
      </c>
      <c r="AV56">
        <v>0.83465</v>
      </c>
      <c r="AW56">
        <v>0.83552000000000004</v>
      </c>
      <c r="AX56">
        <v>0.83123999999999998</v>
      </c>
      <c r="AY56">
        <v>0.82106000000000001</v>
      </c>
      <c r="AZ56">
        <v>0.81689999999999996</v>
      </c>
      <c r="BA56">
        <v>0.81786999999999999</v>
      </c>
      <c r="BB56">
        <v>0.81376999999999999</v>
      </c>
      <c r="BC56">
        <v>0.80384</v>
      </c>
      <c r="BD56">
        <v>0.80488000000000004</v>
      </c>
      <c r="BE56">
        <v>0.79674</v>
      </c>
      <c r="BF56">
        <v>0.79449000000000003</v>
      </c>
      <c r="BG56">
        <v>0.79225999999999996</v>
      </c>
      <c r="BH56">
        <v>0.79003999999999996</v>
      </c>
      <c r="BI56">
        <v>0.78783000000000003</v>
      </c>
      <c r="BJ56">
        <v>0.78563000000000005</v>
      </c>
      <c r="BK56">
        <v>0.78344000000000003</v>
      </c>
      <c r="BL56">
        <v>0.78044000000000002</v>
      </c>
      <c r="BM56">
        <v>0.77827999999999997</v>
      </c>
      <c r="BN56">
        <v>0.77612999999999999</v>
      </c>
      <c r="BO56">
        <v>0.77346000000000004</v>
      </c>
      <c r="BP56">
        <v>0.77081</v>
      </c>
    </row>
    <row r="57" spans="1:68" x14ac:dyDescent="0.3">
      <c r="A57" s="23" t="s">
        <v>596</v>
      </c>
      <c r="B57" s="23" t="s">
        <v>597</v>
      </c>
      <c r="C57" s="23" t="s">
        <v>460</v>
      </c>
      <c r="D57" s="23"/>
      <c r="E57" s="23" t="s">
        <v>139</v>
      </c>
      <c r="F57" s="23" t="s">
        <v>140</v>
      </c>
      <c r="G57" s="8">
        <v>0</v>
      </c>
      <c r="H57" s="5">
        <v>0.51656999999999997</v>
      </c>
      <c r="I57" s="5">
        <v>0.51656999999999997</v>
      </c>
      <c r="J57" s="5">
        <v>0.51656999999999997</v>
      </c>
      <c r="K57" s="5">
        <v>0.51656999999999997</v>
      </c>
      <c r="L57" s="5">
        <v>0.51656999999999997</v>
      </c>
      <c r="M57" s="5">
        <v>0.51656999999999997</v>
      </c>
      <c r="N57" s="5">
        <v>0.51656999999999997</v>
      </c>
      <c r="O57" s="5">
        <v>0.51656999999999997</v>
      </c>
      <c r="P57" s="5">
        <v>0.51656999999999997</v>
      </c>
      <c r="Q57">
        <v>0.51971999999999996</v>
      </c>
      <c r="R57">
        <v>0.52395000000000003</v>
      </c>
      <c r="S57">
        <v>0.52805999999999997</v>
      </c>
      <c r="T57">
        <v>0.53091999999999995</v>
      </c>
      <c r="U57">
        <v>0.53503999999999996</v>
      </c>
      <c r="V57">
        <v>0.53905000000000003</v>
      </c>
      <c r="W57">
        <v>0.54451000000000005</v>
      </c>
      <c r="X57">
        <v>0.54830999999999996</v>
      </c>
      <c r="Y57">
        <v>0.55071000000000003</v>
      </c>
      <c r="Z57">
        <v>0.55432999999999999</v>
      </c>
      <c r="AA57">
        <v>0.55740000000000001</v>
      </c>
      <c r="AB57">
        <v>0.55996000000000001</v>
      </c>
      <c r="AC57">
        <v>0.56379000000000001</v>
      </c>
      <c r="AD57">
        <v>0.56466000000000005</v>
      </c>
      <c r="AE57">
        <v>0.56818000000000002</v>
      </c>
      <c r="AF57">
        <v>0.57003999999999999</v>
      </c>
      <c r="AG57">
        <v>0.57325000000000004</v>
      </c>
      <c r="AH57">
        <v>0.57432000000000005</v>
      </c>
      <c r="AI57">
        <v>0.57698000000000005</v>
      </c>
      <c r="AJ57">
        <v>0.57959000000000005</v>
      </c>
      <c r="AK57">
        <v>0.58177000000000001</v>
      </c>
      <c r="AL57">
        <v>0.58391999999999999</v>
      </c>
      <c r="AM57">
        <v>0.58603000000000005</v>
      </c>
      <c r="AN57">
        <v>0.58811000000000002</v>
      </c>
      <c r="AO57">
        <v>0.59016999999999997</v>
      </c>
      <c r="AP57">
        <v>0.59218999999999999</v>
      </c>
      <c r="AQ57">
        <v>0.59280999999999995</v>
      </c>
      <c r="AR57">
        <v>0.59638999999999998</v>
      </c>
      <c r="AS57">
        <v>0.59672999999999998</v>
      </c>
      <c r="AT57">
        <v>0.59865000000000002</v>
      </c>
      <c r="AU57">
        <v>0.60004000000000002</v>
      </c>
      <c r="AV57">
        <v>0.60143000000000002</v>
      </c>
      <c r="AW57">
        <v>0.60119999999999996</v>
      </c>
      <c r="AX57">
        <v>0.60233999999999999</v>
      </c>
      <c r="AY57">
        <v>0.60504999999999998</v>
      </c>
      <c r="AZ57">
        <v>0.60616000000000003</v>
      </c>
      <c r="BA57">
        <v>0.60589999999999999</v>
      </c>
      <c r="BB57">
        <v>0.60699999999999998</v>
      </c>
      <c r="BC57">
        <v>0.60963999999999996</v>
      </c>
      <c r="BD57">
        <v>0.60936999999999997</v>
      </c>
      <c r="BE57">
        <v>0.61153999999999997</v>
      </c>
      <c r="BF57">
        <v>0.61212999999999995</v>
      </c>
      <c r="BG57">
        <v>0.61273</v>
      </c>
      <c r="BH57">
        <v>0.61331999999999998</v>
      </c>
      <c r="BI57">
        <v>0.61390999999999996</v>
      </c>
      <c r="BJ57">
        <v>0.61450000000000005</v>
      </c>
      <c r="BK57">
        <v>0.61507999999999996</v>
      </c>
      <c r="BL57">
        <v>0.61587999999999998</v>
      </c>
      <c r="BM57">
        <v>0.61646000000000001</v>
      </c>
      <c r="BN57">
        <v>0.61702999999999997</v>
      </c>
      <c r="BO57">
        <v>0.61773999999999996</v>
      </c>
      <c r="BP57">
        <v>0.61845000000000006</v>
      </c>
    </row>
    <row r="58" spans="1:68" x14ac:dyDescent="0.3">
      <c r="A58" s="19" t="s">
        <v>596</v>
      </c>
      <c r="B58" s="19" t="s">
        <v>597</v>
      </c>
      <c r="C58" s="19" t="s">
        <v>593</v>
      </c>
      <c r="D58" s="19"/>
      <c r="E58" s="19" t="s">
        <v>11</v>
      </c>
      <c r="F58" s="19" t="s">
        <v>12</v>
      </c>
      <c r="G58" s="5">
        <v>0</v>
      </c>
      <c r="H58" s="5"/>
      <c r="I58" s="5"/>
      <c r="J58" s="5"/>
      <c r="K58" s="5"/>
      <c r="L58" s="5"/>
      <c r="M58" s="5"/>
      <c r="N58" s="5"/>
      <c r="O58" s="5"/>
      <c r="P58" s="5"/>
    </row>
    <row r="59" spans="1:68" x14ac:dyDescent="0.3">
      <c r="A59" s="21" t="s">
        <v>598</v>
      </c>
      <c r="B59" s="21" t="s">
        <v>599</v>
      </c>
      <c r="C59" s="21" t="s">
        <v>464</v>
      </c>
      <c r="D59" s="21"/>
      <c r="E59" s="21" t="s">
        <v>139</v>
      </c>
      <c r="F59" s="21" t="s">
        <v>140</v>
      </c>
      <c r="G59" s="4">
        <v>0</v>
      </c>
      <c r="H59" s="4">
        <v>3.09</v>
      </c>
      <c r="I59" s="4">
        <v>3.09</v>
      </c>
      <c r="J59" s="4">
        <v>3.09</v>
      </c>
      <c r="K59" s="4">
        <v>3.09</v>
      </c>
      <c r="L59" s="4">
        <v>3.09</v>
      </c>
      <c r="M59" s="4">
        <v>3.09</v>
      </c>
      <c r="N59" s="4">
        <v>3.09</v>
      </c>
      <c r="O59" s="4">
        <v>3.09</v>
      </c>
      <c r="P59" s="4">
        <v>3.09</v>
      </c>
      <c r="Q59">
        <v>3.09</v>
      </c>
      <c r="R59">
        <v>3.09</v>
      </c>
      <c r="S59">
        <v>3.09</v>
      </c>
      <c r="T59">
        <v>3.07</v>
      </c>
      <c r="U59">
        <v>3.04</v>
      </c>
      <c r="V59">
        <v>3.02</v>
      </c>
      <c r="W59">
        <v>3</v>
      </c>
      <c r="X59">
        <v>2.98</v>
      </c>
      <c r="Y59">
        <v>2.97</v>
      </c>
      <c r="Z59">
        <v>2.95</v>
      </c>
      <c r="AA59">
        <v>2.93</v>
      </c>
      <c r="AB59">
        <v>2.83</v>
      </c>
      <c r="AC59">
        <v>2.75</v>
      </c>
      <c r="AD59">
        <v>2.66</v>
      </c>
      <c r="AE59">
        <v>2.59</v>
      </c>
      <c r="AF59">
        <v>2.52</v>
      </c>
      <c r="AG59">
        <v>2.5</v>
      </c>
      <c r="AH59">
        <v>2.48</v>
      </c>
      <c r="AI59">
        <v>2.46</v>
      </c>
      <c r="AJ59">
        <v>2.4500000000000002</v>
      </c>
      <c r="AK59">
        <v>2.4300000000000002</v>
      </c>
      <c r="AL59">
        <v>2.41</v>
      </c>
      <c r="AM59">
        <v>2.4</v>
      </c>
      <c r="AN59">
        <v>2.39</v>
      </c>
      <c r="AO59">
        <v>2.37</v>
      </c>
      <c r="AP59">
        <v>2.35</v>
      </c>
      <c r="AQ59">
        <v>2.34</v>
      </c>
      <c r="AR59">
        <v>2.3199999999999998</v>
      </c>
      <c r="AS59">
        <v>2.2999999999999998</v>
      </c>
      <c r="AT59">
        <v>2.29</v>
      </c>
      <c r="AU59">
        <v>2.27</v>
      </c>
      <c r="AV59">
        <v>2.25</v>
      </c>
      <c r="AW59">
        <f>AV59</f>
        <v>2.25</v>
      </c>
      <c r="AX59">
        <f t="shared" ref="AX59:BP59" si="14">AW59</f>
        <v>2.25</v>
      </c>
      <c r="AY59">
        <f t="shared" si="14"/>
        <v>2.25</v>
      </c>
      <c r="AZ59">
        <f t="shared" si="14"/>
        <v>2.25</v>
      </c>
      <c r="BA59">
        <f t="shared" si="14"/>
        <v>2.25</v>
      </c>
      <c r="BB59">
        <f t="shared" si="14"/>
        <v>2.25</v>
      </c>
      <c r="BC59">
        <f t="shared" si="14"/>
        <v>2.25</v>
      </c>
      <c r="BD59">
        <f t="shared" si="14"/>
        <v>2.25</v>
      </c>
      <c r="BE59">
        <f t="shared" si="14"/>
        <v>2.25</v>
      </c>
      <c r="BF59">
        <f t="shared" si="14"/>
        <v>2.25</v>
      </c>
      <c r="BG59">
        <f t="shared" si="14"/>
        <v>2.25</v>
      </c>
      <c r="BH59">
        <f t="shared" si="14"/>
        <v>2.25</v>
      </c>
      <c r="BI59">
        <f t="shared" si="14"/>
        <v>2.25</v>
      </c>
      <c r="BJ59">
        <f t="shared" si="14"/>
        <v>2.25</v>
      </c>
      <c r="BK59">
        <f t="shared" si="14"/>
        <v>2.25</v>
      </c>
      <c r="BL59">
        <f t="shared" si="14"/>
        <v>2.25</v>
      </c>
      <c r="BM59">
        <f t="shared" si="14"/>
        <v>2.25</v>
      </c>
      <c r="BN59">
        <f t="shared" si="14"/>
        <v>2.25</v>
      </c>
      <c r="BO59">
        <f t="shared" si="14"/>
        <v>2.25</v>
      </c>
      <c r="BP59">
        <f t="shared" si="14"/>
        <v>2.25</v>
      </c>
    </row>
    <row r="60" spans="1:68" x14ac:dyDescent="0.3">
      <c r="A60" s="21" t="s">
        <v>598</v>
      </c>
      <c r="B60" s="21" t="s">
        <v>599</v>
      </c>
      <c r="C60" s="21" t="s">
        <v>593</v>
      </c>
      <c r="D60" s="21"/>
      <c r="E60" s="21" t="s">
        <v>11</v>
      </c>
      <c r="F60" s="21" t="s">
        <v>12</v>
      </c>
      <c r="G60" s="4">
        <v>0</v>
      </c>
      <c r="H60" s="4"/>
      <c r="I60" s="4"/>
      <c r="J60" s="4"/>
      <c r="K60" s="4"/>
      <c r="L60" s="4"/>
      <c r="M60" s="4"/>
      <c r="N60" s="4"/>
      <c r="O60" s="4"/>
      <c r="P60" s="4"/>
    </row>
    <row r="61" spans="1:68" x14ac:dyDescent="0.3">
      <c r="A61" s="5" t="s">
        <v>600</v>
      </c>
      <c r="B61" s="5" t="s">
        <v>601</v>
      </c>
      <c r="C61" s="5" t="s">
        <v>476</v>
      </c>
      <c r="D61" s="5"/>
      <c r="E61" s="5" t="s">
        <v>139</v>
      </c>
      <c r="F61" s="8" t="s">
        <v>12</v>
      </c>
      <c r="G61" s="5">
        <v>0</v>
      </c>
      <c r="H61" s="10"/>
      <c r="I61" s="10"/>
      <c r="J61" s="10"/>
      <c r="K61" s="10"/>
      <c r="L61" s="10"/>
      <c r="M61" s="10"/>
      <c r="N61" s="10"/>
      <c r="O61" s="10"/>
      <c r="P61" s="10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</row>
    <row r="62" spans="1:68" x14ac:dyDescent="0.3">
      <c r="A62" s="5" t="s">
        <v>600</v>
      </c>
      <c r="B62" s="5" t="s">
        <v>601</v>
      </c>
      <c r="C62" s="5" t="s">
        <v>593</v>
      </c>
      <c r="D62" s="5"/>
      <c r="E62" s="5" t="s">
        <v>11</v>
      </c>
      <c r="F62" s="5" t="s">
        <v>12</v>
      </c>
      <c r="G62" s="5">
        <v>0</v>
      </c>
      <c r="H62" s="5"/>
      <c r="I62" s="5"/>
      <c r="J62" s="5"/>
      <c r="K62" s="5"/>
      <c r="L62" s="5"/>
      <c r="M62" s="5"/>
      <c r="N62" s="5"/>
      <c r="O62" s="5"/>
      <c r="P62" s="5"/>
    </row>
    <row r="63" spans="1:68" x14ac:dyDescent="0.3">
      <c r="A63" s="4" t="s">
        <v>602</v>
      </c>
      <c r="B63" s="4" t="s">
        <v>603</v>
      </c>
      <c r="C63" s="4" t="s">
        <v>468</v>
      </c>
      <c r="D63" s="4"/>
      <c r="E63" s="4" t="s">
        <v>139</v>
      </c>
      <c r="F63" s="4" t="s">
        <v>140</v>
      </c>
      <c r="G63" s="4">
        <v>0</v>
      </c>
      <c r="H63" s="4">
        <v>1.3440000000000001</v>
      </c>
      <c r="I63" s="4">
        <v>1.3440000000000001</v>
      </c>
      <c r="J63" s="4">
        <v>1.3440000000000001</v>
      </c>
      <c r="K63" s="4">
        <v>1.3440000000000001</v>
      </c>
      <c r="L63" s="4">
        <v>1.3440000000000001</v>
      </c>
      <c r="M63" s="4">
        <v>1.3440000000000001</v>
      </c>
      <c r="N63" s="4">
        <v>1.3440000000000001</v>
      </c>
      <c r="O63" s="4">
        <v>1.3440000000000001</v>
      </c>
      <c r="P63" s="4">
        <v>1.3440000000000001</v>
      </c>
      <c r="Q63">
        <v>1.32507</v>
      </c>
      <c r="R63">
        <v>1.30667</v>
      </c>
      <c r="S63">
        <v>1.28877</v>
      </c>
      <c r="T63">
        <v>1.27135</v>
      </c>
      <c r="U63">
        <v>1.2544</v>
      </c>
      <c r="V63">
        <v>1.2378899999999999</v>
      </c>
      <c r="W63">
        <v>1.2218199999999999</v>
      </c>
      <c r="X63">
        <v>1.2061500000000001</v>
      </c>
      <c r="Y63">
        <v>1.19089</v>
      </c>
      <c r="Z63">
        <v>1.1759999999999999</v>
      </c>
      <c r="AA63">
        <v>1.16353</v>
      </c>
      <c r="AB63">
        <v>1.15133</v>
      </c>
      <c r="AC63">
        <v>1.1393800000000001</v>
      </c>
      <c r="AD63">
        <v>1.12767</v>
      </c>
      <c r="AE63">
        <v>1.1162000000000001</v>
      </c>
      <c r="AF63">
        <v>1.10497</v>
      </c>
      <c r="AG63">
        <v>1.09395</v>
      </c>
      <c r="AH63">
        <v>1.0831599999999999</v>
      </c>
      <c r="AI63">
        <v>1.07257</v>
      </c>
      <c r="AJ63">
        <v>1.06219</v>
      </c>
      <c r="AK63">
        <v>1.0537000000000001</v>
      </c>
      <c r="AL63">
        <v>1.0453300000000001</v>
      </c>
      <c r="AM63">
        <v>1.0370999999999999</v>
      </c>
      <c r="AN63">
        <v>1.0289999999999999</v>
      </c>
      <c r="AO63">
        <v>1.02102</v>
      </c>
      <c r="AP63">
        <v>1.0131699999999999</v>
      </c>
      <c r="AQ63">
        <v>1.0054399999999999</v>
      </c>
      <c r="AR63">
        <v>0.99782000000000004</v>
      </c>
      <c r="AS63">
        <v>0.99031999999999998</v>
      </c>
      <c r="AT63">
        <v>0.98292999999999997</v>
      </c>
      <c r="AU63">
        <v>0.97782000000000002</v>
      </c>
      <c r="AV63">
        <v>0.97275999999999996</v>
      </c>
      <c r="AW63">
        <v>0.96775999999999995</v>
      </c>
      <c r="AX63">
        <v>0.96281000000000005</v>
      </c>
      <c r="AY63">
        <v>0.95791000000000004</v>
      </c>
      <c r="AZ63">
        <v>0.95304999999999995</v>
      </c>
      <c r="BA63">
        <v>0.94825000000000004</v>
      </c>
      <c r="BB63">
        <v>0.94350000000000001</v>
      </c>
      <c r="BC63">
        <v>0.93879000000000001</v>
      </c>
      <c r="BD63">
        <v>0.93413000000000002</v>
      </c>
      <c r="BE63">
        <v>0.93149000000000004</v>
      </c>
      <c r="BF63">
        <v>0.92886000000000002</v>
      </c>
      <c r="BG63">
        <v>0.92623999999999995</v>
      </c>
      <c r="BH63">
        <v>0.92364999999999997</v>
      </c>
      <c r="BI63">
        <v>0.92105999999999999</v>
      </c>
      <c r="BJ63">
        <v>0.91849000000000003</v>
      </c>
      <c r="BK63">
        <v>0.91593999999999998</v>
      </c>
      <c r="BL63">
        <v>0.91339999999999999</v>
      </c>
      <c r="BM63">
        <v>0.91086999999999996</v>
      </c>
      <c r="BN63">
        <v>0.90835999999999995</v>
      </c>
      <c r="BO63">
        <v>0.90524000000000004</v>
      </c>
      <c r="BP63">
        <v>0.90214000000000005</v>
      </c>
    </row>
    <row r="64" spans="1:68" x14ac:dyDescent="0.3">
      <c r="A64" s="10" t="s">
        <v>602</v>
      </c>
      <c r="B64" s="10" t="s">
        <v>603</v>
      </c>
      <c r="C64" s="10" t="s">
        <v>460</v>
      </c>
      <c r="D64" s="10"/>
      <c r="E64" s="10" t="s">
        <v>139</v>
      </c>
      <c r="F64" s="10" t="s">
        <v>140</v>
      </c>
      <c r="G64" s="10">
        <v>0</v>
      </c>
      <c r="H64" s="4">
        <v>0.61226999999999998</v>
      </c>
      <c r="I64" s="4">
        <v>0.61226999999999998</v>
      </c>
      <c r="J64" s="4">
        <v>0.61226999999999998</v>
      </c>
      <c r="K64" s="4">
        <v>0.61226999999999998</v>
      </c>
      <c r="L64" s="4">
        <v>0.61226999999999998</v>
      </c>
      <c r="M64" s="4">
        <v>0.61226999999999998</v>
      </c>
      <c r="N64" s="4">
        <v>0.61226999999999998</v>
      </c>
      <c r="O64" s="4">
        <v>0.61226999999999998</v>
      </c>
      <c r="P64" s="4">
        <v>0.61226999999999998</v>
      </c>
      <c r="Q64">
        <v>0.61731000000000003</v>
      </c>
      <c r="R64">
        <v>0.62222</v>
      </c>
      <c r="S64">
        <v>0.627</v>
      </c>
      <c r="T64">
        <v>0.63163999999999998</v>
      </c>
      <c r="U64">
        <v>0.63615999999999995</v>
      </c>
      <c r="V64">
        <v>0.64056000000000002</v>
      </c>
      <c r="W64">
        <v>0.64485000000000003</v>
      </c>
      <c r="X64">
        <v>0.64903</v>
      </c>
      <c r="Y64">
        <v>0.65310000000000001</v>
      </c>
      <c r="Z64">
        <v>0.65707000000000004</v>
      </c>
      <c r="AA64">
        <v>0.66039000000000003</v>
      </c>
      <c r="AB64">
        <v>0.66364999999999996</v>
      </c>
      <c r="AC64">
        <v>0.66683000000000003</v>
      </c>
      <c r="AD64">
        <v>0.66995000000000005</v>
      </c>
      <c r="AE64">
        <v>0.67301</v>
      </c>
      <c r="AF64">
        <v>0.67601</v>
      </c>
      <c r="AG64">
        <v>0.67895000000000005</v>
      </c>
      <c r="AH64">
        <v>0.68181999999999998</v>
      </c>
      <c r="AI64">
        <v>0.68464999999999998</v>
      </c>
      <c r="AJ64">
        <v>0.68742000000000003</v>
      </c>
      <c r="AK64">
        <v>0.68967999999999996</v>
      </c>
      <c r="AL64">
        <v>0.69191000000000003</v>
      </c>
      <c r="AM64">
        <v>0.69411</v>
      </c>
      <c r="AN64">
        <v>0.69626999999999994</v>
      </c>
      <c r="AO64">
        <v>0.69838999999999996</v>
      </c>
      <c r="AP64">
        <v>0.70048999999999995</v>
      </c>
      <c r="AQ64">
        <v>0.70255000000000001</v>
      </c>
      <c r="AR64">
        <v>0.70457999999999998</v>
      </c>
      <c r="AS64">
        <v>0.70657999999999999</v>
      </c>
      <c r="AT64">
        <v>0.70855000000000001</v>
      </c>
      <c r="AU64">
        <v>0.70992</v>
      </c>
      <c r="AV64">
        <v>0.71126</v>
      </c>
      <c r="AW64">
        <v>0.71260000000000001</v>
      </c>
      <c r="AX64">
        <v>0.71392</v>
      </c>
      <c r="AY64">
        <v>0.71523000000000003</v>
      </c>
      <c r="AZ64">
        <v>0.71652000000000005</v>
      </c>
      <c r="BA64">
        <v>0.71779999999999999</v>
      </c>
      <c r="BB64">
        <v>0.71906999999999999</v>
      </c>
      <c r="BC64">
        <v>0.72031999999999996</v>
      </c>
      <c r="BD64">
        <v>0.72157000000000004</v>
      </c>
      <c r="BE64">
        <v>0.72226999999999997</v>
      </c>
      <c r="BF64">
        <v>0.72297</v>
      </c>
      <c r="BG64">
        <v>0.72367000000000004</v>
      </c>
      <c r="BH64">
        <v>0.72436</v>
      </c>
      <c r="BI64">
        <v>0.72504999999999997</v>
      </c>
      <c r="BJ64">
        <v>0.72574000000000005</v>
      </c>
      <c r="BK64">
        <v>0.72641999999999995</v>
      </c>
      <c r="BL64">
        <v>0.72709000000000001</v>
      </c>
      <c r="BM64">
        <v>0.72777000000000003</v>
      </c>
      <c r="BN64">
        <v>0.72843999999999998</v>
      </c>
      <c r="BO64">
        <v>0.72926999999999997</v>
      </c>
      <c r="BP64">
        <v>0.73009999999999997</v>
      </c>
    </row>
    <row r="65" spans="1:68" x14ac:dyDescent="0.3">
      <c r="A65" s="4" t="s">
        <v>602</v>
      </c>
      <c r="B65" s="4" t="s">
        <v>603</v>
      </c>
      <c r="C65" s="4" t="s">
        <v>604</v>
      </c>
      <c r="D65" s="4"/>
      <c r="E65" s="4" t="s">
        <v>11</v>
      </c>
      <c r="F65" s="4" t="s">
        <v>12</v>
      </c>
      <c r="G65" s="4">
        <v>0</v>
      </c>
      <c r="H65" s="4"/>
      <c r="I65" s="4"/>
      <c r="J65" s="4"/>
      <c r="K65" s="4"/>
      <c r="L65" s="4"/>
      <c r="M65" s="4"/>
      <c r="N65" s="4"/>
      <c r="O65" s="4"/>
      <c r="P65" s="4"/>
    </row>
    <row r="66" spans="1:68" x14ac:dyDescent="0.3">
      <c r="A66" s="5" t="s">
        <v>605</v>
      </c>
      <c r="B66" s="5" t="s">
        <v>606</v>
      </c>
      <c r="C66" s="5" t="s">
        <v>472</v>
      </c>
      <c r="D66" s="5"/>
      <c r="E66" s="5" t="s">
        <v>139</v>
      </c>
      <c r="F66" s="5" t="s">
        <v>140</v>
      </c>
      <c r="G66" s="5">
        <v>0</v>
      </c>
      <c r="H66" s="5">
        <v>2.69</v>
      </c>
      <c r="I66" s="5">
        <v>2.69</v>
      </c>
      <c r="J66" s="5">
        <v>2.69</v>
      </c>
      <c r="K66" s="5">
        <v>2.69</v>
      </c>
      <c r="L66" s="5">
        <v>2.69</v>
      </c>
      <c r="M66" s="5">
        <v>2.69</v>
      </c>
      <c r="N66" s="5">
        <v>2.69</v>
      </c>
      <c r="O66" s="5">
        <v>2.69</v>
      </c>
      <c r="P66" s="5">
        <v>2.69</v>
      </c>
      <c r="Q66">
        <v>2.69</v>
      </c>
      <c r="R66">
        <v>2.69</v>
      </c>
      <c r="S66">
        <v>2.69</v>
      </c>
      <c r="T66">
        <v>2.67</v>
      </c>
      <c r="U66">
        <v>2.65</v>
      </c>
      <c r="V66">
        <v>2.64</v>
      </c>
      <c r="W66">
        <v>2.62</v>
      </c>
      <c r="X66">
        <v>2.6</v>
      </c>
      <c r="Y66">
        <v>2.58</v>
      </c>
      <c r="Z66">
        <v>2.56</v>
      </c>
      <c r="AA66">
        <v>2.5499999999999998</v>
      </c>
      <c r="AB66">
        <v>2.4700000000000002</v>
      </c>
      <c r="AC66">
        <v>2.4</v>
      </c>
      <c r="AD66">
        <v>2.3199999999999998</v>
      </c>
      <c r="AE66">
        <v>2.2599999999999998</v>
      </c>
      <c r="AF66">
        <v>2.19</v>
      </c>
      <c r="AG66">
        <v>2.1800000000000002</v>
      </c>
      <c r="AH66">
        <v>2.16</v>
      </c>
      <c r="AI66">
        <v>2.15</v>
      </c>
      <c r="AJ66">
        <v>2.13</v>
      </c>
      <c r="AK66">
        <v>2.12</v>
      </c>
      <c r="AL66">
        <v>2.1</v>
      </c>
      <c r="AM66">
        <v>2.09</v>
      </c>
      <c r="AN66">
        <v>2.08</v>
      </c>
      <c r="AO66">
        <v>2.0699999999999998</v>
      </c>
      <c r="AP66">
        <v>2.0499999999999998</v>
      </c>
      <c r="AQ66">
        <v>2.0299999999999998</v>
      </c>
      <c r="AR66">
        <v>2.02</v>
      </c>
      <c r="AS66">
        <v>2</v>
      </c>
      <c r="AT66">
        <v>1.99</v>
      </c>
      <c r="AU66">
        <v>1.98</v>
      </c>
      <c r="AV66">
        <v>1.96</v>
      </c>
      <c r="AW66">
        <f>AV66</f>
        <v>1.96</v>
      </c>
      <c r="AX66">
        <f t="shared" ref="AX66:BP66" si="15">AW66</f>
        <v>1.96</v>
      </c>
      <c r="AY66">
        <f t="shared" si="15"/>
        <v>1.96</v>
      </c>
      <c r="AZ66">
        <f t="shared" si="15"/>
        <v>1.96</v>
      </c>
      <c r="BA66">
        <f t="shared" si="15"/>
        <v>1.96</v>
      </c>
      <c r="BB66">
        <f t="shared" si="15"/>
        <v>1.96</v>
      </c>
      <c r="BC66">
        <f t="shared" si="15"/>
        <v>1.96</v>
      </c>
      <c r="BD66">
        <f t="shared" si="15"/>
        <v>1.96</v>
      </c>
      <c r="BE66">
        <f t="shared" si="15"/>
        <v>1.96</v>
      </c>
      <c r="BF66">
        <f t="shared" si="15"/>
        <v>1.96</v>
      </c>
      <c r="BG66">
        <f t="shared" si="15"/>
        <v>1.96</v>
      </c>
      <c r="BH66">
        <f t="shared" si="15"/>
        <v>1.96</v>
      </c>
      <c r="BI66">
        <f t="shared" si="15"/>
        <v>1.96</v>
      </c>
      <c r="BJ66">
        <f t="shared" si="15"/>
        <v>1.96</v>
      </c>
      <c r="BK66">
        <f t="shared" si="15"/>
        <v>1.96</v>
      </c>
      <c r="BL66">
        <f t="shared" si="15"/>
        <v>1.96</v>
      </c>
      <c r="BM66">
        <f t="shared" si="15"/>
        <v>1.96</v>
      </c>
      <c r="BN66">
        <f t="shared" si="15"/>
        <v>1.96</v>
      </c>
      <c r="BO66">
        <f t="shared" si="15"/>
        <v>1.96</v>
      </c>
      <c r="BP66">
        <f t="shared" si="15"/>
        <v>1.96</v>
      </c>
    </row>
    <row r="67" spans="1:68" x14ac:dyDescent="0.3">
      <c r="A67" s="5" t="s">
        <v>605</v>
      </c>
      <c r="B67" s="5" t="s">
        <v>606</v>
      </c>
      <c r="C67" s="5" t="s">
        <v>604</v>
      </c>
      <c r="D67" s="5"/>
      <c r="E67" s="5" t="s">
        <v>11</v>
      </c>
      <c r="F67" s="5" t="s">
        <v>12</v>
      </c>
      <c r="G67" s="5">
        <v>0</v>
      </c>
      <c r="H67" s="5"/>
      <c r="I67" s="5"/>
      <c r="J67" s="5"/>
      <c r="K67" s="5"/>
      <c r="L67" s="5"/>
      <c r="M67" s="5"/>
      <c r="N67" s="5"/>
      <c r="O67" s="5"/>
      <c r="P67" s="5"/>
    </row>
    <row r="68" spans="1:68" x14ac:dyDescent="0.3">
      <c r="A68" s="4" t="s">
        <v>607</v>
      </c>
      <c r="B68" s="4" t="s">
        <v>608</v>
      </c>
      <c r="C68" s="4" t="s">
        <v>460</v>
      </c>
      <c r="D68" s="4"/>
      <c r="E68" s="4" t="s">
        <v>139</v>
      </c>
      <c r="F68" s="4" t="s">
        <v>140</v>
      </c>
      <c r="G68" s="4">
        <v>0</v>
      </c>
      <c r="H68" s="4">
        <v>0.72</v>
      </c>
      <c r="I68" s="4">
        <v>0.72</v>
      </c>
      <c r="J68" s="4">
        <v>0.72</v>
      </c>
      <c r="K68" s="4">
        <v>0.72</v>
      </c>
      <c r="L68" s="4">
        <v>0.72</v>
      </c>
      <c r="M68" s="4">
        <v>0.72</v>
      </c>
      <c r="N68" s="4">
        <v>0.72</v>
      </c>
      <c r="O68" s="4">
        <v>0.72</v>
      </c>
      <c r="P68" s="4">
        <v>0.72</v>
      </c>
      <c r="Q68">
        <v>0.69</v>
      </c>
      <c r="R68">
        <v>0.69</v>
      </c>
      <c r="S68">
        <v>0.69</v>
      </c>
      <c r="T68">
        <v>0.68</v>
      </c>
      <c r="U68">
        <v>0.68</v>
      </c>
      <c r="V68">
        <v>0.68</v>
      </c>
      <c r="W68">
        <v>0.68</v>
      </c>
      <c r="X68">
        <v>0.68</v>
      </c>
      <c r="Y68">
        <v>0.67</v>
      </c>
      <c r="Z68">
        <v>0.67</v>
      </c>
      <c r="AA68">
        <v>0.67</v>
      </c>
      <c r="AB68">
        <v>0.66</v>
      </c>
      <c r="AC68">
        <v>0.66</v>
      </c>
      <c r="AD68">
        <v>0.65</v>
      </c>
      <c r="AE68">
        <v>0.65</v>
      </c>
      <c r="AF68">
        <v>0.65</v>
      </c>
      <c r="AG68">
        <v>0.62</v>
      </c>
      <c r="AH68">
        <v>0.62</v>
      </c>
      <c r="AI68">
        <v>0.62</v>
      </c>
      <c r="AJ68">
        <v>0.62</v>
      </c>
      <c r="AK68">
        <v>0.61</v>
      </c>
      <c r="AL68">
        <v>0.61</v>
      </c>
      <c r="AM68">
        <v>0.61</v>
      </c>
      <c r="AN68">
        <v>0.61</v>
      </c>
      <c r="AO68">
        <v>0.61</v>
      </c>
      <c r="AP68">
        <v>0.6</v>
      </c>
      <c r="AQ68">
        <v>0.57999999999999996</v>
      </c>
      <c r="AR68">
        <v>0.57999999999999996</v>
      </c>
      <c r="AS68">
        <v>0.57999999999999996</v>
      </c>
      <c r="AT68">
        <v>0.57999999999999996</v>
      </c>
      <c r="AU68">
        <v>0.56999999999999995</v>
      </c>
      <c r="AV68">
        <v>0.56999999999999995</v>
      </c>
      <c r="AW68">
        <f>AV68</f>
        <v>0.56999999999999995</v>
      </c>
      <c r="AX68">
        <f t="shared" ref="AX68:BP68" si="16">AW68</f>
        <v>0.56999999999999995</v>
      </c>
      <c r="AY68">
        <f t="shared" si="16"/>
        <v>0.56999999999999995</v>
      </c>
      <c r="AZ68">
        <f t="shared" si="16"/>
        <v>0.56999999999999995</v>
      </c>
      <c r="BA68">
        <f t="shared" si="16"/>
        <v>0.56999999999999995</v>
      </c>
      <c r="BB68">
        <f t="shared" si="16"/>
        <v>0.56999999999999995</v>
      </c>
      <c r="BC68">
        <f t="shared" si="16"/>
        <v>0.56999999999999995</v>
      </c>
      <c r="BD68">
        <f t="shared" si="16"/>
        <v>0.56999999999999995</v>
      </c>
      <c r="BE68">
        <f t="shared" si="16"/>
        <v>0.56999999999999995</v>
      </c>
      <c r="BF68">
        <f t="shared" si="16"/>
        <v>0.56999999999999995</v>
      </c>
      <c r="BG68">
        <f t="shared" si="16"/>
        <v>0.56999999999999995</v>
      </c>
      <c r="BH68">
        <f t="shared" si="16"/>
        <v>0.56999999999999995</v>
      </c>
      <c r="BI68">
        <f t="shared" si="16"/>
        <v>0.56999999999999995</v>
      </c>
      <c r="BJ68">
        <f t="shared" si="16"/>
        <v>0.56999999999999995</v>
      </c>
      <c r="BK68">
        <f t="shared" si="16"/>
        <v>0.56999999999999995</v>
      </c>
      <c r="BL68">
        <f t="shared" si="16"/>
        <v>0.56999999999999995</v>
      </c>
      <c r="BM68">
        <f t="shared" si="16"/>
        <v>0.56999999999999995</v>
      </c>
      <c r="BN68">
        <f t="shared" si="16"/>
        <v>0.56999999999999995</v>
      </c>
      <c r="BO68">
        <f t="shared" si="16"/>
        <v>0.56999999999999995</v>
      </c>
      <c r="BP68">
        <f t="shared" si="16"/>
        <v>0.56999999999999995</v>
      </c>
    </row>
    <row r="69" spans="1:68" x14ac:dyDescent="0.3">
      <c r="A69" s="4" t="s">
        <v>607</v>
      </c>
      <c r="B69" s="4" t="s">
        <v>608</v>
      </c>
      <c r="C69" s="4" t="s">
        <v>604</v>
      </c>
      <c r="D69" s="4"/>
      <c r="E69" s="4" t="s">
        <v>11</v>
      </c>
      <c r="F69" s="4" t="s">
        <v>12</v>
      </c>
      <c r="G69" s="4">
        <v>0</v>
      </c>
      <c r="H69" s="4"/>
      <c r="I69" s="4"/>
      <c r="J69" s="4"/>
      <c r="K69" s="4"/>
      <c r="L69" s="4"/>
      <c r="M69" s="4"/>
      <c r="N69" s="4"/>
      <c r="O69" s="4"/>
      <c r="P69" s="4"/>
    </row>
    <row r="70" spans="1:68" x14ac:dyDescent="0.3">
      <c r="A70" s="19" t="s">
        <v>609</v>
      </c>
      <c r="B70" s="19" t="s">
        <v>610</v>
      </c>
      <c r="C70" s="19" t="s">
        <v>468</v>
      </c>
      <c r="D70" s="19"/>
      <c r="E70" s="19" t="s">
        <v>139</v>
      </c>
      <c r="F70" s="19" t="s">
        <v>140</v>
      </c>
      <c r="G70" s="5">
        <v>0</v>
      </c>
      <c r="H70" s="5">
        <v>3.22</v>
      </c>
      <c r="I70" s="5">
        <v>3.22</v>
      </c>
      <c r="J70" s="5">
        <v>3.22</v>
      </c>
      <c r="K70" s="5">
        <v>3.22</v>
      </c>
      <c r="L70" s="5">
        <v>3.22</v>
      </c>
      <c r="M70" s="5">
        <v>3.22</v>
      </c>
      <c r="N70" s="5">
        <v>3.22</v>
      </c>
      <c r="O70" s="5">
        <v>3.22</v>
      </c>
      <c r="P70" s="5">
        <v>3.22</v>
      </c>
      <c r="Q70">
        <v>3.22</v>
      </c>
      <c r="R70">
        <v>3.22</v>
      </c>
      <c r="S70">
        <v>3.22</v>
      </c>
      <c r="T70">
        <v>3.2</v>
      </c>
      <c r="U70">
        <v>3.18</v>
      </c>
      <c r="V70">
        <v>3.16</v>
      </c>
      <c r="W70">
        <v>3.14</v>
      </c>
      <c r="X70">
        <v>3.12</v>
      </c>
      <c r="Y70">
        <v>3.1</v>
      </c>
      <c r="Z70">
        <v>3.08</v>
      </c>
      <c r="AA70">
        <v>3.06</v>
      </c>
      <c r="AB70">
        <v>2.96</v>
      </c>
      <c r="AC70">
        <v>2.87</v>
      </c>
      <c r="AD70">
        <v>2.79</v>
      </c>
      <c r="AE70">
        <v>2.71</v>
      </c>
      <c r="AF70">
        <v>2.63</v>
      </c>
      <c r="AG70">
        <v>2.61</v>
      </c>
      <c r="AH70">
        <v>2.59</v>
      </c>
      <c r="AI70">
        <v>2.57</v>
      </c>
      <c r="AJ70">
        <v>2.5499999999999998</v>
      </c>
      <c r="AK70">
        <v>2.54</v>
      </c>
      <c r="AL70">
        <v>2.52</v>
      </c>
      <c r="AM70">
        <v>2.5099999999999998</v>
      </c>
      <c r="AN70">
        <v>2.4900000000000002</v>
      </c>
      <c r="AO70">
        <v>2.4700000000000002</v>
      </c>
      <c r="AP70">
        <v>2.46</v>
      </c>
      <c r="AQ70">
        <v>2.44</v>
      </c>
      <c r="AR70">
        <v>2.42</v>
      </c>
      <c r="AS70">
        <v>2.4</v>
      </c>
      <c r="AT70">
        <v>2.39</v>
      </c>
      <c r="AU70">
        <v>2.37</v>
      </c>
      <c r="AV70">
        <v>2.36</v>
      </c>
      <c r="AW70">
        <f>AV70</f>
        <v>2.36</v>
      </c>
      <c r="AX70">
        <f t="shared" ref="AX70:BP70" si="17">AW70</f>
        <v>2.36</v>
      </c>
      <c r="AY70">
        <f t="shared" si="17"/>
        <v>2.36</v>
      </c>
      <c r="AZ70">
        <f t="shared" si="17"/>
        <v>2.36</v>
      </c>
      <c r="BA70">
        <f t="shared" si="17"/>
        <v>2.36</v>
      </c>
      <c r="BB70">
        <f t="shared" si="17"/>
        <v>2.36</v>
      </c>
      <c r="BC70">
        <f t="shared" si="17"/>
        <v>2.36</v>
      </c>
      <c r="BD70">
        <f t="shared" si="17"/>
        <v>2.36</v>
      </c>
      <c r="BE70">
        <f t="shared" si="17"/>
        <v>2.36</v>
      </c>
      <c r="BF70">
        <f t="shared" si="17"/>
        <v>2.36</v>
      </c>
      <c r="BG70">
        <f t="shared" si="17"/>
        <v>2.36</v>
      </c>
      <c r="BH70">
        <f t="shared" si="17"/>
        <v>2.36</v>
      </c>
      <c r="BI70">
        <f t="shared" si="17"/>
        <v>2.36</v>
      </c>
      <c r="BJ70">
        <f t="shared" si="17"/>
        <v>2.36</v>
      </c>
      <c r="BK70">
        <f t="shared" si="17"/>
        <v>2.36</v>
      </c>
      <c r="BL70">
        <f t="shared" si="17"/>
        <v>2.36</v>
      </c>
      <c r="BM70">
        <f t="shared" si="17"/>
        <v>2.36</v>
      </c>
      <c r="BN70">
        <f t="shared" si="17"/>
        <v>2.36</v>
      </c>
      <c r="BO70">
        <f t="shared" si="17"/>
        <v>2.36</v>
      </c>
      <c r="BP70">
        <f t="shared" si="17"/>
        <v>2.36</v>
      </c>
    </row>
    <row r="71" spans="1:68" x14ac:dyDescent="0.3">
      <c r="A71" s="19" t="s">
        <v>609</v>
      </c>
      <c r="B71" s="19" t="s">
        <v>610</v>
      </c>
      <c r="C71" s="19" t="s">
        <v>604</v>
      </c>
      <c r="D71" s="19"/>
      <c r="E71" s="19" t="s">
        <v>11</v>
      </c>
      <c r="F71" s="19" t="s">
        <v>12</v>
      </c>
      <c r="G71" s="5">
        <v>0</v>
      </c>
      <c r="H71" s="5"/>
      <c r="I71" s="5"/>
      <c r="J71" s="5"/>
      <c r="K71" s="5"/>
      <c r="L71" s="5"/>
      <c r="M71" s="5"/>
      <c r="N71" s="5"/>
      <c r="O71" s="5"/>
      <c r="P71" s="5"/>
    </row>
    <row r="72" spans="1:68" x14ac:dyDescent="0.3">
      <c r="A72" s="21" t="s">
        <v>611</v>
      </c>
      <c r="B72" s="21" t="s">
        <v>612</v>
      </c>
      <c r="C72" s="21" t="s">
        <v>464</v>
      </c>
      <c r="D72" s="21"/>
      <c r="E72" s="21" t="s">
        <v>139</v>
      </c>
      <c r="F72" s="21" t="s">
        <v>140</v>
      </c>
      <c r="G72" s="4">
        <v>0</v>
      </c>
      <c r="H72" s="4">
        <v>1.3440000000000001</v>
      </c>
      <c r="I72" s="4">
        <v>1.3440000000000001</v>
      </c>
      <c r="J72" s="4">
        <v>1.3440000000000001</v>
      </c>
      <c r="K72" s="4">
        <v>1.3440000000000001</v>
      </c>
      <c r="L72" s="4">
        <v>1.3440000000000001</v>
      </c>
      <c r="M72" s="4">
        <v>1.3440000000000001</v>
      </c>
      <c r="N72" s="4">
        <v>1.3440000000000001</v>
      </c>
      <c r="O72" s="4">
        <v>1.3440000000000001</v>
      </c>
      <c r="P72" s="4">
        <v>1.3440000000000001</v>
      </c>
      <c r="Q72">
        <v>1.32507</v>
      </c>
      <c r="R72">
        <v>1.30667</v>
      </c>
      <c r="S72">
        <v>1.28877</v>
      </c>
      <c r="T72">
        <v>1.27135</v>
      </c>
      <c r="U72">
        <v>1.2544</v>
      </c>
      <c r="V72">
        <v>1.2378899999999999</v>
      </c>
      <c r="W72">
        <v>1.2218199999999999</v>
      </c>
      <c r="X72">
        <v>1.2061500000000001</v>
      </c>
      <c r="Y72">
        <v>1.19089</v>
      </c>
      <c r="Z72">
        <v>1.1759999999999999</v>
      </c>
      <c r="AA72">
        <v>1.16353</v>
      </c>
      <c r="AB72">
        <v>1.15133</v>
      </c>
      <c r="AC72">
        <v>1.1393800000000001</v>
      </c>
      <c r="AD72">
        <v>1.12767</v>
      </c>
      <c r="AE72">
        <v>1.1162000000000001</v>
      </c>
      <c r="AF72">
        <v>1.10497</v>
      </c>
      <c r="AG72">
        <v>1.09395</v>
      </c>
      <c r="AH72">
        <v>1.0831599999999999</v>
      </c>
      <c r="AI72">
        <v>1.07257</v>
      </c>
      <c r="AJ72">
        <v>1.06219</v>
      </c>
      <c r="AK72">
        <v>1.0537000000000001</v>
      </c>
      <c r="AL72">
        <v>1.0453300000000001</v>
      </c>
      <c r="AM72">
        <v>1.0370999999999999</v>
      </c>
      <c r="AN72">
        <v>1.0289999999999999</v>
      </c>
      <c r="AO72">
        <v>1.02102</v>
      </c>
      <c r="AP72">
        <v>1.0131699999999999</v>
      </c>
      <c r="AQ72">
        <v>1.0054399999999999</v>
      </c>
      <c r="AR72">
        <v>0.99782000000000004</v>
      </c>
      <c r="AS72">
        <v>0.99031999999999998</v>
      </c>
      <c r="AT72">
        <v>0.98292999999999997</v>
      </c>
      <c r="AU72">
        <v>0.97782000000000002</v>
      </c>
      <c r="AV72">
        <v>0.97275999999999996</v>
      </c>
      <c r="AW72">
        <v>0.96775999999999995</v>
      </c>
      <c r="AX72">
        <v>0.96281000000000005</v>
      </c>
      <c r="AY72">
        <v>0.95791000000000004</v>
      </c>
      <c r="AZ72">
        <v>0.95304999999999995</v>
      </c>
      <c r="BA72">
        <v>0.94825000000000004</v>
      </c>
      <c r="BB72">
        <v>0.94350000000000001</v>
      </c>
      <c r="BC72">
        <v>0.93879000000000001</v>
      </c>
      <c r="BD72">
        <v>0.93413000000000002</v>
      </c>
      <c r="BE72">
        <v>0.93149000000000004</v>
      </c>
      <c r="BF72">
        <v>0.92886000000000002</v>
      </c>
      <c r="BG72">
        <v>0.92623999999999995</v>
      </c>
      <c r="BH72">
        <v>0.92364999999999997</v>
      </c>
      <c r="BI72">
        <v>0.92105999999999999</v>
      </c>
      <c r="BJ72">
        <v>0.91849000000000003</v>
      </c>
      <c r="BK72">
        <v>0.91593999999999998</v>
      </c>
      <c r="BL72">
        <v>0.91339999999999999</v>
      </c>
      <c r="BM72">
        <v>0.91086999999999996</v>
      </c>
      <c r="BN72">
        <v>0.90835999999999995</v>
      </c>
      <c r="BO72">
        <v>0.90524000000000004</v>
      </c>
      <c r="BP72">
        <v>0.90214000000000005</v>
      </c>
    </row>
    <row r="73" spans="1:68" x14ac:dyDescent="0.3">
      <c r="A73" s="22" t="s">
        <v>611</v>
      </c>
      <c r="B73" s="22" t="s">
        <v>612</v>
      </c>
      <c r="C73" s="22" t="s">
        <v>460</v>
      </c>
      <c r="D73" s="22"/>
      <c r="E73" s="22" t="s">
        <v>139</v>
      </c>
      <c r="F73" s="22" t="s">
        <v>140</v>
      </c>
      <c r="G73" s="10">
        <v>0</v>
      </c>
      <c r="H73" s="4">
        <v>0.61226999999999998</v>
      </c>
      <c r="I73" s="4">
        <v>0.61226999999999998</v>
      </c>
      <c r="J73" s="4">
        <v>0.61226999999999998</v>
      </c>
      <c r="K73" s="4">
        <v>0.61226999999999998</v>
      </c>
      <c r="L73" s="4">
        <v>0.61226999999999998</v>
      </c>
      <c r="M73" s="4">
        <v>0.61226999999999998</v>
      </c>
      <c r="N73" s="4">
        <v>0.61226999999999998</v>
      </c>
      <c r="O73" s="4">
        <v>0.61226999999999998</v>
      </c>
      <c r="P73" s="4">
        <v>0.61226999999999998</v>
      </c>
      <c r="Q73">
        <v>0.61731000000000003</v>
      </c>
      <c r="R73">
        <v>0.62222</v>
      </c>
      <c r="S73">
        <v>0.627</v>
      </c>
      <c r="T73">
        <v>0.63163999999999998</v>
      </c>
      <c r="U73">
        <v>0.63615999999999995</v>
      </c>
      <c r="V73">
        <v>0.64056000000000002</v>
      </c>
      <c r="W73">
        <v>0.64485000000000003</v>
      </c>
      <c r="X73">
        <v>0.64903</v>
      </c>
      <c r="Y73">
        <v>0.65310000000000001</v>
      </c>
      <c r="Z73">
        <v>0.65707000000000004</v>
      </c>
      <c r="AA73">
        <v>0.66039000000000003</v>
      </c>
      <c r="AB73">
        <v>0.66364999999999996</v>
      </c>
      <c r="AC73">
        <v>0.66683000000000003</v>
      </c>
      <c r="AD73">
        <v>0.66995000000000005</v>
      </c>
      <c r="AE73">
        <v>0.67301</v>
      </c>
      <c r="AF73">
        <v>0.67601</v>
      </c>
      <c r="AG73">
        <v>0.67895000000000005</v>
      </c>
      <c r="AH73">
        <v>0.68181999999999998</v>
      </c>
      <c r="AI73">
        <v>0.68464999999999998</v>
      </c>
      <c r="AJ73">
        <v>0.68742000000000003</v>
      </c>
      <c r="AK73">
        <v>0.68967999999999996</v>
      </c>
      <c r="AL73">
        <v>0.69191000000000003</v>
      </c>
      <c r="AM73">
        <v>0.69411</v>
      </c>
      <c r="AN73">
        <v>0.69626999999999994</v>
      </c>
      <c r="AO73">
        <v>0.69838999999999996</v>
      </c>
      <c r="AP73">
        <v>0.70048999999999995</v>
      </c>
      <c r="AQ73">
        <v>0.70255000000000001</v>
      </c>
      <c r="AR73">
        <v>0.70457999999999998</v>
      </c>
      <c r="AS73">
        <v>0.70657999999999999</v>
      </c>
      <c r="AT73">
        <v>0.70855000000000001</v>
      </c>
      <c r="AU73">
        <v>0.70992</v>
      </c>
      <c r="AV73">
        <v>0.71126</v>
      </c>
      <c r="AW73">
        <v>0.71260000000000001</v>
      </c>
      <c r="AX73">
        <v>0.71392</v>
      </c>
      <c r="AY73">
        <v>0.71523000000000003</v>
      </c>
      <c r="AZ73">
        <v>0.71652000000000005</v>
      </c>
      <c r="BA73">
        <v>0.71779999999999999</v>
      </c>
      <c r="BB73">
        <v>0.71906999999999999</v>
      </c>
      <c r="BC73">
        <v>0.72031999999999996</v>
      </c>
      <c r="BD73">
        <v>0.72157000000000004</v>
      </c>
      <c r="BE73">
        <v>0.72226999999999997</v>
      </c>
      <c r="BF73">
        <v>0.72297</v>
      </c>
      <c r="BG73">
        <v>0.72367000000000004</v>
      </c>
      <c r="BH73">
        <v>0.72436</v>
      </c>
      <c r="BI73">
        <v>0.72504999999999997</v>
      </c>
      <c r="BJ73">
        <v>0.72574000000000005</v>
      </c>
      <c r="BK73">
        <v>0.72641999999999995</v>
      </c>
      <c r="BL73">
        <v>0.72709000000000001</v>
      </c>
      <c r="BM73">
        <v>0.72777000000000003</v>
      </c>
      <c r="BN73">
        <v>0.72843999999999998</v>
      </c>
      <c r="BO73">
        <v>0.72926999999999997</v>
      </c>
      <c r="BP73">
        <v>0.73009999999999997</v>
      </c>
    </row>
    <row r="74" spans="1:68" x14ac:dyDescent="0.3">
      <c r="A74" s="21" t="s">
        <v>611</v>
      </c>
      <c r="B74" s="21" t="s">
        <v>612</v>
      </c>
      <c r="C74" s="21" t="s">
        <v>604</v>
      </c>
      <c r="D74" s="21"/>
      <c r="E74" s="21" t="s">
        <v>11</v>
      </c>
      <c r="F74" s="21" t="s">
        <v>12</v>
      </c>
      <c r="G74" s="4">
        <v>0</v>
      </c>
      <c r="H74" s="4"/>
      <c r="I74" s="4"/>
      <c r="J74" s="4"/>
      <c r="K74" s="4"/>
      <c r="L74" s="4"/>
      <c r="M74" s="4"/>
      <c r="N74" s="4"/>
      <c r="O74" s="4"/>
      <c r="P74" s="4"/>
    </row>
    <row r="75" spans="1:68" x14ac:dyDescent="0.3">
      <c r="A75" s="19" t="s">
        <v>613</v>
      </c>
      <c r="B75" s="19" t="s">
        <v>614</v>
      </c>
      <c r="C75" s="19" t="s">
        <v>464</v>
      </c>
      <c r="D75" s="19"/>
      <c r="E75" s="19" t="s">
        <v>139</v>
      </c>
      <c r="F75" s="19" t="s">
        <v>140</v>
      </c>
      <c r="G75" s="5">
        <v>0</v>
      </c>
      <c r="H75" s="5">
        <v>3.64</v>
      </c>
      <c r="I75" s="5">
        <v>3.64</v>
      </c>
      <c r="J75" s="5">
        <v>3.64</v>
      </c>
      <c r="K75" s="5">
        <v>3.64</v>
      </c>
      <c r="L75" s="5">
        <v>3.64</v>
      </c>
      <c r="M75" s="5">
        <v>3.64</v>
      </c>
      <c r="N75" s="5">
        <v>3.64</v>
      </c>
      <c r="O75" s="5">
        <v>3.64</v>
      </c>
      <c r="P75" s="5">
        <v>3.64</v>
      </c>
      <c r="Q75">
        <v>3.64</v>
      </c>
      <c r="R75">
        <v>3.64</v>
      </c>
      <c r="S75">
        <v>3.64</v>
      </c>
      <c r="T75">
        <v>3.61</v>
      </c>
      <c r="U75">
        <v>3.59</v>
      </c>
      <c r="V75">
        <v>3.56</v>
      </c>
      <c r="W75">
        <v>3.54</v>
      </c>
      <c r="X75">
        <v>3.52</v>
      </c>
      <c r="Y75">
        <v>3.5</v>
      </c>
      <c r="Z75">
        <v>3.47</v>
      </c>
      <c r="AA75">
        <v>3.45</v>
      </c>
      <c r="AB75">
        <v>3.34</v>
      </c>
      <c r="AC75">
        <v>3.24</v>
      </c>
      <c r="AD75">
        <v>3.14</v>
      </c>
      <c r="AE75">
        <v>3.05</v>
      </c>
      <c r="AF75">
        <v>2.97</v>
      </c>
      <c r="AG75">
        <v>2.95</v>
      </c>
      <c r="AH75">
        <v>2.92</v>
      </c>
      <c r="AI75">
        <v>2.9</v>
      </c>
      <c r="AJ75">
        <v>2.88</v>
      </c>
      <c r="AK75">
        <v>2.86</v>
      </c>
      <c r="AL75">
        <v>2.85</v>
      </c>
      <c r="AM75">
        <v>2.83</v>
      </c>
      <c r="AN75">
        <v>2.81</v>
      </c>
      <c r="AO75">
        <v>2.79</v>
      </c>
      <c r="AP75">
        <v>2.77</v>
      </c>
      <c r="AQ75">
        <v>2.75</v>
      </c>
      <c r="AR75">
        <v>2.74</v>
      </c>
      <c r="AS75">
        <v>2.72</v>
      </c>
      <c r="AT75">
        <v>2.7</v>
      </c>
      <c r="AU75">
        <v>2.68</v>
      </c>
      <c r="AV75">
        <v>2.66</v>
      </c>
      <c r="AW75">
        <f>AV75</f>
        <v>2.66</v>
      </c>
      <c r="AX75">
        <f t="shared" ref="AX75:BP75" si="18">AW75</f>
        <v>2.66</v>
      </c>
      <c r="AY75">
        <f t="shared" si="18"/>
        <v>2.66</v>
      </c>
      <c r="AZ75">
        <f t="shared" si="18"/>
        <v>2.66</v>
      </c>
      <c r="BA75">
        <f t="shared" si="18"/>
        <v>2.66</v>
      </c>
      <c r="BB75">
        <f t="shared" si="18"/>
        <v>2.66</v>
      </c>
      <c r="BC75">
        <f t="shared" si="18"/>
        <v>2.66</v>
      </c>
      <c r="BD75">
        <f t="shared" si="18"/>
        <v>2.66</v>
      </c>
      <c r="BE75">
        <f t="shared" si="18"/>
        <v>2.66</v>
      </c>
      <c r="BF75">
        <f t="shared" si="18"/>
        <v>2.66</v>
      </c>
      <c r="BG75">
        <f t="shared" si="18"/>
        <v>2.66</v>
      </c>
      <c r="BH75">
        <f t="shared" si="18"/>
        <v>2.66</v>
      </c>
      <c r="BI75">
        <f t="shared" si="18"/>
        <v>2.66</v>
      </c>
      <c r="BJ75">
        <f t="shared" si="18"/>
        <v>2.66</v>
      </c>
      <c r="BK75">
        <f t="shared" si="18"/>
        <v>2.66</v>
      </c>
      <c r="BL75">
        <f t="shared" si="18"/>
        <v>2.66</v>
      </c>
      <c r="BM75">
        <f t="shared" si="18"/>
        <v>2.66</v>
      </c>
      <c r="BN75">
        <f t="shared" si="18"/>
        <v>2.66</v>
      </c>
      <c r="BO75">
        <f t="shared" si="18"/>
        <v>2.66</v>
      </c>
      <c r="BP75">
        <f t="shared" si="18"/>
        <v>2.66</v>
      </c>
    </row>
    <row r="76" spans="1:68" x14ac:dyDescent="0.3">
      <c r="A76" s="19" t="s">
        <v>613</v>
      </c>
      <c r="B76" s="19" t="s">
        <v>614</v>
      </c>
      <c r="C76" s="19" t="s">
        <v>604</v>
      </c>
      <c r="D76" s="19"/>
      <c r="E76" s="19" t="s">
        <v>11</v>
      </c>
      <c r="F76" s="19" t="s">
        <v>12</v>
      </c>
      <c r="G76" s="5">
        <v>0</v>
      </c>
      <c r="H76" s="5"/>
      <c r="I76" s="5"/>
      <c r="J76" s="5"/>
      <c r="K76" s="5"/>
      <c r="L76" s="5"/>
      <c r="M76" s="5"/>
      <c r="N76" s="5"/>
      <c r="O76" s="5"/>
      <c r="P76" s="5"/>
    </row>
    <row r="77" spans="1:68" x14ac:dyDescent="0.3">
      <c r="A77" s="4" t="s">
        <v>615</v>
      </c>
      <c r="B77" s="4" t="s">
        <v>616</v>
      </c>
      <c r="C77" s="4" t="s">
        <v>476</v>
      </c>
      <c r="D77" s="4"/>
      <c r="E77" s="4" t="s">
        <v>139</v>
      </c>
      <c r="F77" s="10" t="s">
        <v>12</v>
      </c>
      <c r="G77" s="4">
        <v>0</v>
      </c>
      <c r="H77" s="10"/>
      <c r="I77" s="10"/>
      <c r="J77" s="10"/>
      <c r="K77" s="10"/>
      <c r="L77" s="10"/>
      <c r="M77" s="10"/>
      <c r="N77" s="10"/>
      <c r="O77" s="10"/>
      <c r="P77" s="10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</row>
    <row r="78" spans="1:68" x14ac:dyDescent="0.3">
      <c r="A78" s="4" t="s">
        <v>615</v>
      </c>
      <c r="B78" s="4" t="s">
        <v>616</v>
      </c>
      <c r="C78" s="4" t="s">
        <v>604</v>
      </c>
      <c r="D78" s="4"/>
      <c r="E78" s="4" t="s">
        <v>11</v>
      </c>
      <c r="F78" s="4" t="s">
        <v>12</v>
      </c>
      <c r="G78" s="4">
        <v>0</v>
      </c>
      <c r="H78" s="4"/>
      <c r="I78" s="4"/>
      <c r="J78" s="4"/>
      <c r="K78" s="4"/>
      <c r="L78" s="4"/>
      <c r="M78" s="4"/>
      <c r="N78" s="4"/>
      <c r="O78" s="4"/>
      <c r="P78" s="4"/>
    </row>
    <row r="79" spans="1:68" x14ac:dyDescent="0.3">
      <c r="A79" s="5" t="s">
        <v>617</v>
      </c>
      <c r="B79" s="5" t="s">
        <v>618</v>
      </c>
      <c r="C79" s="5" t="s">
        <v>468</v>
      </c>
      <c r="D79" s="5"/>
      <c r="E79" s="5" t="s">
        <v>139</v>
      </c>
      <c r="F79" s="5" t="s">
        <v>140</v>
      </c>
      <c r="G79" s="5">
        <v>0</v>
      </c>
      <c r="H79" s="5">
        <v>1.4611400000000001</v>
      </c>
      <c r="I79" s="5">
        <v>1.4611400000000001</v>
      </c>
      <c r="J79" s="5">
        <v>1.4611400000000001</v>
      </c>
      <c r="K79" s="5">
        <v>1.4611400000000001</v>
      </c>
      <c r="L79" s="5">
        <v>1.4611400000000001</v>
      </c>
      <c r="M79" s="5">
        <v>1.4611400000000001</v>
      </c>
      <c r="N79" s="5">
        <v>1.4611400000000001</v>
      </c>
      <c r="O79" s="5">
        <v>1.4611400000000001</v>
      </c>
      <c r="P79" s="5">
        <v>1.4611400000000001</v>
      </c>
      <c r="Q79">
        <v>1.44163</v>
      </c>
      <c r="R79">
        <v>1.4216</v>
      </c>
      <c r="S79">
        <v>1.4021300000000001</v>
      </c>
      <c r="T79">
        <v>1.3842300000000001</v>
      </c>
      <c r="U79">
        <v>1.36629</v>
      </c>
      <c r="V79">
        <v>1.343</v>
      </c>
      <c r="W79">
        <v>1.32605</v>
      </c>
      <c r="X79">
        <v>1.3095399999999999</v>
      </c>
      <c r="Y79">
        <v>1.2939400000000001</v>
      </c>
      <c r="Z79">
        <v>1.27826</v>
      </c>
      <c r="AA79">
        <v>1.2652000000000001</v>
      </c>
      <c r="AB79">
        <v>1.24919</v>
      </c>
      <c r="AC79">
        <v>1.2328600000000001</v>
      </c>
      <c r="AD79">
        <v>1.2291000000000001</v>
      </c>
      <c r="AE79">
        <v>1.2127399999999999</v>
      </c>
      <c r="AF79">
        <v>1.1965399999999999</v>
      </c>
      <c r="AG79">
        <v>1.1922900000000001</v>
      </c>
      <c r="AH79">
        <v>1.1749499999999999</v>
      </c>
      <c r="AI79">
        <v>1.1639900000000001</v>
      </c>
      <c r="AJ79">
        <v>1.15324</v>
      </c>
      <c r="AK79">
        <v>1.14453</v>
      </c>
      <c r="AL79">
        <v>1.1359699999999999</v>
      </c>
      <c r="AM79">
        <v>1.1215200000000001</v>
      </c>
      <c r="AN79">
        <v>1.1132500000000001</v>
      </c>
      <c r="AO79">
        <v>1.10511</v>
      </c>
      <c r="AP79">
        <v>1.0971</v>
      </c>
      <c r="AQ79">
        <v>1.08972</v>
      </c>
      <c r="AR79">
        <v>1.0819700000000001</v>
      </c>
      <c r="AS79">
        <v>1.0743400000000001</v>
      </c>
      <c r="AT79">
        <v>1.06084</v>
      </c>
      <c r="AU79">
        <v>1.0558000000000001</v>
      </c>
      <c r="AV79">
        <v>1.0508200000000001</v>
      </c>
      <c r="AW79">
        <v>1.0519099999999999</v>
      </c>
      <c r="AX79">
        <v>1.04653</v>
      </c>
      <c r="AY79">
        <v>1.0411999999999999</v>
      </c>
      <c r="AZ79">
        <v>1.0300100000000001</v>
      </c>
      <c r="BA79">
        <v>1.03122</v>
      </c>
      <c r="BB79">
        <v>1.0260499999999999</v>
      </c>
      <c r="BC79">
        <v>1.0150600000000001</v>
      </c>
      <c r="BD79">
        <v>1.0163800000000001</v>
      </c>
      <c r="BE79">
        <v>1.0135000000000001</v>
      </c>
      <c r="BF79">
        <v>1.0047999999999999</v>
      </c>
      <c r="BG79">
        <v>1.0019800000000001</v>
      </c>
      <c r="BH79">
        <v>0.99916000000000005</v>
      </c>
      <c r="BI79">
        <v>0.99636999999999998</v>
      </c>
      <c r="BJ79">
        <v>0.99358999999999997</v>
      </c>
      <c r="BK79">
        <v>0.99082999999999999</v>
      </c>
      <c r="BL79">
        <v>0.98855000000000004</v>
      </c>
      <c r="BM79">
        <v>0.98582000000000003</v>
      </c>
      <c r="BN79">
        <v>0.98309999999999997</v>
      </c>
      <c r="BO79">
        <v>0.97972000000000004</v>
      </c>
      <c r="BP79">
        <v>0.97636000000000001</v>
      </c>
    </row>
    <row r="80" spans="1:68" x14ac:dyDescent="0.3">
      <c r="A80" s="8" t="s">
        <v>617</v>
      </c>
      <c r="B80" s="8" t="s">
        <v>618</v>
      </c>
      <c r="C80" s="8" t="s">
        <v>460</v>
      </c>
      <c r="D80" s="8"/>
      <c r="E80" s="8" t="s">
        <v>139</v>
      </c>
      <c r="F80" s="8" t="s">
        <v>140</v>
      </c>
      <c r="G80" s="8">
        <v>0</v>
      </c>
      <c r="H80" s="5">
        <v>0.67169999999999996</v>
      </c>
      <c r="I80" s="5">
        <v>0.67169999999999996</v>
      </c>
      <c r="J80" s="5">
        <v>0.67169999999999996</v>
      </c>
      <c r="K80" s="5">
        <v>0.67169999999999996</v>
      </c>
      <c r="L80" s="5">
        <v>0.67169999999999996</v>
      </c>
      <c r="M80" s="5">
        <v>0.67169999999999996</v>
      </c>
      <c r="N80" s="5">
        <v>0.67169999999999996</v>
      </c>
      <c r="O80" s="5">
        <v>0.67169999999999996</v>
      </c>
      <c r="P80" s="5">
        <v>0.67169999999999996</v>
      </c>
      <c r="Q80">
        <v>0.67689999999999995</v>
      </c>
      <c r="R80">
        <v>0.68223999999999996</v>
      </c>
      <c r="S80">
        <v>0.68742999999999999</v>
      </c>
      <c r="T80">
        <v>0.69220999999999999</v>
      </c>
      <c r="U80">
        <v>0.69699</v>
      </c>
      <c r="V80">
        <v>0.70320000000000005</v>
      </c>
      <c r="W80">
        <v>0.70772000000000002</v>
      </c>
      <c r="X80">
        <v>0.71211999999999998</v>
      </c>
      <c r="Y80">
        <v>0.71628000000000003</v>
      </c>
      <c r="Z80">
        <v>0.72045999999999999</v>
      </c>
      <c r="AA80">
        <v>0.72394999999999998</v>
      </c>
      <c r="AB80">
        <v>0.72821999999999998</v>
      </c>
      <c r="AC80">
        <v>0.73257000000000005</v>
      </c>
      <c r="AD80">
        <v>0.73357000000000006</v>
      </c>
      <c r="AE80">
        <v>0.73794000000000004</v>
      </c>
      <c r="AF80">
        <v>0.74226000000000003</v>
      </c>
      <c r="AG80">
        <v>0.74339</v>
      </c>
      <c r="AH80">
        <v>0.74800999999999995</v>
      </c>
      <c r="AI80">
        <v>0.75094000000000005</v>
      </c>
      <c r="AJ80">
        <v>0.75380000000000003</v>
      </c>
      <c r="AK80">
        <v>0.75612000000000001</v>
      </c>
      <c r="AL80">
        <v>0.75841000000000003</v>
      </c>
      <c r="AM80">
        <v>0.76226000000000005</v>
      </c>
      <c r="AN80">
        <v>0.76446999999999998</v>
      </c>
      <c r="AO80">
        <v>0.76663999999999999</v>
      </c>
      <c r="AP80">
        <v>0.76876999999999995</v>
      </c>
      <c r="AQ80">
        <v>0.77073999999999998</v>
      </c>
      <c r="AR80">
        <v>0.77281</v>
      </c>
      <c r="AS80">
        <v>0.77483999999999997</v>
      </c>
      <c r="AT80">
        <v>0.77844000000000002</v>
      </c>
      <c r="AU80">
        <v>0.77978999999999998</v>
      </c>
      <c r="AV80">
        <v>0.78110999999999997</v>
      </c>
      <c r="AW80">
        <v>0.78081999999999996</v>
      </c>
      <c r="AX80">
        <v>0.78225999999999996</v>
      </c>
      <c r="AY80">
        <v>0.78368000000000004</v>
      </c>
      <c r="AZ80">
        <v>0.78666000000000003</v>
      </c>
      <c r="BA80">
        <v>0.78634000000000004</v>
      </c>
      <c r="BB80">
        <v>0.78771999999999998</v>
      </c>
      <c r="BC80">
        <v>0.79064999999999996</v>
      </c>
      <c r="BD80">
        <v>0.7903</v>
      </c>
      <c r="BE80">
        <v>0.79107000000000005</v>
      </c>
      <c r="BF80">
        <v>0.79339000000000004</v>
      </c>
      <c r="BG80">
        <v>0.79413999999999996</v>
      </c>
      <c r="BH80">
        <v>0.79488999999999999</v>
      </c>
      <c r="BI80">
        <v>0.79562999999999995</v>
      </c>
      <c r="BJ80">
        <v>0.79637999999999998</v>
      </c>
      <c r="BK80">
        <v>0.79710999999999999</v>
      </c>
      <c r="BL80">
        <v>0.79771999999999998</v>
      </c>
      <c r="BM80">
        <v>0.79844999999999999</v>
      </c>
      <c r="BN80">
        <v>0.79917000000000005</v>
      </c>
      <c r="BO80">
        <v>0.80008000000000001</v>
      </c>
      <c r="BP80">
        <v>0.80096999999999996</v>
      </c>
    </row>
    <row r="81" spans="1:68" x14ac:dyDescent="0.3">
      <c r="A81" s="5" t="s">
        <v>617</v>
      </c>
      <c r="B81" s="5" t="s">
        <v>618</v>
      </c>
      <c r="C81" s="5" t="s">
        <v>619</v>
      </c>
      <c r="D81" s="5"/>
      <c r="E81" s="5" t="s">
        <v>11</v>
      </c>
      <c r="F81" s="5" t="s">
        <v>12</v>
      </c>
      <c r="G81" s="5">
        <v>0</v>
      </c>
      <c r="H81" s="5"/>
      <c r="I81" s="5"/>
      <c r="J81" s="5"/>
      <c r="K81" s="5"/>
      <c r="L81" s="5"/>
      <c r="M81" s="5"/>
      <c r="N81" s="5"/>
      <c r="O81" s="5"/>
      <c r="P81" s="5"/>
    </row>
    <row r="82" spans="1:68" x14ac:dyDescent="0.3">
      <c r="A82" s="4" t="s">
        <v>620</v>
      </c>
      <c r="B82" s="4" t="s">
        <v>621</v>
      </c>
      <c r="C82" s="4" t="s">
        <v>472</v>
      </c>
      <c r="D82" s="4"/>
      <c r="E82" s="4" t="s">
        <v>139</v>
      </c>
      <c r="F82" s="4" t="s">
        <v>12</v>
      </c>
      <c r="G82" s="4">
        <v>0</v>
      </c>
      <c r="H82" s="4"/>
      <c r="I82" s="4"/>
      <c r="J82" s="4"/>
      <c r="K82" s="4"/>
      <c r="L82" s="4"/>
      <c r="M82" s="4"/>
      <c r="N82" s="4"/>
      <c r="O82" s="4"/>
      <c r="P82" s="4"/>
    </row>
    <row r="83" spans="1:68" x14ac:dyDescent="0.3">
      <c r="A83" s="4" t="s">
        <v>620</v>
      </c>
      <c r="B83" s="4" t="s">
        <v>621</v>
      </c>
      <c r="C83" s="4" t="s">
        <v>619</v>
      </c>
      <c r="D83" s="4"/>
      <c r="E83" s="4" t="s">
        <v>11</v>
      </c>
      <c r="F83" s="4" t="s">
        <v>12</v>
      </c>
      <c r="G83" s="4">
        <v>0</v>
      </c>
      <c r="H83" s="4"/>
      <c r="I83" s="4"/>
      <c r="J83" s="4"/>
      <c r="K83" s="4"/>
      <c r="L83" s="4"/>
      <c r="M83" s="4"/>
      <c r="N83" s="4"/>
      <c r="O83" s="4"/>
      <c r="P83" s="4"/>
    </row>
    <row r="84" spans="1:68" x14ac:dyDescent="0.3">
      <c r="A84" s="5" t="s">
        <v>622</v>
      </c>
      <c r="B84" s="5" t="s">
        <v>623</v>
      </c>
      <c r="C84" s="5" t="s">
        <v>460</v>
      </c>
      <c r="D84" s="5"/>
      <c r="E84" s="5" t="s">
        <v>139</v>
      </c>
      <c r="F84" s="5" t="s">
        <v>140</v>
      </c>
      <c r="G84" s="5">
        <v>0</v>
      </c>
      <c r="H84" s="5">
        <v>0.75</v>
      </c>
      <c r="I84" s="5">
        <v>0.75</v>
      </c>
      <c r="J84" s="5">
        <v>0.75</v>
      </c>
      <c r="K84" s="5">
        <v>0.75</v>
      </c>
      <c r="L84" s="5">
        <v>0.75</v>
      </c>
      <c r="M84" s="5">
        <v>0.75</v>
      </c>
      <c r="N84" s="5">
        <v>0.75</v>
      </c>
      <c r="O84" s="5">
        <v>0.75</v>
      </c>
      <c r="P84" s="5">
        <v>0.75</v>
      </c>
      <c r="Q84">
        <v>0.72</v>
      </c>
      <c r="R84">
        <v>0.72</v>
      </c>
      <c r="S84">
        <v>0.71</v>
      </c>
      <c r="T84">
        <v>0.71</v>
      </c>
      <c r="U84">
        <v>0.71</v>
      </c>
      <c r="V84">
        <v>0.71</v>
      </c>
      <c r="W84">
        <v>0.71</v>
      </c>
      <c r="X84">
        <v>0.7</v>
      </c>
      <c r="Y84">
        <v>0.7</v>
      </c>
      <c r="Z84">
        <v>0.7</v>
      </c>
      <c r="AA84">
        <v>0.7</v>
      </c>
      <c r="AB84">
        <v>0.68</v>
      </c>
      <c r="AC84">
        <v>0.68</v>
      </c>
      <c r="AD84">
        <v>0.68</v>
      </c>
      <c r="AE84">
        <v>0.68</v>
      </c>
      <c r="AF84">
        <v>0.67</v>
      </c>
      <c r="AG84">
        <v>0.65</v>
      </c>
      <c r="AH84">
        <v>0.64</v>
      </c>
      <c r="AI84">
        <v>0.64</v>
      </c>
      <c r="AJ84">
        <v>0.64</v>
      </c>
      <c r="AK84">
        <v>0.64</v>
      </c>
      <c r="AL84">
        <v>0.64</v>
      </c>
      <c r="AM84">
        <v>0.63</v>
      </c>
      <c r="AN84">
        <v>0.63</v>
      </c>
      <c r="AO84">
        <v>0.63</v>
      </c>
      <c r="AP84">
        <v>0.63</v>
      </c>
      <c r="AQ84">
        <v>0.61</v>
      </c>
      <c r="AR84">
        <v>0.6</v>
      </c>
      <c r="AS84">
        <v>0.6</v>
      </c>
      <c r="AT84">
        <v>0.6</v>
      </c>
      <c r="AU84">
        <v>0.6</v>
      </c>
      <c r="AV84">
        <v>0.59</v>
      </c>
      <c r="AW84">
        <f>AV84</f>
        <v>0.59</v>
      </c>
      <c r="AX84">
        <f t="shared" ref="AX84:BP84" si="19">AW84</f>
        <v>0.59</v>
      </c>
      <c r="AY84">
        <f t="shared" si="19"/>
        <v>0.59</v>
      </c>
      <c r="AZ84">
        <f t="shared" si="19"/>
        <v>0.59</v>
      </c>
      <c r="BA84">
        <f t="shared" si="19"/>
        <v>0.59</v>
      </c>
      <c r="BB84">
        <f t="shared" si="19"/>
        <v>0.59</v>
      </c>
      <c r="BC84">
        <f t="shared" si="19"/>
        <v>0.59</v>
      </c>
      <c r="BD84">
        <f t="shared" si="19"/>
        <v>0.59</v>
      </c>
      <c r="BE84">
        <f t="shared" si="19"/>
        <v>0.59</v>
      </c>
      <c r="BF84">
        <f t="shared" si="19"/>
        <v>0.59</v>
      </c>
      <c r="BG84">
        <f t="shared" si="19"/>
        <v>0.59</v>
      </c>
      <c r="BH84">
        <f t="shared" si="19"/>
        <v>0.59</v>
      </c>
      <c r="BI84">
        <f t="shared" si="19"/>
        <v>0.59</v>
      </c>
      <c r="BJ84">
        <f t="shared" si="19"/>
        <v>0.59</v>
      </c>
      <c r="BK84">
        <f t="shared" si="19"/>
        <v>0.59</v>
      </c>
      <c r="BL84">
        <f t="shared" si="19"/>
        <v>0.59</v>
      </c>
      <c r="BM84">
        <f t="shared" si="19"/>
        <v>0.59</v>
      </c>
      <c r="BN84">
        <f t="shared" si="19"/>
        <v>0.59</v>
      </c>
      <c r="BO84">
        <f t="shared" si="19"/>
        <v>0.59</v>
      </c>
      <c r="BP84">
        <f t="shared" si="19"/>
        <v>0.59</v>
      </c>
    </row>
    <row r="85" spans="1:68" x14ac:dyDescent="0.3">
      <c r="A85" s="5" t="s">
        <v>622</v>
      </c>
      <c r="B85" s="5" t="s">
        <v>623</v>
      </c>
      <c r="C85" s="5" t="s">
        <v>619</v>
      </c>
      <c r="D85" s="5"/>
      <c r="E85" s="5" t="s">
        <v>11</v>
      </c>
      <c r="F85" s="5" t="s">
        <v>12</v>
      </c>
      <c r="G85" s="5">
        <v>0</v>
      </c>
      <c r="H85" s="5"/>
      <c r="I85" s="5"/>
      <c r="J85" s="5"/>
      <c r="K85" s="5"/>
      <c r="L85" s="5"/>
      <c r="M85" s="5"/>
      <c r="N85" s="5"/>
      <c r="O85" s="5"/>
      <c r="P85" s="5"/>
    </row>
    <row r="86" spans="1:68" x14ac:dyDescent="0.3">
      <c r="A86" s="21" t="s">
        <v>624</v>
      </c>
      <c r="B86" s="21" t="s">
        <v>625</v>
      </c>
      <c r="C86" s="21" t="s">
        <v>468</v>
      </c>
      <c r="D86" s="21"/>
      <c r="E86" s="21" t="s">
        <v>139</v>
      </c>
      <c r="F86" s="21" t="s">
        <v>140</v>
      </c>
      <c r="G86" s="4">
        <v>0</v>
      </c>
      <c r="H86" s="4">
        <v>3.88</v>
      </c>
      <c r="I86" s="4">
        <v>3.88</v>
      </c>
      <c r="J86" s="4">
        <v>3.88</v>
      </c>
      <c r="K86" s="4">
        <v>3.88</v>
      </c>
      <c r="L86" s="4">
        <v>3.88</v>
      </c>
      <c r="M86" s="4">
        <v>3.88</v>
      </c>
      <c r="N86" s="4">
        <v>3.88</v>
      </c>
      <c r="O86" s="4">
        <v>3.88</v>
      </c>
      <c r="P86" s="4">
        <v>3.88</v>
      </c>
      <c r="Q86">
        <v>3.88</v>
      </c>
      <c r="R86">
        <v>3.88</v>
      </c>
      <c r="S86">
        <v>3.88</v>
      </c>
      <c r="T86">
        <v>3.85</v>
      </c>
      <c r="U86">
        <v>3.83</v>
      </c>
      <c r="V86">
        <v>3.8</v>
      </c>
      <c r="W86">
        <v>3.77</v>
      </c>
      <c r="X86">
        <v>3.75</v>
      </c>
      <c r="Y86">
        <v>3.73</v>
      </c>
      <c r="Z86">
        <v>3.7</v>
      </c>
      <c r="AA86">
        <v>3.68</v>
      </c>
      <c r="AB86">
        <v>3.56</v>
      </c>
      <c r="AC86">
        <v>3.45</v>
      </c>
      <c r="AD86">
        <v>3.35</v>
      </c>
      <c r="AE86">
        <v>3.25</v>
      </c>
      <c r="AF86">
        <v>3.16</v>
      </c>
      <c r="AG86">
        <v>3.14</v>
      </c>
      <c r="AH86">
        <v>3.11</v>
      </c>
      <c r="AI86">
        <v>3.09</v>
      </c>
      <c r="AJ86">
        <v>3.07</v>
      </c>
      <c r="AK86">
        <v>3.05</v>
      </c>
      <c r="AL86">
        <v>3.03</v>
      </c>
      <c r="AM86">
        <v>3.01</v>
      </c>
      <c r="AN86">
        <v>2.99</v>
      </c>
      <c r="AO86">
        <v>2.97</v>
      </c>
      <c r="AP86">
        <v>2.95</v>
      </c>
      <c r="AQ86">
        <v>2.93</v>
      </c>
      <c r="AR86">
        <v>2.91</v>
      </c>
      <c r="AS86">
        <v>2.89</v>
      </c>
      <c r="AT86">
        <v>2.87</v>
      </c>
      <c r="AU86">
        <v>2.85</v>
      </c>
      <c r="AV86">
        <v>2.83</v>
      </c>
      <c r="AW86">
        <f>AV86</f>
        <v>2.83</v>
      </c>
      <c r="AX86">
        <f t="shared" ref="AX86:BP86" si="20">AW86</f>
        <v>2.83</v>
      </c>
      <c r="AY86">
        <f t="shared" si="20"/>
        <v>2.83</v>
      </c>
      <c r="AZ86">
        <f t="shared" si="20"/>
        <v>2.83</v>
      </c>
      <c r="BA86">
        <f t="shared" si="20"/>
        <v>2.83</v>
      </c>
      <c r="BB86">
        <f t="shared" si="20"/>
        <v>2.83</v>
      </c>
      <c r="BC86">
        <f t="shared" si="20"/>
        <v>2.83</v>
      </c>
      <c r="BD86">
        <f t="shared" si="20"/>
        <v>2.83</v>
      </c>
      <c r="BE86">
        <f t="shared" si="20"/>
        <v>2.83</v>
      </c>
      <c r="BF86">
        <f t="shared" si="20"/>
        <v>2.83</v>
      </c>
      <c r="BG86">
        <f t="shared" si="20"/>
        <v>2.83</v>
      </c>
      <c r="BH86">
        <f t="shared" si="20"/>
        <v>2.83</v>
      </c>
      <c r="BI86">
        <f t="shared" si="20"/>
        <v>2.83</v>
      </c>
      <c r="BJ86">
        <f t="shared" si="20"/>
        <v>2.83</v>
      </c>
      <c r="BK86">
        <f t="shared" si="20"/>
        <v>2.83</v>
      </c>
      <c r="BL86">
        <f t="shared" si="20"/>
        <v>2.83</v>
      </c>
      <c r="BM86">
        <f t="shared" si="20"/>
        <v>2.83</v>
      </c>
      <c r="BN86">
        <f t="shared" si="20"/>
        <v>2.83</v>
      </c>
      <c r="BO86">
        <f t="shared" si="20"/>
        <v>2.83</v>
      </c>
      <c r="BP86">
        <f t="shared" si="20"/>
        <v>2.83</v>
      </c>
    </row>
    <row r="87" spans="1:68" x14ac:dyDescent="0.3">
      <c r="A87" s="21" t="s">
        <v>624</v>
      </c>
      <c r="B87" s="21" t="s">
        <v>625</v>
      </c>
      <c r="C87" s="21" t="s">
        <v>619</v>
      </c>
      <c r="D87" s="21"/>
      <c r="E87" s="21" t="s">
        <v>11</v>
      </c>
      <c r="F87" s="21" t="s">
        <v>12</v>
      </c>
      <c r="G87" s="4">
        <v>0</v>
      </c>
      <c r="H87" s="4"/>
      <c r="I87" s="4"/>
      <c r="J87" s="4"/>
      <c r="K87" s="4"/>
      <c r="L87" s="4"/>
      <c r="M87" s="4"/>
      <c r="N87" s="4"/>
      <c r="O87" s="4"/>
      <c r="P87" s="4"/>
    </row>
    <row r="88" spans="1:68" x14ac:dyDescent="0.3">
      <c r="A88" s="5" t="s">
        <v>626</v>
      </c>
      <c r="B88" s="5" t="s">
        <v>627</v>
      </c>
      <c r="C88" s="5" t="s">
        <v>464</v>
      </c>
      <c r="D88" s="5"/>
      <c r="E88" s="5" t="s">
        <v>139</v>
      </c>
      <c r="F88" s="5" t="s">
        <v>140</v>
      </c>
      <c r="G88" s="5">
        <v>0</v>
      </c>
      <c r="H88" s="5">
        <v>1.4611400000000001</v>
      </c>
      <c r="I88" s="5">
        <v>1.4611400000000001</v>
      </c>
      <c r="J88" s="5">
        <v>1.4611400000000001</v>
      </c>
      <c r="K88" s="5">
        <v>1.4611400000000001</v>
      </c>
      <c r="L88" s="5">
        <v>1.4611400000000001</v>
      </c>
      <c r="M88" s="5">
        <v>1.4611400000000001</v>
      </c>
      <c r="N88" s="5">
        <v>1.4611400000000001</v>
      </c>
      <c r="O88" s="5">
        <v>1.4611400000000001</v>
      </c>
      <c r="P88" s="5">
        <v>1.4611400000000001</v>
      </c>
      <c r="Q88">
        <v>1.44163</v>
      </c>
      <c r="R88">
        <v>1.4216</v>
      </c>
      <c r="S88">
        <v>1.4021300000000001</v>
      </c>
      <c r="T88">
        <v>1.3842300000000001</v>
      </c>
      <c r="U88">
        <v>1.36629</v>
      </c>
      <c r="V88">
        <v>1.343</v>
      </c>
      <c r="W88">
        <v>1.32605</v>
      </c>
      <c r="X88">
        <v>1.3095399999999999</v>
      </c>
      <c r="Y88">
        <v>1.2939400000000001</v>
      </c>
      <c r="Z88">
        <v>1.27826</v>
      </c>
      <c r="AA88">
        <v>1.2652000000000001</v>
      </c>
      <c r="AB88">
        <v>1.24919</v>
      </c>
      <c r="AC88">
        <v>1.2328600000000001</v>
      </c>
      <c r="AD88">
        <v>1.2291000000000001</v>
      </c>
      <c r="AE88">
        <v>1.2127399999999999</v>
      </c>
      <c r="AF88">
        <v>1.1965399999999999</v>
      </c>
      <c r="AG88">
        <v>1.1922900000000001</v>
      </c>
      <c r="AH88">
        <v>1.1749499999999999</v>
      </c>
      <c r="AI88">
        <v>1.1639900000000001</v>
      </c>
      <c r="AJ88">
        <v>1.15324</v>
      </c>
      <c r="AK88">
        <v>1.14453</v>
      </c>
      <c r="AL88">
        <v>1.1359699999999999</v>
      </c>
      <c r="AM88">
        <v>1.1215200000000001</v>
      </c>
      <c r="AN88">
        <v>1.1132500000000001</v>
      </c>
      <c r="AO88">
        <v>1.10511</v>
      </c>
      <c r="AP88">
        <v>1.0971</v>
      </c>
      <c r="AQ88">
        <v>1.08972</v>
      </c>
      <c r="AR88">
        <v>1.0819700000000001</v>
      </c>
      <c r="AS88">
        <v>1.0743400000000001</v>
      </c>
      <c r="AT88">
        <v>1.06084</v>
      </c>
      <c r="AU88">
        <v>1.0558000000000001</v>
      </c>
      <c r="AV88">
        <v>1.0508200000000001</v>
      </c>
      <c r="AW88">
        <v>1.0519099999999999</v>
      </c>
      <c r="AX88">
        <v>1.04653</v>
      </c>
      <c r="AY88">
        <v>1.0411999999999999</v>
      </c>
      <c r="AZ88">
        <v>1.0300100000000001</v>
      </c>
      <c r="BA88">
        <v>1.03122</v>
      </c>
      <c r="BB88">
        <v>1.0260499999999999</v>
      </c>
      <c r="BC88">
        <v>1.0150600000000001</v>
      </c>
      <c r="BD88">
        <v>1.0163800000000001</v>
      </c>
      <c r="BE88">
        <v>1.0135000000000001</v>
      </c>
      <c r="BF88">
        <v>1.0047999999999999</v>
      </c>
      <c r="BG88">
        <v>1.0019800000000001</v>
      </c>
      <c r="BH88">
        <v>0.99916000000000005</v>
      </c>
      <c r="BI88">
        <v>0.99636999999999998</v>
      </c>
      <c r="BJ88">
        <v>0.99358999999999997</v>
      </c>
      <c r="BK88">
        <v>0.99082999999999999</v>
      </c>
      <c r="BL88">
        <v>0.98855000000000004</v>
      </c>
      <c r="BM88">
        <v>0.98582000000000003</v>
      </c>
      <c r="BN88">
        <v>0.98309999999999997</v>
      </c>
      <c r="BO88">
        <v>0.97972000000000004</v>
      </c>
      <c r="BP88">
        <v>0.97636000000000001</v>
      </c>
    </row>
    <row r="89" spans="1:68" x14ac:dyDescent="0.3">
      <c r="A89" s="8" t="s">
        <v>626</v>
      </c>
      <c r="B89" s="8" t="s">
        <v>627</v>
      </c>
      <c r="C89" s="8" t="s">
        <v>460</v>
      </c>
      <c r="D89" s="8"/>
      <c r="E89" s="8" t="s">
        <v>139</v>
      </c>
      <c r="F89" s="8" t="s">
        <v>140</v>
      </c>
      <c r="G89" s="8">
        <v>0</v>
      </c>
      <c r="H89" s="5">
        <v>0.67169999999999996</v>
      </c>
      <c r="I89" s="5">
        <v>0.67169999999999996</v>
      </c>
      <c r="J89" s="5">
        <v>0.67169999999999996</v>
      </c>
      <c r="K89" s="5">
        <v>0.67169999999999996</v>
      </c>
      <c r="L89" s="5">
        <v>0.67169999999999996</v>
      </c>
      <c r="M89" s="5">
        <v>0.67169999999999996</v>
      </c>
      <c r="N89" s="5">
        <v>0.67169999999999996</v>
      </c>
      <c r="O89" s="5">
        <v>0.67169999999999996</v>
      </c>
      <c r="P89" s="5">
        <v>0.67169999999999996</v>
      </c>
      <c r="Q89">
        <v>0.67689999999999995</v>
      </c>
      <c r="R89">
        <v>0.68223999999999996</v>
      </c>
      <c r="S89">
        <v>0.68742999999999999</v>
      </c>
      <c r="T89">
        <v>0.69220999999999999</v>
      </c>
      <c r="U89">
        <v>0.69699</v>
      </c>
      <c r="V89">
        <v>0.70320000000000005</v>
      </c>
      <c r="W89">
        <v>0.70772000000000002</v>
      </c>
      <c r="X89">
        <v>0.71211999999999998</v>
      </c>
      <c r="Y89">
        <v>0.71628000000000003</v>
      </c>
      <c r="Z89">
        <v>0.72045999999999999</v>
      </c>
      <c r="AA89">
        <v>0.72394999999999998</v>
      </c>
      <c r="AB89">
        <v>0.72821999999999998</v>
      </c>
      <c r="AC89">
        <v>0.73257000000000005</v>
      </c>
      <c r="AD89">
        <v>0.73357000000000006</v>
      </c>
      <c r="AE89">
        <v>0.73794000000000004</v>
      </c>
      <c r="AF89">
        <v>0.74226000000000003</v>
      </c>
      <c r="AG89">
        <v>0.74339</v>
      </c>
      <c r="AH89">
        <v>0.74800999999999995</v>
      </c>
      <c r="AI89">
        <v>0.75094000000000005</v>
      </c>
      <c r="AJ89">
        <v>0.75380000000000003</v>
      </c>
      <c r="AK89">
        <v>0.75612000000000001</v>
      </c>
      <c r="AL89">
        <v>0.75841000000000003</v>
      </c>
      <c r="AM89">
        <v>0.76226000000000005</v>
      </c>
      <c r="AN89">
        <v>0.76446999999999998</v>
      </c>
      <c r="AO89">
        <v>0.76663999999999999</v>
      </c>
      <c r="AP89">
        <v>0.76876999999999995</v>
      </c>
      <c r="AQ89">
        <v>0.77073999999999998</v>
      </c>
      <c r="AR89">
        <v>0.77281</v>
      </c>
      <c r="AS89">
        <v>0.77483999999999997</v>
      </c>
      <c r="AT89">
        <v>0.77844000000000002</v>
      </c>
      <c r="AU89">
        <v>0.77978999999999998</v>
      </c>
      <c r="AV89">
        <v>0.78110999999999997</v>
      </c>
      <c r="AW89">
        <v>0.78081999999999996</v>
      </c>
      <c r="AX89">
        <v>0.78225999999999996</v>
      </c>
      <c r="AY89">
        <v>0.78368000000000004</v>
      </c>
      <c r="AZ89">
        <v>0.78666000000000003</v>
      </c>
      <c r="BA89">
        <v>0.78634000000000004</v>
      </c>
      <c r="BB89">
        <v>0.78771999999999998</v>
      </c>
      <c r="BC89">
        <v>0.79064999999999996</v>
      </c>
      <c r="BD89">
        <v>0.7903</v>
      </c>
      <c r="BE89">
        <v>0.79107000000000005</v>
      </c>
      <c r="BF89">
        <v>0.79339000000000004</v>
      </c>
      <c r="BG89">
        <v>0.79413999999999996</v>
      </c>
      <c r="BH89">
        <v>0.79488999999999999</v>
      </c>
      <c r="BI89">
        <v>0.79562999999999995</v>
      </c>
      <c r="BJ89">
        <v>0.79637999999999998</v>
      </c>
      <c r="BK89">
        <v>0.79710999999999999</v>
      </c>
      <c r="BL89">
        <v>0.79771999999999998</v>
      </c>
      <c r="BM89">
        <v>0.79844999999999999</v>
      </c>
      <c r="BN89">
        <v>0.79917000000000005</v>
      </c>
      <c r="BO89">
        <v>0.80008000000000001</v>
      </c>
      <c r="BP89">
        <v>0.80096999999999996</v>
      </c>
    </row>
    <row r="90" spans="1:68" x14ac:dyDescent="0.3">
      <c r="A90" s="5" t="s">
        <v>626</v>
      </c>
      <c r="B90" s="5" t="s">
        <v>627</v>
      </c>
      <c r="C90" s="5" t="s">
        <v>619</v>
      </c>
      <c r="D90" s="5"/>
      <c r="E90" s="5" t="s">
        <v>11</v>
      </c>
      <c r="F90" s="5" t="s">
        <v>12</v>
      </c>
      <c r="G90" s="5">
        <v>0</v>
      </c>
      <c r="H90" s="5"/>
      <c r="I90" s="5"/>
      <c r="J90" s="5"/>
      <c r="K90" s="5"/>
      <c r="L90" s="5"/>
      <c r="M90" s="5"/>
      <c r="N90" s="5"/>
      <c r="O90" s="5"/>
      <c r="P90" s="5"/>
    </row>
    <row r="91" spans="1:68" x14ac:dyDescent="0.3">
      <c r="A91" s="21" t="s">
        <v>628</v>
      </c>
      <c r="B91" s="21" t="s">
        <v>629</v>
      </c>
      <c r="C91" s="21" t="s">
        <v>464</v>
      </c>
      <c r="D91" s="21"/>
      <c r="E91" s="21" t="s">
        <v>139</v>
      </c>
      <c r="F91" s="21" t="s">
        <v>140</v>
      </c>
      <c r="G91" s="4">
        <v>0</v>
      </c>
      <c r="H91" s="4">
        <v>3.98</v>
      </c>
      <c r="I91" s="4">
        <v>3.98</v>
      </c>
      <c r="J91" s="4">
        <v>3.98</v>
      </c>
      <c r="K91" s="4">
        <v>3.98</v>
      </c>
      <c r="L91" s="4">
        <v>3.98</v>
      </c>
      <c r="M91" s="4">
        <v>3.98</v>
      </c>
      <c r="N91" s="4">
        <v>3.98</v>
      </c>
      <c r="O91" s="4">
        <v>3.98</v>
      </c>
      <c r="P91" s="4">
        <v>3.98</v>
      </c>
      <c r="Q91">
        <v>3.98</v>
      </c>
      <c r="R91">
        <v>3.98</v>
      </c>
      <c r="S91">
        <v>3.98</v>
      </c>
      <c r="T91">
        <v>3.96</v>
      </c>
      <c r="U91">
        <v>3.93</v>
      </c>
      <c r="V91">
        <v>3.9</v>
      </c>
      <c r="W91">
        <v>3.88</v>
      </c>
      <c r="X91">
        <v>3.85</v>
      </c>
      <c r="Y91">
        <v>3.82</v>
      </c>
      <c r="Z91">
        <v>3.8</v>
      </c>
      <c r="AA91">
        <v>3.77</v>
      </c>
      <c r="AB91">
        <v>3.66</v>
      </c>
      <c r="AC91">
        <v>3.54</v>
      </c>
      <c r="AD91">
        <v>3.44</v>
      </c>
      <c r="AE91">
        <v>3.34</v>
      </c>
      <c r="AF91">
        <v>3.24</v>
      </c>
      <c r="AG91">
        <v>3.22</v>
      </c>
      <c r="AH91">
        <v>3.2</v>
      </c>
      <c r="AI91">
        <v>3.18</v>
      </c>
      <c r="AJ91">
        <v>3.16</v>
      </c>
      <c r="AK91">
        <v>3.14</v>
      </c>
      <c r="AL91">
        <v>3.12</v>
      </c>
      <c r="AM91">
        <v>3.1</v>
      </c>
      <c r="AN91">
        <v>3.08</v>
      </c>
      <c r="AO91">
        <v>3.05</v>
      </c>
      <c r="AP91">
        <v>3.03</v>
      </c>
      <c r="AQ91">
        <v>3.01</v>
      </c>
      <c r="AR91">
        <v>2.99</v>
      </c>
      <c r="AS91">
        <v>2.97</v>
      </c>
      <c r="AT91">
        <v>2.95</v>
      </c>
      <c r="AU91">
        <v>2.93</v>
      </c>
      <c r="AV91">
        <v>2.91</v>
      </c>
      <c r="AW91">
        <f>AV91</f>
        <v>2.91</v>
      </c>
      <c r="AX91">
        <f t="shared" ref="AX91:BP91" si="21">AW91</f>
        <v>2.91</v>
      </c>
      <c r="AY91">
        <f t="shared" si="21"/>
        <v>2.91</v>
      </c>
      <c r="AZ91">
        <f t="shared" si="21"/>
        <v>2.91</v>
      </c>
      <c r="BA91">
        <f t="shared" si="21"/>
        <v>2.91</v>
      </c>
      <c r="BB91">
        <f t="shared" si="21"/>
        <v>2.91</v>
      </c>
      <c r="BC91">
        <f t="shared" si="21"/>
        <v>2.91</v>
      </c>
      <c r="BD91">
        <f t="shared" si="21"/>
        <v>2.91</v>
      </c>
      <c r="BE91">
        <f t="shared" si="21"/>
        <v>2.91</v>
      </c>
      <c r="BF91">
        <f t="shared" si="21"/>
        <v>2.91</v>
      </c>
      <c r="BG91">
        <f t="shared" si="21"/>
        <v>2.91</v>
      </c>
      <c r="BH91">
        <f t="shared" si="21"/>
        <v>2.91</v>
      </c>
      <c r="BI91">
        <f t="shared" si="21"/>
        <v>2.91</v>
      </c>
      <c r="BJ91">
        <f t="shared" si="21"/>
        <v>2.91</v>
      </c>
      <c r="BK91">
        <f t="shared" si="21"/>
        <v>2.91</v>
      </c>
      <c r="BL91">
        <f t="shared" si="21"/>
        <v>2.91</v>
      </c>
      <c r="BM91">
        <f t="shared" si="21"/>
        <v>2.91</v>
      </c>
      <c r="BN91">
        <f t="shared" si="21"/>
        <v>2.91</v>
      </c>
      <c r="BO91">
        <f t="shared" si="21"/>
        <v>2.91</v>
      </c>
      <c r="BP91">
        <f t="shared" si="21"/>
        <v>2.91</v>
      </c>
    </row>
    <row r="92" spans="1:68" x14ac:dyDescent="0.3">
      <c r="A92" s="21" t="s">
        <v>628</v>
      </c>
      <c r="B92" s="21" t="s">
        <v>629</v>
      </c>
      <c r="C92" s="21" t="s">
        <v>619</v>
      </c>
      <c r="D92" s="21"/>
      <c r="E92" s="21" t="s">
        <v>11</v>
      </c>
      <c r="F92" s="21" t="s">
        <v>12</v>
      </c>
      <c r="G92" s="4">
        <v>0</v>
      </c>
      <c r="H92" s="4"/>
      <c r="I92" s="4"/>
      <c r="J92" s="4"/>
      <c r="K92" s="4"/>
      <c r="L92" s="4"/>
      <c r="M92" s="4"/>
      <c r="N92" s="4"/>
      <c r="O92" s="4"/>
      <c r="P92" s="4"/>
    </row>
    <row r="93" spans="1:68" x14ac:dyDescent="0.3">
      <c r="A93" s="5" t="s">
        <v>630</v>
      </c>
      <c r="B93" s="5" t="s">
        <v>631</v>
      </c>
      <c r="C93" s="5" t="s">
        <v>476</v>
      </c>
      <c r="D93" s="5"/>
      <c r="E93" s="5" t="s">
        <v>139</v>
      </c>
      <c r="F93" s="8" t="s">
        <v>140</v>
      </c>
      <c r="G93" s="5">
        <v>0</v>
      </c>
      <c r="H93" s="8">
        <v>2.8</v>
      </c>
      <c r="I93" s="8">
        <v>2.8</v>
      </c>
      <c r="J93" s="8">
        <v>2.8</v>
      </c>
      <c r="K93" s="8">
        <v>2.8</v>
      </c>
      <c r="L93" s="8">
        <v>2.8</v>
      </c>
      <c r="M93" s="8">
        <v>2.8</v>
      </c>
      <c r="N93" s="8">
        <v>2.8</v>
      </c>
      <c r="O93" s="8">
        <v>2.8</v>
      </c>
      <c r="P93" s="8">
        <v>2.8</v>
      </c>
      <c r="Q93" s="9">
        <v>2.8</v>
      </c>
      <c r="R93" s="9">
        <v>2.8</v>
      </c>
      <c r="S93" s="9">
        <v>2.8</v>
      </c>
      <c r="T93" s="9">
        <v>2.78</v>
      </c>
      <c r="U93" s="9">
        <v>2.77</v>
      </c>
      <c r="V93" s="9">
        <v>2.75</v>
      </c>
      <c r="W93" s="9">
        <v>2.73</v>
      </c>
      <c r="X93" s="9">
        <v>2.71</v>
      </c>
      <c r="Y93" s="9">
        <v>2.7</v>
      </c>
      <c r="Z93" s="9">
        <v>2.68</v>
      </c>
      <c r="AA93" s="9">
        <v>2.66</v>
      </c>
      <c r="AB93" s="9">
        <v>2.58</v>
      </c>
      <c r="AC93" s="9">
        <v>2.5</v>
      </c>
      <c r="AD93" s="9">
        <v>2.42</v>
      </c>
      <c r="AE93" s="9">
        <v>2.35</v>
      </c>
      <c r="AF93" s="9">
        <v>2.2799999999999998</v>
      </c>
      <c r="AG93" s="9">
        <v>2.27</v>
      </c>
      <c r="AH93" s="9">
        <v>2.2599999999999998</v>
      </c>
      <c r="AI93" s="9">
        <v>2.2400000000000002</v>
      </c>
      <c r="AJ93" s="9">
        <v>2.2200000000000002</v>
      </c>
      <c r="AK93" s="9">
        <v>2.21</v>
      </c>
      <c r="AL93" s="9">
        <v>2.19</v>
      </c>
      <c r="AM93" s="9">
        <v>2.1800000000000002</v>
      </c>
      <c r="AN93" s="9">
        <v>2.16</v>
      </c>
      <c r="AO93" s="9">
        <v>2.15</v>
      </c>
      <c r="AP93" s="9">
        <v>2.14</v>
      </c>
      <c r="AQ93" s="9">
        <v>2.12</v>
      </c>
      <c r="AR93" s="9">
        <v>2.1</v>
      </c>
      <c r="AS93" s="9">
        <v>2.09</v>
      </c>
      <c r="AT93" s="9">
        <v>2.08</v>
      </c>
      <c r="AU93" s="9">
        <v>2.06</v>
      </c>
      <c r="AV93" s="9">
        <v>2.0499999999999998</v>
      </c>
      <c r="AW93">
        <f>AV93</f>
        <v>2.0499999999999998</v>
      </c>
      <c r="AX93">
        <f t="shared" ref="AX93:BP93" si="22">AW93</f>
        <v>2.0499999999999998</v>
      </c>
      <c r="AY93">
        <f t="shared" si="22"/>
        <v>2.0499999999999998</v>
      </c>
      <c r="AZ93">
        <f t="shared" si="22"/>
        <v>2.0499999999999998</v>
      </c>
      <c r="BA93">
        <f t="shared" si="22"/>
        <v>2.0499999999999998</v>
      </c>
      <c r="BB93">
        <f t="shared" si="22"/>
        <v>2.0499999999999998</v>
      </c>
      <c r="BC93">
        <f t="shared" si="22"/>
        <v>2.0499999999999998</v>
      </c>
      <c r="BD93">
        <f t="shared" si="22"/>
        <v>2.0499999999999998</v>
      </c>
      <c r="BE93">
        <f t="shared" si="22"/>
        <v>2.0499999999999998</v>
      </c>
      <c r="BF93">
        <f t="shared" si="22"/>
        <v>2.0499999999999998</v>
      </c>
      <c r="BG93">
        <f t="shared" si="22"/>
        <v>2.0499999999999998</v>
      </c>
      <c r="BH93">
        <f t="shared" si="22"/>
        <v>2.0499999999999998</v>
      </c>
      <c r="BI93">
        <f t="shared" si="22"/>
        <v>2.0499999999999998</v>
      </c>
      <c r="BJ93">
        <f t="shared" si="22"/>
        <v>2.0499999999999998</v>
      </c>
      <c r="BK93">
        <f t="shared" si="22"/>
        <v>2.0499999999999998</v>
      </c>
      <c r="BL93">
        <f t="shared" si="22"/>
        <v>2.0499999999999998</v>
      </c>
      <c r="BM93">
        <f t="shared" si="22"/>
        <v>2.0499999999999998</v>
      </c>
      <c r="BN93">
        <f t="shared" si="22"/>
        <v>2.0499999999999998</v>
      </c>
      <c r="BO93">
        <f t="shared" si="22"/>
        <v>2.0499999999999998</v>
      </c>
      <c r="BP93">
        <f t="shared" si="22"/>
        <v>2.0499999999999998</v>
      </c>
    </row>
    <row r="94" spans="1:68" x14ac:dyDescent="0.3">
      <c r="A94" s="5" t="s">
        <v>630</v>
      </c>
      <c r="B94" s="5" t="s">
        <v>631</v>
      </c>
      <c r="C94" s="5" t="s">
        <v>619</v>
      </c>
      <c r="D94" s="5"/>
      <c r="E94" s="5" t="s">
        <v>11</v>
      </c>
      <c r="F94" s="5" t="s">
        <v>12</v>
      </c>
      <c r="G94" s="5">
        <v>0</v>
      </c>
      <c r="H94" s="5"/>
      <c r="I94" s="5"/>
      <c r="J94" s="5"/>
      <c r="K94" s="5"/>
      <c r="L94" s="5"/>
      <c r="M94" s="5"/>
      <c r="N94" s="5"/>
      <c r="O94" s="5"/>
      <c r="P94" s="5"/>
    </row>
    <row r="95" spans="1:68" x14ac:dyDescent="0.3">
      <c r="A95" s="4" t="s">
        <v>632</v>
      </c>
      <c r="B95" s="4" t="s">
        <v>633</v>
      </c>
      <c r="C95" s="4" t="s">
        <v>480</v>
      </c>
      <c r="D95" s="4"/>
      <c r="E95" s="4" t="s">
        <v>139</v>
      </c>
      <c r="F95" s="4" t="s">
        <v>140</v>
      </c>
      <c r="G95" s="4">
        <v>0</v>
      </c>
      <c r="H95" s="4">
        <v>5.030752294</v>
      </c>
      <c r="I95" s="4">
        <v>5.030752294</v>
      </c>
      <c r="J95" s="4">
        <v>5.030752294</v>
      </c>
      <c r="K95" s="4">
        <v>5.030752294</v>
      </c>
      <c r="L95" s="4">
        <v>5.030752294</v>
      </c>
      <c r="M95" s="4">
        <v>5.030752294</v>
      </c>
      <c r="N95" s="4">
        <v>5.030752294</v>
      </c>
      <c r="O95" s="4">
        <v>5.030752294</v>
      </c>
      <c r="P95" s="4">
        <v>5.030752294</v>
      </c>
      <c r="Q95">
        <v>4.9792799280000004</v>
      </c>
      <c r="R95">
        <v>4.9574422609999997</v>
      </c>
      <c r="S95">
        <v>4.9503799050000001</v>
      </c>
      <c r="T95">
        <v>4.8771124029999999</v>
      </c>
      <c r="U95">
        <v>4.8040340720000003</v>
      </c>
      <c r="V95">
        <v>4.7384800189999998</v>
      </c>
      <c r="W95">
        <v>4.6730941179999999</v>
      </c>
      <c r="X95">
        <v>4.6151904569999997</v>
      </c>
      <c r="Y95">
        <v>4.5574339290000001</v>
      </c>
      <c r="Z95">
        <v>4.499824533</v>
      </c>
      <c r="AA95">
        <v>4.4496448309999996</v>
      </c>
      <c r="AB95">
        <v>4.3995912419999996</v>
      </c>
      <c r="AC95">
        <v>4.3569253090000002</v>
      </c>
      <c r="AD95">
        <v>4.307113438</v>
      </c>
      <c r="AE95">
        <v>4.2646682030000003</v>
      </c>
      <c r="AF95">
        <v>4.2295580770000001</v>
      </c>
      <c r="AG95">
        <v>4.1512150009999997</v>
      </c>
      <c r="AH95">
        <v>4.1019180930000001</v>
      </c>
      <c r="AI95">
        <v>4.074342755</v>
      </c>
      <c r="AJ95">
        <v>4.0396424980000001</v>
      </c>
      <c r="AK95">
        <v>4.0122037830000004</v>
      </c>
      <c r="AL95">
        <v>3.9848281239999999</v>
      </c>
      <c r="AM95">
        <v>3.9646719699999999</v>
      </c>
      <c r="AN95">
        <v>3.9374119159999998</v>
      </c>
      <c r="AO95">
        <v>3.9173503470000002</v>
      </c>
      <c r="AP95">
        <v>3.8973308160000002</v>
      </c>
      <c r="AQ95">
        <v>3.8488956839999999</v>
      </c>
      <c r="AR95">
        <v>3.8218983660000001</v>
      </c>
      <c r="AS95">
        <v>3.8091508869999999</v>
      </c>
      <c r="AT95">
        <v>3.7964244269999998</v>
      </c>
      <c r="AU95">
        <v>3.7837189850000001</v>
      </c>
      <c r="AV95">
        <v>3.7710345630000002</v>
      </c>
      <c r="AW95">
        <v>3.7654225120000002</v>
      </c>
      <c r="AX95">
        <v>3.7598104609999998</v>
      </c>
      <c r="AY95">
        <v>3.747168077</v>
      </c>
      <c r="AZ95">
        <v>3.741566535</v>
      </c>
      <c r="BA95">
        <v>3.7359649940000002</v>
      </c>
      <c r="BB95">
        <v>3.7303634529999998</v>
      </c>
      <c r="BC95">
        <v>3.724761912</v>
      </c>
      <c r="BD95">
        <v>3.7191603710000001</v>
      </c>
      <c r="BE95">
        <v>3.7135588290000001</v>
      </c>
      <c r="BF95">
        <v>3.7079572879999998</v>
      </c>
      <c r="BG95">
        <v>3.7023557469999999</v>
      </c>
      <c r="BH95">
        <v>3.6898184569999999</v>
      </c>
      <c r="BI95">
        <v>3.684227425</v>
      </c>
      <c r="BJ95">
        <v>3.6786363930000001</v>
      </c>
      <c r="BK95">
        <v>3.6730453619999999</v>
      </c>
      <c r="BL95">
        <v>3.66745433</v>
      </c>
      <c r="BM95">
        <v>3.6618632980000001</v>
      </c>
      <c r="BN95">
        <v>3.6562722660000002</v>
      </c>
      <c r="BO95">
        <v>3.650681235</v>
      </c>
      <c r="BP95">
        <v>3.6450902030000001</v>
      </c>
    </row>
    <row r="96" spans="1:68" x14ac:dyDescent="0.3">
      <c r="A96" s="10" t="s">
        <v>632</v>
      </c>
      <c r="B96" s="10" t="s">
        <v>633</v>
      </c>
      <c r="C96" s="10" t="s">
        <v>488</v>
      </c>
      <c r="D96" s="10"/>
      <c r="E96" s="10" t="s">
        <v>139</v>
      </c>
      <c r="F96" s="10" t="s">
        <v>140</v>
      </c>
      <c r="G96" s="10">
        <v>0</v>
      </c>
      <c r="H96" s="4">
        <v>1.3677993879999999</v>
      </c>
      <c r="I96" s="4">
        <v>1.3677993879999999</v>
      </c>
      <c r="J96" s="4">
        <v>1.3677993879999999</v>
      </c>
      <c r="K96" s="4">
        <v>1.3677993879999999</v>
      </c>
      <c r="L96" s="4">
        <v>1.3677993879999999</v>
      </c>
      <c r="M96" s="4">
        <v>1.3677993879999999</v>
      </c>
      <c r="N96" s="4">
        <v>1.3677993879999999</v>
      </c>
      <c r="O96" s="4">
        <v>1.3677993879999999</v>
      </c>
      <c r="P96" s="4">
        <v>1.3677993879999999</v>
      </c>
      <c r="Q96">
        <v>1.381525353</v>
      </c>
      <c r="R96">
        <v>1.38734873</v>
      </c>
      <c r="S96">
        <v>1.3892320250000001</v>
      </c>
      <c r="T96">
        <v>1.408770026</v>
      </c>
      <c r="U96">
        <v>1.428257581</v>
      </c>
      <c r="V96">
        <v>1.4457386619999999</v>
      </c>
      <c r="W96">
        <v>1.463174902</v>
      </c>
      <c r="X96">
        <v>1.4786158780000001</v>
      </c>
      <c r="Y96">
        <v>1.4940176190000001</v>
      </c>
      <c r="Z96">
        <v>1.5093801250000001</v>
      </c>
      <c r="AA96">
        <v>1.522761378</v>
      </c>
      <c r="AB96">
        <v>1.5361090019999999</v>
      </c>
      <c r="AC96">
        <v>1.5474865840000001</v>
      </c>
      <c r="AD96">
        <v>1.56076975</v>
      </c>
      <c r="AE96">
        <v>1.572088479</v>
      </c>
      <c r="AF96">
        <v>1.5814511790000001</v>
      </c>
      <c r="AG96">
        <v>1.602342666</v>
      </c>
      <c r="AH96">
        <v>1.615488509</v>
      </c>
      <c r="AI96">
        <v>1.622841932</v>
      </c>
      <c r="AJ96">
        <v>1.632095334</v>
      </c>
      <c r="AK96">
        <v>1.6394123249999999</v>
      </c>
      <c r="AL96">
        <v>1.6467125</v>
      </c>
      <c r="AM96">
        <v>1.6520874750000001</v>
      </c>
      <c r="AN96">
        <v>1.6593568219999999</v>
      </c>
      <c r="AO96">
        <v>1.664706574</v>
      </c>
      <c r="AP96">
        <v>1.6700451160000001</v>
      </c>
      <c r="AQ96">
        <v>1.682961151</v>
      </c>
      <c r="AR96">
        <v>1.690160436</v>
      </c>
      <c r="AS96">
        <v>1.6935597630000001</v>
      </c>
      <c r="AT96">
        <v>1.696953486</v>
      </c>
      <c r="AU96">
        <v>1.7003416039999999</v>
      </c>
      <c r="AV96">
        <v>1.7037241169999999</v>
      </c>
      <c r="AW96">
        <v>1.705220663</v>
      </c>
      <c r="AX96">
        <v>1.7067172100000001</v>
      </c>
      <c r="AY96">
        <v>1.7100885130000001</v>
      </c>
      <c r="AZ96">
        <v>1.7115822570000001</v>
      </c>
      <c r="BA96">
        <v>1.713076002</v>
      </c>
      <c r="BB96">
        <v>1.714569746</v>
      </c>
      <c r="BC96">
        <v>1.71606349</v>
      </c>
      <c r="BD96">
        <v>1.7175572349999999</v>
      </c>
      <c r="BE96">
        <v>1.7190509789999999</v>
      </c>
      <c r="BF96">
        <v>1.7205447229999999</v>
      </c>
      <c r="BG96">
        <v>1.722038467</v>
      </c>
      <c r="BH96">
        <v>1.725381745</v>
      </c>
      <c r="BI96">
        <v>1.726872687</v>
      </c>
      <c r="BJ96">
        <v>1.7283636280000001</v>
      </c>
      <c r="BK96">
        <v>1.7298545700000001</v>
      </c>
      <c r="BL96">
        <v>1.7313455120000001</v>
      </c>
      <c r="BM96">
        <v>1.7328364540000001</v>
      </c>
      <c r="BN96">
        <v>1.7343273960000001</v>
      </c>
      <c r="BO96">
        <v>1.735818337</v>
      </c>
      <c r="BP96">
        <v>1.737309279</v>
      </c>
    </row>
    <row r="97" spans="1:68" x14ac:dyDescent="0.3">
      <c r="A97" s="4" t="s">
        <v>632</v>
      </c>
      <c r="B97" s="4" t="s">
        <v>633</v>
      </c>
      <c r="C97" s="4" t="s">
        <v>634</v>
      </c>
      <c r="D97" s="4"/>
      <c r="E97" s="4" t="s">
        <v>11</v>
      </c>
      <c r="F97" s="4" t="s">
        <v>12</v>
      </c>
      <c r="G97" s="4">
        <v>0</v>
      </c>
      <c r="H97" s="4"/>
      <c r="I97" s="4"/>
      <c r="J97" s="4"/>
      <c r="K97" s="4"/>
      <c r="L97" s="4"/>
      <c r="M97" s="4"/>
      <c r="N97" s="4"/>
      <c r="O97" s="4"/>
      <c r="P97" s="4"/>
    </row>
    <row r="98" spans="1:68" x14ac:dyDescent="0.3">
      <c r="A98" s="5" t="s">
        <v>635</v>
      </c>
      <c r="B98" s="5" t="s">
        <v>636</v>
      </c>
      <c r="C98" s="5" t="s">
        <v>484</v>
      </c>
      <c r="D98" s="5"/>
      <c r="E98" s="5" t="s">
        <v>139</v>
      </c>
      <c r="F98" s="5" t="s">
        <v>140</v>
      </c>
      <c r="G98" s="5">
        <v>0</v>
      </c>
      <c r="H98" s="5">
        <v>9.0299999999999994</v>
      </c>
      <c r="I98" s="5">
        <v>9.0299999999999994</v>
      </c>
      <c r="J98" s="5">
        <v>9.0299999999999994</v>
      </c>
      <c r="K98" s="5">
        <v>9.0299999999999994</v>
      </c>
      <c r="L98" s="5">
        <v>9.0299999999999994</v>
      </c>
      <c r="M98" s="5">
        <v>9.0299999999999994</v>
      </c>
      <c r="N98" s="5">
        <v>9.0299999999999994</v>
      </c>
      <c r="O98" s="5">
        <v>9.0299999999999994</v>
      </c>
      <c r="P98" s="5">
        <v>9.0299999999999994</v>
      </c>
      <c r="Q98">
        <v>9.0299999999999994</v>
      </c>
      <c r="R98">
        <v>9.0299999999999994</v>
      </c>
      <c r="S98">
        <v>9.0299999999999994</v>
      </c>
      <c r="T98">
        <v>8.8699999999999992</v>
      </c>
      <c r="U98">
        <v>8.7100000000000009</v>
      </c>
      <c r="V98">
        <v>8.5500000000000007</v>
      </c>
      <c r="W98">
        <v>8.39</v>
      </c>
      <c r="X98">
        <v>8.26</v>
      </c>
      <c r="Y98">
        <v>8.1199999999999992</v>
      </c>
      <c r="Z98">
        <v>7.99</v>
      </c>
      <c r="AA98">
        <v>7.85</v>
      </c>
      <c r="AB98">
        <v>7.72</v>
      </c>
      <c r="AC98">
        <v>7.57</v>
      </c>
      <c r="AD98">
        <v>7.44</v>
      </c>
      <c r="AE98">
        <v>7.29</v>
      </c>
      <c r="AF98">
        <v>7.16</v>
      </c>
      <c r="AG98">
        <v>7.01</v>
      </c>
      <c r="AH98">
        <v>6.9</v>
      </c>
      <c r="AI98">
        <v>6.78</v>
      </c>
      <c r="AJ98">
        <v>6.67</v>
      </c>
      <c r="AK98">
        <v>6.54</v>
      </c>
      <c r="AL98">
        <v>6.43</v>
      </c>
      <c r="AM98">
        <v>6.34</v>
      </c>
      <c r="AN98">
        <v>6.23</v>
      </c>
      <c r="AO98">
        <v>6.13</v>
      </c>
      <c r="AP98">
        <v>6.03</v>
      </c>
      <c r="AQ98">
        <v>5.93</v>
      </c>
      <c r="AR98">
        <v>5.84</v>
      </c>
      <c r="AS98">
        <v>5.74</v>
      </c>
      <c r="AT98">
        <v>5.64</v>
      </c>
      <c r="AU98">
        <v>5.53</v>
      </c>
      <c r="AV98">
        <v>5.43</v>
      </c>
      <c r="AW98">
        <f>AV98</f>
        <v>5.43</v>
      </c>
      <c r="AX98">
        <f t="shared" ref="AX98:BP98" si="23">AW98</f>
        <v>5.43</v>
      </c>
      <c r="AY98">
        <f t="shared" si="23"/>
        <v>5.43</v>
      </c>
      <c r="AZ98">
        <f t="shared" si="23"/>
        <v>5.43</v>
      </c>
      <c r="BA98">
        <f t="shared" si="23"/>
        <v>5.43</v>
      </c>
      <c r="BB98">
        <f t="shared" si="23"/>
        <v>5.43</v>
      </c>
      <c r="BC98">
        <f t="shared" si="23"/>
        <v>5.43</v>
      </c>
      <c r="BD98">
        <f t="shared" si="23"/>
        <v>5.43</v>
      </c>
      <c r="BE98">
        <f t="shared" si="23"/>
        <v>5.43</v>
      </c>
      <c r="BF98">
        <f t="shared" si="23"/>
        <v>5.43</v>
      </c>
      <c r="BG98">
        <f t="shared" si="23"/>
        <v>5.43</v>
      </c>
      <c r="BH98">
        <f t="shared" si="23"/>
        <v>5.43</v>
      </c>
      <c r="BI98">
        <f t="shared" si="23"/>
        <v>5.43</v>
      </c>
      <c r="BJ98">
        <f t="shared" si="23"/>
        <v>5.43</v>
      </c>
      <c r="BK98">
        <f t="shared" si="23"/>
        <v>5.43</v>
      </c>
      <c r="BL98">
        <f t="shared" si="23"/>
        <v>5.43</v>
      </c>
      <c r="BM98">
        <f t="shared" si="23"/>
        <v>5.43</v>
      </c>
      <c r="BN98">
        <f t="shared" si="23"/>
        <v>5.43</v>
      </c>
      <c r="BO98">
        <f t="shared" si="23"/>
        <v>5.43</v>
      </c>
      <c r="BP98">
        <f t="shared" si="23"/>
        <v>5.43</v>
      </c>
    </row>
    <row r="99" spans="1:68" x14ac:dyDescent="0.3">
      <c r="A99" s="5" t="s">
        <v>635</v>
      </c>
      <c r="B99" s="5" t="s">
        <v>636</v>
      </c>
      <c r="C99" s="5" t="s">
        <v>634</v>
      </c>
      <c r="D99" s="5"/>
      <c r="E99" s="5" t="s">
        <v>11</v>
      </c>
      <c r="F99" s="5" t="s">
        <v>12</v>
      </c>
      <c r="G99" s="5">
        <v>0</v>
      </c>
      <c r="H99" s="5"/>
      <c r="I99" s="5"/>
      <c r="J99" s="5"/>
      <c r="K99" s="5"/>
      <c r="L99" s="5"/>
      <c r="M99" s="5"/>
      <c r="N99" s="5"/>
      <c r="O99" s="5"/>
      <c r="P99" s="5"/>
    </row>
    <row r="100" spans="1:68" x14ac:dyDescent="0.3">
      <c r="A100" s="4" t="s">
        <v>637</v>
      </c>
      <c r="B100" s="4" t="s">
        <v>638</v>
      </c>
      <c r="C100" s="4" t="s">
        <v>488</v>
      </c>
      <c r="D100" s="4"/>
      <c r="E100" s="4" t="s">
        <v>139</v>
      </c>
      <c r="F100" s="4" t="s">
        <v>140</v>
      </c>
      <c r="G100" s="4">
        <v>0</v>
      </c>
      <c r="H100" s="4">
        <v>3.43</v>
      </c>
      <c r="I100" s="4">
        <v>3.43</v>
      </c>
      <c r="J100" s="4">
        <v>3.43</v>
      </c>
      <c r="K100" s="4">
        <v>3.43</v>
      </c>
      <c r="L100" s="4">
        <v>3.43</v>
      </c>
      <c r="M100" s="4">
        <v>3.43</v>
      </c>
      <c r="N100" s="4">
        <v>3.43</v>
      </c>
      <c r="O100" s="4">
        <v>3.43</v>
      </c>
      <c r="P100" s="4">
        <v>3.43</v>
      </c>
      <c r="Q100">
        <v>3.31</v>
      </c>
      <c r="R100">
        <v>3.28</v>
      </c>
      <c r="S100">
        <v>3.28</v>
      </c>
      <c r="T100">
        <v>3.28</v>
      </c>
      <c r="U100">
        <v>3.28</v>
      </c>
      <c r="V100">
        <v>3.28</v>
      </c>
      <c r="W100">
        <v>3.28</v>
      </c>
      <c r="X100">
        <v>3.28</v>
      </c>
      <c r="Y100">
        <v>3.28</v>
      </c>
      <c r="Z100">
        <v>3.28</v>
      </c>
      <c r="AA100">
        <v>3.28</v>
      </c>
      <c r="AB100">
        <v>3.28</v>
      </c>
      <c r="AC100">
        <v>3.28</v>
      </c>
      <c r="AD100">
        <v>3.28</v>
      </c>
      <c r="AE100">
        <v>3.28</v>
      </c>
      <c r="AF100">
        <v>3.28</v>
      </c>
      <c r="AG100">
        <v>3.17</v>
      </c>
      <c r="AH100">
        <v>3.14</v>
      </c>
      <c r="AI100">
        <v>3.14</v>
      </c>
      <c r="AJ100">
        <v>3.14</v>
      </c>
      <c r="AK100">
        <v>3.14</v>
      </c>
      <c r="AL100">
        <v>3.14</v>
      </c>
      <c r="AM100">
        <v>3.14</v>
      </c>
      <c r="AN100">
        <v>3.14</v>
      </c>
      <c r="AO100">
        <v>3.14</v>
      </c>
      <c r="AP100">
        <v>3.14</v>
      </c>
      <c r="AQ100">
        <v>3.04</v>
      </c>
      <c r="AR100">
        <v>3.01</v>
      </c>
      <c r="AS100">
        <v>3.01</v>
      </c>
      <c r="AT100">
        <v>3.01</v>
      </c>
      <c r="AU100">
        <v>3.01</v>
      </c>
      <c r="AV100">
        <v>3.01</v>
      </c>
      <c r="AW100">
        <f>AV100</f>
        <v>3.01</v>
      </c>
      <c r="AX100">
        <f t="shared" ref="AX100:BP100" si="24">AW100</f>
        <v>3.01</v>
      </c>
      <c r="AY100">
        <f t="shared" si="24"/>
        <v>3.01</v>
      </c>
      <c r="AZ100">
        <f t="shared" si="24"/>
        <v>3.01</v>
      </c>
      <c r="BA100">
        <f t="shared" si="24"/>
        <v>3.01</v>
      </c>
      <c r="BB100">
        <f t="shared" si="24"/>
        <v>3.01</v>
      </c>
      <c r="BC100">
        <f t="shared" si="24"/>
        <v>3.01</v>
      </c>
      <c r="BD100">
        <f t="shared" si="24"/>
        <v>3.01</v>
      </c>
      <c r="BE100">
        <f t="shared" si="24"/>
        <v>3.01</v>
      </c>
      <c r="BF100">
        <f t="shared" si="24"/>
        <v>3.01</v>
      </c>
      <c r="BG100">
        <f t="shared" si="24"/>
        <v>3.01</v>
      </c>
      <c r="BH100">
        <f t="shared" si="24"/>
        <v>3.01</v>
      </c>
      <c r="BI100">
        <f t="shared" si="24"/>
        <v>3.01</v>
      </c>
      <c r="BJ100">
        <f t="shared" si="24"/>
        <v>3.01</v>
      </c>
      <c r="BK100">
        <f t="shared" si="24"/>
        <v>3.01</v>
      </c>
      <c r="BL100">
        <f t="shared" si="24"/>
        <v>3.01</v>
      </c>
      <c r="BM100">
        <f t="shared" si="24"/>
        <v>3.01</v>
      </c>
      <c r="BN100">
        <f t="shared" si="24"/>
        <v>3.01</v>
      </c>
      <c r="BO100">
        <f t="shared" si="24"/>
        <v>3.01</v>
      </c>
      <c r="BP100">
        <f t="shared" si="24"/>
        <v>3.01</v>
      </c>
    </row>
    <row r="101" spans="1:68" x14ac:dyDescent="0.3">
      <c r="A101" s="4" t="s">
        <v>637</v>
      </c>
      <c r="B101" s="4" t="s">
        <v>638</v>
      </c>
      <c r="C101" s="4" t="s">
        <v>634</v>
      </c>
      <c r="D101" s="4"/>
      <c r="E101" s="4" t="s">
        <v>11</v>
      </c>
      <c r="F101" s="4" t="s">
        <v>12</v>
      </c>
      <c r="G101" s="4">
        <v>0</v>
      </c>
      <c r="H101" s="4"/>
      <c r="I101" s="4"/>
      <c r="J101" s="4"/>
      <c r="K101" s="4"/>
      <c r="L101" s="4"/>
      <c r="M101" s="4"/>
      <c r="N101" s="4"/>
      <c r="O101" s="4"/>
      <c r="P101" s="4"/>
    </row>
    <row r="102" spans="1:68" x14ac:dyDescent="0.3">
      <c r="A102" s="19" t="s">
        <v>639</v>
      </c>
      <c r="B102" s="19" t="s">
        <v>640</v>
      </c>
      <c r="C102" s="19" t="s">
        <v>480</v>
      </c>
      <c r="D102" s="19"/>
      <c r="E102" s="19" t="s">
        <v>139</v>
      </c>
      <c r="F102" s="19" t="s">
        <v>140</v>
      </c>
      <c r="G102" s="5">
        <v>0</v>
      </c>
      <c r="H102" s="5">
        <v>10.16</v>
      </c>
      <c r="I102" s="5">
        <v>10.16</v>
      </c>
      <c r="J102" s="5">
        <v>10.16</v>
      </c>
      <c r="K102" s="5">
        <v>10.16</v>
      </c>
      <c r="L102" s="5">
        <v>10.16</v>
      </c>
      <c r="M102" s="5">
        <v>10.16</v>
      </c>
      <c r="N102" s="5">
        <v>10.16</v>
      </c>
      <c r="O102" s="5">
        <v>10.16</v>
      </c>
      <c r="P102" s="5">
        <v>10.16</v>
      </c>
      <c r="Q102">
        <v>10.16</v>
      </c>
      <c r="R102">
        <v>10.16</v>
      </c>
      <c r="S102">
        <v>10.16</v>
      </c>
      <c r="T102">
        <v>9.98</v>
      </c>
      <c r="U102">
        <v>9.81</v>
      </c>
      <c r="V102">
        <v>9.64</v>
      </c>
      <c r="W102">
        <v>9.48</v>
      </c>
      <c r="X102">
        <v>9.34</v>
      </c>
      <c r="Y102">
        <v>9.1999999999999993</v>
      </c>
      <c r="Z102">
        <v>9.06</v>
      </c>
      <c r="AA102">
        <v>8.94</v>
      </c>
      <c r="AB102">
        <v>8.82</v>
      </c>
      <c r="AC102">
        <v>8.7100000000000009</v>
      </c>
      <c r="AD102">
        <v>8.61</v>
      </c>
      <c r="AE102">
        <v>8.51</v>
      </c>
      <c r="AF102">
        <v>8.42</v>
      </c>
      <c r="AG102">
        <v>8.33</v>
      </c>
      <c r="AH102">
        <v>8.25</v>
      </c>
      <c r="AI102">
        <v>8.18</v>
      </c>
      <c r="AJ102">
        <v>8.11</v>
      </c>
      <c r="AK102">
        <v>8.0399999999999991</v>
      </c>
      <c r="AL102">
        <v>7.99</v>
      </c>
      <c r="AM102">
        <v>7.93</v>
      </c>
      <c r="AN102">
        <v>7.89</v>
      </c>
      <c r="AO102">
        <v>7.84</v>
      </c>
      <c r="AP102">
        <v>7.81</v>
      </c>
      <c r="AQ102">
        <v>7.77</v>
      </c>
      <c r="AR102">
        <v>7.74</v>
      </c>
      <c r="AS102">
        <v>7.72</v>
      </c>
      <c r="AT102">
        <v>7.7</v>
      </c>
      <c r="AU102">
        <v>7.69</v>
      </c>
      <c r="AV102">
        <v>7.68</v>
      </c>
      <c r="AW102">
        <f>AV102</f>
        <v>7.68</v>
      </c>
      <c r="AX102">
        <f t="shared" ref="AX102:BP102" si="25">AW102</f>
        <v>7.68</v>
      </c>
      <c r="AY102">
        <f t="shared" si="25"/>
        <v>7.68</v>
      </c>
      <c r="AZ102">
        <f t="shared" si="25"/>
        <v>7.68</v>
      </c>
      <c r="BA102">
        <f t="shared" si="25"/>
        <v>7.68</v>
      </c>
      <c r="BB102">
        <f t="shared" si="25"/>
        <v>7.68</v>
      </c>
      <c r="BC102">
        <f t="shared" si="25"/>
        <v>7.68</v>
      </c>
      <c r="BD102">
        <f t="shared" si="25"/>
        <v>7.68</v>
      </c>
      <c r="BE102">
        <f t="shared" si="25"/>
        <v>7.68</v>
      </c>
      <c r="BF102">
        <f t="shared" si="25"/>
        <v>7.68</v>
      </c>
      <c r="BG102">
        <f t="shared" si="25"/>
        <v>7.68</v>
      </c>
      <c r="BH102">
        <f t="shared" si="25"/>
        <v>7.68</v>
      </c>
      <c r="BI102">
        <f t="shared" si="25"/>
        <v>7.68</v>
      </c>
      <c r="BJ102">
        <f t="shared" si="25"/>
        <v>7.68</v>
      </c>
      <c r="BK102">
        <f t="shared" si="25"/>
        <v>7.68</v>
      </c>
      <c r="BL102">
        <f t="shared" si="25"/>
        <v>7.68</v>
      </c>
      <c r="BM102">
        <f t="shared" si="25"/>
        <v>7.68</v>
      </c>
      <c r="BN102">
        <f t="shared" si="25"/>
        <v>7.68</v>
      </c>
      <c r="BO102">
        <f t="shared" si="25"/>
        <v>7.68</v>
      </c>
      <c r="BP102">
        <f t="shared" si="25"/>
        <v>7.68</v>
      </c>
    </row>
    <row r="103" spans="1:68" x14ac:dyDescent="0.3">
      <c r="A103" s="19" t="s">
        <v>639</v>
      </c>
      <c r="B103" s="19" t="s">
        <v>640</v>
      </c>
      <c r="C103" s="19" t="s">
        <v>634</v>
      </c>
      <c r="D103" s="19"/>
      <c r="E103" s="19" t="s">
        <v>11</v>
      </c>
      <c r="F103" s="19" t="s">
        <v>12</v>
      </c>
      <c r="G103" s="5">
        <v>0</v>
      </c>
      <c r="H103" s="5"/>
      <c r="I103" s="5"/>
      <c r="J103" s="5"/>
      <c r="K103" s="5"/>
      <c r="L103" s="5"/>
      <c r="M103" s="5"/>
      <c r="N103" s="5"/>
      <c r="O103" s="5"/>
      <c r="P103" s="5"/>
    </row>
    <row r="104" spans="1:68" x14ac:dyDescent="0.3">
      <c r="A104" s="4" t="s">
        <v>641</v>
      </c>
      <c r="B104" s="4" t="s">
        <v>642</v>
      </c>
      <c r="C104" s="4" t="s">
        <v>492</v>
      </c>
      <c r="D104" s="4"/>
      <c r="E104" s="4" t="s">
        <v>139</v>
      </c>
      <c r="F104" s="4" t="s">
        <v>140</v>
      </c>
      <c r="G104" s="4">
        <v>0</v>
      </c>
      <c r="H104" s="4">
        <v>13.05</v>
      </c>
      <c r="I104" s="4">
        <v>13.05</v>
      </c>
      <c r="J104" s="4">
        <v>13.05</v>
      </c>
      <c r="K104" s="4">
        <v>13.05</v>
      </c>
      <c r="L104" s="4">
        <v>13.05</v>
      </c>
      <c r="M104" s="4">
        <v>13.05</v>
      </c>
      <c r="N104" s="4">
        <v>13.05</v>
      </c>
      <c r="O104" s="4">
        <v>13.05</v>
      </c>
      <c r="P104" s="4">
        <v>13.05</v>
      </c>
      <c r="Q104">
        <v>13.05</v>
      </c>
      <c r="R104">
        <v>13.05</v>
      </c>
      <c r="S104">
        <v>13.05</v>
      </c>
      <c r="T104">
        <v>12.81</v>
      </c>
      <c r="U104">
        <v>12.59</v>
      </c>
      <c r="V104">
        <v>12.38</v>
      </c>
      <c r="W104">
        <v>12.18</v>
      </c>
      <c r="X104">
        <v>11.99</v>
      </c>
      <c r="Y104">
        <v>11.81</v>
      </c>
      <c r="Z104">
        <v>11.64</v>
      </c>
      <c r="AA104">
        <v>11.48</v>
      </c>
      <c r="AB104">
        <v>11.32</v>
      </c>
      <c r="AC104">
        <v>11.18</v>
      </c>
      <c r="AD104">
        <v>11.05</v>
      </c>
      <c r="AE104">
        <v>10.92</v>
      </c>
      <c r="AF104">
        <v>10.8</v>
      </c>
      <c r="AG104">
        <v>10.69</v>
      </c>
      <c r="AH104">
        <v>10.59</v>
      </c>
      <c r="AI104">
        <v>10.5</v>
      </c>
      <c r="AJ104">
        <v>10.41</v>
      </c>
      <c r="AK104">
        <v>10.33</v>
      </c>
      <c r="AL104">
        <v>10.25</v>
      </c>
      <c r="AM104">
        <v>10.18</v>
      </c>
      <c r="AN104">
        <v>10.119999999999999</v>
      </c>
      <c r="AO104">
        <v>10.07</v>
      </c>
      <c r="AP104">
        <v>10.02</v>
      </c>
      <c r="AQ104">
        <v>9.98</v>
      </c>
      <c r="AR104">
        <v>9.94</v>
      </c>
      <c r="AS104">
        <v>9.91</v>
      </c>
      <c r="AT104">
        <v>9.89</v>
      </c>
      <c r="AU104">
        <v>9.8699999999999992</v>
      </c>
      <c r="AV104">
        <v>9.86</v>
      </c>
      <c r="AW104">
        <f>AV104</f>
        <v>9.86</v>
      </c>
      <c r="AX104">
        <f t="shared" ref="AX104:BP104" si="26">AW104</f>
        <v>9.86</v>
      </c>
      <c r="AY104">
        <f t="shared" si="26"/>
        <v>9.86</v>
      </c>
      <c r="AZ104">
        <f t="shared" si="26"/>
        <v>9.86</v>
      </c>
      <c r="BA104">
        <f t="shared" si="26"/>
        <v>9.86</v>
      </c>
      <c r="BB104">
        <f t="shared" si="26"/>
        <v>9.86</v>
      </c>
      <c r="BC104">
        <f t="shared" si="26"/>
        <v>9.86</v>
      </c>
      <c r="BD104">
        <f t="shared" si="26"/>
        <v>9.86</v>
      </c>
      <c r="BE104">
        <f t="shared" si="26"/>
        <v>9.86</v>
      </c>
      <c r="BF104">
        <f t="shared" si="26"/>
        <v>9.86</v>
      </c>
      <c r="BG104">
        <f t="shared" si="26"/>
        <v>9.86</v>
      </c>
      <c r="BH104">
        <f t="shared" si="26"/>
        <v>9.86</v>
      </c>
      <c r="BI104">
        <f t="shared" si="26"/>
        <v>9.86</v>
      </c>
      <c r="BJ104">
        <f t="shared" si="26"/>
        <v>9.86</v>
      </c>
      <c r="BK104">
        <f t="shared" si="26"/>
        <v>9.86</v>
      </c>
      <c r="BL104">
        <f t="shared" si="26"/>
        <v>9.86</v>
      </c>
      <c r="BM104">
        <f t="shared" si="26"/>
        <v>9.86</v>
      </c>
      <c r="BN104">
        <f t="shared" si="26"/>
        <v>9.86</v>
      </c>
      <c r="BO104">
        <f t="shared" si="26"/>
        <v>9.86</v>
      </c>
      <c r="BP104">
        <f t="shared" si="26"/>
        <v>9.86</v>
      </c>
    </row>
    <row r="105" spans="1:68" x14ac:dyDescent="0.3">
      <c r="A105" s="4" t="s">
        <v>641</v>
      </c>
      <c r="B105" s="4" t="s">
        <v>642</v>
      </c>
      <c r="C105" s="4" t="s">
        <v>634</v>
      </c>
      <c r="D105" s="4"/>
      <c r="E105" s="4" t="s">
        <v>11</v>
      </c>
      <c r="F105" s="4" t="s">
        <v>12</v>
      </c>
      <c r="G105" s="4">
        <v>0</v>
      </c>
      <c r="H105" s="4"/>
      <c r="I105" s="4"/>
      <c r="J105" s="4"/>
      <c r="K105" s="4"/>
      <c r="L105" s="4"/>
      <c r="M105" s="4"/>
      <c r="N105" s="4"/>
      <c r="O105" s="4"/>
      <c r="P105" s="4"/>
    </row>
    <row r="106" spans="1:68" x14ac:dyDescent="0.3">
      <c r="A106" s="5" t="s">
        <v>643</v>
      </c>
      <c r="B106" s="5" t="s">
        <v>644</v>
      </c>
      <c r="C106" s="5" t="s">
        <v>496</v>
      </c>
      <c r="D106" s="5"/>
      <c r="E106" s="5" t="s">
        <v>139</v>
      </c>
      <c r="F106" s="5" t="s">
        <v>140</v>
      </c>
      <c r="G106" s="5">
        <v>0</v>
      </c>
      <c r="H106" s="5">
        <v>5.83</v>
      </c>
      <c r="I106" s="5">
        <v>5.83</v>
      </c>
      <c r="J106" s="5">
        <v>5.83</v>
      </c>
      <c r="K106" s="5">
        <v>5.83</v>
      </c>
      <c r="L106" s="5">
        <v>5.83</v>
      </c>
      <c r="M106" s="5">
        <v>5.83</v>
      </c>
      <c r="N106" s="5">
        <v>5.83</v>
      </c>
      <c r="O106" s="5">
        <v>5.83</v>
      </c>
      <c r="P106" s="5">
        <v>5.83</v>
      </c>
      <c r="Q106">
        <v>5.83</v>
      </c>
      <c r="R106">
        <v>5.83</v>
      </c>
      <c r="S106">
        <v>5.83</v>
      </c>
      <c r="T106">
        <v>5.81</v>
      </c>
      <c r="U106">
        <v>5.79</v>
      </c>
      <c r="V106">
        <v>5.76</v>
      </c>
      <c r="W106">
        <v>5.74</v>
      </c>
      <c r="X106">
        <v>5.72</v>
      </c>
      <c r="Y106">
        <v>5.69</v>
      </c>
      <c r="Z106">
        <v>5.67</v>
      </c>
      <c r="AA106">
        <v>5.65</v>
      </c>
      <c r="AB106">
        <v>5.62</v>
      </c>
      <c r="AC106">
        <v>5.55</v>
      </c>
      <c r="AD106">
        <v>5.5</v>
      </c>
      <c r="AE106">
        <v>5.43</v>
      </c>
      <c r="AF106">
        <v>5.37</v>
      </c>
      <c r="AG106">
        <v>5.34</v>
      </c>
      <c r="AH106">
        <v>5.32</v>
      </c>
      <c r="AI106">
        <v>5.3</v>
      </c>
      <c r="AJ106">
        <v>5.29</v>
      </c>
      <c r="AK106">
        <v>5.26</v>
      </c>
      <c r="AL106">
        <v>5.24</v>
      </c>
      <c r="AM106">
        <v>5.22</v>
      </c>
      <c r="AN106">
        <v>5.19</v>
      </c>
      <c r="AO106">
        <v>5.17</v>
      </c>
      <c r="AP106">
        <v>5.16</v>
      </c>
      <c r="AQ106">
        <v>5.14</v>
      </c>
      <c r="AR106">
        <v>5.1100000000000003</v>
      </c>
      <c r="AS106">
        <v>5.09</v>
      </c>
      <c r="AT106">
        <v>5.07</v>
      </c>
      <c r="AU106">
        <v>5.04</v>
      </c>
      <c r="AV106">
        <v>5.03</v>
      </c>
      <c r="AW106">
        <f>AV106</f>
        <v>5.03</v>
      </c>
      <c r="AX106">
        <f t="shared" ref="AX106:BP106" si="27">AW106</f>
        <v>5.03</v>
      </c>
      <c r="AY106">
        <f t="shared" si="27"/>
        <v>5.03</v>
      </c>
      <c r="AZ106">
        <f t="shared" si="27"/>
        <v>5.03</v>
      </c>
      <c r="BA106">
        <f t="shared" si="27"/>
        <v>5.03</v>
      </c>
      <c r="BB106">
        <f t="shared" si="27"/>
        <v>5.03</v>
      </c>
      <c r="BC106">
        <f t="shared" si="27"/>
        <v>5.03</v>
      </c>
      <c r="BD106">
        <f t="shared" si="27"/>
        <v>5.03</v>
      </c>
      <c r="BE106">
        <f t="shared" si="27"/>
        <v>5.03</v>
      </c>
      <c r="BF106">
        <f t="shared" si="27"/>
        <v>5.03</v>
      </c>
      <c r="BG106">
        <f t="shared" si="27"/>
        <v>5.03</v>
      </c>
      <c r="BH106">
        <f t="shared" si="27"/>
        <v>5.03</v>
      </c>
      <c r="BI106">
        <f t="shared" si="27"/>
        <v>5.03</v>
      </c>
      <c r="BJ106">
        <f t="shared" si="27"/>
        <v>5.03</v>
      </c>
      <c r="BK106">
        <f t="shared" si="27"/>
        <v>5.03</v>
      </c>
      <c r="BL106">
        <f t="shared" si="27"/>
        <v>5.03</v>
      </c>
      <c r="BM106">
        <f t="shared" si="27"/>
        <v>5.03</v>
      </c>
      <c r="BN106">
        <f t="shared" si="27"/>
        <v>5.03</v>
      </c>
      <c r="BO106">
        <f t="shared" si="27"/>
        <v>5.03</v>
      </c>
      <c r="BP106">
        <f t="shared" si="27"/>
        <v>5.03</v>
      </c>
    </row>
    <row r="107" spans="1:68" x14ac:dyDescent="0.3">
      <c r="A107" s="5" t="s">
        <v>643</v>
      </c>
      <c r="B107" s="5" t="s">
        <v>644</v>
      </c>
      <c r="C107" s="5" t="s">
        <v>634</v>
      </c>
      <c r="D107" s="5"/>
      <c r="E107" s="5" t="s">
        <v>11</v>
      </c>
      <c r="F107" s="5" t="s">
        <v>12</v>
      </c>
      <c r="G107" s="5">
        <v>0</v>
      </c>
      <c r="H107" s="5"/>
      <c r="I107" s="5"/>
      <c r="J107" s="5"/>
      <c r="K107" s="5"/>
      <c r="L107" s="5"/>
      <c r="M107" s="5"/>
      <c r="N107" s="5"/>
      <c r="O107" s="5"/>
      <c r="P107" s="5"/>
    </row>
    <row r="108" spans="1:68" x14ac:dyDescent="0.3">
      <c r="A108" s="4" t="s">
        <v>645</v>
      </c>
      <c r="B108" s="4" t="s">
        <v>646</v>
      </c>
      <c r="C108" s="4" t="s">
        <v>500</v>
      </c>
      <c r="D108" s="4"/>
      <c r="E108" s="4" t="s">
        <v>139</v>
      </c>
      <c r="F108" s="4" t="s">
        <v>140</v>
      </c>
      <c r="G108" s="4">
        <v>0</v>
      </c>
      <c r="H108" s="4">
        <v>4.4610935779999998</v>
      </c>
      <c r="I108" s="4">
        <v>4.4610935779999998</v>
      </c>
      <c r="J108" s="4">
        <v>4.4610935779999998</v>
      </c>
      <c r="K108" s="4">
        <v>4.4610935779999998</v>
      </c>
      <c r="L108" s="4">
        <v>4.4610935779999998</v>
      </c>
      <c r="M108" s="4">
        <v>4.4610935779999998</v>
      </c>
      <c r="N108" s="4">
        <v>4.4610935779999998</v>
      </c>
      <c r="O108" s="4">
        <v>4.4610935779999998</v>
      </c>
      <c r="P108" s="4">
        <v>4.4610935779999998</v>
      </c>
      <c r="Q108">
        <v>4.4325934079999998</v>
      </c>
      <c r="R108">
        <v>4.4189105870000001</v>
      </c>
      <c r="S108">
        <v>4.4126154209999999</v>
      </c>
      <c r="T108">
        <v>4.3401151100000002</v>
      </c>
      <c r="U108">
        <v>4.267803969</v>
      </c>
      <c r="V108">
        <v>4.203017107</v>
      </c>
      <c r="W108">
        <v>4.1457229949999999</v>
      </c>
      <c r="X108">
        <v>4.0812619259999998</v>
      </c>
      <c r="Y108">
        <v>4.0242725879999997</v>
      </c>
      <c r="Z108">
        <v>3.9747234530000002</v>
      </c>
      <c r="AA108">
        <v>3.918017871</v>
      </c>
      <c r="AB108">
        <v>3.8760035240000001</v>
      </c>
      <c r="AC108">
        <v>3.82683273</v>
      </c>
      <c r="AD108">
        <v>3.7850390819999999</v>
      </c>
      <c r="AE108">
        <v>3.7433505280000001</v>
      </c>
      <c r="AF108">
        <v>3.7017670690000002</v>
      </c>
      <c r="AG108">
        <v>3.645849696</v>
      </c>
      <c r="AH108">
        <v>3.6044974449999998</v>
      </c>
      <c r="AI108">
        <v>3.570448775</v>
      </c>
      <c r="AJ108">
        <v>3.5436721549999999</v>
      </c>
      <c r="AK108">
        <v>3.516958593</v>
      </c>
      <c r="AL108">
        <v>3.4903080869999998</v>
      </c>
      <c r="AM108">
        <v>3.4637206379999999</v>
      </c>
      <c r="AN108">
        <v>3.4443421839999999</v>
      </c>
      <c r="AO108">
        <v>3.4250057680000001</v>
      </c>
      <c r="AP108">
        <v>3.40571139</v>
      </c>
      <c r="AQ108">
        <v>3.3651158200000002</v>
      </c>
      <c r="AR108">
        <v>3.345937046</v>
      </c>
      <c r="AS108">
        <v>3.3338937</v>
      </c>
      <c r="AT108">
        <v>3.321871373</v>
      </c>
      <c r="AU108">
        <v>3.3098700660000002</v>
      </c>
      <c r="AV108">
        <v>3.304951639</v>
      </c>
      <c r="AW108">
        <v>3.2929818599999998</v>
      </c>
      <c r="AX108">
        <v>3.2880739430000001</v>
      </c>
      <c r="AY108">
        <v>3.276135692</v>
      </c>
      <c r="AZ108">
        <v>3.2712382839999998</v>
      </c>
      <c r="BA108">
        <v>3.2663408770000002</v>
      </c>
      <c r="BB108">
        <v>3.261443469</v>
      </c>
      <c r="BC108">
        <v>3.256546062</v>
      </c>
      <c r="BD108">
        <v>3.244670867</v>
      </c>
      <c r="BE108">
        <v>3.2397839689999999</v>
      </c>
      <c r="BF108">
        <v>3.2348970709999998</v>
      </c>
      <c r="BG108">
        <v>3.2300101730000002</v>
      </c>
      <c r="BH108">
        <v>3.2251232750000001</v>
      </c>
      <c r="BI108">
        <v>3.220236377</v>
      </c>
      <c r="BJ108">
        <v>3.2153494789999999</v>
      </c>
      <c r="BK108">
        <v>3.2104625809999998</v>
      </c>
      <c r="BL108">
        <v>3.2055756830000002</v>
      </c>
      <c r="BM108">
        <v>3.2006887850000001</v>
      </c>
      <c r="BN108">
        <v>3.195801887</v>
      </c>
      <c r="BO108">
        <v>3.1909149889999999</v>
      </c>
      <c r="BP108">
        <v>3.1860280909999998</v>
      </c>
    </row>
    <row r="109" spans="1:68" x14ac:dyDescent="0.3">
      <c r="A109" s="10" t="s">
        <v>645</v>
      </c>
      <c r="B109" s="10" t="s">
        <v>646</v>
      </c>
      <c r="C109" s="10" t="s">
        <v>512</v>
      </c>
      <c r="D109" s="10"/>
      <c r="E109" s="10" t="s">
        <v>139</v>
      </c>
      <c r="F109" s="10" t="s">
        <v>140</v>
      </c>
      <c r="G109" s="10">
        <v>0</v>
      </c>
      <c r="H109" s="4">
        <v>1.5037083790000001</v>
      </c>
      <c r="I109" s="4">
        <v>1.5037083790000001</v>
      </c>
      <c r="J109" s="4">
        <v>1.5037083790000001</v>
      </c>
      <c r="K109" s="4">
        <v>1.5037083790000001</v>
      </c>
      <c r="L109" s="4">
        <v>1.5037083790000001</v>
      </c>
      <c r="M109" s="4">
        <v>1.5037083790000001</v>
      </c>
      <c r="N109" s="4">
        <v>1.5037083790000001</v>
      </c>
      <c r="O109" s="4">
        <v>1.5037083790000001</v>
      </c>
      <c r="P109" s="4">
        <v>1.5037083790000001</v>
      </c>
      <c r="Q109">
        <v>1.511308425</v>
      </c>
      <c r="R109">
        <v>1.5149571770000001</v>
      </c>
      <c r="S109">
        <v>1.5166358879999999</v>
      </c>
      <c r="T109">
        <v>1.535969304</v>
      </c>
      <c r="U109">
        <v>1.555252275</v>
      </c>
      <c r="V109">
        <v>1.5725287720000001</v>
      </c>
      <c r="W109">
        <v>1.5878072009999999</v>
      </c>
      <c r="X109">
        <v>1.60499682</v>
      </c>
      <c r="Y109">
        <v>1.620193977</v>
      </c>
      <c r="Z109">
        <v>1.6334070789999999</v>
      </c>
      <c r="AA109">
        <v>1.6485285679999999</v>
      </c>
      <c r="AB109">
        <v>1.6597323939999999</v>
      </c>
      <c r="AC109">
        <v>1.6728446050000001</v>
      </c>
      <c r="AD109">
        <v>1.683989578</v>
      </c>
      <c r="AE109">
        <v>1.695106526</v>
      </c>
      <c r="AF109">
        <v>1.7061954479999999</v>
      </c>
      <c r="AG109">
        <v>1.721106748</v>
      </c>
      <c r="AH109">
        <v>1.732134015</v>
      </c>
      <c r="AI109">
        <v>1.7412136600000001</v>
      </c>
      <c r="AJ109">
        <v>1.748354092</v>
      </c>
      <c r="AK109">
        <v>1.755477709</v>
      </c>
      <c r="AL109">
        <v>1.7625845099999999</v>
      </c>
      <c r="AM109">
        <v>1.7696744959999999</v>
      </c>
      <c r="AN109">
        <v>1.7748420840000001</v>
      </c>
      <c r="AO109">
        <v>1.779998462</v>
      </c>
      <c r="AP109">
        <v>1.785143629</v>
      </c>
      <c r="AQ109">
        <v>1.7959691149999999</v>
      </c>
      <c r="AR109">
        <v>1.801083454</v>
      </c>
      <c r="AS109">
        <v>1.8042950129999999</v>
      </c>
      <c r="AT109">
        <v>1.807500967</v>
      </c>
      <c r="AU109">
        <v>1.8107013160000001</v>
      </c>
      <c r="AV109">
        <v>1.8120128959999999</v>
      </c>
      <c r="AW109">
        <v>1.815204837</v>
      </c>
      <c r="AX109">
        <v>1.8165136150000001</v>
      </c>
      <c r="AY109">
        <v>1.819697149</v>
      </c>
      <c r="AZ109">
        <v>1.821003124</v>
      </c>
      <c r="BA109">
        <v>1.8223091</v>
      </c>
      <c r="BB109">
        <v>1.823615075</v>
      </c>
      <c r="BC109">
        <v>1.8249210499999999</v>
      </c>
      <c r="BD109">
        <v>1.8280877689999999</v>
      </c>
      <c r="BE109">
        <v>1.8293909420000001</v>
      </c>
      <c r="BF109">
        <v>1.8306941139999999</v>
      </c>
      <c r="BG109">
        <v>1.8319972870000001</v>
      </c>
      <c r="BH109">
        <v>1.83330046</v>
      </c>
      <c r="BI109">
        <v>1.834603633</v>
      </c>
      <c r="BJ109">
        <v>1.8359068059999999</v>
      </c>
      <c r="BK109">
        <v>1.837209978</v>
      </c>
      <c r="BL109">
        <v>1.8385131509999999</v>
      </c>
      <c r="BM109">
        <v>1.8398163240000001</v>
      </c>
      <c r="BN109">
        <v>1.841119497</v>
      </c>
      <c r="BO109">
        <v>1.8424226699999999</v>
      </c>
      <c r="BP109">
        <v>1.843725842</v>
      </c>
    </row>
    <row r="110" spans="1:68" x14ac:dyDescent="0.3">
      <c r="A110" s="4" t="s">
        <v>645</v>
      </c>
      <c r="B110" s="4" t="s">
        <v>646</v>
      </c>
      <c r="C110" s="4" t="s">
        <v>647</v>
      </c>
      <c r="D110" s="4"/>
      <c r="E110" s="4" t="s">
        <v>11</v>
      </c>
      <c r="F110" s="4" t="s">
        <v>12</v>
      </c>
      <c r="G110" s="4">
        <v>0</v>
      </c>
      <c r="H110" s="4"/>
      <c r="I110" s="4"/>
      <c r="J110" s="4"/>
      <c r="K110" s="4"/>
      <c r="L110" s="4"/>
      <c r="M110" s="4"/>
      <c r="N110" s="4"/>
      <c r="O110" s="4"/>
      <c r="P110" s="4"/>
    </row>
    <row r="111" spans="1:68" x14ac:dyDescent="0.3">
      <c r="A111" s="5" t="s">
        <v>648</v>
      </c>
      <c r="B111" s="5" t="s">
        <v>649</v>
      </c>
      <c r="C111" s="5" t="s">
        <v>504</v>
      </c>
      <c r="D111" s="5"/>
      <c r="E111" s="5" t="s">
        <v>139</v>
      </c>
      <c r="F111" s="5" t="s">
        <v>12</v>
      </c>
      <c r="G111" s="5">
        <v>0</v>
      </c>
      <c r="H111" s="5"/>
      <c r="I111" s="5"/>
      <c r="J111" s="5"/>
      <c r="K111" s="5"/>
      <c r="L111" s="5"/>
      <c r="M111" s="5"/>
      <c r="N111" s="5"/>
      <c r="O111" s="5"/>
      <c r="P111" s="5"/>
    </row>
    <row r="112" spans="1:68" x14ac:dyDescent="0.3">
      <c r="A112" s="5" t="s">
        <v>648</v>
      </c>
      <c r="B112" s="5" t="s">
        <v>649</v>
      </c>
      <c r="C112" s="5" t="s">
        <v>647</v>
      </c>
      <c r="D112" s="5"/>
      <c r="E112" s="5" t="s">
        <v>11</v>
      </c>
      <c r="F112" s="5" t="s">
        <v>12</v>
      </c>
      <c r="G112" s="5">
        <v>0</v>
      </c>
      <c r="H112" s="5"/>
      <c r="I112" s="5"/>
      <c r="J112" s="5"/>
      <c r="K112" s="5"/>
      <c r="L112" s="5"/>
      <c r="M112" s="5"/>
      <c r="N112" s="5"/>
      <c r="O112" s="5"/>
      <c r="P112" s="5"/>
    </row>
    <row r="113" spans="1:68" x14ac:dyDescent="0.3">
      <c r="A113" s="4" t="s">
        <v>650</v>
      </c>
      <c r="B113" s="4" t="s">
        <v>651</v>
      </c>
      <c r="C113" s="4" t="s">
        <v>508</v>
      </c>
      <c r="D113" s="4"/>
      <c r="E113" s="4" t="s">
        <v>139</v>
      </c>
      <c r="F113" s="4" t="s">
        <v>140</v>
      </c>
      <c r="G113" s="4">
        <v>0</v>
      </c>
      <c r="H113" s="4">
        <v>9.2799999999999994</v>
      </c>
      <c r="I113" s="4">
        <v>9.2799999999999994</v>
      </c>
      <c r="J113" s="4">
        <v>9.2799999999999994</v>
      </c>
      <c r="K113" s="4">
        <v>9.2799999999999994</v>
      </c>
      <c r="L113" s="4">
        <v>9.2799999999999994</v>
      </c>
      <c r="M113" s="4">
        <v>9.2799999999999994</v>
      </c>
      <c r="N113" s="4">
        <v>9.2799999999999994</v>
      </c>
      <c r="O113" s="4">
        <v>9.2799999999999994</v>
      </c>
      <c r="P113" s="4">
        <v>9.2799999999999994</v>
      </c>
      <c r="Q113">
        <v>9.2799999999999994</v>
      </c>
      <c r="R113">
        <v>9.2799999999999994</v>
      </c>
      <c r="S113">
        <v>9.2799999999999994</v>
      </c>
      <c r="T113">
        <v>9.1300000000000008</v>
      </c>
      <c r="U113">
        <v>8.9600000000000009</v>
      </c>
      <c r="V113">
        <v>8.81</v>
      </c>
      <c r="W113">
        <v>8.66</v>
      </c>
      <c r="X113">
        <v>8.51</v>
      </c>
      <c r="Y113">
        <v>8.34</v>
      </c>
      <c r="Z113">
        <v>8.19</v>
      </c>
      <c r="AA113">
        <v>8.0399999999999991</v>
      </c>
      <c r="AB113">
        <v>7.89</v>
      </c>
      <c r="AC113">
        <v>7.77</v>
      </c>
      <c r="AD113">
        <v>7.67</v>
      </c>
      <c r="AE113">
        <v>7.55</v>
      </c>
      <c r="AF113">
        <v>7.45</v>
      </c>
      <c r="AG113">
        <v>7.34</v>
      </c>
      <c r="AH113">
        <v>7.2</v>
      </c>
      <c r="AI113">
        <v>7.07</v>
      </c>
      <c r="AJ113">
        <v>6.95</v>
      </c>
      <c r="AK113">
        <v>6.82</v>
      </c>
      <c r="AL113">
        <v>6.68</v>
      </c>
      <c r="AM113">
        <v>6.58</v>
      </c>
      <c r="AN113">
        <v>6.46</v>
      </c>
      <c r="AO113">
        <v>6.36</v>
      </c>
      <c r="AP113">
        <v>6.25</v>
      </c>
      <c r="AQ113">
        <v>6.15</v>
      </c>
      <c r="AR113">
        <v>6.03</v>
      </c>
      <c r="AS113">
        <v>5.93</v>
      </c>
      <c r="AT113">
        <v>5.83</v>
      </c>
      <c r="AU113">
        <v>5.73</v>
      </c>
      <c r="AV113">
        <v>5.61</v>
      </c>
      <c r="AW113">
        <f>AV113</f>
        <v>5.61</v>
      </c>
      <c r="AX113">
        <f t="shared" ref="AX113:BP113" si="28">AW113</f>
        <v>5.61</v>
      </c>
      <c r="AY113">
        <f t="shared" si="28"/>
        <v>5.61</v>
      </c>
      <c r="AZ113">
        <f t="shared" si="28"/>
        <v>5.61</v>
      </c>
      <c r="BA113">
        <f t="shared" si="28"/>
        <v>5.61</v>
      </c>
      <c r="BB113">
        <f t="shared" si="28"/>
        <v>5.61</v>
      </c>
      <c r="BC113">
        <f t="shared" si="28"/>
        <v>5.61</v>
      </c>
      <c r="BD113">
        <f t="shared" si="28"/>
        <v>5.61</v>
      </c>
      <c r="BE113">
        <f t="shared" si="28"/>
        <v>5.61</v>
      </c>
      <c r="BF113">
        <f t="shared" si="28"/>
        <v>5.61</v>
      </c>
      <c r="BG113">
        <f t="shared" si="28"/>
        <v>5.61</v>
      </c>
      <c r="BH113">
        <f t="shared" si="28"/>
        <v>5.61</v>
      </c>
      <c r="BI113">
        <f t="shared" si="28"/>
        <v>5.61</v>
      </c>
      <c r="BJ113">
        <f t="shared" si="28"/>
        <v>5.61</v>
      </c>
      <c r="BK113">
        <f t="shared" si="28"/>
        <v>5.61</v>
      </c>
      <c r="BL113">
        <f t="shared" si="28"/>
        <v>5.61</v>
      </c>
      <c r="BM113">
        <f t="shared" si="28"/>
        <v>5.61</v>
      </c>
      <c r="BN113">
        <f t="shared" si="28"/>
        <v>5.61</v>
      </c>
      <c r="BO113">
        <f t="shared" si="28"/>
        <v>5.61</v>
      </c>
      <c r="BP113">
        <f t="shared" si="28"/>
        <v>5.61</v>
      </c>
    </row>
    <row r="114" spans="1:68" x14ac:dyDescent="0.3">
      <c r="A114" s="4" t="s">
        <v>650</v>
      </c>
      <c r="B114" s="4" t="s">
        <v>651</v>
      </c>
      <c r="C114" s="4" t="s">
        <v>647</v>
      </c>
      <c r="D114" s="4"/>
      <c r="E114" s="4" t="s">
        <v>11</v>
      </c>
      <c r="F114" s="4" t="s">
        <v>12</v>
      </c>
      <c r="G114" s="4">
        <v>0</v>
      </c>
      <c r="H114" s="4"/>
      <c r="I114" s="4"/>
      <c r="J114" s="4"/>
      <c r="K114" s="4"/>
      <c r="L114" s="4"/>
      <c r="M114" s="4"/>
      <c r="N114" s="4"/>
      <c r="O114" s="4"/>
      <c r="P114" s="4"/>
    </row>
    <row r="115" spans="1:68" x14ac:dyDescent="0.3">
      <c r="A115" s="5" t="s">
        <v>652</v>
      </c>
      <c r="B115" s="5" t="s">
        <v>653</v>
      </c>
      <c r="C115" s="5" t="s">
        <v>512</v>
      </c>
      <c r="D115" s="5"/>
      <c r="E115" s="5" t="s">
        <v>139</v>
      </c>
      <c r="F115" s="5" t="s">
        <v>140</v>
      </c>
      <c r="G115" s="5">
        <v>0</v>
      </c>
      <c r="H115" s="5">
        <v>1.96</v>
      </c>
      <c r="I115" s="5">
        <v>1.96</v>
      </c>
      <c r="J115" s="5">
        <v>1.96</v>
      </c>
      <c r="K115" s="5">
        <v>1.96</v>
      </c>
      <c r="L115" s="5">
        <v>1.96</v>
      </c>
      <c r="M115" s="5">
        <v>1.96</v>
      </c>
      <c r="N115" s="5">
        <v>1.96</v>
      </c>
      <c r="O115" s="5">
        <v>1.96</v>
      </c>
      <c r="P115" s="5">
        <v>1.96</v>
      </c>
      <c r="Q115">
        <v>1.89</v>
      </c>
      <c r="R115">
        <v>1.88</v>
      </c>
      <c r="S115">
        <v>1.88</v>
      </c>
      <c r="T115">
        <v>1.88</v>
      </c>
      <c r="U115">
        <v>1.88</v>
      </c>
      <c r="V115">
        <v>1.88</v>
      </c>
      <c r="W115">
        <v>1.88</v>
      </c>
      <c r="X115">
        <v>1.88</v>
      </c>
      <c r="Y115">
        <v>1.88</v>
      </c>
      <c r="Z115">
        <v>1.88</v>
      </c>
      <c r="AA115">
        <v>1.88</v>
      </c>
      <c r="AB115">
        <v>1.88</v>
      </c>
      <c r="AC115">
        <v>1.88</v>
      </c>
      <c r="AD115">
        <v>1.88</v>
      </c>
      <c r="AE115">
        <v>1.88</v>
      </c>
      <c r="AF115">
        <v>1.88</v>
      </c>
      <c r="AG115">
        <v>1.81</v>
      </c>
      <c r="AH115">
        <v>1.8</v>
      </c>
      <c r="AI115">
        <v>1.8</v>
      </c>
      <c r="AJ115">
        <v>1.8</v>
      </c>
      <c r="AK115">
        <v>1.8</v>
      </c>
      <c r="AL115">
        <v>1.8</v>
      </c>
      <c r="AM115">
        <v>1.8</v>
      </c>
      <c r="AN115">
        <v>1.8</v>
      </c>
      <c r="AO115">
        <v>1.8</v>
      </c>
      <c r="AP115">
        <v>1.8</v>
      </c>
      <c r="AQ115">
        <v>1.74</v>
      </c>
      <c r="AR115">
        <v>1.72</v>
      </c>
      <c r="AS115">
        <v>1.72</v>
      </c>
      <c r="AT115">
        <v>1.72</v>
      </c>
      <c r="AU115">
        <v>1.72</v>
      </c>
      <c r="AV115">
        <v>1.72</v>
      </c>
      <c r="AW115">
        <f>AV115</f>
        <v>1.72</v>
      </c>
      <c r="AX115">
        <f t="shared" ref="AX115:BP115" si="29">AW115</f>
        <v>1.72</v>
      </c>
      <c r="AY115">
        <f t="shared" si="29"/>
        <v>1.72</v>
      </c>
      <c r="AZ115">
        <f t="shared" si="29"/>
        <v>1.72</v>
      </c>
      <c r="BA115">
        <f t="shared" si="29"/>
        <v>1.72</v>
      </c>
      <c r="BB115">
        <f t="shared" si="29"/>
        <v>1.72</v>
      </c>
      <c r="BC115">
        <f t="shared" si="29"/>
        <v>1.72</v>
      </c>
      <c r="BD115">
        <f t="shared" si="29"/>
        <v>1.72</v>
      </c>
      <c r="BE115">
        <f t="shared" si="29"/>
        <v>1.72</v>
      </c>
      <c r="BF115">
        <f t="shared" si="29"/>
        <v>1.72</v>
      </c>
      <c r="BG115">
        <f t="shared" si="29"/>
        <v>1.72</v>
      </c>
      <c r="BH115">
        <f t="shared" si="29"/>
        <v>1.72</v>
      </c>
      <c r="BI115">
        <f t="shared" si="29"/>
        <v>1.72</v>
      </c>
      <c r="BJ115">
        <f t="shared" si="29"/>
        <v>1.72</v>
      </c>
      <c r="BK115">
        <f t="shared" si="29"/>
        <v>1.72</v>
      </c>
      <c r="BL115">
        <f t="shared" si="29"/>
        <v>1.72</v>
      </c>
      <c r="BM115">
        <f t="shared" si="29"/>
        <v>1.72</v>
      </c>
      <c r="BN115">
        <f t="shared" si="29"/>
        <v>1.72</v>
      </c>
      <c r="BO115">
        <f t="shared" si="29"/>
        <v>1.72</v>
      </c>
      <c r="BP115">
        <f t="shared" si="29"/>
        <v>1.72</v>
      </c>
    </row>
    <row r="116" spans="1:68" x14ac:dyDescent="0.3">
      <c r="A116" s="5" t="s">
        <v>652</v>
      </c>
      <c r="B116" s="5" t="s">
        <v>653</v>
      </c>
      <c r="C116" s="5" t="s">
        <v>647</v>
      </c>
      <c r="D116" s="5"/>
      <c r="E116" s="5" t="s">
        <v>11</v>
      </c>
      <c r="F116" s="5" t="s">
        <v>12</v>
      </c>
      <c r="G116" s="5">
        <v>0</v>
      </c>
      <c r="H116" s="5"/>
      <c r="I116" s="5"/>
      <c r="J116" s="5"/>
      <c r="K116" s="5"/>
      <c r="L116" s="5"/>
      <c r="M116" s="5"/>
      <c r="N116" s="5"/>
      <c r="O116" s="5"/>
      <c r="P116" s="5"/>
    </row>
    <row r="117" spans="1:68" x14ac:dyDescent="0.3">
      <c r="A117" s="21" t="s">
        <v>654</v>
      </c>
      <c r="B117" s="21" t="s">
        <v>655</v>
      </c>
      <c r="C117" s="21" t="s">
        <v>500</v>
      </c>
      <c r="D117" s="21"/>
      <c r="E117" s="21" t="s">
        <v>139</v>
      </c>
      <c r="F117" s="21" t="s">
        <v>140</v>
      </c>
      <c r="G117" s="4">
        <v>0</v>
      </c>
      <c r="H117" s="4">
        <v>10.1</v>
      </c>
      <c r="I117" s="4">
        <v>10.1</v>
      </c>
      <c r="J117" s="4">
        <v>10.1</v>
      </c>
      <c r="K117" s="4">
        <v>10.1</v>
      </c>
      <c r="L117" s="4">
        <v>10.1</v>
      </c>
      <c r="M117" s="4">
        <v>10.1</v>
      </c>
      <c r="N117" s="4">
        <v>10.1</v>
      </c>
      <c r="O117" s="4">
        <v>10.1</v>
      </c>
      <c r="P117" s="4">
        <v>10.1</v>
      </c>
      <c r="Q117">
        <v>10.1</v>
      </c>
      <c r="R117">
        <v>10.1</v>
      </c>
      <c r="S117">
        <v>10.1</v>
      </c>
      <c r="T117">
        <v>9.92</v>
      </c>
      <c r="U117">
        <v>9.75</v>
      </c>
      <c r="V117">
        <v>9.59</v>
      </c>
      <c r="W117">
        <v>9.43</v>
      </c>
      <c r="X117">
        <v>9.2799999999999994</v>
      </c>
      <c r="Y117">
        <v>9.14</v>
      </c>
      <c r="Z117">
        <v>9.01</v>
      </c>
      <c r="AA117">
        <v>8.89</v>
      </c>
      <c r="AB117">
        <v>8.77</v>
      </c>
      <c r="AC117">
        <v>8.66</v>
      </c>
      <c r="AD117">
        <v>8.56</v>
      </c>
      <c r="AE117">
        <v>8.4600000000000009</v>
      </c>
      <c r="AF117">
        <v>8.3699999999999992</v>
      </c>
      <c r="AG117">
        <v>8.2799999999999994</v>
      </c>
      <c r="AH117">
        <v>8.1999999999999993</v>
      </c>
      <c r="AI117">
        <v>8.1300000000000008</v>
      </c>
      <c r="AJ117">
        <v>8.06</v>
      </c>
      <c r="AK117">
        <v>8</v>
      </c>
      <c r="AL117">
        <v>7.94</v>
      </c>
      <c r="AM117">
        <v>7.89</v>
      </c>
      <c r="AN117">
        <v>7.84</v>
      </c>
      <c r="AO117">
        <v>7.8</v>
      </c>
      <c r="AP117">
        <v>7.76</v>
      </c>
      <c r="AQ117">
        <v>7.73</v>
      </c>
      <c r="AR117">
        <v>7.7</v>
      </c>
      <c r="AS117">
        <v>7.68</v>
      </c>
      <c r="AT117">
        <v>7.66</v>
      </c>
      <c r="AU117">
        <v>7.64</v>
      </c>
      <c r="AV117">
        <v>7.64</v>
      </c>
      <c r="AW117">
        <f>AV117</f>
        <v>7.64</v>
      </c>
      <c r="AX117">
        <f t="shared" ref="AX117:BP117" si="30">AW117</f>
        <v>7.64</v>
      </c>
      <c r="AY117">
        <f t="shared" si="30"/>
        <v>7.64</v>
      </c>
      <c r="AZ117">
        <f t="shared" si="30"/>
        <v>7.64</v>
      </c>
      <c r="BA117">
        <f t="shared" si="30"/>
        <v>7.64</v>
      </c>
      <c r="BB117">
        <f t="shared" si="30"/>
        <v>7.64</v>
      </c>
      <c r="BC117">
        <f t="shared" si="30"/>
        <v>7.64</v>
      </c>
      <c r="BD117">
        <f t="shared" si="30"/>
        <v>7.64</v>
      </c>
      <c r="BE117">
        <f t="shared" si="30"/>
        <v>7.64</v>
      </c>
      <c r="BF117">
        <f t="shared" si="30"/>
        <v>7.64</v>
      </c>
      <c r="BG117">
        <f t="shared" si="30"/>
        <v>7.64</v>
      </c>
      <c r="BH117">
        <f t="shared" si="30"/>
        <v>7.64</v>
      </c>
      <c r="BI117">
        <f t="shared" si="30"/>
        <v>7.64</v>
      </c>
      <c r="BJ117">
        <f t="shared" si="30"/>
        <v>7.64</v>
      </c>
      <c r="BK117">
        <f t="shared" si="30"/>
        <v>7.64</v>
      </c>
      <c r="BL117">
        <f t="shared" si="30"/>
        <v>7.64</v>
      </c>
      <c r="BM117">
        <f t="shared" si="30"/>
        <v>7.64</v>
      </c>
      <c r="BN117">
        <f t="shared" si="30"/>
        <v>7.64</v>
      </c>
      <c r="BO117">
        <f t="shared" si="30"/>
        <v>7.64</v>
      </c>
      <c r="BP117">
        <f t="shared" si="30"/>
        <v>7.64</v>
      </c>
    </row>
    <row r="118" spans="1:68" x14ac:dyDescent="0.3">
      <c r="A118" s="21" t="s">
        <v>654</v>
      </c>
      <c r="B118" s="21" t="s">
        <v>655</v>
      </c>
      <c r="C118" s="21" t="s">
        <v>647</v>
      </c>
      <c r="D118" s="21"/>
      <c r="E118" s="21" t="s">
        <v>11</v>
      </c>
      <c r="F118" s="21" t="s">
        <v>12</v>
      </c>
      <c r="G118" s="4">
        <v>0</v>
      </c>
      <c r="H118" s="4"/>
      <c r="I118" s="4"/>
      <c r="J118" s="4"/>
      <c r="K118" s="4"/>
      <c r="L118" s="4"/>
      <c r="M118" s="4"/>
      <c r="N118" s="4"/>
      <c r="O118" s="4"/>
      <c r="P118" s="4"/>
    </row>
    <row r="119" spans="1:68" x14ac:dyDescent="0.3">
      <c r="A119" s="5" t="s">
        <v>656</v>
      </c>
      <c r="B119" s="5" t="s">
        <v>657</v>
      </c>
      <c r="C119" s="5" t="s">
        <v>516</v>
      </c>
      <c r="D119" s="5"/>
      <c r="E119" s="5" t="s">
        <v>139</v>
      </c>
      <c r="F119" s="5" t="s">
        <v>140</v>
      </c>
      <c r="G119" s="5">
        <v>0</v>
      </c>
      <c r="H119" s="5">
        <v>10.74</v>
      </c>
      <c r="I119" s="5">
        <v>10.74</v>
      </c>
      <c r="J119" s="5">
        <v>10.74</v>
      </c>
      <c r="K119" s="5">
        <v>10.74</v>
      </c>
      <c r="L119" s="5">
        <v>10.74</v>
      </c>
      <c r="M119" s="5">
        <v>10.74</v>
      </c>
      <c r="N119" s="5">
        <v>10.74</v>
      </c>
      <c r="O119" s="5">
        <v>10.74</v>
      </c>
      <c r="P119" s="5">
        <v>10.74</v>
      </c>
      <c r="Q119">
        <v>10.74</v>
      </c>
      <c r="R119">
        <v>10.74</v>
      </c>
      <c r="S119">
        <v>10.74</v>
      </c>
      <c r="T119">
        <v>10.55</v>
      </c>
      <c r="U119">
        <v>10.37</v>
      </c>
      <c r="V119">
        <v>10.19</v>
      </c>
      <c r="W119">
        <v>10.029999999999999</v>
      </c>
      <c r="X119">
        <v>9.8699999999999992</v>
      </c>
      <c r="Y119">
        <v>9.7200000000000006</v>
      </c>
      <c r="Z119">
        <v>9.58</v>
      </c>
      <c r="AA119">
        <v>9.4499999999999993</v>
      </c>
      <c r="AB119">
        <v>9.33</v>
      </c>
      <c r="AC119">
        <v>9.2100000000000009</v>
      </c>
      <c r="AD119">
        <v>9.1</v>
      </c>
      <c r="AE119">
        <v>8.99</v>
      </c>
      <c r="AF119">
        <v>8.9</v>
      </c>
      <c r="AG119">
        <v>8.81</v>
      </c>
      <c r="AH119">
        <v>8.7200000000000006</v>
      </c>
      <c r="AI119">
        <v>8.64</v>
      </c>
      <c r="AJ119">
        <v>8.57</v>
      </c>
      <c r="AK119">
        <v>8.5</v>
      </c>
      <c r="AL119">
        <v>8.44</v>
      </c>
      <c r="AM119">
        <v>8.39</v>
      </c>
      <c r="AN119">
        <v>8.34</v>
      </c>
      <c r="AO119">
        <v>8.2899999999999991</v>
      </c>
      <c r="AP119">
        <v>8.25</v>
      </c>
      <c r="AQ119">
        <v>8.2200000000000006</v>
      </c>
      <c r="AR119">
        <v>8.19</v>
      </c>
      <c r="AS119">
        <v>8.16</v>
      </c>
      <c r="AT119">
        <v>8.14</v>
      </c>
      <c r="AU119">
        <v>8.1300000000000008</v>
      </c>
      <c r="AV119">
        <v>8.1199999999999992</v>
      </c>
      <c r="AW119">
        <f>AV119</f>
        <v>8.1199999999999992</v>
      </c>
      <c r="AX119">
        <f t="shared" ref="AX119:BP119" si="31">AW119</f>
        <v>8.1199999999999992</v>
      </c>
      <c r="AY119">
        <f t="shared" si="31"/>
        <v>8.1199999999999992</v>
      </c>
      <c r="AZ119">
        <f t="shared" si="31"/>
        <v>8.1199999999999992</v>
      </c>
      <c r="BA119">
        <f t="shared" si="31"/>
        <v>8.1199999999999992</v>
      </c>
      <c r="BB119">
        <f t="shared" si="31"/>
        <v>8.1199999999999992</v>
      </c>
      <c r="BC119">
        <f t="shared" si="31"/>
        <v>8.1199999999999992</v>
      </c>
      <c r="BD119">
        <f t="shared" si="31"/>
        <v>8.1199999999999992</v>
      </c>
      <c r="BE119">
        <f t="shared" si="31"/>
        <v>8.1199999999999992</v>
      </c>
      <c r="BF119">
        <f t="shared" si="31"/>
        <v>8.1199999999999992</v>
      </c>
      <c r="BG119">
        <f t="shared" si="31"/>
        <v>8.1199999999999992</v>
      </c>
      <c r="BH119">
        <f t="shared" si="31"/>
        <v>8.1199999999999992</v>
      </c>
      <c r="BI119">
        <f t="shared" si="31"/>
        <v>8.1199999999999992</v>
      </c>
      <c r="BJ119">
        <f t="shared" si="31"/>
        <v>8.1199999999999992</v>
      </c>
      <c r="BK119">
        <f t="shared" si="31"/>
        <v>8.1199999999999992</v>
      </c>
      <c r="BL119">
        <f t="shared" si="31"/>
        <v>8.1199999999999992</v>
      </c>
      <c r="BM119">
        <f t="shared" si="31"/>
        <v>8.1199999999999992</v>
      </c>
      <c r="BN119">
        <f t="shared" si="31"/>
        <v>8.1199999999999992</v>
      </c>
      <c r="BO119">
        <f t="shared" si="31"/>
        <v>8.1199999999999992</v>
      </c>
      <c r="BP119">
        <f t="shared" si="31"/>
        <v>8.1199999999999992</v>
      </c>
    </row>
    <row r="120" spans="1:68" x14ac:dyDescent="0.3">
      <c r="A120" s="5" t="s">
        <v>656</v>
      </c>
      <c r="B120" s="5" t="s">
        <v>657</v>
      </c>
      <c r="C120" s="5" t="s">
        <v>647</v>
      </c>
      <c r="D120" s="5"/>
      <c r="E120" s="5" t="s">
        <v>11</v>
      </c>
      <c r="F120" s="5" t="s">
        <v>12</v>
      </c>
      <c r="G120" s="5">
        <v>0</v>
      </c>
      <c r="H120" s="5"/>
      <c r="I120" s="5"/>
      <c r="J120" s="5"/>
      <c r="K120" s="5"/>
      <c r="L120" s="5"/>
      <c r="M120" s="5"/>
      <c r="N120" s="5"/>
      <c r="O120" s="5"/>
      <c r="P120" s="5"/>
    </row>
    <row r="121" spans="1:68" x14ac:dyDescent="0.3">
      <c r="A121" s="4" t="s">
        <v>658</v>
      </c>
      <c r="B121" s="4" t="s">
        <v>659</v>
      </c>
      <c r="C121" s="4" t="s">
        <v>520</v>
      </c>
      <c r="D121" s="4"/>
      <c r="E121" s="4" t="s">
        <v>139</v>
      </c>
      <c r="F121" s="10" t="s">
        <v>140</v>
      </c>
      <c r="G121" s="4">
        <v>0</v>
      </c>
      <c r="H121" s="10">
        <v>7.3</v>
      </c>
      <c r="I121" s="10">
        <v>7.3</v>
      </c>
      <c r="J121" s="10">
        <v>7.3</v>
      </c>
      <c r="K121" s="10">
        <v>7.3</v>
      </c>
      <c r="L121" s="10">
        <v>7.3</v>
      </c>
      <c r="M121" s="10">
        <v>7.3</v>
      </c>
      <c r="N121" s="10">
        <v>7.3</v>
      </c>
      <c r="O121" s="10">
        <v>7.3</v>
      </c>
      <c r="P121" s="10">
        <v>7.3</v>
      </c>
      <c r="Q121" s="9">
        <v>7.3</v>
      </c>
      <c r="R121" s="9">
        <v>7.3</v>
      </c>
      <c r="S121" s="9">
        <v>7.3</v>
      </c>
      <c r="T121" s="9">
        <v>7.27</v>
      </c>
      <c r="U121" s="9">
        <v>7.23</v>
      </c>
      <c r="V121" s="9">
        <v>7.22</v>
      </c>
      <c r="W121" s="9">
        <v>7.19</v>
      </c>
      <c r="X121" s="9">
        <v>7.16</v>
      </c>
      <c r="Y121" s="9">
        <v>7.12</v>
      </c>
      <c r="Z121" s="9">
        <v>7.09</v>
      </c>
      <c r="AA121" s="9">
        <v>7.06</v>
      </c>
      <c r="AB121" s="9">
        <v>7.04</v>
      </c>
      <c r="AC121" s="9">
        <v>6.95</v>
      </c>
      <c r="AD121" s="9">
        <v>6.87</v>
      </c>
      <c r="AE121" s="9">
        <v>6.81</v>
      </c>
      <c r="AF121" s="9">
        <v>6.73</v>
      </c>
      <c r="AG121" s="9">
        <v>6.7</v>
      </c>
      <c r="AH121" s="9">
        <v>6.67</v>
      </c>
      <c r="AI121" s="9">
        <v>6.63</v>
      </c>
      <c r="AJ121" s="9">
        <v>6.62</v>
      </c>
      <c r="AK121" s="9">
        <v>6.59</v>
      </c>
      <c r="AL121" s="9">
        <v>6.56</v>
      </c>
      <c r="AM121" s="9">
        <v>6.54</v>
      </c>
      <c r="AN121" s="9">
        <v>6.51</v>
      </c>
      <c r="AO121" s="9">
        <v>6.48</v>
      </c>
      <c r="AP121" s="9">
        <v>6.46</v>
      </c>
      <c r="AQ121" s="9">
        <v>6.43</v>
      </c>
      <c r="AR121" s="9">
        <v>6.4</v>
      </c>
      <c r="AS121" s="9">
        <v>6.37</v>
      </c>
      <c r="AT121" s="9">
        <v>6.35</v>
      </c>
      <c r="AU121" s="9">
        <v>6.32</v>
      </c>
      <c r="AV121" s="9">
        <v>6.29</v>
      </c>
      <c r="AW121">
        <f>AV121</f>
        <v>6.29</v>
      </c>
      <c r="AX121">
        <f t="shared" ref="AX121:BP121" si="32">AW121</f>
        <v>6.29</v>
      </c>
      <c r="AY121">
        <f t="shared" si="32"/>
        <v>6.29</v>
      </c>
      <c r="AZ121">
        <f t="shared" si="32"/>
        <v>6.29</v>
      </c>
      <c r="BA121">
        <f t="shared" si="32"/>
        <v>6.29</v>
      </c>
      <c r="BB121">
        <f t="shared" si="32"/>
        <v>6.29</v>
      </c>
      <c r="BC121">
        <f t="shared" si="32"/>
        <v>6.29</v>
      </c>
      <c r="BD121">
        <f t="shared" si="32"/>
        <v>6.29</v>
      </c>
      <c r="BE121">
        <f t="shared" si="32"/>
        <v>6.29</v>
      </c>
      <c r="BF121">
        <f t="shared" si="32"/>
        <v>6.29</v>
      </c>
      <c r="BG121">
        <f t="shared" si="32"/>
        <v>6.29</v>
      </c>
      <c r="BH121">
        <f t="shared" si="32"/>
        <v>6.29</v>
      </c>
      <c r="BI121">
        <f t="shared" si="32"/>
        <v>6.29</v>
      </c>
      <c r="BJ121">
        <f t="shared" si="32"/>
        <v>6.29</v>
      </c>
      <c r="BK121">
        <f t="shared" si="32"/>
        <v>6.29</v>
      </c>
      <c r="BL121">
        <f t="shared" si="32"/>
        <v>6.29</v>
      </c>
      <c r="BM121">
        <f t="shared" si="32"/>
        <v>6.29</v>
      </c>
      <c r="BN121">
        <f t="shared" si="32"/>
        <v>6.29</v>
      </c>
      <c r="BO121">
        <f t="shared" si="32"/>
        <v>6.29</v>
      </c>
      <c r="BP121">
        <f t="shared" si="32"/>
        <v>6.29</v>
      </c>
    </row>
    <row r="122" spans="1:68" x14ac:dyDescent="0.3">
      <c r="A122" s="4" t="s">
        <v>658</v>
      </c>
      <c r="B122" s="4" t="s">
        <v>659</v>
      </c>
      <c r="C122" s="4" t="s">
        <v>647</v>
      </c>
      <c r="D122" s="4"/>
      <c r="E122" s="4" t="s">
        <v>11</v>
      </c>
      <c r="F122" s="4" t="s">
        <v>12</v>
      </c>
      <c r="G122" s="4">
        <v>0</v>
      </c>
      <c r="H122" s="4"/>
      <c r="I122" s="4"/>
      <c r="J122" s="4"/>
      <c r="K122" s="4"/>
      <c r="L122" s="4"/>
      <c r="M122" s="4"/>
      <c r="N122" s="4"/>
      <c r="O122" s="4"/>
      <c r="P122" s="4"/>
    </row>
    <row r="123" spans="1:68" x14ac:dyDescent="0.3">
      <c r="A123" s="5" t="s">
        <v>660</v>
      </c>
      <c r="B123" s="5" t="s">
        <v>661</v>
      </c>
      <c r="C123" s="5" t="s">
        <v>524</v>
      </c>
      <c r="D123" s="5"/>
      <c r="E123" s="5" t="s">
        <v>139</v>
      </c>
      <c r="F123" s="5" t="s">
        <v>140</v>
      </c>
      <c r="G123" s="5">
        <v>0</v>
      </c>
      <c r="H123" s="5">
        <v>1.4241467889999999</v>
      </c>
      <c r="I123" s="5">
        <v>1.4241467889999999</v>
      </c>
      <c r="J123" s="5">
        <v>1.4241467889999999</v>
      </c>
      <c r="K123" s="5">
        <v>1.4241467889999999</v>
      </c>
      <c r="L123" s="5">
        <v>1.4241467889999999</v>
      </c>
      <c r="M123" s="5">
        <v>1.4241467889999999</v>
      </c>
      <c r="N123" s="5">
        <v>1.4241467889999999</v>
      </c>
      <c r="O123" s="5">
        <v>1.4241467889999999</v>
      </c>
      <c r="P123" s="5">
        <v>1.4241467889999999</v>
      </c>
      <c r="Q123">
        <v>1.415967339</v>
      </c>
      <c r="R123">
        <v>1.4139530259999999</v>
      </c>
      <c r="S123">
        <v>1.4057998490000001</v>
      </c>
      <c r="T123">
        <v>1.3915340819999999</v>
      </c>
      <c r="U123">
        <v>1.371181998</v>
      </c>
      <c r="V123">
        <v>1.350882462</v>
      </c>
      <c r="W123">
        <v>1.336739305</v>
      </c>
      <c r="X123">
        <v>1.316536105</v>
      </c>
      <c r="Y123">
        <v>1.2963854530000001</v>
      </c>
      <c r="Z123">
        <v>1.282364906</v>
      </c>
      <c r="AA123">
        <v>1.2683793910000001</v>
      </c>
      <c r="AB123">
        <v>1.248368865</v>
      </c>
      <c r="AC123">
        <v>1.240513456</v>
      </c>
      <c r="AD123">
        <v>1.226633036</v>
      </c>
      <c r="AE123">
        <v>1.2127876470000001</v>
      </c>
      <c r="AF123">
        <v>1.19897729</v>
      </c>
      <c r="AG123">
        <v>1.185201964</v>
      </c>
      <c r="AH123">
        <v>1.17146167</v>
      </c>
      <c r="AI123">
        <v>1.1637551450000001</v>
      </c>
      <c r="AJ123">
        <v>1.156066136</v>
      </c>
      <c r="AK123">
        <v>1.148394643</v>
      </c>
      <c r="AL123">
        <v>1.140740665</v>
      </c>
      <c r="AM123">
        <v>1.1271404970000001</v>
      </c>
      <c r="AN123">
        <v>1.125485257</v>
      </c>
      <c r="AO123">
        <v>1.117883827</v>
      </c>
      <c r="AP123">
        <v>1.110299913</v>
      </c>
      <c r="AQ123">
        <v>1.1027335140000001</v>
      </c>
      <c r="AR123">
        <v>1.095184631</v>
      </c>
      <c r="AS123">
        <v>1.0876532640000001</v>
      </c>
      <c r="AT123">
        <v>1.0860418140000001</v>
      </c>
      <c r="AU123">
        <v>1.0844303630000001</v>
      </c>
      <c r="AV123">
        <v>1.0769340279999999</v>
      </c>
      <c r="AW123">
        <v>1.075331335</v>
      </c>
      <c r="AX123">
        <v>1.0737286429999999</v>
      </c>
      <c r="AY123">
        <v>1.0721259510000001</v>
      </c>
      <c r="AZ123">
        <v>1.0705232579999999</v>
      </c>
      <c r="BA123">
        <v>1.0689205660000001</v>
      </c>
      <c r="BB123">
        <v>1.0673178729999999</v>
      </c>
      <c r="BC123">
        <v>1.0598916009999999</v>
      </c>
      <c r="BD123">
        <v>1.0582976660000001</v>
      </c>
      <c r="BE123">
        <v>1.0567037319999999</v>
      </c>
      <c r="BF123">
        <v>1.0551097970000001</v>
      </c>
      <c r="BG123">
        <v>1.0535158630000001</v>
      </c>
      <c r="BH123">
        <v>1.0519219280000001</v>
      </c>
      <c r="BI123">
        <v>1.0503279940000001</v>
      </c>
      <c r="BJ123">
        <v>1.0429717839999999</v>
      </c>
      <c r="BK123">
        <v>1.041386608</v>
      </c>
      <c r="BL123">
        <v>1.0398014310000001</v>
      </c>
      <c r="BM123">
        <v>1.038216255</v>
      </c>
      <c r="BN123">
        <v>1.0366310780000001</v>
      </c>
      <c r="BO123">
        <v>1.0350459009999999</v>
      </c>
      <c r="BP123">
        <v>1.0334607250000001</v>
      </c>
    </row>
    <row r="124" spans="1:68" x14ac:dyDescent="0.3">
      <c r="A124" s="8" t="s">
        <v>660</v>
      </c>
      <c r="B124" s="8" t="s">
        <v>661</v>
      </c>
      <c r="C124" s="8" t="s">
        <v>532</v>
      </c>
      <c r="D124" s="8"/>
      <c r="E124" s="8" t="s">
        <v>139</v>
      </c>
      <c r="F124" s="8" t="s">
        <v>140</v>
      </c>
      <c r="G124" s="8">
        <v>0</v>
      </c>
      <c r="H124" s="5">
        <v>0.65489419000000004</v>
      </c>
      <c r="I124" s="5">
        <v>0.65489419000000004</v>
      </c>
      <c r="J124" s="5">
        <v>0.65489419000000004</v>
      </c>
      <c r="K124" s="5">
        <v>0.65489419000000004</v>
      </c>
      <c r="L124" s="5">
        <v>0.65489419000000004</v>
      </c>
      <c r="M124" s="5">
        <v>0.65489419000000004</v>
      </c>
      <c r="N124" s="5">
        <v>0.65489419000000004</v>
      </c>
      <c r="O124" s="5">
        <v>0.65489419000000004</v>
      </c>
      <c r="P124" s="5">
        <v>0.65489419000000004</v>
      </c>
      <c r="Q124">
        <v>0.65707537599999999</v>
      </c>
      <c r="R124">
        <v>0.65761252599999998</v>
      </c>
      <c r="S124">
        <v>0.65978670699999997</v>
      </c>
      <c r="T124">
        <v>0.66359091199999998</v>
      </c>
      <c r="U124">
        <v>0.66901813399999999</v>
      </c>
      <c r="V124">
        <v>0.67443134400000004</v>
      </c>
      <c r="W124">
        <v>0.67820285199999997</v>
      </c>
      <c r="X124">
        <v>0.68359037199999995</v>
      </c>
      <c r="Y124">
        <v>0.688963879</v>
      </c>
      <c r="Z124">
        <v>0.69270269200000001</v>
      </c>
      <c r="AA124">
        <v>0.69643216200000002</v>
      </c>
      <c r="AB124">
        <v>0.70176830300000004</v>
      </c>
      <c r="AC124">
        <v>0.70386307800000003</v>
      </c>
      <c r="AD124">
        <v>0.70756452400000003</v>
      </c>
      <c r="AE124">
        <v>0.71125662700000003</v>
      </c>
      <c r="AF124">
        <v>0.71493938899999998</v>
      </c>
      <c r="AG124">
        <v>0.71861280999999999</v>
      </c>
      <c r="AH124">
        <v>0.72227688800000001</v>
      </c>
      <c r="AI124">
        <v>0.72433196099999997</v>
      </c>
      <c r="AJ124">
        <v>0.726382364</v>
      </c>
      <c r="AK124">
        <v>0.72842809500000005</v>
      </c>
      <c r="AL124">
        <v>0.73046915599999995</v>
      </c>
      <c r="AM124">
        <v>0.73409586699999996</v>
      </c>
      <c r="AN124">
        <v>0.73453726500000005</v>
      </c>
      <c r="AO124">
        <v>0.73656431300000003</v>
      </c>
      <c r="AP124">
        <v>0.73858668999999999</v>
      </c>
      <c r="AQ124">
        <v>0.74060439600000005</v>
      </c>
      <c r="AR124">
        <v>0.74261743199999997</v>
      </c>
      <c r="AS124">
        <v>0.74462579600000001</v>
      </c>
      <c r="AT124">
        <v>0.74505551599999997</v>
      </c>
      <c r="AU124">
        <v>0.74548523600000005</v>
      </c>
      <c r="AV124">
        <v>0.74748425900000004</v>
      </c>
      <c r="AW124">
        <v>0.74791164399999999</v>
      </c>
      <c r="AX124">
        <v>0.74833902900000004</v>
      </c>
      <c r="AY124">
        <v>0.74876641300000002</v>
      </c>
      <c r="AZ124">
        <v>0.74919379799999997</v>
      </c>
      <c r="BA124">
        <v>0.74962118200000005</v>
      </c>
      <c r="BB124">
        <v>0.750048567</v>
      </c>
      <c r="BC124">
        <v>0.75202890600000005</v>
      </c>
      <c r="BD124">
        <v>0.75245395599999998</v>
      </c>
      <c r="BE124">
        <v>0.75287900500000005</v>
      </c>
      <c r="BF124">
        <v>0.753304054</v>
      </c>
      <c r="BG124">
        <v>0.75372910299999996</v>
      </c>
      <c r="BH124">
        <v>0.75415415200000002</v>
      </c>
      <c r="BI124">
        <v>0.75457920199999995</v>
      </c>
      <c r="BJ124">
        <v>0.75654085699999996</v>
      </c>
      <c r="BK124">
        <v>0.756963571</v>
      </c>
      <c r="BL124">
        <v>0.75738628500000005</v>
      </c>
      <c r="BM124">
        <v>0.75780899899999998</v>
      </c>
      <c r="BN124">
        <v>0.75823171300000003</v>
      </c>
      <c r="BO124">
        <v>0.75865442599999999</v>
      </c>
      <c r="BP124">
        <v>0.75907714000000004</v>
      </c>
    </row>
    <row r="125" spans="1:68" x14ac:dyDescent="0.3">
      <c r="A125" s="5" t="s">
        <v>660</v>
      </c>
      <c r="B125" s="5" t="s">
        <v>661</v>
      </c>
      <c r="C125" s="5" t="s">
        <v>662</v>
      </c>
      <c r="D125" s="5"/>
      <c r="E125" s="5" t="s">
        <v>11</v>
      </c>
      <c r="F125" s="5" t="s">
        <v>12</v>
      </c>
      <c r="G125" s="5">
        <v>0</v>
      </c>
      <c r="H125" s="5"/>
      <c r="I125" s="5"/>
      <c r="J125" s="5"/>
      <c r="K125" s="5"/>
      <c r="L125" s="5"/>
      <c r="M125" s="5"/>
      <c r="N125" s="5"/>
      <c r="O125" s="5"/>
      <c r="P125" s="5"/>
    </row>
    <row r="126" spans="1:68" x14ac:dyDescent="0.3">
      <c r="A126" s="4" t="s">
        <v>663</v>
      </c>
      <c r="B126" s="4" t="s">
        <v>664</v>
      </c>
      <c r="C126" s="4" t="s">
        <v>528</v>
      </c>
      <c r="D126" s="4"/>
      <c r="E126" s="4" t="s">
        <v>139</v>
      </c>
      <c r="F126" s="12" t="s">
        <v>12</v>
      </c>
      <c r="G126" s="12">
        <v>0</v>
      </c>
      <c r="H126" s="12"/>
      <c r="I126" s="12"/>
      <c r="J126" s="12"/>
      <c r="K126" s="12"/>
      <c r="L126" s="12"/>
      <c r="M126" s="12"/>
      <c r="N126" s="12"/>
      <c r="O126" s="12"/>
      <c r="P126" s="12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</row>
    <row r="127" spans="1:68" x14ac:dyDescent="0.3">
      <c r="A127" s="4" t="s">
        <v>663</v>
      </c>
      <c r="B127" s="4" t="s">
        <v>664</v>
      </c>
      <c r="C127" s="4" t="s">
        <v>662</v>
      </c>
      <c r="D127" s="4"/>
      <c r="E127" s="4" t="s">
        <v>11</v>
      </c>
      <c r="F127" s="4" t="s">
        <v>12</v>
      </c>
      <c r="G127" s="4">
        <v>0</v>
      </c>
      <c r="H127" s="4"/>
      <c r="I127" s="4"/>
      <c r="J127" s="4"/>
      <c r="K127" s="4"/>
      <c r="L127" s="4"/>
      <c r="M127" s="4"/>
      <c r="N127" s="4"/>
      <c r="O127" s="4"/>
      <c r="P127" s="4"/>
    </row>
    <row r="128" spans="1:68" x14ac:dyDescent="0.3">
      <c r="A128" s="5" t="s">
        <v>665</v>
      </c>
      <c r="B128" s="5" t="s">
        <v>666</v>
      </c>
      <c r="C128" s="5" t="s">
        <v>532</v>
      </c>
      <c r="D128" s="5"/>
      <c r="E128" s="5" t="s">
        <v>139</v>
      </c>
      <c r="F128" s="5" t="s">
        <v>140</v>
      </c>
      <c r="G128" s="5">
        <v>0</v>
      </c>
      <c r="H128" s="5">
        <v>0.75</v>
      </c>
      <c r="I128" s="5">
        <v>0.75</v>
      </c>
      <c r="J128" s="5">
        <v>0.75</v>
      </c>
      <c r="K128" s="5">
        <v>0.75</v>
      </c>
      <c r="L128" s="5">
        <v>0.75</v>
      </c>
      <c r="M128" s="5">
        <v>0.75</v>
      </c>
      <c r="N128" s="5">
        <v>0.75</v>
      </c>
      <c r="O128" s="5">
        <v>0.75</v>
      </c>
      <c r="P128" s="5">
        <v>0.75</v>
      </c>
      <c r="Q128">
        <v>0.72</v>
      </c>
      <c r="R128">
        <v>0.72</v>
      </c>
      <c r="S128">
        <v>0.71</v>
      </c>
      <c r="T128">
        <v>0.71</v>
      </c>
      <c r="U128">
        <v>0.71</v>
      </c>
      <c r="V128">
        <v>0.71</v>
      </c>
      <c r="W128">
        <v>0.71</v>
      </c>
      <c r="X128">
        <v>0.7</v>
      </c>
      <c r="Y128">
        <v>0.7</v>
      </c>
      <c r="Z128">
        <v>0.7</v>
      </c>
      <c r="AA128">
        <v>0.7</v>
      </c>
      <c r="AB128">
        <v>0.68</v>
      </c>
      <c r="AC128">
        <v>0.68</v>
      </c>
      <c r="AD128">
        <v>0.68</v>
      </c>
      <c r="AE128">
        <v>0.68</v>
      </c>
      <c r="AF128">
        <v>0.67</v>
      </c>
      <c r="AG128">
        <v>0.65</v>
      </c>
      <c r="AH128">
        <v>0.64</v>
      </c>
      <c r="AI128">
        <v>0.64</v>
      </c>
      <c r="AJ128">
        <v>0.64</v>
      </c>
      <c r="AK128">
        <v>0.64</v>
      </c>
      <c r="AL128">
        <v>0.64</v>
      </c>
      <c r="AM128">
        <v>0.63</v>
      </c>
      <c r="AN128">
        <v>0.63</v>
      </c>
      <c r="AO128">
        <v>0.63</v>
      </c>
      <c r="AP128">
        <v>0.63</v>
      </c>
      <c r="AQ128">
        <v>0.61</v>
      </c>
      <c r="AR128">
        <v>0.6</v>
      </c>
      <c r="AS128">
        <v>0.6</v>
      </c>
      <c r="AT128">
        <v>0.6</v>
      </c>
      <c r="AU128">
        <v>0.6</v>
      </c>
      <c r="AV128">
        <v>0.59</v>
      </c>
      <c r="AW128">
        <f>AV128</f>
        <v>0.59</v>
      </c>
      <c r="AX128">
        <f t="shared" ref="AX128:BP128" si="33">AW128</f>
        <v>0.59</v>
      </c>
      <c r="AY128">
        <f t="shared" si="33"/>
        <v>0.59</v>
      </c>
      <c r="AZ128">
        <f t="shared" si="33"/>
        <v>0.59</v>
      </c>
      <c r="BA128">
        <f t="shared" si="33"/>
        <v>0.59</v>
      </c>
      <c r="BB128">
        <f t="shared" si="33"/>
        <v>0.59</v>
      </c>
      <c r="BC128">
        <f t="shared" si="33"/>
        <v>0.59</v>
      </c>
      <c r="BD128">
        <f t="shared" si="33"/>
        <v>0.59</v>
      </c>
      <c r="BE128">
        <f t="shared" si="33"/>
        <v>0.59</v>
      </c>
      <c r="BF128">
        <f t="shared" si="33"/>
        <v>0.59</v>
      </c>
      <c r="BG128">
        <f t="shared" si="33"/>
        <v>0.59</v>
      </c>
      <c r="BH128">
        <f t="shared" si="33"/>
        <v>0.59</v>
      </c>
      <c r="BI128">
        <f t="shared" si="33"/>
        <v>0.59</v>
      </c>
      <c r="BJ128">
        <f t="shared" si="33"/>
        <v>0.59</v>
      </c>
      <c r="BK128">
        <f t="shared" si="33"/>
        <v>0.59</v>
      </c>
      <c r="BL128">
        <f t="shared" si="33"/>
        <v>0.59</v>
      </c>
      <c r="BM128">
        <f t="shared" si="33"/>
        <v>0.59</v>
      </c>
      <c r="BN128">
        <f t="shared" si="33"/>
        <v>0.59</v>
      </c>
      <c r="BO128">
        <f t="shared" si="33"/>
        <v>0.59</v>
      </c>
      <c r="BP128">
        <f t="shared" si="33"/>
        <v>0.59</v>
      </c>
    </row>
    <row r="129" spans="1:68" x14ac:dyDescent="0.3">
      <c r="A129" s="5" t="s">
        <v>665</v>
      </c>
      <c r="B129" s="5" t="s">
        <v>666</v>
      </c>
      <c r="C129" s="5" t="s">
        <v>662</v>
      </c>
      <c r="D129" s="5"/>
      <c r="E129" s="5" t="s">
        <v>11</v>
      </c>
      <c r="F129" s="5" t="s">
        <v>12</v>
      </c>
      <c r="G129" s="5">
        <v>0</v>
      </c>
      <c r="H129" s="5"/>
      <c r="I129" s="5"/>
      <c r="J129" s="5"/>
      <c r="K129" s="5"/>
      <c r="L129" s="5"/>
      <c r="M129" s="5"/>
      <c r="N129" s="5"/>
      <c r="O129" s="5"/>
      <c r="P129" s="5"/>
    </row>
    <row r="130" spans="1:68" x14ac:dyDescent="0.3">
      <c r="A130" s="21" t="s">
        <v>667</v>
      </c>
      <c r="B130" s="21" t="s">
        <v>668</v>
      </c>
      <c r="C130" s="21" t="s">
        <v>524</v>
      </c>
      <c r="D130" s="21"/>
      <c r="E130" s="21" t="s">
        <v>139</v>
      </c>
      <c r="F130" s="21" t="s">
        <v>140</v>
      </c>
      <c r="G130" s="4">
        <v>0</v>
      </c>
      <c r="H130" s="4">
        <v>3.88</v>
      </c>
      <c r="I130" s="4">
        <v>3.88</v>
      </c>
      <c r="J130" s="4">
        <v>3.88</v>
      </c>
      <c r="K130" s="4">
        <v>3.88</v>
      </c>
      <c r="L130" s="4">
        <v>3.88</v>
      </c>
      <c r="M130" s="4">
        <v>3.88</v>
      </c>
      <c r="N130" s="4">
        <v>3.88</v>
      </c>
      <c r="O130" s="4">
        <v>3.88</v>
      </c>
      <c r="P130" s="4">
        <v>3.88</v>
      </c>
      <c r="Q130">
        <v>3.88</v>
      </c>
      <c r="R130">
        <v>3.88</v>
      </c>
      <c r="S130">
        <v>3.88</v>
      </c>
      <c r="T130">
        <v>3.82</v>
      </c>
      <c r="U130">
        <v>3.77</v>
      </c>
      <c r="V130">
        <v>3.71</v>
      </c>
      <c r="W130">
        <v>3.66</v>
      </c>
      <c r="X130">
        <v>3.62</v>
      </c>
      <c r="Y130">
        <v>3.57</v>
      </c>
      <c r="Z130">
        <v>3.53</v>
      </c>
      <c r="AA130">
        <v>3.49</v>
      </c>
      <c r="AB130">
        <v>3.45</v>
      </c>
      <c r="AC130">
        <v>3.41</v>
      </c>
      <c r="AD130">
        <v>3.38</v>
      </c>
      <c r="AE130">
        <v>3.35</v>
      </c>
      <c r="AF130">
        <v>3.32</v>
      </c>
      <c r="AG130">
        <v>3.29</v>
      </c>
      <c r="AH130">
        <v>3.26</v>
      </c>
      <c r="AI130">
        <v>3.24</v>
      </c>
      <c r="AJ130">
        <v>3.21</v>
      </c>
      <c r="AK130">
        <v>3.19</v>
      </c>
      <c r="AL130">
        <v>3.17</v>
      </c>
      <c r="AM130">
        <v>3.16</v>
      </c>
      <c r="AN130">
        <v>3.14</v>
      </c>
      <c r="AO130">
        <v>3.13</v>
      </c>
      <c r="AP130">
        <v>3.11</v>
      </c>
      <c r="AQ130">
        <v>3.1</v>
      </c>
      <c r="AR130">
        <v>3.09</v>
      </c>
      <c r="AS130">
        <v>3.09</v>
      </c>
      <c r="AT130">
        <v>3.08</v>
      </c>
      <c r="AU130">
        <v>3.08</v>
      </c>
      <c r="AV130">
        <v>3.07</v>
      </c>
      <c r="AW130">
        <f>AV130</f>
        <v>3.07</v>
      </c>
      <c r="AX130">
        <f t="shared" ref="AX130:BP130" si="34">AW130</f>
        <v>3.07</v>
      </c>
      <c r="AY130">
        <f t="shared" si="34"/>
        <v>3.07</v>
      </c>
      <c r="AZ130">
        <f t="shared" si="34"/>
        <v>3.07</v>
      </c>
      <c r="BA130">
        <f t="shared" si="34"/>
        <v>3.07</v>
      </c>
      <c r="BB130">
        <f t="shared" si="34"/>
        <v>3.07</v>
      </c>
      <c r="BC130">
        <f t="shared" si="34"/>
        <v>3.07</v>
      </c>
      <c r="BD130">
        <f t="shared" si="34"/>
        <v>3.07</v>
      </c>
      <c r="BE130">
        <f t="shared" si="34"/>
        <v>3.07</v>
      </c>
      <c r="BF130">
        <f t="shared" si="34"/>
        <v>3.07</v>
      </c>
      <c r="BG130">
        <f t="shared" si="34"/>
        <v>3.07</v>
      </c>
      <c r="BH130">
        <f t="shared" si="34"/>
        <v>3.07</v>
      </c>
      <c r="BI130">
        <f t="shared" si="34"/>
        <v>3.07</v>
      </c>
      <c r="BJ130">
        <f t="shared" si="34"/>
        <v>3.07</v>
      </c>
      <c r="BK130">
        <f t="shared" si="34"/>
        <v>3.07</v>
      </c>
      <c r="BL130">
        <f t="shared" si="34"/>
        <v>3.07</v>
      </c>
      <c r="BM130">
        <f t="shared" si="34"/>
        <v>3.07</v>
      </c>
      <c r="BN130">
        <f t="shared" si="34"/>
        <v>3.07</v>
      </c>
      <c r="BO130">
        <f t="shared" si="34"/>
        <v>3.07</v>
      </c>
      <c r="BP130">
        <f t="shared" si="34"/>
        <v>3.07</v>
      </c>
    </row>
    <row r="131" spans="1:68" x14ac:dyDescent="0.3">
      <c r="A131" s="21" t="s">
        <v>667</v>
      </c>
      <c r="B131" s="21" t="s">
        <v>668</v>
      </c>
      <c r="C131" s="21" t="s">
        <v>662</v>
      </c>
      <c r="D131" s="21"/>
      <c r="E131" s="21" t="s">
        <v>11</v>
      </c>
      <c r="F131" s="21" t="s">
        <v>12</v>
      </c>
      <c r="G131" s="4">
        <v>0</v>
      </c>
      <c r="H131" s="4"/>
      <c r="I131" s="4"/>
      <c r="J131" s="4"/>
      <c r="K131" s="4"/>
      <c r="L131" s="4"/>
      <c r="M131" s="4"/>
      <c r="N131" s="4"/>
      <c r="O131" s="4"/>
      <c r="P131" s="4"/>
    </row>
    <row r="132" spans="1:68" x14ac:dyDescent="0.3">
      <c r="A132" s="5" t="s">
        <v>669</v>
      </c>
      <c r="B132" s="5" t="s">
        <v>670</v>
      </c>
      <c r="C132" s="5" t="s">
        <v>536</v>
      </c>
      <c r="D132" s="5"/>
      <c r="E132" s="5" t="s">
        <v>139</v>
      </c>
      <c r="F132" s="5" t="s">
        <v>140</v>
      </c>
      <c r="G132" s="5">
        <v>0</v>
      </c>
      <c r="H132" s="5">
        <v>1.4241467889999999</v>
      </c>
      <c r="I132" s="5">
        <v>1.4241467889999999</v>
      </c>
      <c r="J132" s="5">
        <v>1.4241467889999999</v>
      </c>
      <c r="K132" s="5">
        <v>1.4241467889999999</v>
      </c>
      <c r="L132" s="5">
        <v>1.4241467889999999</v>
      </c>
      <c r="M132" s="5">
        <v>1.4241467889999999</v>
      </c>
      <c r="N132" s="5">
        <v>1.4241467889999999</v>
      </c>
      <c r="O132" s="5">
        <v>1.4241467889999999</v>
      </c>
      <c r="P132" s="5">
        <v>1.4241467889999999</v>
      </c>
      <c r="Q132">
        <v>1.415967339</v>
      </c>
      <c r="R132">
        <v>1.4139530259999999</v>
      </c>
      <c r="S132">
        <v>1.4057998490000001</v>
      </c>
      <c r="T132">
        <v>1.3915340819999999</v>
      </c>
      <c r="U132">
        <v>1.371181998</v>
      </c>
      <c r="V132">
        <v>1.350882462</v>
      </c>
      <c r="W132">
        <v>1.336739305</v>
      </c>
      <c r="X132">
        <v>1.316536105</v>
      </c>
      <c r="Y132">
        <v>1.2963854530000001</v>
      </c>
      <c r="Z132">
        <v>1.282364906</v>
      </c>
      <c r="AA132">
        <v>1.2683793910000001</v>
      </c>
      <c r="AB132">
        <v>1.248368865</v>
      </c>
      <c r="AC132">
        <v>1.240513456</v>
      </c>
      <c r="AD132">
        <v>1.226633036</v>
      </c>
      <c r="AE132">
        <v>1.2127876470000001</v>
      </c>
      <c r="AF132">
        <v>1.19897729</v>
      </c>
      <c r="AG132">
        <v>1.185201964</v>
      </c>
      <c r="AH132">
        <v>1.17146167</v>
      </c>
      <c r="AI132">
        <v>1.1637551450000001</v>
      </c>
      <c r="AJ132">
        <v>1.156066136</v>
      </c>
      <c r="AK132">
        <v>1.148394643</v>
      </c>
      <c r="AL132">
        <v>1.140740665</v>
      </c>
      <c r="AM132">
        <v>1.1271404970000001</v>
      </c>
      <c r="AN132">
        <v>1.125485257</v>
      </c>
      <c r="AO132">
        <v>1.117883827</v>
      </c>
      <c r="AP132">
        <v>1.110299913</v>
      </c>
      <c r="AQ132">
        <v>1.1027335140000001</v>
      </c>
      <c r="AR132">
        <v>1.095184631</v>
      </c>
      <c r="AS132">
        <v>1.0876532640000001</v>
      </c>
      <c r="AT132">
        <v>1.0860418140000001</v>
      </c>
      <c r="AU132">
        <v>1.0844303630000001</v>
      </c>
      <c r="AV132">
        <v>1.0769340279999999</v>
      </c>
      <c r="AW132">
        <v>1.075331335</v>
      </c>
      <c r="AX132">
        <v>1.0737286429999999</v>
      </c>
      <c r="AY132">
        <v>1.0721259510000001</v>
      </c>
      <c r="AZ132">
        <v>1.0705232579999999</v>
      </c>
      <c r="BA132">
        <v>1.0689205660000001</v>
      </c>
      <c r="BB132">
        <v>1.0673178729999999</v>
      </c>
      <c r="BC132">
        <v>1.0598916009999999</v>
      </c>
      <c r="BD132">
        <v>1.0582976660000001</v>
      </c>
      <c r="BE132">
        <v>1.0567037319999999</v>
      </c>
      <c r="BF132">
        <v>1.0551097970000001</v>
      </c>
      <c r="BG132">
        <v>1.0535158630000001</v>
      </c>
      <c r="BH132">
        <v>1.0519219280000001</v>
      </c>
      <c r="BI132">
        <v>1.0503279940000001</v>
      </c>
      <c r="BJ132">
        <v>1.0429717839999999</v>
      </c>
      <c r="BK132">
        <v>1.041386608</v>
      </c>
      <c r="BL132">
        <v>1.0398014310000001</v>
      </c>
      <c r="BM132">
        <v>1.038216255</v>
      </c>
      <c r="BN132">
        <v>1.0366310780000001</v>
      </c>
      <c r="BO132">
        <v>1.0350459009999999</v>
      </c>
      <c r="BP132">
        <v>1.0334607250000001</v>
      </c>
    </row>
    <row r="133" spans="1:68" x14ac:dyDescent="0.3">
      <c r="A133" s="8" t="s">
        <v>669</v>
      </c>
      <c r="B133" s="8" t="s">
        <v>670</v>
      </c>
      <c r="C133" s="8" t="s">
        <v>532</v>
      </c>
      <c r="D133" s="8"/>
      <c r="E133" s="8" t="s">
        <v>139</v>
      </c>
      <c r="F133" s="8" t="s">
        <v>140</v>
      </c>
      <c r="G133" s="8">
        <v>0</v>
      </c>
      <c r="H133" s="5">
        <v>0.65489419000000004</v>
      </c>
      <c r="I133" s="5">
        <v>0.65489419000000004</v>
      </c>
      <c r="J133" s="5">
        <v>0.65489419000000004</v>
      </c>
      <c r="K133" s="5">
        <v>0.65489419000000004</v>
      </c>
      <c r="L133" s="5">
        <v>0.65489419000000004</v>
      </c>
      <c r="M133" s="5">
        <v>0.65489419000000004</v>
      </c>
      <c r="N133" s="5">
        <v>0.65489419000000004</v>
      </c>
      <c r="O133" s="5">
        <v>0.65489419000000004</v>
      </c>
      <c r="P133" s="5">
        <v>0.65489419000000004</v>
      </c>
      <c r="Q133">
        <v>0.65707537599999999</v>
      </c>
      <c r="R133">
        <v>0.65761252599999998</v>
      </c>
      <c r="S133">
        <v>0.65978670699999997</v>
      </c>
      <c r="T133">
        <v>0.66359091199999998</v>
      </c>
      <c r="U133">
        <v>0.66901813399999999</v>
      </c>
      <c r="V133">
        <v>0.67443134400000004</v>
      </c>
      <c r="W133">
        <v>0.67820285199999997</v>
      </c>
      <c r="X133">
        <v>0.68359037199999995</v>
      </c>
      <c r="Y133">
        <v>0.688963879</v>
      </c>
      <c r="Z133">
        <v>0.69270269200000001</v>
      </c>
      <c r="AA133">
        <v>0.69643216200000002</v>
      </c>
      <c r="AB133">
        <v>0.70176830300000004</v>
      </c>
      <c r="AC133">
        <v>0.70386307800000003</v>
      </c>
      <c r="AD133">
        <v>0.70756452400000003</v>
      </c>
      <c r="AE133">
        <v>0.71125662700000003</v>
      </c>
      <c r="AF133">
        <v>0.71493938899999998</v>
      </c>
      <c r="AG133">
        <v>0.71861280999999999</v>
      </c>
      <c r="AH133">
        <v>0.72227688800000001</v>
      </c>
      <c r="AI133">
        <v>0.72433196099999997</v>
      </c>
      <c r="AJ133">
        <v>0.726382364</v>
      </c>
      <c r="AK133">
        <v>0.72842809500000005</v>
      </c>
      <c r="AL133">
        <v>0.73046915599999995</v>
      </c>
      <c r="AM133">
        <v>0.73409586699999996</v>
      </c>
      <c r="AN133">
        <v>0.73453726500000005</v>
      </c>
      <c r="AO133">
        <v>0.73656431300000003</v>
      </c>
      <c r="AP133">
        <v>0.73858668999999999</v>
      </c>
      <c r="AQ133">
        <v>0.74060439600000005</v>
      </c>
      <c r="AR133">
        <v>0.74261743199999997</v>
      </c>
      <c r="AS133">
        <v>0.74462579600000001</v>
      </c>
      <c r="AT133">
        <v>0.74505551599999997</v>
      </c>
      <c r="AU133">
        <v>0.74548523600000005</v>
      </c>
      <c r="AV133">
        <v>0.74748425900000004</v>
      </c>
      <c r="AW133">
        <v>0.74791164399999999</v>
      </c>
      <c r="AX133">
        <v>0.74833902900000004</v>
      </c>
      <c r="AY133">
        <v>0.74876641300000002</v>
      </c>
      <c r="AZ133">
        <v>0.74919379799999997</v>
      </c>
      <c r="BA133">
        <v>0.74962118200000005</v>
      </c>
      <c r="BB133">
        <v>0.750048567</v>
      </c>
      <c r="BC133">
        <v>0.75202890600000005</v>
      </c>
      <c r="BD133">
        <v>0.75245395599999998</v>
      </c>
      <c r="BE133">
        <v>0.75287900500000005</v>
      </c>
      <c r="BF133">
        <v>0.753304054</v>
      </c>
      <c r="BG133">
        <v>0.75372910299999996</v>
      </c>
      <c r="BH133">
        <v>0.75415415200000002</v>
      </c>
      <c r="BI133">
        <v>0.75457920199999995</v>
      </c>
      <c r="BJ133">
        <v>0.75654085699999996</v>
      </c>
      <c r="BK133">
        <v>0.756963571</v>
      </c>
      <c r="BL133">
        <v>0.75738628500000005</v>
      </c>
      <c r="BM133">
        <v>0.75780899899999998</v>
      </c>
      <c r="BN133">
        <v>0.75823171300000003</v>
      </c>
      <c r="BO133">
        <v>0.75865442599999999</v>
      </c>
      <c r="BP133">
        <v>0.75907714000000004</v>
      </c>
    </row>
    <row r="134" spans="1:68" x14ac:dyDescent="0.3">
      <c r="A134" s="5" t="s">
        <v>669</v>
      </c>
      <c r="B134" s="5" t="s">
        <v>670</v>
      </c>
      <c r="C134" s="5" t="s">
        <v>662</v>
      </c>
      <c r="D134" s="5"/>
      <c r="E134" s="5" t="s">
        <v>11</v>
      </c>
      <c r="F134" s="5" t="s">
        <v>12</v>
      </c>
      <c r="G134" s="5">
        <v>0</v>
      </c>
      <c r="H134" s="5"/>
      <c r="I134" s="5"/>
      <c r="J134" s="5"/>
      <c r="K134" s="5"/>
      <c r="L134" s="5"/>
      <c r="M134" s="5"/>
      <c r="N134" s="5"/>
      <c r="O134" s="5"/>
      <c r="P134" s="5"/>
    </row>
    <row r="135" spans="1:68" x14ac:dyDescent="0.3">
      <c r="A135" s="21" t="s">
        <v>671</v>
      </c>
      <c r="B135" s="21" t="s">
        <v>672</v>
      </c>
      <c r="C135" s="21" t="s">
        <v>536</v>
      </c>
      <c r="D135" s="21"/>
      <c r="E135" s="21" t="s">
        <v>139</v>
      </c>
      <c r="F135" s="21" t="s">
        <v>140</v>
      </c>
      <c r="G135" s="4">
        <v>0</v>
      </c>
      <c r="H135" s="4">
        <v>3.98</v>
      </c>
      <c r="I135" s="4">
        <v>3.98</v>
      </c>
      <c r="J135" s="4">
        <v>3.98</v>
      </c>
      <c r="K135" s="4">
        <v>3.98</v>
      </c>
      <c r="L135" s="4">
        <v>3.98</v>
      </c>
      <c r="M135" s="4">
        <v>3.98</v>
      </c>
      <c r="N135" s="4">
        <v>3.98</v>
      </c>
      <c r="O135" s="4">
        <v>3.98</v>
      </c>
      <c r="P135" s="4">
        <v>3.98</v>
      </c>
      <c r="Q135">
        <v>3.98</v>
      </c>
      <c r="R135">
        <v>3.98</v>
      </c>
      <c r="S135">
        <v>3.98</v>
      </c>
      <c r="T135">
        <v>3.92</v>
      </c>
      <c r="U135">
        <v>3.87</v>
      </c>
      <c r="V135">
        <v>3.81</v>
      </c>
      <c r="W135">
        <v>3.76</v>
      </c>
      <c r="X135">
        <v>3.71</v>
      </c>
      <c r="Y135">
        <v>3.67</v>
      </c>
      <c r="Z135">
        <v>3.62</v>
      </c>
      <c r="AA135">
        <v>3.58</v>
      </c>
      <c r="AB135">
        <v>3.54</v>
      </c>
      <c r="AC135">
        <v>3.5</v>
      </c>
      <c r="AD135">
        <v>3.47</v>
      </c>
      <c r="AE135">
        <v>3.44</v>
      </c>
      <c r="AF135">
        <v>3.4</v>
      </c>
      <c r="AG135">
        <v>3.38</v>
      </c>
      <c r="AH135">
        <v>3.35</v>
      </c>
      <c r="AI135">
        <v>3.32</v>
      </c>
      <c r="AJ135">
        <v>3.3</v>
      </c>
      <c r="AK135">
        <v>3.28</v>
      </c>
      <c r="AL135">
        <v>3.26</v>
      </c>
      <c r="AM135">
        <v>3.24</v>
      </c>
      <c r="AN135">
        <v>3.23</v>
      </c>
      <c r="AO135">
        <v>3.21</v>
      </c>
      <c r="AP135">
        <v>3.2</v>
      </c>
      <c r="AQ135">
        <v>3.19</v>
      </c>
      <c r="AR135">
        <v>3.18</v>
      </c>
      <c r="AS135">
        <v>3.17</v>
      </c>
      <c r="AT135">
        <v>3.16</v>
      </c>
      <c r="AU135">
        <v>3.16</v>
      </c>
      <c r="AV135">
        <v>3.16</v>
      </c>
      <c r="AW135">
        <f>AV135</f>
        <v>3.16</v>
      </c>
      <c r="AX135">
        <f t="shared" ref="AX135:BP135" si="35">AW135</f>
        <v>3.16</v>
      </c>
      <c r="AY135">
        <f t="shared" si="35"/>
        <v>3.16</v>
      </c>
      <c r="AZ135">
        <f t="shared" si="35"/>
        <v>3.16</v>
      </c>
      <c r="BA135">
        <f t="shared" si="35"/>
        <v>3.16</v>
      </c>
      <c r="BB135">
        <f t="shared" si="35"/>
        <v>3.16</v>
      </c>
      <c r="BC135">
        <f t="shared" si="35"/>
        <v>3.16</v>
      </c>
      <c r="BD135">
        <f t="shared" si="35"/>
        <v>3.16</v>
      </c>
      <c r="BE135">
        <f t="shared" si="35"/>
        <v>3.16</v>
      </c>
      <c r="BF135">
        <f t="shared" si="35"/>
        <v>3.16</v>
      </c>
      <c r="BG135">
        <f t="shared" si="35"/>
        <v>3.16</v>
      </c>
      <c r="BH135">
        <f t="shared" si="35"/>
        <v>3.16</v>
      </c>
      <c r="BI135">
        <f t="shared" si="35"/>
        <v>3.16</v>
      </c>
      <c r="BJ135">
        <f t="shared" si="35"/>
        <v>3.16</v>
      </c>
      <c r="BK135">
        <f t="shared" si="35"/>
        <v>3.16</v>
      </c>
      <c r="BL135">
        <f t="shared" si="35"/>
        <v>3.16</v>
      </c>
      <c r="BM135">
        <f t="shared" si="35"/>
        <v>3.16</v>
      </c>
      <c r="BN135">
        <f t="shared" si="35"/>
        <v>3.16</v>
      </c>
      <c r="BO135">
        <f t="shared" si="35"/>
        <v>3.16</v>
      </c>
      <c r="BP135">
        <f t="shared" si="35"/>
        <v>3.16</v>
      </c>
    </row>
    <row r="136" spans="1:68" x14ac:dyDescent="0.3">
      <c r="A136" s="21" t="s">
        <v>671</v>
      </c>
      <c r="B136" s="21" t="s">
        <v>672</v>
      </c>
      <c r="C136" s="21" t="s">
        <v>662</v>
      </c>
      <c r="D136" s="21"/>
      <c r="E136" s="21" t="s">
        <v>11</v>
      </c>
      <c r="F136" s="21" t="s">
        <v>12</v>
      </c>
      <c r="G136" s="4">
        <v>0</v>
      </c>
      <c r="H136" s="4"/>
      <c r="I136" s="4"/>
      <c r="J136" s="4"/>
      <c r="K136" s="4"/>
      <c r="L136" s="4"/>
      <c r="M136" s="4"/>
      <c r="N136" s="4"/>
      <c r="O136" s="4"/>
      <c r="P136" s="4"/>
    </row>
    <row r="137" spans="1:68" x14ac:dyDescent="0.3">
      <c r="A137" s="5" t="s">
        <v>673</v>
      </c>
      <c r="B137" s="5" t="s">
        <v>674</v>
      </c>
      <c r="C137" s="5" t="s">
        <v>540</v>
      </c>
      <c r="D137" s="5"/>
      <c r="E137" s="5" t="s">
        <v>139</v>
      </c>
      <c r="F137" s="8" t="s">
        <v>140</v>
      </c>
      <c r="G137" s="11">
        <v>0</v>
      </c>
      <c r="H137" s="8">
        <v>2.8</v>
      </c>
      <c r="I137" s="8">
        <v>2.8</v>
      </c>
      <c r="J137" s="8">
        <v>2.8</v>
      </c>
      <c r="K137" s="8">
        <v>2.8</v>
      </c>
      <c r="L137" s="8">
        <v>2.8</v>
      </c>
      <c r="M137" s="8">
        <v>2.8</v>
      </c>
      <c r="N137" s="8">
        <v>2.8</v>
      </c>
      <c r="O137" s="8">
        <v>2.8</v>
      </c>
      <c r="P137" s="8">
        <v>2.8</v>
      </c>
      <c r="Q137" s="9">
        <v>2.8</v>
      </c>
      <c r="R137" s="9">
        <v>2.8</v>
      </c>
      <c r="S137" s="9">
        <v>2.8</v>
      </c>
      <c r="T137" s="9">
        <v>2.78</v>
      </c>
      <c r="U137" s="9">
        <v>2.77</v>
      </c>
      <c r="V137" s="9">
        <v>2.75</v>
      </c>
      <c r="W137" s="9">
        <v>2.73</v>
      </c>
      <c r="X137" s="9">
        <v>2.71</v>
      </c>
      <c r="Y137" s="9">
        <v>2.7</v>
      </c>
      <c r="Z137" s="9">
        <v>2.68</v>
      </c>
      <c r="AA137" s="9">
        <v>2.66</v>
      </c>
      <c r="AB137" s="9">
        <v>2.58</v>
      </c>
      <c r="AC137" s="9">
        <v>2.5</v>
      </c>
      <c r="AD137" s="9">
        <v>2.42</v>
      </c>
      <c r="AE137" s="9">
        <v>2.35</v>
      </c>
      <c r="AF137" s="9">
        <v>2.2799999999999998</v>
      </c>
      <c r="AG137" s="9">
        <v>2.27</v>
      </c>
      <c r="AH137" s="9">
        <v>2.2599999999999998</v>
      </c>
      <c r="AI137" s="9">
        <v>2.2400000000000002</v>
      </c>
      <c r="AJ137" s="9">
        <v>2.2200000000000002</v>
      </c>
      <c r="AK137" s="9">
        <v>2.21</v>
      </c>
      <c r="AL137" s="9">
        <v>2.19</v>
      </c>
      <c r="AM137" s="9">
        <v>2.1800000000000002</v>
      </c>
      <c r="AN137" s="9">
        <v>2.16</v>
      </c>
      <c r="AO137" s="9">
        <v>2.15</v>
      </c>
      <c r="AP137" s="9">
        <v>2.14</v>
      </c>
      <c r="AQ137" s="9">
        <v>2.12</v>
      </c>
      <c r="AR137" s="9">
        <v>2.1</v>
      </c>
      <c r="AS137" s="9">
        <v>2.09</v>
      </c>
      <c r="AT137" s="9">
        <v>2.08</v>
      </c>
      <c r="AU137" s="9">
        <v>2.06</v>
      </c>
      <c r="AV137" s="9">
        <v>2.0499999999999998</v>
      </c>
      <c r="AW137">
        <f>AV137</f>
        <v>2.0499999999999998</v>
      </c>
      <c r="AX137">
        <f t="shared" ref="AX137:BP137" si="36">AW137</f>
        <v>2.0499999999999998</v>
      </c>
      <c r="AY137">
        <f t="shared" si="36"/>
        <v>2.0499999999999998</v>
      </c>
      <c r="AZ137">
        <f t="shared" si="36"/>
        <v>2.0499999999999998</v>
      </c>
      <c r="BA137">
        <f t="shared" si="36"/>
        <v>2.0499999999999998</v>
      </c>
      <c r="BB137">
        <f t="shared" si="36"/>
        <v>2.0499999999999998</v>
      </c>
      <c r="BC137">
        <f t="shared" si="36"/>
        <v>2.0499999999999998</v>
      </c>
      <c r="BD137">
        <f t="shared" si="36"/>
        <v>2.0499999999999998</v>
      </c>
      <c r="BE137">
        <f t="shared" si="36"/>
        <v>2.0499999999999998</v>
      </c>
      <c r="BF137">
        <f t="shared" si="36"/>
        <v>2.0499999999999998</v>
      </c>
      <c r="BG137">
        <f t="shared" si="36"/>
        <v>2.0499999999999998</v>
      </c>
      <c r="BH137">
        <f t="shared" si="36"/>
        <v>2.0499999999999998</v>
      </c>
      <c r="BI137">
        <f t="shared" si="36"/>
        <v>2.0499999999999998</v>
      </c>
      <c r="BJ137">
        <f t="shared" si="36"/>
        <v>2.0499999999999998</v>
      </c>
      <c r="BK137">
        <f t="shared" si="36"/>
        <v>2.0499999999999998</v>
      </c>
      <c r="BL137">
        <f t="shared" si="36"/>
        <v>2.0499999999999998</v>
      </c>
      <c r="BM137">
        <f t="shared" si="36"/>
        <v>2.0499999999999998</v>
      </c>
      <c r="BN137">
        <f t="shared" si="36"/>
        <v>2.0499999999999998</v>
      </c>
      <c r="BO137">
        <f t="shared" si="36"/>
        <v>2.0499999999999998</v>
      </c>
      <c r="BP137">
        <f t="shared" si="36"/>
        <v>2.0499999999999998</v>
      </c>
    </row>
    <row r="138" spans="1:68" x14ac:dyDescent="0.3">
      <c r="A138" s="5" t="s">
        <v>673</v>
      </c>
      <c r="B138" s="5" t="s">
        <v>674</v>
      </c>
      <c r="C138" s="5" t="s">
        <v>662</v>
      </c>
      <c r="D138" s="5"/>
      <c r="E138" s="5" t="s">
        <v>11</v>
      </c>
      <c r="F138" s="5" t="s">
        <v>12</v>
      </c>
      <c r="G138" s="5">
        <v>0</v>
      </c>
      <c r="H138" s="5"/>
      <c r="I138" s="5"/>
      <c r="J138" s="5"/>
      <c r="K138" s="5"/>
      <c r="L138" s="5"/>
      <c r="M138" s="5"/>
      <c r="N138" s="5"/>
      <c r="O138" s="5"/>
      <c r="P138" s="5"/>
    </row>
    <row r="139" spans="1:68" x14ac:dyDescent="0.3">
      <c r="A139" s="4" t="s">
        <v>675</v>
      </c>
      <c r="B139" s="4" t="s">
        <v>676</v>
      </c>
      <c r="C139" s="4" t="s">
        <v>488</v>
      </c>
      <c r="D139" s="4"/>
      <c r="E139" s="4" t="s">
        <v>139</v>
      </c>
      <c r="F139" s="10" t="s">
        <v>12</v>
      </c>
      <c r="G139" s="4">
        <v>0</v>
      </c>
      <c r="H139" s="4"/>
      <c r="I139" s="4"/>
      <c r="J139" s="4"/>
      <c r="K139" s="4"/>
      <c r="L139" s="4"/>
      <c r="M139" s="4"/>
      <c r="N139" s="4"/>
      <c r="O139" s="4"/>
      <c r="P139" s="4"/>
    </row>
    <row r="140" spans="1:68" x14ac:dyDescent="0.3">
      <c r="A140" s="4" t="s">
        <v>675</v>
      </c>
      <c r="B140" s="4" t="s">
        <v>676</v>
      </c>
      <c r="C140" s="4" t="s">
        <v>677</v>
      </c>
      <c r="D140" s="4"/>
      <c r="E140" s="4" t="s">
        <v>11</v>
      </c>
      <c r="F140" s="4" t="s">
        <v>12</v>
      </c>
      <c r="G140" s="4">
        <v>0</v>
      </c>
      <c r="H140" s="4"/>
      <c r="I140" s="4"/>
      <c r="J140" s="4"/>
      <c r="K140" s="4"/>
      <c r="L140" s="4"/>
      <c r="M140" s="4"/>
      <c r="N140" s="4"/>
      <c r="O140" s="4"/>
      <c r="P140" s="4"/>
    </row>
    <row r="141" spans="1:68" x14ac:dyDescent="0.3">
      <c r="A141" s="5" t="s">
        <v>678</v>
      </c>
      <c r="B141" s="5" t="s">
        <v>679</v>
      </c>
      <c r="C141" s="5" t="s">
        <v>484</v>
      </c>
      <c r="D141" s="5"/>
      <c r="E141" s="5" t="s">
        <v>139</v>
      </c>
      <c r="F141" s="8" t="s">
        <v>12</v>
      </c>
      <c r="G141" s="5">
        <v>0</v>
      </c>
      <c r="H141" s="5"/>
      <c r="I141" s="5"/>
      <c r="J141" s="5"/>
      <c r="K141" s="5"/>
      <c r="L141" s="5"/>
      <c r="M141" s="5"/>
      <c r="N141" s="5"/>
      <c r="O141" s="5"/>
      <c r="P141" s="5"/>
    </row>
    <row r="142" spans="1:68" x14ac:dyDescent="0.3">
      <c r="A142" s="5" t="s">
        <v>678</v>
      </c>
      <c r="B142" s="5" t="s">
        <v>679</v>
      </c>
      <c r="C142" s="5" t="s">
        <v>680</v>
      </c>
      <c r="D142" s="5"/>
      <c r="E142" s="5" t="s">
        <v>11</v>
      </c>
      <c r="F142" s="5" t="s">
        <v>12</v>
      </c>
      <c r="G142" s="5">
        <v>0</v>
      </c>
      <c r="H142" s="5"/>
      <c r="I142" s="5"/>
      <c r="J142" s="5"/>
      <c r="K142" s="5"/>
      <c r="L142" s="5"/>
      <c r="M142" s="5"/>
      <c r="N142" s="5"/>
      <c r="O142" s="5"/>
      <c r="P142" s="5"/>
    </row>
    <row r="143" spans="1:68" x14ac:dyDescent="0.3">
      <c r="A143" s="4" t="s">
        <v>681</v>
      </c>
      <c r="B143" s="4" t="s">
        <v>682</v>
      </c>
      <c r="C143" s="4" t="s">
        <v>488</v>
      </c>
      <c r="D143" s="4"/>
      <c r="E143" s="4" t="s">
        <v>139</v>
      </c>
      <c r="F143" s="4" t="s">
        <v>140</v>
      </c>
      <c r="G143" s="4">
        <v>0</v>
      </c>
      <c r="H143" s="4">
        <f t="shared" ref="H143:N143" si="37">+I143</f>
        <v>0.12</v>
      </c>
      <c r="I143" s="4">
        <f t="shared" si="37"/>
        <v>0.12</v>
      </c>
      <c r="J143" s="4">
        <f t="shared" si="37"/>
        <v>0.12</v>
      </c>
      <c r="K143" s="4">
        <f t="shared" si="37"/>
        <v>0.12</v>
      </c>
      <c r="L143" s="4">
        <f t="shared" si="37"/>
        <v>0.12</v>
      </c>
      <c r="M143" s="4">
        <f t="shared" si="37"/>
        <v>0.12</v>
      </c>
      <c r="N143" s="4">
        <f t="shared" si="37"/>
        <v>0.12</v>
      </c>
      <c r="O143" s="4">
        <f>+P143</f>
        <v>0.12</v>
      </c>
      <c r="P143" s="4">
        <f>+Q143</f>
        <v>0.12</v>
      </c>
      <c r="Q143">
        <f t="shared" ref="Q143:AJ143" si="38">+R143</f>
        <v>0.12</v>
      </c>
      <c r="R143">
        <f t="shared" si="38"/>
        <v>0.12</v>
      </c>
      <c r="S143">
        <f t="shared" si="38"/>
        <v>0.12</v>
      </c>
      <c r="T143">
        <f t="shared" si="38"/>
        <v>0.12</v>
      </c>
      <c r="U143">
        <f t="shared" si="38"/>
        <v>0.12</v>
      </c>
      <c r="V143">
        <f t="shared" si="38"/>
        <v>0.12</v>
      </c>
      <c r="W143">
        <f t="shared" si="38"/>
        <v>0.12</v>
      </c>
      <c r="X143">
        <f t="shared" si="38"/>
        <v>0.12</v>
      </c>
      <c r="Y143">
        <f t="shared" si="38"/>
        <v>0.12</v>
      </c>
      <c r="Z143">
        <f t="shared" si="38"/>
        <v>0.12</v>
      </c>
      <c r="AA143">
        <f t="shared" si="38"/>
        <v>0.12</v>
      </c>
      <c r="AB143">
        <f t="shared" si="38"/>
        <v>0.12</v>
      </c>
      <c r="AC143">
        <f t="shared" si="38"/>
        <v>0.12</v>
      </c>
      <c r="AD143">
        <f t="shared" si="38"/>
        <v>0.12</v>
      </c>
      <c r="AE143">
        <f t="shared" si="38"/>
        <v>0.12</v>
      </c>
      <c r="AF143">
        <f t="shared" si="38"/>
        <v>0.12</v>
      </c>
      <c r="AG143">
        <f t="shared" si="38"/>
        <v>0.12</v>
      </c>
      <c r="AH143">
        <f t="shared" si="38"/>
        <v>0.12</v>
      </c>
      <c r="AI143">
        <f t="shared" si="38"/>
        <v>0.12</v>
      </c>
      <c r="AJ143">
        <f t="shared" si="38"/>
        <v>0.12</v>
      </c>
      <c r="AK143">
        <f>+AL143</f>
        <v>0.12</v>
      </c>
      <c r="AL143">
        <v>0.12</v>
      </c>
      <c r="AM143">
        <v>0.12299551515151515</v>
      </c>
      <c r="AN143">
        <v>0.12592387878787878</v>
      </c>
      <c r="AO143">
        <v>0.12648535714285711</v>
      </c>
      <c r="AP143">
        <v>0.12563981481481479</v>
      </c>
      <c r="AQ143">
        <v>0.12824363425925922</v>
      </c>
      <c r="AR143">
        <v>0.12848888888888882</v>
      </c>
      <c r="AS143">
        <v>0.12738262999841943</v>
      </c>
      <c r="AT143">
        <v>0.12968775090880347</v>
      </c>
      <c r="AU143">
        <v>0.12965689655172405</v>
      </c>
      <c r="AV143">
        <v>0.12833333333333327</v>
      </c>
      <c r="AW143">
        <v>0.12879210526315782</v>
      </c>
      <c r="AX143">
        <v>0.12922105263157888</v>
      </c>
      <c r="AY143">
        <v>0.12962017543859641</v>
      </c>
      <c r="AZ143">
        <v>0.12665641025641017</v>
      </c>
      <c r="BA143">
        <v>0.12698717948717939</v>
      </c>
      <c r="BB143">
        <v>0.12728888888888878</v>
      </c>
      <c r="BC143">
        <v>0.12756153846153837</v>
      </c>
      <c r="BD143">
        <v>0.12460999999999987</v>
      </c>
      <c r="BE143">
        <v>0.12481916666666655</v>
      </c>
      <c r="BF143">
        <v>0.12499999999999985</v>
      </c>
      <c r="BG143">
        <v>0.12155022736668029</v>
      </c>
      <c r="BH143">
        <v>0.12315832988838347</v>
      </c>
      <c r="BI143">
        <v>0.1247085572550639</v>
      </c>
      <c r="BJ143">
        <v>0.12319612590799012</v>
      </c>
      <c r="BK143">
        <v>0.12459644874899091</v>
      </c>
      <c r="BL143">
        <v>0.12096124031007731</v>
      </c>
      <c r="BM143">
        <v>0.12219767441860442</v>
      </c>
      <c r="BN143">
        <v>0.12057575757575736</v>
      </c>
      <c r="BO143">
        <v>0.12167803030303005</v>
      </c>
      <c r="BP143">
        <v>0.12</v>
      </c>
    </row>
    <row r="144" spans="1:68" x14ac:dyDescent="0.3">
      <c r="A144" s="4" t="s">
        <v>681</v>
      </c>
      <c r="B144" s="4" t="s">
        <v>682</v>
      </c>
      <c r="C144" s="4" t="s">
        <v>680</v>
      </c>
      <c r="D144" s="4"/>
      <c r="E144" s="4" t="s">
        <v>11</v>
      </c>
      <c r="F144" s="4" t="s">
        <v>12</v>
      </c>
      <c r="G144" s="4">
        <v>0</v>
      </c>
      <c r="H144" s="4"/>
      <c r="I144" s="4"/>
      <c r="J144" s="4"/>
      <c r="K144" s="4"/>
      <c r="L144" s="4"/>
      <c r="M144" s="4"/>
      <c r="N144" s="4"/>
      <c r="O144" s="4"/>
      <c r="P144" s="4"/>
    </row>
    <row r="145" spans="1:16" x14ac:dyDescent="0.3">
      <c r="A145" s="5" t="s">
        <v>683</v>
      </c>
      <c r="B145" s="5" t="s">
        <v>684</v>
      </c>
      <c r="C145" s="5" t="s">
        <v>480</v>
      </c>
      <c r="D145" s="5"/>
      <c r="E145" s="5" t="s">
        <v>139</v>
      </c>
      <c r="F145" s="8" t="s">
        <v>12</v>
      </c>
      <c r="G145" s="5">
        <v>0</v>
      </c>
      <c r="H145" s="5"/>
      <c r="I145" s="5"/>
      <c r="J145" s="5"/>
      <c r="K145" s="5"/>
      <c r="L145" s="5"/>
      <c r="M145" s="5"/>
      <c r="N145" s="5"/>
      <c r="O145" s="5"/>
      <c r="P145" s="5"/>
    </row>
    <row r="146" spans="1:16" x14ac:dyDescent="0.3">
      <c r="A146" s="5" t="s">
        <v>683</v>
      </c>
      <c r="B146" s="5" t="s">
        <v>684</v>
      </c>
      <c r="C146" s="5" t="s">
        <v>680</v>
      </c>
      <c r="D146" s="5"/>
      <c r="E146" s="5" t="s">
        <v>11</v>
      </c>
      <c r="F146" s="5" t="s">
        <v>12</v>
      </c>
      <c r="G146" s="5">
        <v>0</v>
      </c>
      <c r="H146" s="5"/>
      <c r="I146" s="5"/>
      <c r="J146" s="5"/>
      <c r="K146" s="5"/>
      <c r="L146" s="5"/>
      <c r="M146" s="5"/>
      <c r="N146" s="5"/>
      <c r="O146" s="5"/>
      <c r="P146" s="5"/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P27"/>
  <sheetViews>
    <sheetView tabSelected="1" topLeftCell="B1" zoomScale="160" zoomScaleNormal="160" workbookViewId="0">
      <pane ySplit="1" topLeftCell="A2" activePane="bottomLeft" state="frozen"/>
      <selection pane="bottomLeft" activeCell="H2" sqref="H2"/>
    </sheetView>
  </sheetViews>
  <sheetFormatPr baseColWidth="10" defaultColWidth="8.88671875" defaultRowHeight="14.4" x14ac:dyDescent="0.3"/>
  <cols>
    <col min="1" max="1" width="11.109375" bestFit="1" customWidth="1"/>
    <col min="2" max="2" width="15.5546875" bestFit="1" customWidth="1"/>
    <col min="3" max="3" width="15.109375" bestFit="1" customWidth="1"/>
    <col min="4" max="4" width="34.109375" bestFit="1" customWidth="1"/>
    <col min="5" max="5" width="8.5546875" bestFit="1" customWidth="1"/>
    <col min="6" max="6" width="15.109375" bestFit="1" customWidth="1"/>
    <col min="7" max="7" width="19.109375" bestFit="1" customWidth="1"/>
    <col min="8" max="14" width="19.109375" customWidth="1"/>
    <col min="15" max="15" width="7.88671875" customWidth="1"/>
    <col min="16" max="68" width="4.88671875" bestFit="1" customWidth="1"/>
  </cols>
  <sheetData>
    <row r="1" spans="1:6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  <c r="V1" s="1">
        <v>2024</v>
      </c>
      <c r="W1" s="1">
        <v>2025</v>
      </c>
      <c r="X1" s="1">
        <v>2026</v>
      </c>
      <c r="Y1" s="1">
        <v>2027</v>
      </c>
      <c r="Z1" s="1">
        <v>2028</v>
      </c>
      <c r="AA1" s="1">
        <v>2029</v>
      </c>
      <c r="AB1" s="1">
        <v>2030</v>
      </c>
      <c r="AC1" s="1">
        <v>2031</v>
      </c>
      <c r="AD1" s="1">
        <v>2032</v>
      </c>
      <c r="AE1" s="1">
        <v>2033</v>
      </c>
      <c r="AF1" s="1">
        <v>2034</v>
      </c>
      <c r="AG1" s="1">
        <v>2035</v>
      </c>
      <c r="AH1" s="1">
        <v>2036</v>
      </c>
      <c r="AI1" s="1">
        <v>2037</v>
      </c>
      <c r="AJ1" s="1">
        <v>2038</v>
      </c>
      <c r="AK1" s="1">
        <v>2039</v>
      </c>
      <c r="AL1" s="1">
        <v>2040</v>
      </c>
      <c r="AM1" s="1">
        <v>2041</v>
      </c>
      <c r="AN1" s="1">
        <v>2042</v>
      </c>
      <c r="AO1" s="1">
        <v>2043</v>
      </c>
      <c r="AP1" s="1">
        <v>2044</v>
      </c>
      <c r="AQ1" s="1">
        <v>2045</v>
      </c>
      <c r="AR1" s="1">
        <v>2046</v>
      </c>
      <c r="AS1" s="1">
        <v>2047</v>
      </c>
      <c r="AT1" s="1">
        <v>2048</v>
      </c>
      <c r="AU1" s="1">
        <v>2049</v>
      </c>
      <c r="AV1" s="1">
        <v>2050</v>
      </c>
      <c r="AW1" s="1">
        <v>2051</v>
      </c>
      <c r="AX1" s="1">
        <v>2052</v>
      </c>
      <c r="AY1" s="1">
        <v>2053</v>
      </c>
      <c r="AZ1" s="1">
        <v>2054</v>
      </c>
      <c r="BA1" s="1">
        <v>2055</v>
      </c>
      <c r="BB1" s="1">
        <v>2056</v>
      </c>
      <c r="BC1" s="1">
        <v>2057</v>
      </c>
      <c r="BD1" s="1">
        <v>2058</v>
      </c>
      <c r="BE1" s="1">
        <v>2059</v>
      </c>
      <c r="BF1" s="1">
        <v>2060</v>
      </c>
      <c r="BG1" s="1">
        <v>2061</v>
      </c>
      <c r="BH1" s="1">
        <v>2062</v>
      </c>
      <c r="BI1" s="1">
        <v>2063</v>
      </c>
      <c r="BJ1" s="1">
        <v>2064</v>
      </c>
      <c r="BK1" s="1">
        <v>2065</v>
      </c>
      <c r="BL1" s="1">
        <v>2066</v>
      </c>
      <c r="BM1" s="1">
        <v>2067</v>
      </c>
      <c r="BN1" s="1">
        <v>2068</v>
      </c>
      <c r="BO1" s="1">
        <v>2069</v>
      </c>
      <c r="BP1" s="1">
        <v>2070</v>
      </c>
    </row>
    <row r="2" spans="1:68" x14ac:dyDescent="0.3">
      <c r="A2" s="4" t="s">
        <v>685</v>
      </c>
      <c r="B2" s="4" t="s">
        <v>686</v>
      </c>
      <c r="C2" s="4" t="s">
        <v>544</v>
      </c>
      <c r="D2" s="4"/>
      <c r="E2" s="4" t="s">
        <v>139</v>
      </c>
      <c r="F2" s="4" t="s">
        <v>12</v>
      </c>
      <c r="G2" s="4">
        <v>0</v>
      </c>
      <c r="H2" s="4"/>
      <c r="I2" s="4"/>
      <c r="J2" s="4"/>
      <c r="K2" s="4"/>
      <c r="L2" s="4"/>
      <c r="M2" s="4"/>
      <c r="N2" s="4"/>
      <c r="O2" s="4"/>
      <c r="P2" s="4"/>
    </row>
    <row r="3" spans="1:68" x14ac:dyDescent="0.3">
      <c r="A3" s="4" t="s">
        <v>685</v>
      </c>
      <c r="B3" s="4" t="s">
        <v>686</v>
      </c>
      <c r="C3" s="4" t="s">
        <v>687</v>
      </c>
      <c r="D3" s="4" t="s">
        <v>688</v>
      </c>
      <c r="E3" s="4" t="s">
        <v>11</v>
      </c>
      <c r="F3" s="4" t="s">
        <v>12</v>
      </c>
      <c r="G3" s="4">
        <v>0</v>
      </c>
      <c r="H3" s="4"/>
      <c r="I3" s="4"/>
      <c r="J3" s="4"/>
      <c r="K3" s="4"/>
      <c r="L3" s="4"/>
      <c r="M3" s="4"/>
      <c r="N3" s="4"/>
      <c r="O3" s="4"/>
      <c r="P3" s="4"/>
    </row>
    <row r="4" spans="1:68" x14ac:dyDescent="0.3">
      <c r="A4" s="5" t="s">
        <v>689</v>
      </c>
      <c r="B4" s="5" t="s">
        <v>690</v>
      </c>
      <c r="C4" s="5" t="s">
        <v>555</v>
      </c>
      <c r="D4" s="5"/>
      <c r="E4" s="5" t="s">
        <v>139</v>
      </c>
      <c r="F4" s="5" t="s">
        <v>12</v>
      </c>
      <c r="G4" s="5">
        <v>0</v>
      </c>
      <c r="H4" s="5"/>
      <c r="I4" s="5"/>
      <c r="J4" s="5"/>
      <c r="K4" s="5"/>
      <c r="L4" s="5"/>
      <c r="M4" s="5"/>
      <c r="N4" s="5"/>
      <c r="O4" s="5"/>
      <c r="P4" s="5"/>
    </row>
    <row r="5" spans="1:68" x14ac:dyDescent="0.3">
      <c r="A5" s="5" t="s">
        <v>689</v>
      </c>
      <c r="B5" s="5" t="s">
        <v>690</v>
      </c>
      <c r="C5" s="5" t="s">
        <v>687</v>
      </c>
      <c r="D5" s="5" t="s">
        <v>688</v>
      </c>
      <c r="E5" s="5" t="s">
        <v>11</v>
      </c>
      <c r="F5" s="5" t="s">
        <v>12</v>
      </c>
      <c r="G5" s="5">
        <v>0</v>
      </c>
      <c r="H5" s="5"/>
      <c r="I5" s="5"/>
      <c r="J5" s="5"/>
      <c r="K5" s="5"/>
      <c r="L5" s="5"/>
      <c r="M5" s="5"/>
      <c r="N5" s="5"/>
      <c r="O5" s="5"/>
      <c r="P5" s="5"/>
    </row>
    <row r="6" spans="1:68" x14ac:dyDescent="0.3">
      <c r="A6" s="4" t="s">
        <v>691</v>
      </c>
      <c r="B6" s="4" t="s">
        <v>692</v>
      </c>
      <c r="C6" s="4" t="s">
        <v>568</v>
      </c>
      <c r="D6" s="4"/>
      <c r="E6" s="4" t="s">
        <v>139</v>
      </c>
      <c r="F6" s="4" t="s">
        <v>12</v>
      </c>
      <c r="G6" s="4">
        <v>0</v>
      </c>
      <c r="H6" s="4"/>
      <c r="I6" s="4"/>
      <c r="J6" s="4"/>
      <c r="K6" s="4"/>
      <c r="L6" s="4"/>
      <c r="M6" s="4"/>
      <c r="N6" s="4"/>
      <c r="O6" s="4"/>
      <c r="P6" s="4"/>
    </row>
    <row r="7" spans="1:68" x14ac:dyDescent="0.3">
      <c r="A7" s="4" t="s">
        <v>691</v>
      </c>
      <c r="B7" s="4" t="s">
        <v>692</v>
      </c>
      <c r="C7" s="4" t="s">
        <v>687</v>
      </c>
      <c r="D7" s="4" t="s">
        <v>688</v>
      </c>
      <c r="E7" s="4" t="s">
        <v>11</v>
      </c>
      <c r="F7" s="4" t="s">
        <v>12</v>
      </c>
      <c r="G7" s="4">
        <v>0</v>
      </c>
      <c r="H7" s="4"/>
      <c r="I7" s="4"/>
      <c r="J7" s="4"/>
      <c r="K7" s="4"/>
      <c r="L7" s="4"/>
      <c r="M7" s="4"/>
      <c r="N7" s="4"/>
      <c r="O7" s="4"/>
      <c r="P7" s="4"/>
    </row>
    <row r="8" spans="1:68" x14ac:dyDescent="0.3">
      <c r="A8" s="5" t="s">
        <v>693</v>
      </c>
      <c r="B8" s="5" t="s">
        <v>694</v>
      </c>
      <c r="C8" s="5" t="s">
        <v>581</v>
      </c>
      <c r="D8" s="5"/>
      <c r="E8" s="5" t="s">
        <v>139</v>
      </c>
      <c r="F8" s="5" t="s">
        <v>12</v>
      </c>
      <c r="G8" s="5">
        <v>0</v>
      </c>
      <c r="H8" s="5"/>
      <c r="I8" s="5"/>
      <c r="J8" s="5"/>
      <c r="K8" s="5"/>
      <c r="L8" s="5"/>
      <c r="M8" s="5"/>
      <c r="N8" s="5"/>
      <c r="O8" s="5"/>
      <c r="P8" s="5"/>
    </row>
    <row r="9" spans="1:68" x14ac:dyDescent="0.3">
      <c r="A9" s="5" t="s">
        <v>693</v>
      </c>
      <c r="B9" s="5" t="s">
        <v>694</v>
      </c>
      <c r="C9" s="5" t="s">
        <v>687</v>
      </c>
      <c r="D9" s="5" t="s">
        <v>688</v>
      </c>
      <c r="E9" s="5" t="s">
        <v>11</v>
      </c>
      <c r="F9" s="5" t="s">
        <v>12</v>
      </c>
      <c r="G9" s="5">
        <v>0</v>
      </c>
      <c r="H9" s="5"/>
      <c r="I9" s="5"/>
      <c r="J9" s="5"/>
      <c r="K9" s="5"/>
      <c r="L9" s="5"/>
      <c r="M9" s="5"/>
      <c r="N9" s="5"/>
      <c r="O9" s="5"/>
      <c r="P9" s="5"/>
    </row>
    <row r="10" spans="1:68" x14ac:dyDescent="0.3">
      <c r="A10" s="4" t="s">
        <v>695</v>
      </c>
      <c r="B10" s="4" t="s">
        <v>696</v>
      </c>
      <c r="C10" s="4" t="s">
        <v>588</v>
      </c>
      <c r="D10" s="4"/>
      <c r="E10" s="4" t="s">
        <v>139</v>
      </c>
      <c r="F10" s="4" t="s">
        <v>12</v>
      </c>
      <c r="G10" s="4">
        <v>0</v>
      </c>
      <c r="H10" s="4"/>
      <c r="I10" s="4"/>
      <c r="J10" s="4"/>
      <c r="K10" s="4"/>
      <c r="L10" s="4"/>
      <c r="M10" s="4"/>
      <c r="N10" s="4"/>
      <c r="O10" s="4"/>
      <c r="P10" s="4"/>
    </row>
    <row r="11" spans="1:68" x14ac:dyDescent="0.3">
      <c r="A11" s="4" t="s">
        <v>695</v>
      </c>
      <c r="B11" s="4" t="s">
        <v>696</v>
      </c>
      <c r="C11" s="4" t="s">
        <v>697</v>
      </c>
      <c r="D11" s="4" t="s">
        <v>698</v>
      </c>
      <c r="E11" s="4" t="s">
        <v>11</v>
      </c>
      <c r="F11" s="4" t="s">
        <v>12</v>
      </c>
      <c r="G11" s="4">
        <v>0</v>
      </c>
      <c r="H11" s="4"/>
      <c r="I11" s="4"/>
      <c r="J11" s="4"/>
      <c r="K11" s="4"/>
      <c r="L11" s="4"/>
      <c r="M11" s="4"/>
      <c r="N11" s="4"/>
      <c r="O11" s="4"/>
      <c r="P11" s="4"/>
    </row>
    <row r="12" spans="1:68" x14ac:dyDescent="0.3">
      <c r="A12" s="5" t="s">
        <v>699</v>
      </c>
      <c r="B12" s="5" t="s">
        <v>700</v>
      </c>
      <c r="C12" s="5" t="s">
        <v>593</v>
      </c>
      <c r="D12" s="5"/>
      <c r="E12" s="5" t="s">
        <v>139</v>
      </c>
      <c r="F12" s="5" t="s">
        <v>12</v>
      </c>
      <c r="G12" s="5">
        <v>0</v>
      </c>
      <c r="H12" s="5"/>
      <c r="I12" s="5"/>
      <c r="J12" s="5"/>
      <c r="K12" s="5"/>
      <c r="L12" s="5"/>
      <c r="M12" s="5"/>
      <c r="N12" s="5"/>
      <c r="O12" s="5"/>
      <c r="P12" s="5"/>
    </row>
    <row r="13" spans="1:68" x14ac:dyDescent="0.3">
      <c r="A13" s="5" t="s">
        <v>699</v>
      </c>
      <c r="B13" s="5" t="s">
        <v>700</v>
      </c>
      <c r="C13" s="5" t="s">
        <v>697</v>
      </c>
      <c r="D13" s="5" t="s">
        <v>698</v>
      </c>
      <c r="E13" s="5" t="s">
        <v>11</v>
      </c>
      <c r="F13" s="5" t="s">
        <v>12</v>
      </c>
      <c r="G13" s="5">
        <v>0</v>
      </c>
      <c r="H13" s="5"/>
      <c r="I13" s="5"/>
      <c r="J13" s="5"/>
      <c r="K13" s="5"/>
      <c r="L13" s="5"/>
      <c r="M13" s="5"/>
      <c r="N13" s="5"/>
      <c r="O13" s="5"/>
      <c r="P13" s="5"/>
    </row>
    <row r="14" spans="1:68" x14ac:dyDescent="0.3">
      <c r="A14" s="4" t="s">
        <v>701</v>
      </c>
      <c r="B14" s="4" t="s">
        <v>702</v>
      </c>
      <c r="C14" s="4" t="s">
        <v>604</v>
      </c>
      <c r="D14" s="4"/>
      <c r="E14" s="4" t="s">
        <v>139</v>
      </c>
      <c r="F14" s="4" t="s">
        <v>12</v>
      </c>
      <c r="G14" s="4">
        <v>0</v>
      </c>
      <c r="H14" s="4"/>
      <c r="I14" s="4"/>
      <c r="J14" s="4"/>
      <c r="K14" s="4"/>
      <c r="L14" s="4"/>
      <c r="M14" s="4"/>
      <c r="N14" s="4"/>
      <c r="O14" s="4"/>
      <c r="P14" s="4"/>
    </row>
    <row r="15" spans="1:68" x14ac:dyDescent="0.3">
      <c r="A15" s="4" t="s">
        <v>701</v>
      </c>
      <c r="B15" s="4" t="s">
        <v>702</v>
      </c>
      <c r="C15" s="4" t="s">
        <v>697</v>
      </c>
      <c r="D15" s="4" t="s">
        <v>698</v>
      </c>
      <c r="E15" s="4" t="s">
        <v>11</v>
      </c>
      <c r="F15" s="4" t="s">
        <v>12</v>
      </c>
      <c r="G15" s="4">
        <v>0</v>
      </c>
      <c r="H15" s="4"/>
      <c r="I15" s="4"/>
      <c r="J15" s="4"/>
      <c r="K15" s="4"/>
      <c r="L15" s="4"/>
      <c r="M15" s="4"/>
      <c r="N15" s="4"/>
      <c r="O15" s="4"/>
      <c r="P15" s="4"/>
    </row>
    <row r="16" spans="1:68" x14ac:dyDescent="0.3">
      <c r="A16" s="5" t="s">
        <v>703</v>
      </c>
      <c r="B16" s="5" t="s">
        <v>704</v>
      </c>
      <c r="C16" s="5" t="s">
        <v>619</v>
      </c>
      <c r="D16" s="5"/>
      <c r="E16" s="5" t="s">
        <v>139</v>
      </c>
      <c r="F16" s="5" t="s">
        <v>12</v>
      </c>
      <c r="G16" s="5">
        <v>0</v>
      </c>
      <c r="H16" s="5"/>
      <c r="I16" s="5"/>
      <c r="J16" s="5"/>
      <c r="K16" s="5"/>
      <c r="L16" s="5"/>
      <c r="M16" s="5"/>
      <c r="N16" s="5"/>
      <c r="O16" s="5"/>
      <c r="P16" s="5"/>
    </row>
    <row r="17" spans="1:16" x14ac:dyDescent="0.3">
      <c r="A17" s="5" t="s">
        <v>703</v>
      </c>
      <c r="B17" s="5" t="s">
        <v>704</v>
      </c>
      <c r="C17" s="5" t="s">
        <v>697</v>
      </c>
      <c r="D17" s="5" t="s">
        <v>698</v>
      </c>
      <c r="E17" s="5" t="s">
        <v>11</v>
      </c>
      <c r="F17" s="5" t="s">
        <v>12</v>
      </c>
      <c r="G17" s="5">
        <v>0</v>
      </c>
      <c r="H17" s="5"/>
      <c r="I17" s="5"/>
      <c r="J17" s="5"/>
      <c r="K17" s="5"/>
      <c r="L17" s="5"/>
      <c r="M17" s="5"/>
      <c r="N17" s="5"/>
      <c r="O17" s="5"/>
      <c r="P17" s="5"/>
    </row>
    <row r="18" spans="1:16" x14ac:dyDescent="0.3">
      <c r="A18" s="4" t="s">
        <v>705</v>
      </c>
      <c r="B18" s="4" t="s">
        <v>706</v>
      </c>
      <c r="C18" s="4" t="s">
        <v>634</v>
      </c>
      <c r="D18" s="4"/>
      <c r="E18" s="4" t="s">
        <v>139</v>
      </c>
      <c r="F18" s="4" t="s">
        <v>12</v>
      </c>
      <c r="G18" s="4">
        <v>0</v>
      </c>
      <c r="H18" s="4"/>
      <c r="I18" s="4"/>
      <c r="J18" s="4"/>
      <c r="K18" s="4"/>
      <c r="L18" s="4"/>
      <c r="M18" s="4"/>
      <c r="N18" s="4"/>
      <c r="O18" s="4"/>
      <c r="P18" s="4"/>
    </row>
    <row r="19" spans="1:16" x14ac:dyDescent="0.3">
      <c r="A19" s="4" t="s">
        <v>705</v>
      </c>
      <c r="B19" s="4" t="s">
        <v>706</v>
      </c>
      <c r="C19" s="4" t="s">
        <v>707</v>
      </c>
      <c r="D19" s="4" t="s">
        <v>708</v>
      </c>
      <c r="E19" s="4" t="s">
        <v>11</v>
      </c>
      <c r="F19" s="4" t="s">
        <v>12</v>
      </c>
      <c r="G19" s="4">
        <v>0</v>
      </c>
      <c r="H19" s="4"/>
      <c r="I19" s="4"/>
      <c r="J19" s="4"/>
      <c r="K19" s="4"/>
      <c r="L19" s="4"/>
      <c r="M19" s="4"/>
      <c r="N19" s="4"/>
      <c r="O19" s="4"/>
      <c r="P19" s="4"/>
    </row>
    <row r="20" spans="1:16" x14ac:dyDescent="0.3">
      <c r="A20" s="5" t="s">
        <v>709</v>
      </c>
      <c r="B20" s="5" t="s">
        <v>710</v>
      </c>
      <c r="C20" s="5" t="s">
        <v>647</v>
      </c>
      <c r="D20" s="5"/>
      <c r="E20" s="5" t="s">
        <v>139</v>
      </c>
      <c r="F20" s="5" t="s">
        <v>12</v>
      </c>
      <c r="G20" s="5">
        <v>0</v>
      </c>
      <c r="H20" s="5"/>
      <c r="I20" s="5"/>
      <c r="J20" s="5"/>
      <c r="K20" s="5"/>
      <c r="L20" s="5"/>
      <c r="M20" s="5"/>
      <c r="N20" s="5"/>
      <c r="O20" s="5"/>
      <c r="P20" s="5"/>
    </row>
    <row r="21" spans="1:16" x14ac:dyDescent="0.3">
      <c r="A21" s="5" t="s">
        <v>709</v>
      </c>
      <c r="B21" s="5" t="s">
        <v>710</v>
      </c>
      <c r="C21" s="5" t="s">
        <v>711</v>
      </c>
      <c r="D21" s="5" t="s">
        <v>712</v>
      </c>
      <c r="E21" s="5" t="s">
        <v>11</v>
      </c>
      <c r="F21" s="5" t="s">
        <v>12</v>
      </c>
      <c r="G21" s="5">
        <v>0</v>
      </c>
      <c r="H21" s="5"/>
      <c r="I21" s="5"/>
      <c r="J21" s="5"/>
      <c r="K21" s="5"/>
      <c r="L21" s="5"/>
      <c r="M21" s="5"/>
      <c r="N21" s="5"/>
      <c r="O21" s="5"/>
      <c r="P21" s="5"/>
    </row>
    <row r="22" spans="1:16" x14ac:dyDescent="0.3">
      <c r="A22" s="4" t="s">
        <v>713</v>
      </c>
      <c r="B22" s="4" t="s">
        <v>714</v>
      </c>
      <c r="C22" s="4" t="s">
        <v>662</v>
      </c>
      <c r="D22" s="4"/>
      <c r="E22" s="4" t="s">
        <v>139</v>
      </c>
      <c r="F22" s="4" t="s">
        <v>12</v>
      </c>
      <c r="G22" s="4">
        <v>0</v>
      </c>
      <c r="H22" s="4"/>
      <c r="I22" s="4"/>
      <c r="J22" s="4"/>
      <c r="K22" s="4"/>
      <c r="L22" s="4"/>
      <c r="M22" s="4"/>
      <c r="N22" s="4"/>
      <c r="O22" s="4"/>
      <c r="P22" s="4"/>
    </row>
    <row r="23" spans="1:16" x14ac:dyDescent="0.3">
      <c r="A23" s="4" t="s">
        <v>713</v>
      </c>
      <c r="B23" s="4" t="s">
        <v>714</v>
      </c>
      <c r="C23" s="4" t="s">
        <v>715</v>
      </c>
      <c r="D23" s="4" t="s">
        <v>716</v>
      </c>
      <c r="E23" s="4" t="s">
        <v>11</v>
      </c>
      <c r="F23" s="4" t="s">
        <v>12</v>
      </c>
      <c r="G23" s="4">
        <v>0</v>
      </c>
      <c r="H23" s="4"/>
      <c r="I23" s="4"/>
      <c r="J23" s="4"/>
      <c r="K23" s="4"/>
      <c r="L23" s="4"/>
      <c r="M23" s="4"/>
      <c r="N23" s="4"/>
      <c r="O23" s="4"/>
      <c r="P23" s="4"/>
    </row>
    <row r="24" spans="1:16" x14ac:dyDescent="0.3">
      <c r="A24" s="5" t="s">
        <v>717</v>
      </c>
      <c r="B24" s="5" t="s">
        <v>718</v>
      </c>
      <c r="C24" s="5" t="s">
        <v>677</v>
      </c>
      <c r="D24" s="5"/>
      <c r="E24" s="5" t="s">
        <v>139</v>
      </c>
      <c r="F24" s="5" t="s">
        <v>12</v>
      </c>
      <c r="G24" s="5">
        <v>0</v>
      </c>
      <c r="H24" s="5"/>
      <c r="I24" s="5"/>
      <c r="J24" s="5"/>
      <c r="K24" s="5"/>
      <c r="L24" s="5"/>
      <c r="M24" s="5"/>
      <c r="N24" s="5"/>
      <c r="O24" s="5"/>
      <c r="P24" s="5"/>
    </row>
    <row r="25" spans="1:16" x14ac:dyDescent="0.3">
      <c r="A25" s="5" t="s">
        <v>717</v>
      </c>
      <c r="B25" s="5" t="s">
        <v>718</v>
      </c>
      <c r="C25" s="5" t="s">
        <v>707</v>
      </c>
      <c r="D25" s="5" t="s">
        <v>708</v>
      </c>
      <c r="E25" s="5" t="s">
        <v>11</v>
      </c>
      <c r="F25" s="5" t="s">
        <v>12</v>
      </c>
      <c r="G25" s="5">
        <v>0</v>
      </c>
      <c r="H25" s="5"/>
      <c r="I25" s="5"/>
      <c r="J25" s="5"/>
      <c r="K25" s="5"/>
      <c r="L25" s="5"/>
      <c r="M25" s="5"/>
      <c r="N25" s="5"/>
      <c r="O25" s="5"/>
      <c r="P25" s="5"/>
    </row>
    <row r="26" spans="1:16" x14ac:dyDescent="0.3">
      <c r="A26" s="4" t="s">
        <v>719</v>
      </c>
      <c r="B26" s="4" t="s">
        <v>720</v>
      </c>
      <c r="C26" s="4" t="s">
        <v>680</v>
      </c>
      <c r="D26" s="4"/>
      <c r="E26" s="4" t="s">
        <v>139</v>
      </c>
      <c r="F26" s="4" t="s">
        <v>12</v>
      </c>
      <c r="G26" s="4">
        <v>0</v>
      </c>
      <c r="H26" s="4"/>
      <c r="I26" s="4"/>
      <c r="J26" s="4"/>
      <c r="K26" s="4"/>
      <c r="L26" s="4"/>
      <c r="M26" s="4"/>
      <c r="N26" s="4"/>
      <c r="O26" s="4"/>
      <c r="P26" s="4"/>
    </row>
    <row r="27" spans="1:16" x14ac:dyDescent="0.3">
      <c r="A27" s="4" t="s">
        <v>719</v>
      </c>
      <c r="B27" s="4" t="s">
        <v>720</v>
      </c>
      <c r="C27" s="4" t="s">
        <v>707</v>
      </c>
      <c r="D27" s="4" t="s">
        <v>708</v>
      </c>
      <c r="E27" s="4" t="s">
        <v>11</v>
      </c>
      <c r="F27" s="4" t="s">
        <v>12</v>
      </c>
      <c r="G27" s="4">
        <v>0</v>
      </c>
      <c r="H27" s="4"/>
      <c r="I27" s="4"/>
      <c r="J27" s="4"/>
      <c r="K27" s="4"/>
      <c r="L27" s="4"/>
      <c r="M27" s="4"/>
      <c r="N27" s="4"/>
      <c r="O27" s="4"/>
      <c r="P27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AF23D19B54443A4816B7A855E1A3A" ma:contentTypeVersion="14" ma:contentTypeDescription="Create a new document." ma:contentTypeScope="" ma:versionID="bd0015ad11d148b4569a99f2f79c058a">
  <xsd:schema xmlns:xsd="http://www.w3.org/2001/XMLSchema" xmlns:xs="http://www.w3.org/2001/XMLSchema" xmlns:p="http://schemas.microsoft.com/office/2006/metadata/properties" xmlns:ns2="ed575f5b-fa7e-445b-bbbb-e92fdf4cc5d5" xmlns:ns3="20fbab50-0c90-4fcd-9aec-c69fdbaf44e3" targetNamespace="http://schemas.microsoft.com/office/2006/metadata/properties" ma:root="true" ma:fieldsID="7e23bac4c833190ca3c17d7672853c90" ns2:_="" ns3:_="">
    <xsd:import namespace="ed575f5b-fa7e-445b-bbbb-e92fdf4cc5d5"/>
    <xsd:import namespace="20fbab50-0c90-4fcd-9aec-c69fdbaf44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575f5b-fa7e-445b-bbbb-e92fdf4cc5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fbab50-0c90-4fcd-9aec-c69fdbaf44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9daffd9-10a1-40ad-ad44-09f529b4f670}" ma:internalName="TaxCatchAll" ma:showField="CatchAllData" ma:web="20fbab50-0c90-4fcd-9aec-c69fdbaf44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9A4AE4-0A5F-4FBA-9DBC-30629DC7CB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090D74-5994-41EC-8C30-F319D1D33E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575f5b-fa7e-445b-bbbb-e92fdf4cc5d5"/>
    <ds:schemaRef ds:uri="20fbab50-0c90-4fcd-9aec-c69fdbaf44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Eficiencia Energética</cp:lastModifiedBy>
  <cp:revision/>
  <dcterms:created xsi:type="dcterms:W3CDTF">2022-10-17T18:14:43Z</dcterms:created>
  <dcterms:modified xsi:type="dcterms:W3CDTF">2025-08-01T21:34:37Z</dcterms:modified>
  <cp:category/>
  <cp:contentStatus/>
</cp:coreProperties>
</file>
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\Documents\"/>
    </mc:Choice>
  </mc:AlternateContent>
  <xr:revisionPtr revIDLastSave="0" documentId="8_{7C000C11-C00C-40C9-9CA2-CFC19A3398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3" hidden="1">'Demand Techs'!$A$1:$BQ$172</definedName>
    <definedName name="_xlnm._FilterDatabase" localSheetId="0" hidden="1">'Fixed Horizon Parameters'!$A$1:$I$513</definedName>
    <definedName name="_xlnm._FilterDatabase" localSheetId="1" hidden="1">'Primary Techs'!$A$1:$BQ$451</definedName>
    <definedName name="_xlnm._FilterDatabase" localSheetId="2" hidden="1">'Secondary Techs'!$A$1:$BQ$521</definedName>
    <definedName name="_xlnm._FilterDatabase" localSheetId="4" hidden="1">'Transport Fuel Distribution'!$A$1:$BQ$87</definedName>
    <definedName name="_xlnm._FilterDatabase" localSheetId="5" hidden="1">'Vehicle Techs'!$A$1:$BR$331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7" i="2" l="1"/>
  <c r="P407" i="2" l="1"/>
  <c r="P397" i="2"/>
  <c r="Q54" i="6"/>
  <c r="P54" i="6"/>
  <c r="O54" i="6"/>
  <c r="N54" i="6"/>
  <c r="M54" i="6"/>
  <c r="L54" i="6"/>
  <c r="K54" i="6"/>
  <c r="J54" i="6"/>
  <c r="O407" i="2"/>
  <c r="N407" i="2"/>
  <c r="M407" i="2"/>
  <c r="L407" i="2"/>
  <c r="AM322" i="6"/>
  <c r="AL322" i="6" s="1"/>
  <c r="AK322" i="6" s="1"/>
  <c r="AJ322" i="6" s="1"/>
  <c r="AI322" i="6" s="1"/>
  <c r="AH322" i="6" s="1"/>
  <c r="AG322" i="6" s="1"/>
  <c r="AF322" i="6" s="1"/>
  <c r="AE322" i="6" s="1"/>
  <c r="AD322" i="6" s="1"/>
  <c r="AC322" i="6" s="1"/>
  <c r="AB322" i="6" s="1"/>
  <c r="AA322" i="6" s="1"/>
  <c r="Z322" i="6" s="1"/>
  <c r="Y322" i="6" s="1"/>
  <c r="X322" i="6" s="1"/>
  <c r="W322" i="6" s="1"/>
  <c r="V322" i="6" s="1"/>
  <c r="U322" i="6" s="1"/>
  <c r="T322" i="6" s="1"/>
  <c r="S322" i="6" s="1"/>
  <c r="AM323" i="6"/>
  <c r="AL323" i="6" s="1"/>
  <c r="AK323" i="6" s="1"/>
  <c r="AJ323" i="6" s="1"/>
  <c r="AI323" i="6" s="1"/>
  <c r="AH323" i="6" s="1"/>
  <c r="AG323" i="6" s="1"/>
  <c r="AF323" i="6" s="1"/>
  <c r="AE323" i="6" s="1"/>
  <c r="AD323" i="6" s="1"/>
  <c r="AC323" i="6" s="1"/>
  <c r="AB323" i="6" s="1"/>
  <c r="AA323" i="6" s="1"/>
  <c r="Z323" i="6" s="1"/>
  <c r="Y323" i="6" s="1"/>
  <c r="X323" i="6" s="1"/>
  <c r="W323" i="6" s="1"/>
  <c r="V323" i="6" s="1"/>
  <c r="U323" i="6" s="1"/>
  <c r="T323" i="6" s="1"/>
  <c r="S323" i="6" s="1"/>
  <c r="AX134" i="2"/>
  <c r="AY134" i="2" s="1"/>
  <c r="AZ134" i="2" s="1"/>
  <c r="BA134" i="2" s="1"/>
  <c r="BB134" i="2" s="1"/>
  <c r="BC134" i="2" s="1"/>
  <c r="BD134" i="2" s="1"/>
  <c r="BE134" i="2" s="1"/>
  <c r="BF134" i="2" s="1"/>
  <c r="BG134" i="2" s="1"/>
  <c r="BH134" i="2" s="1"/>
  <c r="BI134" i="2" s="1"/>
  <c r="BJ134" i="2" s="1"/>
  <c r="BK134" i="2" s="1"/>
  <c r="BL134" i="2" s="1"/>
  <c r="BM134" i="2" s="1"/>
  <c r="BN134" i="2" s="1"/>
  <c r="BO134" i="2" s="1"/>
  <c r="BP134" i="2" s="1"/>
  <c r="BQ134" i="2" s="1"/>
  <c r="AX84" i="2"/>
  <c r="AY84" i="2" s="1"/>
  <c r="AZ84" i="2" s="1"/>
  <c r="BA84" i="2" s="1"/>
  <c r="BB84" i="2" s="1"/>
  <c r="BC84" i="2" s="1"/>
  <c r="BD84" i="2" s="1"/>
  <c r="BE84" i="2" s="1"/>
  <c r="BF84" i="2" s="1"/>
  <c r="BG84" i="2" s="1"/>
  <c r="BH84" i="2" s="1"/>
  <c r="BI84" i="2" s="1"/>
  <c r="BJ84" i="2" s="1"/>
  <c r="BK84" i="2" s="1"/>
  <c r="BL84" i="2" s="1"/>
  <c r="BM84" i="2" s="1"/>
  <c r="BN84" i="2" s="1"/>
  <c r="BO84" i="2" s="1"/>
  <c r="BP84" i="2" s="1"/>
  <c r="BQ84" i="2" s="1"/>
  <c r="AX74" i="2"/>
  <c r="AY74" i="2" s="1"/>
  <c r="AZ74" i="2" s="1"/>
  <c r="BA74" i="2" s="1"/>
  <c r="BB74" i="2" s="1"/>
  <c r="BC74" i="2" s="1"/>
  <c r="BD74" i="2" s="1"/>
  <c r="BE74" i="2" s="1"/>
  <c r="BF74" i="2" s="1"/>
  <c r="BG74" i="2" s="1"/>
  <c r="BH74" i="2" s="1"/>
  <c r="BI74" i="2" s="1"/>
  <c r="BJ74" i="2" s="1"/>
  <c r="BK74" i="2" s="1"/>
  <c r="BL74" i="2" s="1"/>
  <c r="BM74" i="2" s="1"/>
  <c r="BN74" i="2" s="1"/>
  <c r="BO74" i="2" s="1"/>
  <c r="BP74" i="2" s="1"/>
  <c r="BQ74" i="2" s="1"/>
  <c r="AX94" i="2"/>
  <c r="AY94" i="2" s="1"/>
  <c r="AZ94" i="2" s="1"/>
  <c r="BA94" i="2" s="1"/>
  <c r="BB94" i="2" s="1"/>
  <c r="BC94" i="2" s="1"/>
  <c r="BD94" i="2" s="1"/>
  <c r="BE94" i="2" s="1"/>
  <c r="BF94" i="2" s="1"/>
  <c r="BG94" i="2" s="1"/>
  <c r="BH94" i="2" s="1"/>
  <c r="BI94" i="2" s="1"/>
  <c r="BJ94" i="2" s="1"/>
  <c r="BK94" i="2" s="1"/>
  <c r="BL94" i="2" s="1"/>
  <c r="BM94" i="2" s="1"/>
  <c r="BN94" i="2" s="1"/>
  <c r="BO94" i="2" s="1"/>
  <c r="BP94" i="2" s="1"/>
  <c r="BQ94" i="2" s="1"/>
  <c r="AY197" i="6"/>
  <c r="AZ197" i="6" s="1"/>
  <c r="BA197" i="6" s="1"/>
  <c r="BB197" i="6" s="1"/>
  <c r="BC197" i="6" s="1"/>
  <c r="BD197" i="6" s="1"/>
  <c r="BE197" i="6" s="1"/>
  <c r="BF197" i="6" s="1"/>
  <c r="BG197" i="6" s="1"/>
  <c r="BH197" i="6" s="1"/>
  <c r="BI197" i="6" s="1"/>
  <c r="BJ197" i="6" s="1"/>
  <c r="BK197" i="6" s="1"/>
  <c r="BL197" i="6" s="1"/>
  <c r="BM197" i="6" s="1"/>
  <c r="BN197" i="6" s="1"/>
  <c r="BO197" i="6" s="1"/>
  <c r="BP197" i="6" s="1"/>
  <c r="BQ197" i="6" s="1"/>
  <c r="BR197" i="6" s="1"/>
  <c r="AY202" i="6"/>
  <c r="AZ202" i="6" s="1"/>
  <c r="BA202" i="6" s="1"/>
  <c r="BB202" i="6" s="1"/>
  <c r="BC202" i="6" s="1"/>
  <c r="BD202" i="6" s="1"/>
  <c r="BE202" i="6" s="1"/>
  <c r="BF202" i="6" s="1"/>
  <c r="BG202" i="6" s="1"/>
  <c r="BH202" i="6" s="1"/>
  <c r="BI202" i="6" s="1"/>
  <c r="BJ202" i="6" s="1"/>
  <c r="BK202" i="6" s="1"/>
  <c r="BL202" i="6" s="1"/>
  <c r="BM202" i="6" s="1"/>
  <c r="BN202" i="6" s="1"/>
  <c r="BO202" i="6" s="1"/>
  <c r="BP202" i="6" s="1"/>
  <c r="BQ202" i="6" s="1"/>
  <c r="BR202" i="6" s="1"/>
  <c r="AY207" i="6"/>
  <c r="AZ207" i="6" s="1"/>
  <c r="BA207" i="6" s="1"/>
  <c r="BB207" i="6" s="1"/>
  <c r="BC207" i="6" s="1"/>
  <c r="BD207" i="6" s="1"/>
  <c r="BE207" i="6" s="1"/>
  <c r="BF207" i="6" s="1"/>
  <c r="BG207" i="6" s="1"/>
  <c r="BH207" i="6" s="1"/>
  <c r="BI207" i="6" s="1"/>
  <c r="BJ207" i="6" s="1"/>
  <c r="BK207" i="6" s="1"/>
  <c r="BL207" i="6" s="1"/>
  <c r="BM207" i="6" s="1"/>
  <c r="BN207" i="6" s="1"/>
  <c r="BO207" i="6" s="1"/>
  <c r="BP207" i="6" s="1"/>
  <c r="BQ207" i="6" s="1"/>
  <c r="BR207" i="6" s="1"/>
  <c r="AY212" i="6"/>
  <c r="AZ212" i="6" s="1"/>
  <c r="BA212" i="6" s="1"/>
  <c r="BB212" i="6" s="1"/>
  <c r="BC212" i="6" s="1"/>
  <c r="BD212" i="6" s="1"/>
  <c r="BE212" i="6" s="1"/>
  <c r="BF212" i="6" s="1"/>
  <c r="BG212" i="6" s="1"/>
  <c r="BH212" i="6" s="1"/>
  <c r="BI212" i="6" s="1"/>
  <c r="BJ212" i="6" s="1"/>
  <c r="BK212" i="6" s="1"/>
  <c r="BL212" i="6" s="1"/>
  <c r="BM212" i="6" s="1"/>
  <c r="BN212" i="6" s="1"/>
  <c r="BO212" i="6" s="1"/>
  <c r="BP212" i="6" s="1"/>
  <c r="BQ212" i="6" s="1"/>
  <c r="BR212" i="6" s="1"/>
  <c r="AY217" i="6"/>
  <c r="AZ217" i="6" s="1"/>
  <c r="BA217" i="6" s="1"/>
  <c r="BB217" i="6" s="1"/>
  <c r="BC217" i="6" s="1"/>
  <c r="BD217" i="6" s="1"/>
  <c r="BE217" i="6" s="1"/>
  <c r="BF217" i="6" s="1"/>
  <c r="BG217" i="6" s="1"/>
  <c r="BH217" i="6" s="1"/>
  <c r="BI217" i="6" s="1"/>
  <c r="BJ217" i="6" s="1"/>
  <c r="BK217" i="6" s="1"/>
  <c r="BL217" i="6" s="1"/>
  <c r="BM217" i="6" s="1"/>
  <c r="BN217" i="6" s="1"/>
  <c r="BO217" i="6" s="1"/>
  <c r="BP217" i="6" s="1"/>
  <c r="BQ217" i="6" s="1"/>
  <c r="BR217" i="6" s="1"/>
  <c r="AY222" i="6"/>
  <c r="AZ222" i="6" s="1"/>
  <c r="BA222" i="6" s="1"/>
  <c r="BB222" i="6" s="1"/>
  <c r="BC222" i="6" s="1"/>
  <c r="BD222" i="6" s="1"/>
  <c r="BE222" i="6" s="1"/>
  <c r="BF222" i="6" s="1"/>
  <c r="BG222" i="6" s="1"/>
  <c r="BH222" i="6" s="1"/>
  <c r="BI222" i="6" s="1"/>
  <c r="BJ222" i="6" s="1"/>
  <c r="BK222" i="6" s="1"/>
  <c r="BL222" i="6" s="1"/>
  <c r="BM222" i="6" s="1"/>
  <c r="BN222" i="6" s="1"/>
  <c r="BO222" i="6" s="1"/>
  <c r="BP222" i="6" s="1"/>
  <c r="BQ222" i="6" s="1"/>
  <c r="BR222" i="6" s="1"/>
  <c r="AY227" i="6"/>
  <c r="AZ227" i="6" s="1"/>
  <c r="BA227" i="6" s="1"/>
  <c r="BB227" i="6" s="1"/>
  <c r="BC227" i="6" s="1"/>
  <c r="BD227" i="6" s="1"/>
  <c r="BE227" i="6" s="1"/>
  <c r="BF227" i="6" s="1"/>
  <c r="BG227" i="6" s="1"/>
  <c r="BH227" i="6" s="1"/>
  <c r="BI227" i="6" s="1"/>
  <c r="BJ227" i="6" s="1"/>
  <c r="BK227" i="6" s="1"/>
  <c r="BL227" i="6" s="1"/>
  <c r="BM227" i="6" s="1"/>
  <c r="BN227" i="6" s="1"/>
  <c r="BO227" i="6" s="1"/>
  <c r="BP227" i="6" s="1"/>
  <c r="BQ227" i="6" s="1"/>
  <c r="BR227" i="6" s="1"/>
  <c r="AY232" i="6"/>
  <c r="AZ232" i="6" s="1"/>
  <c r="BA232" i="6" s="1"/>
  <c r="BB232" i="6" s="1"/>
  <c r="BC232" i="6" s="1"/>
  <c r="BD232" i="6" s="1"/>
  <c r="BE232" i="6" s="1"/>
  <c r="BF232" i="6" s="1"/>
  <c r="BG232" i="6" s="1"/>
  <c r="BH232" i="6" s="1"/>
  <c r="BI232" i="6" s="1"/>
  <c r="BJ232" i="6" s="1"/>
  <c r="BK232" i="6" s="1"/>
  <c r="BL232" i="6" s="1"/>
  <c r="BM232" i="6" s="1"/>
  <c r="BN232" i="6" s="1"/>
  <c r="BO232" i="6" s="1"/>
  <c r="BP232" i="6" s="1"/>
  <c r="BQ232" i="6" s="1"/>
  <c r="BR232" i="6" s="1"/>
  <c r="AY237" i="6"/>
  <c r="AZ237" i="6" s="1"/>
  <c r="BA237" i="6" s="1"/>
  <c r="BB237" i="6" s="1"/>
  <c r="BC237" i="6" s="1"/>
  <c r="BD237" i="6" s="1"/>
  <c r="BE237" i="6" s="1"/>
  <c r="BF237" i="6" s="1"/>
  <c r="BG237" i="6" s="1"/>
  <c r="BH237" i="6" s="1"/>
  <c r="BI237" i="6" s="1"/>
  <c r="BJ237" i="6" s="1"/>
  <c r="BK237" i="6" s="1"/>
  <c r="BL237" i="6" s="1"/>
  <c r="BM237" i="6" s="1"/>
  <c r="BN237" i="6" s="1"/>
  <c r="BO237" i="6" s="1"/>
  <c r="BP237" i="6" s="1"/>
  <c r="BQ237" i="6" s="1"/>
  <c r="BR237" i="6" s="1"/>
  <c r="AY242" i="6"/>
  <c r="AZ242" i="6" s="1"/>
  <c r="BA242" i="6" s="1"/>
  <c r="BB242" i="6" s="1"/>
  <c r="BC242" i="6" s="1"/>
  <c r="BD242" i="6" s="1"/>
  <c r="BE242" i="6" s="1"/>
  <c r="BF242" i="6" s="1"/>
  <c r="BG242" i="6" s="1"/>
  <c r="BH242" i="6" s="1"/>
  <c r="BI242" i="6" s="1"/>
  <c r="BJ242" i="6" s="1"/>
  <c r="BK242" i="6" s="1"/>
  <c r="BL242" i="6" s="1"/>
  <c r="BM242" i="6" s="1"/>
  <c r="BN242" i="6" s="1"/>
  <c r="BO242" i="6" s="1"/>
  <c r="BP242" i="6" s="1"/>
  <c r="BQ242" i="6" s="1"/>
  <c r="BR242" i="6" s="1"/>
  <c r="AY247" i="6"/>
  <c r="AZ247" i="6" s="1"/>
  <c r="BA247" i="6" s="1"/>
  <c r="BB247" i="6" s="1"/>
  <c r="BC247" i="6" s="1"/>
  <c r="BD247" i="6" s="1"/>
  <c r="BE247" i="6" s="1"/>
  <c r="BF247" i="6" s="1"/>
  <c r="BG247" i="6" s="1"/>
  <c r="BH247" i="6" s="1"/>
  <c r="BI247" i="6" s="1"/>
  <c r="BJ247" i="6" s="1"/>
  <c r="BK247" i="6" s="1"/>
  <c r="BL247" i="6" s="1"/>
  <c r="BM247" i="6" s="1"/>
  <c r="BN247" i="6" s="1"/>
  <c r="BO247" i="6" s="1"/>
  <c r="BP247" i="6" s="1"/>
  <c r="BQ247" i="6" s="1"/>
  <c r="BR247" i="6" s="1"/>
  <c r="AY252" i="6"/>
  <c r="AZ252" i="6" s="1"/>
  <c r="BA252" i="6" s="1"/>
  <c r="BB252" i="6" s="1"/>
  <c r="BC252" i="6" s="1"/>
  <c r="BD252" i="6" s="1"/>
  <c r="BE252" i="6" s="1"/>
  <c r="BF252" i="6" s="1"/>
  <c r="BG252" i="6" s="1"/>
  <c r="BH252" i="6" s="1"/>
  <c r="BI252" i="6" s="1"/>
  <c r="BJ252" i="6" s="1"/>
  <c r="BK252" i="6" s="1"/>
  <c r="BL252" i="6" s="1"/>
  <c r="BM252" i="6" s="1"/>
  <c r="BN252" i="6" s="1"/>
  <c r="BO252" i="6" s="1"/>
  <c r="BP252" i="6" s="1"/>
  <c r="BQ252" i="6" s="1"/>
  <c r="BR252" i="6" s="1"/>
  <c r="AY257" i="6"/>
  <c r="AZ257" i="6" s="1"/>
  <c r="BA257" i="6" s="1"/>
  <c r="BB257" i="6" s="1"/>
  <c r="BC257" i="6" s="1"/>
  <c r="BD257" i="6" s="1"/>
  <c r="BE257" i="6" s="1"/>
  <c r="BF257" i="6" s="1"/>
  <c r="BG257" i="6" s="1"/>
  <c r="BH257" i="6" s="1"/>
  <c r="BI257" i="6" s="1"/>
  <c r="BJ257" i="6" s="1"/>
  <c r="BK257" i="6" s="1"/>
  <c r="BL257" i="6" s="1"/>
  <c r="BM257" i="6" s="1"/>
  <c r="BN257" i="6" s="1"/>
  <c r="BO257" i="6" s="1"/>
  <c r="BP257" i="6" s="1"/>
  <c r="BQ257" i="6" s="1"/>
  <c r="BR257" i="6" s="1"/>
  <c r="AY262" i="6"/>
  <c r="AZ262" i="6" s="1"/>
  <c r="BA262" i="6" s="1"/>
  <c r="BB262" i="6" s="1"/>
  <c r="BC262" i="6" s="1"/>
  <c r="BD262" i="6" s="1"/>
  <c r="BE262" i="6" s="1"/>
  <c r="BF262" i="6" s="1"/>
  <c r="BG262" i="6" s="1"/>
  <c r="BH262" i="6" s="1"/>
  <c r="BI262" i="6" s="1"/>
  <c r="BJ262" i="6" s="1"/>
  <c r="BK262" i="6" s="1"/>
  <c r="BL262" i="6" s="1"/>
  <c r="BM262" i="6" s="1"/>
  <c r="BN262" i="6" s="1"/>
  <c r="BO262" i="6" s="1"/>
  <c r="BP262" i="6" s="1"/>
  <c r="BQ262" i="6" s="1"/>
  <c r="BR262" i="6" s="1"/>
  <c r="AY267" i="6"/>
  <c r="AZ267" i="6" s="1"/>
  <c r="BA267" i="6" s="1"/>
  <c r="BB267" i="6" s="1"/>
  <c r="BC267" i="6" s="1"/>
  <c r="BD267" i="6" s="1"/>
  <c r="BE267" i="6" s="1"/>
  <c r="BF267" i="6" s="1"/>
  <c r="BG267" i="6" s="1"/>
  <c r="BH267" i="6" s="1"/>
  <c r="BI267" i="6" s="1"/>
  <c r="BJ267" i="6" s="1"/>
  <c r="BK267" i="6" s="1"/>
  <c r="BL267" i="6" s="1"/>
  <c r="BM267" i="6" s="1"/>
  <c r="BN267" i="6" s="1"/>
  <c r="BO267" i="6" s="1"/>
  <c r="BP267" i="6" s="1"/>
  <c r="BQ267" i="6" s="1"/>
  <c r="BR267" i="6" s="1"/>
  <c r="AY272" i="6"/>
  <c r="AZ272" i="6" s="1"/>
  <c r="BA272" i="6" s="1"/>
  <c r="BB272" i="6" s="1"/>
  <c r="BC272" i="6" s="1"/>
  <c r="BD272" i="6" s="1"/>
  <c r="BE272" i="6" s="1"/>
  <c r="BF272" i="6" s="1"/>
  <c r="BG272" i="6" s="1"/>
  <c r="BH272" i="6" s="1"/>
  <c r="BI272" i="6" s="1"/>
  <c r="BJ272" i="6" s="1"/>
  <c r="BK272" i="6" s="1"/>
  <c r="BL272" i="6" s="1"/>
  <c r="BM272" i="6" s="1"/>
  <c r="BN272" i="6" s="1"/>
  <c r="BO272" i="6" s="1"/>
  <c r="BP272" i="6" s="1"/>
  <c r="BQ272" i="6" s="1"/>
  <c r="BR272" i="6" s="1"/>
  <c r="AY277" i="6"/>
  <c r="AZ277" i="6" s="1"/>
  <c r="BA277" i="6" s="1"/>
  <c r="BB277" i="6" s="1"/>
  <c r="BC277" i="6" s="1"/>
  <c r="BD277" i="6" s="1"/>
  <c r="BE277" i="6" s="1"/>
  <c r="BF277" i="6" s="1"/>
  <c r="BG277" i="6" s="1"/>
  <c r="BH277" i="6" s="1"/>
  <c r="BI277" i="6" s="1"/>
  <c r="BJ277" i="6" s="1"/>
  <c r="BK277" i="6" s="1"/>
  <c r="BL277" i="6" s="1"/>
  <c r="BM277" i="6" s="1"/>
  <c r="BN277" i="6" s="1"/>
  <c r="BO277" i="6" s="1"/>
  <c r="BP277" i="6" s="1"/>
  <c r="BQ277" i="6" s="1"/>
  <c r="BR277" i="6" s="1"/>
  <c r="AY282" i="6"/>
  <c r="AZ282" i="6" s="1"/>
  <c r="BA282" i="6" s="1"/>
  <c r="BB282" i="6" s="1"/>
  <c r="BC282" i="6" s="1"/>
  <c r="BD282" i="6" s="1"/>
  <c r="BE282" i="6" s="1"/>
  <c r="BF282" i="6" s="1"/>
  <c r="BG282" i="6" s="1"/>
  <c r="BH282" i="6" s="1"/>
  <c r="BI282" i="6" s="1"/>
  <c r="BJ282" i="6" s="1"/>
  <c r="BK282" i="6" s="1"/>
  <c r="BL282" i="6" s="1"/>
  <c r="BM282" i="6" s="1"/>
  <c r="BN282" i="6" s="1"/>
  <c r="BO282" i="6" s="1"/>
  <c r="BP282" i="6" s="1"/>
  <c r="BQ282" i="6" s="1"/>
  <c r="BR282" i="6" s="1"/>
  <c r="AY287" i="6"/>
  <c r="AZ287" i="6" s="1"/>
  <c r="BA287" i="6" s="1"/>
  <c r="BB287" i="6" s="1"/>
  <c r="BC287" i="6" s="1"/>
  <c r="BD287" i="6" s="1"/>
  <c r="BE287" i="6" s="1"/>
  <c r="BF287" i="6" s="1"/>
  <c r="BG287" i="6" s="1"/>
  <c r="BH287" i="6" s="1"/>
  <c r="BI287" i="6" s="1"/>
  <c r="BJ287" i="6" s="1"/>
  <c r="BK287" i="6" s="1"/>
  <c r="BL287" i="6" s="1"/>
  <c r="BM287" i="6" s="1"/>
  <c r="BN287" i="6" s="1"/>
  <c r="BO287" i="6" s="1"/>
  <c r="BP287" i="6" s="1"/>
  <c r="BQ287" i="6" s="1"/>
  <c r="BR287" i="6" s="1"/>
  <c r="AY292" i="6"/>
  <c r="AZ292" i="6" s="1"/>
  <c r="BA292" i="6" s="1"/>
  <c r="BB292" i="6" s="1"/>
  <c r="BC292" i="6" s="1"/>
  <c r="BD292" i="6" s="1"/>
  <c r="BE292" i="6" s="1"/>
  <c r="BF292" i="6" s="1"/>
  <c r="BG292" i="6" s="1"/>
  <c r="BH292" i="6" s="1"/>
  <c r="BI292" i="6" s="1"/>
  <c r="BJ292" i="6" s="1"/>
  <c r="BK292" i="6" s="1"/>
  <c r="BL292" i="6" s="1"/>
  <c r="BM292" i="6" s="1"/>
  <c r="BN292" i="6" s="1"/>
  <c r="BO292" i="6" s="1"/>
  <c r="BP292" i="6" s="1"/>
  <c r="BQ292" i="6" s="1"/>
  <c r="BR292" i="6" s="1"/>
  <c r="AY297" i="6"/>
  <c r="AZ297" i="6" s="1"/>
  <c r="BA297" i="6" s="1"/>
  <c r="BB297" i="6" s="1"/>
  <c r="BC297" i="6" s="1"/>
  <c r="BD297" i="6" s="1"/>
  <c r="BE297" i="6" s="1"/>
  <c r="BF297" i="6" s="1"/>
  <c r="BG297" i="6" s="1"/>
  <c r="BH297" i="6" s="1"/>
  <c r="BI297" i="6" s="1"/>
  <c r="BJ297" i="6" s="1"/>
  <c r="BK297" i="6" s="1"/>
  <c r="BL297" i="6" s="1"/>
  <c r="BM297" i="6" s="1"/>
  <c r="BN297" i="6" s="1"/>
  <c r="BO297" i="6" s="1"/>
  <c r="BP297" i="6" s="1"/>
  <c r="BQ297" i="6" s="1"/>
  <c r="BR297" i="6" s="1"/>
  <c r="AY302" i="6"/>
  <c r="AZ302" i="6" s="1"/>
  <c r="BA302" i="6" s="1"/>
  <c r="BB302" i="6" s="1"/>
  <c r="BC302" i="6" s="1"/>
  <c r="BD302" i="6" s="1"/>
  <c r="BE302" i="6" s="1"/>
  <c r="BF302" i="6" s="1"/>
  <c r="BG302" i="6" s="1"/>
  <c r="BH302" i="6" s="1"/>
  <c r="BI302" i="6" s="1"/>
  <c r="BJ302" i="6" s="1"/>
  <c r="BK302" i="6" s="1"/>
  <c r="BL302" i="6" s="1"/>
  <c r="BM302" i="6" s="1"/>
  <c r="BN302" i="6" s="1"/>
  <c r="BO302" i="6" s="1"/>
  <c r="BP302" i="6" s="1"/>
  <c r="BQ302" i="6" s="1"/>
  <c r="BR302" i="6" s="1"/>
  <c r="AY192" i="6"/>
  <c r="AZ192" i="6" s="1"/>
  <c r="BA192" i="6" s="1"/>
  <c r="BB192" i="6" s="1"/>
  <c r="BC192" i="6" s="1"/>
  <c r="BD192" i="6" s="1"/>
  <c r="BE192" i="6" s="1"/>
  <c r="BF192" i="6" s="1"/>
  <c r="BG192" i="6" s="1"/>
  <c r="BH192" i="6" s="1"/>
  <c r="BI192" i="6" s="1"/>
  <c r="BJ192" i="6" s="1"/>
  <c r="BK192" i="6" s="1"/>
  <c r="BL192" i="6" s="1"/>
  <c r="BM192" i="6" s="1"/>
  <c r="BN192" i="6" s="1"/>
  <c r="BO192" i="6" s="1"/>
  <c r="BP192" i="6" s="1"/>
  <c r="BQ192" i="6" s="1"/>
  <c r="BR192" i="6" s="1"/>
  <c r="AY187" i="6"/>
  <c r="AZ187" i="6" s="1"/>
  <c r="BA187" i="6" s="1"/>
  <c r="BB187" i="6" s="1"/>
  <c r="BC187" i="6" s="1"/>
  <c r="BD187" i="6" s="1"/>
  <c r="BE187" i="6" s="1"/>
  <c r="BF187" i="6" s="1"/>
  <c r="BG187" i="6" s="1"/>
  <c r="BH187" i="6" s="1"/>
  <c r="BI187" i="6" s="1"/>
  <c r="BJ187" i="6" s="1"/>
  <c r="BK187" i="6" s="1"/>
  <c r="BL187" i="6" s="1"/>
  <c r="BM187" i="6" s="1"/>
  <c r="BN187" i="6" s="1"/>
  <c r="BO187" i="6" s="1"/>
  <c r="BP187" i="6" s="1"/>
  <c r="BQ187" i="6" s="1"/>
  <c r="BR187" i="6" s="1"/>
  <c r="AY182" i="6"/>
  <c r="AZ182" i="6" s="1"/>
  <c r="BA182" i="6" s="1"/>
  <c r="BB182" i="6" s="1"/>
  <c r="BC182" i="6" s="1"/>
  <c r="BD182" i="6" s="1"/>
  <c r="BE182" i="6" s="1"/>
  <c r="BF182" i="6" s="1"/>
  <c r="BG182" i="6" s="1"/>
  <c r="BH182" i="6" s="1"/>
  <c r="BI182" i="6" s="1"/>
  <c r="BJ182" i="6" s="1"/>
  <c r="BK182" i="6" s="1"/>
  <c r="BL182" i="6" s="1"/>
  <c r="BM182" i="6" s="1"/>
  <c r="BN182" i="6" s="1"/>
  <c r="BO182" i="6" s="1"/>
  <c r="BP182" i="6" s="1"/>
  <c r="BQ182" i="6" s="1"/>
  <c r="BR182" i="6" s="1"/>
  <c r="AY177" i="6"/>
  <c r="AZ177" i="6" s="1"/>
  <c r="BA177" i="6" s="1"/>
  <c r="BB177" i="6" s="1"/>
  <c r="BC177" i="6" s="1"/>
  <c r="BD177" i="6" s="1"/>
  <c r="BE177" i="6" s="1"/>
  <c r="BF177" i="6" s="1"/>
  <c r="BG177" i="6" s="1"/>
  <c r="BH177" i="6" s="1"/>
  <c r="BI177" i="6" s="1"/>
  <c r="BJ177" i="6" s="1"/>
  <c r="BK177" i="6" s="1"/>
  <c r="BL177" i="6" s="1"/>
  <c r="BM177" i="6" s="1"/>
  <c r="BN177" i="6" s="1"/>
  <c r="BO177" i="6" s="1"/>
  <c r="BP177" i="6" s="1"/>
  <c r="BQ177" i="6" s="1"/>
  <c r="BR177" i="6" s="1"/>
  <c r="AY172" i="6"/>
  <c r="AZ172" i="6" s="1"/>
  <c r="BA172" i="6" s="1"/>
  <c r="BB172" i="6" s="1"/>
  <c r="BC172" i="6" s="1"/>
  <c r="BD172" i="6" s="1"/>
  <c r="BE172" i="6" s="1"/>
  <c r="BF172" i="6" s="1"/>
  <c r="BG172" i="6" s="1"/>
  <c r="BH172" i="6" s="1"/>
  <c r="BI172" i="6" s="1"/>
  <c r="BJ172" i="6" s="1"/>
  <c r="BK172" i="6" s="1"/>
  <c r="BL172" i="6" s="1"/>
  <c r="BM172" i="6" s="1"/>
  <c r="BN172" i="6" s="1"/>
  <c r="BO172" i="6" s="1"/>
  <c r="BP172" i="6" s="1"/>
  <c r="BQ172" i="6" s="1"/>
  <c r="BR172" i="6" s="1"/>
  <c r="AY167" i="6"/>
  <c r="AZ167" i="6" s="1"/>
  <c r="BA167" i="6" s="1"/>
  <c r="BB167" i="6" s="1"/>
  <c r="BC167" i="6" s="1"/>
  <c r="BD167" i="6" s="1"/>
  <c r="BE167" i="6" s="1"/>
  <c r="BF167" i="6" s="1"/>
  <c r="BG167" i="6" s="1"/>
  <c r="BH167" i="6" s="1"/>
  <c r="BI167" i="6" s="1"/>
  <c r="BJ167" i="6" s="1"/>
  <c r="BK167" i="6" s="1"/>
  <c r="BL167" i="6" s="1"/>
  <c r="BM167" i="6" s="1"/>
  <c r="BN167" i="6" s="1"/>
  <c r="BO167" i="6" s="1"/>
  <c r="BP167" i="6" s="1"/>
  <c r="BQ167" i="6" s="1"/>
  <c r="BR167" i="6" s="1"/>
  <c r="AY162" i="6"/>
  <c r="AZ162" i="6" s="1"/>
  <c r="BA162" i="6" s="1"/>
  <c r="BB162" i="6" s="1"/>
  <c r="BC162" i="6" s="1"/>
  <c r="BD162" i="6" s="1"/>
  <c r="BE162" i="6" s="1"/>
  <c r="BF162" i="6" s="1"/>
  <c r="BG162" i="6" s="1"/>
  <c r="BH162" i="6" s="1"/>
  <c r="BI162" i="6" s="1"/>
  <c r="BJ162" i="6" s="1"/>
  <c r="BK162" i="6" s="1"/>
  <c r="BL162" i="6" s="1"/>
  <c r="BM162" i="6" s="1"/>
  <c r="BN162" i="6" s="1"/>
  <c r="BO162" i="6" s="1"/>
  <c r="BP162" i="6" s="1"/>
  <c r="BQ162" i="6" s="1"/>
  <c r="BR162" i="6" s="1"/>
  <c r="AY157" i="6"/>
  <c r="AZ157" i="6" s="1"/>
  <c r="BA157" i="6" s="1"/>
  <c r="BB157" i="6" s="1"/>
  <c r="BC157" i="6" s="1"/>
  <c r="BD157" i="6" s="1"/>
  <c r="BE157" i="6" s="1"/>
  <c r="BF157" i="6" s="1"/>
  <c r="BG157" i="6" s="1"/>
  <c r="BH157" i="6" s="1"/>
  <c r="BI157" i="6" s="1"/>
  <c r="BJ157" i="6" s="1"/>
  <c r="BK157" i="6" s="1"/>
  <c r="BL157" i="6" s="1"/>
  <c r="BM157" i="6" s="1"/>
  <c r="BN157" i="6" s="1"/>
  <c r="BO157" i="6" s="1"/>
  <c r="BP157" i="6" s="1"/>
  <c r="BQ157" i="6" s="1"/>
  <c r="BR157" i="6" s="1"/>
  <c r="AY152" i="6"/>
  <c r="AZ152" i="6" s="1"/>
  <c r="BA152" i="6" s="1"/>
  <c r="BB152" i="6" s="1"/>
  <c r="BC152" i="6" s="1"/>
  <c r="BD152" i="6" s="1"/>
  <c r="BE152" i="6" s="1"/>
  <c r="BF152" i="6" s="1"/>
  <c r="BG152" i="6" s="1"/>
  <c r="BH152" i="6" s="1"/>
  <c r="BI152" i="6" s="1"/>
  <c r="BJ152" i="6" s="1"/>
  <c r="BK152" i="6" s="1"/>
  <c r="BL152" i="6" s="1"/>
  <c r="BM152" i="6" s="1"/>
  <c r="BN152" i="6" s="1"/>
  <c r="BO152" i="6" s="1"/>
  <c r="BP152" i="6" s="1"/>
  <c r="BQ152" i="6" s="1"/>
  <c r="BR152" i="6" s="1"/>
  <c r="AY147" i="6"/>
  <c r="AZ147" i="6" s="1"/>
  <c r="BA147" i="6" s="1"/>
  <c r="BB147" i="6" s="1"/>
  <c r="BC147" i="6" s="1"/>
  <c r="BD147" i="6" s="1"/>
  <c r="BE147" i="6" s="1"/>
  <c r="BF147" i="6" s="1"/>
  <c r="BG147" i="6" s="1"/>
  <c r="BH147" i="6" s="1"/>
  <c r="BI147" i="6" s="1"/>
  <c r="BJ147" i="6" s="1"/>
  <c r="BK147" i="6" s="1"/>
  <c r="BL147" i="6" s="1"/>
  <c r="BM147" i="6" s="1"/>
  <c r="BN147" i="6" s="1"/>
  <c r="BO147" i="6" s="1"/>
  <c r="BP147" i="6" s="1"/>
  <c r="BQ147" i="6" s="1"/>
  <c r="BR147" i="6" s="1"/>
  <c r="AY142" i="6"/>
  <c r="AZ142" i="6" s="1"/>
  <c r="BA142" i="6" s="1"/>
  <c r="BB142" i="6" s="1"/>
  <c r="BC142" i="6" s="1"/>
  <c r="BD142" i="6" s="1"/>
  <c r="BE142" i="6" s="1"/>
  <c r="BF142" i="6" s="1"/>
  <c r="BG142" i="6" s="1"/>
  <c r="BH142" i="6" s="1"/>
  <c r="BI142" i="6" s="1"/>
  <c r="BJ142" i="6" s="1"/>
  <c r="BK142" i="6" s="1"/>
  <c r="BL142" i="6" s="1"/>
  <c r="BM142" i="6" s="1"/>
  <c r="BN142" i="6" s="1"/>
  <c r="BO142" i="6" s="1"/>
  <c r="BP142" i="6" s="1"/>
  <c r="BQ142" i="6" s="1"/>
  <c r="BR142" i="6" s="1"/>
  <c r="AY137" i="6"/>
  <c r="AZ137" i="6" s="1"/>
  <c r="BA137" i="6" s="1"/>
  <c r="BB137" i="6" s="1"/>
  <c r="BC137" i="6" s="1"/>
  <c r="BD137" i="6" s="1"/>
  <c r="BE137" i="6" s="1"/>
  <c r="BF137" i="6" s="1"/>
  <c r="BG137" i="6" s="1"/>
  <c r="BH137" i="6" s="1"/>
  <c r="BI137" i="6" s="1"/>
  <c r="BJ137" i="6" s="1"/>
  <c r="BK137" i="6" s="1"/>
  <c r="BL137" i="6" s="1"/>
  <c r="BM137" i="6" s="1"/>
  <c r="BN137" i="6" s="1"/>
  <c r="BO137" i="6" s="1"/>
  <c r="BP137" i="6" s="1"/>
  <c r="BQ137" i="6" s="1"/>
  <c r="BR137" i="6" s="1"/>
  <c r="AY132" i="6"/>
  <c r="AZ132" i="6" s="1"/>
  <c r="BA132" i="6" s="1"/>
  <c r="BB132" i="6" s="1"/>
  <c r="BC132" i="6" s="1"/>
  <c r="BD132" i="6" s="1"/>
  <c r="BE132" i="6" s="1"/>
  <c r="BF132" i="6" s="1"/>
  <c r="BG132" i="6" s="1"/>
  <c r="BH132" i="6" s="1"/>
  <c r="BI132" i="6" s="1"/>
  <c r="BJ132" i="6" s="1"/>
  <c r="BK132" i="6" s="1"/>
  <c r="BL132" i="6" s="1"/>
  <c r="BM132" i="6" s="1"/>
  <c r="BN132" i="6" s="1"/>
  <c r="BO132" i="6" s="1"/>
  <c r="BP132" i="6" s="1"/>
  <c r="BQ132" i="6" s="1"/>
  <c r="BR132" i="6" s="1"/>
  <c r="AY127" i="6"/>
  <c r="AZ127" i="6" s="1"/>
  <c r="BA127" i="6" s="1"/>
  <c r="BB127" i="6" s="1"/>
  <c r="BC127" i="6" s="1"/>
  <c r="BD127" i="6" s="1"/>
  <c r="BE127" i="6" s="1"/>
  <c r="BF127" i="6" s="1"/>
  <c r="BG127" i="6" s="1"/>
  <c r="BH127" i="6" s="1"/>
  <c r="BI127" i="6" s="1"/>
  <c r="BJ127" i="6" s="1"/>
  <c r="BK127" i="6" s="1"/>
  <c r="BL127" i="6" s="1"/>
  <c r="BM127" i="6" s="1"/>
  <c r="BN127" i="6" s="1"/>
  <c r="BO127" i="6" s="1"/>
  <c r="BP127" i="6" s="1"/>
  <c r="BQ127" i="6" s="1"/>
  <c r="BR127" i="6" s="1"/>
  <c r="AY122" i="6"/>
  <c r="AZ122" i="6" s="1"/>
  <c r="BA122" i="6" s="1"/>
  <c r="BB122" i="6" s="1"/>
  <c r="BC122" i="6" s="1"/>
  <c r="BD122" i="6" s="1"/>
  <c r="BE122" i="6" s="1"/>
  <c r="BF122" i="6" s="1"/>
  <c r="BG122" i="6" s="1"/>
  <c r="BH122" i="6" s="1"/>
  <c r="BI122" i="6" s="1"/>
  <c r="BJ122" i="6" s="1"/>
  <c r="BK122" i="6" s="1"/>
  <c r="BL122" i="6" s="1"/>
  <c r="BM122" i="6" s="1"/>
  <c r="BN122" i="6" s="1"/>
  <c r="BO122" i="6" s="1"/>
  <c r="BP122" i="6" s="1"/>
  <c r="BQ122" i="6" s="1"/>
  <c r="BR122" i="6" s="1"/>
  <c r="AY117" i="6"/>
  <c r="AZ117" i="6" s="1"/>
  <c r="BA117" i="6" s="1"/>
  <c r="BB117" i="6" s="1"/>
  <c r="BC117" i="6" s="1"/>
  <c r="BD117" i="6" s="1"/>
  <c r="BE117" i="6" s="1"/>
  <c r="BF117" i="6" s="1"/>
  <c r="BG117" i="6" s="1"/>
  <c r="BH117" i="6" s="1"/>
  <c r="BI117" i="6" s="1"/>
  <c r="BJ117" i="6" s="1"/>
  <c r="BK117" i="6" s="1"/>
  <c r="BL117" i="6" s="1"/>
  <c r="BM117" i="6" s="1"/>
  <c r="BN117" i="6" s="1"/>
  <c r="BO117" i="6" s="1"/>
  <c r="BP117" i="6" s="1"/>
  <c r="BQ117" i="6" s="1"/>
  <c r="BR117" i="6" s="1"/>
  <c r="AY112" i="6"/>
  <c r="AZ112" i="6" s="1"/>
  <c r="BA112" i="6" s="1"/>
  <c r="BB112" i="6" s="1"/>
  <c r="BC112" i="6" s="1"/>
  <c r="BD112" i="6" s="1"/>
  <c r="BE112" i="6" s="1"/>
  <c r="BF112" i="6" s="1"/>
  <c r="BG112" i="6" s="1"/>
  <c r="BH112" i="6" s="1"/>
  <c r="BI112" i="6" s="1"/>
  <c r="BJ112" i="6" s="1"/>
  <c r="BK112" i="6" s="1"/>
  <c r="BL112" i="6" s="1"/>
  <c r="BM112" i="6" s="1"/>
  <c r="BN112" i="6" s="1"/>
  <c r="BO112" i="6" s="1"/>
  <c r="BP112" i="6" s="1"/>
  <c r="BQ112" i="6" s="1"/>
  <c r="BR112" i="6" s="1"/>
  <c r="AY107" i="6"/>
  <c r="AZ107" i="6" s="1"/>
  <c r="BA107" i="6" s="1"/>
  <c r="BB107" i="6" s="1"/>
  <c r="BC107" i="6" s="1"/>
  <c r="BD107" i="6" s="1"/>
  <c r="BE107" i="6" s="1"/>
  <c r="BF107" i="6" s="1"/>
  <c r="BG107" i="6" s="1"/>
  <c r="BH107" i="6" s="1"/>
  <c r="BI107" i="6" s="1"/>
  <c r="BJ107" i="6" s="1"/>
  <c r="BK107" i="6" s="1"/>
  <c r="BL107" i="6" s="1"/>
  <c r="BM107" i="6" s="1"/>
  <c r="BN107" i="6" s="1"/>
  <c r="BO107" i="6" s="1"/>
  <c r="BP107" i="6" s="1"/>
  <c r="BQ107" i="6" s="1"/>
  <c r="BR107" i="6" s="1"/>
  <c r="AY7" i="6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AY12" i="6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AY17" i="6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AY22" i="6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AY27" i="6"/>
  <c r="AZ27" i="6" s="1"/>
  <c r="BA27" i="6" s="1"/>
  <c r="BB27" i="6" s="1"/>
  <c r="BC27" i="6" s="1"/>
  <c r="BD27" i="6" s="1"/>
  <c r="BE27" i="6" s="1"/>
  <c r="BF27" i="6" s="1"/>
  <c r="BG27" i="6" s="1"/>
  <c r="BH27" i="6" s="1"/>
  <c r="BI27" i="6" s="1"/>
  <c r="BJ27" i="6" s="1"/>
  <c r="BK27" i="6" s="1"/>
  <c r="BL27" i="6" s="1"/>
  <c r="BM27" i="6" s="1"/>
  <c r="BN27" i="6" s="1"/>
  <c r="BO27" i="6" s="1"/>
  <c r="BP27" i="6" s="1"/>
  <c r="BQ27" i="6" s="1"/>
  <c r="BR27" i="6" s="1"/>
  <c r="AY32" i="6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BK32" i="6" s="1"/>
  <c r="BL32" i="6" s="1"/>
  <c r="BM32" i="6" s="1"/>
  <c r="BN32" i="6" s="1"/>
  <c r="BO32" i="6" s="1"/>
  <c r="BP32" i="6" s="1"/>
  <c r="BQ32" i="6" s="1"/>
  <c r="BR32" i="6" s="1"/>
  <c r="AY37" i="6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BK37" i="6" s="1"/>
  <c r="BL37" i="6" s="1"/>
  <c r="BM37" i="6" s="1"/>
  <c r="BN37" i="6" s="1"/>
  <c r="BO37" i="6" s="1"/>
  <c r="BP37" i="6" s="1"/>
  <c r="BQ37" i="6" s="1"/>
  <c r="BR37" i="6" s="1"/>
  <c r="AY42" i="6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AY47" i="6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BK47" i="6" s="1"/>
  <c r="BL47" i="6" s="1"/>
  <c r="BM47" i="6" s="1"/>
  <c r="BN47" i="6" s="1"/>
  <c r="BO47" i="6" s="1"/>
  <c r="BP47" i="6" s="1"/>
  <c r="BQ47" i="6" s="1"/>
  <c r="BR47" i="6" s="1"/>
  <c r="AY52" i="6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BK52" i="6" s="1"/>
  <c r="BL52" i="6" s="1"/>
  <c r="BM52" i="6" s="1"/>
  <c r="BN52" i="6" s="1"/>
  <c r="BO52" i="6" s="1"/>
  <c r="BP52" i="6" s="1"/>
  <c r="BQ52" i="6" s="1"/>
  <c r="BR52" i="6" s="1"/>
  <c r="AY67" i="6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BK67" i="6" s="1"/>
  <c r="BL67" i="6" s="1"/>
  <c r="BM67" i="6" s="1"/>
  <c r="BN67" i="6" s="1"/>
  <c r="BO67" i="6" s="1"/>
  <c r="BP67" i="6" s="1"/>
  <c r="BQ67" i="6" s="1"/>
  <c r="BR67" i="6" s="1"/>
  <c r="AY72" i="6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BK72" i="6" s="1"/>
  <c r="BL72" i="6" s="1"/>
  <c r="BM72" i="6" s="1"/>
  <c r="BN72" i="6" s="1"/>
  <c r="BO72" i="6" s="1"/>
  <c r="BP72" i="6" s="1"/>
  <c r="BQ72" i="6" s="1"/>
  <c r="BR72" i="6" s="1"/>
  <c r="AY77" i="6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BN77" i="6" s="1"/>
  <c r="BO77" i="6" s="1"/>
  <c r="BP77" i="6" s="1"/>
  <c r="BQ77" i="6" s="1"/>
  <c r="BR77" i="6" s="1"/>
  <c r="AY82" i="6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BK82" i="6" s="1"/>
  <c r="BL82" i="6" s="1"/>
  <c r="BM82" i="6" s="1"/>
  <c r="BN82" i="6" s="1"/>
  <c r="BO82" i="6" s="1"/>
  <c r="BP82" i="6" s="1"/>
  <c r="BQ82" i="6" s="1"/>
  <c r="BR82" i="6" s="1"/>
  <c r="AY87" i="6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BK87" i="6" s="1"/>
  <c r="BL87" i="6" s="1"/>
  <c r="BM87" i="6" s="1"/>
  <c r="BN87" i="6" s="1"/>
  <c r="BO87" i="6" s="1"/>
  <c r="BP87" i="6" s="1"/>
  <c r="BQ87" i="6" s="1"/>
  <c r="BR87" i="6" s="1"/>
  <c r="AY2" i="6"/>
  <c r="AZ2" i="6" s="1"/>
  <c r="BA2" i="6" s="1"/>
  <c r="BB2" i="6" s="1"/>
  <c r="BC2" i="6" s="1"/>
  <c r="BD2" i="6" s="1"/>
  <c r="BE2" i="6" s="1"/>
  <c r="BF2" i="6" s="1"/>
  <c r="BG2" i="6" s="1"/>
  <c r="BH2" i="6" s="1"/>
  <c r="BI2" i="6" s="1"/>
  <c r="BJ2" i="6" s="1"/>
  <c r="BK2" i="6" s="1"/>
  <c r="BL2" i="6" s="1"/>
  <c r="BM2" i="6" s="1"/>
  <c r="BN2" i="6" s="1"/>
  <c r="BO2" i="6" s="1"/>
  <c r="BP2" i="6" s="1"/>
  <c r="BQ2" i="6" s="1"/>
  <c r="BR2" i="6" s="1"/>
  <c r="U4" i="6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U9" i="6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U19" i="6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U24" i="6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U29" i="6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AK29" i="6" s="1"/>
  <c r="AL29" i="6" s="1"/>
  <c r="AM29" i="6" s="1"/>
  <c r="AN29" i="6" s="1"/>
  <c r="R54" i="6"/>
  <c r="S54" i="6"/>
  <c r="T54" i="6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AK54" i="6" s="1"/>
  <c r="AL54" i="6" s="1"/>
  <c r="AM54" i="6" s="1"/>
  <c r="AN54" i="6" s="1"/>
  <c r="U69" i="6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S74" i="6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U79" i="6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AK79" i="6" s="1"/>
  <c r="AL79" i="6" s="1"/>
  <c r="AM79" i="6" s="1"/>
  <c r="AN79" i="6" s="1"/>
  <c r="U84" i="6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AK84" i="6" s="1"/>
  <c r="AL84" i="6" s="1"/>
  <c r="AM84" i="6" s="1"/>
  <c r="AN84" i="6" s="1"/>
  <c r="S109" i="6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AG109" i="6" s="1"/>
  <c r="AH109" i="6" s="1"/>
  <c r="AI109" i="6" s="1"/>
  <c r="AJ109" i="6" s="1"/>
  <c r="AK109" i="6" s="1"/>
  <c r="AL109" i="6" s="1"/>
  <c r="AM109" i="6" s="1"/>
  <c r="AN109" i="6" s="1"/>
  <c r="T114" i="6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AG114" i="6" s="1"/>
  <c r="AH114" i="6" s="1"/>
  <c r="AI114" i="6" s="1"/>
  <c r="AJ114" i="6" s="1"/>
  <c r="AK114" i="6" s="1"/>
  <c r="AL114" i="6" s="1"/>
  <c r="AM114" i="6" s="1"/>
  <c r="AN114" i="6" s="1"/>
  <c r="T119" i="6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AG119" i="6" s="1"/>
  <c r="AH119" i="6" s="1"/>
  <c r="AI119" i="6" s="1"/>
  <c r="AJ119" i="6" s="1"/>
  <c r="AK119" i="6" s="1"/>
  <c r="AL119" i="6" s="1"/>
  <c r="AM119" i="6" s="1"/>
  <c r="AN119" i="6" s="1"/>
  <c r="S124" i="6"/>
  <c r="U124" i="6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AG124" i="6" s="1"/>
  <c r="AH124" i="6" s="1"/>
  <c r="AI124" i="6" s="1"/>
  <c r="AJ124" i="6" s="1"/>
  <c r="AK124" i="6" s="1"/>
  <c r="AL124" i="6" s="1"/>
  <c r="AM124" i="6" s="1"/>
  <c r="AN124" i="6" s="1"/>
  <c r="S129" i="6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AL129" i="6" s="1"/>
  <c r="AM129" i="6" s="1"/>
  <c r="AN129" i="6" s="1"/>
  <c r="U134" i="6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AK134" i="6" s="1"/>
  <c r="AL134" i="6" s="1"/>
  <c r="AM134" i="6" s="1"/>
  <c r="AN134" i="6" s="1"/>
  <c r="U139" i="6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AK139" i="6" s="1"/>
  <c r="AL139" i="6" s="1"/>
  <c r="AM139" i="6" s="1"/>
  <c r="AN139" i="6" s="1"/>
  <c r="T154" i="6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AG154" i="6" s="1"/>
  <c r="AH154" i="6" s="1"/>
  <c r="AI154" i="6" s="1"/>
  <c r="AJ154" i="6" s="1"/>
  <c r="AK154" i="6" s="1"/>
  <c r="AL154" i="6" s="1"/>
  <c r="AM154" i="6" s="1"/>
  <c r="AN154" i="6" s="1"/>
  <c r="S159" i="6"/>
  <c r="U159" i="6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AG159" i="6" s="1"/>
  <c r="AH159" i="6" s="1"/>
  <c r="AI159" i="6" s="1"/>
  <c r="AJ159" i="6" s="1"/>
  <c r="AK159" i="6" s="1"/>
  <c r="AL159" i="6" s="1"/>
  <c r="AM159" i="6" s="1"/>
  <c r="AN159" i="6" s="1"/>
  <c r="T164" i="6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AG164" i="6" s="1"/>
  <c r="AH164" i="6" s="1"/>
  <c r="AI164" i="6" s="1"/>
  <c r="AJ164" i="6" s="1"/>
  <c r="AK164" i="6" s="1"/>
  <c r="AL164" i="6" s="1"/>
  <c r="AM164" i="6" s="1"/>
  <c r="AN164" i="6" s="1"/>
  <c r="T169" i="6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AG169" i="6" s="1"/>
  <c r="AH169" i="6" s="1"/>
  <c r="AI169" i="6" s="1"/>
  <c r="AJ169" i="6" s="1"/>
  <c r="AK169" i="6" s="1"/>
  <c r="AL169" i="6" s="1"/>
  <c r="AM169" i="6" s="1"/>
  <c r="AN169" i="6" s="1"/>
  <c r="U174" i="6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AG174" i="6" s="1"/>
  <c r="AH174" i="6" s="1"/>
  <c r="AI174" i="6" s="1"/>
  <c r="AJ174" i="6" s="1"/>
  <c r="AK174" i="6" s="1"/>
  <c r="AL174" i="6" s="1"/>
  <c r="AM174" i="6" s="1"/>
  <c r="AN174" i="6" s="1"/>
  <c r="U189" i="6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AG189" i="6" s="1"/>
  <c r="AH189" i="6" s="1"/>
  <c r="AI189" i="6" s="1"/>
  <c r="AJ189" i="6" s="1"/>
  <c r="AK189" i="6" s="1"/>
  <c r="AL189" i="6" s="1"/>
  <c r="AM189" i="6" s="1"/>
  <c r="AN189" i="6" s="1"/>
  <c r="S194" i="6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AD194" i="6" s="1"/>
  <c r="AE194" i="6" s="1"/>
  <c r="AF194" i="6" s="1"/>
  <c r="AG194" i="6" s="1"/>
  <c r="AH194" i="6" s="1"/>
  <c r="AI194" i="6" s="1"/>
  <c r="AJ194" i="6" s="1"/>
  <c r="AK194" i="6" s="1"/>
  <c r="AL194" i="6" s="1"/>
  <c r="AM194" i="6" s="1"/>
  <c r="AN194" i="6" s="1"/>
  <c r="T199" i="6"/>
  <c r="U199" i="6" s="1"/>
  <c r="V199" i="6" s="1"/>
  <c r="W199" i="6" s="1"/>
  <c r="X199" i="6" s="1"/>
  <c r="Y199" i="6" s="1"/>
  <c r="Z199" i="6" s="1"/>
  <c r="AA199" i="6" s="1"/>
  <c r="AB199" i="6" s="1"/>
  <c r="AC199" i="6" s="1"/>
  <c r="AD199" i="6" s="1"/>
  <c r="AE199" i="6" s="1"/>
  <c r="AF199" i="6" s="1"/>
  <c r="AG199" i="6" s="1"/>
  <c r="AH199" i="6" s="1"/>
  <c r="AI199" i="6" s="1"/>
  <c r="AJ199" i="6" s="1"/>
  <c r="AK199" i="6" s="1"/>
  <c r="AL199" i="6" s="1"/>
  <c r="AM199" i="6" s="1"/>
  <c r="AN199" i="6" s="1"/>
  <c r="T204" i="6"/>
  <c r="U204" i="6" s="1"/>
  <c r="V204" i="6" s="1"/>
  <c r="W204" i="6" s="1"/>
  <c r="X204" i="6" s="1"/>
  <c r="Y204" i="6" s="1"/>
  <c r="Z204" i="6" s="1"/>
  <c r="AA204" i="6" s="1"/>
  <c r="AB204" i="6" s="1"/>
  <c r="AC204" i="6" s="1"/>
  <c r="AD204" i="6" s="1"/>
  <c r="AE204" i="6" s="1"/>
  <c r="AF204" i="6" s="1"/>
  <c r="AG204" i="6" s="1"/>
  <c r="AH204" i="6" s="1"/>
  <c r="AI204" i="6" s="1"/>
  <c r="AJ204" i="6" s="1"/>
  <c r="AK204" i="6" s="1"/>
  <c r="AL204" i="6" s="1"/>
  <c r="AM204" i="6" s="1"/>
  <c r="AN204" i="6" s="1"/>
  <c r="U209" i="6"/>
  <c r="V209" i="6" s="1"/>
  <c r="W209" i="6" s="1"/>
  <c r="X209" i="6" s="1"/>
  <c r="Y209" i="6" s="1"/>
  <c r="Z209" i="6" s="1"/>
  <c r="AA209" i="6" s="1"/>
  <c r="AB209" i="6" s="1"/>
  <c r="AC209" i="6" s="1"/>
  <c r="AD209" i="6" s="1"/>
  <c r="AE209" i="6" s="1"/>
  <c r="AF209" i="6" s="1"/>
  <c r="AG209" i="6" s="1"/>
  <c r="AH209" i="6" s="1"/>
  <c r="AI209" i="6" s="1"/>
  <c r="AJ209" i="6" s="1"/>
  <c r="AK209" i="6" s="1"/>
  <c r="AL209" i="6" s="1"/>
  <c r="AM209" i="6" s="1"/>
  <c r="AN209" i="6" s="1"/>
  <c r="T229" i="6"/>
  <c r="U229" i="6" s="1"/>
  <c r="V229" i="6" s="1"/>
  <c r="W229" i="6" s="1"/>
  <c r="X229" i="6" s="1"/>
  <c r="Y229" i="6" s="1"/>
  <c r="Z229" i="6" s="1"/>
  <c r="AA229" i="6" s="1"/>
  <c r="AB229" i="6" s="1"/>
  <c r="AC229" i="6" s="1"/>
  <c r="AD229" i="6" s="1"/>
  <c r="AE229" i="6" s="1"/>
  <c r="AF229" i="6" s="1"/>
  <c r="AG229" i="6" s="1"/>
  <c r="AH229" i="6" s="1"/>
  <c r="AI229" i="6" s="1"/>
  <c r="AJ229" i="6" s="1"/>
  <c r="AK229" i="6" s="1"/>
  <c r="AL229" i="6" s="1"/>
  <c r="AM229" i="6" s="1"/>
  <c r="AN229" i="6" s="1"/>
  <c r="U264" i="6"/>
  <c r="V264" i="6" s="1"/>
  <c r="W264" i="6" s="1"/>
  <c r="X264" i="6" s="1"/>
  <c r="Y264" i="6" s="1"/>
  <c r="Z264" i="6" s="1"/>
  <c r="AA264" i="6" s="1"/>
  <c r="AB264" i="6" s="1"/>
  <c r="AC264" i="6" s="1"/>
  <c r="AD264" i="6" s="1"/>
  <c r="AE264" i="6" s="1"/>
  <c r="AF264" i="6" s="1"/>
  <c r="AG264" i="6" s="1"/>
  <c r="AH264" i="6" s="1"/>
  <c r="AI264" i="6" s="1"/>
  <c r="AJ264" i="6" s="1"/>
  <c r="AK264" i="6" s="1"/>
  <c r="AL264" i="6" s="1"/>
  <c r="AM264" i="6" s="1"/>
  <c r="AN264" i="6" s="1"/>
  <c r="U289" i="6"/>
  <c r="V289" i="6" s="1"/>
  <c r="W289" i="6" s="1"/>
  <c r="X289" i="6" s="1"/>
  <c r="Y289" i="6" s="1"/>
  <c r="Z289" i="6" s="1"/>
  <c r="AA289" i="6" s="1"/>
  <c r="AB289" i="6" s="1"/>
  <c r="AC289" i="6" s="1"/>
  <c r="AD289" i="6" s="1"/>
  <c r="AE289" i="6" s="1"/>
  <c r="AF289" i="6" s="1"/>
  <c r="AG289" i="6" s="1"/>
  <c r="AH289" i="6" s="1"/>
  <c r="AI289" i="6" s="1"/>
  <c r="AJ289" i="6" s="1"/>
  <c r="AK289" i="6" s="1"/>
  <c r="AL289" i="6" s="1"/>
  <c r="AM289" i="6" s="1"/>
  <c r="AN289" i="6" s="1"/>
  <c r="T294" i="6"/>
  <c r="U294" i="6" s="1"/>
  <c r="V294" i="6" s="1"/>
  <c r="W294" i="6" s="1"/>
  <c r="X294" i="6" s="1"/>
  <c r="Y294" i="6" s="1"/>
  <c r="Z294" i="6" s="1"/>
  <c r="AA294" i="6" s="1"/>
  <c r="AB294" i="6" s="1"/>
  <c r="AC294" i="6" s="1"/>
  <c r="AD294" i="6" s="1"/>
  <c r="AE294" i="6" s="1"/>
  <c r="AF294" i="6" s="1"/>
  <c r="AG294" i="6" s="1"/>
  <c r="AH294" i="6" s="1"/>
  <c r="AI294" i="6" s="1"/>
  <c r="AJ294" i="6" s="1"/>
  <c r="AK294" i="6" s="1"/>
  <c r="AL294" i="6" s="1"/>
  <c r="AM294" i="6" s="1"/>
  <c r="AN294" i="6" s="1"/>
  <c r="T299" i="6"/>
  <c r="U299" i="6" s="1"/>
  <c r="V299" i="6" s="1"/>
  <c r="W299" i="6" s="1"/>
  <c r="X299" i="6" s="1"/>
  <c r="Y299" i="6" s="1"/>
  <c r="Z299" i="6" s="1"/>
  <c r="AA299" i="6" s="1"/>
  <c r="AB299" i="6" s="1"/>
  <c r="AC299" i="6" s="1"/>
  <c r="AD299" i="6" s="1"/>
  <c r="AE299" i="6" s="1"/>
  <c r="AF299" i="6" s="1"/>
  <c r="AG299" i="6" s="1"/>
  <c r="AH299" i="6" s="1"/>
  <c r="AI299" i="6" s="1"/>
  <c r="AJ299" i="6" s="1"/>
  <c r="AK299" i="6" s="1"/>
  <c r="AL299" i="6" s="1"/>
  <c r="AM299" i="6" s="1"/>
  <c r="AN299" i="6" s="1"/>
  <c r="T304" i="6"/>
  <c r="U304" i="6" s="1"/>
  <c r="V304" i="6" s="1"/>
  <c r="W304" i="6" s="1"/>
  <c r="X304" i="6" s="1"/>
  <c r="Y304" i="6" s="1"/>
  <c r="Z304" i="6" s="1"/>
  <c r="AA304" i="6" s="1"/>
  <c r="AB304" i="6" s="1"/>
  <c r="AC304" i="6" s="1"/>
  <c r="AD304" i="6" s="1"/>
  <c r="AE304" i="6" s="1"/>
  <c r="AF304" i="6" s="1"/>
  <c r="AG304" i="6" s="1"/>
  <c r="AH304" i="6" s="1"/>
  <c r="AI304" i="6" s="1"/>
  <c r="AJ304" i="6" s="1"/>
  <c r="AK304" i="6" s="1"/>
  <c r="AL304" i="6" s="1"/>
  <c r="AM304" i="6" s="1"/>
  <c r="AN304" i="6" s="1"/>
  <c r="U309" i="6"/>
  <c r="V309" i="6" s="1"/>
  <c r="W309" i="6" s="1"/>
  <c r="X309" i="6" s="1"/>
  <c r="Y309" i="6" s="1"/>
  <c r="Z309" i="6" s="1"/>
  <c r="AA309" i="6" s="1"/>
  <c r="AB309" i="6" s="1"/>
  <c r="AC309" i="6" s="1"/>
  <c r="AD309" i="6" s="1"/>
  <c r="AE309" i="6" s="1"/>
  <c r="AF309" i="6" s="1"/>
  <c r="AG309" i="6" s="1"/>
  <c r="AH309" i="6" s="1"/>
  <c r="AI309" i="6" s="1"/>
  <c r="AJ309" i="6" s="1"/>
  <c r="AK309" i="6" s="1"/>
  <c r="AL309" i="6" s="1"/>
  <c r="AM309" i="6" s="1"/>
  <c r="AN30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tc={F844EEFF-EC65-4474-97D9-32E359826E02}</author>
  </authors>
  <commentList>
    <comment ref="B332" authorId="0" shapeId="0" xr:uid="{F844EEFF-EC65-4474-97D9-32E359826E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¿Posibles costos para offshore?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tc={E34BD239-C8A7-4418-90A9-CD462ADBC943}</author>
    <author>tc={FE6706EC-DFF6-4B12-88CE-78A00705FA73}</author>
    <author>tc={C06F877E-C2B1-49D0-A8AD-6C9485DE5DDD}</author>
    <author>tc={764A97B6-8134-434D-84A7-25EC56E73668}</author>
  </authors>
  <commentList>
    <comment ref="B245" authorId="0" shapeId="0" xr:uid="{E34BD239-C8A7-4418-90A9-CD462ADBC9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</t>
      </text>
    </comment>
    <comment ref="B356" authorId="1" shapeId="0" xr:uid="{FE6706EC-DFF6-4B12-88CE-78A00705FA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es en realidad turbogas, corregir luego</t>
      </text>
    </comment>
    <comment ref="B505" authorId="2" shapeId="0" xr:uid="{C06F877E-C2B1-49D0-A8AD-6C9485DE5D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</t>
      </text>
    </comment>
    <comment ref="B515" authorId="3" shapeId="0" xr:uid="{764A97B6-8134-434D-84A7-25EC56E736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SNI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S119" authorId="0" shapeId="0" xr:uid="{2A5AEE9B-CC60-42FE-BA1C-6FAF6E16ABCD}">
      <text>
        <r>
          <rPr>
            <b/>
            <sz val="9"/>
            <color indexed="81"/>
            <rFont val="Tahoma"/>
            <family val="2"/>
          </rPr>
          <t>Luis Fernando Victor: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24" authorId="0" shapeId="0" xr:uid="{9650D2E4-AC12-485F-8CB3-21994FF6FECD}">
      <text>
        <r>
          <rPr>
            <b/>
            <sz val="9"/>
            <color indexed="81"/>
            <rFont val="Tahoma"/>
            <family val="2"/>
          </rPr>
          <t>Este dato estaba vacío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F670260C-56D9-44E5-AF72-9EB3711ED253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<sst xmlns="http://schemas.openxmlformats.org/spreadsheetml/2006/main" count="8733" uniqueCount="573">
  <si>
    <t>Tech.Type</t>
  </si>
  <si>
    <t>Tech.ID</t>
  </si>
  <si>
    <t>Tech</t>
  </si>
  <si>
    <t>Tech.Name</t>
  </si>
  <si>
    <t>Note</t>
  </si>
  <si>
    <t>Parameter.ID</t>
  </si>
  <si>
    <t>Parameter</t>
  </si>
  <si>
    <t>Unit</t>
  </si>
  <si>
    <t>Value</t>
  </si>
  <si>
    <t>Primary</t>
  </si>
  <si>
    <t>IMPPURDSL</t>
  </si>
  <si>
    <t xml:space="preserve"> Import/Distribution - Pure Diesel</t>
  </si>
  <si>
    <t>CapacityToActivityUnit</t>
  </si>
  <si>
    <t>OperationalLife</t>
  </si>
  <si>
    <t>IMPPURGSL</t>
  </si>
  <si>
    <t xml:space="preserve"> Import/Distribution - Pure Gasoline</t>
  </si>
  <si>
    <t>IMPCOA</t>
  </si>
  <si>
    <t xml:space="preserve"> Import/Distribution - Coal</t>
  </si>
  <si>
    <t>IMPLPG</t>
  </si>
  <si>
    <t xml:space="preserve"> Import/Distribution - LPG</t>
  </si>
  <si>
    <t>IMPFOI</t>
  </si>
  <si>
    <t xml:space="preserve"> Import/Distribution - Fuel_Oil</t>
  </si>
  <si>
    <t>IMPKJF</t>
  </si>
  <si>
    <t xml:space="preserve"> Import/Distribution - Kerosene and Jet Fuel</t>
  </si>
  <si>
    <t>PROCRU</t>
  </si>
  <si>
    <t>Production - Crude</t>
  </si>
  <si>
    <t>IMPCRU</t>
  </si>
  <si>
    <t>Import - Crude</t>
  </si>
  <si>
    <t>IMPCOK</t>
  </si>
  <si>
    <t>Import - Petroleum Coke</t>
  </si>
  <si>
    <t>PROWAS</t>
  </si>
  <si>
    <t>Production - Waste</t>
  </si>
  <si>
    <t>PROFIR</t>
  </si>
  <si>
    <t>Production - Firewood</t>
  </si>
  <si>
    <t>PRONGS</t>
  </si>
  <si>
    <t>Production - Natural_Gas</t>
  </si>
  <si>
    <t>IMPNGS</t>
  </si>
  <si>
    <t>Imports - Natural_Gas (LNG and Regasification)</t>
  </si>
  <si>
    <t>PROSUG</t>
  </si>
  <si>
    <t>Production - Sugarcane</t>
  </si>
  <si>
    <t>PROACG</t>
  </si>
  <si>
    <t>Aceite de Piñón</t>
  </si>
  <si>
    <t>PROBMS</t>
  </si>
  <si>
    <t>Production - Biomass</t>
  </si>
  <si>
    <t>PROBGS</t>
  </si>
  <si>
    <t>Production - Biogas</t>
  </si>
  <si>
    <t>PP_GEO</t>
  </si>
  <si>
    <t>Primary - Transformation - Geothermal</t>
  </si>
  <si>
    <t>PP_HYDPACDAMSMA</t>
  </si>
  <si>
    <t>Primary - Transformation - Hydroelectric Pacific dam (small)</t>
  </si>
  <si>
    <t>PP_HYDPACDAMMED</t>
  </si>
  <si>
    <t>Primary - Transformation - Hydroelectric Pacific dam (medium)</t>
  </si>
  <si>
    <t>PP_HYDPACDAMLAR</t>
  </si>
  <si>
    <t>Primary - Transformation - Hydroelectric Pacific dam (large)</t>
  </si>
  <si>
    <t>PP_HYDAMADAMSMA</t>
  </si>
  <si>
    <t>Primary - Transformation - Hydroelectric Amazonas dam (small)</t>
  </si>
  <si>
    <t>PP_HYDAMADAMMED</t>
  </si>
  <si>
    <t>Primary - Transformation - Hydroelectric Amazonas dam (medium)</t>
  </si>
  <si>
    <t>PP_HYDAMADAMLAR</t>
  </si>
  <si>
    <t>Primary - Transformation - Hydroelectric Amazonas dam (large)</t>
  </si>
  <si>
    <t>PP_HYDPACRORSMA</t>
  </si>
  <si>
    <t>Primary - Transformation - Hydroelectric Pacific Run-of-the-river  (small)</t>
  </si>
  <si>
    <t>PP_HYDPACRORMED</t>
  </si>
  <si>
    <t>Primary - Transformation - Hydroelectric Pacific Run-of-the-river  (medium)</t>
  </si>
  <si>
    <t>PP_HYDPACRORLAR</t>
  </si>
  <si>
    <t>Primary - Transformation - Hydroelectric  Pacific Run-of-the-river  (large)</t>
  </si>
  <si>
    <t>PP_HYDAMARORSMA</t>
  </si>
  <si>
    <t>Primary - Transformation - Hydroelectric Amazonas Run-of-the-river  (small)</t>
  </si>
  <si>
    <t>PP_HYDAMARORMED</t>
  </si>
  <si>
    <t>Primary - Transformation - Hydroelectric  Amazonas Run-of-the-river (medium)</t>
  </si>
  <si>
    <t>PP_HYDAMARORLAR</t>
  </si>
  <si>
    <t>Primary - Transformation - Hydroelectric Amazonas Run-of-the-river  (large)</t>
  </si>
  <si>
    <t>PP_SPV_US</t>
  </si>
  <si>
    <t>Primary - Transformation - Photovoltaic</t>
  </si>
  <si>
    <t>PP_WND_US</t>
  </si>
  <si>
    <t>Primary - Transformation - Wind</t>
  </si>
  <si>
    <t>PP_WND_OF</t>
  </si>
  <si>
    <t xml:space="preserve">Primary - Transformation - Offshore wind </t>
  </si>
  <si>
    <t>PP_SPV_DG</t>
  </si>
  <si>
    <t>Primary - Transformation - Solar distributed</t>
  </si>
  <si>
    <t>PP_SPV_US_H2</t>
  </si>
  <si>
    <t>Primary - Transformation - Photovoltaic for H2</t>
  </si>
  <si>
    <t>PP_WND_US_H2</t>
  </si>
  <si>
    <t>Primary - Transformation - Wind for H2</t>
  </si>
  <si>
    <t>PP_WND_OF_H2</t>
  </si>
  <si>
    <t>Primary - Transformation - Offshore wind for H2</t>
  </si>
  <si>
    <t>PPIHYDAMAELR</t>
  </si>
  <si>
    <t xml:space="preserve">Primary - Transformation - Rural Electrification -  Hydroelectric Amazonas </t>
  </si>
  <si>
    <t>PPIHYDPACELR</t>
  </si>
  <si>
    <t xml:space="preserve">Primary - Transformation - Rural Electrification -  Hydroelectric Pacific </t>
  </si>
  <si>
    <t>PPISPVELR</t>
  </si>
  <si>
    <t>Primary - Transformation - Rural Electrification -  Solar PV</t>
  </si>
  <si>
    <t>PPIWNDGAL</t>
  </si>
  <si>
    <t>Primary - Transformation - Galapagos - Wind</t>
  </si>
  <si>
    <t>PPISPVGAL</t>
  </si>
  <si>
    <t>Primary - Transformation - Galapagos - Solar PV</t>
  </si>
  <si>
    <t>PPIHYDAMACEM</t>
  </si>
  <si>
    <t xml:space="preserve">Primary - Transformation - Cementeras -  Hydroelectric Amazonas </t>
  </si>
  <si>
    <t>PPIHYDPACCEM</t>
  </si>
  <si>
    <t xml:space="preserve">Primary - Transformation - Cementeras -  Hydroelectric Pacific </t>
  </si>
  <si>
    <t>Secondary</t>
  </si>
  <si>
    <t>ELE_TRANS</t>
  </si>
  <si>
    <t>Secondary - Power Transmission</t>
  </si>
  <si>
    <t>ELE_DISTR</t>
  </si>
  <si>
    <t>Secondary - Power Distribution</t>
  </si>
  <si>
    <t>REFCRUDSL</t>
  </si>
  <si>
    <t>Refinery diesel</t>
  </si>
  <si>
    <t>REFCRUGSL</t>
  </si>
  <si>
    <t>Refinery gasoline</t>
  </si>
  <si>
    <t>REFCRULPG</t>
  </si>
  <si>
    <t>Refinery LPG</t>
  </si>
  <si>
    <t>REFCRUFOI</t>
  </si>
  <si>
    <t>Refinery Fuel_Oil</t>
  </si>
  <si>
    <t>REFCRUKJF</t>
  </si>
  <si>
    <t>Refinery KJF</t>
  </si>
  <si>
    <t>REFCRUCOK</t>
  </si>
  <si>
    <t>Refinery coke</t>
  </si>
  <si>
    <t>REFNONENE</t>
  </si>
  <si>
    <t>Refinery Non energy</t>
  </si>
  <si>
    <t>REFCRURED</t>
  </si>
  <si>
    <t>Refinery reduced oil</t>
  </si>
  <si>
    <t>Centros de Gas</t>
  </si>
  <si>
    <t>NGS_DISTR</t>
  </si>
  <si>
    <t>Distribution of Natural_Gas</t>
  </si>
  <si>
    <t>PP_BGSICE</t>
  </si>
  <si>
    <t>Power Plant Biogas - Internal Combustion Engine</t>
  </si>
  <si>
    <t>PP_CHP</t>
  </si>
  <si>
    <t>Power Plant Sugarcane_Cogeneration</t>
  </si>
  <si>
    <t>PP_SUG</t>
  </si>
  <si>
    <t>Power Plant Sugarcane</t>
  </si>
  <si>
    <t>PP_BMSTST</t>
  </si>
  <si>
    <t>Power Plant Biomass - Steam Trubine</t>
  </si>
  <si>
    <t>PP_COA</t>
  </si>
  <si>
    <t>Power Plant Coal</t>
  </si>
  <si>
    <t>PP_FOIICE</t>
  </si>
  <si>
    <t>Power Plant Fuel_Oil - Internal Combustion Engine</t>
  </si>
  <si>
    <t>PP_FOITST</t>
  </si>
  <si>
    <t>Power Plant Fuel_Oil - Steam Trubine</t>
  </si>
  <si>
    <t>PP_DSLICE</t>
  </si>
  <si>
    <t>Power Plant Diesel - Internal Combustion Engine</t>
  </si>
  <si>
    <t>PP_DSLTGS</t>
  </si>
  <si>
    <t>Power Plant Diesel - Gas turbine</t>
  </si>
  <si>
    <t>PP_NGSTGS</t>
  </si>
  <si>
    <t>Power Plant Natural_Gas - Gas turbine</t>
  </si>
  <si>
    <t>PP_CRU</t>
  </si>
  <si>
    <t>Power Plant Crude</t>
  </si>
  <si>
    <t>PP_WASICE</t>
  </si>
  <si>
    <t>Power Plant Waste - Internal Combustion Engine</t>
  </si>
  <si>
    <t>PPIDSLGALICE</t>
  </si>
  <si>
    <t>Isolated - Galapagos - Power Plant Diesel - Internal Combustion Engine</t>
  </si>
  <si>
    <t>PPIDSLELRICE</t>
  </si>
  <si>
    <t>Isolated - Rural Electrification - Power Plant Diesel - Internal Combustion Engine</t>
  </si>
  <si>
    <t>PPIDSLELRTST</t>
  </si>
  <si>
    <t>Isolated - Rural Electrification - Power Plant Diesel - Steam Trubine</t>
  </si>
  <si>
    <t>PPIDSLCEMTST</t>
  </si>
  <si>
    <t>Isolated - Cementeras - Power Plant Diesel - Steam Trubine</t>
  </si>
  <si>
    <t>PPICRUPETICE</t>
  </si>
  <si>
    <t>Isolated - Petroleras - Power Plant Crude - Internal Combustion Engine</t>
  </si>
  <si>
    <t>PPICRUPETTST</t>
  </si>
  <si>
    <t>Isolated - Petroleras - Power Plant Crude - Steam Turbine</t>
  </si>
  <si>
    <t>PPIDSLPETTGS</t>
  </si>
  <si>
    <t>Isolated - Petroleras - Power Plant Diesel - Gas turbine</t>
  </si>
  <si>
    <t>PPIDSLPETICE</t>
  </si>
  <si>
    <t>Isolated - Petroleras - Power Plant Diesel - Internal Combustion Engine</t>
  </si>
  <si>
    <t>PPINGSPETTST</t>
  </si>
  <si>
    <t>Isolated - Petroleras - Power Plant Natural_Gas - Steam Turbine</t>
  </si>
  <si>
    <t>PPINGSPETICE</t>
  </si>
  <si>
    <t>Isolated - Petroleras - Power Plant Natural_Gas - Internal Combustion Engine</t>
  </si>
  <si>
    <t>PPINGSPETTGS</t>
  </si>
  <si>
    <t>Isolated - Petroleras - Power Plant Natural_Gas - Gas turbine</t>
  </si>
  <si>
    <t>PROBIODSL</t>
  </si>
  <si>
    <t>Produce biodiesel</t>
  </si>
  <si>
    <t>No information</t>
  </si>
  <si>
    <t>BLEND_DSL</t>
  </si>
  <si>
    <t>Blend diesel</t>
  </si>
  <si>
    <t>PROETA</t>
  </si>
  <si>
    <t>Produce etanol</t>
  </si>
  <si>
    <t>BLEND_GSL</t>
  </si>
  <si>
    <t>Blend gasoline</t>
  </si>
  <si>
    <t>HYDPROELEISO</t>
  </si>
  <si>
    <t>Secondary - Green Hydrogen Production - Electrolysis-Isolated Systems</t>
  </si>
  <si>
    <t>HYDPROELEGRI</t>
  </si>
  <si>
    <t>Secondary - Green Hydrogen Production - Electrolysis-Grid</t>
  </si>
  <si>
    <t>HYDPROBIO</t>
  </si>
  <si>
    <t>Secondary - Green Hydrogen Production - Biomass</t>
  </si>
  <si>
    <t>HYDPRONGS</t>
  </si>
  <si>
    <t>Secondary - Green Hydrogen Production - Natural_Gas Reforming</t>
  </si>
  <si>
    <t>HYD_DISTR</t>
  </si>
  <si>
    <t>Secondary  - Distribution of Hydrogen</t>
  </si>
  <si>
    <t>Demand Techs</t>
  </si>
  <si>
    <t>T5ELEAGR</t>
  </si>
  <si>
    <t>Demand Electricity for Agriculture</t>
  </si>
  <si>
    <t>T5PURGSLAGR</t>
  </si>
  <si>
    <t>Demand Pure_Gasoline for Agriculture</t>
  </si>
  <si>
    <t>T5LPGAGR</t>
  </si>
  <si>
    <t>Demand LPG for Agriculture</t>
  </si>
  <si>
    <t>T5NOEAGR</t>
  </si>
  <si>
    <t>Demand Non energy for Agriculture</t>
  </si>
  <si>
    <t>T5PURDSLCON</t>
  </si>
  <si>
    <t>Demand Pure_Diesel for Construction</t>
  </si>
  <si>
    <t>T5PURGSLCON</t>
  </si>
  <si>
    <t>Demand Pure_Gasoline for Construction</t>
  </si>
  <si>
    <t>T5KJFCON</t>
  </si>
  <si>
    <t>Demand Kerosene and Jet Fuel for Construction</t>
  </si>
  <si>
    <t>T5LPGCON</t>
  </si>
  <si>
    <t>Demand LPG for Construction</t>
  </si>
  <si>
    <t>T5NOECON</t>
  </si>
  <si>
    <t>Demand Non energy for Construction</t>
  </si>
  <si>
    <t>T5PURDSLCOM</t>
  </si>
  <si>
    <t>Demand Pure_Diesel for Commercial</t>
  </si>
  <si>
    <t>T5ELECOM</t>
  </si>
  <si>
    <t>Demand Electricity for Commercial</t>
  </si>
  <si>
    <t>T5FOICOM</t>
  </si>
  <si>
    <t>Demand Fuel Oil for Commercial</t>
  </si>
  <si>
    <t>T5PURGSLCOM</t>
  </si>
  <si>
    <t>Demand Pure_Gasoline for Commercial</t>
  </si>
  <si>
    <t>T5LPGCOM</t>
  </si>
  <si>
    <t>Demand LPG for Commercial</t>
  </si>
  <si>
    <t>T5PURDSLIND</t>
  </si>
  <si>
    <t>Demand Pure_Diesel for Industrial</t>
  </si>
  <si>
    <t>T5ELEIND</t>
  </si>
  <si>
    <t>Demand Electricity for Industrial</t>
  </si>
  <si>
    <t>T5FIRIND</t>
  </si>
  <si>
    <t>Demand Firewood for Industrial</t>
  </si>
  <si>
    <t>T5FOIIND</t>
  </si>
  <si>
    <t>Demand Fuel Oil for Industrial</t>
  </si>
  <si>
    <t>T5PURGSLIND</t>
  </si>
  <si>
    <t>Demand Pure_Gasoline for Industrial</t>
  </si>
  <si>
    <t>T5HYDIND</t>
  </si>
  <si>
    <t>Demand Hydrogen for Industrial</t>
  </si>
  <si>
    <t>T5COKIND</t>
  </si>
  <si>
    <t>Demand Petroleum Coke for Industrial</t>
  </si>
  <si>
    <t>T5LPGIND</t>
  </si>
  <si>
    <t>Demand LPG for Industrial</t>
  </si>
  <si>
    <t>T5NGSIND</t>
  </si>
  <si>
    <t>Demand Natural Gas for Industrial</t>
  </si>
  <si>
    <t>T5SUGIND</t>
  </si>
  <si>
    <t>Demand Sugarcane and subproducts for Industrial</t>
  </si>
  <si>
    <t>T5HECIND</t>
  </si>
  <si>
    <t>Demand Heat from cogeneration for Industrial</t>
  </si>
  <si>
    <t>T5ELERES</t>
  </si>
  <si>
    <t>Demand Electricity for Residential</t>
  </si>
  <si>
    <t>T5FIRRES</t>
  </si>
  <si>
    <t>Demand Firewood for Residential</t>
  </si>
  <si>
    <t>T5LPGRES</t>
  </si>
  <si>
    <t>Demand LPG for Residential</t>
  </si>
  <si>
    <t>T5NGSRES</t>
  </si>
  <si>
    <t>Demand Natural Gas for Residential</t>
  </si>
  <si>
    <t>T5CRUEXP</t>
  </si>
  <si>
    <t>Demand Crude Oil for Exports</t>
  </si>
  <si>
    <t>T5REDCRUEXP</t>
  </si>
  <si>
    <t>Demand Reduced Crude for Exports</t>
  </si>
  <si>
    <t>T5PURDSLEXP</t>
  </si>
  <si>
    <t>Demand Pure_Diesel for Exports</t>
  </si>
  <si>
    <t>T5ELEEXP</t>
  </si>
  <si>
    <t>Demand Electricity for Exports</t>
  </si>
  <si>
    <t>T5FOIEXP</t>
  </si>
  <si>
    <t>Demand Fuel Oil for Exports</t>
  </si>
  <si>
    <t>T5PURGSLEXP</t>
  </si>
  <si>
    <t>Demand Pure_Gasoline for Exports</t>
  </si>
  <si>
    <t>T5LPGEXP</t>
  </si>
  <si>
    <t>Demand LPG for Exports</t>
  </si>
  <si>
    <t>T5BMSEXP</t>
  </si>
  <si>
    <t>Demand Biomass for power for Exports</t>
  </si>
  <si>
    <t>T5PURGSLAERTRN</t>
  </si>
  <si>
    <t>Demand Pure_Gasoline for Air Transport</t>
  </si>
  <si>
    <t>T5KJFAERTRN</t>
  </si>
  <si>
    <t>Demand Kerosene and Jet Fuel for Air Transport</t>
  </si>
  <si>
    <t>T5PURDSLSHITRN</t>
  </si>
  <si>
    <t>Demand Pure_Diesel for Shipping</t>
  </si>
  <si>
    <t>T5FOISHITRN</t>
  </si>
  <si>
    <t>Demand Fuel Oil for Shipping</t>
  </si>
  <si>
    <t>T5PURGSLSHITRN</t>
  </si>
  <si>
    <t>Demand Pure_Gasoline for Shipping</t>
  </si>
  <si>
    <t>Transport Fuel Distribution</t>
  </si>
  <si>
    <t>T4_DSLPUB</t>
  </si>
  <si>
    <t>Distribute Diesel for Public</t>
  </si>
  <si>
    <t>T4_NGSPUB</t>
  </si>
  <si>
    <t>Distribute Natural Gas for Public</t>
  </si>
  <si>
    <t>T4_HYDPUB</t>
  </si>
  <si>
    <t>Distribute Hydrogen for Public</t>
  </si>
  <si>
    <t>T4_ELEPUB</t>
  </si>
  <si>
    <t>Distribute Electricity for Public</t>
  </si>
  <si>
    <t>T4_LPGPUB</t>
  </si>
  <si>
    <t>Distribute LPG for Public</t>
  </si>
  <si>
    <t>T4_GSLPUB</t>
  </si>
  <si>
    <t>Distribute Gasoline for Public</t>
  </si>
  <si>
    <t>T4_ELEPRI</t>
  </si>
  <si>
    <t>Distribute Electricity for Private</t>
  </si>
  <si>
    <t>T4_GSLPRI</t>
  </si>
  <si>
    <t>Distribute Gasoline for Private</t>
  </si>
  <si>
    <t>T4_DSLPRI</t>
  </si>
  <si>
    <t>Distribute Diesel for Private</t>
  </si>
  <si>
    <t>T4_NGSPRI</t>
  </si>
  <si>
    <t>Distribute Natural Gas for Private</t>
  </si>
  <si>
    <t>T4_LPGPRI</t>
  </si>
  <si>
    <t>Distribute LPG for Private</t>
  </si>
  <si>
    <t>T4_DSLHEA</t>
  </si>
  <si>
    <t>Distribute Diesel for Heavy Freight</t>
  </si>
  <si>
    <t>T4_HYDHEA</t>
  </si>
  <si>
    <t>Distribute Hydrogen for Heavy Freight</t>
  </si>
  <si>
    <t>T4_ELEHEA</t>
  </si>
  <si>
    <t>Distribute Electricity for Heavy Freight</t>
  </si>
  <si>
    <t>T4_GSLHEA</t>
  </si>
  <si>
    <t>Distribute Gasoline for Heavy Freight</t>
  </si>
  <si>
    <t>T4_LPGHEA</t>
  </si>
  <si>
    <t>Distribute LPG for Heavy Freight</t>
  </si>
  <si>
    <t>T4_DSLMED</t>
  </si>
  <si>
    <t>Distribute Diesel for Medium Freight</t>
  </si>
  <si>
    <t>T4_NGSMED</t>
  </si>
  <si>
    <t>Distribute Natural Gas for Medium Freight</t>
  </si>
  <si>
    <t>T4_HYDMED</t>
  </si>
  <si>
    <t>Distribute Hydrogen for Medium Freight</t>
  </si>
  <si>
    <t>T4_ELEMED</t>
  </si>
  <si>
    <t>Distribute Electricity for Medium Freight</t>
  </si>
  <si>
    <t>T4_GSLMED</t>
  </si>
  <si>
    <t>Distribute Gasoline for Medium Freight</t>
  </si>
  <si>
    <t>T4_LPGMED</t>
  </si>
  <si>
    <t>Distribute LPG for Medium Freight</t>
  </si>
  <si>
    <t>T4_DSLLIG</t>
  </si>
  <si>
    <t>Distribute Diesel for Light Freight</t>
  </si>
  <si>
    <t>T4_NGSLIG</t>
  </si>
  <si>
    <t>Distribute Natural Gas for Light Freight</t>
  </si>
  <si>
    <t>T4_ELELIG</t>
  </si>
  <si>
    <t>Distribute Electricity for Light Freight</t>
  </si>
  <si>
    <t>T4_GSLLIG</t>
  </si>
  <si>
    <t>Distribute Gasoline for Light Freight</t>
  </si>
  <si>
    <t>T4_LPGLIG</t>
  </si>
  <si>
    <t>Distribute LPG for Light Freight</t>
  </si>
  <si>
    <t>Transport Vehicles</t>
  </si>
  <si>
    <t>TRNMICHYBDSL</t>
  </si>
  <si>
    <t>Microbuses Hybrid Diesel</t>
  </si>
  <si>
    <t>TRNMICHYD</t>
  </si>
  <si>
    <t>Microbuses Hydrogen</t>
  </si>
  <si>
    <t>TRNMICELE</t>
  </si>
  <si>
    <t>Microbuses Electric</t>
  </si>
  <si>
    <t>TRNMICDSL</t>
  </si>
  <si>
    <t>Microbuses Diesel</t>
  </si>
  <si>
    <t>TRNMICLPG</t>
  </si>
  <si>
    <t>Microbuses LPG</t>
  </si>
  <si>
    <t>TRNBUSHYBDSL</t>
  </si>
  <si>
    <t>Buses Hybrid Diesel</t>
  </si>
  <si>
    <t>TRNBUSNGV</t>
  </si>
  <si>
    <t>Buses Natural Gas Vehicular</t>
  </si>
  <si>
    <t>TRNBUSHYD</t>
  </si>
  <si>
    <t>Buses Hydrogen</t>
  </si>
  <si>
    <t>TRNBUSELE</t>
  </si>
  <si>
    <t>Buses Electric</t>
  </si>
  <si>
    <t>TRNBUSDSL</t>
  </si>
  <si>
    <t>Buses Diesel</t>
  </si>
  <si>
    <t>TRNBUSLPG</t>
  </si>
  <si>
    <t>Buses LPG</t>
  </si>
  <si>
    <t>TRNTAXHYBDSL</t>
  </si>
  <si>
    <t>Taxis Hybrid Diesel</t>
  </si>
  <si>
    <t>TRNTAXELE</t>
  </si>
  <si>
    <t>Taxis Electric</t>
  </si>
  <si>
    <t>TRNTAXDSL</t>
  </si>
  <si>
    <t>Taxis Diesel</t>
  </si>
  <si>
    <t>TRNTAXHYBGSL</t>
  </si>
  <si>
    <t>Taxis Hybrid Gasoline</t>
  </si>
  <si>
    <t>TRNTAXGSL</t>
  </si>
  <si>
    <t>Taxis Gasoline</t>
  </si>
  <si>
    <t>TRNTAXLPG</t>
  </si>
  <si>
    <t>Taxis LPG</t>
  </si>
  <si>
    <t>TRNPASRAIHYD</t>
  </si>
  <si>
    <t>Rail Hydrogen</t>
  </si>
  <si>
    <t>TRNPASRAIELE</t>
  </si>
  <si>
    <t>Rail Electric</t>
  </si>
  <si>
    <t>TRNPASRAIDSL</t>
  </si>
  <si>
    <t>Rail Diesel</t>
  </si>
  <si>
    <t>TRNMOTELE</t>
  </si>
  <si>
    <t>Motorcycles Electric</t>
  </si>
  <si>
    <t>TRNMOTGSL</t>
  </si>
  <si>
    <t>Motorcycles Gasoline</t>
  </si>
  <si>
    <t>TRNSEDELE</t>
  </si>
  <si>
    <t>Sedanes Electric</t>
  </si>
  <si>
    <t>TRNSEDDSL</t>
  </si>
  <si>
    <t>Sedanes Diesel</t>
  </si>
  <si>
    <t>TRNSEDHYBGSL</t>
  </si>
  <si>
    <t>Sedanes Hybrid Gasoline</t>
  </si>
  <si>
    <t>TRNSEDGSL</t>
  </si>
  <si>
    <t>Sedanes Gasoline</t>
  </si>
  <si>
    <t>TRNSEDLPG</t>
  </si>
  <si>
    <t>Sedanes LPG</t>
  </si>
  <si>
    <t>TRNSUVHYBDSL</t>
  </si>
  <si>
    <t>SUVs Hybrid Diesel</t>
  </si>
  <si>
    <t>TRNSUVNGV</t>
  </si>
  <si>
    <t>SUVs Natural Gas Vehicular</t>
  </si>
  <si>
    <t>TRNSUVELE</t>
  </si>
  <si>
    <t>SUVs Electric</t>
  </si>
  <si>
    <t>TRNSUVDSL</t>
  </si>
  <si>
    <t>SUVs Diesel</t>
  </si>
  <si>
    <t>TRNSUVHYBGSL</t>
  </si>
  <si>
    <t>SUVs Hybrid Gasoline</t>
  </si>
  <si>
    <t>TRNSUVGSL</t>
  </si>
  <si>
    <t>SUVs Gasoline</t>
  </si>
  <si>
    <t>TRNSUVLPG</t>
  </si>
  <si>
    <t>SUVs LPG</t>
  </si>
  <si>
    <t>TRNCAMHYBDSL</t>
  </si>
  <si>
    <t>Minivan Hybrid Diesel</t>
  </si>
  <si>
    <t>TRNCAMNGV</t>
  </si>
  <si>
    <t>Minivan Natural Gas Vehicular</t>
  </si>
  <si>
    <t>TRNCAMELE</t>
  </si>
  <si>
    <t>Minivan Electric</t>
  </si>
  <si>
    <t>TRNCAMDSL</t>
  </si>
  <si>
    <t>Minivan Diesel</t>
  </si>
  <si>
    <t>TRNCAMHYBGSL</t>
  </si>
  <si>
    <t>Minivan Hybrid Gasoline</t>
  </si>
  <si>
    <t>TRNCAMGSL</t>
  </si>
  <si>
    <t>Minivan Gasoline</t>
  </si>
  <si>
    <t>TRNCAMLPG</t>
  </si>
  <si>
    <t>Minivan LPG</t>
  </si>
  <si>
    <t>TRNFREHEAHYBDSL</t>
  </si>
  <si>
    <t>Heavy freight Hybrid Diesel</t>
  </si>
  <si>
    <t>TRNFREHEAHYD</t>
  </si>
  <si>
    <t>Heavy freight Hydrogen</t>
  </si>
  <si>
    <t>TRNFREHEAELE</t>
  </si>
  <si>
    <t>Heavy freight Electric</t>
  </si>
  <si>
    <t>TRNFREHEADSL</t>
  </si>
  <si>
    <t>Heavy freight Diesel</t>
  </si>
  <si>
    <t>TRNFREHEAGSL</t>
  </si>
  <si>
    <t>Heavy freight Gasoline</t>
  </si>
  <si>
    <t>TRNFREHEALPG</t>
  </si>
  <si>
    <t>Heavy freight LPG</t>
  </si>
  <si>
    <t>TRNFREMEDHYBDSL</t>
  </si>
  <si>
    <t>Medium freight Hybrid Diesel</t>
  </si>
  <si>
    <t>TRNFREMEDNGV</t>
  </si>
  <si>
    <t>Medium freight Natural Gas Vehicular</t>
  </si>
  <si>
    <t>TRNFREMEDHYD</t>
  </si>
  <si>
    <t>Medium freight Hydrogen</t>
  </si>
  <si>
    <t>TRNFREMEDELE</t>
  </si>
  <si>
    <t>Medium freight Electric</t>
  </si>
  <si>
    <t>TRNFREMEDDSL</t>
  </si>
  <si>
    <t>Medium freight Diesel</t>
  </si>
  <si>
    <t>TRNFREMEDGSL</t>
  </si>
  <si>
    <t>Medium freight Gasoline</t>
  </si>
  <si>
    <t>TRNFREMEDLPG</t>
  </si>
  <si>
    <t>Medium freight LPG</t>
  </si>
  <si>
    <t>TRNFRELIGHYBDSL</t>
  </si>
  <si>
    <t>Light freight Hybrid Diesel</t>
  </si>
  <si>
    <t>TRNFRELIGNGV</t>
  </si>
  <si>
    <t>Light freight Natural Gas Vehicular</t>
  </si>
  <si>
    <t>TRNFRELIGELE</t>
  </si>
  <si>
    <t>Light freight Electric</t>
  </si>
  <si>
    <t>TRNFRELIGDSL</t>
  </si>
  <si>
    <t>Light freight Diesel</t>
  </si>
  <si>
    <t>TRNFRELIGHYBGSL</t>
  </si>
  <si>
    <t>Light freight Hybrid Gasoline</t>
  </si>
  <si>
    <t>TRNFRELIGGSL</t>
  </si>
  <si>
    <t>Light freight Gasoline</t>
  </si>
  <si>
    <t>TRNFRELIGLPG</t>
  </si>
  <si>
    <t>Light freight LPG</t>
  </si>
  <si>
    <t>TRNCATTRUELE</t>
  </si>
  <si>
    <t>Catenary trucking Electric</t>
  </si>
  <si>
    <t>TRNFRERAIHYD</t>
  </si>
  <si>
    <t>Freight rail Hydrogen</t>
  </si>
  <si>
    <t>TRNFRERAIELE</t>
  </si>
  <si>
    <t>Freight rail Electric</t>
  </si>
  <si>
    <t>TRNFRERAIDSL</t>
  </si>
  <si>
    <t>Freight rail Diesel</t>
  </si>
  <si>
    <t>Vehicle Groups</t>
  </si>
  <si>
    <t>TRNMIC</t>
  </si>
  <si>
    <t>Microbuses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</si>
  <si>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</si>
  <si>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</si>
  <si>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</si>
  <si>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</si>
  <si>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</si>
  <si>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</si>
  <si>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</si>
  <si>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</si>
  <si>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TRNSED</t>
  </si>
  <si>
    <t>Sedanes</t>
  </si>
  <si>
    <t>TRNSUV</t>
  </si>
  <si>
    <t>SUVs</t>
  </si>
  <si>
    <t>TRNCAM</t>
  </si>
  <si>
    <t>Minivan</t>
  </si>
  <si>
    <t>TRNFREHEA</t>
  </si>
  <si>
    <t>Heavy freight</t>
  </si>
  <si>
    <t>TRNFREMED</t>
  </si>
  <si>
    <t>Medium freight</t>
  </si>
  <si>
    <t>TRNFRELIG</t>
  </si>
  <si>
    <t>Light freight</t>
  </si>
  <si>
    <t>TRNCATTRU</t>
  </si>
  <si>
    <t>Catenary trucking</t>
  </si>
  <si>
    <t>TRNFRERAI</t>
  </si>
  <si>
    <t>Freight rail</t>
  </si>
  <si>
    <t>Projection.Mode</t>
  </si>
  <si>
    <t>Projection.Parameter</t>
  </si>
  <si>
    <t>CapitalCost</t>
  </si>
  <si>
    <t>EMPTY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</si>
  <si>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</si>
  <si>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</si>
  <si>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</si>
  <si>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</si>
  <si>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</si>
  <si>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</si>
  <si>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</si>
  <si>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</si>
  <si>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</si>
  <si>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User defined</t>
  </si>
  <si>
    <t>Flat</t>
  </si>
  <si>
    <t>,</t>
  </si>
  <si>
    <t>Unit.Introduced</t>
  </si>
  <si>
    <t>US$ / vehicle</t>
  </si>
  <si>
    <t>M US$ / Gvkm</t>
  </si>
  <si>
    <t>Vehicles</t>
  </si>
  <si>
    <t>Gvkm</t>
  </si>
  <si>
    <t>According to demand</t>
  </si>
  <si>
    <t>Application</t>
  </si>
  <si>
    <t>Fuel</t>
  </si>
  <si>
    <t>NDP scenarios</t>
  </si>
  <si>
    <t>EXTRATECH</t>
  </si>
  <si>
    <t>Example of an additional technology</t>
  </si>
  <si>
    <t>none</t>
  </si>
  <si>
    <t>TotalAnnualMinCapacity</t>
  </si>
  <si>
    <t>TRANTE_NOMOT</t>
  </si>
  <si>
    <t>Tecnología habilitadora de reducción de no-motorizado</t>
  </si>
  <si>
    <t>DEMTRN_NOMOT</t>
  </si>
  <si>
    <t>OutputActivityRatio</t>
  </si>
  <si>
    <t>IMPELE</t>
  </si>
  <si>
    <t xml:space="preserve"> Import/Distribution - Electricidad</t>
  </si>
  <si>
    <t>T5ELECON</t>
  </si>
  <si>
    <t>Demand Electricity for Construction</t>
  </si>
  <si>
    <t>RSVCRU</t>
  </si>
  <si>
    <t>Reserves - Crude</t>
  </si>
  <si>
    <t>PPIFOIPETICE</t>
  </si>
  <si>
    <t>RSVNGS</t>
  </si>
  <si>
    <t>Reserves - Natural Gas</t>
  </si>
  <si>
    <t>CENGASPRO</t>
  </si>
  <si>
    <t>CENGASLPG</t>
  </si>
  <si>
    <t>CENGASGSL</t>
  </si>
  <si>
    <t>T5PROGAS</t>
  </si>
  <si>
    <t>Demand Propane and Gas for multiple</t>
  </si>
  <si>
    <t>Centros de Gas LPG</t>
  </si>
  <si>
    <t>Centros de Gas Gasoline</t>
  </si>
  <si>
    <t>Centros de Gas Propano</t>
  </si>
  <si>
    <t>TRNMICGSL</t>
  </si>
  <si>
    <t>Microbuses Gasoline</t>
  </si>
  <si>
    <t>Demand Crude for SOTE</t>
  </si>
  <si>
    <t>T5PURGSLREF</t>
  </si>
  <si>
    <t>Demand Gasoline for Refineries</t>
  </si>
  <si>
    <t>T5KJFREF</t>
  </si>
  <si>
    <t>Demand Kerosene and Jet Fuel for Refineries</t>
  </si>
  <si>
    <t>T5PURDSLREF</t>
  </si>
  <si>
    <t>Demand Diesel for Refineries</t>
  </si>
  <si>
    <t>T5FOIREF</t>
  </si>
  <si>
    <t>Demand Fuel Oil for Refineries</t>
  </si>
  <si>
    <t>T5LPGREF</t>
  </si>
  <si>
    <t>Demand GLP for Refineries</t>
  </si>
  <si>
    <t>Isolated - Petroleras - Power Plant Fuel Oil</t>
  </si>
  <si>
    <t>Refineries</t>
  </si>
  <si>
    <t>REFCRU</t>
  </si>
  <si>
    <t>M US$ /Gvkm</t>
  </si>
  <si>
    <t>T5BUN</t>
  </si>
  <si>
    <t>Demand for bunkers</t>
  </si>
  <si>
    <t>T5ELECRUTRN</t>
  </si>
  <si>
    <t>T5CRUCRUTRN</t>
  </si>
  <si>
    <t>T5LPGCRUTRN</t>
  </si>
  <si>
    <t>T5GSLCRUTRN</t>
  </si>
  <si>
    <t>Demand Electricity  for SOTE</t>
  </si>
  <si>
    <t>Demand LPG for SOTE</t>
  </si>
  <si>
    <t>Demand Gasoline for SOTE</t>
  </si>
  <si>
    <t>Transport of crude</t>
  </si>
  <si>
    <t>TRNCRU</t>
  </si>
  <si>
    <t>M US$ / Cap (generic)</t>
  </si>
  <si>
    <t>Cap (generic)</t>
  </si>
  <si>
    <t>FSTCHRGER</t>
  </si>
  <si>
    <t>Fast charger of electric vehicles</t>
  </si>
  <si>
    <t>PP_TPP</t>
  </si>
  <si>
    <t>Thermal power plants</t>
  </si>
  <si>
    <t>GW</t>
  </si>
  <si>
    <t>Aceite de Piñon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</si>
</sst>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#,##0.0"/>
    <numFmt numFmtId="166" formatCode="0.000000"/>
    <numFmt numFmtId="167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4" borderId="1" xfId="0" applyFill="1" applyBorder="1"/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4" fontId="0" fillId="5" borderId="1" xfId="0" applyNumberFormat="1" applyFill="1" applyBorder="1"/>
    <xf numFmtId="3" fontId="0" fillId="5" borderId="1" xfId="0" applyNumberFormat="1" applyFill="1" applyBorder="1"/>
    <xf numFmtId="3" fontId="0" fillId="0" borderId="1" xfId="0" applyNumberFormat="1" applyBorder="1"/>
    <xf numFmtId="4" fontId="0" fillId="6" borderId="1" xfId="0" applyNumberFormat="1" applyFill="1" applyBorder="1"/>
    <xf numFmtId="3" fontId="0" fillId="6" borderId="1" xfId="0" applyNumberFormat="1" applyFill="1" applyBorder="1"/>
    <xf numFmtId="0" fontId="2" fillId="6" borderId="1" xfId="0" applyFont="1" applyFill="1" applyBorder="1"/>
    <xf numFmtId="3" fontId="3" fillId="5" borderId="1" xfId="0" applyNumberFormat="1" applyFont="1" applyFill="1" applyBorder="1"/>
    <xf numFmtId="0" fontId="1" fillId="0" borderId="1" xfId="0" applyFont="1" applyBorder="1"/>
    <xf numFmtId="0" fontId="0" fillId="7" borderId="1" xfId="0" applyFill="1" applyBorder="1"/>
    <xf numFmtId="0" fontId="0" fillId="8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164" fontId="0" fillId="0" borderId="0" xfId="0" applyNumberFormat="1"/>
    <xf numFmtId="164" fontId="0" fillId="0" borderId="1" xfId="0" applyNumberFormat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166" fontId="0" fillId="8" borderId="1" xfId="0" applyNumberFormat="1" applyFill="1" applyBorder="1"/>
    <xf numFmtId="164" fontId="0" fillId="8" borderId="1" xfId="0" applyNumberFormat="1" applyFill="1" applyBorder="1"/>
    <xf numFmtId="166" fontId="0" fillId="0" borderId="1" xfId="0" applyNumberFormat="1" applyBorder="1"/>
    <xf numFmtId="167" fontId="0" fillId="8" borderId="1" xfId="0" applyNumberFormat="1" applyFill="1" applyBorder="1"/>
    <xf numFmtId="0" fontId="7" fillId="8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6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14" xfId="0" applyFill="1" applyBorder="1" applyAlignment="1">
      <alignment horizontal="left"/>
    </xf>
    <xf numFmtId="0" fontId="0" fillId="8" borderId="14" xfId="0" applyFill="1" applyBorder="1" applyAlignment="1">
      <alignment horizontal="right" vertical="center"/>
    </xf>
    <xf numFmtId="0" fontId="0" fillId="8" borderId="15" xfId="0" applyFill="1" applyBorder="1"/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FADCD77-3AC8-4BCC-8AC8-D861FF5187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PER Lab" id="{35CADB55-3574-4E71-9AAB-032B7F25F744}" userId="" providerId=""/>
  <person displayName="Mariana Rodríguez-Arce" id="{E9228CDC-B593-4484-A988-9C29EE356422}" userId="S::mrodriguez@clg-cr.com::e9ca1aa1-7ea7-4c4b-85ee-54ae8b9b68d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32" dT="2023-02-06T17:23:53.90" personId="{E9228CDC-B593-4484-A988-9C29EE356422}" id="{F844EEFF-EC65-4474-97D9-32E359826E02}">
    <text>¿Posibles costos para offshore?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5" dT="2022-10-19T17:23:47.41" personId="{35CADB55-3574-4E71-9AAB-032B7F25F744}" id="{E34BD239-C8A7-4418-90A9-CD462ADBC943}">
    <text>SNI</text>
  </threadedComment>
  <threadedComment ref="B356" dT="2022-10-19T15:40:43.93" personId="{35CADB55-3574-4E71-9AAB-032B7F25F744}" id="{FE6706EC-DFF6-4B12-88CE-78A00705FA73}">
    <text>Esto es en realidad turbogas, corregir luego</text>
  </threadedComment>
  <threadedComment ref="B505" dT="2022-10-19T17:23:47.41" personId="{35CADB55-3574-4E71-9AAB-032B7F25F744}" id="{C06F877E-C2B1-49D0-A8AD-6C9485DE5DDD}">
    <text>SNI</text>
  </threadedComment>
  <threadedComment ref="B515" dT="2022-10-19T17:23:47.41" personId="{35CADB55-3574-4E71-9AAB-032B7F25F744}" id="{764A97B6-8134-434D-84A7-25EC56E73668}">
    <text>SNI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workbookViewId="0">
      <pane ySplit="1" topLeftCell="A493" activePane="bottomLeft" state="frozen"/>
      <selection pane="bottomLeft" activeCell="C514" sqref="C514"/>
    </sheetView>
  </sheetViews>
  <sheetFormatPr baseColWidth="10" defaultColWidth="8.85546875" defaultRowHeight="15" x14ac:dyDescent="0.25"/>
  <cols>
    <col min="1" max="2" width="23.42578125" bestFit="1" customWidth="1"/>
    <col min="3" max="3" width="20.7109375" bestFit="1" customWidth="1"/>
    <col min="4" max="4" width="73.5703125" bestFit="1" customWidth="1"/>
    <col min="5" max="5" width="25.7109375" customWidth="1"/>
    <col min="6" max="6" width="12.140625" customWidth="1"/>
    <col min="7" max="7" width="21.42578125" bestFit="1" customWidth="1"/>
    <col min="8" max="9" width="9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460</v>
      </c>
      <c r="B2" s="4">
        <v>67</v>
      </c>
      <c r="C2" s="4" t="s">
        <v>461</v>
      </c>
      <c r="D2" s="4" t="s">
        <v>462</v>
      </c>
      <c r="E2" s="4"/>
      <c r="F2" s="4">
        <v>1</v>
      </c>
      <c r="G2" s="4" t="s">
        <v>12</v>
      </c>
      <c r="H2" s="4"/>
      <c r="I2" s="4">
        <v>1</v>
      </c>
    </row>
    <row r="3" spans="1:9" x14ac:dyDescent="0.25">
      <c r="A3" s="4" t="s">
        <v>460</v>
      </c>
      <c r="B3" s="4">
        <v>67</v>
      </c>
      <c r="C3" s="4" t="s">
        <v>461</v>
      </c>
      <c r="D3" s="4" t="s">
        <v>462</v>
      </c>
      <c r="E3" s="4"/>
      <c r="F3" s="4">
        <v>2</v>
      </c>
      <c r="G3" s="4" t="s">
        <v>13</v>
      </c>
      <c r="H3" s="4"/>
      <c r="I3" s="4">
        <v>1</v>
      </c>
    </row>
    <row r="4" spans="1:9" x14ac:dyDescent="0.25">
      <c r="A4" s="3" t="s">
        <v>460</v>
      </c>
      <c r="B4" s="3">
        <v>68</v>
      </c>
      <c r="C4" s="3" t="s">
        <v>463</v>
      </c>
      <c r="D4" s="3" t="s">
        <v>464</v>
      </c>
      <c r="E4" s="3"/>
      <c r="F4" s="3">
        <v>1</v>
      </c>
      <c r="G4" s="3" t="s">
        <v>12</v>
      </c>
      <c r="H4" s="3"/>
      <c r="I4" s="3">
        <v>1</v>
      </c>
    </row>
    <row r="5" spans="1:9" x14ac:dyDescent="0.25">
      <c r="A5" s="3" t="s">
        <v>460</v>
      </c>
      <c r="B5" s="3">
        <v>68</v>
      </c>
      <c r="C5" s="3" t="s">
        <v>463</v>
      </c>
      <c r="D5" s="3" t="s">
        <v>464</v>
      </c>
      <c r="E5" s="3"/>
      <c r="F5" s="3">
        <v>2</v>
      </c>
      <c r="G5" s="3" t="s">
        <v>13</v>
      </c>
      <c r="H5" s="3"/>
      <c r="I5" s="3">
        <v>1</v>
      </c>
    </row>
    <row r="6" spans="1:9" x14ac:dyDescent="0.25">
      <c r="A6" s="4" t="s">
        <v>460</v>
      </c>
      <c r="B6" s="4">
        <v>69</v>
      </c>
      <c r="C6" s="4" t="s">
        <v>465</v>
      </c>
      <c r="D6" s="4" t="s">
        <v>466</v>
      </c>
      <c r="E6" s="4"/>
      <c r="F6" s="4">
        <v>1</v>
      </c>
      <c r="G6" s="4" t="s">
        <v>12</v>
      </c>
      <c r="H6" s="4"/>
      <c r="I6" s="4">
        <v>1</v>
      </c>
    </row>
    <row r="7" spans="1:9" x14ac:dyDescent="0.25">
      <c r="A7" s="4" t="s">
        <v>460</v>
      </c>
      <c r="B7" s="4">
        <v>69</v>
      </c>
      <c r="C7" s="4" t="s">
        <v>465</v>
      </c>
      <c r="D7" s="4" t="s">
        <v>466</v>
      </c>
      <c r="E7" s="4"/>
      <c r="F7" s="4">
        <v>2</v>
      </c>
      <c r="G7" s="4" t="s">
        <v>13</v>
      </c>
      <c r="H7" s="4"/>
      <c r="I7" s="4">
        <v>1</v>
      </c>
    </row>
    <row r="8" spans="1:9" x14ac:dyDescent="0.25">
      <c r="A8" s="3" t="s">
        <v>460</v>
      </c>
      <c r="B8" s="3">
        <v>70</v>
      </c>
      <c r="C8" s="3" t="s">
        <v>467</v>
      </c>
      <c r="D8" s="3" t="s">
        <v>468</v>
      </c>
      <c r="E8" s="3"/>
      <c r="F8" s="3">
        <v>1</v>
      </c>
      <c r="G8" s="3" t="s">
        <v>12</v>
      </c>
      <c r="H8" s="3"/>
      <c r="I8" s="3">
        <v>1</v>
      </c>
    </row>
    <row r="9" spans="1:9" x14ac:dyDescent="0.25">
      <c r="A9" s="3" t="s">
        <v>460</v>
      </c>
      <c r="B9" s="3">
        <v>70</v>
      </c>
      <c r="C9" s="3" t="s">
        <v>467</v>
      </c>
      <c r="D9" s="3" t="s">
        <v>468</v>
      </c>
      <c r="E9" s="3"/>
      <c r="F9" s="3">
        <v>2</v>
      </c>
      <c r="G9" s="3" t="s">
        <v>13</v>
      </c>
      <c r="H9" s="3"/>
      <c r="I9" s="3">
        <v>1</v>
      </c>
    </row>
    <row r="10" spans="1:9" x14ac:dyDescent="0.25">
      <c r="A10" s="4" t="s">
        <v>460</v>
      </c>
      <c r="B10" s="4">
        <v>71</v>
      </c>
      <c r="C10" s="4" t="s">
        <v>469</v>
      </c>
      <c r="D10" s="4" t="s">
        <v>470</v>
      </c>
      <c r="E10" s="4"/>
      <c r="F10" s="4">
        <v>1</v>
      </c>
      <c r="G10" s="4" t="s">
        <v>12</v>
      </c>
      <c r="H10" s="4"/>
      <c r="I10" s="4">
        <v>1</v>
      </c>
    </row>
    <row r="11" spans="1:9" x14ac:dyDescent="0.25">
      <c r="A11" s="4" t="s">
        <v>460</v>
      </c>
      <c r="B11" s="4">
        <v>71</v>
      </c>
      <c r="C11" s="4" t="s">
        <v>469</v>
      </c>
      <c r="D11" s="4" t="s">
        <v>470</v>
      </c>
      <c r="E11" s="4"/>
      <c r="F11" s="4">
        <v>2</v>
      </c>
      <c r="G11" s="4" t="s">
        <v>13</v>
      </c>
      <c r="H11" s="4"/>
      <c r="I11" s="4">
        <v>1</v>
      </c>
    </row>
    <row r="12" spans="1:9" x14ac:dyDescent="0.25">
      <c r="A12" s="3" t="s">
        <v>460</v>
      </c>
      <c r="B12" s="3">
        <v>72</v>
      </c>
      <c r="C12" s="3" t="s">
        <v>471</v>
      </c>
      <c r="D12" s="3" t="s">
        <v>472</v>
      </c>
      <c r="E12" s="3"/>
      <c r="F12" s="3">
        <v>1</v>
      </c>
      <c r="G12" s="3" t="s">
        <v>12</v>
      </c>
      <c r="H12" s="3"/>
      <c r="I12" s="3">
        <v>1</v>
      </c>
    </row>
    <row r="13" spans="1:9" x14ac:dyDescent="0.25">
      <c r="A13" s="3" t="s">
        <v>460</v>
      </c>
      <c r="B13" s="3">
        <v>72</v>
      </c>
      <c r="C13" s="3" t="s">
        <v>471</v>
      </c>
      <c r="D13" s="3" t="s">
        <v>472</v>
      </c>
      <c r="E13" s="3"/>
      <c r="F13" s="3">
        <v>2</v>
      </c>
      <c r="G13" s="3" t="s">
        <v>13</v>
      </c>
      <c r="H13" s="3"/>
      <c r="I13" s="3">
        <v>1</v>
      </c>
    </row>
    <row r="14" spans="1:9" x14ac:dyDescent="0.25">
      <c r="A14" s="4" t="s">
        <v>460</v>
      </c>
      <c r="B14" s="4">
        <v>73</v>
      </c>
      <c r="C14" s="4" t="s">
        <v>473</v>
      </c>
      <c r="D14" s="4" t="s">
        <v>474</v>
      </c>
      <c r="E14" s="4"/>
      <c r="F14" s="4">
        <v>1</v>
      </c>
      <c r="G14" s="4" t="s">
        <v>12</v>
      </c>
      <c r="H14" s="4"/>
      <c r="I14" s="4">
        <v>1</v>
      </c>
    </row>
    <row r="15" spans="1:9" x14ac:dyDescent="0.25">
      <c r="A15" s="4" t="s">
        <v>460</v>
      </c>
      <c r="B15" s="4">
        <v>73</v>
      </c>
      <c r="C15" s="4" t="s">
        <v>473</v>
      </c>
      <c r="D15" s="4" t="s">
        <v>474</v>
      </c>
      <c r="E15" s="4"/>
      <c r="F15" s="4">
        <v>2</v>
      </c>
      <c r="G15" s="4" t="s">
        <v>13</v>
      </c>
      <c r="H15" s="4"/>
      <c r="I15" s="4">
        <v>1</v>
      </c>
    </row>
    <row r="16" spans="1:9" x14ac:dyDescent="0.25">
      <c r="A16" s="3" t="s">
        <v>460</v>
      </c>
      <c r="B16" s="3">
        <v>74</v>
      </c>
      <c r="C16" s="3" t="s">
        <v>475</v>
      </c>
      <c r="D16" s="3" t="s">
        <v>476</v>
      </c>
      <c r="E16" s="3"/>
      <c r="F16" s="3">
        <v>1</v>
      </c>
      <c r="G16" s="3" t="s">
        <v>12</v>
      </c>
      <c r="H16" s="3"/>
      <c r="I16" s="3">
        <v>1</v>
      </c>
    </row>
    <row r="17" spans="1:9" x14ac:dyDescent="0.25">
      <c r="A17" s="3" t="s">
        <v>460</v>
      </c>
      <c r="B17" s="3">
        <v>74</v>
      </c>
      <c r="C17" s="3" t="s">
        <v>475</v>
      </c>
      <c r="D17" s="3" t="s">
        <v>476</v>
      </c>
      <c r="E17" s="3"/>
      <c r="F17" s="3">
        <v>2</v>
      </c>
      <c r="G17" s="3" t="s">
        <v>13</v>
      </c>
      <c r="H17" s="3"/>
      <c r="I17" s="3">
        <v>1</v>
      </c>
    </row>
    <row r="18" spans="1:9" x14ac:dyDescent="0.25">
      <c r="A18" s="4" t="s">
        <v>460</v>
      </c>
      <c r="B18" s="4">
        <v>75</v>
      </c>
      <c r="C18" s="4" t="s">
        <v>477</v>
      </c>
      <c r="D18" s="4" t="s">
        <v>478</v>
      </c>
      <c r="E18" s="4"/>
      <c r="F18" s="4">
        <v>1</v>
      </c>
      <c r="G18" s="4" t="s">
        <v>12</v>
      </c>
      <c r="H18" s="4"/>
      <c r="I18" s="4">
        <v>1</v>
      </c>
    </row>
    <row r="19" spans="1:9" x14ac:dyDescent="0.25">
      <c r="A19" s="4" t="s">
        <v>460</v>
      </c>
      <c r="B19" s="4">
        <v>75</v>
      </c>
      <c r="C19" s="4" t="s">
        <v>477</v>
      </c>
      <c r="D19" s="4" t="s">
        <v>478</v>
      </c>
      <c r="E19" s="4"/>
      <c r="F19" s="4">
        <v>2</v>
      </c>
      <c r="G19" s="4" t="s">
        <v>13</v>
      </c>
      <c r="H19" s="4"/>
      <c r="I19" s="4">
        <v>1</v>
      </c>
    </row>
    <row r="20" spans="1:9" x14ac:dyDescent="0.25">
      <c r="A20" s="3" t="s">
        <v>460</v>
      </c>
      <c r="B20" s="3">
        <v>76</v>
      </c>
      <c r="C20" s="3" t="s">
        <v>479</v>
      </c>
      <c r="D20" s="3" t="s">
        <v>480</v>
      </c>
      <c r="E20" s="3"/>
      <c r="F20" s="3">
        <v>1</v>
      </c>
      <c r="G20" s="3" t="s">
        <v>12</v>
      </c>
      <c r="H20" s="3"/>
      <c r="I20" s="3">
        <v>1</v>
      </c>
    </row>
    <row r="21" spans="1:9" x14ac:dyDescent="0.25">
      <c r="A21" s="3" t="s">
        <v>460</v>
      </c>
      <c r="B21" s="3">
        <v>76</v>
      </c>
      <c r="C21" s="3" t="s">
        <v>479</v>
      </c>
      <c r="D21" s="3" t="s">
        <v>480</v>
      </c>
      <c r="E21" s="3"/>
      <c r="F21" s="3">
        <v>2</v>
      </c>
      <c r="G21" s="3" t="s">
        <v>13</v>
      </c>
      <c r="H21" s="3"/>
      <c r="I21" s="3">
        <v>1</v>
      </c>
    </row>
    <row r="22" spans="1:9" x14ac:dyDescent="0.25">
      <c r="A22" s="4" t="s">
        <v>460</v>
      </c>
      <c r="B22" s="4">
        <v>77</v>
      </c>
      <c r="C22" s="4" t="s">
        <v>481</v>
      </c>
      <c r="D22" s="4" t="s">
        <v>482</v>
      </c>
      <c r="E22" s="4"/>
      <c r="F22" s="4">
        <v>1</v>
      </c>
      <c r="G22" s="4" t="s">
        <v>12</v>
      </c>
      <c r="H22" s="4"/>
      <c r="I22" s="4">
        <v>1</v>
      </c>
    </row>
    <row r="23" spans="1:9" x14ac:dyDescent="0.25">
      <c r="A23" s="4" t="s">
        <v>460</v>
      </c>
      <c r="B23" s="4">
        <v>77</v>
      </c>
      <c r="C23" s="4" t="s">
        <v>481</v>
      </c>
      <c r="D23" s="4" t="s">
        <v>482</v>
      </c>
      <c r="E23" s="4"/>
      <c r="F23" s="4">
        <v>2</v>
      </c>
      <c r="G23" s="4" t="s">
        <v>13</v>
      </c>
      <c r="H23" s="4"/>
      <c r="I23" s="4">
        <v>1</v>
      </c>
    </row>
    <row r="24" spans="1:9" x14ac:dyDescent="0.25">
      <c r="A24" s="3" t="s">
        <v>460</v>
      </c>
      <c r="B24" s="3">
        <v>78</v>
      </c>
      <c r="C24" s="3" t="s">
        <v>483</v>
      </c>
      <c r="D24" s="3" t="s">
        <v>484</v>
      </c>
      <c r="E24" s="3"/>
      <c r="F24" s="3">
        <v>1</v>
      </c>
      <c r="G24" s="3" t="s">
        <v>12</v>
      </c>
      <c r="H24" s="3"/>
      <c r="I24" s="3">
        <v>1</v>
      </c>
    </row>
    <row r="25" spans="1:9" x14ac:dyDescent="0.25">
      <c r="A25" s="3" t="s">
        <v>460</v>
      </c>
      <c r="B25" s="3">
        <v>78</v>
      </c>
      <c r="C25" s="3" t="s">
        <v>483</v>
      </c>
      <c r="D25" s="3" t="s">
        <v>484</v>
      </c>
      <c r="E25" s="3"/>
      <c r="F25" s="3">
        <v>2</v>
      </c>
      <c r="G25" s="3" t="s">
        <v>13</v>
      </c>
      <c r="H25" s="3"/>
      <c r="I25" s="3">
        <v>1</v>
      </c>
    </row>
    <row r="26" spans="1:9" x14ac:dyDescent="0.25">
      <c r="A26" s="4" t="s">
        <v>460</v>
      </c>
      <c r="B26" s="4">
        <v>79</v>
      </c>
      <c r="C26" s="4" t="s">
        <v>485</v>
      </c>
      <c r="D26" s="4" t="s">
        <v>486</v>
      </c>
      <c r="E26" s="4"/>
      <c r="F26" s="4">
        <v>1</v>
      </c>
      <c r="G26" s="4" t="s">
        <v>12</v>
      </c>
      <c r="H26" s="4"/>
      <c r="I26" s="4">
        <v>1</v>
      </c>
    </row>
    <row r="27" spans="1:9" x14ac:dyDescent="0.25">
      <c r="A27" s="4" t="s">
        <v>460</v>
      </c>
      <c r="B27" s="4">
        <v>79</v>
      </c>
      <c r="C27" s="4" t="s">
        <v>485</v>
      </c>
      <c r="D27" s="4" t="s">
        <v>486</v>
      </c>
      <c r="E27" s="4"/>
      <c r="F27" s="4">
        <v>2</v>
      </c>
      <c r="G27" s="4" t="s">
        <v>13</v>
      </c>
      <c r="H27" s="4"/>
      <c r="I27" s="4">
        <v>1</v>
      </c>
    </row>
    <row r="28" spans="1:9" x14ac:dyDescent="0.25">
      <c r="A28" s="3" t="s">
        <v>329</v>
      </c>
      <c r="B28" s="3">
        <v>1</v>
      </c>
      <c r="C28" s="3" t="s">
        <v>330</v>
      </c>
      <c r="D28" s="3" t="s">
        <v>331</v>
      </c>
      <c r="E28" s="3"/>
      <c r="F28" s="3">
        <v>1</v>
      </c>
      <c r="G28" s="3" t="s">
        <v>12</v>
      </c>
      <c r="H28" s="3"/>
      <c r="I28" s="3">
        <v>1</v>
      </c>
    </row>
    <row r="29" spans="1:9" x14ac:dyDescent="0.25">
      <c r="A29" s="3" t="s">
        <v>329</v>
      </c>
      <c r="B29" s="3">
        <v>1</v>
      </c>
      <c r="C29" s="3" t="s">
        <v>330</v>
      </c>
      <c r="D29" s="3" t="s">
        <v>331</v>
      </c>
      <c r="E29" s="3"/>
      <c r="F29" s="3">
        <v>2</v>
      </c>
      <c r="G29" s="3" t="s">
        <v>13</v>
      </c>
      <c r="H29" s="3"/>
      <c r="I29" s="3">
        <v>16</v>
      </c>
    </row>
    <row r="30" spans="1:9" x14ac:dyDescent="0.25">
      <c r="A30" s="4" t="s">
        <v>329</v>
      </c>
      <c r="B30" s="4">
        <v>2</v>
      </c>
      <c r="C30" s="4" t="s">
        <v>537</v>
      </c>
      <c r="D30" s="4" t="s">
        <v>538</v>
      </c>
      <c r="E30" s="4"/>
      <c r="F30" s="4">
        <v>1</v>
      </c>
      <c r="G30" s="4" t="s">
        <v>12</v>
      </c>
      <c r="H30" s="4"/>
      <c r="I30" s="4">
        <v>1</v>
      </c>
    </row>
    <row r="31" spans="1:9" x14ac:dyDescent="0.25">
      <c r="A31" s="4" t="s">
        <v>329</v>
      </c>
      <c r="B31" s="4">
        <v>2</v>
      </c>
      <c r="C31" s="4" t="s">
        <v>537</v>
      </c>
      <c r="D31" s="4" t="s">
        <v>538</v>
      </c>
      <c r="E31" s="4"/>
      <c r="F31" s="4">
        <v>2</v>
      </c>
      <c r="G31" s="4" t="s">
        <v>13</v>
      </c>
      <c r="H31" s="4"/>
      <c r="I31" s="4">
        <v>16</v>
      </c>
    </row>
    <row r="32" spans="1:9" x14ac:dyDescent="0.25">
      <c r="A32" s="3" t="s">
        <v>329</v>
      </c>
      <c r="B32" s="3">
        <v>3</v>
      </c>
      <c r="C32" s="3" t="s">
        <v>332</v>
      </c>
      <c r="D32" s="3" t="s">
        <v>333</v>
      </c>
      <c r="E32" s="3"/>
      <c r="F32" s="3">
        <v>1</v>
      </c>
      <c r="G32" s="3" t="s">
        <v>12</v>
      </c>
      <c r="H32" s="3"/>
      <c r="I32" s="3">
        <v>1</v>
      </c>
    </row>
    <row r="33" spans="1:9" x14ac:dyDescent="0.25">
      <c r="A33" s="3" t="s">
        <v>329</v>
      </c>
      <c r="B33" s="3">
        <v>3</v>
      </c>
      <c r="C33" s="3" t="s">
        <v>332</v>
      </c>
      <c r="D33" s="3" t="s">
        <v>333</v>
      </c>
      <c r="E33" s="3"/>
      <c r="F33" s="3">
        <v>2</v>
      </c>
      <c r="G33" s="3" t="s">
        <v>13</v>
      </c>
      <c r="H33" s="3"/>
      <c r="I33" s="3">
        <v>16</v>
      </c>
    </row>
    <row r="34" spans="1:9" x14ac:dyDescent="0.25">
      <c r="A34" s="4" t="s">
        <v>329</v>
      </c>
      <c r="B34" s="4">
        <v>4</v>
      </c>
      <c r="C34" s="4" t="s">
        <v>334</v>
      </c>
      <c r="D34" s="4" t="s">
        <v>335</v>
      </c>
      <c r="E34" s="4"/>
      <c r="F34" s="4">
        <v>1</v>
      </c>
      <c r="G34" s="4" t="s">
        <v>12</v>
      </c>
      <c r="H34" s="4"/>
      <c r="I34" s="4">
        <v>1</v>
      </c>
    </row>
    <row r="35" spans="1:9" x14ac:dyDescent="0.25">
      <c r="A35" s="4" t="s">
        <v>329</v>
      </c>
      <c r="B35" s="4">
        <v>4</v>
      </c>
      <c r="C35" s="4" t="s">
        <v>334</v>
      </c>
      <c r="D35" s="4" t="s">
        <v>335</v>
      </c>
      <c r="E35" s="4"/>
      <c r="F35" s="4">
        <v>2</v>
      </c>
      <c r="G35" s="4" t="s">
        <v>13</v>
      </c>
      <c r="H35" s="4"/>
      <c r="I35" s="4">
        <v>16</v>
      </c>
    </row>
    <row r="36" spans="1:9" x14ac:dyDescent="0.25">
      <c r="A36" s="3" t="s">
        <v>329</v>
      </c>
      <c r="B36" s="3">
        <v>5</v>
      </c>
      <c r="C36" s="3" t="s">
        <v>336</v>
      </c>
      <c r="D36" s="3" t="s">
        <v>337</v>
      </c>
      <c r="E36" s="3"/>
      <c r="F36" s="3">
        <v>1</v>
      </c>
      <c r="G36" s="3" t="s">
        <v>12</v>
      </c>
      <c r="H36" s="3"/>
      <c r="I36" s="3">
        <v>1</v>
      </c>
    </row>
    <row r="37" spans="1:9" x14ac:dyDescent="0.25">
      <c r="A37" s="3" t="s">
        <v>329</v>
      </c>
      <c r="B37" s="3">
        <v>5</v>
      </c>
      <c r="C37" s="3" t="s">
        <v>336</v>
      </c>
      <c r="D37" s="3" t="s">
        <v>337</v>
      </c>
      <c r="E37" s="3"/>
      <c r="F37" s="3">
        <v>2</v>
      </c>
      <c r="G37" s="3" t="s">
        <v>13</v>
      </c>
      <c r="H37" s="3"/>
      <c r="I37" s="3">
        <v>16</v>
      </c>
    </row>
    <row r="38" spans="1:9" x14ac:dyDescent="0.25">
      <c r="A38" s="4" t="s">
        <v>329</v>
      </c>
      <c r="B38" s="4">
        <v>6</v>
      </c>
      <c r="C38" s="4" t="s">
        <v>338</v>
      </c>
      <c r="D38" s="4" t="s">
        <v>339</v>
      </c>
      <c r="E38" s="4"/>
      <c r="F38" s="4">
        <v>1</v>
      </c>
      <c r="G38" s="4" t="s">
        <v>12</v>
      </c>
      <c r="H38" s="4"/>
      <c r="I38" s="4">
        <v>1</v>
      </c>
    </row>
    <row r="39" spans="1:9" x14ac:dyDescent="0.25">
      <c r="A39" s="4" t="s">
        <v>329</v>
      </c>
      <c r="B39" s="4">
        <v>6</v>
      </c>
      <c r="C39" s="4" t="s">
        <v>338</v>
      </c>
      <c r="D39" s="4" t="s">
        <v>339</v>
      </c>
      <c r="E39" s="4"/>
      <c r="F39" s="4">
        <v>2</v>
      </c>
      <c r="G39" s="4" t="s">
        <v>13</v>
      </c>
      <c r="H39" s="4"/>
      <c r="I39" s="4">
        <v>16</v>
      </c>
    </row>
    <row r="40" spans="1:9" x14ac:dyDescent="0.25">
      <c r="A40" s="3" t="s">
        <v>329</v>
      </c>
      <c r="B40" s="3">
        <v>7</v>
      </c>
      <c r="C40" s="3" t="s">
        <v>340</v>
      </c>
      <c r="D40" s="3" t="s">
        <v>341</v>
      </c>
      <c r="E40" s="3"/>
      <c r="F40" s="3">
        <v>1</v>
      </c>
      <c r="G40" s="3" t="s">
        <v>12</v>
      </c>
      <c r="H40" s="3"/>
      <c r="I40" s="3">
        <v>1</v>
      </c>
    </row>
    <row r="41" spans="1:9" x14ac:dyDescent="0.25">
      <c r="A41" s="3" t="s">
        <v>329</v>
      </c>
      <c r="B41" s="3">
        <v>7</v>
      </c>
      <c r="C41" s="3" t="s">
        <v>340</v>
      </c>
      <c r="D41" s="3" t="s">
        <v>341</v>
      </c>
      <c r="E41" s="3"/>
      <c r="F41" s="3">
        <v>2</v>
      </c>
      <c r="G41" s="3" t="s">
        <v>13</v>
      </c>
      <c r="H41" s="3"/>
      <c r="I41" s="3">
        <v>16</v>
      </c>
    </row>
    <row r="42" spans="1:9" x14ac:dyDescent="0.25">
      <c r="A42" s="4" t="s">
        <v>329</v>
      </c>
      <c r="B42" s="4">
        <v>8</v>
      </c>
      <c r="C42" s="4" t="s">
        <v>342</v>
      </c>
      <c r="D42" s="4" t="s">
        <v>343</v>
      </c>
      <c r="E42" s="4"/>
      <c r="F42" s="4">
        <v>1</v>
      </c>
      <c r="G42" s="4" t="s">
        <v>12</v>
      </c>
      <c r="H42" s="4"/>
      <c r="I42" s="4">
        <v>1</v>
      </c>
    </row>
    <row r="43" spans="1:9" x14ac:dyDescent="0.25">
      <c r="A43" s="4" t="s">
        <v>329</v>
      </c>
      <c r="B43" s="4">
        <v>8</v>
      </c>
      <c r="C43" s="4" t="s">
        <v>342</v>
      </c>
      <c r="D43" s="4" t="s">
        <v>343</v>
      </c>
      <c r="E43" s="4"/>
      <c r="F43" s="4">
        <v>2</v>
      </c>
      <c r="G43" s="4" t="s">
        <v>13</v>
      </c>
      <c r="H43" s="4"/>
      <c r="I43" s="4">
        <v>16</v>
      </c>
    </row>
    <row r="44" spans="1:9" x14ac:dyDescent="0.25">
      <c r="A44" s="3" t="s">
        <v>329</v>
      </c>
      <c r="B44" s="3">
        <v>9</v>
      </c>
      <c r="C44" s="3" t="s">
        <v>344</v>
      </c>
      <c r="D44" s="3" t="s">
        <v>345</v>
      </c>
      <c r="E44" s="3"/>
      <c r="F44" s="3">
        <v>1</v>
      </c>
      <c r="G44" s="3" t="s">
        <v>12</v>
      </c>
      <c r="H44" s="3"/>
      <c r="I44" s="3">
        <v>1</v>
      </c>
    </row>
    <row r="45" spans="1:9" x14ac:dyDescent="0.25">
      <c r="A45" s="3" t="s">
        <v>329</v>
      </c>
      <c r="B45" s="3">
        <v>9</v>
      </c>
      <c r="C45" s="3" t="s">
        <v>344</v>
      </c>
      <c r="D45" s="3" t="s">
        <v>345</v>
      </c>
      <c r="E45" s="3"/>
      <c r="F45" s="3">
        <v>2</v>
      </c>
      <c r="G45" s="3" t="s">
        <v>13</v>
      </c>
      <c r="H45" s="3"/>
      <c r="I45" s="3">
        <v>16</v>
      </c>
    </row>
    <row r="46" spans="1:9" x14ac:dyDescent="0.25">
      <c r="A46" s="4" t="s">
        <v>329</v>
      </c>
      <c r="B46" s="4">
        <v>10</v>
      </c>
      <c r="C46" s="4" t="s">
        <v>346</v>
      </c>
      <c r="D46" s="4" t="s">
        <v>347</v>
      </c>
      <c r="E46" s="4"/>
      <c r="F46" s="4">
        <v>1</v>
      </c>
      <c r="G46" s="4" t="s">
        <v>12</v>
      </c>
      <c r="H46" s="4"/>
      <c r="I46" s="4">
        <v>1</v>
      </c>
    </row>
    <row r="47" spans="1:9" x14ac:dyDescent="0.25">
      <c r="A47" s="4" t="s">
        <v>329</v>
      </c>
      <c r="B47" s="4">
        <v>10</v>
      </c>
      <c r="C47" s="4" t="s">
        <v>346</v>
      </c>
      <c r="D47" s="4" t="s">
        <v>347</v>
      </c>
      <c r="E47" s="4"/>
      <c r="F47" s="4">
        <v>2</v>
      </c>
      <c r="G47" s="4" t="s">
        <v>13</v>
      </c>
      <c r="H47" s="4"/>
      <c r="I47" s="4">
        <v>16</v>
      </c>
    </row>
    <row r="48" spans="1:9" x14ac:dyDescent="0.25">
      <c r="A48" s="3" t="s">
        <v>329</v>
      </c>
      <c r="B48" s="3">
        <v>11</v>
      </c>
      <c r="C48" s="3" t="s">
        <v>348</v>
      </c>
      <c r="D48" s="3" t="s">
        <v>349</v>
      </c>
      <c r="E48" s="3"/>
      <c r="F48" s="3">
        <v>1</v>
      </c>
      <c r="G48" s="3" t="s">
        <v>12</v>
      </c>
      <c r="H48" s="3"/>
      <c r="I48" s="3">
        <v>1</v>
      </c>
    </row>
    <row r="49" spans="1:9" x14ac:dyDescent="0.25">
      <c r="A49" s="3" t="s">
        <v>329</v>
      </c>
      <c r="B49" s="3">
        <v>11</v>
      </c>
      <c r="C49" s="3" t="s">
        <v>348</v>
      </c>
      <c r="D49" s="3" t="s">
        <v>349</v>
      </c>
      <c r="E49" s="3"/>
      <c r="F49" s="3">
        <v>2</v>
      </c>
      <c r="G49" s="3" t="s">
        <v>13</v>
      </c>
      <c r="H49" s="3"/>
      <c r="I49" s="3">
        <v>16</v>
      </c>
    </row>
    <row r="50" spans="1:9" x14ac:dyDescent="0.25">
      <c r="A50" s="4" t="s">
        <v>329</v>
      </c>
      <c r="B50" s="4">
        <v>12</v>
      </c>
      <c r="C50" s="4" t="s">
        <v>350</v>
      </c>
      <c r="D50" s="4" t="s">
        <v>351</v>
      </c>
      <c r="E50" s="4"/>
      <c r="F50" s="4">
        <v>1</v>
      </c>
      <c r="G50" s="4" t="s">
        <v>12</v>
      </c>
      <c r="H50" s="4"/>
      <c r="I50" s="4">
        <v>1</v>
      </c>
    </row>
    <row r="51" spans="1:9" x14ac:dyDescent="0.25">
      <c r="A51" s="4" t="s">
        <v>329</v>
      </c>
      <c r="B51" s="4">
        <v>12</v>
      </c>
      <c r="C51" s="4" t="s">
        <v>350</v>
      </c>
      <c r="D51" s="4" t="s">
        <v>351</v>
      </c>
      <c r="E51" s="4"/>
      <c r="F51" s="4">
        <v>2</v>
      </c>
      <c r="G51" s="4" t="s">
        <v>13</v>
      </c>
      <c r="H51" s="4"/>
      <c r="I51" s="4">
        <v>16</v>
      </c>
    </row>
    <row r="52" spans="1:9" x14ac:dyDescent="0.25">
      <c r="A52" s="3" t="s">
        <v>329</v>
      </c>
      <c r="B52" s="3">
        <v>13</v>
      </c>
      <c r="C52" s="3" t="s">
        <v>352</v>
      </c>
      <c r="D52" s="3" t="s">
        <v>353</v>
      </c>
      <c r="E52" s="3"/>
      <c r="F52" s="3">
        <v>1</v>
      </c>
      <c r="G52" s="3" t="s">
        <v>12</v>
      </c>
      <c r="H52" s="3"/>
      <c r="I52" s="3">
        <v>1</v>
      </c>
    </row>
    <row r="53" spans="1:9" x14ac:dyDescent="0.25">
      <c r="A53" s="3" t="s">
        <v>329</v>
      </c>
      <c r="B53" s="3">
        <v>13</v>
      </c>
      <c r="C53" s="3" t="s">
        <v>352</v>
      </c>
      <c r="D53" s="3" t="s">
        <v>353</v>
      </c>
      <c r="E53" s="3"/>
      <c r="F53" s="3">
        <v>2</v>
      </c>
      <c r="G53" s="3" t="s">
        <v>13</v>
      </c>
      <c r="H53" s="3"/>
      <c r="I53" s="3">
        <v>16</v>
      </c>
    </row>
    <row r="54" spans="1:9" x14ac:dyDescent="0.25">
      <c r="A54" s="4" t="s">
        <v>329</v>
      </c>
      <c r="B54" s="4">
        <v>14</v>
      </c>
      <c r="C54" s="4" t="s">
        <v>354</v>
      </c>
      <c r="D54" s="4" t="s">
        <v>355</v>
      </c>
      <c r="E54" s="4"/>
      <c r="F54" s="4">
        <v>1</v>
      </c>
      <c r="G54" s="4" t="s">
        <v>12</v>
      </c>
      <c r="H54" s="4"/>
      <c r="I54" s="4">
        <v>1</v>
      </c>
    </row>
    <row r="55" spans="1:9" x14ac:dyDescent="0.25">
      <c r="A55" s="4" t="s">
        <v>329</v>
      </c>
      <c r="B55" s="4">
        <v>14</v>
      </c>
      <c r="C55" s="4" t="s">
        <v>354</v>
      </c>
      <c r="D55" s="4" t="s">
        <v>355</v>
      </c>
      <c r="E55" s="4"/>
      <c r="F55" s="4">
        <v>2</v>
      </c>
      <c r="G55" s="4" t="s">
        <v>13</v>
      </c>
      <c r="H55" s="4"/>
      <c r="I55" s="4">
        <v>16</v>
      </c>
    </row>
    <row r="56" spans="1:9" x14ac:dyDescent="0.25">
      <c r="A56" s="3" t="s">
        <v>329</v>
      </c>
      <c r="B56" s="3">
        <v>15</v>
      </c>
      <c r="C56" s="3" t="s">
        <v>356</v>
      </c>
      <c r="D56" s="3" t="s">
        <v>357</v>
      </c>
      <c r="E56" s="3"/>
      <c r="F56" s="3">
        <v>1</v>
      </c>
      <c r="G56" s="3" t="s">
        <v>12</v>
      </c>
      <c r="H56" s="3"/>
      <c r="I56" s="3">
        <v>1</v>
      </c>
    </row>
    <row r="57" spans="1:9" x14ac:dyDescent="0.25">
      <c r="A57" s="3" t="s">
        <v>329</v>
      </c>
      <c r="B57" s="3">
        <v>15</v>
      </c>
      <c r="C57" s="3" t="s">
        <v>356</v>
      </c>
      <c r="D57" s="3" t="s">
        <v>357</v>
      </c>
      <c r="E57" s="3"/>
      <c r="F57" s="3">
        <v>2</v>
      </c>
      <c r="G57" s="3" t="s">
        <v>13</v>
      </c>
      <c r="H57" s="3"/>
      <c r="I57" s="3">
        <v>16</v>
      </c>
    </row>
    <row r="58" spans="1:9" x14ac:dyDescent="0.25">
      <c r="A58" s="4" t="s">
        <v>329</v>
      </c>
      <c r="B58" s="4">
        <v>16</v>
      </c>
      <c r="C58" s="4" t="s">
        <v>358</v>
      </c>
      <c r="D58" s="4" t="s">
        <v>359</v>
      </c>
      <c r="E58" s="4"/>
      <c r="F58" s="4">
        <v>1</v>
      </c>
      <c r="G58" s="4" t="s">
        <v>12</v>
      </c>
      <c r="H58" s="4"/>
      <c r="I58" s="4">
        <v>1</v>
      </c>
    </row>
    <row r="59" spans="1:9" x14ac:dyDescent="0.25">
      <c r="A59" s="4" t="s">
        <v>329</v>
      </c>
      <c r="B59" s="4">
        <v>16</v>
      </c>
      <c r="C59" s="4" t="s">
        <v>358</v>
      </c>
      <c r="D59" s="4" t="s">
        <v>359</v>
      </c>
      <c r="E59" s="4"/>
      <c r="F59" s="4">
        <v>2</v>
      </c>
      <c r="G59" s="4" t="s">
        <v>13</v>
      </c>
      <c r="H59" s="4"/>
      <c r="I59" s="4">
        <v>16</v>
      </c>
    </row>
    <row r="60" spans="1:9" x14ac:dyDescent="0.25">
      <c r="A60" s="3" t="s">
        <v>329</v>
      </c>
      <c r="B60" s="3">
        <v>17</v>
      </c>
      <c r="C60" s="3" t="s">
        <v>360</v>
      </c>
      <c r="D60" s="3" t="s">
        <v>361</v>
      </c>
      <c r="E60" s="3"/>
      <c r="F60" s="3">
        <v>1</v>
      </c>
      <c r="G60" s="3" t="s">
        <v>12</v>
      </c>
      <c r="H60" s="3"/>
      <c r="I60" s="3">
        <v>1</v>
      </c>
    </row>
    <row r="61" spans="1:9" x14ac:dyDescent="0.25">
      <c r="A61" s="3" t="s">
        <v>329</v>
      </c>
      <c r="B61" s="3">
        <v>17</v>
      </c>
      <c r="C61" s="3" t="s">
        <v>360</v>
      </c>
      <c r="D61" s="3" t="s">
        <v>361</v>
      </c>
      <c r="E61" s="3"/>
      <c r="F61" s="3">
        <v>2</v>
      </c>
      <c r="G61" s="3" t="s">
        <v>13</v>
      </c>
      <c r="H61" s="3"/>
      <c r="I61" s="3">
        <v>16</v>
      </c>
    </row>
    <row r="62" spans="1:9" x14ac:dyDescent="0.25">
      <c r="A62" s="4" t="s">
        <v>329</v>
      </c>
      <c r="B62" s="4">
        <v>18</v>
      </c>
      <c r="C62" s="4" t="s">
        <v>362</v>
      </c>
      <c r="D62" s="4" t="s">
        <v>363</v>
      </c>
      <c r="E62" s="4"/>
      <c r="F62" s="4">
        <v>1</v>
      </c>
      <c r="G62" s="4" t="s">
        <v>12</v>
      </c>
      <c r="H62" s="4"/>
      <c r="I62" s="4">
        <v>1</v>
      </c>
    </row>
    <row r="63" spans="1:9" x14ac:dyDescent="0.25">
      <c r="A63" s="4" t="s">
        <v>329</v>
      </c>
      <c r="B63" s="4">
        <v>18</v>
      </c>
      <c r="C63" s="4" t="s">
        <v>362</v>
      </c>
      <c r="D63" s="4" t="s">
        <v>363</v>
      </c>
      <c r="E63" s="4"/>
      <c r="F63" s="4">
        <v>2</v>
      </c>
      <c r="G63" s="4" t="s">
        <v>13</v>
      </c>
      <c r="H63" s="4"/>
      <c r="I63" s="4">
        <v>16</v>
      </c>
    </row>
    <row r="64" spans="1:9" x14ac:dyDescent="0.25">
      <c r="A64" s="3" t="s">
        <v>329</v>
      </c>
      <c r="B64" s="3">
        <v>19</v>
      </c>
      <c r="C64" s="3" t="s">
        <v>364</v>
      </c>
      <c r="D64" s="3" t="s">
        <v>365</v>
      </c>
      <c r="E64" s="3"/>
      <c r="F64" s="3">
        <v>1</v>
      </c>
      <c r="G64" s="3" t="s">
        <v>12</v>
      </c>
      <c r="H64" s="3"/>
      <c r="I64" s="3">
        <v>1</v>
      </c>
    </row>
    <row r="65" spans="1:9" x14ac:dyDescent="0.25">
      <c r="A65" s="3" t="s">
        <v>329</v>
      </c>
      <c r="B65" s="3">
        <v>19</v>
      </c>
      <c r="C65" s="3" t="s">
        <v>364</v>
      </c>
      <c r="D65" s="3" t="s">
        <v>365</v>
      </c>
      <c r="E65" s="3"/>
      <c r="F65" s="3">
        <v>2</v>
      </c>
      <c r="G65" s="3" t="s">
        <v>13</v>
      </c>
      <c r="H65" s="3"/>
      <c r="I65" s="3">
        <v>16</v>
      </c>
    </row>
    <row r="66" spans="1:9" x14ac:dyDescent="0.25">
      <c r="A66" s="4" t="s">
        <v>329</v>
      </c>
      <c r="B66" s="4">
        <v>20</v>
      </c>
      <c r="C66" s="4" t="s">
        <v>366</v>
      </c>
      <c r="D66" s="4" t="s">
        <v>367</v>
      </c>
      <c r="E66" s="4"/>
      <c r="F66" s="4">
        <v>1</v>
      </c>
      <c r="G66" s="4" t="s">
        <v>12</v>
      </c>
      <c r="H66" s="4"/>
      <c r="I66" s="4">
        <v>1</v>
      </c>
    </row>
    <row r="67" spans="1:9" x14ac:dyDescent="0.25">
      <c r="A67" s="4" t="s">
        <v>329</v>
      </c>
      <c r="B67" s="4">
        <v>20</v>
      </c>
      <c r="C67" s="4" t="s">
        <v>366</v>
      </c>
      <c r="D67" s="4" t="s">
        <v>367</v>
      </c>
      <c r="E67" s="4"/>
      <c r="F67" s="4">
        <v>2</v>
      </c>
      <c r="G67" s="4" t="s">
        <v>13</v>
      </c>
      <c r="H67" s="4"/>
      <c r="I67" s="4">
        <v>16</v>
      </c>
    </row>
    <row r="68" spans="1:9" x14ac:dyDescent="0.25">
      <c r="A68" s="3" t="s">
        <v>329</v>
      </c>
      <c r="B68" s="3">
        <v>21</v>
      </c>
      <c r="C68" s="3" t="s">
        <v>368</v>
      </c>
      <c r="D68" s="3" t="s">
        <v>369</v>
      </c>
      <c r="E68" s="3"/>
      <c r="F68" s="3">
        <v>1</v>
      </c>
      <c r="G68" s="3" t="s">
        <v>12</v>
      </c>
      <c r="H68" s="3"/>
      <c r="I68" s="3">
        <v>1</v>
      </c>
    </row>
    <row r="69" spans="1:9" x14ac:dyDescent="0.25">
      <c r="A69" s="3" t="s">
        <v>329</v>
      </c>
      <c r="B69" s="3">
        <v>21</v>
      </c>
      <c r="C69" s="3" t="s">
        <v>368</v>
      </c>
      <c r="D69" s="3" t="s">
        <v>369</v>
      </c>
      <c r="E69" s="3"/>
      <c r="F69" s="3">
        <v>2</v>
      </c>
      <c r="G69" s="3" t="s">
        <v>13</v>
      </c>
      <c r="H69" s="3"/>
      <c r="I69" s="3">
        <v>16</v>
      </c>
    </row>
    <row r="70" spans="1:9" x14ac:dyDescent="0.25">
      <c r="A70" s="4" t="s">
        <v>329</v>
      </c>
      <c r="B70" s="4">
        <v>22</v>
      </c>
      <c r="C70" s="4" t="s">
        <v>370</v>
      </c>
      <c r="D70" s="4" t="s">
        <v>371</v>
      </c>
      <c r="E70" s="4"/>
      <c r="F70" s="4">
        <v>1</v>
      </c>
      <c r="G70" s="4" t="s">
        <v>12</v>
      </c>
      <c r="H70" s="4"/>
      <c r="I70" s="4">
        <v>1</v>
      </c>
    </row>
    <row r="71" spans="1:9" x14ac:dyDescent="0.25">
      <c r="A71" s="4" t="s">
        <v>329</v>
      </c>
      <c r="B71" s="4">
        <v>22</v>
      </c>
      <c r="C71" s="4" t="s">
        <v>370</v>
      </c>
      <c r="D71" s="4" t="s">
        <v>371</v>
      </c>
      <c r="E71" s="4"/>
      <c r="F71" s="4">
        <v>2</v>
      </c>
      <c r="G71" s="4" t="s">
        <v>13</v>
      </c>
      <c r="H71" s="4"/>
      <c r="I71" s="4">
        <v>16</v>
      </c>
    </row>
    <row r="72" spans="1:9" x14ac:dyDescent="0.25">
      <c r="A72" s="3" t="s">
        <v>329</v>
      </c>
      <c r="B72" s="3">
        <v>23</v>
      </c>
      <c r="C72" s="3" t="s">
        <v>372</v>
      </c>
      <c r="D72" s="3" t="s">
        <v>373</v>
      </c>
      <c r="E72" s="3"/>
      <c r="F72" s="3">
        <v>1</v>
      </c>
      <c r="G72" s="3" t="s">
        <v>12</v>
      </c>
      <c r="H72" s="3"/>
      <c r="I72" s="3">
        <v>1</v>
      </c>
    </row>
    <row r="73" spans="1:9" x14ac:dyDescent="0.25">
      <c r="A73" s="3" t="s">
        <v>329</v>
      </c>
      <c r="B73" s="3">
        <v>23</v>
      </c>
      <c r="C73" s="3" t="s">
        <v>372</v>
      </c>
      <c r="D73" s="3" t="s">
        <v>373</v>
      </c>
      <c r="E73" s="3"/>
      <c r="F73" s="3">
        <v>2</v>
      </c>
      <c r="G73" s="3" t="s">
        <v>13</v>
      </c>
      <c r="H73" s="3"/>
      <c r="I73" s="3">
        <v>16</v>
      </c>
    </row>
    <row r="74" spans="1:9" x14ac:dyDescent="0.25">
      <c r="A74" s="4" t="s">
        <v>329</v>
      </c>
      <c r="B74" s="4">
        <v>24</v>
      </c>
      <c r="C74" s="4" t="s">
        <v>374</v>
      </c>
      <c r="D74" s="4" t="s">
        <v>375</v>
      </c>
      <c r="E74" s="4"/>
      <c r="F74" s="4">
        <v>1</v>
      </c>
      <c r="G74" s="4" t="s">
        <v>12</v>
      </c>
      <c r="H74" s="4"/>
      <c r="I74" s="4">
        <v>1</v>
      </c>
    </row>
    <row r="75" spans="1:9" x14ac:dyDescent="0.25">
      <c r="A75" s="4" t="s">
        <v>329</v>
      </c>
      <c r="B75" s="4">
        <v>24</v>
      </c>
      <c r="C75" s="4" t="s">
        <v>374</v>
      </c>
      <c r="D75" s="4" t="s">
        <v>375</v>
      </c>
      <c r="E75" s="4"/>
      <c r="F75" s="4">
        <v>2</v>
      </c>
      <c r="G75" s="4" t="s">
        <v>13</v>
      </c>
      <c r="H75" s="4"/>
      <c r="I75" s="4">
        <v>16</v>
      </c>
    </row>
    <row r="76" spans="1:9" x14ac:dyDescent="0.25">
      <c r="A76" s="3" t="s">
        <v>329</v>
      </c>
      <c r="B76" s="3">
        <v>25</v>
      </c>
      <c r="C76" s="3" t="s">
        <v>376</v>
      </c>
      <c r="D76" s="3" t="s">
        <v>377</v>
      </c>
      <c r="E76" s="3"/>
      <c r="F76" s="3">
        <v>1</v>
      </c>
      <c r="G76" s="3" t="s">
        <v>12</v>
      </c>
      <c r="H76" s="3"/>
      <c r="I76" s="3">
        <v>1</v>
      </c>
    </row>
    <row r="77" spans="1:9" x14ac:dyDescent="0.25">
      <c r="A77" s="3" t="s">
        <v>329</v>
      </c>
      <c r="B77" s="3">
        <v>25</v>
      </c>
      <c r="C77" s="3" t="s">
        <v>376</v>
      </c>
      <c r="D77" s="3" t="s">
        <v>377</v>
      </c>
      <c r="E77" s="3"/>
      <c r="F77" s="3">
        <v>2</v>
      </c>
      <c r="G77" s="3" t="s">
        <v>13</v>
      </c>
      <c r="H77" s="3"/>
      <c r="I77" s="3">
        <v>16</v>
      </c>
    </row>
    <row r="78" spans="1:9" x14ac:dyDescent="0.25">
      <c r="A78" s="4" t="s">
        <v>329</v>
      </c>
      <c r="B78" s="4">
        <v>26</v>
      </c>
      <c r="C78" s="4" t="s">
        <v>378</v>
      </c>
      <c r="D78" s="4" t="s">
        <v>379</v>
      </c>
      <c r="E78" s="4"/>
      <c r="F78" s="4">
        <v>1</v>
      </c>
      <c r="G78" s="4" t="s">
        <v>12</v>
      </c>
      <c r="H78" s="4"/>
      <c r="I78" s="4">
        <v>1</v>
      </c>
    </row>
    <row r="79" spans="1:9" x14ac:dyDescent="0.25">
      <c r="A79" s="4" t="s">
        <v>329</v>
      </c>
      <c r="B79" s="4">
        <v>26</v>
      </c>
      <c r="C79" s="4" t="s">
        <v>378</v>
      </c>
      <c r="D79" s="4" t="s">
        <v>379</v>
      </c>
      <c r="E79" s="4"/>
      <c r="F79" s="4">
        <v>2</v>
      </c>
      <c r="G79" s="4" t="s">
        <v>13</v>
      </c>
      <c r="H79" s="4"/>
      <c r="I79" s="4">
        <v>16</v>
      </c>
    </row>
    <row r="80" spans="1:9" x14ac:dyDescent="0.25">
      <c r="A80" s="3" t="s">
        <v>329</v>
      </c>
      <c r="B80" s="3">
        <v>27</v>
      </c>
      <c r="C80" s="3" t="s">
        <v>380</v>
      </c>
      <c r="D80" s="3" t="s">
        <v>381</v>
      </c>
      <c r="E80" s="3"/>
      <c r="F80" s="3">
        <v>1</v>
      </c>
      <c r="G80" s="3" t="s">
        <v>12</v>
      </c>
      <c r="H80" s="3"/>
      <c r="I80" s="3">
        <v>1</v>
      </c>
    </row>
    <row r="81" spans="1:9" x14ac:dyDescent="0.25">
      <c r="A81" s="3" t="s">
        <v>329</v>
      </c>
      <c r="B81" s="3">
        <v>27</v>
      </c>
      <c r="C81" s="3" t="s">
        <v>380</v>
      </c>
      <c r="D81" s="3" t="s">
        <v>381</v>
      </c>
      <c r="E81" s="3"/>
      <c r="F81" s="3">
        <v>2</v>
      </c>
      <c r="G81" s="3" t="s">
        <v>13</v>
      </c>
      <c r="H81" s="3"/>
      <c r="I81" s="3">
        <v>16</v>
      </c>
    </row>
    <row r="82" spans="1:9" x14ac:dyDescent="0.25">
      <c r="A82" s="4" t="s">
        <v>329</v>
      </c>
      <c r="B82" s="4">
        <v>28</v>
      </c>
      <c r="C82" s="4" t="s">
        <v>382</v>
      </c>
      <c r="D82" s="4" t="s">
        <v>383</v>
      </c>
      <c r="E82" s="4"/>
      <c r="F82" s="4">
        <v>1</v>
      </c>
      <c r="G82" s="4" t="s">
        <v>12</v>
      </c>
      <c r="H82" s="4"/>
      <c r="I82" s="4">
        <v>1</v>
      </c>
    </row>
    <row r="83" spans="1:9" x14ac:dyDescent="0.25">
      <c r="A83" s="4" t="s">
        <v>329</v>
      </c>
      <c r="B83" s="4">
        <v>28</v>
      </c>
      <c r="C83" s="4" t="s">
        <v>382</v>
      </c>
      <c r="D83" s="4" t="s">
        <v>383</v>
      </c>
      <c r="E83" s="4"/>
      <c r="F83" s="4">
        <v>2</v>
      </c>
      <c r="G83" s="4" t="s">
        <v>13</v>
      </c>
      <c r="H83" s="4"/>
      <c r="I83" s="4">
        <v>16</v>
      </c>
    </row>
    <row r="84" spans="1:9" x14ac:dyDescent="0.25">
      <c r="A84" s="3" t="s">
        <v>329</v>
      </c>
      <c r="B84" s="3">
        <v>29</v>
      </c>
      <c r="C84" s="3" t="s">
        <v>384</v>
      </c>
      <c r="D84" s="3" t="s">
        <v>385</v>
      </c>
      <c r="E84" s="3"/>
      <c r="F84" s="3">
        <v>1</v>
      </c>
      <c r="G84" s="3" t="s">
        <v>12</v>
      </c>
      <c r="H84" s="3"/>
      <c r="I84" s="3">
        <v>1</v>
      </c>
    </row>
    <row r="85" spans="1:9" x14ac:dyDescent="0.25">
      <c r="A85" s="3" t="s">
        <v>329</v>
      </c>
      <c r="B85" s="3">
        <v>29</v>
      </c>
      <c r="C85" s="3" t="s">
        <v>384</v>
      </c>
      <c r="D85" s="3" t="s">
        <v>385</v>
      </c>
      <c r="E85" s="3"/>
      <c r="F85" s="3">
        <v>2</v>
      </c>
      <c r="G85" s="3" t="s">
        <v>13</v>
      </c>
      <c r="H85" s="3"/>
      <c r="I85" s="3">
        <v>16</v>
      </c>
    </row>
    <row r="86" spans="1:9" x14ac:dyDescent="0.25">
      <c r="A86" s="4" t="s">
        <v>329</v>
      </c>
      <c r="B86" s="4">
        <v>30</v>
      </c>
      <c r="C86" s="4" t="s">
        <v>386</v>
      </c>
      <c r="D86" s="4" t="s">
        <v>387</v>
      </c>
      <c r="E86" s="4"/>
      <c r="F86" s="4">
        <v>1</v>
      </c>
      <c r="G86" s="4" t="s">
        <v>12</v>
      </c>
      <c r="H86" s="4"/>
      <c r="I86" s="4">
        <v>1</v>
      </c>
    </row>
    <row r="87" spans="1:9" x14ac:dyDescent="0.25">
      <c r="A87" s="4" t="s">
        <v>329</v>
      </c>
      <c r="B87" s="4">
        <v>30</v>
      </c>
      <c r="C87" s="4" t="s">
        <v>386</v>
      </c>
      <c r="D87" s="4" t="s">
        <v>387</v>
      </c>
      <c r="E87" s="4"/>
      <c r="F87" s="4">
        <v>2</v>
      </c>
      <c r="G87" s="4" t="s">
        <v>13</v>
      </c>
      <c r="H87" s="4"/>
      <c r="I87" s="4">
        <v>16</v>
      </c>
    </row>
    <row r="88" spans="1:9" x14ac:dyDescent="0.25">
      <c r="A88" s="3" t="s">
        <v>329</v>
      </c>
      <c r="B88" s="3">
        <v>31</v>
      </c>
      <c r="C88" s="3" t="s">
        <v>388</v>
      </c>
      <c r="D88" s="3" t="s">
        <v>389</v>
      </c>
      <c r="E88" s="3"/>
      <c r="F88" s="3">
        <v>1</v>
      </c>
      <c r="G88" s="3" t="s">
        <v>12</v>
      </c>
      <c r="H88" s="3"/>
      <c r="I88" s="3">
        <v>1</v>
      </c>
    </row>
    <row r="89" spans="1:9" x14ac:dyDescent="0.25">
      <c r="A89" s="3" t="s">
        <v>329</v>
      </c>
      <c r="B89" s="3">
        <v>31</v>
      </c>
      <c r="C89" s="3" t="s">
        <v>388</v>
      </c>
      <c r="D89" s="3" t="s">
        <v>389</v>
      </c>
      <c r="E89" s="3"/>
      <c r="F89" s="3">
        <v>2</v>
      </c>
      <c r="G89" s="3" t="s">
        <v>13</v>
      </c>
      <c r="H89" s="3"/>
      <c r="I89" s="3">
        <v>16</v>
      </c>
    </row>
    <row r="90" spans="1:9" x14ac:dyDescent="0.25">
      <c r="A90" s="4" t="s">
        <v>329</v>
      </c>
      <c r="B90" s="4">
        <v>32</v>
      </c>
      <c r="C90" s="4" t="s">
        <v>390</v>
      </c>
      <c r="D90" s="4" t="s">
        <v>391</v>
      </c>
      <c r="E90" s="4"/>
      <c r="F90" s="4">
        <v>1</v>
      </c>
      <c r="G90" s="4" t="s">
        <v>12</v>
      </c>
      <c r="H90" s="4"/>
      <c r="I90" s="4">
        <v>1</v>
      </c>
    </row>
    <row r="91" spans="1:9" x14ac:dyDescent="0.25">
      <c r="A91" s="4" t="s">
        <v>329</v>
      </c>
      <c r="B91" s="4">
        <v>32</v>
      </c>
      <c r="C91" s="4" t="s">
        <v>390</v>
      </c>
      <c r="D91" s="4" t="s">
        <v>391</v>
      </c>
      <c r="E91" s="4"/>
      <c r="F91" s="4">
        <v>2</v>
      </c>
      <c r="G91" s="4" t="s">
        <v>13</v>
      </c>
      <c r="H91" s="4"/>
      <c r="I91" s="4">
        <v>16</v>
      </c>
    </row>
    <row r="92" spans="1:9" x14ac:dyDescent="0.25">
      <c r="A92" s="3" t="s">
        <v>329</v>
      </c>
      <c r="B92" s="3">
        <v>33</v>
      </c>
      <c r="C92" s="3" t="s">
        <v>392</v>
      </c>
      <c r="D92" s="3" t="s">
        <v>393</v>
      </c>
      <c r="E92" s="3"/>
      <c r="F92" s="3">
        <v>1</v>
      </c>
      <c r="G92" s="3" t="s">
        <v>12</v>
      </c>
      <c r="H92" s="3"/>
      <c r="I92" s="3">
        <v>1</v>
      </c>
    </row>
    <row r="93" spans="1:9" x14ac:dyDescent="0.25">
      <c r="A93" s="3" t="s">
        <v>329</v>
      </c>
      <c r="B93" s="3">
        <v>33</v>
      </c>
      <c r="C93" s="3" t="s">
        <v>392</v>
      </c>
      <c r="D93" s="3" t="s">
        <v>393</v>
      </c>
      <c r="E93" s="3"/>
      <c r="F93" s="3">
        <v>2</v>
      </c>
      <c r="G93" s="3" t="s">
        <v>13</v>
      </c>
      <c r="H93" s="3"/>
      <c r="I93" s="3">
        <v>16</v>
      </c>
    </row>
    <row r="94" spans="1:9" x14ac:dyDescent="0.25">
      <c r="A94" s="4" t="s">
        <v>329</v>
      </c>
      <c r="B94" s="4">
        <v>34</v>
      </c>
      <c r="C94" s="4" t="s">
        <v>394</v>
      </c>
      <c r="D94" s="4" t="s">
        <v>395</v>
      </c>
      <c r="E94" s="4"/>
      <c r="F94" s="4">
        <v>1</v>
      </c>
      <c r="G94" s="4" t="s">
        <v>12</v>
      </c>
      <c r="H94" s="4"/>
      <c r="I94" s="4">
        <v>1</v>
      </c>
    </row>
    <row r="95" spans="1:9" x14ac:dyDescent="0.25">
      <c r="A95" s="4" t="s">
        <v>329</v>
      </c>
      <c r="B95" s="4">
        <v>34</v>
      </c>
      <c r="C95" s="4" t="s">
        <v>394</v>
      </c>
      <c r="D95" s="4" t="s">
        <v>395</v>
      </c>
      <c r="E95" s="4"/>
      <c r="F95" s="4">
        <v>2</v>
      </c>
      <c r="G95" s="4" t="s">
        <v>13</v>
      </c>
      <c r="H95" s="4"/>
      <c r="I95" s="4">
        <v>16</v>
      </c>
    </row>
    <row r="96" spans="1:9" x14ac:dyDescent="0.25">
      <c r="A96" s="3" t="s">
        <v>329</v>
      </c>
      <c r="B96" s="3">
        <v>35</v>
      </c>
      <c r="C96" s="3" t="s">
        <v>396</v>
      </c>
      <c r="D96" s="3" t="s">
        <v>397</v>
      </c>
      <c r="E96" s="3"/>
      <c r="F96" s="3">
        <v>1</v>
      </c>
      <c r="G96" s="3" t="s">
        <v>12</v>
      </c>
      <c r="H96" s="3"/>
      <c r="I96" s="3">
        <v>1</v>
      </c>
    </row>
    <row r="97" spans="1:9" x14ac:dyDescent="0.25">
      <c r="A97" s="3" t="s">
        <v>329</v>
      </c>
      <c r="B97" s="3">
        <v>35</v>
      </c>
      <c r="C97" s="3" t="s">
        <v>396</v>
      </c>
      <c r="D97" s="3" t="s">
        <v>397</v>
      </c>
      <c r="E97" s="3"/>
      <c r="F97" s="3">
        <v>2</v>
      </c>
      <c r="G97" s="3" t="s">
        <v>13</v>
      </c>
      <c r="H97" s="3"/>
      <c r="I97" s="3">
        <v>16</v>
      </c>
    </row>
    <row r="98" spans="1:9" x14ac:dyDescent="0.25">
      <c r="A98" s="4" t="s">
        <v>329</v>
      </c>
      <c r="B98" s="4">
        <v>36</v>
      </c>
      <c r="C98" s="4" t="s">
        <v>398</v>
      </c>
      <c r="D98" s="4" t="s">
        <v>399</v>
      </c>
      <c r="E98" s="4"/>
      <c r="F98" s="4">
        <v>1</v>
      </c>
      <c r="G98" s="4" t="s">
        <v>12</v>
      </c>
      <c r="H98" s="4"/>
      <c r="I98" s="4">
        <v>1</v>
      </c>
    </row>
    <row r="99" spans="1:9" x14ac:dyDescent="0.25">
      <c r="A99" s="4" t="s">
        <v>329</v>
      </c>
      <c r="B99" s="4">
        <v>36</v>
      </c>
      <c r="C99" s="4" t="s">
        <v>398</v>
      </c>
      <c r="D99" s="4" t="s">
        <v>399</v>
      </c>
      <c r="E99" s="4"/>
      <c r="F99" s="4">
        <v>2</v>
      </c>
      <c r="G99" s="4" t="s">
        <v>13</v>
      </c>
      <c r="H99" s="4"/>
      <c r="I99" s="4">
        <v>16</v>
      </c>
    </row>
    <row r="100" spans="1:9" x14ac:dyDescent="0.25">
      <c r="A100" s="3" t="s">
        <v>329</v>
      </c>
      <c r="B100" s="3">
        <v>37</v>
      </c>
      <c r="C100" s="3" t="s">
        <v>400</v>
      </c>
      <c r="D100" s="3" t="s">
        <v>401</v>
      </c>
      <c r="E100" s="3"/>
      <c r="F100" s="3">
        <v>1</v>
      </c>
      <c r="G100" s="3" t="s">
        <v>12</v>
      </c>
      <c r="H100" s="3"/>
      <c r="I100" s="3">
        <v>1</v>
      </c>
    </row>
    <row r="101" spans="1:9" x14ac:dyDescent="0.25">
      <c r="A101" s="3" t="s">
        <v>329</v>
      </c>
      <c r="B101" s="3">
        <v>37</v>
      </c>
      <c r="C101" s="3" t="s">
        <v>400</v>
      </c>
      <c r="D101" s="3" t="s">
        <v>401</v>
      </c>
      <c r="E101" s="3"/>
      <c r="F101" s="3">
        <v>2</v>
      </c>
      <c r="G101" s="3" t="s">
        <v>13</v>
      </c>
      <c r="H101" s="3"/>
      <c r="I101" s="3">
        <v>16</v>
      </c>
    </row>
    <row r="102" spans="1:9" x14ac:dyDescent="0.25">
      <c r="A102" s="4" t="s">
        <v>329</v>
      </c>
      <c r="B102" s="4">
        <v>38</v>
      </c>
      <c r="C102" s="4" t="s">
        <v>402</v>
      </c>
      <c r="D102" s="4" t="s">
        <v>403</v>
      </c>
      <c r="E102" s="4"/>
      <c r="F102" s="4">
        <v>1</v>
      </c>
      <c r="G102" s="4" t="s">
        <v>12</v>
      </c>
      <c r="H102" s="4"/>
      <c r="I102" s="4">
        <v>1</v>
      </c>
    </row>
    <row r="103" spans="1:9" x14ac:dyDescent="0.25">
      <c r="A103" s="4" t="s">
        <v>329</v>
      </c>
      <c r="B103" s="4">
        <v>38</v>
      </c>
      <c r="C103" s="4" t="s">
        <v>402</v>
      </c>
      <c r="D103" s="4" t="s">
        <v>403</v>
      </c>
      <c r="E103" s="4"/>
      <c r="F103" s="4">
        <v>2</v>
      </c>
      <c r="G103" s="4" t="s">
        <v>13</v>
      </c>
      <c r="H103" s="4"/>
      <c r="I103" s="4">
        <v>16</v>
      </c>
    </row>
    <row r="104" spans="1:9" x14ac:dyDescent="0.25">
      <c r="A104" s="3" t="s">
        <v>329</v>
      </c>
      <c r="B104" s="3">
        <v>39</v>
      </c>
      <c r="C104" s="3" t="s">
        <v>404</v>
      </c>
      <c r="D104" s="3" t="s">
        <v>405</v>
      </c>
      <c r="E104" s="3"/>
      <c r="F104" s="3">
        <v>1</v>
      </c>
      <c r="G104" s="3" t="s">
        <v>12</v>
      </c>
      <c r="H104" s="3"/>
      <c r="I104" s="3">
        <v>1</v>
      </c>
    </row>
    <row r="105" spans="1:9" x14ac:dyDescent="0.25">
      <c r="A105" s="3" t="s">
        <v>329</v>
      </c>
      <c r="B105" s="3">
        <v>39</v>
      </c>
      <c r="C105" s="3" t="s">
        <v>404</v>
      </c>
      <c r="D105" s="3" t="s">
        <v>405</v>
      </c>
      <c r="E105" s="3"/>
      <c r="F105" s="3">
        <v>2</v>
      </c>
      <c r="G105" s="3" t="s">
        <v>13</v>
      </c>
      <c r="H105" s="3"/>
      <c r="I105" s="3">
        <v>16</v>
      </c>
    </row>
    <row r="106" spans="1:9" x14ac:dyDescent="0.25">
      <c r="A106" s="4" t="s">
        <v>329</v>
      </c>
      <c r="B106" s="4">
        <v>40</v>
      </c>
      <c r="C106" s="4" t="s">
        <v>406</v>
      </c>
      <c r="D106" s="4" t="s">
        <v>407</v>
      </c>
      <c r="E106" s="4"/>
      <c r="F106" s="4">
        <v>1</v>
      </c>
      <c r="G106" s="4" t="s">
        <v>12</v>
      </c>
      <c r="H106" s="4"/>
      <c r="I106" s="4">
        <v>1</v>
      </c>
    </row>
    <row r="107" spans="1:9" x14ac:dyDescent="0.25">
      <c r="A107" s="4" t="s">
        <v>329</v>
      </c>
      <c r="B107" s="4">
        <v>40</v>
      </c>
      <c r="C107" s="4" t="s">
        <v>406</v>
      </c>
      <c r="D107" s="4" t="s">
        <v>407</v>
      </c>
      <c r="E107" s="4"/>
      <c r="F107" s="4">
        <v>2</v>
      </c>
      <c r="G107" s="4" t="s">
        <v>13</v>
      </c>
      <c r="H107" s="4"/>
      <c r="I107" s="4">
        <v>16</v>
      </c>
    </row>
    <row r="108" spans="1:9" x14ac:dyDescent="0.25">
      <c r="A108" s="3" t="s">
        <v>329</v>
      </c>
      <c r="B108" s="3">
        <v>41</v>
      </c>
      <c r="C108" s="3" t="s">
        <v>408</v>
      </c>
      <c r="D108" s="3" t="s">
        <v>409</v>
      </c>
      <c r="E108" s="3"/>
      <c r="F108" s="3">
        <v>1</v>
      </c>
      <c r="G108" s="3" t="s">
        <v>12</v>
      </c>
      <c r="H108" s="3"/>
      <c r="I108" s="3">
        <v>1</v>
      </c>
    </row>
    <row r="109" spans="1:9" x14ac:dyDescent="0.25">
      <c r="A109" s="3" t="s">
        <v>329</v>
      </c>
      <c r="B109" s="3">
        <v>41</v>
      </c>
      <c r="C109" s="3" t="s">
        <v>408</v>
      </c>
      <c r="D109" s="3" t="s">
        <v>409</v>
      </c>
      <c r="E109" s="3"/>
      <c r="F109" s="3">
        <v>2</v>
      </c>
      <c r="G109" s="3" t="s">
        <v>13</v>
      </c>
      <c r="H109" s="3"/>
      <c r="I109" s="3">
        <v>16</v>
      </c>
    </row>
    <row r="110" spans="1:9" x14ac:dyDescent="0.25">
      <c r="A110" s="4" t="s">
        <v>329</v>
      </c>
      <c r="B110" s="4">
        <v>42</v>
      </c>
      <c r="C110" s="4" t="s">
        <v>410</v>
      </c>
      <c r="D110" s="4" t="s">
        <v>411</v>
      </c>
      <c r="E110" s="4"/>
      <c r="F110" s="4">
        <v>1</v>
      </c>
      <c r="G110" s="4" t="s">
        <v>12</v>
      </c>
      <c r="H110" s="4"/>
      <c r="I110" s="4">
        <v>1</v>
      </c>
    </row>
    <row r="111" spans="1:9" x14ac:dyDescent="0.25">
      <c r="A111" s="4" t="s">
        <v>329</v>
      </c>
      <c r="B111" s="4">
        <v>42</v>
      </c>
      <c r="C111" s="4" t="s">
        <v>410</v>
      </c>
      <c r="D111" s="4" t="s">
        <v>411</v>
      </c>
      <c r="E111" s="4"/>
      <c r="F111" s="4">
        <v>2</v>
      </c>
      <c r="G111" s="4" t="s">
        <v>13</v>
      </c>
      <c r="H111" s="4"/>
      <c r="I111" s="4">
        <v>16</v>
      </c>
    </row>
    <row r="112" spans="1:9" x14ac:dyDescent="0.25">
      <c r="A112" s="3" t="s">
        <v>329</v>
      </c>
      <c r="B112" s="3">
        <v>43</v>
      </c>
      <c r="C112" s="3" t="s">
        <v>412</v>
      </c>
      <c r="D112" s="3" t="s">
        <v>413</v>
      </c>
      <c r="E112" s="3"/>
      <c r="F112" s="3">
        <v>1</v>
      </c>
      <c r="G112" s="3" t="s">
        <v>12</v>
      </c>
      <c r="H112" s="3"/>
      <c r="I112" s="3">
        <v>1</v>
      </c>
    </row>
    <row r="113" spans="1:9" x14ac:dyDescent="0.25">
      <c r="A113" s="3" t="s">
        <v>329</v>
      </c>
      <c r="B113" s="3">
        <v>43</v>
      </c>
      <c r="C113" s="3" t="s">
        <v>412</v>
      </c>
      <c r="D113" s="3" t="s">
        <v>413</v>
      </c>
      <c r="E113" s="3"/>
      <c r="F113" s="3">
        <v>2</v>
      </c>
      <c r="G113" s="3" t="s">
        <v>13</v>
      </c>
      <c r="H113" s="3"/>
      <c r="I113" s="3">
        <v>16</v>
      </c>
    </row>
    <row r="114" spans="1:9" x14ac:dyDescent="0.25">
      <c r="A114" s="4" t="s">
        <v>329</v>
      </c>
      <c r="B114" s="4">
        <v>44</v>
      </c>
      <c r="C114" s="4" t="s">
        <v>414</v>
      </c>
      <c r="D114" s="4" t="s">
        <v>415</v>
      </c>
      <c r="E114" s="4"/>
      <c r="F114" s="4">
        <v>1</v>
      </c>
      <c r="G114" s="4" t="s">
        <v>12</v>
      </c>
      <c r="H114" s="4"/>
      <c r="I114" s="4">
        <v>1</v>
      </c>
    </row>
    <row r="115" spans="1:9" x14ac:dyDescent="0.25">
      <c r="A115" s="4" t="s">
        <v>329</v>
      </c>
      <c r="B115" s="4">
        <v>44</v>
      </c>
      <c r="C115" s="4" t="s">
        <v>414</v>
      </c>
      <c r="D115" s="4" t="s">
        <v>415</v>
      </c>
      <c r="E115" s="4"/>
      <c r="F115" s="4">
        <v>2</v>
      </c>
      <c r="G115" s="4" t="s">
        <v>13</v>
      </c>
      <c r="H115" s="4"/>
      <c r="I115" s="4">
        <v>16</v>
      </c>
    </row>
    <row r="116" spans="1:9" x14ac:dyDescent="0.25">
      <c r="A116" s="3" t="s">
        <v>329</v>
      </c>
      <c r="B116" s="3">
        <v>45</v>
      </c>
      <c r="C116" s="3" t="s">
        <v>416</v>
      </c>
      <c r="D116" s="3" t="s">
        <v>417</v>
      </c>
      <c r="E116" s="3"/>
      <c r="F116" s="3">
        <v>1</v>
      </c>
      <c r="G116" s="3" t="s">
        <v>12</v>
      </c>
      <c r="H116" s="3"/>
      <c r="I116" s="3">
        <v>1</v>
      </c>
    </row>
    <row r="117" spans="1:9" x14ac:dyDescent="0.25">
      <c r="A117" s="3" t="s">
        <v>329</v>
      </c>
      <c r="B117" s="3">
        <v>45</v>
      </c>
      <c r="C117" s="3" t="s">
        <v>416</v>
      </c>
      <c r="D117" s="3" t="s">
        <v>417</v>
      </c>
      <c r="E117" s="3"/>
      <c r="F117" s="3">
        <v>2</v>
      </c>
      <c r="G117" s="3" t="s">
        <v>13</v>
      </c>
      <c r="H117" s="3"/>
      <c r="I117" s="3">
        <v>16</v>
      </c>
    </row>
    <row r="118" spans="1:9" x14ac:dyDescent="0.25">
      <c r="A118" s="4" t="s">
        <v>329</v>
      </c>
      <c r="B118" s="4">
        <v>46</v>
      </c>
      <c r="C118" s="4" t="s">
        <v>418</v>
      </c>
      <c r="D118" s="4" t="s">
        <v>419</v>
      </c>
      <c r="E118" s="4"/>
      <c r="F118" s="4">
        <v>1</v>
      </c>
      <c r="G118" s="4" t="s">
        <v>12</v>
      </c>
      <c r="H118" s="4"/>
      <c r="I118" s="4">
        <v>1</v>
      </c>
    </row>
    <row r="119" spans="1:9" x14ac:dyDescent="0.25">
      <c r="A119" s="4" t="s">
        <v>329</v>
      </c>
      <c r="B119" s="4">
        <v>46</v>
      </c>
      <c r="C119" s="4" t="s">
        <v>418</v>
      </c>
      <c r="D119" s="4" t="s">
        <v>419</v>
      </c>
      <c r="E119" s="4"/>
      <c r="F119" s="4">
        <v>2</v>
      </c>
      <c r="G119" s="4" t="s">
        <v>13</v>
      </c>
      <c r="H119" s="4"/>
      <c r="I119" s="4">
        <v>16</v>
      </c>
    </row>
    <row r="120" spans="1:9" x14ac:dyDescent="0.25">
      <c r="A120" s="3" t="s">
        <v>329</v>
      </c>
      <c r="B120" s="3">
        <v>47</v>
      </c>
      <c r="C120" s="3" t="s">
        <v>420</v>
      </c>
      <c r="D120" s="3" t="s">
        <v>421</v>
      </c>
      <c r="E120" s="3"/>
      <c r="F120" s="3">
        <v>1</v>
      </c>
      <c r="G120" s="3" t="s">
        <v>12</v>
      </c>
      <c r="H120" s="3"/>
      <c r="I120" s="3">
        <v>1</v>
      </c>
    </row>
    <row r="121" spans="1:9" x14ac:dyDescent="0.25">
      <c r="A121" s="3" t="s">
        <v>329</v>
      </c>
      <c r="B121" s="3">
        <v>47</v>
      </c>
      <c r="C121" s="3" t="s">
        <v>420</v>
      </c>
      <c r="D121" s="3" t="s">
        <v>421</v>
      </c>
      <c r="E121" s="3"/>
      <c r="F121" s="3">
        <v>2</v>
      </c>
      <c r="G121" s="3" t="s">
        <v>13</v>
      </c>
      <c r="H121" s="3"/>
      <c r="I121" s="3">
        <v>16</v>
      </c>
    </row>
    <row r="122" spans="1:9" x14ac:dyDescent="0.25">
      <c r="A122" s="4" t="s">
        <v>329</v>
      </c>
      <c r="B122" s="4">
        <v>48</v>
      </c>
      <c r="C122" s="4" t="s">
        <v>422</v>
      </c>
      <c r="D122" s="4" t="s">
        <v>423</v>
      </c>
      <c r="E122" s="4"/>
      <c r="F122" s="4">
        <v>1</v>
      </c>
      <c r="G122" s="4" t="s">
        <v>12</v>
      </c>
      <c r="H122" s="4"/>
      <c r="I122" s="4">
        <v>1</v>
      </c>
    </row>
    <row r="123" spans="1:9" x14ac:dyDescent="0.25">
      <c r="A123" s="4" t="s">
        <v>329</v>
      </c>
      <c r="B123" s="4">
        <v>48</v>
      </c>
      <c r="C123" s="4" t="s">
        <v>422</v>
      </c>
      <c r="D123" s="4" t="s">
        <v>423</v>
      </c>
      <c r="E123" s="4"/>
      <c r="F123" s="4">
        <v>2</v>
      </c>
      <c r="G123" s="4" t="s">
        <v>13</v>
      </c>
      <c r="H123" s="4"/>
      <c r="I123" s="4">
        <v>16</v>
      </c>
    </row>
    <row r="124" spans="1:9" x14ac:dyDescent="0.25">
      <c r="A124" s="3" t="s">
        <v>329</v>
      </c>
      <c r="B124" s="3">
        <v>49</v>
      </c>
      <c r="C124" s="3" t="s">
        <v>424</v>
      </c>
      <c r="D124" s="3" t="s">
        <v>425</v>
      </c>
      <c r="E124" s="3"/>
      <c r="F124" s="3">
        <v>1</v>
      </c>
      <c r="G124" s="3" t="s">
        <v>12</v>
      </c>
      <c r="H124" s="3"/>
      <c r="I124" s="3">
        <v>1</v>
      </c>
    </row>
    <row r="125" spans="1:9" x14ac:dyDescent="0.25">
      <c r="A125" s="3" t="s">
        <v>329</v>
      </c>
      <c r="B125" s="3">
        <v>49</v>
      </c>
      <c r="C125" s="3" t="s">
        <v>424</v>
      </c>
      <c r="D125" s="3" t="s">
        <v>425</v>
      </c>
      <c r="E125" s="3"/>
      <c r="F125" s="3">
        <v>2</v>
      </c>
      <c r="G125" s="3" t="s">
        <v>13</v>
      </c>
      <c r="H125" s="3"/>
      <c r="I125" s="3">
        <v>16</v>
      </c>
    </row>
    <row r="126" spans="1:9" x14ac:dyDescent="0.25">
      <c r="A126" s="4" t="s">
        <v>329</v>
      </c>
      <c r="B126" s="4">
        <v>50</v>
      </c>
      <c r="C126" s="4" t="s">
        <v>426</v>
      </c>
      <c r="D126" s="4" t="s">
        <v>427</v>
      </c>
      <c r="E126" s="4"/>
      <c r="F126" s="4">
        <v>1</v>
      </c>
      <c r="G126" s="4" t="s">
        <v>12</v>
      </c>
      <c r="H126" s="4"/>
      <c r="I126" s="4">
        <v>1</v>
      </c>
    </row>
    <row r="127" spans="1:9" x14ac:dyDescent="0.25">
      <c r="A127" s="4" t="s">
        <v>329</v>
      </c>
      <c r="B127" s="4">
        <v>50</v>
      </c>
      <c r="C127" s="4" t="s">
        <v>426</v>
      </c>
      <c r="D127" s="4" t="s">
        <v>427</v>
      </c>
      <c r="E127" s="4"/>
      <c r="F127" s="4">
        <v>2</v>
      </c>
      <c r="G127" s="4" t="s">
        <v>13</v>
      </c>
      <c r="H127" s="4"/>
      <c r="I127" s="4">
        <v>16</v>
      </c>
    </row>
    <row r="128" spans="1:9" x14ac:dyDescent="0.25">
      <c r="A128" s="3" t="s">
        <v>329</v>
      </c>
      <c r="B128" s="3">
        <v>51</v>
      </c>
      <c r="C128" s="3" t="s">
        <v>428</v>
      </c>
      <c r="D128" s="3" t="s">
        <v>429</v>
      </c>
      <c r="E128" s="3"/>
      <c r="F128" s="3">
        <v>1</v>
      </c>
      <c r="G128" s="3" t="s">
        <v>12</v>
      </c>
      <c r="H128" s="3"/>
      <c r="I128" s="3">
        <v>1</v>
      </c>
    </row>
    <row r="129" spans="1:9" x14ac:dyDescent="0.25">
      <c r="A129" s="3" t="s">
        <v>329</v>
      </c>
      <c r="B129" s="3">
        <v>51</v>
      </c>
      <c r="C129" s="3" t="s">
        <v>428</v>
      </c>
      <c r="D129" s="3" t="s">
        <v>429</v>
      </c>
      <c r="E129" s="3"/>
      <c r="F129" s="3">
        <v>2</v>
      </c>
      <c r="G129" s="3" t="s">
        <v>13</v>
      </c>
      <c r="H129" s="3"/>
      <c r="I129" s="3">
        <v>16</v>
      </c>
    </row>
    <row r="130" spans="1:9" x14ac:dyDescent="0.25">
      <c r="A130" s="4" t="s">
        <v>329</v>
      </c>
      <c r="B130" s="4">
        <v>52</v>
      </c>
      <c r="C130" s="4" t="s">
        <v>430</v>
      </c>
      <c r="D130" s="4" t="s">
        <v>431</v>
      </c>
      <c r="E130" s="4"/>
      <c r="F130" s="4">
        <v>1</v>
      </c>
      <c r="G130" s="4" t="s">
        <v>12</v>
      </c>
      <c r="H130" s="4"/>
      <c r="I130" s="4">
        <v>1</v>
      </c>
    </row>
    <row r="131" spans="1:9" x14ac:dyDescent="0.25">
      <c r="A131" s="4" t="s">
        <v>329</v>
      </c>
      <c r="B131" s="4">
        <v>52</v>
      </c>
      <c r="C131" s="4" t="s">
        <v>430</v>
      </c>
      <c r="D131" s="4" t="s">
        <v>431</v>
      </c>
      <c r="E131" s="4"/>
      <c r="F131" s="4">
        <v>2</v>
      </c>
      <c r="G131" s="4" t="s">
        <v>13</v>
      </c>
      <c r="H131" s="4"/>
      <c r="I131" s="4">
        <v>16</v>
      </c>
    </row>
    <row r="132" spans="1:9" x14ac:dyDescent="0.25">
      <c r="A132" s="3" t="s">
        <v>329</v>
      </c>
      <c r="B132" s="3">
        <v>53</v>
      </c>
      <c r="C132" s="3" t="s">
        <v>432</v>
      </c>
      <c r="D132" s="3" t="s">
        <v>433</v>
      </c>
      <c r="E132" s="3"/>
      <c r="F132" s="3">
        <v>1</v>
      </c>
      <c r="G132" s="3" t="s">
        <v>12</v>
      </c>
      <c r="H132" s="3"/>
      <c r="I132" s="3">
        <v>1</v>
      </c>
    </row>
    <row r="133" spans="1:9" x14ac:dyDescent="0.25">
      <c r="A133" s="3" t="s">
        <v>329</v>
      </c>
      <c r="B133" s="3">
        <v>53</v>
      </c>
      <c r="C133" s="3" t="s">
        <v>432</v>
      </c>
      <c r="D133" s="3" t="s">
        <v>433</v>
      </c>
      <c r="E133" s="3"/>
      <c r="F133" s="3">
        <v>2</v>
      </c>
      <c r="G133" s="3" t="s">
        <v>13</v>
      </c>
      <c r="H133" s="3"/>
      <c r="I133" s="3">
        <v>16</v>
      </c>
    </row>
    <row r="134" spans="1:9" x14ac:dyDescent="0.25">
      <c r="A134" s="4" t="s">
        <v>329</v>
      </c>
      <c r="B134" s="4">
        <v>54</v>
      </c>
      <c r="C134" s="4" t="s">
        <v>434</v>
      </c>
      <c r="D134" s="4" t="s">
        <v>435</v>
      </c>
      <c r="E134" s="4"/>
      <c r="F134" s="4">
        <v>1</v>
      </c>
      <c r="G134" s="4" t="s">
        <v>12</v>
      </c>
      <c r="H134" s="4"/>
      <c r="I134" s="4">
        <v>1</v>
      </c>
    </row>
    <row r="135" spans="1:9" x14ac:dyDescent="0.25">
      <c r="A135" s="4" t="s">
        <v>329</v>
      </c>
      <c r="B135" s="4">
        <v>54</v>
      </c>
      <c r="C135" s="4" t="s">
        <v>434</v>
      </c>
      <c r="D135" s="4" t="s">
        <v>435</v>
      </c>
      <c r="E135" s="4"/>
      <c r="F135" s="4">
        <v>2</v>
      </c>
      <c r="G135" s="4" t="s">
        <v>13</v>
      </c>
      <c r="H135" s="4"/>
      <c r="I135" s="4">
        <v>16</v>
      </c>
    </row>
    <row r="136" spans="1:9" x14ac:dyDescent="0.25">
      <c r="A136" s="3" t="s">
        <v>329</v>
      </c>
      <c r="B136" s="3">
        <v>55</v>
      </c>
      <c r="C136" s="3" t="s">
        <v>436</v>
      </c>
      <c r="D136" s="3" t="s">
        <v>437</v>
      </c>
      <c r="E136" s="3"/>
      <c r="F136" s="3">
        <v>1</v>
      </c>
      <c r="G136" s="3" t="s">
        <v>12</v>
      </c>
      <c r="H136" s="3"/>
      <c r="I136" s="3">
        <v>1</v>
      </c>
    </row>
    <row r="137" spans="1:9" x14ac:dyDescent="0.25">
      <c r="A137" s="3" t="s">
        <v>329</v>
      </c>
      <c r="B137" s="3">
        <v>55</v>
      </c>
      <c r="C137" s="3" t="s">
        <v>436</v>
      </c>
      <c r="D137" s="3" t="s">
        <v>437</v>
      </c>
      <c r="E137" s="3"/>
      <c r="F137" s="3">
        <v>2</v>
      </c>
      <c r="G137" s="3" t="s">
        <v>13</v>
      </c>
      <c r="H137" s="3"/>
      <c r="I137" s="3">
        <v>16</v>
      </c>
    </row>
    <row r="138" spans="1:9" x14ac:dyDescent="0.25">
      <c r="A138" s="4" t="s">
        <v>329</v>
      </c>
      <c r="B138" s="4">
        <v>56</v>
      </c>
      <c r="C138" s="4" t="s">
        <v>438</v>
      </c>
      <c r="D138" s="4" t="s">
        <v>439</v>
      </c>
      <c r="E138" s="4"/>
      <c r="F138" s="4">
        <v>1</v>
      </c>
      <c r="G138" s="4" t="s">
        <v>12</v>
      </c>
      <c r="H138" s="4"/>
      <c r="I138" s="4">
        <v>1</v>
      </c>
    </row>
    <row r="139" spans="1:9" x14ac:dyDescent="0.25">
      <c r="A139" s="4" t="s">
        <v>329</v>
      </c>
      <c r="B139" s="4">
        <v>56</v>
      </c>
      <c r="C139" s="4" t="s">
        <v>438</v>
      </c>
      <c r="D139" s="4" t="s">
        <v>439</v>
      </c>
      <c r="E139" s="4"/>
      <c r="F139" s="4">
        <v>2</v>
      </c>
      <c r="G139" s="4" t="s">
        <v>13</v>
      </c>
      <c r="H139" s="4"/>
      <c r="I139" s="4">
        <v>16</v>
      </c>
    </row>
    <row r="140" spans="1:9" x14ac:dyDescent="0.25">
      <c r="A140" s="3" t="s">
        <v>329</v>
      </c>
      <c r="B140" s="3">
        <v>57</v>
      </c>
      <c r="C140" s="3" t="s">
        <v>440</v>
      </c>
      <c r="D140" s="3" t="s">
        <v>441</v>
      </c>
      <c r="E140" s="3"/>
      <c r="F140" s="3">
        <v>1</v>
      </c>
      <c r="G140" s="3" t="s">
        <v>12</v>
      </c>
      <c r="H140" s="3"/>
      <c r="I140" s="3">
        <v>1</v>
      </c>
    </row>
    <row r="141" spans="1:9" x14ac:dyDescent="0.25">
      <c r="A141" s="3" t="s">
        <v>329</v>
      </c>
      <c r="B141" s="3">
        <v>57</v>
      </c>
      <c r="C141" s="3" t="s">
        <v>440</v>
      </c>
      <c r="D141" s="3" t="s">
        <v>441</v>
      </c>
      <c r="E141" s="3"/>
      <c r="F141" s="3">
        <v>2</v>
      </c>
      <c r="G141" s="3" t="s">
        <v>13</v>
      </c>
      <c r="H141" s="3"/>
      <c r="I141" s="3">
        <v>16</v>
      </c>
    </row>
    <row r="142" spans="1:9" x14ac:dyDescent="0.25">
      <c r="A142" s="4" t="s">
        <v>329</v>
      </c>
      <c r="B142" s="4">
        <v>58</v>
      </c>
      <c r="C142" s="4" t="s">
        <v>442</v>
      </c>
      <c r="D142" s="4" t="s">
        <v>443</v>
      </c>
      <c r="E142" s="4"/>
      <c r="F142" s="4">
        <v>1</v>
      </c>
      <c r="G142" s="4" t="s">
        <v>12</v>
      </c>
      <c r="H142" s="4"/>
      <c r="I142" s="4">
        <v>1</v>
      </c>
    </row>
    <row r="143" spans="1:9" x14ac:dyDescent="0.25">
      <c r="A143" s="4" t="s">
        <v>329</v>
      </c>
      <c r="B143" s="4">
        <v>58</v>
      </c>
      <c r="C143" s="4" t="s">
        <v>442</v>
      </c>
      <c r="D143" s="4" t="s">
        <v>443</v>
      </c>
      <c r="E143" s="4"/>
      <c r="F143" s="4">
        <v>2</v>
      </c>
      <c r="G143" s="4" t="s">
        <v>13</v>
      </c>
      <c r="H143" s="4"/>
      <c r="I143" s="4">
        <v>16</v>
      </c>
    </row>
    <row r="144" spans="1:9" x14ac:dyDescent="0.25">
      <c r="A144" s="3" t="s">
        <v>329</v>
      </c>
      <c r="B144" s="3">
        <v>59</v>
      </c>
      <c r="C144" s="3" t="s">
        <v>444</v>
      </c>
      <c r="D144" s="3" t="s">
        <v>445</v>
      </c>
      <c r="E144" s="3"/>
      <c r="F144" s="3">
        <v>1</v>
      </c>
      <c r="G144" s="3" t="s">
        <v>12</v>
      </c>
      <c r="H144" s="3"/>
      <c r="I144" s="3">
        <v>1</v>
      </c>
    </row>
    <row r="145" spans="1:9" x14ac:dyDescent="0.25">
      <c r="A145" s="3" t="s">
        <v>329</v>
      </c>
      <c r="B145" s="3">
        <v>59</v>
      </c>
      <c r="C145" s="3" t="s">
        <v>444</v>
      </c>
      <c r="D145" s="3" t="s">
        <v>445</v>
      </c>
      <c r="E145" s="3"/>
      <c r="F145" s="3">
        <v>2</v>
      </c>
      <c r="G145" s="3" t="s">
        <v>13</v>
      </c>
      <c r="H145" s="3"/>
      <c r="I145" s="3">
        <v>16</v>
      </c>
    </row>
    <row r="146" spans="1:9" x14ac:dyDescent="0.25">
      <c r="A146" s="4" t="s">
        <v>329</v>
      </c>
      <c r="B146" s="4">
        <v>60</v>
      </c>
      <c r="C146" s="4" t="s">
        <v>446</v>
      </c>
      <c r="D146" s="4" t="s">
        <v>447</v>
      </c>
      <c r="E146" s="4"/>
      <c r="F146" s="4">
        <v>1</v>
      </c>
      <c r="G146" s="4" t="s">
        <v>12</v>
      </c>
      <c r="H146" s="4"/>
      <c r="I146" s="4">
        <v>1</v>
      </c>
    </row>
    <row r="147" spans="1:9" x14ac:dyDescent="0.25">
      <c r="A147" s="4" t="s">
        <v>329</v>
      </c>
      <c r="B147" s="4">
        <v>60</v>
      </c>
      <c r="C147" s="4" t="s">
        <v>446</v>
      </c>
      <c r="D147" s="4" t="s">
        <v>447</v>
      </c>
      <c r="E147" s="4"/>
      <c r="F147" s="4">
        <v>2</v>
      </c>
      <c r="G147" s="4" t="s">
        <v>13</v>
      </c>
      <c r="H147" s="4"/>
      <c r="I147" s="4">
        <v>16</v>
      </c>
    </row>
    <row r="148" spans="1:9" x14ac:dyDescent="0.25">
      <c r="A148" s="3" t="s">
        <v>329</v>
      </c>
      <c r="B148" s="3">
        <v>61</v>
      </c>
      <c r="C148" s="3" t="s">
        <v>448</v>
      </c>
      <c r="D148" s="3" t="s">
        <v>449</v>
      </c>
      <c r="E148" s="3"/>
      <c r="F148" s="3">
        <v>1</v>
      </c>
      <c r="G148" s="3" t="s">
        <v>12</v>
      </c>
      <c r="H148" s="3"/>
      <c r="I148" s="3">
        <v>1</v>
      </c>
    </row>
    <row r="149" spans="1:9" x14ac:dyDescent="0.25">
      <c r="A149" s="3" t="s">
        <v>329</v>
      </c>
      <c r="B149" s="3">
        <v>61</v>
      </c>
      <c r="C149" s="3" t="s">
        <v>448</v>
      </c>
      <c r="D149" s="3" t="s">
        <v>449</v>
      </c>
      <c r="E149" s="3"/>
      <c r="F149" s="3">
        <v>2</v>
      </c>
      <c r="G149" s="3" t="s">
        <v>13</v>
      </c>
      <c r="H149" s="3"/>
      <c r="I149" s="3">
        <v>16</v>
      </c>
    </row>
    <row r="150" spans="1:9" x14ac:dyDescent="0.25">
      <c r="A150" s="4" t="s">
        <v>329</v>
      </c>
      <c r="B150" s="4">
        <v>62</v>
      </c>
      <c r="C150" s="4" t="s">
        <v>450</v>
      </c>
      <c r="D150" s="4" t="s">
        <v>451</v>
      </c>
      <c r="E150" s="4"/>
      <c r="F150" s="4">
        <v>1</v>
      </c>
      <c r="G150" s="4" t="s">
        <v>12</v>
      </c>
      <c r="H150" s="4"/>
      <c r="I150" s="4">
        <v>1</v>
      </c>
    </row>
    <row r="151" spans="1:9" x14ac:dyDescent="0.25">
      <c r="A151" s="4" t="s">
        <v>329</v>
      </c>
      <c r="B151" s="4">
        <v>62</v>
      </c>
      <c r="C151" s="4" t="s">
        <v>450</v>
      </c>
      <c r="D151" s="4" t="s">
        <v>451</v>
      </c>
      <c r="E151" s="4"/>
      <c r="F151" s="4">
        <v>2</v>
      </c>
      <c r="G151" s="4" t="s">
        <v>13</v>
      </c>
      <c r="H151" s="4"/>
      <c r="I151" s="4">
        <v>16</v>
      </c>
    </row>
    <row r="152" spans="1:9" x14ac:dyDescent="0.25">
      <c r="A152" s="3" t="s">
        <v>329</v>
      </c>
      <c r="B152" s="3">
        <v>63</v>
      </c>
      <c r="C152" s="3" t="s">
        <v>452</v>
      </c>
      <c r="D152" s="3" t="s">
        <v>453</v>
      </c>
      <c r="E152" s="3"/>
      <c r="F152" s="3">
        <v>1</v>
      </c>
      <c r="G152" s="3" t="s">
        <v>12</v>
      </c>
      <c r="H152" s="3"/>
      <c r="I152" s="3">
        <v>1</v>
      </c>
    </row>
    <row r="153" spans="1:9" x14ac:dyDescent="0.25">
      <c r="A153" s="3" t="s">
        <v>329</v>
      </c>
      <c r="B153" s="3">
        <v>63</v>
      </c>
      <c r="C153" s="3" t="s">
        <v>452</v>
      </c>
      <c r="D153" s="3" t="s">
        <v>453</v>
      </c>
      <c r="E153" s="3"/>
      <c r="F153" s="3">
        <v>2</v>
      </c>
      <c r="G153" s="3" t="s">
        <v>13</v>
      </c>
      <c r="H153" s="3"/>
      <c r="I153" s="3">
        <v>16</v>
      </c>
    </row>
    <row r="154" spans="1:9" x14ac:dyDescent="0.25">
      <c r="A154" s="4" t="s">
        <v>329</v>
      </c>
      <c r="B154" s="4">
        <v>64</v>
      </c>
      <c r="C154" s="4" t="s">
        <v>454</v>
      </c>
      <c r="D154" s="4" t="s">
        <v>455</v>
      </c>
      <c r="E154" s="4"/>
      <c r="F154" s="4">
        <v>1</v>
      </c>
      <c r="G154" s="4" t="s">
        <v>12</v>
      </c>
      <c r="H154" s="4"/>
      <c r="I154" s="4">
        <v>1</v>
      </c>
    </row>
    <row r="155" spans="1:9" x14ac:dyDescent="0.25">
      <c r="A155" s="4" t="s">
        <v>329</v>
      </c>
      <c r="B155" s="4">
        <v>64</v>
      </c>
      <c r="C155" s="4" t="s">
        <v>454</v>
      </c>
      <c r="D155" s="4" t="s">
        <v>455</v>
      </c>
      <c r="E155" s="4"/>
      <c r="F155" s="4">
        <v>2</v>
      </c>
      <c r="G155" s="4" t="s">
        <v>13</v>
      </c>
      <c r="H155" s="4"/>
      <c r="I155" s="4">
        <v>1</v>
      </c>
    </row>
    <row r="156" spans="1:9" x14ac:dyDescent="0.25">
      <c r="A156" s="3" t="s">
        <v>329</v>
      </c>
      <c r="B156" s="3">
        <v>65</v>
      </c>
      <c r="C156" s="3" t="s">
        <v>456</v>
      </c>
      <c r="D156" s="3" t="s">
        <v>457</v>
      </c>
      <c r="E156" s="3"/>
      <c r="F156" s="3">
        <v>1</v>
      </c>
      <c r="G156" s="3" t="s">
        <v>12</v>
      </c>
      <c r="H156" s="3"/>
      <c r="I156" s="3">
        <v>1</v>
      </c>
    </row>
    <row r="157" spans="1:9" x14ac:dyDescent="0.25">
      <c r="A157" s="3" t="s">
        <v>329</v>
      </c>
      <c r="B157" s="3">
        <v>65</v>
      </c>
      <c r="C157" s="3" t="s">
        <v>456</v>
      </c>
      <c r="D157" s="3" t="s">
        <v>457</v>
      </c>
      <c r="E157" s="3"/>
      <c r="F157" s="3">
        <v>2</v>
      </c>
      <c r="G157" s="3" t="s">
        <v>13</v>
      </c>
      <c r="H157" s="3"/>
      <c r="I157" s="3">
        <v>30</v>
      </c>
    </row>
    <row r="158" spans="1:9" x14ac:dyDescent="0.25">
      <c r="A158" s="4" t="s">
        <v>329</v>
      </c>
      <c r="B158" s="4">
        <v>66</v>
      </c>
      <c r="C158" s="4" t="s">
        <v>458</v>
      </c>
      <c r="D158" s="4" t="s">
        <v>459</v>
      </c>
      <c r="E158" s="4"/>
      <c r="F158" s="4">
        <v>1</v>
      </c>
      <c r="G158" s="4" t="s">
        <v>12</v>
      </c>
      <c r="H158" s="4"/>
      <c r="I158" s="4">
        <v>1</v>
      </c>
    </row>
    <row r="159" spans="1:9" x14ac:dyDescent="0.25">
      <c r="A159" s="4" t="s">
        <v>329</v>
      </c>
      <c r="B159" s="4">
        <v>66</v>
      </c>
      <c r="C159" s="4" t="s">
        <v>458</v>
      </c>
      <c r="D159" s="4" t="s">
        <v>459</v>
      </c>
      <c r="E159" s="4"/>
      <c r="F159" s="4">
        <v>2</v>
      </c>
      <c r="G159" s="4" t="s">
        <v>13</v>
      </c>
      <c r="H159" s="4"/>
      <c r="I159" s="4">
        <v>1</v>
      </c>
    </row>
    <row r="160" spans="1:9" x14ac:dyDescent="0.25">
      <c r="A160" s="3" t="s">
        <v>274</v>
      </c>
      <c r="B160" s="3">
        <v>1</v>
      </c>
      <c r="C160" s="3" t="s">
        <v>275</v>
      </c>
      <c r="D160" s="3" t="s">
        <v>276</v>
      </c>
      <c r="E160" s="3"/>
      <c r="F160" s="3">
        <v>1</v>
      </c>
      <c r="G160" s="3" t="s">
        <v>12</v>
      </c>
      <c r="H160" s="3"/>
      <c r="I160" s="3">
        <v>1</v>
      </c>
    </row>
    <row r="161" spans="1:9" x14ac:dyDescent="0.25">
      <c r="A161" s="3" t="s">
        <v>274</v>
      </c>
      <c r="B161" s="3">
        <v>1</v>
      </c>
      <c r="C161" s="3" t="s">
        <v>275</v>
      </c>
      <c r="D161" s="3" t="s">
        <v>276</v>
      </c>
      <c r="E161" s="3"/>
      <c r="F161" s="3">
        <v>2</v>
      </c>
      <c r="G161" s="3" t="s">
        <v>13</v>
      </c>
      <c r="H161" s="3"/>
      <c r="I161" s="3">
        <v>1</v>
      </c>
    </row>
    <row r="162" spans="1:9" x14ac:dyDescent="0.25">
      <c r="A162" s="4" t="s">
        <v>274</v>
      </c>
      <c r="B162" s="4">
        <v>2</v>
      </c>
      <c r="C162" s="4" t="s">
        <v>277</v>
      </c>
      <c r="D162" s="4" t="s">
        <v>278</v>
      </c>
      <c r="E162" s="4"/>
      <c r="F162" s="4">
        <v>1</v>
      </c>
      <c r="G162" s="4" t="s">
        <v>12</v>
      </c>
      <c r="H162" s="4"/>
      <c r="I162" s="4">
        <v>1</v>
      </c>
    </row>
    <row r="163" spans="1:9" x14ac:dyDescent="0.25">
      <c r="A163" s="4" t="s">
        <v>274</v>
      </c>
      <c r="B163" s="4">
        <v>2</v>
      </c>
      <c r="C163" s="4" t="s">
        <v>277</v>
      </c>
      <c r="D163" s="4" t="s">
        <v>278</v>
      </c>
      <c r="E163" s="4"/>
      <c r="F163" s="4">
        <v>2</v>
      </c>
      <c r="G163" s="4" t="s">
        <v>13</v>
      </c>
      <c r="H163" s="4"/>
      <c r="I163" s="4">
        <v>1</v>
      </c>
    </row>
    <row r="164" spans="1:9" x14ac:dyDescent="0.25">
      <c r="A164" s="3" t="s">
        <v>274</v>
      </c>
      <c r="B164" s="3">
        <v>3</v>
      </c>
      <c r="C164" s="3" t="s">
        <v>279</v>
      </c>
      <c r="D164" s="3" t="s">
        <v>280</v>
      </c>
      <c r="E164" s="3"/>
      <c r="F164" s="3">
        <v>1</v>
      </c>
      <c r="G164" s="3" t="s">
        <v>12</v>
      </c>
      <c r="H164" s="3"/>
      <c r="I164" s="3">
        <v>1</v>
      </c>
    </row>
    <row r="165" spans="1:9" x14ac:dyDescent="0.25">
      <c r="A165" s="3" t="s">
        <v>274</v>
      </c>
      <c r="B165" s="3">
        <v>3</v>
      </c>
      <c r="C165" s="3" t="s">
        <v>279</v>
      </c>
      <c r="D165" s="3" t="s">
        <v>280</v>
      </c>
      <c r="E165" s="3"/>
      <c r="F165" s="3">
        <v>2</v>
      </c>
      <c r="G165" s="3" t="s">
        <v>13</v>
      </c>
      <c r="H165" s="3"/>
      <c r="I165" s="3">
        <v>1</v>
      </c>
    </row>
    <row r="166" spans="1:9" x14ac:dyDescent="0.25">
      <c r="A166" s="4" t="s">
        <v>274</v>
      </c>
      <c r="B166" s="4">
        <v>4</v>
      </c>
      <c r="C166" s="4" t="s">
        <v>281</v>
      </c>
      <c r="D166" s="4" t="s">
        <v>282</v>
      </c>
      <c r="E166" s="4"/>
      <c r="F166" s="4">
        <v>1</v>
      </c>
      <c r="G166" s="4" t="s">
        <v>12</v>
      </c>
      <c r="H166" s="4"/>
      <c r="I166" s="4">
        <v>1</v>
      </c>
    </row>
    <row r="167" spans="1:9" x14ac:dyDescent="0.25">
      <c r="A167" s="4" t="s">
        <v>274</v>
      </c>
      <c r="B167" s="4">
        <v>4</v>
      </c>
      <c r="C167" s="4" t="s">
        <v>281</v>
      </c>
      <c r="D167" s="4" t="s">
        <v>282</v>
      </c>
      <c r="E167" s="4"/>
      <c r="F167" s="4">
        <v>2</v>
      </c>
      <c r="G167" s="4" t="s">
        <v>13</v>
      </c>
      <c r="H167" s="4"/>
      <c r="I167" s="4">
        <v>1</v>
      </c>
    </row>
    <row r="168" spans="1:9" x14ac:dyDescent="0.25">
      <c r="A168" s="3" t="s">
        <v>274</v>
      </c>
      <c r="B168" s="3">
        <v>5</v>
      </c>
      <c r="C168" s="3" t="s">
        <v>283</v>
      </c>
      <c r="D168" s="3" t="s">
        <v>284</v>
      </c>
      <c r="E168" s="3"/>
      <c r="F168" s="3">
        <v>1</v>
      </c>
      <c r="G168" s="3" t="s">
        <v>12</v>
      </c>
      <c r="H168" s="3"/>
      <c r="I168" s="3">
        <v>1</v>
      </c>
    </row>
    <row r="169" spans="1:9" x14ac:dyDescent="0.25">
      <c r="A169" s="3" t="s">
        <v>274</v>
      </c>
      <c r="B169" s="3">
        <v>5</v>
      </c>
      <c r="C169" s="3" t="s">
        <v>283</v>
      </c>
      <c r="D169" s="3" t="s">
        <v>284</v>
      </c>
      <c r="E169" s="3"/>
      <c r="F169" s="3">
        <v>2</v>
      </c>
      <c r="G169" s="3" t="s">
        <v>13</v>
      </c>
      <c r="H169" s="3"/>
      <c r="I169" s="3">
        <v>1</v>
      </c>
    </row>
    <row r="170" spans="1:9" x14ac:dyDescent="0.25">
      <c r="A170" s="4" t="s">
        <v>274</v>
      </c>
      <c r="B170" s="4">
        <v>6</v>
      </c>
      <c r="C170" s="4" t="s">
        <v>285</v>
      </c>
      <c r="D170" s="4" t="s">
        <v>286</v>
      </c>
      <c r="E170" s="4"/>
      <c r="F170" s="4">
        <v>1</v>
      </c>
      <c r="G170" s="4" t="s">
        <v>12</v>
      </c>
      <c r="H170" s="4"/>
      <c r="I170" s="4">
        <v>1</v>
      </c>
    </row>
    <row r="171" spans="1:9" x14ac:dyDescent="0.25">
      <c r="A171" s="4" t="s">
        <v>274</v>
      </c>
      <c r="B171" s="4">
        <v>6</v>
      </c>
      <c r="C171" s="4" t="s">
        <v>285</v>
      </c>
      <c r="D171" s="4" t="s">
        <v>286</v>
      </c>
      <c r="E171" s="4"/>
      <c r="F171" s="4">
        <v>2</v>
      </c>
      <c r="G171" s="4" t="s">
        <v>13</v>
      </c>
      <c r="H171" s="4"/>
      <c r="I171" s="4">
        <v>1</v>
      </c>
    </row>
    <row r="172" spans="1:9" x14ac:dyDescent="0.25">
      <c r="A172" s="3" t="s">
        <v>274</v>
      </c>
      <c r="B172" s="3">
        <v>7</v>
      </c>
      <c r="C172" s="3" t="s">
        <v>287</v>
      </c>
      <c r="D172" s="3" t="s">
        <v>288</v>
      </c>
      <c r="E172" s="3"/>
      <c r="F172" s="3">
        <v>1</v>
      </c>
      <c r="G172" s="3" t="s">
        <v>12</v>
      </c>
      <c r="H172" s="3"/>
      <c r="I172" s="3">
        <v>1</v>
      </c>
    </row>
    <row r="173" spans="1:9" x14ac:dyDescent="0.25">
      <c r="A173" s="3" t="s">
        <v>274</v>
      </c>
      <c r="B173" s="3">
        <v>7</v>
      </c>
      <c r="C173" s="3" t="s">
        <v>287</v>
      </c>
      <c r="D173" s="3" t="s">
        <v>288</v>
      </c>
      <c r="E173" s="3"/>
      <c r="F173" s="3">
        <v>2</v>
      </c>
      <c r="G173" s="3" t="s">
        <v>13</v>
      </c>
      <c r="H173" s="3"/>
      <c r="I173" s="3">
        <v>1</v>
      </c>
    </row>
    <row r="174" spans="1:9" x14ac:dyDescent="0.25">
      <c r="A174" s="4" t="s">
        <v>274</v>
      </c>
      <c r="B174" s="4">
        <v>8</v>
      </c>
      <c r="C174" s="4" t="s">
        <v>289</v>
      </c>
      <c r="D174" s="4" t="s">
        <v>290</v>
      </c>
      <c r="E174" s="4"/>
      <c r="F174" s="4">
        <v>1</v>
      </c>
      <c r="G174" s="4" t="s">
        <v>12</v>
      </c>
      <c r="H174" s="4"/>
      <c r="I174" s="4">
        <v>1</v>
      </c>
    </row>
    <row r="175" spans="1:9" x14ac:dyDescent="0.25">
      <c r="A175" s="4" t="s">
        <v>274</v>
      </c>
      <c r="B175" s="4">
        <v>8</v>
      </c>
      <c r="C175" s="4" t="s">
        <v>289</v>
      </c>
      <c r="D175" s="4" t="s">
        <v>290</v>
      </c>
      <c r="E175" s="4"/>
      <c r="F175" s="4">
        <v>2</v>
      </c>
      <c r="G175" s="4" t="s">
        <v>13</v>
      </c>
      <c r="H175" s="4"/>
      <c r="I175" s="4">
        <v>1</v>
      </c>
    </row>
    <row r="176" spans="1:9" x14ac:dyDescent="0.25">
      <c r="A176" s="3" t="s">
        <v>274</v>
      </c>
      <c r="B176" s="3">
        <v>9</v>
      </c>
      <c r="C176" s="3" t="s">
        <v>291</v>
      </c>
      <c r="D176" s="3" t="s">
        <v>292</v>
      </c>
      <c r="E176" s="3"/>
      <c r="F176" s="3">
        <v>1</v>
      </c>
      <c r="G176" s="3" t="s">
        <v>12</v>
      </c>
      <c r="H176" s="3"/>
      <c r="I176" s="3">
        <v>1</v>
      </c>
    </row>
    <row r="177" spans="1:9" x14ac:dyDescent="0.25">
      <c r="A177" s="3" t="s">
        <v>274</v>
      </c>
      <c r="B177" s="3">
        <v>9</v>
      </c>
      <c r="C177" s="3" t="s">
        <v>291</v>
      </c>
      <c r="D177" s="3" t="s">
        <v>292</v>
      </c>
      <c r="E177" s="3"/>
      <c r="F177" s="3">
        <v>2</v>
      </c>
      <c r="G177" s="3" t="s">
        <v>13</v>
      </c>
      <c r="H177" s="3"/>
      <c r="I177" s="3">
        <v>1</v>
      </c>
    </row>
    <row r="178" spans="1:9" x14ac:dyDescent="0.25">
      <c r="A178" s="4" t="s">
        <v>274</v>
      </c>
      <c r="B178" s="4">
        <v>10</v>
      </c>
      <c r="C178" s="4" t="s">
        <v>293</v>
      </c>
      <c r="D178" s="4" t="s">
        <v>294</v>
      </c>
      <c r="E178" s="4"/>
      <c r="F178" s="4">
        <v>1</v>
      </c>
      <c r="G178" s="4" t="s">
        <v>12</v>
      </c>
      <c r="H178" s="4"/>
      <c r="I178" s="4">
        <v>1</v>
      </c>
    </row>
    <row r="179" spans="1:9" x14ac:dyDescent="0.25">
      <c r="A179" s="4" t="s">
        <v>274</v>
      </c>
      <c r="B179" s="4">
        <v>10</v>
      </c>
      <c r="C179" s="4" t="s">
        <v>293</v>
      </c>
      <c r="D179" s="4" t="s">
        <v>294</v>
      </c>
      <c r="E179" s="4"/>
      <c r="F179" s="4">
        <v>2</v>
      </c>
      <c r="G179" s="4" t="s">
        <v>13</v>
      </c>
      <c r="H179" s="4"/>
      <c r="I179" s="4">
        <v>1</v>
      </c>
    </row>
    <row r="180" spans="1:9" x14ac:dyDescent="0.25">
      <c r="A180" s="3" t="s">
        <v>274</v>
      </c>
      <c r="B180" s="3">
        <v>11</v>
      </c>
      <c r="C180" s="3" t="s">
        <v>295</v>
      </c>
      <c r="D180" s="3" t="s">
        <v>296</v>
      </c>
      <c r="E180" s="3"/>
      <c r="F180" s="3">
        <v>1</v>
      </c>
      <c r="G180" s="3" t="s">
        <v>12</v>
      </c>
      <c r="H180" s="3"/>
      <c r="I180" s="3">
        <v>1</v>
      </c>
    </row>
    <row r="181" spans="1:9" x14ac:dyDescent="0.25">
      <c r="A181" s="3" t="s">
        <v>274</v>
      </c>
      <c r="B181" s="3">
        <v>11</v>
      </c>
      <c r="C181" s="3" t="s">
        <v>295</v>
      </c>
      <c r="D181" s="3" t="s">
        <v>296</v>
      </c>
      <c r="E181" s="3"/>
      <c r="F181" s="3">
        <v>2</v>
      </c>
      <c r="G181" s="3" t="s">
        <v>13</v>
      </c>
      <c r="H181" s="3"/>
      <c r="I181" s="3">
        <v>1</v>
      </c>
    </row>
    <row r="182" spans="1:9" x14ac:dyDescent="0.25">
      <c r="A182" s="4" t="s">
        <v>274</v>
      </c>
      <c r="B182" s="4">
        <v>12</v>
      </c>
      <c r="C182" s="4" t="s">
        <v>297</v>
      </c>
      <c r="D182" s="4" t="s">
        <v>298</v>
      </c>
      <c r="E182" s="4"/>
      <c r="F182" s="4">
        <v>1</v>
      </c>
      <c r="G182" s="4" t="s">
        <v>12</v>
      </c>
      <c r="H182" s="4"/>
      <c r="I182" s="4">
        <v>1</v>
      </c>
    </row>
    <row r="183" spans="1:9" x14ac:dyDescent="0.25">
      <c r="A183" s="4" t="s">
        <v>274</v>
      </c>
      <c r="B183" s="4">
        <v>12</v>
      </c>
      <c r="C183" s="4" t="s">
        <v>297</v>
      </c>
      <c r="D183" s="4" t="s">
        <v>298</v>
      </c>
      <c r="E183" s="4"/>
      <c r="F183" s="4">
        <v>2</v>
      </c>
      <c r="G183" s="4" t="s">
        <v>13</v>
      </c>
      <c r="H183" s="4"/>
      <c r="I183" s="4">
        <v>1</v>
      </c>
    </row>
    <row r="184" spans="1:9" x14ac:dyDescent="0.25">
      <c r="A184" s="3" t="s">
        <v>274</v>
      </c>
      <c r="B184" s="3">
        <v>13</v>
      </c>
      <c r="C184" s="3" t="s">
        <v>299</v>
      </c>
      <c r="D184" s="3" t="s">
        <v>300</v>
      </c>
      <c r="E184" s="3"/>
      <c r="F184" s="3">
        <v>1</v>
      </c>
      <c r="G184" s="3" t="s">
        <v>12</v>
      </c>
      <c r="H184" s="3"/>
      <c r="I184" s="3">
        <v>1</v>
      </c>
    </row>
    <row r="185" spans="1:9" x14ac:dyDescent="0.25">
      <c r="A185" s="3" t="s">
        <v>274</v>
      </c>
      <c r="B185" s="3">
        <v>13</v>
      </c>
      <c r="C185" s="3" t="s">
        <v>299</v>
      </c>
      <c r="D185" s="3" t="s">
        <v>300</v>
      </c>
      <c r="E185" s="3"/>
      <c r="F185" s="3">
        <v>2</v>
      </c>
      <c r="G185" s="3" t="s">
        <v>13</v>
      </c>
      <c r="H185" s="3"/>
      <c r="I185" s="3">
        <v>1</v>
      </c>
    </row>
    <row r="186" spans="1:9" x14ac:dyDescent="0.25">
      <c r="A186" s="4" t="s">
        <v>274</v>
      </c>
      <c r="B186" s="4">
        <v>14</v>
      </c>
      <c r="C186" s="4" t="s">
        <v>301</v>
      </c>
      <c r="D186" s="4" t="s">
        <v>302</v>
      </c>
      <c r="E186" s="4"/>
      <c r="F186" s="4">
        <v>1</v>
      </c>
      <c r="G186" s="4" t="s">
        <v>12</v>
      </c>
      <c r="H186" s="4"/>
      <c r="I186" s="4">
        <v>1</v>
      </c>
    </row>
    <row r="187" spans="1:9" x14ac:dyDescent="0.25">
      <c r="A187" s="4" t="s">
        <v>274</v>
      </c>
      <c r="B187" s="4">
        <v>14</v>
      </c>
      <c r="C187" s="4" t="s">
        <v>301</v>
      </c>
      <c r="D187" s="4" t="s">
        <v>302</v>
      </c>
      <c r="E187" s="4"/>
      <c r="F187" s="4">
        <v>2</v>
      </c>
      <c r="G187" s="4" t="s">
        <v>13</v>
      </c>
      <c r="H187" s="4"/>
      <c r="I187" s="4">
        <v>1</v>
      </c>
    </row>
    <row r="188" spans="1:9" x14ac:dyDescent="0.25">
      <c r="A188" s="3" t="s">
        <v>274</v>
      </c>
      <c r="B188" s="3">
        <v>15</v>
      </c>
      <c r="C188" s="3" t="s">
        <v>303</v>
      </c>
      <c r="D188" s="3" t="s">
        <v>304</v>
      </c>
      <c r="E188" s="3"/>
      <c r="F188" s="3">
        <v>1</v>
      </c>
      <c r="G188" s="3" t="s">
        <v>12</v>
      </c>
      <c r="H188" s="3"/>
      <c r="I188" s="3">
        <v>1</v>
      </c>
    </row>
    <row r="189" spans="1:9" x14ac:dyDescent="0.25">
      <c r="A189" s="3" t="s">
        <v>274</v>
      </c>
      <c r="B189" s="3">
        <v>15</v>
      </c>
      <c r="C189" s="3" t="s">
        <v>303</v>
      </c>
      <c r="D189" s="3" t="s">
        <v>304</v>
      </c>
      <c r="E189" s="3"/>
      <c r="F189" s="3">
        <v>2</v>
      </c>
      <c r="G189" s="3" t="s">
        <v>13</v>
      </c>
      <c r="H189" s="3"/>
      <c r="I189" s="3">
        <v>1</v>
      </c>
    </row>
    <row r="190" spans="1:9" x14ac:dyDescent="0.25">
      <c r="A190" s="4" t="s">
        <v>274</v>
      </c>
      <c r="B190" s="4">
        <v>16</v>
      </c>
      <c r="C190" s="4" t="s">
        <v>305</v>
      </c>
      <c r="D190" s="4" t="s">
        <v>306</v>
      </c>
      <c r="E190" s="4"/>
      <c r="F190" s="4">
        <v>1</v>
      </c>
      <c r="G190" s="4" t="s">
        <v>12</v>
      </c>
      <c r="H190" s="4"/>
      <c r="I190" s="4">
        <v>1</v>
      </c>
    </row>
    <row r="191" spans="1:9" x14ac:dyDescent="0.25">
      <c r="A191" s="4" t="s">
        <v>274</v>
      </c>
      <c r="B191" s="4">
        <v>16</v>
      </c>
      <c r="C191" s="4" t="s">
        <v>305</v>
      </c>
      <c r="D191" s="4" t="s">
        <v>306</v>
      </c>
      <c r="E191" s="4"/>
      <c r="F191" s="4">
        <v>2</v>
      </c>
      <c r="G191" s="4" t="s">
        <v>13</v>
      </c>
      <c r="H191" s="4"/>
      <c r="I191" s="4">
        <v>1</v>
      </c>
    </row>
    <row r="192" spans="1:9" x14ac:dyDescent="0.25">
      <c r="A192" s="3" t="s">
        <v>274</v>
      </c>
      <c r="B192" s="3">
        <v>17</v>
      </c>
      <c r="C192" s="3" t="s">
        <v>307</v>
      </c>
      <c r="D192" s="3" t="s">
        <v>308</v>
      </c>
      <c r="E192" s="3"/>
      <c r="F192" s="3">
        <v>1</v>
      </c>
      <c r="G192" s="3" t="s">
        <v>12</v>
      </c>
      <c r="H192" s="3"/>
      <c r="I192" s="3">
        <v>1</v>
      </c>
    </row>
    <row r="193" spans="1:9" x14ac:dyDescent="0.25">
      <c r="A193" s="3" t="s">
        <v>274</v>
      </c>
      <c r="B193" s="3">
        <v>17</v>
      </c>
      <c r="C193" s="3" t="s">
        <v>307</v>
      </c>
      <c r="D193" s="3" t="s">
        <v>308</v>
      </c>
      <c r="E193" s="3"/>
      <c r="F193" s="3">
        <v>2</v>
      </c>
      <c r="G193" s="3" t="s">
        <v>13</v>
      </c>
      <c r="H193" s="3"/>
      <c r="I193" s="3">
        <v>1</v>
      </c>
    </row>
    <row r="194" spans="1:9" x14ac:dyDescent="0.25">
      <c r="A194" s="4" t="s">
        <v>274</v>
      </c>
      <c r="B194" s="4">
        <v>18</v>
      </c>
      <c r="C194" s="4" t="s">
        <v>309</v>
      </c>
      <c r="D194" s="4" t="s">
        <v>310</v>
      </c>
      <c r="E194" s="4"/>
      <c r="F194" s="4">
        <v>1</v>
      </c>
      <c r="G194" s="4" t="s">
        <v>12</v>
      </c>
      <c r="H194" s="4"/>
      <c r="I194" s="4">
        <v>1</v>
      </c>
    </row>
    <row r="195" spans="1:9" x14ac:dyDescent="0.25">
      <c r="A195" s="4" t="s">
        <v>274</v>
      </c>
      <c r="B195" s="4">
        <v>18</v>
      </c>
      <c r="C195" s="4" t="s">
        <v>309</v>
      </c>
      <c r="D195" s="4" t="s">
        <v>310</v>
      </c>
      <c r="E195" s="4"/>
      <c r="F195" s="4">
        <v>2</v>
      </c>
      <c r="G195" s="4" t="s">
        <v>13</v>
      </c>
      <c r="H195" s="4"/>
      <c r="I195" s="4">
        <v>1</v>
      </c>
    </row>
    <row r="196" spans="1:9" x14ac:dyDescent="0.25">
      <c r="A196" s="3" t="s">
        <v>274</v>
      </c>
      <c r="B196" s="3">
        <v>19</v>
      </c>
      <c r="C196" s="3" t="s">
        <v>311</v>
      </c>
      <c r="D196" s="3" t="s">
        <v>312</v>
      </c>
      <c r="E196" s="3"/>
      <c r="F196" s="3">
        <v>1</v>
      </c>
      <c r="G196" s="3" t="s">
        <v>12</v>
      </c>
      <c r="H196" s="3"/>
      <c r="I196" s="3">
        <v>1</v>
      </c>
    </row>
    <row r="197" spans="1:9" x14ac:dyDescent="0.25">
      <c r="A197" s="3" t="s">
        <v>274</v>
      </c>
      <c r="B197" s="3">
        <v>19</v>
      </c>
      <c r="C197" s="3" t="s">
        <v>311</v>
      </c>
      <c r="D197" s="3" t="s">
        <v>312</v>
      </c>
      <c r="E197" s="3"/>
      <c r="F197" s="3">
        <v>2</v>
      </c>
      <c r="G197" s="3" t="s">
        <v>13</v>
      </c>
      <c r="H197" s="3"/>
      <c r="I197" s="3">
        <v>1</v>
      </c>
    </row>
    <row r="198" spans="1:9" x14ac:dyDescent="0.25">
      <c r="A198" s="4" t="s">
        <v>274</v>
      </c>
      <c r="B198" s="4">
        <v>20</v>
      </c>
      <c r="C198" s="4" t="s">
        <v>313</v>
      </c>
      <c r="D198" s="4" t="s">
        <v>314</v>
      </c>
      <c r="E198" s="4"/>
      <c r="F198" s="4">
        <v>1</v>
      </c>
      <c r="G198" s="4" t="s">
        <v>12</v>
      </c>
      <c r="H198" s="4"/>
      <c r="I198" s="4">
        <v>1</v>
      </c>
    </row>
    <row r="199" spans="1:9" x14ac:dyDescent="0.25">
      <c r="A199" s="4" t="s">
        <v>274</v>
      </c>
      <c r="B199" s="4">
        <v>20</v>
      </c>
      <c r="C199" s="4" t="s">
        <v>313</v>
      </c>
      <c r="D199" s="4" t="s">
        <v>314</v>
      </c>
      <c r="E199" s="4"/>
      <c r="F199" s="4">
        <v>2</v>
      </c>
      <c r="G199" s="4" t="s">
        <v>13</v>
      </c>
      <c r="H199" s="4"/>
      <c r="I199" s="4">
        <v>1</v>
      </c>
    </row>
    <row r="200" spans="1:9" x14ac:dyDescent="0.25">
      <c r="A200" s="3" t="s">
        <v>274</v>
      </c>
      <c r="B200" s="3">
        <v>21</v>
      </c>
      <c r="C200" s="3" t="s">
        <v>315</v>
      </c>
      <c r="D200" s="3" t="s">
        <v>316</v>
      </c>
      <c r="E200" s="3"/>
      <c r="F200" s="3">
        <v>1</v>
      </c>
      <c r="G200" s="3" t="s">
        <v>12</v>
      </c>
      <c r="H200" s="3"/>
      <c r="I200" s="3">
        <v>1</v>
      </c>
    </row>
    <row r="201" spans="1:9" x14ac:dyDescent="0.25">
      <c r="A201" s="3" t="s">
        <v>274</v>
      </c>
      <c r="B201" s="3">
        <v>21</v>
      </c>
      <c r="C201" s="3" t="s">
        <v>315</v>
      </c>
      <c r="D201" s="3" t="s">
        <v>316</v>
      </c>
      <c r="E201" s="3"/>
      <c r="F201" s="3">
        <v>2</v>
      </c>
      <c r="G201" s="3" t="s">
        <v>13</v>
      </c>
      <c r="H201" s="3"/>
      <c r="I201" s="3">
        <v>1</v>
      </c>
    </row>
    <row r="202" spans="1:9" x14ac:dyDescent="0.25">
      <c r="A202" s="4" t="s">
        <v>274</v>
      </c>
      <c r="B202" s="4">
        <v>22</v>
      </c>
      <c r="C202" s="4" t="s">
        <v>317</v>
      </c>
      <c r="D202" s="4" t="s">
        <v>318</v>
      </c>
      <c r="E202" s="4"/>
      <c r="F202" s="4">
        <v>1</v>
      </c>
      <c r="G202" s="4" t="s">
        <v>12</v>
      </c>
      <c r="H202" s="4"/>
      <c r="I202" s="4">
        <v>1</v>
      </c>
    </row>
    <row r="203" spans="1:9" x14ac:dyDescent="0.25">
      <c r="A203" s="4" t="s">
        <v>274</v>
      </c>
      <c r="B203" s="4">
        <v>22</v>
      </c>
      <c r="C203" s="4" t="s">
        <v>317</v>
      </c>
      <c r="D203" s="4" t="s">
        <v>318</v>
      </c>
      <c r="E203" s="4"/>
      <c r="F203" s="4">
        <v>2</v>
      </c>
      <c r="G203" s="4" t="s">
        <v>13</v>
      </c>
      <c r="H203" s="4"/>
      <c r="I203" s="4">
        <v>1</v>
      </c>
    </row>
    <row r="204" spans="1:9" x14ac:dyDescent="0.25">
      <c r="A204" s="3" t="s">
        <v>274</v>
      </c>
      <c r="B204" s="3">
        <v>23</v>
      </c>
      <c r="C204" s="3" t="s">
        <v>319</v>
      </c>
      <c r="D204" s="3" t="s">
        <v>320</v>
      </c>
      <c r="E204" s="3"/>
      <c r="F204" s="3">
        <v>1</v>
      </c>
      <c r="G204" s="3" t="s">
        <v>12</v>
      </c>
      <c r="H204" s="3"/>
      <c r="I204" s="3">
        <v>1</v>
      </c>
    </row>
    <row r="205" spans="1:9" x14ac:dyDescent="0.25">
      <c r="A205" s="3" t="s">
        <v>274</v>
      </c>
      <c r="B205" s="3">
        <v>23</v>
      </c>
      <c r="C205" s="3" t="s">
        <v>319</v>
      </c>
      <c r="D205" s="3" t="s">
        <v>320</v>
      </c>
      <c r="E205" s="3"/>
      <c r="F205" s="3">
        <v>2</v>
      </c>
      <c r="G205" s="3" t="s">
        <v>13</v>
      </c>
      <c r="H205" s="3"/>
      <c r="I205" s="3">
        <v>1</v>
      </c>
    </row>
    <row r="206" spans="1:9" x14ac:dyDescent="0.25">
      <c r="A206" s="4" t="s">
        <v>274</v>
      </c>
      <c r="B206" s="4">
        <v>24</v>
      </c>
      <c r="C206" s="4" t="s">
        <v>321</v>
      </c>
      <c r="D206" s="4" t="s">
        <v>322</v>
      </c>
      <c r="E206" s="4"/>
      <c r="F206" s="4">
        <v>1</v>
      </c>
      <c r="G206" s="4" t="s">
        <v>12</v>
      </c>
      <c r="H206" s="4"/>
      <c r="I206" s="4">
        <v>1</v>
      </c>
    </row>
    <row r="207" spans="1:9" x14ac:dyDescent="0.25">
      <c r="A207" s="4" t="s">
        <v>274</v>
      </c>
      <c r="B207" s="4">
        <v>24</v>
      </c>
      <c r="C207" s="4" t="s">
        <v>321</v>
      </c>
      <c r="D207" s="4" t="s">
        <v>322</v>
      </c>
      <c r="E207" s="4"/>
      <c r="F207" s="4">
        <v>2</v>
      </c>
      <c r="G207" s="4" t="s">
        <v>13</v>
      </c>
      <c r="H207" s="4"/>
      <c r="I207" s="4">
        <v>1</v>
      </c>
    </row>
    <row r="208" spans="1:9" x14ac:dyDescent="0.25">
      <c r="A208" s="3" t="s">
        <v>274</v>
      </c>
      <c r="B208" s="3">
        <v>25</v>
      </c>
      <c r="C208" s="3" t="s">
        <v>323</v>
      </c>
      <c r="D208" s="3" t="s">
        <v>324</v>
      </c>
      <c r="E208" s="3"/>
      <c r="F208" s="3">
        <v>1</v>
      </c>
      <c r="G208" s="3" t="s">
        <v>12</v>
      </c>
      <c r="H208" s="3"/>
      <c r="I208" s="3">
        <v>1</v>
      </c>
    </row>
    <row r="209" spans="1:9" x14ac:dyDescent="0.25">
      <c r="A209" s="3" t="s">
        <v>274</v>
      </c>
      <c r="B209" s="3">
        <v>25</v>
      </c>
      <c r="C209" s="3" t="s">
        <v>323</v>
      </c>
      <c r="D209" s="3" t="s">
        <v>324</v>
      </c>
      <c r="E209" s="3"/>
      <c r="F209" s="3">
        <v>2</v>
      </c>
      <c r="G209" s="3" t="s">
        <v>13</v>
      </c>
      <c r="H209" s="3"/>
      <c r="I209" s="3">
        <v>1</v>
      </c>
    </row>
    <row r="210" spans="1:9" x14ac:dyDescent="0.25">
      <c r="A210" s="4" t="s">
        <v>274</v>
      </c>
      <c r="B210" s="4">
        <v>26</v>
      </c>
      <c r="C210" s="4" t="s">
        <v>325</v>
      </c>
      <c r="D210" s="4" t="s">
        <v>326</v>
      </c>
      <c r="E210" s="4"/>
      <c r="F210" s="4">
        <v>1</v>
      </c>
      <c r="G210" s="4" t="s">
        <v>12</v>
      </c>
      <c r="H210" s="4"/>
      <c r="I210" s="4">
        <v>1</v>
      </c>
    </row>
    <row r="211" spans="1:9" x14ac:dyDescent="0.25">
      <c r="A211" s="4" t="s">
        <v>274</v>
      </c>
      <c r="B211" s="4">
        <v>26</v>
      </c>
      <c r="C211" s="4" t="s">
        <v>325</v>
      </c>
      <c r="D211" s="4" t="s">
        <v>326</v>
      </c>
      <c r="E211" s="4"/>
      <c r="F211" s="4">
        <v>2</v>
      </c>
      <c r="G211" s="4" t="s">
        <v>13</v>
      </c>
      <c r="H211" s="4"/>
      <c r="I211" s="4">
        <v>1</v>
      </c>
    </row>
    <row r="212" spans="1:9" x14ac:dyDescent="0.25">
      <c r="A212" s="3" t="s">
        <v>274</v>
      </c>
      <c r="B212" s="3">
        <v>27</v>
      </c>
      <c r="C212" s="3" t="s">
        <v>327</v>
      </c>
      <c r="D212" s="3" t="s">
        <v>328</v>
      </c>
      <c r="E212" s="3"/>
      <c r="F212" s="3">
        <v>1</v>
      </c>
      <c r="G212" s="3" t="s">
        <v>12</v>
      </c>
      <c r="H212" s="3"/>
      <c r="I212" s="3">
        <v>1</v>
      </c>
    </row>
    <row r="213" spans="1:9" x14ac:dyDescent="0.25">
      <c r="A213" s="3" t="s">
        <v>274</v>
      </c>
      <c r="B213" s="3">
        <v>27</v>
      </c>
      <c r="C213" s="3" t="s">
        <v>327</v>
      </c>
      <c r="D213" s="3" t="s">
        <v>328</v>
      </c>
      <c r="E213" s="3"/>
      <c r="F213" s="3">
        <v>2</v>
      </c>
      <c r="G213" s="3" t="s">
        <v>13</v>
      </c>
      <c r="H213" s="3"/>
      <c r="I213" s="3">
        <v>1</v>
      </c>
    </row>
    <row r="214" spans="1:9" x14ac:dyDescent="0.25">
      <c r="A214" s="4" t="s">
        <v>100</v>
      </c>
      <c r="B214" s="4">
        <v>1</v>
      </c>
      <c r="C214" s="4" t="s">
        <v>101</v>
      </c>
      <c r="D214" s="4" t="s">
        <v>102</v>
      </c>
      <c r="E214" s="4"/>
      <c r="F214" s="4">
        <v>1</v>
      </c>
      <c r="G214" s="4" t="s">
        <v>12</v>
      </c>
      <c r="H214" s="4"/>
      <c r="I214" s="4">
        <v>31.536000000000001</v>
      </c>
    </row>
    <row r="215" spans="1:9" x14ac:dyDescent="0.25">
      <c r="A215" s="4" t="s">
        <v>100</v>
      </c>
      <c r="B215" s="4">
        <v>1</v>
      </c>
      <c r="C215" s="4" t="s">
        <v>101</v>
      </c>
      <c r="D215" s="4" t="s">
        <v>102</v>
      </c>
      <c r="E215" s="4"/>
      <c r="F215" s="4">
        <v>2</v>
      </c>
      <c r="G215" s="4" t="s">
        <v>13</v>
      </c>
      <c r="H215" s="4"/>
      <c r="I215" s="4">
        <v>60</v>
      </c>
    </row>
    <row r="216" spans="1:9" x14ac:dyDescent="0.25">
      <c r="A216" s="3" t="s">
        <v>100</v>
      </c>
      <c r="B216" s="3">
        <v>2</v>
      </c>
      <c r="C216" s="3" t="s">
        <v>103</v>
      </c>
      <c r="D216" s="3" t="s">
        <v>104</v>
      </c>
      <c r="E216" s="3"/>
      <c r="F216" s="3">
        <v>1</v>
      </c>
      <c r="G216" s="3" t="s">
        <v>12</v>
      </c>
      <c r="H216" s="3"/>
      <c r="I216" s="3">
        <v>31.536000000000001</v>
      </c>
    </row>
    <row r="217" spans="1:9" x14ac:dyDescent="0.25">
      <c r="A217" s="3" t="s">
        <v>100</v>
      </c>
      <c r="B217" s="3">
        <v>2</v>
      </c>
      <c r="C217" s="3" t="s">
        <v>103</v>
      </c>
      <c r="D217" s="3" t="s">
        <v>104</v>
      </c>
      <c r="E217" s="3"/>
      <c r="F217" s="3">
        <v>2</v>
      </c>
      <c r="G217" s="3" t="s">
        <v>13</v>
      </c>
      <c r="H217" s="3"/>
      <c r="I217" s="3">
        <v>60</v>
      </c>
    </row>
    <row r="218" spans="1:9" x14ac:dyDescent="0.25">
      <c r="A218" s="4" t="s">
        <v>100</v>
      </c>
      <c r="B218" s="4">
        <v>3</v>
      </c>
      <c r="C218" s="4" t="s">
        <v>552</v>
      </c>
      <c r="D218" s="4" t="s">
        <v>551</v>
      </c>
      <c r="E218" s="4"/>
      <c r="F218" s="4">
        <v>1</v>
      </c>
      <c r="G218" s="4" t="s">
        <v>12</v>
      </c>
      <c r="H218" s="4"/>
      <c r="I218" s="4">
        <v>1</v>
      </c>
    </row>
    <row r="219" spans="1:9" x14ac:dyDescent="0.25">
      <c r="A219" s="4" t="s">
        <v>100</v>
      </c>
      <c r="B219" s="4">
        <v>3</v>
      </c>
      <c r="C219" s="4" t="s">
        <v>552</v>
      </c>
      <c r="D219" s="4" t="s">
        <v>106</v>
      </c>
      <c r="E219" s="4"/>
      <c r="F219" s="4">
        <v>2</v>
      </c>
      <c r="G219" s="4" t="s">
        <v>13</v>
      </c>
      <c r="H219" s="4"/>
      <c r="I219" s="4">
        <v>70</v>
      </c>
    </row>
    <row r="220" spans="1:9" x14ac:dyDescent="0.25">
      <c r="A220" s="3" t="s">
        <v>100</v>
      </c>
      <c r="B220" s="3">
        <v>3</v>
      </c>
      <c r="C220" s="3" t="s">
        <v>105</v>
      </c>
      <c r="D220" s="3" t="s">
        <v>106</v>
      </c>
      <c r="E220" s="3"/>
      <c r="F220" s="3">
        <v>1</v>
      </c>
      <c r="G220" s="3" t="s">
        <v>12</v>
      </c>
      <c r="H220" s="3"/>
      <c r="I220" s="3">
        <v>1</v>
      </c>
    </row>
    <row r="221" spans="1:9" x14ac:dyDescent="0.25">
      <c r="A221" s="3" t="s">
        <v>100</v>
      </c>
      <c r="B221" s="3">
        <v>3</v>
      </c>
      <c r="C221" s="3" t="s">
        <v>105</v>
      </c>
      <c r="D221" s="3" t="s">
        <v>106</v>
      </c>
      <c r="E221" s="3"/>
      <c r="F221" s="3">
        <v>2</v>
      </c>
      <c r="G221" s="3" t="s">
        <v>13</v>
      </c>
      <c r="H221" s="3"/>
      <c r="I221" s="3">
        <v>70</v>
      </c>
    </row>
    <row r="222" spans="1:9" x14ac:dyDescent="0.25">
      <c r="A222" s="4" t="s">
        <v>100</v>
      </c>
      <c r="B222" s="4">
        <v>4</v>
      </c>
      <c r="C222" s="4" t="s">
        <v>107</v>
      </c>
      <c r="D222" s="4" t="s">
        <v>108</v>
      </c>
      <c r="E222" s="4"/>
      <c r="F222" s="4">
        <v>1</v>
      </c>
      <c r="G222" s="4" t="s">
        <v>12</v>
      </c>
      <c r="H222" s="4"/>
      <c r="I222" s="4">
        <v>1</v>
      </c>
    </row>
    <row r="223" spans="1:9" x14ac:dyDescent="0.25">
      <c r="A223" s="4" t="s">
        <v>100</v>
      </c>
      <c r="B223" s="4">
        <v>4</v>
      </c>
      <c r="C223" s="4" t="s">
        <v>107</v>
      </c>
      <c r="D223" s="4" t="s">
        <v>108</v>
      </c>
      <c r="E223" s="4"/>
      <c r="F223" s="4">
        <v>2</v>
      </c>
      <c r="G223" s="4" t="s">
        <v>13</v>
      </c>
      <c r="H223" s="4"/>
      <c r="I223" s="4">
        <v>70</v>
      </c>
    </row>
    <row r="224" spans="1:9" x14ac:dyDescent="0.25">
      <c r="A224" s="3" t="s">
        <v>100</v>
      </c>
      <c r="B224" s="3">
        <v>5</v>
      </c>
      <c r="C224" s="3" t="s">
        <v>109</v>
      </c>
      <c r="D224" s="3" t="s">
        <v>110</v>
      </c>
      <c r="E224" s="3"/>
      <c r="F224" s="3">
        <v>1</v>
      </c>
      <c r="G224" s="3" t="s">
        <v>12</v>
      </c>
      <c r="H224" s="3"/>
      <c r="I224" s="3">
        <v>1</v>
      </c>
    </row>
    <row r="225" spans="1:9" x14ac:dyDescent="0.25">
      <c r="A225" s="3" t="s">
        <v>100</v>
      </c>
      <c r="B225" s="3">
        <v>5</v>
      </c>
      <c r="C225" s="3" t="s">
        <v>109</v>
      </c>
      <c r="D225" s="3" t="s">
        <v>110</v>
      </c>
      <c r="E225" s="3"/>
      <c r="F225" s="3">
        <v>2</v>
      </c>
      <c r="G225" s="3" t="s">
        <v>13</v>
      </c>
      <c r="H225" s="3"/>
      <c r="I225" s="3">
        <v>70</v>
      </c>
    </row>
    <row r="226" spans="1:9" x14ac:dyDescent="0.25">
      <c r="A226" s="4" t="s">
        <v>100</v>
      </c>
      <c r="B226" s="4">
        <v>6</v>
      </c>
      <c r="C226" s="4" t="s">
        <v>111</v>
      </c>
      <c r="D226" s="4" t="s">
        <v>112</v>
      </c>
      <c r="E226" s="4"/>
      <c r="F226" s="4">
        <v>1</v>
      </c>
      <c r="G226" s="4" t="s">
        <v>12</v>
      </c>
      <c r="H226" s="4"/>
      <c r="I226" s="4">
        <v>1</v>
      </c>
    </row>
    <row r="227" spans="1:9" x14ac:dyDescent="0.25">
      <c r="A227" s="4" t="s">
        <v>100</v>
      </c>
      <c r="B227" s="4">
        <v>6</v>
      </c>
      <c r="C227" s="4" t="s">
        <v>111</v>
      </c>
      <c r="D227" s="4" t="s">
        <v>112</v>
      </c>
      <c r="E227" s="4"/>
      <c r="F227" s="4">
        <v>2</v>
      </c>
      <c r="G227" s="4" t="s">
        <v>13</v>
      </c>
      <c r="H227" s="4"/>
      <c r="I227" s="4">
        <v>70</v>
      </c>
    </row>
    <row r="228" spans="1:9" x14ac:dyDescent="0.25">
      <c r="A228" s="3" t="s">
        <v>100</v>
      </c>
      <c r="B228" s="3">
        <v>7</v>
      </c>
      <c r="C228" s="3" t="s">
        <v>113</v>
      </c>
      <c r="D228" s="3" t="s">
        <v>114</v>
      </c>
      <c r="E228" s="3"/>
      <c r="F228" s="3">
        <v>1</v>
      </c>
      <c r="G228" s="3" t="s">
        <v>12</v>
      </c>
      <c r="H228" s="3"/>
      <c r="I228" s="3">
        <v>1</v>
      </c>
    </row>
    <row r="229" spans="1:9" x14ac:dyDescent="0.25">
      <c r="A229" s="3" t="s">
        <v>100</v>
      </c>
      <c r="B229" s="3">
        <v>7</v>
      </c>
      <c r="C229" s="3" t="s">
        <v>113</v>
      </c>
      <c r="D229" s="3" t="s">
        <v>114</v>
      </c>
      <c r="E229" s="3"/>
      <c r="F229" s="3">
        <v>2</v>
      </c>
      <c r="G229" s="3" t="s">
        <v>13</v>
      </c>
      <c r="H229" s="3"/>
      <c r="I229" s="3">
        <v>70</v>
      </c>
    </row>
    <row r="230" spans="1:9" x14ac:dyDescent="0.25">
      <c r="A230" s="4" t="s">
        <v>100</v>
      </c>
      <c r="B230" s="4">
        <v>8</v>
      </c>
      <c r="C230" s="4" t="s">
        <v>115</v>
      </c>
      <c r="D230" s="4" t="s">
        <v>116</v>
      </c>
      <c r="E230" s="4"/>
      <c r="F230" s="4">
        <v>1</v>
      </c>
      <c r="G230" s="4" t="s">
        <v>12</v>
      </c>
      <c r="H230" s="4"/>
      <c r="I230" s="4">
        <v>1</v>
      </c>
    </row>
    <row r="231" spans="1:9" x14ac:dyDescent="0.25">
      <c r="A231" s="4" t="s">
        <v>100</v>
      </c>
      <c r="B231" s="4">
        <v>8</v>
      </c>
      <c r="C231" s="4" t="s">
        <v>115</v>
      </c>
      <c r="D231" s="4" t="s">
        <v>116</v>
      </c>
      <c r="E231" s="4"/>
      <c r="F231" s="4">
        <v>2</v>
      </c>
      <c r="G231" s="4" t="s">
        <v>13</v>
      </c>
      <c r="H231" s="4"/>
      <c r="I231" s="4">
        <v>70</v>
      </c>
    </row>
    <row r="232" spans="1:9" x14ac:dyDescent="0.25">
      <c r="A232" s="3" t="s">
        <v>100</v>
      </c>
      <c r="B232" s="3">
        <v>9</v>
      </c>
      <c r="C232" s="3" t="s">
        <v>117</v>
      </c>
      <c r="D232" s="3" t="s">
        <v>118</v>
      </c>
      <c r="E232" s="3"/>
      <c r="F232" s="3">
        <v>1</v>
      </c>
      <c r="G232" s="3" t="s">
        <v>12</v>
      </c>
      <c r="H232" s="3"/>
      <c r="I232" s="3">
        <v>1</v>
      </c>
    </row>
    <row r="233" spans="1:9" x14ac:dyDescent="0.25">
      <c r="A233" s="3" t="s">
        <v>100</v>
      </c>
      <c r="B233" s="3">
        <v>9</v>
      </c>
      <c r="C233" s="3" t="s">
        <v>117</v>
      </c>
      <c r="D233" s="3" t="s">
        <v>118</v>
      </c>
      <c r="E233" s="3"/>
      <c r="F233" s="3">
        <v>2</v>
      </c>
      <c r="G233" s="3" t="s">
        <v>13</v>
      </c>
      <c r="H233" s="3"/>
      <c r="I233" s="3">
        <v>70</v>
      </c>
    </row>
    <row r="234" spans="1:9" x14ac:dyDescent="0.25">
      <c r="A234" s="4" t="s">
        <v>100</v>
      </c>
      <c r="B234" s="4">
        <v>9</v>
      </c>
      <c r="C234" s="4" t="s">
        <v>119</v>
      </c>
      <c r="D234" s="4" t="s">
        <v>120</v>
      </c>
      <c r="E234" s="4"/>
      <c r="F234" s="4">
        <v>1</v>
      </c>
      <c r="G234" s="4" t="s">
        <v>12</v>
      </c>
      <c r="H234" s="4"/>
      <c r="I234" s="4">
        <v>1</v>
      </c>
    </row>
    <row r="235" spans="1:9" x14ac:dyDescent="0.25">
      <c r="A235" s="4" t="s">
        <v>100</v>
      </c>
      <c r="B235" s="4">
        <v>10</v>
      </c>
      <c r="C235" s="4" t="s">
        <v>119</v>
      </c>
      <c r="D235" s="4" t="s">
        <v>120</v>
      </c>
      <c r="E235" s="4"/>
      <c r="F235" s="4">
        <v>2</v>
      </c>
      <c r="G235" s="4" t="s">
        <v>13</v>
      </c>
      <c r="H235" s="4"/>
      <c r="I235" s="4">
        <v>70</v>
      </c>
    </row>
    <row r="236" spans="1:9" x14ac:dyDescent="0.25">
      <c r="A236" s="3" t="s">
        <v>100</v>
      </c>
      <c r="B236" s="3">
        <v>11</v>
      </c>
      <c r="C236" s="3" t="s">
        <v>529</v>
      </c>
      <c r="D236" s="3" t="s">
        <v>536</v>
      </c>
      <c r="E236" s="3"/>
      <c r="F236" s="3">
        <v>1</v>
      </c>
      <c r="G236" s="3" t="s">
        <v>12</v>
      </c>
      <c r="H236" s="3"/>
      <c r="I236" s="3">
        <v>1</v>
      </c>
    </row>
    <row r="237" spans="1:9" x14ac:dyDescent="0.25">
      <c r="A237" s="3" t="s">
        <v>100</v>
      </c>
      <c r="B237" s="3">
        <v>11</v>
      </c>
      <c r="C237" s="3" t="s">
        <v>529</v>
      </c>
      <c r="D237" s="3" t="s">
        <v>536</v>
      </c>
      <c r="E237" s="3"/>
      <c r="F237" s="3">
        <v>2</v>
      </c>
      <c r="G237" s="3" t="s">
        <v>13</v>
      </c>
      <c r="H237" s="3"/>
      <c r="I237" s="3">
        <v>1</v>
      </c>
    </row>
    <row r="238" spans="1:9" x14ac:dyDescent="0.25">
      <c r="A238" s="4" t="s">
        <v>100</v>
      </c>
      <c r="B238" s="4">
        <v>11</v>
      </c>
      <c r="C238" s="4" t="s">
        <v>531</v>
      </c>
      <c r="D238" s="4" t="s">
        <v>535</v>
      </c>
      <c r="E238" s="4"/>
      <c r="F238" s="4">
        <v>1</v>
      </c>
      <c r="G238" s="4" t="s">
        <v>12</v>
      </c>
      <c r="H238" s="4"/>
      <c r="I238" s="4">
        <v>1</v>
      </c>
    </row>
    <row r="239" spans="1:9" x14ac:dyDescent="0.25">
      <c r="A239" s="4" t="s">
        <v>100</v>
      </c>
      <c r="B239" s="4">
        <v>11</v>
      </c>
      <c r="C239" s="4" t="s">
        <v>531</v>
      </c>
      <c r="D239" s="4" t="s">
        <v>535</v>
      </c>
      <c r="E239" s="4"/>
      <c r="F239" s="4">
        <v>2</v>
      </c>
      <c r="G239" s="4" t="s">
        <v>13</v>
      </c>
      <c r="H239" s="4"/>
      <c r="I239" s="4">
        <v>1</v>
      </c>
    </row>
    <row r="240" spans="1:9" x14ac:dyDescent="0.25">
      <c r="A240" s="3" t="s">
        <v>100</v>
      </c>
      <c r="B240" s="3">
        <v>11</v>
      </c>
      <c r="C240" s="3" t="s">
        <v>530</v>
      </c>
      <c r="D240" s="3" t="s">
        <v>534</v>
      </c>
      <c r="E240" s="3"/>
      <c r="F240" s="3">
        <v>1</v>
      </c>
      <c r="G240" s="3" t="s">
        <v>12</v>
      </c>
      <c r="H240" s="3"/>
      <c r="I240" s="3">
        <v>1</v>
      </c>
    </row>
    <row r="241" spans="1:9" x14ac:dyDescent="0.25">
      <c r="A241" s="3" t="s">
        <v>100</v>
      </c>
      <c r="B241" s="3">
        <v>11</v>
      </c>
      <c r="C241" s="3" t="s">
        <v>530</v>
      </c>
      <c r="D241" s="3" t="s">
        <v>534</v>
      </c>
      <c r="E241" s="3"/>
      <c r="F241" s="3">
        <v>2</v>
      </c>
      <c r="G241" s="3" t="s">
        <v>13</v>
      </c>
      <c r="H241" s="3"/>
      <c r="I241" s="3">
        <v>1</v>
      </c>
    </row>
    <row r="242" spans="1:9" x14ac:dyDescent="0.25">
      <c r="A242" s="4" t="s">
        <v>100</v>
      </c>
      <c r="B242" s="4">
        <v>12</v>
      </c>
      <c r="C242" s="4" t="s">
        <v>122</v>
      </c>
      <c r="D242" s="4" t="s">
        <v>123</v>
      </c>
      <c r="E242" s="4"/>
      <c r="F242" s="4">
        <v>1</v>
      </c>
      <c r="G242" s="4" t="s">
        <v>12</v>
      </c>
      <c r="H242" s="4"/>
      <c r="I242" s="4">
        <v>1</v>
      </c>
    </row>
    <row r="243" spans="1:9" x14ac:dyDescent="0.25">
      <c r="A243" s="4" t="s">
        <v>100</v>
      </c>
      <c r="B243" s="4">
        <v>12</v>
      </c>
      <c r="C243" s="4" t="s">
        <v>122</v>
      </c>
      <c r="D243" s="4" t="s">
        <v>123</v>
      </c>
      <c r="E243" s="4"/>
      <c r="F243" s="4">
        <v>2</v>
      </c>
      <c r="G243" s="4" t="s">
        <v>13</v>
      </c>
      <c r="H243" s="4"/>
      <c r="I243" s="4">
        <v>70</v>
      </c>
    </row>
    <row r="244" spans="1:9" x14ac:dyDescent="0.25">
      <c r="A244" s="3" t="s">
        <v>100</v>
      </c>
      <c r="B244" s="3">
        <v>13</v>
      </c>
      <c r="C244" s="3" t="s">
        <v>124</v>
      </c>
      <c r="D244" s="3" t="s">
        <v>125</v>
      </c>
      <c r="E244" s="3"/>
      <c r="F244" s="3">
        <v>1</v>
      </c>
      <c r="G244" s="3" t="s">
        <v>12</v>
      </c>
      <c r="H244" s="3"/>
      <c r="I244" s="3">
        <v>31.536000000000001</v>
      </c>
    </row>
    <row r="245" spans="1:9" x14ac:dyDescent="0.25">
      <c r="A245" s="3" t="s">
        <v>100</v>
      </c>
      <c r="B245" s="3">
        <v>13</v>
      </c>
      <c r="C245" s="3" t="s">
        <v>124</v>
      </c>
      <c r="D245" s="3" t="s">
        <v>125</v>
      </c>
      <c r="E245" s="3"/>
      <c r="F245" s="3">
        <v>2</v>
      </c>
      <c r="G245" s="3" t="s">
        <v>13</v>
      </c>
      <c r="H245" s="3"/>
      <c r="I245" s="3">
        <v>20</v>
      </c>
    </row>
    <row r="246" spans="1:9" x14ac:dyDescent="0.25">
      <c r="A246" s="4" t="s">
        <v>100</v>
      </c>
      <c r="B246" s="4">
        <v>14</v>
      </c>
      <c r="C246" s="4" t="s">
        <v>126</v>
      </c>
      <c r="D246" s="4" t="s">
        <v>127</v>
      </c>
      <c r="E246" s="4"/>
      <c r="F246" s="4">
        <v>1</v>
      </c>
      <c r="G246" s="4" t="s">
        <v>12</v>
      </c>
      <c r="H246" s="4"/>
      <c r="I246" s="4">
        <v>31.536000000000001</v>
      </c>
    </row>
    <row r="247" spans="1:9" x14ac:dyDescent="0.25">
      <c r="A247" s="4" t="s">
        <v>100</v>
      </c>
      <c r="B247" s="4">
        <v>14</v>
      </c>
      <c r="C247" s="4" t="s">
        <v>126</v>
      </c>
      <c r="D247" s="4" t="s">
        <v>127</v>
      </c>
      <c r="E247" s="4"/>
      <c r="F247" s="4">
        <v>2</v>
      </c>
      <c r="G247" s="4" t="s">
        <v>13</v>
      </c>
      <c r="H247" s="4"/>
      <c r="I247" s="4">
        <v>20</v>
      </c>
    </row>
    <row r="248" spans="1:9" x14ac:dyDescent="0.25">
      <c r="A248" s="3" t="s">
        <v>100</v>
      </c>
      <c r="B248" s="3">
        <v>15</v>
      </c>
      <c r="C248" s="3" t="s">
        <v>128</v>
      </c>
      <c r="D248" s="3" t="s">
        <v>129</v>
      </c>
      <c r="E248" s="3"/>
      <c r="F248" s="3">
        <v>1</v>
      </c>
      <c r="G248" s="3" t="s">
        <v>12</v>
      </c>
      <c r="H248" s="3"/>
      <c r="I248" s="3">
        <v>31.536000000000001</v>
      </c>
    </row>
    <row r="249" spans="1:9" x14ac:dyDescent="0.25">
      <c r="A249" s="3" t="s">
        <v>100</v>
      </c>
      <c r="B249" s="3">
        <v>15</v>
      </c>
      <c r="C249" s="3" t="s">
        <v>128</v>
      </c>
      <c r="D249" s="3" t="s">
        <v>129</v>
      </c>
      <c r="E249" s="3"/>
      <c r="F249" s="3">
        <v>2</v>
      </c>
      <c r="G249" s="3" t="s">
        <v>13</v>
      </c>
      <c r="H249" s="3"/>
      <c r="I249" s="3">
        <v>20</v>
      </c>
    </row>
    <row r="250" spans="1:9" x14ac:dyDescent="0.25">
      <c r="A250" s="4" t="s">
        <v>100</v>
      </c>
      <c r="B250" s="4">
        <v>16</v>
      </c>
      <c r="C250" s="4" t="s">
        <v>130</v>
      </c>
      <c r="D250" s="4" t="s">
        <v>131</v>
      </c>
      <c r="E250" s="4"/>
      <c r="F250" s="4">
        <v>1</v>
      </c>
      <c r="G250" s="4" t="s">
        <v>12</v>
      </c>
      <c r="H250" s="4"/>
      <c r="I250" s="4">
        <v>31.536000000000001</v>
      </c>
    </row>
    <row r="251" spans="1:9" x14ac:dyDescent="0.25">
      <c r="A251" s="4" t="s">
        <v>100</v>
      </c>
      <c r="B251" s="4">
        <v>16</v>
      </c>
      <c r="C251" s="4" t="s">
        <v>130</v>
      </c>
      <c r="D251" s="4" t="s">
        <v>131</v>
      </c>
      <c r="E251" s="4"/>
      <c r="F251" s="4">
        <v>2</v>
      </c>
      <c r="G251" s="4" t="s">
        <v>13</v>
      </c>
      <c r="H251" s="4"/>
      <c r="I251" s="4">
        <v>20</v>
      </c>
    </row>
    <row r="252" spans="1:9" x14ac:dyDescent="0.25">
      <c r="A252" s="3" t="s">
        <v>100</v>
      </c>
      <c r="B252" s="3">
        <v>17</v>
      </c>
      <c r="C252" s="3" t="s">
        <v>132</v>
      </c>
      <c r="D252" s="3" t="s">
        <v>133</v>
      </c>
      <c r="E252" s="3"/>
      <c r="F252" s="3">
        <v>1</v>
      </c>
      <c r="G252" s="3" t="s">
        <v>12</v>
      </c>
      <c r="H252" s="3"/>
      <c r="I252" s="3">
        <v>31.536000000000001</v>
      </c>
    </row>
    <row r="253" spans="1:9" x14ac:dyDescent="0.25">
      <c r="A253" s="3" t="s">
        <v>100</v>
      </c>
      <c r="B253" s="3">
        <v>17</v>
      </c>
      <c r="C253" s="3" t="s">
        <v>132</v>
      </c>
      <c r="D253" s="3" t="s">
        <v>133</v>
      </c>
      <c r="E253" s="3"/>
      <c r="F253" s="3">
        <v>2</v>
      </c>
      <c r="G253" s="3" t="s">
        <v>13</v>
      </c>
      <c r="H253" s="3"/>
      <c r="I253" s="3">
        <v>40</v>
      </c>
    </row>
    <row r="254" spans="1:9" x14ac:dyDescent="0.25">
      <c r="A254" s="4" t="s">
        <v>100</v>
      </c>
      <c r="B254" s="4">
        <v>18</v>
      </c>
      <c r="C254" s="4" t="s">
        <v>134</v>
      </c>
      <c r="D254" s="4" t="s">
        <v>135</v>
      </c>
      <c r="E254" s="4"/>
      <c r="F254" s="4">
        <v>1</v>
      </c>
      <c r="G254" s="4" t="s">
        <v>12</v>
      </c>
      <c r="H254" s="4"/>
      <c r="I254" s="4">
        <v>31.536000000000001</v>
      </c>
    </row>
    <row r="255" spans="1:9" x14ac:dyDescent="0.25">
      <c r="A255" s="4" t="s">
        <v>100</v>
      </c>
      <c r="B255" s="4">
        <v>18</v>
      </c>
      <c r="C255" s="4" t="s">
        <v>134</v>
      </c>
      <c r="D255" s="4" t="s">
        <v>135</v>
      </c>
      <c r="E255" s="4"/>
      <c r="F255" s="4">
        <v>2</v>
      </c>
      <c r="G255" s="4" t="s">
        <v>13</v>
      </c>
      <c r="H255" s="4"/>
      <c r="I255" s="4">
        <v>15</v>
      </c>
    </row>
    <row r="256" spans="1:9" x14ac:dyDescent="0.25">
      <c r="A256" s="3" t="s">
        <v>100</v>
      </c>
      <c r="B256" s="3">
        <v>19</v>
      </c>
      <c r="C256" s="3" t="s">
        <v>136</v>
      </c>
      <c r="D256" s="3" t="s">
        <v>137</v>
      </c>
      <c r="E256" s="3"/>
      <c r="F256" s="3">
        <v>1</v>
      </c>
      <c r="G256" s="3" t="s">
        <v>12</v>
      </c>
      <c r="H256" s="3"/>
      <c r="I256" s="3">
        <v>31.536000000000001</v>
      </c>
    </row>
    <row r="257" spans="1:9" x14ac:dyDescent="0.25">
      <c r="A257" s="3" t="s">
        <v>100</v>
      </c>
      <c r="B257" s="3">
        <v>19</v>
      </c>
      <c r="C257" s="3" t="s">
        <v>136</v>
      </c>
      <c r="D257" s="3" t="s">
        <v>137</v>
      </c>
      <c r="E257" s="3"/>
      <c r="F257" s="3">
        <v>2</v>
      </c>
      <c r="G257" s="3" t="s">
        <v>13</v>
      </c>
      <c r="H257" s="3"/>
      <c r="I257" s="3">
        <v>15</v>
      </c>
    </row>
    <row r="258" spans="1:9" x14ac:dyDescent="0.25">
      <c r="A258" s="4" t="s">
        <v>100</v>
      </c>
      <c r="B258" s="4">
        <v>20</v>
      </c>
      <c r="C258" s="4" t="s">
        <v>138</v>
      </c>
      <c r="D258" s="4" t="s">
        <v>139</v>
      </c>
      <c r="E258" s="4"/>
      <c r="F258" s="4">
        <v>1</v>
      </c>
      <c r="G258" s="4" t="s">
        <v>12</v>
      </c>
      <c r="H258" s="4"/>
      <c r="I258" s="4">
        <v>31.536000000000001</v>
      </c>
    </row>
    <row r="259" spans="1:9" x14ac:dyDescent="0.25">
      <c r="A259" s="4" t="s">
        <v>100</v>
      </c>
      <c r="B259" s="4">
        <v>20</v>
      </c>
      <c r="C259" s="4" t="s">
        <v>138</v>
      </c>
      <c r="D259" s="4" t="s">
        <v>139</v>
      </c>
      <c r="E259" s="4"/>
      <c r="F259" s="4">
        <v>2</v>
      </c>
      <c r="G259" s="4" t="s">
        <v>13</v>
      </c>
      <c r="H259" s="4"/>
      <c r="I259" s="4">
        <v>15</v>
      </c>
    </row>
    <row r="260" spans="1:9" x14ac:dyDescent="0.25">
      <c r="A260" s="3" t="s">
        <v>100</v>
      </c>
      <c r="B260" s="3">
        <v>21</v>
      </c>
      <c r="C260" s="3" t="s">
        <v>140</v>
      </c>
      <c r="D260" s="3" t="s">
        <v>141</v>
      </c>
      <c r="E260" s="3"/>
      <c r="F260" s="3">
        <v>1</v>
      </c>
      <c r="G260" s="3" t="s">
        <v>12</v>
      </c>
      <c r="H260" s="3"/>
      <c r="I260" s="3">
        <v>31.536000000000001</v>
      </c>
    </row>
    <row r="261" spans="1:9" x14ac:dyDescent="0.25">
      <c r="A261" s="3" t="s">
        <v>100</v>
      </c>
      <c r="B261" s="3">
        <v>21</v>
      </c>
      <c r="C261" s="3" t="s">
        <v>140</v>
      </c>
      <c r="D261" s="3" t="s">
        <v>141</v>
      </c>
      <c r="E261" s="3"/>
      <c r="F261" s="3">
        <v>2</v>
      </c>
      <c r="G261" s="3" t="s">
        <v>13</v>
      </c>
      <c r="H261" s="3"/>
      <c r="I261" s="3">
        <v>21</v>
      </c>
    </row>
    <row r="262" spans="1:9" x14ac:dyDescent="0.25">
      <c r="A262" s="4" t="s">
        <v>100</v>
      </c>
      <c r="B262" s="4">
        <v>22</v>
      </c>
      <c r="C262" s="4" t="s">
        <v>142</v>
      </c>
      <c r="D262" s="4" t="s">
        <v>143</v>
      </c>
      <c r="E262" s="4"/>
      <c r="F262" s="4">
        <v>1</v>
      </c>
      <c r="G262" s="4" t="s">
        <v>12</v>
      </c>
      <c r="H262" s="4"/>
      <c r="I262" s="4">
        <v>31.536000000000001</v>
      </c>
    </row>
    <row r="263" spans="1:9" x14ac:dyDescent="0.25">
      <c r="A263" s="4" t="s">
        <v>100</v>
      </c>
      <c r="B263" s="4">
        <v>22</v>
      </c>
      <c r="C263" s="4" t="s">
        <v>142</v>
      </c>
      <c r="D263" s="4" t="s">
        <v>143</v>
      </c>
      <c r="E263" s="4"/>
      <c r="F263" s="4">
        <v>2</v>
      </c>
      <c r="G263" s="4" t="s">
        <v>13</v>
      </c>
      <c r="H263" s="4"/>
      <c r="I263" s="4">
        <v>30</v>
      </c>
    </row>
    <row r="264" spans="1:9" x14ac:dyDescent="0.25">
      <c r="A264" s="3" t="s">
        <v>100</v>
      </c>
      <c r="B264" s="3">
        <v>23</v>
      </c>
      <c r="C264" s="3" t="s">
        <v>144</v>
      </c>
      <c r="D264" s="3" t="s">
        <v>145</v>
      </c>
      <c r="E264" s="3"/>
      <c r="F264" s="3">
        <v>1</v>
      </c>
      <c r="G264" s="3" t="s">
        <v>12</v>
      </c>
      <c r="H264" s="3"/>
      <c r="I264" s="3">
        <v>31.536000000000001</v>
      </c>
    </row>
    <row r="265" spans="1:9" x14ac:dyDescent="0.25">
      <c r="A265" s="3" t="s">
        <v>100</v>
      </c>
      <c r="B265" s="3">
        <v>23</v>
      </c>
      <c r="C265" s="3" t="s">
        <v>144</v>
      </c>
      <c r="D265" s="3" t="s">
        <v>145</v>
      </c>
      <c r="E265" s="3"/>
      <c r="F265" s="3">
        <v>2</v>
      </c>
      <c r="G265" s="3" t="s">
        <v>13</v>
      </c>
      <c r="H265" s="3"/>
      <c r="I265" s="3">
        <v>40</v>
      </c>
    </row>
    <row r="266" spans="1:9" x14ac:dyDescent="0.25">
      <c r="A266" s="4" t="s">
        <v>100</v>
      </c>
      <c r="B266" s="4">
        <v>24</v>
      </c>
      <c r="C266" s="4" t="s">
        <v>569</v>
      </c>
      <c r="D266" s="4" t="s">
        <v>570</v>
      </c>
      <c r="E266" s="4"/>
      <c r="F266" s="4">
        <v>1</v>
      </c>
      <c r="G266" s="4" t="s">
        <v>12</v>
      </c>
      <c r="H266" s="4"/>
      <c r="I266" s="4">
        <v>1</v>
      </c>
    </row>
    <row r="267" spans="1:9" x14ac:dyDescent="0.25">
      <c r="A267" s="4" t="s">
        <v>100</v>
      </c>
      <c r="B267" s="4">
        <v>24</v>
      </c>
      <c r="C267" s="4" t="s">
        <v>569</v>
      </c>
      <c r="D267" s="4" t="s">
        <v>570</v>
      </c>
      <c r="E267" s="4"/>
      <c r="F267" s="4">
        <v>2</v>
      </c>
      <c r="G267" s="4" t="s">
        <v>13</v>
      </c>
      <c r="H267" s="4"/>
      <c r="I267" s="4">
        <v>1</v>
      </c>
    </row>
    <row r="268" spans="1:9" x14ac:dyDescent="0.25">
      <c r="A268" s="3" t="s">
        <v>100</v>
      </c>
      <c r="B268" s="3">
        <v>24</v>
      </c>
      <c r="C268" s="3" t="s">
        <v>146</v>
      </c>
      <c r="D268" s="3" t="s">
        <v>147</v>
      </c>
      <c r="E268" s="3"/>
      <c r="F268" s="3">
        <v>1</v>
      </c>
      <c r="G268" s="3" t="s">
        <v>12</v>
      </c>
      <c r="H268" s="3"/>
      <c r="I268" s="3">
        <v>31.536000000000001</v>
      </c>
    </row>
    <row r="269" spans="1:9" x14ac:dyDescent="0.25">
      <c r="A269" s="3" t="s">
        <v>100</v>
      </c>
      <c r="B269" s="3">
        <v>24</v>
      </c>
      <c r="C269" s="3" t="s">
        <v>146</v>
      </c>
      <c r="D269" s="3" t="s">
        <v>147</v>
      </c>
      <c r="E269" s="3"/>
      <c r="F269" s="3">
        <v>2</v>
      </c>
      <c r="G269" s="3" t="s">
        <v>13</v>
      </c>
      <c r="H269" s="3"/>
      <c r="I269" s="3">
        <v>20</v>
      </c>
    </row>
    <row r="270" spans="1:9" x14ac:dyDescent="0.25">
      <c r="A270" s="4" t="s">
        <v>100</v>
      </c>
      <c r="B270" s="4">
        <v>25</v>
      </c>
      <c r="C270" s="4" t="s">
        <v>148</v>
      </c>
      <c r="D270" s="4" t="s">
        <v>149</v>
      </c>
      <c r="E270" s="4"/>
      <c r="F270" s="4">
        <v>1</v>
      </c>
      <c r="G270" s="4" t="s">
        <v>12</v>
      </c>
      <c r="H270" s="4"/>
      <c r="I270" s="4">
        <v>31.536000000000001</v>
      </c>
    </row>
    <row r="271" spans="1:9" x14ac:dyDescent="0.25">
      <c r="A271" s="4" t="s">
        <v>100</v>
      </c>
      <c r="B271" s="4">
        <v>25</v>
      </c>
      <c r="C271" s="4" t="s">
        <v>148</v>
      </c>
      <c r="D271" s="4" t="s">
        <v>149</v>
      </c>
      <c r="E271" s="4"/>
      <c r="F271" s="4">
        <v>2</v>
      </c>
      <c r="G271" s="4" t="s">
        <v>13</v>
      </c>
      <c r="H271" s="4"/>
      <c r="I271" s="4">
        <v>15</v>
      </c>
    </row>
    <row r="272" spans="1:9" x14ac:dyDescent="0.25">
      <c r="A272" s="3" t="s">
        <v>100</v>
      </c>
      <c r="B272" s="3">
        <v>26</v>
      </c>
      <c r="C272" s="3" t="s">
        <v>150</v>
      </c>
      <c r="D272" s="3" t="s">
        <v>151</v>
      </c>
      <c r="E272" s="3"/>
      <c r="F272" s="3">
        <v>1</v>
      </c>
      <c r="G272" s="3" t="s">
        <v>12</v>
      </c>
      <c r="H272" s="3"/>
      <c r="I272" s="3">
        <v>31.536000000000001</v>
      </c>
    </row>
    <row r="273" spans="1:9" x14ac:dyDescent="0.25">
      <c r="A273" s="3" t="s">
        <v>100</v>
      </c>
      <c r="B273" s="3">
        <v>26</v>
      </c>
      <c r="C273" s="3" t="s">
        <v>150</v>
      </c>
      <c r="D273" s="3" t="s">
        <v>151</v>
      </c>
      <c r="E273" s="3"/>
      <c r="F273" s="3">
        <v>2</v>
      </c>
      <c r="G273" s="3" t="s">
        <v>13</v>
      </c>
      <c r="H273" s="3"/>
      <c r="I273" s="3">
        <v>15</v>
      </c>
    </row>
    <row r="274" spans="1:9" x14ac:dyDescent="0.25">
      <c r="A274" s="4" t="s">
        <v>100</v>
      </c>
      <c r="B274" s="4">
        <v>27</v>
      </c>
      <c r="C274" s="4" t="s">
        <v>152</v>
      </c>
      <c r="D274" s="4" t="s">
        <v>153</v>
      </c>
      <c r="E274" s="4"/>
      <c r="F274" s="4">
        <v>1</v>
      </c>
      <c r="G274" s="4" t="s">
        <v>12</v>
      </c>
      <c r="H274" s="4"/>
      <c r="I274" s="4">
        <v>31.536000000000001</v>
      </c>
    </row>
    <row r="275" spans="1:9" x14ac:dyDescent="0.25">
      <c r="A275" s="4" t="s">
        <v>100</v>
      </c>
      <c r="B275" s="4">
        <v>27</v>
      </c>
      <c r="C275" s="4" t="s">
        <v>152</v>
      </c>
      <c r="D275" s="4" t="s">
        <v>153</v>
      </c>
      <c r="E275" s="4"/>
      <c r="F275" s="4">
        <v>2</v>
      </c>
      <c r="G275" s="4" t="s">
        <v>13</v>
      </c>
      <c r="H275" s="4"/>
      <c r="I275" s="4">
        <v>21</v>
      </c>
    </row>
    <row r="276" spans="1:9" x14ac:dyDescent="0.25">
      <c r="A276" s="3" t="s">
        <v>100</v>
      </c>
      <c r="B276" s="3">
        <v>28</v>
      </c>
      <c r="C276" s="3" t="s">
        <v>154</v>
      </c>
      <c r="D276" s="3" t="s">
        <v>155</v>
      </c>
      <c r="E276" s="3"/>
      <c r="F276" s="3">
        <v>1</v>
      </c>
      <c r="G276" s="3" t="s">
        <v>12</v>
      </c>
      <c r="H276" s="3"/>
      <c r="I276" s="3">
        <v>31.536000000000001</v>
      </c>
    </row>
    <row r="277" spans="1:9" x14ac:dyDescent="0.25">
      <c r="A277" s="3" t="s">
        <v>100</v>
      </c>
      <c r="B277" s="3">
        <v>28</v>
      </c>
      <c r="C277" s="3" t="s">
        <v>154</v>
      </c>
      <c r="D277" s="3" t="s">
        <v>155</v>
      </c>
      <c r="E277" s="3"/>
      <c r="F277" s="3">
        <v>2</v>
      </c>
      <c r="G277" s="3" t="s">
        <v>13</v>
      </c>
      <c r="H277" s="3"/>
      <c r="I277" s="3">
        <v>21</v>
      </c>
    </row>
    <row r="278" spans="1:9" x14ac:dyDescent="0.25">
      <c r="A278" s="4" t="s">
        <v>100</v>
      </c>
      <c r="B278" s="4">
        <v>29</v>
      </c>
      <c r="C278" s="4" t="s">
        <v>156</v>
      </c>
      <c r="D278" s="4" t="s">
        <v>157</v>
      </c>
      <c r="E278" s="4"/>
      <c r="F278" s="4">
        <v>1</v>
      </c>
      <c r="G278" s="4" t="s">
        <v>12</v>
      </c>
      <c r="H278" s="4"/>
      <c r="I278" s="4">
        <v>31.536000000000001</v>
      </c>
    </row>
    <row r="279" spans="1:9" x14ac:dyDescent="0.25">
      <c r="A279" s="4" t="s">
        <v>100</v>
      </c>
      <c r="B279" s="4">
        <v>29</v>
      </c>
      <c r="C279" s="4" t="s">
        <v>156</v>
      </c>
      <c r="D279" s="4" t="s">
        <v>157</v>
      </c>
      <c r="E279" s="4"/>
      <c r="F279" s="4">
        <v>2</v>
      </c>
      <c r="G279" s="4" t="s">
        <v>13</v>
      </c>
      <c r="H279" s="4"/>
      <c r="I279" s="4">
        <v>40</v>
      </c>
    </row>
    <row r="280" spans="1:9" x14ac:dyDescent="0.25">
      <c r="A280" s="3" t="s">
        <v>100</v>
      </c>
      <c r="B280" s="3">
        <v>30</v>
      </c>
      <c r="C280" s="3" t="s">
        <v>158</v>
      </c>
      <c r="D280" s="3" t="s">
        <v>159</v>
      </c>
      <c r="E280" s="3"/>
      <c r="F280" s="3">
        <v>1</v>
      </c>
      <c r="G280" s="3" t="s">
        <v>12</v>
      </c>
      <c r="H280" s="3"/>
      <c r="I280" s="3">
        <v>31.536000000000001</v>
      </c>
    </row>
    <row r="281" spans="1:9" x14ac:dyDescent="0.25">
      <c r="A281" s="3" t="s">
        <v>100</v>
      </c>
      <c r="B281" s="3">
        <v>30</v>
      </c>
      <c r="C281" s="3" t="s">
        <v>158</v>
      </c>
      <c r="D281" s="3" t="s">
        <v>159</v>
      </c>
      <c r="E281" s="3"/>
      <c r="F281" s="3">
        <v>2</v>
      </c>
      <c r="G281" s="3" t="s">
        <v>13</v>
      </c>
      <c r="H281" s="3"/>
      <c r="I281" s="3">
        <v>40</v>
      </c>
    </row>
    <row r="282" spans="1:9" x14ac:dyDescent="0.25">
      <c r="A282" s="4" t="s">
        <v>100</v>
      </c>
      <c r="B282" s="4">
        <v>31</v>
      </c>
      <c r="C282" s="4" t="s">
        <v>160</v>
      </c>
      <c r="D282" s="4" t="s">
        <v>161</v>
      </c>
      <c r="E282" s="4"/>
      <c r="F282" s="4">
        <v>1</v>
      </c>
      <c r="G282" s="4" t="s">
        <v>12</v>
      </c>
      <c r="H282" s="4"/>
      <c r="I282" s="4">
        <v>31.536000000000001</v>
      </c>
    </row>
    <row r="283" spans="1:9" x14ac:dyDescent="0.25">
      <c r="A283" s="4" t="s">
        <v>100</v>
      </c>
      <c r="B283" s="4">
        <v>31</v>
      </c>
      <c r="C283" s="4" t="s">
        <v>160</v>
      </c>
      <c r="D283" s="4" t="s">
        <v>161</v>
      </c>
      <c r="E283" s="4"/>
      <c r="F283" s="4">
        <v>2</v>
      </c>
      <c r="G283" s="4" t="s">
        <v>13</v>
      </c>
      <c r="H283" s="4"/>
      <c r="I283" s="4">
        <v>21</v>
      </c>
    </row>
    <row r="284" spans="1:9" x14ac:dyDescent="0.25">
      <c r="A284" s="3" t="s">
        <v>100</v>
      </c>
      <c r="B284" s="3">
        <v>32</v>
      </c>
      <c r="C284" s="3" t="s">
        <v>162</v>
      </c>
      <c r="D284" s="3" t="s">
        <v>163</v>
      </c>
      <c r="E284" s="3"/>
      <c r="F284" s="3">
        <v>1</v>
      </c>
      <c r="G284" s="3" t="s">
        <v>12</v>
      </c>
      <c r="H284" s="3"/>
      <c r="I284" s="3">
        <v>31.536000000000001</v>
      </c>
    </row>
    <row r="285" spans="1:9" x14ac:dyDescent="0.25">
      <c r="A285" s="3" t="s">
        <v>100</v>
      </c>
      <c r="B285" s="3">
        <v>32</v>
      </c>
      <c r="C285" s="3" t="s">
        <v>162</v>
      </c>
      <c r="D285" s="3" t="s">
        <v>163</v>
      </c>
      <c r="E285" s="3"/>
      <c r="F285" s="3">
        <v>2</v>
      </c>
      <c r="G285" s="3" t="s">
        <v>13</v>
      </c>
      <c r="H285" s="3"/>
      <c r="I285" s="3">
        <v>15</v>
      </c>
    </row>
    <row r="286" spans="1:9" x14ac:dyDescent="0.25">
      <c r="A286" s="4" t="s">
        <v>100</v>
      </c>
      <c r="B286" s="4">
        <v>33</v>
      </c>
      <c r="C286" s="4" t="s">
        <v>164</v>
      </c>
      <c r="D286" s="4" t="s">
        <v>165</v>
      </c>
      <c r="E286" s="4"/>
      <c r="F286" s="4">
        <v>1</v>
      </c>
      <c r="G286" s="4" t="s">
        <v>12</v>
      </c>
      <c r="H286" s="4"/>
      <c r="I286" s="4">
        <v>31.536000000000001</v>
      </c>
    </row>
    <row r="287" spans="1:9" x14ac:dyDescent="0.25">
      <c r="A287" s="4" t="s">
        <v>100</v>
      </c>
      <c r="B287" s="4">
        <v>33</v>
      </c>
      <c r="C287" s="4" t="s">
        <v>164</v>
      </c>
      <c r="D287" s="4" t="s">
        <v>165</v>
      </c>
      <c r="E287" s="4"/>
      <c r="F287" s="4">
        <v>2</v>
      </c>
      <c r="G287" s="4" t="s">
        <v>13</v>
      </c>
      <c r="H287" s="4"/>
      <c r="I287" s="4">
        <v>30</v>
      </c>
    </row>
    <row r="288" spans="1:9" x14ac:dyDescent="0.25">
      <c r="A288" s="3" t="s">
        <v>100</v>
      </c>
      <c r="B288" s="3">
        <v>34</v>
      </c>
      <c r="C288" s="3" t="s">
        <v>166</v>
      </c>
      <c r="D288" s="3" t="s">
        <v>167</v>
      </c>
      <c r="E288" s="3"/>
      <c r="F288" s="3">
        <v>1</v>
      </c>
      <c r="G288" s="3" t="s">
        <v>12</v>
      </c>
      <c r="H288" s="3"/>
      <c r="I288" s="3">
        <v>31.536000000000001</v>
      </c>
    </row>
    <row r="289" spans="1:9" x14ac:dyDescent="0.25">
      <c r="A289" s="3" t="s">
        <v>100</v>
      </c>
      <c r="B289" s="3">
        <v>34</v>
      </c>
      <c r="C289" s="3" t="s">
        <v>166</v>
      </c>
      <c r="D289" s="3" t="s">
        <v>167</v>
      </c>
      <c r="E289" s="3"/>
      <c r="F289" s="3">
        <v>2</v>
      </c>
      <c r="G289" s="3" t="s">
        <v>13</v>
      </c>
      <c r="H289" s="3"/>
      <c r="I289" s="3">
        <v>30</v>
      </c>
    </row>
    <row r="290" spans="1:9" x14ac:dyDescent="0.25">
      <c r="A290" s="4" t="s">
        <v>100</v>
      </c>
      <c r="B290" s="4">
        <v>35</v>
      </c>
      <c r="C290" s="4" t="s">
        <v>168</v>
      </c>
      <c r="D290" s="4" t="s">
        <v>169</v>
      </c>
      <c r="E290" s="4"/>
      <c r="F290" s="4">
        <v>1</v>
      </c>
      <c r="G290" s="4" t="s">
        <v>12</v>
      </c>
      <c r="H290" s="4"/>
      <c r="I290" s="4">
        <v>31.536000000000001</v>
      </c>
    </row>
    <row r="291" spans="1:9" x14ac:dyDescent="0.25">
      <c r="A291" s="4" t="s">
        <v>100</v>
      </c>
      <c r="B291" s="4">
        <v>35</v>
      </c>
      <c r="C291" s="4" t="s">
        <v>168</v>
      </c>
      <c r="D291" s="4" t="s">
        <v>169</v>
      </c>
      <c r="E291" s="4"/>
      <c r="F291" s="4">
        <v>2</v>
      </c>
      <c r="G291" s="4" t="s">
        <v>13</v>
      </c>
      <c r="H291" s="4"/>
      <c r="I291" s="4">
        <v>30</v>
      </c>
    </row>
    <row r="292" spans="1:9" x14ac:dyDescent="0.25">
      <c r="A292" s="3" t="s">
        <v>100</v>
      </c>
      <c r="B292" s="3">
        <v>36</v>
      </c>
      <c r="C292" s="3" t="s">
        <v>170</v>
      </c>
      <c r="D292" s="3" t="s">
        <v>171</v>
      </c>
      <c r="E292" s="3"/>
      <c r="F292" s="3">
        <v>1</v>
      </c>
      <c r="G292" s="3" t="s">
        <v>12</v>
      </c>
      <c r="H292" s="3"/>
      <c r="I292" s="3">
        <v>1</v>
      </c>
    </row>
    <row r="293" spans="1:9" x14ac:dyDescent="0.25">
      <c r="A293" s="3" t="s">
        <v>100</v>
      </c>
      <c r="B293" s="3">
        <v>36</v>
      </c>
      <c r="C293" s="3" t="s">
        <v>170</v>
      </c>
      <c r="D293" s="3" t="s">
        <v>171</v>
      </c>
      <c r="E293" s="3" t="s">
        <v>172</v>
      </c>
      <c r="F293" s="3">
        <v>2</v>
      </c>
      <c r="G293" s="3" t="s">
        <v>13</v>
      </c>
      <c r="H293" s="3"/>
      <c r="I293" s="3">
        <v>1</v>
      </c>
    </row>
    <row r="294" spans="1:9" x14ac:dyDescent="0.25">
      <c r="A294" s="4" t="s">
        <v>100</v>
      </c>
      <c r="B294" s="4">
        <v>37</v>
      </c>
      <c r="C294" s="4" t="s">
        <v>173</v>
      </c>
      <c r="D294" s="4" t="s">
        <v>174</v>
      </c>
      <c r="E294" s="4"/>
      <c r="F294" s="4">
        <v>1</v>
      </c>
      <c r="G294" s="4" t="s">
        <v>12</v>
      </c>
      <c r="H294" s="4"/>
      <c r="I294" s="4">
        <v>1</v>
      </c>
    </row>
    <row r="295" spans="1:9" x14ac:dyDescent="0.25">
      <c r="A295" s="4" t="s">
        <v>100</v>
      </c>
      <c r="B295" s="4">
        <v>37</v>
      </c>
      <c r="C295" s="4" t="s">
        <v>173</v>
      </c>
      <c r="D295" s="4" t="s">
        <v>174</v>
      </c>
      <c r="E295" s="4" t="s">
        <v>172</v>
      </c>
      <c r="F295" s="4">
        <v>2</v>
      </c>
      <c r="G295" s="4" t="s">
        <v>13</v>
      </c>
      <c r="H295" s="4"/>
      <c r="I295" s="4">
        <v>1</v>
      </c>
    </row>
    <row r="296" spans="1:9" x14ac:dyDescent="0.25">
      <c r="A296" s="3" t="s">
        <v>100</v>
      </c>
      <c r="B296" s="3">
        <v>38</v>
      </c>
      <c r="C296" s="3" t="s">
        <v>175</v>
      </c>
      <c r="D296" s="3" t="s">
        <v>176</v>
      </c>
      <c r="E296" s="3"/>
      <c r="F296" s="3">
        <v>1</v>
      </c>
      <c r="G296" s="3" t="s">
        <v>12</v>
      </c>
      <c r="H296" s="3"/>
      <c r="I296" s="3">
        <v>1</v>
      </c>
    </row>
    <row r="297" spans="1:9" x14ac:dyDescent="0.25">
      <c r="A297" s="3" t="s">
        <v>100</v>
      </c>
      <c r="B297" s="3">
        <v>38</v>
      </c>
      <c r="C297" s="3" t="s">
        <v>175</v>
      </c>
      <c r="D297" s="3" t="s">
        <v>176</v>
      </c>
      <c r="E297" s="3" t="s">
        <v>172</v>
      </c>
      <c r="F297" s="3">
        <v>2</v>
      </c>
      <c r="G297" s="3" t="s">
        <v>13</v>
      </c>
      <c r="H297" s="3"/>
      <c r="I297" s="3">
        <v>1</v>
      </c>
    </row>
    <row r="298" spans="1:9" x14ac:dyDescent="0.25">
      <c r="A298" s="4" t="s">
        <v>100</v>
      </c>
      <c r="B298" s="4">
        <v>39</v>
      </c>
      <c r="C298" s="4" t="s">
        <v>177</v>
      </c>
      <c r="D298" s="4" t="s">
        <v>178</v>
      </c>
      <c r="E298" s="4"/>
      <c r="F298" s="4">
        <v>1</v>
      </c>
      <c r="G298" s="4" t="s">
        <v>12</v>
      </c>
      <c r="H298" s="4"/>
      <c r="I298" s="4">
        <v>1</v>
      </c>
    </row>
    <row r="299" spans="1:9" x14ac:dyDescent="0.25">
      <c r="A299" s="4" t="s">
        <v>100</v>
      </c>
      <c r="B299" s="4">
        <v>39</v>
      </c>
      <c r="C299" s="4" t="s">
        <v>177</v>
      </c>
      <c r="D299" s="4" t="s">
        <v>178</v>
      </c>
      <c r="E299" s="4" t="s">
        <v>172</v>
      </c>
      <c r="F299" s="4">
        <v>2</v>
      </c>
      <c r="G299" s="4" t="s">
        <v>13</v>
      </c>
      <c r="H299" s="4"/>
      <c r="I299" s="4">
        <v>1</v>
      </c>
    </row>
    <row r="300" spans="1:9" x14ac:dyDescent="0.25">
      <c r="A300" s="3" t="s">
        <v>100</v>
      </c>
      <c r="B300" s="3">
        <v>40</v>
      </c>
      <c r="C300" s="3" t="s">
        <v>179</v>
      </c>
      <c r="D300" s="3" t="s">
        <v>180</v>
      </c>
      <c r="E300" s="3"/>
      <c r="F300" s="3">
        <v>1</v>
      </c>
      <c r="G300" s="3" t="s">
        <v>12</v>
      </c>
      <c r="H300" s="3"/>
      <c r="I300" s="3">
        <v>1</v>
      </c>
    </row>
    <row r="301" spans="1:9" x14ac:dyDescent="0.25">
      <c r="A301" s="3" t="s">
        <v>100</v>
      </c>
      <c r="B301" s="3">
        <v>40</v>
      </c>
      <c r="C301" s="3" t="s">
        <v>179</v>
      </c>
      <c r="D301" s="3" t="s">
        <v>180</v>
      </c>
      <c r="E301" s="3" t="s">
        <v>172</v>
      </c>
      <c r="F301" s="3">
        <v>2</v>
      </c>
      <c r="G301" s="3" t="s">
        <v>13</v>
      </c>
      <c r="H301" s="3"/>
      <c r="I301" s="3">
        <v>30</v>
      </c>
    </row>
    <row r="302" spans="1:9" x14ac:dyDescent="0.25">
      <c r="A302" s="4" t="s">
        <v>100</v>
      </c>
      <c r="B302" s="4">
        <v>41</v>
      </c>
      <c r="C302" s="4" t="s">
        <v>181</v>
      </c>
      <c r="D302" s="4" t="s">
        <v>182</v>
      </c>
      <c r="E302" s="4"/>
      <c r="F302" s="4">
        <v>1</v>
      </c>
      <c r="G302" s="4" t="s">
        <v>12</v>
      </c>
      <c r="H302" s="4"/>
      <c r="I302" s="4">
        <v>1</v>
      </c>
    </row>
    <row r="303" spans="1:9" x14ac:dyDescent="0.25">
      <c r="A303" s="4" t="s">
        <v>100</v>
      </c>
      <c r="B303" s="4">
        <v>41</v>
      </c>
      <c r="C303" s="4" t="s">
        <v>181</v>
      </c>
      <c r="D303" s="4" t="s">
        <v>182</v>
      </c>
      <c r="E303" s="4" t="s">
        <v>172</v>
      </c>
      <c r="F303" s="4">
        <v>2</v>
      </c>
      <c r="G303" s="4" t="s">
        <v>13</v>
      </c>
      <c r="H303" s="4"/>
      <c r="I303" s="4">
        <v>30</v>
      </c>
    </row>
    <row r="304" spans="1:9" x14ac:dyDescent="0.25">
      <c r="A304" s="3" t="s">
        <v>100</v>
      </c>
      <c r="B304" s="3">
        <v>42</v>
      </c>
      <c r="C304" s="3" t="s">
        <v>183</v>
      </c>
      <c r="D304" s="3" t="s">
        <v>184</v>
      </c>
      <c r="E304" s="3"/>
      <c r="F304" s="3">
        <v>1</v>
      </c>
      <c r="G304" s="3" t="s">
        <v>12</v>
      </c>
      <c r="H304" s="3"/>
      <c r="I304" s="3">
        <v>1</v>
      </c>
    </row>
    <row r="305" spans="1:9" x14ac:dyDescent="0.25">
      <c r="A305" s="3" t="s">
        <v>100</v>
      </c>
      <c r="B305" s="3">
        <v>42</v>
      </c>
      <c r="C305" s="3" t="s">
        <v>183</v>
      </c>
      <c r="D305" s="3" t="s">
        <v>184</v>
      </c>
      <c r="E305" s="3" t="s">
        <v>172</v>
      </c>
      <c r="F305" s="3">
        <v>2</v>
      </c>
      <c r="G305" s="3" t="s">
        <v>13</v>
      </c>
      <c r="H305" s="3"/>
      <c r="I305" s="3">
        <v>30</v>
      </c>
    </row>
    <row r="306" spans="1:9" x14ac:dyDescent="0.25">
      <c r="A306" s="4" t="s">
        <v>100</v>
      </c>
      <c r="B306" s="4">
        <v>43</v>
      </c>
      <c r="C306" s="4" t="s">
        <v>185</v>
      </c>
      <c r="D306" s="4" t="s">
        <v>186</v>
      </c>
      <c r="E306" s="4"/>
      <c r="F306" s="4">
        <v>1</v>
      </c>
      <c r="G306" s="4" t="s">
        <v>12</v>
      </c>
      <c r="H306" s="4"/>
      <c r="I306" s="4">
        <v>1</v>
      </c>
    </row>
    <row r="307" spans="1:9" x14ac:dyDescent="0.25">
      <c r="A307" s="4" t="s">
        <v>100</v>
      </c>
      <c r="B307" s="4">
        <v>43</v>
      </c>
      <c r="C307" s="4" t="s">
        <v>185</v>
      </c>
      <c r="D307" s="4" t="s">
        <v>186</v>
      </c>
      <c r="E307" s="4" t="s">
        <v>172</v>
      </c>
      <c r="F307" s="4">
        <v>2</v>
      </c>
      <c r="G307" s="4" t="s">
        <v>13</v>
      </c>
      <c r="H307" s="4"/>
      <c r="I307" s="4">
        <v>30</v>
      </c>
    </row>
    <row r="308" spans="1:9" x14ac:dyDescent="0.25">
      <c r="A308" s="3" t="s">
        <v>100</v>
      </c>
      <c r="B308" s="3">
        <v>44</v>
      </c>
      <c r="C308" s="3" t="s">
        <v>187</v>
      </c>
      <c r="D308" s="3" t="s">
        <v>188</v>
      </c>
      <c r="E308" s="3"/>
      <c r="F308" s="3">
        <v>1</v>
      </c>
      <c r="G308" s="3" t="s">
        <v>12</v>
      </c>
      <c r="H308" s="3"/>
      <c r="I308" s="3">
        <v>1</v>
      </c>
    </row>
    <row r="309" spans="1:9" x14ac:dyDescent="0.25">
      <c r="A309" s="3" t="s">
        <v>100</v>
      </c>
      <c r="B309" s="3">
        <v>44</v>
      </c>
      <c r="C309" s="3" t="s">
        <v>187</v>
      </c>
      <c r="D309" s="3" t="s">
        <v>188</v>
      </c>
      <c r="E309" s="3" t="s">
        <v>172</v>
      </c>
      <c r="F309" s="3">
        <v>2</v>
      </c>
      <c r="G309" s="3" t="s">
        <v>13</v>
      </c>
      <c r="H309" s="3"/>
      <c r="I309" s="3">
        <v>30</v>
      </c>
    </row>
    <row r="310" spans="1:9" x14ac:dyDescent="0.25">
      <c r="A310" s="4" t="s">
        <v>100</v>
      </c>
      <c r="B310" s="4">
        <v>45</v>
      </c>
      <c r="C310" s="4" t="s">
        <v>526</v>
      </c>
      <c r="D310" s="4" t="s">
        <v>135</v>
      </c>
      <c r="E310" s="4"/>
      <c r="F310" s="4">
        <v>1</v>
      </c>
      <c r="G310" s="4" t="s">
        <v>12</v>
      </c>
      <c r="H310" s="4"/>
      <c r="I310" s="4">
        <v>31.536000000000001</v>
      </c>
    </row>
    <row r="311" spans="1:9" x14ac:dyDescent="0.25">
      <c r="A311" s="4" t="s">
        <v>100</v>
      </c>
      <c r="B311" s="4">
        <v>45</v>
      </c>
      <c r="C311" s="4" t="s">
        <v>526</v>
      </c>
      <c r="D311" s="4" t="s">
        <v>135</v>
      </c>
      <c r="E311" s="4"/>
      <c r="F311" s="4">
        <v>2</v>
      </c>
      <c r="G311" s="4" t="s">
        <v>13</v>
      </c>
      <c r="H311" s="4"/>
      <c r="I311" s="4">
        <v>15</v>
      </c>
    </row>
    <row r="312" spans="1:9" x14ac:dyDescent="0.25">
      <c r="A312" s="3" t="s">
        <v>100</v>
      </c>
      <c r="B312" s="3">
        <v>46</v>
      </c>
      <c r="C312" s="3" t="s">
        <v>564</v>
      </c>
      <c r="D312" s="3" t="s">
        <v>563</v>
      </c>
      <c r="E312" s="3"/>
      <c r="F312" s="3">
        <v>1</v>
      </c>
      <c r="G312" s="3" t="s">
        <v>12</v>
      </c>
      <c r="H312" s="3"/>
      <c r="I312" s="3">
        <v>1</v>
      </c>
    </row>
    <row r="313" spans="1:9" x14ac:dyDescent="0.25">
      <c r="A313" s="3" t="s">
        <v>100</v>
      </c>
      <c r="B313" s="3">
        <v>46</v>
      </c>
      <c r="C313" s="3" t="s">
        <v>564</v>
      </c>
      <c r="D313" s="3" t="s">
        <v>563</v>
      </c>
      <c r="E313" s="3"/>
      <c r="F313" s="3">
        <v>2</v>
      </c>
      <c r="G313" s="3" t="s">
        <v>13</v>
      </c>
      <c r="H313" s="3"/>
      <c r="I313" s="3">
        <v>70</v>
      </c>
    </row>
    <row r="314" spans="1:9" x14ac:dyDescent="0.25">
      <c r="A314" s="4" t="s">
        <v>9</v>
      </c>
      <c r="B314" s="4">
        <v>8</v>
      </c>
      <c r="C314" s="4" t="s">
        <v>527</v>
      </c>
      <c r="D314" s="4" t="s">
        <v>528</v>
      </c>
      <c r="E314" s="4"/>
      <c r="F314" s="4">
        <v>1</v>
      </c>
      <c r="G314" s="4" t="s">
        <v>12</v>
      </c>
      <c r="H314" s="4"/>
      <c r="I314" s="4">
        <v>1</v>
      </c>
    </row>
    <row r="315" spans="1:9" x14ac:dyDescent="0.25">
      <c r="A315" s="4" t="s">
        <v>9</v>
      </c>
      <c r="B315" s="4">
        <v>8</v>
      </c>
      <c r="C315" s="4" t="s">
        <v>527</v>
      </c>
      <c r="D315" s="4" t="s">
        <v>528</v>
      </c>
      <c r="E315" s="4"/>
      <c r="F315" s="4">
        <v>2</v>
      </c>
      <c r="G315" s="4" t="s">
        <v>13</v>
      </c>
      <c r="H315" s="4"/>
      <c r="I315" s="4">
        <v>1</v>
      </c>
    </row>
    <row r="316" spans="1:9" x14ac:dyDescent="0.25">
      <c r="A316" s="3" t="s">
        <v>9</v>
      </c>
      <c r="B316" s="3">
        <v>8</v>
      </c>
      <c r="C316" s="3" t="s">
        <v>524</v>
      </c>
      <c r="D316" s="3" t="s">
        <v>525</v>
      </c>
      <c r="E316" s="3"/>
      <c r="F316" s="3">
        <v>1</v>
      </c>
      <c r="G316" s="3" t="s">
        <v>12</v>
      </c>
      <c r="H316" s="3"/>
      <c r="I316" s="3">
        <v>1</v>
      </c>
    </row>
    <row r="317" spans="1:9" x14ac:dyDescent="0.25">
      <c r="A317" s="3" t="s">
        <v>9</v>
      </c>
      <c r="B317" s="3">
        <v>8</v>
      </c>
      <c r="C317" s="3" t="s">
        <v>524</v>
      </c>
      <c r="D317" s="3" t="s">
        <v>525</v>
      </c>
      <c r="E317" s="3"/>
      <c r="F317" s="3">
        <v>2</v>
      </c>
      <c r="G317" s="3" t="s">
        <v>13</v>
      </c>
      <c r="H317" s="3"/>
      <c r="I317" s="3">
        <v>1</v>
      </c>
    </row>
    <row r="318" spans="1:9" x14ac:dyDescent="0.25">
      <c r="A318" s="4" t="s">
        <v>9</v>
      </c>
      <c r="B318" s="4">
        <v>11</v>
      </c>
      <c r="C318" s="4" t="s">
        <v>30</v>
      </c>
      <c r="D318" s="4" t="s">
        <v>31</v>
      </c>
      <c r="E318" s="4"/>
      <c r="F318" s="4">
        <v>1</v>
      </c>
      <c r="G318" s="4" t="s">
        <v>12</v>
      </c>
      <c r="H318" s="4"/>
      <c r="I318" s="4">
        <v>1</v>
      </c>
    </row>
    <row r="319" spans="1:9" x14ac:dyDescent="0.25">
      <c r="A319" s="4" t="s">
        <v>9</v>
      </c>
      <c r="B319" s="4">
        <v>11</v>
      </c>
      <c r="C319" s="4" t="s">
        <v>30</v>
      </c>
      <c r="D319" s="4" t="s">
        <v>31</v>
      </c>
      <c r="E319" s="4"/>
      <c r="F319" s="4">
        <v>2</v>
      </c>
      <c r="G319" s="4" t="s">
        <v>13</v>
      </c>
      <c r="H319" s="4"/>
      <c r="I319" s="4">
        <v>1</v>
      </c>
    </row>
    <row r="320" spans="1:9" x14ac:dyDescent="0.25">
      <c r="A320" s="3" t="s">
        <v>9</v>
      </c>
      <c r="B320" s="3">
        <v>15</v>
      </c>
      <c r="C320" s="3" t="s">
        <v>38</v>
      </c>
      <c r="D320" s="3" t="s">
        <v>39</v>
      </c>
      <c r="E320" s="3"/>
      <c r="F320" s="3">
        <v>1</v>
      </c>
      <c r="G320" s="3" t="s">
        <v>12</v>
      </c>
      <c r="H320" s="3"/>
      <c r="I320" s="3">
        <v>1</v>
      </c>
    </row>
    <row r="321" spans="1:9" x14ac:dyDescent="0.25">
      <c r="A321" s="3" t="s">
        <v>9</v>
      </c>
      <c r="B321" s="3">
        <v>15</v>
      </c>
      <c r="C321" s="3" t="s">
        <v>38</v>
      </c>
      <c r="D321" s="3" t="s">
        <v>39</v>
      </c>
      <c r="E321" s="3"/>
      <c r="F321" s="3">
        <v>2</v>
      </c>
      <c r="G321" s="3" t="s">
        <v>13</v>
      </c>
      <c r="H321" s="3"/>
      <c r="I321" s="3">
        <v>1</v>
      </c>
    </row>
    <row r="322" spans="1:9" x14ac:dyDescent="0.25">
      <c r="A322" s="4" t="s">
        <v>9</v>
      </c>
      <c r="B322" s="4">
        <v>13</v>
      </c>
      <c r="C322" s="4" t="s">
        <v>34</v>
      </c>
      <c r="D322" s="4" t="s">
        <v>35</v>
      </c>
      <c r="E322" s="4"/>
      <c r="F322" s="4">
        <v>1</v>
      </c>
      <c r="G322" s="4" t="s">
        <v>12</v>
      </c>
      <c r="H322" s="4"/>
      <c r="I322" s="4">
        <v>1</v>
      </c>
    </row>
    <row r="323" spans="1:9" x14ac:dyDescent="0.25">
      <c r="A323" s="4" t="s">
        <v>9</v>
      </c>
      <c r="B323" s="4">
        <v>13</v>
      </c>
      <c r="C323" s="4" t="s">
        <v>34</v>
      </c>
      <c r="D323" s="4" t="s">
        <v>35</v>
      </c>
      <c r="E323" s="4"/>
      <c r="F323" s="4">
        <v>2</v>
      </c>
      <c r="G323" s="4" t="s">
        <v>13</v>
      </c>
      <c r="H323" s="4"/>
      <c r="I323" s="4">
        <v>1</v>
      </c>
    </row>
    <row r="324" spans="1:9" x14ac:dyDescent="0.25">
      <c r="A324" s="3" t="s">
        <v>9</v>
      </c>
      <c r="B324" s="3">
        <v>12</v>
      </c>
      <c r="C324" s="3" t="s">
        <v>32</v>
      </c>
      <c r="D324" s="3" t="s">
        <v>33</v>
      </c>
      <c r="E324" s="3"/>
      <c r="F324" s="3">
        <v>1</v>
      </c>
      <c r="G324" s="3" t="s">
        <v>12</v>
      </c>
      <c r="H324" s="3"/>
      <c r="I324" s="3">
        <v>1</v>
      </c>
    </row>
    <row r="325" spans="1:9" x14ac:dyDescent="0.25">
      <c r="A325" s="3" t="s">
        <v>9</v>
      </c>
      <c r="B325" s="3">
        <v>12</v>
      </c>
      <c r="C325" s="3" t="s">
        <v>32</v>
      </c>
      <c r="D325" s="3" t="s">
        <v>33</v>
      </c>
      <c r="E325" s="3"/>
      <c r="F325" s="3">
        <v>2</v>
      </c>
      <c r="G325" s="3" t="s">
        <v>13</v>
      </c>
      <c r="H325" s="3"/>
      <c r="I325" s="3">
        <v>1</v>
      </c>
    </row>
    <row r="326" spans="1:9" x14ac:dyDescent="0.25">
      <c r="A326" s="4" t="s">
        <v>9</v>
      </c>
      <c r="B326" s="4">
        <v>8</v>
      </c>
      <c r="C326" s="4" t="s">
        <v>24</v>
      </c>
      <c r="D326" s="4" t="s">
        <v>25</v>
      </c>
      <c r="E326" s="4"/>
      <c r="F326" s="4">
        <v>1</v>
      </c>
      <c r="G326" s="4" t="s">
        <v>12</v>
      </c>
      <c r="H326" s="4"/>
      <c r="I326" s="4">
        <v>1</v>
      </c>
    </row>
    <row r="327" spans="1:9" x14ac:dyDescent="0.25">
      <c r="A327" s="4" t="s">
        <v>9</v>
      </c>
      <c r="B327" s="4">
        <v>8</v>
      </c>
      <c r="C327" s="4" t="s">
        <v>24</v>
      </c>
      <c r="D327" s="4" t="s">
        <v>25</v>
      </c>
      <c r="E327" s="4"/>
      <c r="F327" s="4">
        <v>2</v>
      </c>
      <c r="G327" s="4" t="s">
        <v>13</v>
      </c>
      <c r="H327" s="4"/>
      <c r="I327" s="4">
        <v>1</v>
      </c>
    </row>
    <row r="328" spans="1:9" x14ac:dyDescent="0.25">
      <c r="A328" s="3" t="s">
        <v>9</v>
      </c>
      <c r="B328" s="3">
        <v>17</v>
      </c>
      <c r="C328" s="3" t="s">
        <v>42</v>
      </c>
      <c r="D328" s="3" t="s">
        <v>43</v>
      </c>
      <c r="E328" s="3"/>
      <c r="F328" s="3">
        <v>1</v>
      </c>
      <c r="G328" s="3" t="s">
        <v>12</v>
      </c>
      <c r="H328" s="3"/>
      <c r="I328" s="3">
        <v>1</v>
      </c>
    </row>
    <row r="329" spans="1:9" x14ac:dyDescent="0.25">
      <c r="A329" s="3" t="s">
        <v>9</v>
      </c>
      <c r="B329" s="3">
        <v>17</v>
      </c>
      <c r="C329" s="3" t="s">
        <v>42</v>
      </c>
      <c r="D329" s="3" t="s">
        <v>43</v>
      </c>
      <c r="E329" s="3"/>
      <c r="F329" s="3">
        <v>2</v>
      </c>
      <c r="G329" s="3" t="s">
        <v>13</v>
      </c>
      <c r="H329" s="3"/>
      <c r="I329" s="3">
        <v>1</v>
      </c>
    </row>
    <row r="330" spans="1:9" x14ac:dyDescent="0.25">
      <c r="A330" s="4" t="s">
        <v>9</v>
      </c>
      <c r="B330" s="4">
        <v>18</v>
      </c>
      <c r="C330" s="4" t="s">
        <v>44</v>
      </c>
      <c r="D330" s="4" t="s">
        <v>45</v>
      </c>
      <c r="E330" s="4"/>
      <c r="F330" s="4">
        <v>1</v>
      </c>
      <c r="G330" s="4" t="s">
        <v>12</v>
      </c>
      <c r="H330" s="4"/>
      <c r="I330" s="4">
        <v>1</v>
      </c>
    </row>
    <row r="331" spans="1:9" x14ac:dyDescent="0.25">
      <c r="A331" s="4" t="s">
        <v>9</v>
      </c>
      <c r="B331" s="4">
        <v>18</v>
      </c>
      <c r="C331" s="4" t="s">
        <v>44</v>
      </c>
      <c r="D331" s="4" t="s">
        <v>45</v>
      </c>
      <c r="E331" s="4"/>
      <c r="F331" s="4">
        <v>2</v>
      </c>
      <c r="G331" s="4" t="s">
        <v>13</v>
      </c>
      <c r="H331" s="4"/>
      <c r="I331" s="4">
        <v>1</v>
      </c>
    </row>
    <row r="332" spans="1:9" x14ac:dyDescent="0.25">
      <c r="A332" s="3" t="s">
        <v>9</v>
      </c>
      <c r="B332" s="3">
        <v>16</v>
      </c>
      <c r="C332" s="3" t="s">
        <v>40</v>
      </c>
      <c r="D332" s="3" t="s">
        <v>41</v>
      </c>
      <c r="E332" s="3"/>
      <c r="F332" s="3">
        <v>1</v>
      </c>
      <c r="G332" s="3" t="s">
        <v>12</v>
      </c>
      <c r="H332" s="3"/>
      <c r="I332" s="3">
        <v>1</v>
      </c>
    </row>
    <row r="333" spans="1:9" x14ac:dyDescent="0.25">
      <c r="A333" s="3" t="s">
        <v>9</v>
      </c>
      <c r="B333" s="3">
        <v>16</v>
      </c>
      <c r="C333" s="3" t="s">
        <v>40</v>
      </c>
      <c r="D333" s="3" t="s">
        <v>41</v>
      </c>
      <c r="E333" s="3"/>
      <c r="F333" s="3">
        <v>2</v>
      </c>
      <c r="G333" s="3" t="s">
        <v>13</v>
      </c>
      <c r="H333" s="3"/>
      <c r="I333" s="3">
        <v>1</v>
      </c>
    </row>
    <row r="334" spans="1:9" x14ac:dyDescent="0.25">
      <c r="A334" s="4" t="s">
        <v>9</v>
      </c>
      <c r="B334" s="4">
        <v>42</v>
      </c>
      <c r="C334" s="4" t="s">
        <v>92</v>
      </c>
      <c r="D334" s="4" t="s">
        <v>93</v>
      </c>
      <c r="E334" s="4"/>
      <c r="F334" s="4">
        <v>1</v>
      </c>
      <c r="G334" s="4" t="s">
        <v>12</v>
      </c>
      <c r="H334" s="4"/>
      <c r="I334" s="4">
        <v>31.536000000000001</v>
      </c>
    </row>
    <row r="335" spans="1:9" x14ac:dyDescent="0.25">
      <c r="A335" s="4" t="s">
        <v>9</v>
      </c>
      <c r="B335" s="4">
        <v>42</v>
      </c>
      <c r="C335" s="4" t="s">
        <v>92</v>
      </c>
      <c r="D335" s="4" t="s">
        <v>93</v>
      </c>
      <c r="E335" s="4"/>
      <c r="F335" s="4">
        <v>2</v>
      </c>
      <c r="G335" s="4" t="s">
        <v>13</v>
      </c>
      <c r="H335" s="4"/>
      <c r="I335" s="4">
        <v>20</v>
      </c>
    </row>
    <row r="336" spans="1:9" x14ac:dyDescent="0.25">
      <c r="A336" s="3" t="s">
        <v>9</v>
      </c>
      <c r="B336" s="3">
        <v>43</v>
      </c>
      <c r="C336" s="3" t="s">
        <v>94</v>
      </c>
      <c r="D336" s="3" t="s">
        <v>95</v>
      </c>
      <c r="E336" s="3"/>
      <c r="F336" s="3">
        <v>1</v>
      </c>
      <c r="G336" s="3" t="s">
        <v>12</v>
      </c>
      <c r="H336" s="3"/>
      <c r="I336" s="3">
        <v>31.536000000000001</v>
      </c>
    </row>
    <row r="337" spans="1:9" x14ac:dyDescent="0.25">
      <c r="A337" s="3" t="s">
        <v>9</v>
      </c>
      <c r="B337" s="3">
        <v>43</v>
      </c>
      <c r="C337" s="3" t="s">
        <v>94</v>
      </c>
      <c r="D337" s="3" t="s">
        <v>95</v>
      </c>
      <c r="E337" s="3"/>
      <c r="F337" s="3">
        <v>2</v>
      </c>
      <c r="G337" s="3" t="s">
        <v>13</v>
      </c>
      <c r="H337" s="3"/>
      <c r="I337" s="3">
        <v>25</v>
      </c>
    </row>
    <row r="338" spans="1:9" x14ac:dyDescent="0.25">
      <c r="A338" s="4" t="s">
        <v>9</v>
      </c>
      <c r="B338" s="4">
        <v>41</v>
      </c>
      <c r="C338" s="4" t="s">
        <v>90</v>
      </c>
      <c r="D338" s="4" t="s">
        <v>91</v>
      </c>
      <c r="E338" s="4"/>
      <c r="F338" s="4">
        <v>1</v>
      </c>
      <c r="G338" s="4" t="s">
        <v>12</v>
      </c>
      <c r="H338" s="4"/>
      <c r="I338" s="4">
        <v>31.536000000000001</v>
      </c>
    </row>
    <row r="339" spans="1:9" x14ac:dyDescent="0.25">
      <c r="A339" s="4" t="s">
        <v>9</v>
      </c>
      <c r="B339" s="4">
        <v>41</v>
      </c>
      <c r="C339" s="4" t="s">
        <v>90</v>
      </c>
      <c r="D339" s="4" t="s">
        <v>91</v>
      </c>
      <c r="E339" s="4"/>
      <c r="F339" s="4">
        <v>2</v>
      </c>
      <c r="G339" s="4" t="s">
        <v>13</v>
      </c>
      <c r="H339" s="4"/>
      <c r="I339" s="4">
        <v>25</v>
      </c>
    </row>
    <row r="340" spans="1:9" x14ac:dyDescent="0.25">
      <c r="A340" s="3" t="s">
        <v>9</v>
      </c>
      <c r="B340" s="3">
        <v>40</v>
      </c>
      <c r="C340" s="3" t="s">
        <v>88</v>
      </c>
      <c r="D340" s="3" t="s">
        <v>89</v>
      </c>
      <c r="E340" s="3"/>
      <c r="F340" s="3">
        <v>1</v>
      </c>
      <c r="G340" s="3" t="s">
        <v>12</v>
      </c>
      <c r="H340" s="3"/>
      <c r="I340" s="3">
        <v>31.536000000000001</v>
      </c>
    </row>
    <row r="341" spans="1:9" x14ac:dyDescent="0.25">
      <c r="A341" s="3" t="s">
        <v>9</v>
      </c>
      <c r="B341" s="3">
        <v>40</v>
      </c>
      <c r="C341" s="3" t="s">
        <v>88</v>
      </c>
      <c r="D341" s="3" t="s">
        <v>89</v>
      </c>
      <c r="E341" s="3"/>
      <c r="F341" s="3">
        <v>2</v>
      </c>
      <c r="G341" s="3" t="s">
        <v>13</v>
      </c>
      <c r="H341" s="3"/>
      <c r="I341" s="3">
        <v>75</v>
      </c>
    </row>
    <row r="342" spans="1:9" x14ac:dyDescent="0.25">
      <c r="A342" s="4" t="s">
        <v>9</v>
      </c>
      <c r="B342" s="4">
        <v>45</v>
      </c>
      <c r="C342" s="4" t="s">
        <v>98</v>
      </c>
      <c r="D342" s="4" t="s">
        <v>99</v>
      </c>
      <c r="E342" s="4"/>
      <c r="F342" s="4">
        <v>1</v>
      </c>
      <c r="G342" s="4" t="s">
        <v>12</v>
      </c>
      <c r="H342" s="4"/>
      <c r="I342" s="4">
        <v>31.536000000000001</v>
      </c>
    </row>
    <row r="343" spans="1:9" x14ac:dyDescent="0.25">
      <c r="A343" s="4" t="s">
        <v>9</v>
      </c>
      <c r="B343" s="4">
        <v>45</v>
      </c>
      <c r="C343" s="4" t="s">
        <v>98</v>
      </c>
      <c r="D343" s="4" t="s">
        <v>99</v>
      </c>
      <c r="E343" s="4"/>
      <c r="F343" s="4">
        <v>2</v>
      </c>
      <c r="G343" s="4" t="s">
        <v>13</v>
      </c>
      <c r="H343" s="4"/>
      <c r="I343" s="4">
        <v>75</v>
      </c>
    </row>
    <row r="344" spans="1:9" x14ac:dyDescent="0.25">
      <c r="A344" s="3" t="s">
        <v>9</v>
      </c>
      <c r="B344" s="3">
        <v>39</v>
      </c>
      <c r="C344" s="3" t="s">
        <v>86</v>
      </c>
      <c r="D344" s="3" t="s">
        <v>87</v>
      </c>
      <c r="E344" s="3"/>
      <c r="F344" s="3">
        <v>1</v>
      </c>
      <c r="G344" s="3" t="s">
        <v>12</v>
      </c>
      <c r="H344" s="3"/>
      <c r="I344" s="3">
        <v>31.536000000000001</v>
      </c>
    </row>
    <row r="345" spans="1:9" x14ac:dyDescent="0.25">
      <c r="A345" s="3" t="s">
        <v>9</v>
      </c>
      <c r="B345" s="3">
        <v>39</v>
      </c>
      <c r="C345" s="3" t="s">
        <v>86</v>
      </c>
      <c r="D345" s="3" t="s">
        <v>87</v>
      </c>
      <c r="E345" s="3"/>
      <c r="F345" s="3">
        <v>2</v>
      </c>
      <c r="G345" s="3" t="s">
        <v>13</v>
      </c>
      <c r="H345" s="3"/>
      <c r="I345" s="3">
        <v>75</v>
      </c>
    </row>
    <row r="346" spans="1:9" x14ac:dyDescent="0.25">
      <c r="A346" s="4" t="s">
        <v>9</v>
      </c>
      <c r="B346" s="4">
        <v>44</v>
      </c>
      <c r="C346" s="4" t="s">
        <v>96</v>
      </c>
      <c r="D346" s="4" t="s">
        <v>97</v>
      </c>
      <c r="E346" s="4"/>
      <c r="F346" s="4">
        <v>1</v>
      </c>
      <c r="G346" s="4" t="s">
        <v>12</v>
      </c>
      <c r="H346" s="4"/>
      <c r="I346" s="4">
        <v>31.536000000000001</v>
      </c>
    </row>
    <row r="347" spans="1:9" x14ac:dyDescent="0.25">
      <c r="A347" s="4" t="s">
        <v>9</v>
      </c>
      <c r="B347" s="4">
        <v>44</v>
      </c>
      <c r="C347" s="4" t="s">
        <v>96</v>
      </c>
      <c r="D347" s="4" t="s">
        <v>97</v>
      </c>
      <c r="E347" s="4"/>
      <c r="F347" s="4">
        <v>2</v>
      </c>
      <c r="G347" s="4" t="s">
        <v>13</v>
      </c>
      <c r="H347" s="4"/>
      <c r="I347" s="4">
        <v>75</v>
      </c>
    </row>
    <row r="348" spans="1:9" x14ac:dyDescent="0.25">
      <c r="A348" s="3" t="s">
        <v>9</v>
      </c>
      <c r="B348" s="3">
        <v>37</v>
      </c>
      <c r="C348" s="3" t="s">
        <v>82</v>
      </c>
      <c r="D348" s="3" t="s">
        <v>83</v>
      </c>
      <c r="E348" s="3"/>
      <c r="F348" s="3">
        <v>1</v>
      </c>
      <c r="G348" s="3" t="s">
        <v>12</v>
      </c>
      <c r="H348" s="3"/>
      <c r="I348" s="3">
        <v>31.536000000000001</v>
      </c>
    </row>
    <row r="349" spans="1:9" x14ac:dyDescent="0.25">
      <c r="A349" s="3" t="s">
        <v>9</v>
      </c>
      <c r="B349" s="3">
        <v>37</v>
      </c>
      <c r="C349" s="3" t="s">
        <v>82</v>
      </c>
      <c r="D349" s="3" t="s">
        <v>83</v>
      </c>
      <c r="E349" s="3"/>
      <c r="F349" s="3">
        <v>2</v>
      </c>
      <c r="G349" s="3" t="s">
        <v>13</v>
      </c>
      <c r="H349" s="3"/>
      <c r="I349" s="3">
        <v>20</v>
      </c>
    </row>
    <row r="350" spans="1:9" x14ac:dyDescent="0.25">
      <c r="A350" s="4" t="s">
        <v>9</v>
      </c>
      <c r="B350" s="4">
        <v>33</v>
      </c>
      <c r="C350" s="4" t="s">
        <v>74</v>
      </c>
      <c r="D350" s="4" t="s">
        <v>75</v>
      </c>
      <c r="E350" s="4"/>
      <c r="F350" s="4">
        <v>1</v>
      </c>
      <c r="G350" s="4" t="s">
        <v>12</v>
      </c>
      <c r="H350" s="4"/>
      <c r="I350" s="4">
        <v>31.536000000000001</v>
      </c>
    </row>
    <row r="351" spans="1:9" x14ac:dyDescent="0.25">
      <c r="A351" s="4" t="s">
        <v>9</v>
      </c>
      <c r="B351" s="4">
        <v>33</v>
      </c>
      <c r="C351" s="4" t="s">
        <v>74</v>
      </c>
      <c r="D351" s="4" t="s">
        <v>75</v>
      </c>
      <c r="E351" s="4"/>
      <c r="F351" s="4">
        <v>2</v>
      </c>
      <c r="G351" s="4" t="s">
        <v>13</v>
      </c>
      <c r="H351" s="4"/>
      <c r="I351" s="4">
        <v>20</v>
      </c>
    </row>
    <row r="352" spans="1:9" x14ac:dyDescent="0.25">
      <c r="A352" s="3" t="s">
        <v>9</v>
      </c>
      <c r="B352" s="3">
        <v>38</v>
      </c>
      <c r="C352" s="3" t="s">
        <v>84</v>
      </c>
      <c r="D352" s="3" t="s">
        <v>85</v>
      </c>
      <c r="E352" s="3"/>
      <c r="F352" s="3">
        <v>1</v>
      </c>
      <c r="G352" s="3" t="s">
        <v>12</v>
      </c>
      <c r="H352" s="3"/>
      <c r="I352" s="3">
        <v>31.536000000000001</v>
      </c>
    </row>
    <row r="353" spans="1:9" x14ac:dyDescent="0.25">
      <c r="A353" s="3" t="s">
        <v>9</v>
      </c>
      <c r="B353" s="3">
        <v>38</v>
      </c>
      <c r="C353" s="3" t="s">
        <v>84</v>
      </c>
      <c r="D353" s="3" t="s">
        <v>85</v>
      </c>
      <c r="E353" s="3"/>
      <c r="F353" s="3">
        <v>2</v>
      </c>
      <c r="G353" s="3" t="s">
        <v>13</v>
      </c>
      <c r="H353" s="3"/>
      <c r="I353" s="3">
        <v>20</v>
      </c>
    </row>
    <row r="354" spans="1:9" x14ac:dyDescent="0.25">
      <c r="A354" s="4" t="s">
        <v>9</v>
      </c>
      <c r="B354" s="4">
        <v>34</v>
      </c>
      <c r="C354" s="4" t="s">
        <v>76</v>
      </c>
      <c r="D354" s="4" t="s">
        <v>77</v>
      </c>
      <c r="E354" s="4"/>
      <c r="F354" s="4">
        <v>1</v>
      </c>
      <c r="G354" s="4" t="s">
        <v>12</v>
      </c>
      <c r="H354" s="4"/>
      <c r="I354" s="4">
        <v>31.536000000000001</v>
      </c>
    </row>
    <row r="355" spans="1:9" x14ac:dyDescent="0.25">
      <c r="A355" s="4" t="s">
        <v>9</v>
      </c>
      <c r="B355" s="4">
        <v>34</v>
      </c>
      <c r="C355" s="4" t="s">
        <v>76</v>
      </c>
      <c r="D355" s="4" t="s">
        <v>77</v>
      </c>
      <c r="E355" s="4"/>
      <c r="F355" s="4">
        <v>2</v>
      </c>
      <c r="G355" s="4" t="s">
        <v>13</v>
      </c>
      <c r="H355" s="4"/>
      <c r="I355" s="4">
        <v>20</v>
      </c>
    </row>
    <row r="356" spans="1:9" x14ac:dyDescent="0.25">
      <c r="A356" s="3" t="s">
        <v>9</v>
      </c>
      <c r="B356" s="3">
        <v>36</v>
      </c>
      <c r="C356" s="3" t="s">
        <v>80</v>
      </c>
      <c r="D356" s="3" t="s">
        <v>81</v>
      </c>
      <c r="E356" s="3"/>
      <c r="F356" s="3">
        <v>1</v>
      </c>
      <c r="G356" s="3" t="s">
        <v>12</v>
      </c>
      <c r="H356" s="3"/>
      <c r="I356" s="3">
        <v>31.536000000000001</v>
      </c>
    </row>
    <row r="357" spans="1:9" x14ac:dyDescent="0.25">
      <c r="A357" s="3" t="s">
        <v>9</v>
      </c>
      <c r="B357" s="3">
        <v>36</v>
      </c>
      <c r="C357" s="3" t="s">
        <v>80</v>
      </c>
      <c r="D357" s="3" t="s">
        <v>81</v>
      </c>
      <c r="E357" s="3"/>
      <c r="F357" s="3">
        <v>2</v>
      </c>
      <c r="G357" s="3" t="s">
        <v>13</v>
      </c>
      <c r="H357" s="3"/>
      <c r="I357" s="3">
        <v>25</v>
      </c>
    </row>
    <row r="358" spans="1:9" x14ac:dyDescent="0.25">
      <c r="A358" s="4" t="s">
        <v>9</v>
      </c>
      <c r="B358" s="4">
        <v>32</v>
      </c>
      <c r="C358" s="4" t="s">
        <v>72</v>
      </c>
      <c r="D358" s="4" t="s">
        <v>73</v>
      </c>
      <c r="E358" s="4"/>
      <c r="F358" s="4">
        <v>1</v>
      </c>
      <c r="G358" s="4" t="s">
        <v>12</v>
      </c>
      <c r="H358" s="4"/>
      <c r="I358" s="4">
        <v>31.536000000000001</v>
      </c>
    </row>
    <row r="359" spans="1:9" x14ac:dyDescent="0.25">
      <c r="A359" s="4" t="s">
        <v>9</v>
      </c>
      <c r="B359" s="4">
        <v>32</v>
      </c>
      <c r="C359" s="4" t="s">
        <v>72</v>
      </c>
      <c r="D359" s="4" t="s">
        <v>73</v>
      </c>
      <c r="E359" s="4"/>
      <c r="F359" s="4">
        <v>2</v>
      </c>
      <c r="G359" s="4" t="s">
        <v>13</v>
      </c>
      <c r="H359" s="4"/>
      <c r="I359" s="4">
        <v>25</v>
      </c>
    </row>
    <row r="360" spans="1:9" x14ac:dyDescent="0.25">
      <c r="A360" s="3" t="s">
        <v>9</v>
      </c>
      <c r="B360" s="3">
        <v>35</v>
      </c>
      <c r="C360" s="3" t="s">
        <v>78</v>
      </c>
      <c r="D360" s="3" t="s">
        <v>79</v>
      </c>
      <c r="E360" s="3"/>
      <c r="F360" s="3">
        <v>1</v>
      </c>
      <c r="G360" s="3" t="s">
        <v>12</v>
      </c>
      <c r="H360" s="3"/>
      <c r="I360" s="3">
        <v>31.536000000000001</v>
      </c>
    </row>
    <row r="361" spans="1:9" x14ac:dyDescent="0.25">
      <c r="A361" s="3" t="s">
        <v>9</v>
      </c>
      <c r="B361" s="3">
        <v>35</v>
      </c>
      <c r="C361" s="3" t="s">
        <v>78</v>
      </c>
      <c r="D361" s="3" t="s">
        <v>79</v>
      </c>
      <c r="E361" s="3"/>
      <c r="F361" s="3">
        <v>2</v>
      </c>
      <c r="G361" s="3" t="s">
        <v>13</v>
      </c>
      <c r="H361" s="3"/>
      <c r="I361" s="3">
        <v>25</v>
      </c>
    </row>
    <row r="362" spans="1:9" x14ac:dyDescent="0.25">
      <c r="A362" s="4" t="s">
        <v>9</v>
      </c>
      <c r="B362" s="4">
        <v>26</v>
      </c>
      <c r="C362" s="4" t="s">
        <v>60</v>
      </c>
      <c r="D362" s="4" t="s">
        <v>61</v>
      </c>
      <c r="E362" s="4"/>
      <c r="F362" s="4">
        <v>1</v>
      </c>
      <c r="G362" s="4" t="s">
        <v>12</v>
      </c>
      <c r="H362" s="4"/>
      <c r="I362" s="4">
        <v>31.536000000000001</v>
      </c>
    </row>
    <row r="363" spans="1:9" x14ac:dyDescent="0.25">
      <c r="A363" s="4" t="s">
        <v>9</v>
      </c>
      <c r="B363" s="4">
        <v>26</v>
      </c>
      <c r="C363" s="4" t="s">
        <v>60</v>
      </c>
      <c r="D363" s="4" t="s">
        <v>61</v>
      </c>
      <c r="E363" s="4"/>
      <c r="F363" s="4">
        <v>2</v>
      </c>
      <c r="G363" s="4" t="s">
        <v>13</v>
      </c>
      <c r="H363" s="4"/>
      <c r="I363" s="4">
        <v>75</v>
      </c>
    </row>
    <row r="364" spans="1:9" x14ac:dyDescent="0.25">
      <c r="A364" s="3" t="s">
        <v>9</v>
      </c>
      <c r="B364" s="3">
        <v>27</v>
      </c>
      <c r="C364" s="3" t="s">
        <v>62</v>
      </c>
      <c r="D364" s="3" t="s">
        <v>63</v>
      </c>
      <c r="E364" s="3"/>
      <c r="F364" s="3">
        <v>1</v>
      </c>
      <c r="G364" s="3" t="s">
        <v>12</v>
      </c>
      <c r="H364" s="3"/>
      <c r="I364" s="3">
        <v>31.536000000000001</v>
      </c>
    </row>
    <row r="365" spans="1:9" x14ac:dyDescent="0.25">
      <c r="A365" s="3" t="s">
        <v>9</v>
      </c>
      <c r="B365" s="3">
        <v>27</v>
      </c>
      <c r="C365" s="3" t="s">
        <v>62</v>
      </c>
      <c r="D365" s="3" t="s">
        <v>63</v>
      </c>
      <c r="E365" s="3"/>
      <c r="F365" s="3">
        <v>2</v>
      </c>
      <c r="G365" s="3" t="s">
        <v>13</v>
      </c>
      <c r="H365" s="3"/>
      <c r="I365" s="3">
        <v>75</v>
      </c>
    </row>
    <row r="366" spans="1:9" x14ac:dyDescent="0.25">
      <c r="A366" s="4" t="s">
        <v>9</v>
      </c>
      <c r="B366" s="4">
        <v>28</v>
      </c>
      <c r="C366" s="4" t="s">
        <v>64</v>
      </c>
      <c r="D366" s="4" t="s">
        <v>65</v>
      </c>
      <c r="E366" s="4"/>
      <c r="F366" s="4">
        <v>1</v>
      </c>
      <c r="G366" s="4" t="s">
        <v>12</v>
      </c>
      <c r="H366" s="4"/>
      <c r="I366" s="4">
        <v>31.536000000000001</v>
      </c>
    </row>
    <row r="367" spans="1:9" x14ac:dyDescent="0.25">
      <c r="A367" s="4" t="s">
        <v>9</v>
      </c>
      <c r="B367" s="4">
        <v>28</v>
      </c>
      <c r="C367" s="4" t="s">
        <v>64</v>
      </c>
      <c r="D367" s="4" t="s">
        <v>65</v>
      </c>
      <c r="E367" s="4"/>
      <c r="F367" s="4">
        <v>2</v>
      </c>
      <c r="G367" s="4" t="s">
        <v>13</v>
      </c>
      <c r="H367" s="4"/>
      <c r="I367" s="4">
        <v>75</v>
      </c>
    </row>
    <row r="368" spans="1:9" x14ac:dyDescent="0.25">
      <c r="A368" s="3" t="s">
        <v>9</v>
      </c>
      <c r="B368" s="3">
        <v>20</v>
      </c>
      <c r="C368" s="3" t="s">
        <v>48</v>
      </c>
      <c r="D368" s="3" t="s">
        <v>49</v>
      </c>
      <c r="E368" s="3"/>
      <c r="F368" s="3">
        <v>1</v>
      </c>
      <c r="G368" s="3" t="s">
        <v>12</v>
      </c>
      <c r="H368" s="3"/>
      <c r="I368" s="3">
        <v>31.536000000000001</v>
      </c>
    </row>
    <row r="369" spans="1:9" x14ac:dyDescent="0.25">
      <c r="A369" s="3" t="s">
        <v>9</v>
      </c>
      <c r="B369" s="3">
        <v>20</v>
      </c>
      <c r="C369" s="3" t="s">
        <v>48</v>
      </c>
      <c r="D369" s="3" t="s">
        <v>49</v>
      </c>
      <c r="E369" s="3"/>
      <c r="F369" s="3">
        <v>2</v>
      </c>
      <c r="G369" s="3" t="s">
        <v>13</v>
      </c>
      <c r="H369" s="3"/>
      <c r="I369" s="3">
        <v>75</v>
      </c>
    </row>
    <row r="370" spans="1:9" x14ac:dyDescent="0.25">
      <c r="A370" s="4" t="s">
        <v>9</v>
      </c>
      <c r="B370" s="4">
        <v>21</v>
      </c>
      <c r="C370" s="4" t="s">
        <v>50</v>
      </c>
      <c r="D370" s="4" t="s">
        <v>51</v>
      </c>
      <c r="E370" s="4"/>
      <c r="F370" s="4">
        <v>1</v>
      </c>
      <c r="G370" s="4" t="s">
        <v>12</v>
      </c>
      <c r="H370" s="4"/>
      <c r="I370" s="4">
        <v>31.536000000000001</v>
      </c>
    </row>
    <row r="371" spans="1:9" x14ac:dyDescent="0.25">
      <c r="A371" s="4" t="s">
        <v>9</v>
      </c>
      <c r="B371" s="4">
        <v>21</v>
      </c>
      <c r="C371" s="4" t="s">
        <v>50</v>
      </c>
      <c r="D371" s="4" t="s">
        <v>51</v>
      </c>
      <c r="E371" s="4"/>
      <c r="F371" s="4">
        <v>2</v>
      </c>
      <c r="G371" s="4" t="s">
        <v>13</v>
      </c>
      <c r="H371" s="4"/>
      <c r="I371" s="4">
        <v>75</v>
      </c>
    </row>
    <row r="372" spans="1:9" x14ac:dyDescent="0.25">
      <c r="A372" s="3" t="s">
        <v>9</v>
      </c>
      <c r="B372" s="3">
        <v>22</v>
      </c>
      <c r="C372" s="3" t="s">
        <v>52</v>
      </c>
      <c r="D372" s="3" t="s">
        <v>53</v>
      </c>
      <c r="E372" s="3"/>
      <c r="F372" s="3">
        <v>1</v>
      </c>
      <c r="G372" s="3" t="s">
        <v>12</v>
      </c>
      <c r="H372" s="3"/>
      <c r="I372" s="3">
        <v>31.536000000000001</v>
      </c>
    </row>
    <row r="373" spans="1:9" x14ac:dyDescent="0.25">
      <c r="A373" s="3" t="s">
        <v>9</v>
      </c>
      <c r="B373" s="3">
        <v>22</v>
      </c>
      <c r="C373" s="3" t="s">
        <v>52</v>
      </c>
      <c r="D373" s="3" t="s">
        <v>53</v>
      </c>
      <c r="E373" s="3"/>
      <c r="F373" s="3">
        <v>2</v>
      </c>
      <c r="G373" s="3" t="s">
        <v>13</v>
      </c>
      <c r="H373" s="3"/>
      <c r="I373" s="3">
        <v>75</v>
      </c>
    </row>
    <row r="374" spans="1:9" x14ac:dyDescent="0.25">
      <c r="A374" s="4" t="s">
        <v>9</v>
      </c>
      <c r="B374" s="4">
        <v>29</v>
      </c>
      <c r="C374" s="4" t="s">
        <v>66</v>
      </c>
      <c r="D374" s="4" t="s">
        <v>67</v>
      </c>
      <c r="E374" s="4"/>
      <c r="F374" s="4">
        <v>1</v>
      </c>
      <c r="G374" s="4" t="s">
        <v>12</v>
      </c>
      <c r="H374" s="4"/>
      <c r="I374" s="4">
        <v>31.536000000000001</v>
      </c>
    </row>
    <row r="375" spans="1:9" x14ac:dyDescent="0.25">
      <c r="A375" s="4" t="s">
        <v>9</v>
      </c>
      <c r="B375" s="4">
        <v>29</v>
      </c>
      <c r="C375" s="4" t="s">
        <v>66</v>
      </c>
      <c r="D375" s="4" t="s">
        <v>67</v>
      </c>
      <c r="E375" s="4"/>
      <c r="F375" s="4">
        <v>2</v>
      </c>
      <c r="G375" s="4" t="s">
        <v>13</v>
      </c>
      <c r="H375" s="4"/>
      <c r="I375" s="4">
        <v>75</v>
      </c>
    </row>
    <row r="376" spans="1:9" x14ac:dyDescent="0.25">
      <c r="A376" s="3" t="s">
        <v>9</v>
      </c>
      <c r="B376" s="3">
        <v>30</v>
      </c>
      <c r="C376" s="3" t="s">
        <v>68</v>
      </c>
      <c r="D376" s="3" t="s">
        <v>69</v>
      </c>
      <c r="E376" s="3"/>
      <c r="F376" s="3">
        <v>1</v>
      </c>
      <c r="G376" s="3" t="s">
        <v>12</v>
      </c>
      <c r="H376" s="3"/>
      <c r="I376" s="3">
        <v>31.536000000000001</v>
      </c>
    </row>
    <row r="377" spans="1:9" x14ac:dyDescent="0.25">
      <c r="A377" s="3" t="s">
        <v>9</v>
      </c>
      <c r="B377" s="3">
        <v>30</v>
      </c>
      <c r="C377" s="3" t="s">
        <v>68</v>
      </c>
      <c r="D377" s="3" t="s">
        <v>69</v>
      </c>
      <c r="E377" s="3"/>
      <c r="F377" s="3">
        <v>2</v>
      </c>
      <c r="G377" s="3" t="s">
        <v>13</v>
      </c>
      <c r="H377" s="3"/>
      <c r="I377" s="3">
        <v>75</v>
      </c>
    </row>
    <row r="378" spans="1:9" x14ac:dyDescent="0.25">
      <c r="A378" s="4" t="s">
        <v>9</v>
      </c>
      <c r="B378" s="4">
        <v>31</v>
      </c>
      <c r="C378" s="4" t="s">
        <v>70</v>
      </c>
      <c r="D378" s="4" t="s">
        <v>71</v>
      </c>
      <c r="E378" s="4"/>
      <c r="F378" s="4">
        <v>1</v>
      </c>
      <c r="G378" s="4" t="s">
        <v>12</v>
      </c>
      <c r="H378" s="4"/>
      <c r="I378" s="4">
        <v>31.536000000000001</v>
      </c>
    </row>
    <row r="379" spans="1:9" x14ac:dyDescent="0.25">
      <c r="A379" s="4" t="s">
        <v>9</v>
      </c>
      <c r="B379" s="4">
        <v>31</v>
      </c>
      <c r="C379" s="4" t="s">
        <v>70</v>
      </c>
      <c r="D379" s="4" t="s">
        <v>71</v>
      </c>
      <c r="E379" s="4"/>
      <c r="F379" s="4">
        <v>2</v>
      </c>
      <c r="G379" s="4" t="s">
        <v>13</v>
      </c>
      <c r="H379" s="4"/>
      <c r="I379" s="4">
        <v>75</v>
      </c>
    </row>
    <row r="380" spans="1:9" x14ac:dyDescent="0.25">
      <c r="A380" s="3" t="s">
        <v>9</v>
      </c>
      <c r="B380" s="3">
        <v>23</v>
      </c>
      <c r="C380" s="3" t="s">
        <v>54</v>
      </c>
      <c r="D380" s="3" t="s">
        <v>55</v>
      </c>
      <c r="E380" s="3"/>
      <c r="F380" s="3">
        <v>1</v>
      </c>
      <c r="G380" s="3" t="s">
        <v>12</v>
      </c>
      <c r="H380" s="3"/>
      <c r="I380" s="3">
        <v>31.536000000000001</v>
      </c>
    </row>
    <row r="381" spans="1:9" x14ac:dyDescent="0.25">
      <c r="A381" s="3" t="s">
        <v>9</v>
      </c>
      <c r="B381" s="3">
        <v>23</v>
      </c>
      <c r="C381" s="3" t="s">
        <v>54</v>
      </c>
      <c r="D381" s="3" t="s">
        <v>55</v>
      </c>
      <c r="E381" s="3"/>
      <c r="F381" s="3">
        <v>2</v>
      </c>
      <c r="G381" s="3" t="s">
        <v>13</v>
      </c>
      <c r="H381" s="3"/>
      <c r="I381" s="3">
        <v>75</v>
      </c>
    </row>
    <row r="382" spans="1:9" x14ac:dyDescent="0.25">
      <c r="A382" s="4" t="s">
        <v>9</v>
      </c>
      <c r="B382" s="4">
        <v>24</v>
      </c>
      <c r="C382" s="4" t="s">
        <v>56</v>
      </c>
      <c r="D382" s="4" t="s">
        <v>57</v>
      </c>
      <c r="E382" s="4"/>
      <c r="F382" s="4">
        <v>1</v>
      </c>
      <c r="G382" s="4" t="s">
        <v>12</v>
      </c>
      <c r="H382" s="4"/>
      <c r="I382" s="4">
        <v>31.536000000000001</v>
      </c>
    </row>
    <row r="383" spans="1:9" x14ac:dyDescent="0.25">
      <c r="A383" s="4" t="s">
        <v>9</v>
      </c>
      <c r="B383" s="4">
        <v>24</v>
      </c>
      <c r="C383" s="4" t="s">
        <v>56</v>
      </c>
      <c r="D383" s="4" t="s">
        <v>57</v>
      </c>
      <c r="E383" s="4"/>
      <c r="F383" s="4">
        <v>2</v>
      </c>
      <c r="G383" s="4" t="s">
        <v>13</v>
      </c>
      <c r="H383" s="4"/>
      <c r="I383" s="4">
        <v>75</v>
      </c>
    </row>
    <row r="384" spans="1:9" x14ac:dyDescent="0.25">
      <c r="A384" s="3" t="s">
        <v>9</v>
      </c>
      <c r="B384" s="3">
        <v>25</v>
      </c>
      <c r="C384" s="3" t="s">
        <v>58</v>
      </c>
      <c r="D384" s="3" t="s">
        <v>59</v>
      </c>
      <c r="E384" s="3"/>
      <c r="F384" s="3">
        <v>1</v>
      </c>
      <c r="G384" s="3" t="s">
        <v>12</v>
      </c>
      <c r="H384" s="3"/>
      <c r="I384" s="3">
        <v>31.536000000000001</v>
      </c>
    </row>
    <row r="385" spans="1:9" x14ac:dyDescent="0.25">
      <c r="A385" s="3" t="s">
        <v>9</v>
      </c>
      <c r="B385" s="3">
        <v>25</v>
      </c>
      <c r="C385" s="3" t="s">
        <v>58</v>
      </c>
      <c r="D385" s="3" t="s">
        <v>59</v>
      </c>
      <c r="E385" s="3"/>
      <c r="F385" s="3">
        <v>2</v>
      </c>
      <c r="G385" s="3" t="s">
        <v>13</v>
      </c>
      <c r="H385" s="3"/>
      <c r="I385" s="3">
        <v>75</v>
      </c>
    </row>
    <row r="386" spans="1:9" x14ac:dyDescent="0.25">
      <c r="A386" s="4" t="s">
        <v>9</v>
      </c>
      <c r="B386" s="4">
        <v>19</v>
      </c>
      <c r="C386" s="4" t="s">
        <v>46</v>
      </c>
      <c r="D386" s="4" t="s">
        <v>47</v>
      </c>
      <c r="E386" s="4"/>
      <c r="F386" s="4">
        <v>1</v>
      </c>
      <c r="G386" s="4" t="s">
        <v>12</v>
      </c>
      <c r="H386" s="4"/>
      <c r="I386" s="4">
        <v>31.536000000000001</v>
      </c>
    </row>
    <row r="387" spans="1:9" x14ac:dyDescent="0.25">
      <c r="A387" s="4" t="s">
        <v>9</v>
      </c>
      <c r="B387" s="4">
        <v>19</v>
      </c>
      <c r="C387" s="4" t="s">
        <v>46</v>
      </c>
      <c r="D387" s="4" t="s">
        <v>47</v>
      </c>
      <c r="E387" s="4"/>
      <c r="F387" s="4">
        <v>2</v>
      </c>
      <c r="G387" s="4" t="s">
        <v>13</v>
      </c>
      <c r="H387" s="4"/>
      <c r="I387" s="4">
        <v>30</v>
      </c>
    </row>
    <row r="388" spans="1:9" x14ac:dyDescent="0.25">
      <c r="A388" s="3" t="s">
        <v>9</v>
      </c>
      <c r="B388" s="3">
        <v>3</v>
      </c>
      <c r="C388" s="3" t="s">
        <v>14</v>
      </c>
      <c r="D388" s="3" t="s">
        <v>15</v>
      </c>
      <c r="E388" s="3"/>
      <c r="F388" s="3">
        <v>1</v>
      </c>
      <c r="G388" s="3" t="s">
        <v>12</v>
      </c>
      <c r="H388" s="3"/>
      <c r="I388" s="3">
        <v>1</v>
      </c>
    </row>
    <row r="389" spans="1:9" x14ac:dyDescent="0.25">
      <c r="A389" s="3" t="s">
        <v>9</v>
      </c>
      <c r="B389" s="3">
        <v>3</v>
      </c>
      <c r="C389" s="3" t="s">
        <v>14</v>
      </c>
      <c r="D389" s="3" t="s">
        <v>15</v>
      </c>
      <c r="E389" s="3"/>
      <c r="F389" s="3">
        <v>2</v>
      </c>
      <c r="G389" s="3" t="s">
        <v>13</v>
      </c>
      <c r="H389" s="3"/>
      <c r="I389" s="3">
        <v>1</v>
      </c>
    </row>
    <row r="390" spans="1:9" x14ac:dyDescent="0.25">
      <c r="A390" s="4" t="s">
        <v>9</v>
      </c>
      <c r="B390" s="4">
        <v>2</v>
      </c>
      <c r="C390" s="4" t="s">
        <v>10</v>
      </c>
      <c r="D390" s="4" t="s">
        <v>11</v>
      </c>
      <c r="E390" s="4"/>
      <c r="F390" s="4">
        <v>1</v>
      </c>
      <c r="G390" s="4" t="s">
        <v>12</v>
      </c>
      <c r="H390" s="4"/>
      <c r="I390" s="4">
        <v>1</v>
      </c>
    </row>
    <row r="391" spans="1:9" x14ac:dyDescent="0.25">
      <c r="A391" s="4" t="s">
        <v>9</v>
      </c>
      <c r="B391" s="4">
        <v>2</v>
      </c>
      <c r="C391" s="4" t="s">
        <v>10</v>
      </c>
      <c r="D391" s="4" t="s">
        <v>11</v>
      </c>
      <c r="E391" s="4"/>
      <c r="F391" s="4">
        <v>2</v>
      </c>
      <c r="G391" s="4" t="s">
        <v>13</v>
      </c>
      <c r="H391" s="4"/>
      <c r="I391" s="4">
        <v>1</v>
      </c>
    </row>
    <row r="392" spans="1:9" x14ac:dyDescent="0.25">
      <c r="A392" s="3" t="s">
        <v>9</v>
      </c>
      <c r="B392" s="3">
        <v>14</v>
      </c>
      <c r="C392" s="3" t="s">
        <v>36</v>
      </c>
      <c r="D392" s="3" t="s">
        <v>37</v>
      </c>
      <c r="E392" s="3"/>
      <c r="F392" s="3">
        <v>1</v>
      </c>
      <c r="G392" s="3" t="s">
        <v>12</v>
      </c>
      <c r="H392" s="3"/>
      <c r="I392" s="3">
        <v>1</v>
      </c>
    </row>
    <row r="393" spans="1:9" x14ac:dyDescent="0.25">
      <c r="A393" s="3" t="s">
        <v>9</v>
      </c>
      <c r="B393" s="3">
        <v>14</v>
      </c>
      <c r="C393" s="3" t="s">
        <v>36</v>
      </c>
      <c r="D393" s="3" t="s">
        <v>37</v>
      </c>
      <c r="E393" s="3"/>
      <c r="F393" s="3">
        <v>2</v>
      </c>
      <c r="G393" s="3" t="s">
        <v>13</v>
      </c>
      <c r="H393" s="3"/>
      <c r="I393" s="3">
        <v>1</v>
      </c>
    </row>
    <row r="394" spans="1:9" x14ac:dyDescent="0.25">
      <c r="A394" s="4" t="s">
        <v>9</v>
      </c>
      <c r="B394" s="4">
        <v>5</v>
      </c>
      <c r="C394" s="4" t="s">
        <v>18</v>
      </c>
      <c r="D394" s="4" t="s">
        <v>19</v>
      </c>
      <c r="E394" s="4"/>
      <c r="F394" s="4">
        <v>1</v>
      </c>
      <c r="G394" s="4" t="s">
        <v>12</v>
      </c>
      <c r="H394" s="4"/>
      <c r="I394" s="4">
        <v>1</v>
      </c>
    </row>
    <row r="395" spans="1:9" x14ac:dyDescent="0.25">
      <c r="A395" s="4" t="s">
        <v>9</v>
      </c>
      <c r="B395" s="4">
        <v>5</v>
      </c>
      <c r="C395" s="4" t="s">
        <v>18</v>
      </c>
      <c r="D395" s="4" t="s">
        <v>19</v>
      </c>
      <c r="E395" s="4"/>
      <c r="F395" s="4">
        <v>2</v>
      </c>
      <c r="G395" s="4" t="s">
        <v>13</v>
      </c>
      <c r="H395" s="4"/>
      <c r="I395" s="4">
        <v>1</v>
      </c>
    </row>
    <row r="396" spans="1:9" x14ac:dyDescent="0.25">
      <c r="A396" s="3" t="s">
        <v>9</v>
      </c>
      <c r="B396" s="3">
        <v>7</v>
      </c>
      <c r="C396" s="3" t="s">
        <v>22</v>
      </c>
      <c r="D396" s="3" t="s">
        <v>23</v>
      </c>
      <c r="E396" s="3"/>
      <c r="F396" s="3">
        <v>1</v>
      </c>
      <c r="G396" s="3" t="s">
        <v>12</v>
      </c>
      <c r="H396" s="3"/>
      <c r="I396" s="3">
        <v>1</v>
      </c>
    </row>
    <row r="397" spans="1:9" x14ac:dyDescent="0.25">
      <c r="A397" s="3" t="s">
        <v>9</v>
      </c>
      <c r="B397" s="3">
        <v>7</v>
      </c>
      <c r="C397" s="3" t="s">
        <v>22</v>
      </c>
      <c r="D397" s="3" t="s">
        <v>23</v>
      </c>
      <c r="E397" s="3"/>
      <c r="F397" s="3">
        <v>2</v>
      </c>
      <c r="G397" s="3" t="s">
        <v>13</v>
      </c>
      <c r="H397" s="3"/>
      <c r="I397" s="3">
        <v>1</v>
      </c>
    </row>
    <row r="398" spans="1:9" x14ac:dyDescent="0.25">
      <c r="A398" s="4" t="s">
        <v>9</v>
      </c>
      <c r="B398" s="4">
        <v>6</v>
      </c>
      <c r="C398" s="4" t="s">
        <v>20</v>
      </c>
      <c r="D398" s="4" t="s">
        <v>21</v>
      </c>
      <c r="E398" s="4"/>
      <c r="F398" s="4">
        <v>1</v>
      </c>
      <c r="G398" s="4" t="s">
        <v>12</v>
      </c>
      <c r="H398" s="4"/>
      <c r="I398" s="4">
        <v>1</v>
      </c>
    </row>
    <row r="399" spans="1:9" x14ac:dyDescent="0.25">
      <c r="A399" s="4" t="s">
        <v>9</v>
      </c>
      <c r="B399" s="4">
        <v>6</v>
      </c>
      <c r="C399" s="4" t="s">
        <v>20</v>
      </c>
      <c r="D399" s="4" t="s">
        <v>21</v>
      </c>
      <c r="E399" s="4"/>
      <c r="F399" s="4">
        <v>2</v>
      </c>
      <c r="G399" s="4" t="s">
        <v>13</v>
      </c>
      <c r="H399" s="4"/>
      <c r="I399" s="4">
        <v>1</v>
      </c>
    </row>
    <row r="400" spans="1:9" x14ac:dyDescent="0.25">
      <c r="A400" s="3" t="s">
        <v>9</v>
      </c>
      <c r="B400" s="3">
        <v>1</v>
      </c>
      <c r="C400" s="3" t="s">
        <v>520</v>
      </c>
      <c r="D400" s="3" t="s">
        <v>521</v>
      </c>
      <c r="E400" s="3"/>
      <c r="F400" s="3">
        <v>1</v>
      </c>
      <c r="G400" s="3" t="s">
        <v>12</v>
      </c>
      <c r="H400" s="3"/>
      <c r="I400" s="3">
        <v>1</v>
      </c>
    </row>
    <row r="401" spans="1:9" x14ac:dyDescent="0.25">
      <c r="A401" s="3" t="s">
        <v>9</v>
      </c>
      <c r="B401" s="3">
        <v>1</v>
      </c>
      <c r="C401" s="3" t="s">
        <v>520</v>
      </c>
      <c r="D401" s="3" t="s">
        <v>521</v>
      </c>
      <c r="E401" s="3"/>
      <c r="F401" s="3">
        <v>2</v>
      </c>
      <c r="G401" s="3" t="s">
        <v>13</v>
      </c>
      <c r="H401" s="3"/>
      <c r="I401" s="3">
        <v>1</v>
      </c>
    </row>
    <row r="402" spans="1:9" x14ac:dyDescent="0.25">
      <c r="A402" s="4" t="s">
        <v>9</v>
      </c>
      <c r="B402" s="4">
        <v>9</v>
      </c>
      <c r="C402" s="4" t="s">
        <v>26</v>
      </c>
      <c r="D402" s="4" t="s">
        <v>27</v>
      </c>
      <c r="E402" s="4"/>
      <c r="F402" s="4">
        <v>1</v>
      </c>
      <c r="G402" s="4" t="s">
        <v>12</v>
      </c>
      <c r="H402" s="4"/>
      <c r="I402" s="4">
        <v>1</v>
      </c>
    </row>
    <row r="403" spans="1:9" x14ac:dyDescent="0.25">
      <c r="A403" s="4" t="s">
        <v>9</v>
      </c>
      <c r="B403" s="4">
        <v>9</v>
      </c>
      <c r="C403" s="4" t="s">
        <v>26</v>
      </c>
      <c r="D403" s="4" t="s">
        <v>27</v>
      </c>
      <c r="E403" s="4"/>
      <c r="F403" s="4">
        <v>2</v>
      </c>
      <c r="G403" s="4" t="s">
        <v>13</v>
      </c>
      <c r="H403" s="4"/>
      <c r="I403" s="4">
        <v>1</v>
      </c>
    </row>
    <row r="404" spans="1:9" x14ac:dyDescent="0.25">
      <c r="A404" s="3" t="s">
        <v>9</v>
      </c>
      <c r="B404" s="3">
        <v>10</v>
      </c>
      <c r="C404" s="3" t="s">
        <v>28</v>
      </c>
      <c r="D404" s="3" t="s">
        <v>29</v>
      </c>
      <c r="E404" s="3"/>
      <c r="F404" s="3">
        <v>1</v>
      </c>
      <c r="G404" s="3" t="s">
        <v>12</v>
      </c>
      <c r="H404" s="3"/>
      <c r="I404" s="3">
        <v>1</v>
      </c>
    </row>
    <row r="405" spans="1:9" x14ac:dyDescent="0.25">
      <c r="A405" s="3" t="s">
        <v>9</v>
      </c>
      <c r="B405" s="3">
        <v>10</v>
      </c>
      <c r="C405" s="3" t="s">
        <v>28</v>
      </c>
      <c r="D405" s="3" t="s">
        <v>29</v>
      </c>
      <c r="E405" s="3"/>
      <c r="F405" s="3">
        <v>2</v>
      </c>
      <c r="G405" s="3" t="s">
        <v>13</v>
      </c>
      <c r="H405" s="3"/>
      <c r="I405" s="3">
        <v>1</v>
      </c>
    </row>
    <row r="406" spans="1:9" x14ac:dyDescent="0.25">
      <c r="A406" s="4" t="s">
        <v>9</v>
      </c>
      <c r="B406" s="4">
        <v>4</v>
      </c>
      <c r="C406" s="4" t="s">
        <v>16</v>
      </c>
      <c r="D406" s="4" t="s">
        <v>17</v>
      </c>
      <c r="E406" s="4"/>
      <c r="F406" s="4">
        <v>1</v>
      </c>
      <c r="G406" s="4" t="s">
        <v>12</v>
      </c>
      <c r="H406" s="4"/>
      <c r="I406" s="4">
        <v>1</v>
      </c>
    </row>
    <row r="407" spans="1:9" x14ac:dyDescent="0.25">
      <c r="A407" s="4" t="s">
        <v>9</v>
      </c>
      <c r="B407" s="4">
        <v>4</v>
      </c>
      <c r="C407" s="4" t="s">
        <v>16</v>
      </c>
      <c r="D407" s="4" t="s">
        <v>17</v>
      </c>
      <c r="E407" s="4"/>
      <c r="F407" s="4">
        <v>2</v>
      </c>
      <c r="G407" s="4" t="s">
        <v>13</v>
      </c>
      <c r="H407" s="4"/>
      <c r="I407" s="4">
        <v>1</v>
      </c>
    </row>
    <row r="408" spans="1:9" x14ac:dyDescent="0.25">
      <c r="A408" s="3" t="s">
        <v>189</v>
      </c>
      <c r="B408" s="3">
        <v>1</v>
      </c>
      <c r="C408" s="3" t="s">
        <v>190</v>
      </c>
      <c r="D408" s="3" t="s">
        <v>191</v>
      </c>
      <c r="E408" s="3"/>
      <c r="F408" s="3">
        <v>1</v>
      </c>
      <c r="G408" s="3" t="s">
        <v>12</v>
      </c>
      <c r="H408" s="3"/>
      <c r="I408" s="3">
        <v>1</v>
      </c>
    </row>
    <row r="409" spans="1:9" x14ac:dyDescent="0.25">
      <c r="A409" s="3" t="s">
        <v>189</v>
      </c>
      <c r="B409" s="3">
        <v>1</v>
      </c>
      <c r="C409" s="3" t="s">
        <v>190</v>
      </c>
      <c r="D409" s="3" t="s">
        <v>191</v>
      </c>
      <c r="E409" s="3"/>
      <c r="F409" s="3">
        <v>2</v>
      </c>
      <c r="G409" s="3" t="s">
        <v>13</v>
      </c>
      <c r="H409" s="3"/>
      <c r="I409" s="3">
        <v>1</v>
      </c>
    </row>
    <row r="410" spans="1:9" x14ac:dyDescent="0.25">
      <c r="A410" s="4" t="s">
        <v>189</v>
      </c>
      <c r="B410" s="4">
        <v>2</v>
      </c>
      <c r="C410" s="4" t="s">
        <v>192</v>
      </c>
      <c r="D410" s="4" t="s">
        <v>193</v>
      </c>
      <c r="E410" s="4"/>
      <c r="F410" s="4">
        <v>1</v>
      </c>
      <c r="G410" s="4" t="s">
        <v>12</v>
      </c>
      <c r="H410" s="4"/>
      <c r="I410" s="4">
        <v>1</v>
      </c>
    </row>
    <row r="411" spans="1:9" x14ac:dyDescent="0.25">
      <c r="A411" s="4" t="s">
        <v>189</v>
      </c>
      <c r="B411" s="4">
        <v>2</v>
      </c>
      <c r="C411" s="4" t="s">
        <v>192</v>
      </c>
      <c r="D411" s="4" t="s">
        <v>193</v>
      </c>
      <c r="E411" s="4"/>
      <c r="F411" s="4">
        <v>2</v>
      </c>
      <c r="G411" s="4" t="s">
        <v>13</v>
      </c>
      <c r="H411" s="4"/>
      <c r="I411" s="4">
        <v>1</v>
      </c>
    </row>
    <row r="412" spans="1:9" x14ac:dyDescent="0.25">
      <c r="A412" s="3" t="s">
        <v>189</v>
      </c>
      <c r="B412" s="3">
        <v>3</v>
      </c>
      <c r="C412" s="3" t="s">
        <v>194</v>
      </c>
      <c r="D412" s="3" t="s">
        <v>195</v>
      </c>
      <c r="E412" s="3"/>
      <c r="F412" s="3">
        <v>1</v>
      </c>
      <c r="G412" s="3" t="s">
        <v>12</v>
      </c>
      <c r="H412" s="3"/>
      <c r="I412" s="3">
        <v>1</v>
      </c>
    </row>
    <row r="413" spans="1:9" x14ac:dyDescent="0.25">
      <c r="A413" s="3" t="s">
        <v>189</v>
      </c>
      <c r="B413" s="3">
        <v>3</v>
      </c>
      <c r="C413" s="3" t="s">
        <v>194</v>
      </c>
      <c r="D413" s="3" t="s">
        <v>195</v>
      </c>
      <c r="E413" s="3"/>
      <c r="F413" s="3">
        <v>2</v>
      </c>
      <c r="G413" s="3" t="s">
        <v>13</v>
      </c>
      <c r="H413" s="3"/>
      <c r="I413" s="3">
        <v>1</v>
      </c>
    </row>
    <row r="414" spans="1:9" x14ac:dyDescent="0.25">
      <c r="A414" s="4" t="s">
        <v>189</v>
      </c>
      <c r="B414" s="4">
        <v>4</v>
      </c>
      <c r="C414" s="4" t="s">
        <v>196</v>
      </c>
      <c r="D414" s="4" t="s">
        <v>197</v>
      </c>
      <c r="E414" s="4"/>
      <c r="F414" s="4">
        <v>1</v>
      </c>
      <c r="G414" s="4" t="s">
        <v>12</v>
      </c>
      <c r="H414" s="4"/>
      <c r="I414" s="4">
        <v>1</v>
      </c>
    </row>
    <row r="415" spans="1:9" x14ac:dyDescent="0.25">
      <c r="A415" s="4" t="s">
        <v>189</v>
      </c>
      <c r="B415" s="4">
        <v>4</v>
      </c>
      <c r="C415" s="4" t="s">
        <v>196</v>
      </c>
      <c r="D415" s="4" t="s">
        <v>197</v>
      </c>
      <c r="E415" s="4"/>
      <c r="F415" s="4">
        <v>2</v>
      </c>
      <c r="G415" s="4" t="s">
        <v>13</v>
      </c>
      <c r="H415" s="4"/>
      <c r="I415" s="4">
        <v>1</v>
      </c>
    </row>
    <row r="416" spans="1:9" x14ac:dyDescent="0.25">
      <c r="A416" s="3" t="s">
        <v>189</v>
      </c>
      <c r="B416" s="3">
        <v>5</v>
      </c>
      <c r="C416" s="3" t="s">
        <v>522</v>
      </c>
      <c r="D416" s="3" t="s">
        <v>523</v>
      </c>
      <c r="E416" s="3"/>
      <c r="F416" s="3">
        <v>1</v>
      </c>
      <c r="G416" s="3" t="s">
        <v>12</v>
      </c>
      <c r="H416" s="3"/>
      <c r="I416" s="3">
        <v>1</v>
      </c>
    </row>
    <row r="417" spans="1:9" x14ac:dyDescent="0.25">
      <c r="A417" s="3" t="s">
        <v>189</v>
      </c>
      <c r="B417" s="3">
        <v>5</v>
      </c>
      <c r="C417" s="3" t="s">
        <v>522</v>
      </c>
      <c r="D417" s="3" t="s">
        <v>523</v>
      </c>
      <c r="E417" s="3"/>
      <c r="F417" s="3">
        <v>2</v>
      </c>
      <c r="G417" s="3" t="s">
        <v>13</v>
      </c>
      <c r="H417" s="3"/>
      <c r="I417" s="3">
        <v>1</v>
      </c>
    </row>
    <row r="418" spans="1:9" x14ac:dyDescent="0.25">
      <c r="A418" s="4" t="s">
        <v>189</v>
      </c>
      <c r="B418" s="4">
        <v>6</v>
      </c>
      <c r="C418" s="4" t="s">
        <v>198</v>
      </c>
      <c r="D418" s="4" t="s">
        <v>199</v>
      </c>
      <c r="E418" s="4"/>
      <c r="F418" s="4">
        <v>1</v>
      </c>
      <c r="G418" s="4" t="s">
        <v>12</v>
      </c>
      <c r="H418" s="4"/>
      <c r="I418" s="4">
        <v>1</v>
      </c>
    </row>
    <row r="419" spans="1:9" x14ac:dyDescent="0.25">
      <c r="A419" s="4" t="s">
        <v>189</v>
      </c>
      <c r="B419" s="4">
        <v>6</v>
      </c>
      <c r="C419" s="4" t="s">
        <v>198</v>
      </c>
      <c r="D419" s="4" t="s">
        <v>199</v>
      </c>
      <c r="E419" s="4"/>
      <c r="F419" s="4">
        <v>2</v>
      </c>
      <c r="G419" s="4" t="s">
        <v>13</v>
      </c>
      <c r="H419" s="4"/>
      <c r="I419" s="4">
        <v>1</v>
      </c>
    </row>
    <row r="420" spans="1:9" x14ac:dyDescent="0.25">
      <c r="A420" s="3" t="s">
        <v>189</v>
      </c>
      <c r="B420" s="3">
        <v>7</v>
      </c>
      <c r="C420" s="3" t="s">
        <v>200</v>
      </c>
      <c r="D420" s="3" t="s">
        <v>201</v>
      </c>
      <c r="E420" s="3"/>
      <c r="F420" s="3">
        <v>1</v>
      </c>
      <c r="G420" s="3" t="s">
        <v>12</v>
      </c>
      <c r="H420" s="3"/>
      <c r="I420" s="3">
        <v>1</v>
      </c>
    </row>
    <row r="421" spans="1:9" x14ac:dyDescent="0.25">
      <c r="A421" s="3" t="s">
        <v>189</v>
      </c>
      <c r="B421" s="3">
        <v>7</v>
      </c>
      <c r="C421" s="3" t="s">
        <v>200</v>
      </c>
      <c r="D421" s="3" t="s">
        <v>201</v>
      </c>
      <c r="E421" s="3"/>
      <c r="F421" s="3">
        <v>2</v>
      </c>
      <c r="G421" s="3" t="s">
        <v>13</v>
      </c>
      <c r="H421" s="3"/>
      <c r="I421" s="3">
        <v>1</v>
      </c>
    </row>
    <row r="422" spans="1:9" x14ac:dyDescent="0.25">
      <c r="A422" s="4" t="s">
        <v>189</v>
      </c>
      <c r="B422" s="4">
        <v>8</v>
      </c>
      <c r="C422" s="4" t="s">
        <v>202</v>
      </c>
      <c r="D422" s="4" t="s">
        <v>203</v>
      </c>
      <c r="E422" s="4"/>
      <c r="F422" s="4">
        <v>1</v>
      </c>
      <c r="G422" s="4" t="s">
        <v>12</v>
      </c>
      <c r="H422" s="4"/>
      <c r="I422" s="4">
        <v>1</v>
      </c>
    </row>
    <row r="423" spans="1:9" x14ac:dyDescent="0.25">
      <c r="A423" s="4" t="s">
        <v>189</v>
      </c>
      <c r="B423" s="4">
        <v>8</v>
      </c>
      <c r="C423" s="4" t="s">
        <v>202</v>
      </c>
      <c r="D423" s="4" t="s">
        <v>203</v>
      </c>
      <c r="E423" s="4"/>
      <c r="F423" s="4">
        <v>2</v>
      </c>
      <c r="G423" s="4" t="s">
        <v>13</v>
      </c>
      <c r="H423" s="4"/>
      <c r="I423" s="4">
        <v>1</v>
      </c>
    </row>
    <row r="424" spans="1:9" x14ac:dyDescent="0.25">
      <c r="A424" s="3" t="s">
        <v>189</v>
      </c>
      <c r="B424" s="3">
        <v>9</v>
      </c>
      <c r="C424" s="3" t="s">
        <v>204</v>
      </c>
      <c r="D424" s="3" t="s">
        <v>205</v>
      </c>
      <c r="E424" s="3"/>
      <c r="F424" s="3">
        <v>1</v>
      </c>
      <c r="G424" s="3" t="s">
        <v>12</v>
      </c>
      <c r="H424" s="3"/>
      <c r="I424" s="3">
        <v>1</v>
      </c>
    </row>
    <row r="425" spans="1:9" x14ac:dyDescent="0.25">
      <c r="A425" s="3" t="s">
        <v>189</v>
      </c>
      <c r="B425" s="3">
        <v>9</v>
      </c>
      <c r="C425" s="3" t="s">
        <v>204</v>
      </c>
      <c r="D425" s="3" t="s">
        <v>205</v>
      </c>
      <c r="E425" s="3"/>
      <c r="F425" s="3">
        <v>2</v>
      </c>
      <c r="G425" s="3" t="s">
        <v>13</v>
      </c>
      <c r="H425" s="3"/>
      <c r="I425" s="3">
        <v>1</v>
      </c>
    </row>
    <row r="426" spans="1:9" x14ac:dyDescent="0.25">
      <c r="A426" s="4" t="s">
        <v>189</v>
      </c>
      <c r="B426" s="4">
        <v>10</v>
      </c>
      <c r="C426" s="4" t="s">
        <v>206</v>
      </c>
      <c r="D426" s="4" t="s">
        <v>207</v>
      </c>
      <c r="E426" s="4"/>
      <c r="F426" s="4">
        <v>1</v>
      </c>
      <c r="G426" s="4" t="s">
        <v>12</v>
      </c>
      <c r="H426" s="4"/>
      <c r="I426" s="4">
        <v>1</v>
      </c>
    </row>
    <row r="427" spans="1:9" x14ac:dyDescent="0.25">
      <c r="A427" s="4" t="s">
        <v>189</v>
      </c>
      <c r="B427" s="4">
        <v>10</v>
      </c>
      <c r="C427" s="4" t="s">
        <v>206</v>
      </c>
      <c r="D427" s="4" t="s">
        <v>207</v>
      </c>
      <c r="E427" s="4"/>
      <c r="F427" s="4">
        <v>2</v>
      </c>
      <c r="G427" s="4" t="s">
        <v>13</v>
      </c>
      <c r="H427" s="4"/>
      <c r="I427" s="4">
        <v>1</v>
      </c>
    </row>
    <row r="428" spans="1:9" x14ac:dyDescent="0.25">
      <c r="A428" s="3" t="s">
        <v>189</v>
      </c>
      <c r="B428" s="3">
        <v>11</v>
      </c>
      <c r="C428" s="3" t="s">
        <v>208</v>
      </c>
      <c r="D428" s="3" t="s">
        <v>209</v>
      </c>
      <c r="E428" s="3"/>
      <c r="F428" s="3">
        <v>1</v>
      </c>
      <c r="G428" s="3" t="s">
        <v>12</v>
      </c>
      <c r="H428" s="3"/>
      <c r="I428" s="3">
        <v>1</v>
      </c>
    </row>
    <row r="429" spans="1:9" x14ac:dyDescent="0.25">
      <c r="A429" s="3" t="s">
        <v>189</v>
      </c>
      <c r="B429" s="3">
        <v>11</v>
      </c>
      <c r="C429" s="3" t="s">
        <v>208</v>
      </c>
      <c r="D429" s="3" t="s">
        <v>209</v>
      </c>
      <c r="E429" s="3"/>
      <c r="F429" s="3">
        <v>2</v>
      </c>
      <c r="G429" s="3" t="s">
        <v>13</v>
      </c>
      <c r="H429" s="3"/>
      <c r="I429" s="3">
        <v>1</v>
      </c>
    </row>
    <row r="430" spans="1:9" x14ac:dyDescent="0.25">
      <c r="A430" s="4" t="s">
        <v>189</v>
      </c>
      <c r="B430" s="4">
        <v>12</v>
      </c>
      <c r="C430" s="4" t="s">
        <v>210</v>
      </c>
      <c r="D430" s="4" t="s">
        <v>211</v>
      </c>
      <c r="E430" s="4"/>
      <c r="F430" s="4">
        <v>1</v>
      </c>
      <c r="G430" s="4" t="s">
        <v>12</v>
      </c>
      <c r="H430" s="4"/>
      <c r="I430" s="4">
        <v>1</v>
      </c>
    </row>
    <row r="431" spans="1:9" x14ac:dyDescent="0.25">
      <c r="A431" s="4" t="s">
        <v>189</v>
      </c>
      <c r="B431" s="4">
        <v>12</v>
      </c>
      <c r="C431" s="4" t="s">
        <v>210</v>
      </c>
      <c r="D431" s="4" t="s">
        <v>211</v>
      </c>
      <c r="E431" s="4"/>
      <c r="F431" s="4">
        <v>2</v>
      </c>
      <c r="G431" s="4" t="s">
        <v>13</v>
      </c>
      <c r="H431" s="4"/>
      <c r="I431" s="4">
        <v>1</v>
      </c>
    </row>
    <row r="432" spans="1:9" x14ac:dyDescent="0.25">
      <c r="A432" s="3" t="s">
        <v>189</v>
      </c>
      <c r="B432" s="3">
        <v>13</v>
      </c>
      <c r="C432" s="3" t="s">
        <v>212</v>
      </c>
      <c r="D432" s="3" t="s">
        <v>213</v>
      </c>
      <c r="E432" s="3"/>
      <c r="F432" s="3">
        <v>1</v>
      </c>
      <c r="G432" s="3" t="s">
        <v>12</v>
      </c>
      <c r="H432" s="3"/>
      <c r="I432" s="3">
        <v>1</v>
      </c>
    </row>
    <row r="433" spans="1:9" x14ac:dyDescent="0.25">
      <c r="A433" s="3" t="s">
        <v>189</v>
      </c>
      <c r="B433" s="3">
        <v>13</v>
      </c>
      <c r="C433" s="3" t="s">
        <v>212</v>
      </c>
      <c r="D433" s="3" t="s">
        <v>213</v>
      </c>
      <c r="E433" s="3"/>
      <c r="F433" s="3">
        <v>2</v>
      </c>
      <c r="G433" s="3" t="s">
        <v>13</v>
      </c>
      <c r="H433" s="3"/>
      <c r="I433" s="3">
        <v>1</v>
      </c>
    </row>
    <row r="434" spans="1:9" x14ac:dyDescent="0.25">
      <c r="A434" s="4" t="s">
        <v>189</v>
      </c>
      <c r="B434" s="4">
        <v>14</v>
      </c>
      <c r="C434" s="4" t="s">
        <v>214</v>
      </c>
      <c r="D434" s="4" t="s">
        <v>215</v>
      </c>
      <c r="E434" s="4"/>
      <c r="F434" s="4">
        <v>1</v>
      </c>
      <c r="G434" s="4" t="s">
        <v>12</v>
      </c>
      <c r="H434" s="4"/>
      <c r="I434" s="4">
        <v>1</v>
      </c>
    </row>
    <row r="435" spans="1:9" x14ac:dyDescent="0.25">
      <c r="A435" s="4" t="s">
        <v>189</v>
      </c>
      <c r="B435" s="4">
        <v>14</v>
      </c>
      <c r="C435" s="4" t="s">
        <v>214</v>
      </c>
      <c r="D435" s="4" t="s">
        <v>215</v>
      </c>
      <c r="E435" s="4"/>
      <c r="F435" s="4">
        <v>2</v>
      </c>
      <c r="G435" s="4" t="s">
        <v>13</v>
      </c>
      <c r="H435" s="4"/>
      <c r="I435" s="4">
        <v>1</v>
      </c>
    </row>
    <row r="436" spans="1:9" x14ac:dyDescent="0.25">
      <c r="A436" s="3" t="s">
        <v>189</v>
      </c>
      <c r="B436" s="3">
        <v>15</v>
      </c>
      <c r="C436" s="3" t="s">
        <v>216</v>
      </c>
      <c r="D436" s="3" t="s">
        <v>217</v>
      </c>
      <c r="E436" s="3"/>
      <c r="F436" s="3">
        <v>1</v>
      </c>
      <c r="G436" s="3" t="s">
        <v>12</v>
      </c>
      <c r="H436" s="3"/>
      <c r="I436" s="3">
        <v>1</v>
      </c>
    </row>
    <row r="437" spans="1:9" x14ac:dyDescent="0.25">
      <c r="A437" s="3" t="s">
        <v>189</v>
      </c>
      <c r="B437" s="3">
        <v>15</v>
      </c>
      <c r="C437" s="3" t="s">
        <v>216</v>
      </c>
      <c r="D437" s="3" t="s">
        <v>217</v>
      </c>
      <c r="E437" s="3"/>
      <c r="F437" s="3">
        <v>2</v>
      </c>
      <c r="G437" s="3" t="s">
        <v>13</v>
      </c>
      <c r="H437" s="3"/>
      <c r="I437" s="3">
        <v>1</v>
      </c>
    </row>
    <row r="438" spans="1:9" x14ac:dyDescent="0.25">
      <c r="A438" s="4" t="s">
        <v>189</v>
      </c>
      <c r="B438" s="4">
        <v>16</v>
      </c>
      <c r="C438" s="4" t="s">
        <v>218</v>
      </c>
      <c r="D438" s="4" t="s">
        <v>219</v>
      </c>
      <c r="E438" s="4"/>
      <c r="F438" s="4">
        <v>1</v>
      </c>
      <c r="G438" s="4" t="s">
        <v>12</v>
      </c>
      <c r="H438" s="4"/>
      <c r="I438" s="4">
        <v>1</v>
      </c>
    </row>
    <row r="439" spans="1:9" x14ac:dyDescent="0.25">
      <c r="A439" s="4" t="s">
        <v>189</v>
      </c>
      <c r="B439" s="4">
        <v>16</v>
      </c>
      <c r="C439" s="4" t="s">
        <v>218</v>
      </c>
      <c r="D439" s="4" t="s">
        <v>219</v>
      </c>
      <c r="E439" s="4"/>
      <c r="F439" s="4">
        <v>2</v>
      </c>
      <c r="G439" s="4" t="s">
        <v>13</v>
      </c>
      <c r="H439" s="4"/>
      <c r="I439" s="4">
        <v>1</v>
      </c>
    </row>
    <row r="440" spans="1:9" x14ac:dyDescent="0.25">
      <c r="A440" s="3" t="s">
        <v>189</v>
      </c>
      <c r="B440" s="3">
        <v>17</v>
      </c>
      <c r="C440" s="3" t="s">
        <v>220</v>
      </c>
      <c r="D440" s="3" t="s">
        <v>221</v>
      </c>
      <c r="E440" s="3"/>
      <c r="F440" s="3">
        <v>1</v>
      </c>
      <c r="G440" s="3" t="s">
        <v>12</v>
      </c>
      <c r="H440" s="3"/>
      <c r="I440" s="3">
        <v>1</v>
      </c>
    </row>
    <row r="441" spans="1:9" x14ac:dyDescent="0.25">
      <c r="A441" s="3" t="s">
        <v>189</v>
      </c>
      <c r="B441" s="3">
        <v>17</v>
      </c>
      <c r="C441" s="3" t="s">
        <v>220</v>
      </c>
      <c r="D441" s="3" t="s">
        <v>221</v>
      </c>
      <c r="E441" s="3"/>
      <c r="F441" s="3">
        <v>2</v>
      </c>
      <c r="G441" s="3" t="s">
        <v>13</v>
      </c>
      <c r="H441" s="3"/>
      <c r="I441" s="3">
        <v>1</v>
      </c>
    </row>
    <row r="442" spans="1:9" x14ac:dyDescent="0.25">
      <c r="A442" s="4" t="s">
        <v>189</v>
      </c>
      <c r="B442" s="4">
        <v>18</v>
      </c>
      <c r="C442" s="4" t="s">
        <v>222</v>
      </c>
      <c r="D442" s="4" t="s">
        <v>223</v>
      </c>
      <c r="E442" s="4"/>
      <c r="F442" s="4">
        <v>1</v>
      </c>
      <c r="G442" s="4" t="s">
        <v>12</v>
      </c>
      <c r="H442" s="4"/>
      <c r="I442" s="4">
        <v>1</v>
      </c>
    </row>
    <row r="443" spans="1:9" x14ac:dyDescent="0.25">
      <c r="A443" s="4" t="s">
        <v>189</v>
      </c>
      <c r="B443" s="4">
        <v>18</v>
      </c>
      <c r="C443" s="4" t="s">
        <v>222</v>
      </c>
      <c r="D443" s="4" t="s">
        <v>223</v>
      </c>
      <c r="E443" s="4"/>
      <c r="F443" s="4">
        <v>2</v>
      </c>
      <c r="G443" s="4" t="s">
        <v>13</v>
      </c>
      <c r="H443" s="4"/>
      <c r="I443" s="4">
        <v>1</v>
      </c>
    </row>
    <row r="444" spans="1:9" x14ac:dyDescent="0.25">
      <c r="A444" s="3" t="s">
        <v>189</v>
      </c>
      <c r="B444" s="3">
        <v>19</v>
      </c>
      <c r="C444" s="3" t="s">
        <v>224</v>
      </c>
      <c r="D444" s="3" t="s">
        <v>225</v>
      </c>
      <c r="E444" s="3"/>
      <c r="F444" s="3">
        <v>1</v>
      </c>
      <c r="G444" s="3" t="s">
        <v>12</v>
      </c>
      <c r="H444" s="3"/>
      <c r="I444" s="3">
        <v>1</v>
      </c>
    </row>
    <row r="445" spans="1:9" x14ac:dyDescent="0.25">
      <c r="A445" s="3" t="s">
        <v>189</v>
      </c>
      <c r="B445" s="3">
        <v>19</v>
      </c>
      <c r="C445" s="3" t="s">
        <v>224</v>
      </c>
      <c r="D445" s="3" t="s">
        <v>225</v>
      </c>
      <c r="E445" s="3"/>
      <c r="F445" s="3">
        <v>2</v>
      </c>
      <c r="G445" s="3" t="s">
        <v>13</v>
      </c>
      <c r="H445" s="3"/>
      <c r="I445" s="3">
        <v>1</v>
      </c>
    </row>
    <row r="446" spans="1:9" x14ac:dyDescent="0.25">
      <c r="A446" s="4" t="s">
        <v>189</v>
      </c>
      <c r="B446" s="4">
        <v>20</v>
      </c>
      <c r="C446" s="4" t="s">
        <v>226</v>
      </c>
      <c r="D446" s="4" t="s">
        <v>227</v>
      </c>
      <c r="E446" s="4"/>
      <c r="F446" s="4">
        <v>1</v>
      </c>
      <c r="G446" s="4" t="s">
        <v>12</v>
      </c>
      <c r="H446" s="4"/>
      <c r="I446" s="4">
        <v>1</v>
      </c>
    </row>
    <row r="447" spans="1:9" x14ac:dyDescent="0.25">
      <c r="A447" s="4" t="s">
        <v>189</v>
      </c>
      <c r="B447" s="4">
        <v>20</v>
      </c>
      <c r="C447" s="4" t="s">
        <v>226</v>
      </c>
      <c r="D447" s="4" t="s">
        <v>227</v>
      </c>
      <c r="E447" s="4"/>
      <c r="F447" s="4">
        <v>2</v>
      </c>
      <c r="G447" s="4" t="s">
        <v>13</v>
      </c>
      <c r="H447" s="4"/>
      <c r="I447" s="4">
        <v>1</v>
      </c>
    </row>
    <row r="448" spans="1:9" x14ac:dyDescent="0.25">
      <c r="A448" s="3" t="s">
        <v>189</v>
      </c>
      <c r="B448" s="3">
        <v>21</v>
      </c>
      <c r="C448" s="3" t="s">
        <v>228</v>
      </c>
      <c r="D448" s="3" t="s">
        <v>229</v>
      </c>
      <c r="E448" s="3"/>
      <c r="F448" s="3">
        <v>1</v>
      </c>
      <c r="G448" s="3" t="s">
        <v>12</v>
      </c>
      <c r="H448" s="3"/>
      <c r="I448" s="3">
        <v>1</v>
      </c>
    </row>
    <row r="449" spans="1:9" x14ac:dyDescent="0.25">
      <c r="A449" s="3" t="s">
        <v>189</v>
      </c>
      <c r="B449" s="3">
        <v>21</v>
      </c>
      <c r="C449" s="3" t="s">
        <v>228</v>
      </c>
      <c r="D449" s="3" t="s">
        <v>229</v>
      </c>
      <c r="E449" s="3"/>
      <c r="F449" s="3">
        <v>2</v>
      </c>
      <c r="G449" s="3" t="s">
        <v>13</v>
      </c>
      <c r="H449" s="3"/>
      <c r="I449" s="3">
        <v>1</v>
      </c>
    </row>
    <row r="450" spans="1:9" x14ac:dyDescent="0.25">
      <c r="A450" s="4" t="s">
        <v>189</v>
      </c>
      <c r="B450" s="4">
        <v>22</v>
      </c>
      <c r="C450" s="4" t="s">
        <v>230</v>
      </c>
      <c r="D450" s="4" t="s">
        <v>231</v>
      </c>
      <c r="E450" s="4"/>
      <c r="F450" s="4">
        <v>1</v>
      </c>
      <c r="G450" s="4" t="s">
        <v>12</v>
      </c>
      <c r="H450" s="4"/>
      <c r="I450" s="4">
        <v>1</v>
      </c>
    </row>
    <row r="451" spans="1:9" x14ac:dyDescent="0.25">
      <c r="A451" s="4" t="s">
        <v>189</v>
      </c>
      <c r="B451" s="4">
        <v>22</v>
      </c>
      <c r="C451" s="4" t="s">
        <v>230</v>
      </c>
      <c r="D451" s="4" t="s">
        <v>231</v>
      </c>
      <c r="E451" s="4"/>
      <c r="F451" s="4">
        <v>2</v>
      </c>
      <c r="G451" s="4" t="s">
        <v>13</v>
      </c>
      <c r="H451" s="4"/>
      <c r="I451" s="4">
        <v>1</v>
      </c>
    </row>
    <row r="452" spans="1:9" x14ac:dyDescent="0.25">
      <c r="A452" s="3" t="s">
        <v>189</v>
      </c>
      <c r="B452" s="3">
        <v>23</v>
      </c>
      <c r="C452" s="3" t="s">
        <v>232</v>
      </c>
      <c r="D452" s="3" t="s">
        <v>233</v>
      </c>
      <c r="E452" s="3"/>
      <c r="F452" s="3">
        <v>1</v>
      </c>
      <c r="G452" s="3" t="s">
        <v>12</v>
      </c>
      <c r="H452" s="3"/>
      <c r="I452" s="3">
        <v>1</v>
      </c>
    </row>
    <row r="453" spans="1:9" x14ac:dyDescent="0.25">
      <c r="A453" s="3" t="s">
        <v>189</v>
      </c>
      <c r="B453" s="3">
        <v>23</v>
      </c>
      <c r="C453" s="3" t="s">
        <v>232</v>
      </c>
      <c r="D453" s="3" t="s">
        <v>233</v>
      </c>
      <c r="E453" s="3"/>
      <c r="F453" s="3">
        <v>2</v>
      </c>
      <c r="G453" s="3" t="s">
        <v>13</v>
      </c>
      <c r="H453" s="3"/>
      <c r="I453" s="3">
        <v>1</v>
      </c>
    </row>
    <row r="454" spans="1:9" x14ac:dyDescent="0.25">
      <c r="A454" s="4" t="s">
        <v>189</v>
      </c>
      <c r="B454" s="4">
        <v>24</v>
      </c>
      <c r="C454" s="4" t="s">
        <v>234</v>
      </c>
      <c r="D454" s="4" t="s">
        <v>235</v>
      </c>
      <c r="E454" s="4"/>
      <c r="F454" s="4">
        <v>1</v>
      </c>
      <c r="G454" s="4" t="s">
        <v>12</v>
      </c>
      <c r="H454" s="4"/>
      <c r="I454" s="4">
        <v>1</v>
      </c>
    </row>
    <row r="455" spans="1:9" x14ac:dyDescent="0.25">
      <c r="A455" s="4" t="s">
        <v>189</v>
      </c>
      <c r="B455" s="4">
        <v>24</v>
      </c>
      <c r="C455" s="4" t="s">
        <v>234</v>
      </c>
      <c r="D455" s="4" t="s">
        <v>235</v>
      </c>
      <c r="E455" s="4"/>
      <c r="F455" s="4">
        <v>2</v>
      </c>
      <c r="G455" s="4" t="s">
        <v>13</v>
      </c>
      <c r="H455" s="4"/>
      <c r="I455" s="4">
        <v>1</v>
      </c>
    </row>
    <row r="456" spans="1:9" x14ac:dyDescent="0.25">
      <c r="A456" s="3" t="s">
        <v>189</v>
      </c>
      <c r="B456" s="3">
        <v>25</v>
      </c>
      <c r="C456" s="3" t="s">
        <v>236</v>
      </c>
      <c r="D456" s="3" t="s">
        <v>237</v>
      </c>
      <c r="E456" s="3"/>
      <c r="F456" s="3">
        <v>1</v>
      </c>
      <c r="G456" s="3" t="s">
        <v>12</v>
      </c>
      <c r="H456" s="3"/>
      <c r="I456" s="3">
        <v>1</v>
      </c>
    </row>
    <row r="457" spans="1:9" x14ac:dyDescent="0.25">
      <c r="A457" s="3" t="s">
        <v>189</v>
      </c>
      <c r="B457" s="3">
        <v>25</v>
      </c>
      <c r="C457" s="3" t="s">
        <v>236</v>
      </c>
      <c r="D457" s="3" t="s">
        <v>237</v>
      </c>
      <c r="E457" s="3"/>
      <c r="F457" s="3">
        <v>2</v>
      </c>
      <c r="G457" s="3" t="s">
        <v>13</v>
      </c>
      <c r="H457" s="3"/>
      <c r="I457" s="3">
        <v>1</v>
      </c>
    </row>
    <row r="458" spans="1:9" x14ac:dyDescent="0.25">
      <c r="A458" s="4" t="s">
        <v>189</v>
      </c>
      <c r="B458" s="4">
        <v>26</v>
      </c>
      <c r="C458" s="4" t="s">
        <v>238</v>
      </c>
      <c r="D458" s="4" t="s">
        <v>239</v>
      </c>
      <c r="E458" s="4"/>
      <c r="F458" s="4">
        <v>1</v>
      </c>
      <c r="G458" s="4" t="s">
        <v>12</v>
      </c>
      <c r="H458" s="4"/>
      <c r="I458" s="4">
        <v>1</v>
      </c>
    </row>
    <row r="459" spans="1:9" x14ac:dyDescent="0.25">
      <c r="A459" s="4" t="s">
        <v>189</v>
      </c>
      <c r="B459" s="4">
        <v>26</v>
      </c>
      <c r="C459" s="4" t="s">
        <v>238</v>
      </c>
      <c r="D459" s="4" t="s">
        <v>239</v>
      </c>
      <c r="E459" s="4"/>
      <c r="F459" s="4">
        <v>2</v>
      </c>
      <c r="G459" s="4" t="s">
        <v>13</v>
      </c>
      <c r="H459" s="4"/>
      <c r="I459" s="4">
        <v>1</v>
      </c>
    </row>
    <row r="460" spans="1:9" x14ac:dyDescent="0.25">
      <c r="A460" s="3" t="s">
        <v>189</v>
      </c>
      <c r="B460" s="3">
        <v>27</v>
      </c>
      <c r="C460" s="3" t="s">
        <v>240</v>
      </c>
      <c r="D460" s="3" t="s">
        <v>241</v>
      </c>
      <c r="E460" s="3"/>
      <c r="F460" s="3">
        <v>1</v>
      </c>
      <c r="G460" s="3" t="s">
        <v>12</v>
      </c>
      <c r="H460" s="3"/>
      <c r="I460" s="3">
        <v>1</v>
      </c>
    </row>
    <row r="461" spans="1:9" x14ac:dyDescent="0.25">
      <c r="A461" s="3" t="s">
        <v>189</v>
      </c>
      <c r="B461" s="3">
        <v>27</v>
      </c>
      <c r="C461" s="3" t="s">
        <v>240</v>
      </c>
      <c r="D461" s="3" t="s">
        <v>241</v>
      </c>
      <c r="E461" s="3"/>
      <c r="F461" s="3">
        <v>2</v>
      </c>
      <c r="G461" s="3" t="s">
        <v>13</v>
      </c>
      <c r="H461" s="3"/>
      <c r="I461" s="3">
        <v>1</v>
      </c>
    </row>
    <row r="462" spans="1:9" x14ac:dyDescent="0.25">
      <c r="A462" s="4" t="s">
        <v>189</v>
      </c>
      <c r="B462" s="4">
        <v>28</v>
      </c>
      <c r="C462" s="4" t="s">
        <v>242</v>
      </c>
      <c r="D462" s="4" t="s">
        <v>243</v>
      </c>
      <c r="E462" s="4"/>
      <c r="F462" s="4">
        <v>1</v>
      </c>
      <c r="G462" s="4" t="s">
        <v>12</v>
      </c>
      <c r="H462" s="4"/>
      <c r="I462" s="4">
        <v>1</v>
      </c>
    </row>
    <row r="463" spans="1:9" x14ac:dyDescent="0.25">
      <c r="A463" s="4" t="s">
        <v>189</v>
      </c>
      <c r="B463" s="4">
        <v>28</v>
      </c>
      <c r="C463" s="4" t="s">
        <v>242</v>
      </c>
      <c r="D463" s="4" t="s">
        <v>243</v>
      </c>
      <c r="E463" s="4"/>
      <c r="F463" s="4">
        <v>2</v>
      </c>
      <c r="G463" s="4" t="s">
        <v>13</v>
      </c>
      <c r="H463" s="4"/>
      <c r="I463" s="4">
        <v>1</v>
      </c>
    </row>
    <row r="464" spans="1:9" x14ac:dyDescent="0.25">
      <c r="A464" s="3" t="s">
        <v>189</v>
      </c>
      <c r="B464" s="3">
        <v>29</v>
      </c>
      <c r="C464" s="3" t="s">
        <v>244</v>
      </c>
      <c r="D464" s="3" t="s">
        <v>245</v>
      </c>
      <c r="E464" s="3"/>
      <c r="F464" s="3">
        <v>1</v>
      </c>
      <c r="G464" s="3" t="s">
        <v>12</v>
      </c>
      <c r="H464" s="3"/>
      <c r="I464" s="3">
        <v>1</v>
      </c>
    </row>
    <row r="465" spans="1:9" x14ac:dyDescent="0.25">
      <c r="A465" s="3" t="s">
        <v>189</v>
      </c>
      <c r="B465" s="3">
        <v>29</v>
      </c>
      <c r="C465" s="3" t="s">
        <v>244</v>
      </c>
      <c r="D465" s="3" t="s">
        <v>245</v>
      </c>
      <c r="E465" s="3"/>
      <c r="F465" s="3">
        <v>2</v>
      </c>
      <c r="G465" s="3" t="s">
        <v>13</v>
      </c>
      <c r="H465" s="3"/>
      <c r="I465" s="3">
        <v>1</v>
      </c>
    </row>
    <row r="466" spans="1:9" x14ac:dyDescent="0.25">
      <c r="A466" s="4" t="s">
        <v>189</v>
      </c>
      <c r="B466" s="4">
        <v>30</v>
      </c>
      <c r="C466" s="4" t="s">
        <v>246</v>
      </c>
      <c r="D466" s="4" t="s">
        <v>247</v>
      </c>
      <c r="E466" s="4"/>
      <c r="F466" s="4">
        <v>1</v>
      </c>
      <c r="G466" s="4" t="s">
        <v>12</v>
      </c>
      <c r="H466" s="4"/>
      <c r="I466" s="4">
        <v>1</v>
      </c>
    </row>
    <row r="467" spans="1:9" x14ac:dyDescent="0.25">
      <c r="A467" s="4" t="s">
        <v>189</v>
      </c>
      <c r="B467" s="4">
        <v>30</v>
      </c>
      <c r="C467" s="4" t="s">
        <v>246</v>
      </c>
      <c r="D467" s="4" t="s">
        <v>247</v>
      </c>
      <c r="E467" s="4"/>
      <c r="F467" s="4">
        <v>2</v>
      </c>
      <c r="G467" s="4" t="s">
        <v>13</v>
      </c>
      <c r="H467" s="4"/>
      <c r="I467" s="4">
        <v>1</v>
      </c>
    </row>
    <row r="468" spans="1:9" x14ac:dyDescent="0.25">
      <c r="A468" s="3" t="s">
        <v>189</v>
      </c>
      <c r="B468" s="3">
        <v>31</v>
      </c>
      <c r="C468" s="3" t="s">
        <v>248</v>
      </c>
      <c r="D468" s="3" t="s">
        <v>249</v>
      </c>
      <c r="E468" s="3"/>
      <c r="F468" s="3">
        <v>1</v>
      </c>
      <c r="G468" s="3" t="s">
        <v>12</v>
      </c>
      <c r="H468" s="3"/>
      <c r="I468" s="3">
        <v>1</v>
      </c>
    </row>
    <row r="469" spans="1:9" x14ac:dyDescent="0.25">
      <c r="A469" s="3" t="s">
        <v>189</v>
      </c>
      <c r="B469" s="3">
        <v>31</v>
      </c>
      <c r="C469" s="3" t="s">
        <v>248</v>
      </c>
      <c r="D469" s="3" t="s">
        <v>249</v>
      </c>
      <c r="E469" s="3"/>
      <c r="F469" s="3">
        <v>2</v>
      </c>
      <c r="G469" s="3" t="s">
        <v>13</v>
      </c>
      <c r="H469" s="3"/>
      <c r="I469" s="3">
        <v>1</v>
      </c>
    </row>
    <row r="470" spans="1:9" x14ac:dyDescent="0.25">
      <c r="A470" s="4" t="s">
        <v>189</v>
      </c>
      <c r="B470" s="4">
        <v>32</v>
      </c>
      <c r="C470" s="4" t="s">
        <v>250</v>
      </c>
      <c r="D470" s="4" t="s">
        <v>251</v>
      </c>
      <c r="E470" s="4"/>
      <c r="F470" s="4">
        <v>1</v>
      </c>
      <c r="G470" s="4" t="s">
        <v>12</v>
      </c>
      <c r="H470" s="4"/>
      <c r="I470" s="4">
        <v>1</v>
      </c>
    </row>
    <row r="471" spans="1:9" x14ac:dyDescent="0.25">
      <c r="A471" s="4" t="s">
        <v>189</v>
      </c>
      <c r="B471" s="4">
        <v>32</v>
      </c>
      <c r="C471" s="4" t="s">
        <v>250</v>
      </c>
      <c r="D471" s="4" t="s">
        <v>251</v>
      </c>
      <c r="E471" s="4"/>
      <c r="F471" s="4">
        <v>2</v>
      </c>
      <c r="G471" s="4" t="s">
        <v>13</v>
      </c>
      <c r="H471" s="4"/>
      <c r="I471" s="4">
        <v>1</v>
      </c>
    </row>
    <row r="472" spans="1:9" x14ac:dyDescent="0.25">
      <c r="A472" s="3" t="s">
        <v>189</v>
      </c>
      <c r="B472" s="3">
        <v>33</v>
      </c>
      <c r="C472" s="3" t="s">
        <v>252</v>
      </c>
      <c r="D472" s="3" t="s">
        <v>253</v>
      </c>
      <c r="E472" s="3"/>
      <c r="F472" s="3">
        <v>1</v>
      </c>
      <c r="G472" s="3" t="s">
        <v>12</v>
      </c>
      <c r="H472" s="3"/>
      <c r="I472" s="3">
        <v>1</v>
      </c>
    </row>
    <row r="473" spans="1:9" x14ac:dyDescent="0.25">
      <c r="A473" s="3" t="s">
        <v>189</v>
      </c>
      <c r="B473" s="3">
        <v>33</v>
      </c>
      <c r="C473" s="3" t="s">
        <v>252</v>
      </c>
      <c r="D473" s="3" t="s">
        <v>253</v>
      </c>
      <c r="E473" s="3"/>
      <c r="F473" s="3">
        <v>2</v>
      </c>
      <c r="G473" s="3" t="s">
        <v>13</v>
      </c>
      <c r="H473" s="3"/>
      <c r="I473" s="3">
        <v>1</v>
      </c>
    </row>
    <row r="474" spans="1:9" x14ac:dyDescent="0.25">
      <c r="A474" s="4" t="s">
        <v>189</v>
      </c>
      <c r="B474" s="4">
        <v>34</v>
      </c>
      <c r="C474" s="4" t="s">
        <v>254</v>
      </c>
      <c r="D474" s="4" t="s">
        <v>255</v>
      </c>
      <c r="E474" s="4"/>
      <c r="F474" s="4">
        <v>1</v>
      </c>
      <c r="G474" s="4" t="s">
        <v>12</v>
      </c>
      <c r="H474" s="4"/>
      <c r="I474" s="4">
        <v>1</v>
      </c>
    </row>
    <row r="475" spans="1:9" x14ac:dyDescent="0.25">
      <c r="A475" s="4" t="s">
        <v>189</v>
      </c>
      <c r="B475" s="4">
        <v>34</v>
      </c>
      <c r="C475" s="4" t="s">
        <v>254</v>
      </c>
      <c r="D475" s="4" t="s">
        <v>255</v>
      </c>
      <c r="E475" s="4"/>
      <c r="F475" s="4">
        <v>2</v>
      </c>
      <c r="G475" s="4" t="s">
        <v>13</v>
      </c>
      <c r="H475" s="4"/>
      <c r="I475" s="4">
        <v>1</v>
      </c>
    </row>
    <row r="476" spans="1:9" x14ac:dyDescent="0.25">
      <c r="A476" s="3" t="s">
        <v>189</v>
      </c>
      <c r="B476" s="3">
        <v>35</v>
      </c>
      <c r="C476" s="3" t="s">
        <v>256</v>
      </c>
      <c r="D476" s="3" t="s">
        <v>257</v>
      </c>
      <c r="E476" s="3"/>
      <c r="F476" s="3">
        <v>1</v>
      </c>
      <c r="G476" s="3" t="s">
        <v>12</v>
      </c>
      <c r="H476" s="3"/>
      <c r="I476" s="3">
        <v>1</v>
      </c>
    </row>
    <row r="477" spans="1:9" x14ac:dyDescent="0.25">
      <c r="A477" s="3" t="s">
        <v>189</v>
      </c>
      <c r="B477" s="3">
        <v>35</v>
      </c>
      <c r="C477" s="3" t="s">
        <v>256</v>
      </c>
      <c r="D477" s="3" t="s">
        <v>257</v>
      </c>
      <c r="E477" s="3"/>
      <c r="F477" s="3">
        <v>2</v>
      </c>
      <c r="G477" s="3" t="s">
        <v>13</v>
      </c>
      <c r="H477" s="3"/>
      <c r="I477" s="3">
        <v>1</v>
      </c>
    </row>
    <row r="478" spans="1:9" x14ac:dyDescent="0.25">
      <c r="A478" s="4" t="s">
        <v>189</v>
      </c>
      <c r="B478" s="4">
        <v>36</v>
      </c>
      <c r="C478" s="4" t="s">
        <v>258</v>
      </c>
      <c r="D478" s="4" t="s">
        <v>259</v>
      </c>
      <c r="E478" s="4"/>
      <c r="F478" s="4">
        <v>1</v>
      </c>
      <c r="G478" s="4" t="s">
        <v>12</v>
      </c>
      <c r="H478" s="4"/>
      <c r="I478" s="4">
        <v>1</v>
      </c>
    </row>
    <row r="479" spans="1:9" x14ac:dyDescent="0.25">
      <c r="A479" s="4" t="s">
        <v>189</v>
      </c>
      <c r="B479" s="4">
        <v>36</v>
      </c>
      <c r="C479" s="4" t="s">
        <v>258</v>
      </c>
      <c r="D479" s="4" t="s">
        <v>259</v>
      </c>
      <c r="E479" s="4"/>
      <c r="F479" s="4">
        <v>2</v>
      </c>
      <c r="G479" s="4" t="s">
        <v>13</v>
      </c>
      <c r="H479" s="4"/>
      <c r="I479" s="4">
        <v>1</v>
      </c>
    </row>
    <row r="480" spans="1:9" x14ac:dyDescent="0.25">
      <c r="A480" s="3" t="s">
        <v>189</v>
      </c>
      <c r="B480" s="3">
        <v>37</v>
      </c>
      <c r="C480" s="3" t="s">
        <v>260</v>
      </c>
      <c r="D480" s="3" t="s">
        <v>261</v>
      </c>
      <c r="E480" s="3"/>
      <c r="F480" s="3">
        <v>1</v>
      </c>
      <c r="G480" s="3" t="s">
        <v>12</v>
      </c>
      <c r="H480" s="3"/>
      <c r="I480" s="3">
        <v>1</v>
      </c>
    </row>
    <row r="481" spans="1:9" x14ac:dyDescent="0.25">
      <c r="A481" s="3" t="s">
        <v>189</v>
      </c>
      <c r="B481" s="3">
        <v>37</v>
      </c>
      <c r="C481" s="3" t="s">
        <v>260</v>
      </c>
      <c r="D481" s="3" t="s">
        <v>261</v>
      </c>
      <c r="E481" s="3"/>
      <c r="F481" s="3">
        <v>2</v>
      </c>
      <c r="G481" s="3" t="s">
        <v>13</v>
      </c>
      <c r="H481" s="3"/>
      <c r="I481" s="3">
        <v>1</v>
      </c>
    </row>
    <row r="482" spans="1:9" x14ac:dyDescent="0.25">
      <c r="A482" s="4" t="s">
        <v>189</v>
      </c>
      <c r="B482" s="4">
        <v>38</v>
      </c>
      <c r="C482" s="4" t="s">
        <v>262</v>
      </c>
      <c r="D482" s="4" t="s">
        <v>263</v>
      </c>
      <c r="E482" s="4"/>
      <c r="F482" s="4">
        <v>1</v>
      </c>
      <c r="G482" s="4" t="s">
        <v>12</v>
      </c>
      <c r="H482" s="4"/>
      <c r="I482" s="4">
        <v>1</v>
      </c>
    </row>
    <row r="483" spans="1:9" x14ac:dyDescent="0.25">
      <c r="A483" s="4" t="s">
        <v>189</v>
      </c>
      <c r="B483" s="4">
        <v>38</v>
      </c>
      <c r="C483" s="4" t="s">
        <v>262</v>
      </c>
      <c r="D483" s="4" t="s">
        <v>263</v>
      </c>
      <c r="E483" s="4"/>
      <c r="F483" s="4">
        <v>2</v>
      </c>
      <c r="G483" s="4" t="s">
        <v>13</v>
      </c>
      <c r="H483" s="4"/>
      <c r="I483" s="4">
        <v>1</v>
      </c>
    </row>
    <row r="484" spans="1:9" x14ac:dyDescent="0.25">
      <c r="A484" s="3" t="s">
        <v>189</v>
      </c>
      <c r="B484" s="3">
        <v>39</v>
      </c>
      <c r="C484" s="3" t="s">
        <v>264</v>
      </c>
      <c r="D484" s="3" t="s">
        <v>265</v>
      </c>
      <c r="E484" s="3"/>
      <c r="F484" s="3">
        <v>1</v>
      </c>
      <c r="G484" s="3" t="s">
        <v>12</v>
      </c>
      <c r="H484" s="3"/>
      <c r="I484" s="3">
        <v>1</v>
      </c>
    </row>
    <row r="485" spans="1:9" x14ac:dyDescent="0.25">
      <c r="A485" s="3" t="s">
        <v>189</v>
      </c>
      <c r="B485" s="3">
        <v>39</v>
      </c>
      <c r="C485" s="3" t="s">
        <v>264</v>
      </c>
      <c r="D485" s="3" t="s">
        <v>265</v>
      </c>
      <c r="E485" s="3"/>
      <c r="F485" s="3">
        <v>2</v>
      </c>
      <c r="G485" s="3" t="s">
        <v>13</v>
      </c>
      <c r="H485" s="3"/>
      <c r="I485" s="3">
        <v>1</v>
      </c>
    </row>
    <row r="486" spans="1:9" x14ac:dyDescent="0.25">
      <c r="A486" s="4" t="s">
        <v>189</v>
      </c>
      <c r="B486" s="4">
        <v>40</v>
      </c>
      <c r="C486" s="4" t="s">
        <v>266</v>
      </c>
      <c r="D486" s="4" t="s">
        <v>267</v>
      </c>
      <c r="E486" s="4"/>
      <c r="F486" s="4">
        <v>1</v>
      </c>
      <c r="G486" s="4" t="s">
        <v>12</v>
      </c>
      <c r="H486" s="4"/>
      <c r="I486" s="4">
        <v>1</v>
      </c>
    </row>
    <row r="487" spans="1:9" x14ac:dyDescent="0.25">
      <c r="A487" s="4" t="s">
        <v>189</v>
      </c>
      <c r="B487" s="4">
        <v>40</v>
      </c>
      <c r="C487" s="4" t="s">
        <v>266</v>
      </c>
      <c r="D487" s="4" t="s">
        <v>267</v>
      </c>
      <c r="E487" s="4"/>
      <c r="F487" s="4">
        <v>2</v>
      </c>
      <c r="G487" s="4" t="s">
        <v>13</v>
      </c>
      <c r="H487" s="4"/>
      <c r="I487" s="4">
        <v>1</v>
      </c>
    </row>
    <row r="488" spans="1:9" x14ac:dyDescent="0.25">
      <c r="A488" s="3" t="s">
        <v>189</v>
      </c>
      <c r="B488" s="3">
        <v>41</v>
      </c>
      <c r="C488" s="3" t="s">
        <v>268</v>
      </c>
      <c r="D488" s="3" t="s">
        <v>269</v>
      </c>
      <c r="E488" s="3"/>
      <c r="F488" s="3">
        <v>1</v>
      </c>
      <c r="G488" s="3" t="s">
        <v>12</v>
      </c>
      <c r="H488" s="3"/>
      <c r="I488" s="3">
        <v>1</v>
      </c>
    </row>
    <row r="489" spans="1:9" x14ac:dyDescent="0.25">
      <c r="A489" s="3" t="s">
        <v>189</v>
      </c>
      <c r="B489" s="3">
        <v>41</v>
      </c>
      <c r="C489" s="3" t="s">
        <v>268</v>
      </c>
      <c r="D489" s="3" t="s">
        <v>269</v>
      </c>
      <c r="E489" s="3"/>
      <c r="F489" s="3">
        <v>2</v>
      </c>
      <c r="G489" s="3" t="s">
        <v>13</v>
      </c>
      <c r="H489" s="3"/>
      <c r="I489" s="3">
        <v>1</v>
      </c>
    </row>
    <row r="490" spans="1:9" x14ac:dyDescent="0.25">
      <c r="A490" s="4" t="s">
        <v>189</v>
      </c>
      <c r="B490" s="4">
        <v>42</v>
      </c>
      <c r="C490" s="4" t="s">
        <v>270</v>
      </c>
      <c r="D490" s="4" t="s">
        <v>271</v>
      </c>
      <c r="E490" s="4"/>
      <c r="F490" s="4">
        <v>1</v>
      </c>
      <c r="G490" s="4" t="s">
        <v>12</v>
      </c>
      <c r="H490" s="4"/>
      <c r="I490" s="4">
        <v>1</v>
      </c>
    </row>
    <row r="491" spans="1:9" x14ac:dyDescent="0.25">
      <c r="A491" s="4" t="s">
        <v>189</v>
      </c>
      <c r="B491" s="4">
        <v>42</v>
      </c>
      <c r="C491" s="4" t="s">
        <v>270</v>
      </c>
      <c r="D491" s="4" t="s">
        <v>271</v>
      </c>
      <c r="E491" s="4"/>
      <c r="F491" s="4">
        <v>2</v>
      </c>
      <c r="G491" s="4" t="s">
        <v>13</v>
      </c>
      <c r="H491" s="4"/>
      <c r="I491" s="4">
        <v>1</v>
      </c>
    </row>
    <row r="492" spans="1:9" x14ac:dyDescent="0.25">
      <c r="A492" s="3" t="s">
        <v>189</v>
      </c>
      <c r="B492" s="3">
        <v>43</v>
      </c>
      <c r="C492" s="3" t="s">
        <v>272</v>
      </c>
      <c r="D492" s="3" t="s">
        <v>273</v>
      </c>
      <c r="E492" s="3"/>
      <c r="F492" s="3">
        <v>1</v>
      </c>
      <c r="G492" s="3" t="s">
        <v>12</v>
      </c>
      <c r="H492" s="3"/>
      <c r="I492" s="3">
        <v>1</v>
      </c>
    </row>
    <row r="493" spans="1:9" x14ac:dyDescent="0.25">
      <c r="A493" s="3" t="s">
        <v>189</v>
      </c>
      <c r="B493" s="3">
        <v>43</v>
      </c>
      <c r="C493" s="3" t="s">
        <v>272</v>
      </c>
      <c r="D493" s="3" t="s">
        <v>273</v>
      </c>
      <c r="E493" s="3"/>
      <c r="F493" s="3">
        <v>2</v>
      </c>
      <c r="G493" s="3" t="s">
        <v>13</v>
      </c>
      <c r="H493" s="3"/>
      <c r="I493" s="3">
        <v>1</v>
      </c>
    </row>
    <row r="494" spans="1:9" x14ac:dyDescent="0.25">
      <c r="A494" s="4" t="s">
        <v>189</v>
      </c>
      <c r="B494" s="4">
        <v>44</v>
      </c>
      <c r="C494" s="4" t="s">
        <v>532</v>
      </c>
      <c r="D494" s="4" t="s">
        <v>533</v>
      </c>
      <c r="E494" s="4"/>
      <c r="F494" s="4">
        <v>1</v>
      </c>
      <c r="G494" s="4" t="s">
        <v>12</v>
      </c>
      <c r="H494" s="4"/>
      <c r="I494" s="4">
        <v>1</v>
      </c>
    </row>
    <row r="495" spans="1:9" x14ac:dyDescent="0.25">
      <c r="A495" s="4" t="s">
        <v>189</v>
      </c>
      <c r="B495" s="4">
        <v>44</v>
      </c>
      <c r="C495" s="4" t="s">
        <v>532</v>
      </c>
      <c r="D495" s="4" t="s">
        <v>533</v>
      </c>
      <c r="E495" s="4"/>
      <c r="F495" s="4">
        <v>2</v>
      </c>
      <c r="G495" s="4" t="s">
        <v>13</v>
      </c>
      <c r="H495" s="4"/>
      <c r="I495" s="4">
        <v>1</v>
      </c>
    </row>
    <row r="496" spans="1:9" x14ac:dyDescent="0.25">
      <c r="A496" s="3" t="s">
        <v>189</v>
      </c>
      <c r="B496" s="3">
        <v>45</v>
      </c>
      <c r="C496" s="3" t="s">
        <v>556</v>
      </c>
      <c r="D496" s="3" t="s">
        <v>560</v>
      </c>
      <c r="E496" s="3"/>
      <c r="F496" s="3">
        <v>1</v>
      </c>
      <c r="G496" s="3" t="s">
        <v>12</v>
      </c>
      <c r="H496" s="3"/>
      <c r="I496" s="3">
        <v>1</v>
      </c>
    </row>
    <row r="497" spans="1:9" x14ac:dyDescent="0.25">
      <c r="A497" s="3" t="s">
        <v>189</v>
      </c>
      <c r="B497" s="3">
        <v>45</v>
      </c>
      <c r="C497" s="3" t="s">
        <v>556</v>
      </c>
      <c r="D497" s="3" t="s">
        <v>560</v>
      </c>
      <c r="E497" s="3"/>
      <c r="F497" s="3">
        <v>2</v>
      </c>
      <c r="G497" s="3" t="s">
        <v>13</v>
      </c>
      <c r="H497" s="3"/>
      <c r="I497" s="3">
        <v>1</v>
      </c>
    </row>
    <row r="498" spans="1:9" x14ac:dyDescent="0.25">
      <c r="A498" s="4" t="s">
        <v>189</v>
      </c>
      <c r="B498" s="4">
        <v>45</v>
      </c>
      <c r="C498" s="4" t="s">
        <v>557</v>
      </c>
      <c r="D498" s="4" t="s">
        <v>539</v>
      </c>
      <c r="E498" s="4"/>
      <c r="F498" s="4">
        <v>1</v>
      </c>
      <c r="G498" s="4" t="s">
        <v>12</v>
      </c>
      <c r="H498" s="4"/>
      <c r="I498" s="4">
        <v>1</v>
      </c>
    </row>
    <row r="499" spans="1:9" x14ac:dyDescent="0.25">
      <c r="A499" s="4" t="s">
        <v>189</v>
      </c>
      <c r="B499" s="4">
        <v>45</v>
      </c>
      <c r="C499" s="4" t="s">
        <v>557</v>
      </c>
      <c r="D499" s="4" t="s">
        <v>539</v>
      </c>
      <c r="E499" s="4"/>
      <c r="F499" s="4">
        <v>2</v>
      </c>
      <c r="G499" s="4" t="s">
        <v>13</v>
      </c>
      <c r="H499" s="4"/>
      <c r="I499" s="4">
        <v>1</v>
      </c>
    </row>
    <row r="500" spans="1:9" x14ac:dyDescent="0.25">
      <c r="A500" s="3" t="s">
        <v>189</v>
      </c>
      <c r="B500" s="3">
        <v>45</v>
      </c>
      <c r="C500" s="3" t="s">
        <v>558</v>
      </c>
      <c r="D500" s="3" t="s">
        <v>561</v>
      </c>
      <c r="E500" s="3"/>
      <c r="F500" s="3">
        <v>1</v>
      </c>
      <c r="G500" s="3" t="s">
        <v>12</v>
      </c>
      <c r="H500" s="3"/>
      <c r="I500" s="3">
        <v>1</v>
      </c>
    </row>
    <row r="501" spans="1:9" x14ac:dyDescent="0.25">
      <c r="A501" s="3" t="s">
        <v>189</v>
      </c>
      <c r="B501" s="3">
        <v>45</v>
      </c>
      <c r="C501" s="3" t="s">
        <v>558</v>
      </c>
      <c r="D501" s="3" t="s">
        <v>561</v>
      </c>
      <c r="E501" s="3"/>
      <c r="F501" s="3">
        <v>2</v>
      </c>
      <c r="G501" s="3" t="s">
        <v>13</v>
      </c>
      <c r="H501" s="3"/>
      <c r="I501" s="3">
        <v>1</v>
      </c>
    </row>
    <row r="502" spans="1:9" x14ac:dyDescent="0.25">
      <c r="A502" s="4" t="s">
        <v>189</v>
      </c>
      <c r="B502" s="4">
        <v>45</v>
      </c>
      <c r="C502" s="4" t="s">
        <v>559</v>
      </c>
      <c r="D502" s="4" t="s">
        <v>562</v>
      </c>
      <c r="E502" s="4"/>
      <c r="F502" s="4">
        <v>1</v>
      </c>
      <c r="G502" s="4" t="s">
        <v>12</v>
      </c>
      <c r="H502" s="4"/>
      <c r="I502" s="4">
        <v>1</v>
      </c>
    </row>
    <row r="503" spans="1:9" x14ac:dyDescent="0.25">
      <c r="A503" s="4" t="s">
        <v>189</v>
      </c>
      <c r="B503" s="4">
        <v>45</v>
      </c>
      <c r="C503" s="4" t="s">
        <v>559</v>
      </c>
      <c r="D503" s="4" t="s">
        <v>562</v>
      </c>
      <c r="E503" s="4"/>
      <c r="F503" s="4">
        <v>2</v>
      </c>
      <c r="G503" s="4" t="s">
        <v>13</v>
      </c>
      <c r="H503" s="4"/>
      <c r="I503" s="4">
        <v>1</v>
      </c>
    </row>
    <row r="504" spans="1:9" x14ac:dyDescent="0.25">
      <c r="A504" s="3" t="s">
        <v>189</v>
      </c>
      <c r="B504" s="3">
        <v>46</v>
      </c>
      <c r="C504" s="3" t="s">
        <v>540</v>
      </c>
      <c r="D504" s="3" t="s">
        <v>541</v>
      </c>
      <c r="E504" s="3"/>
      <c r="F504" s="3">
        <v>1</v>
      </c>
      <c r="G504" s="3" t="s">
        <v>12</v>
      </c>
      <c r="H504" s="3"/>
      <c r="I504" s="3">
        <v>1</v>
      </c>
    </row>
    <row r="505" spans="1:9" x14ac:dyDescent="0.25">
      <c r="A505" s="3" t="s">
        <v>189</v>
      </c>
      <c r="B505" s="3">
        <v>46</v>
      </c>
      <c r="C505" s="3" t="s">
        <v>540</v>
      </c>
      <c r="D505" s="3" t="s">
        <v>541</v>
      </c>
      <c r="E505" s="3"/>
      <c r="F505" s="3">
        <v>2</v>
      </c>
      <c r="G505" s="3" t="s">
        <v>13</v>
      </c>
      <c r="H505" s="3"/>
      <c r="I505" s="3">
        <v>1</v>
      </c>
    </row>
    <row r="506" spans="1:9" x14ac:dyDescent="0.25">
      <c r="A506" s="4" t="s">
        <v>189</v>
      </c>
      <c r="B506" s="4">
        <v>47</v>
      </c>
      <c r="C506" s="4" t="s">
        <v>542</v>
      </c>
      <c r="D506" s="4" t="s">
        <v>543</v>
      </c>
      <c r="E506" s="4"/>
      <c r="F506" s="4">
        <v>1</v>
      </c>
      <c r="G506" s="4" t="s">
        <v>12</v>
      </c>
      <c r="H506" s="4"/>
      <c r="I506" s="4">
        <v>1</v>
      </c>
    </row>
    <row r="507" spans="1:9" x14ac:dyDescent="0.25">
      <c r="A507" s="4" t="s">
        <v>189</v>
      </c>
      <c r="B507" s="4">
        <v>47</v>
      </c>
      <c r="C507" s="4" t="s">
        <v>542</v>
      </c>
      <c r="D507" s="4" t="s">
        <v>543</v>
      </c>
      <c r="E507" s="4"/>
      <c r="F507" s="4">
        <v>2</v>
      </c>
      <c r="G507" s="4" t="s">
        <v>13</v>
      </c>
      <c r="H507" s="4"/>
      <c r="I507" s="4">
        <v>1</v>
      </c>
    </row>
    <row r="508" spans="1:9" x14ac:dyDescent="0.25">
      <c r="A508" s="3" t="s">
        <v>189</v>
      </c>
      <c r="B508" s="3">
        <v>48</v>
      </c>
      <c r="C508" s="3" t="s">
        <v>544</v>
      </c>
      <c r="D508" s="3" t="s">
        <v>545</v>
      </c>
      <c r="E508" s="3"/>
      <c r="F508" s="3">
        <v>1</v>
      </c>
      <c r="G508" s="3" t="s">
        <v>12</v>
      </c>
      <c r="H508" s="3"/>
      <c r="I508" s="3">
        <v>1</v>
      </c>
    </row>
    <row r="509" spans="1:9" x14ac:dyDescent="0.25">
      <c r="A509" s="3" t="s">
        <v>189</v>
      </c>
      <c r="B509" s="3">
        <v>48</v>
      </c>
      <c r="C509" s="3" t="s">
        <v>544</v>
      </c>
      <c r="D509" s="3" t="s">
        <v>545</v>
      </c>
      <c r="E509" s="3"/>
      <c r="F509" s="3">
        <v>2</v>
      </c>
      <c r="G509" s="3" t="s">
        <v>13</v>
      </c>
      <c r="H509" s="3"/>
      <c r="I509" s="3">
        <v>1</v>
      </c>
    </row>
    <row r="510" spans="1:9" x14ac:dyDescent="0.25">
      <c r="A510" s="4" t="s">
        <v>189</v>
      </c>
      <c r="B510" s="4">
        <v>49</v>
      </c>
      <c r="C510" s="4" t="s">
        <v>546</v>
      </c>
      <c r="D510" s="4" t="s">
        <v>547</v>
      </c>
      <c r="E510" s="4"/>
      <c r="F510" s="4">
        <v>1</v>
      </c>
      <c r="G510" s="4" t="s">
        <v>12</v>
      </c>
      <c r="H510" s="4"/>
      <c r="I510" s="4">
        <v>1</v>
      </c>
    </row>
    <row r="511" spans="1:9" x14ac:dyDescent="0.25">
      <c r="A511" s="4" t="s">
        <v>189</v>
      </c>
      <c r="B511" s="4">
        <v>49</v>
      </c>
      <c r="C511" s="4" t="s">
        <v>546</v>
      </c>
      <c r="D511" s="4" t="s">
        <v>547</v>
      </c>
      <c r="E511" s="4"/>
      <c r="F511" s="4">
        <v>2</v>
      </c>
      <c r="G511" s="4" t="s">
        <v>13</v>
      </c>
      <c r="H511" s="4"/>
      <c r="I511" s="4">
        <v>1</v>
      </c>
    </row>
    <row r="512" spans="1:9" x14ac:dyDescent="0.25">
      <c r="A512" s="3" t="s">
        <v>189</v>
      </c>
      <c r="B512" s="3">
        <v>50</v>
      </c>
      <c r="C512" s="3" t="s">
        <v>548</v>
      </c>
      <c r="D512" s="3" t="s">
        <v>549</v>
      </c>
      <c r="E512" s="3"/>
      <c r="F512" s="3">
        <v>1</v>
      </c>
      <c r="G512" s="3" t="s">
        <v>12</v>
      </c>
      <c r="H512" s="3"/>
      <c r="I512" s="3">
        <v>1</v>
      </c>
    </row>
    <row r="513" spans="1:9" x14ac:dyDescent="0.25">
      <c r="A513" s="3" t="s">
        <v>189</v>
      </c>
      <c r="B513" s="3">
        <v>50</v>
      </c>
      <c r="C513" s="3" t="s">
        <v>548</v>
      </c>
      <c r="D513" s="3" t="s">
        <v>549</v>
      </c>
      <c r="E513" s="3"/>
      <c r="F513" s="3">
        <v>2</v>
      </c>
      <c r="G513" s="3" t="s">
        <v>13</v>
      </c>
      <c r="H513" s="3"/>
      <c r="I513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Q457"/>
  <sheetViews>
    <sheetView tabSelected="1" zoomScale="85" zoomScaleNormal="85" workbookViewId="0">
      <selection activeCell="R460" sqref="R460"/>
    </sheetView>
  </sheetViews>
  <sheetFormatPr baseColWidth="10" defaultColWidth="8.85546875" defaultRowHeight="15" x14ac:dyDescent="0.25"/>
  <cols>
    <col min="1" max="1" width="17.140625" style="19" bestFit="1" customWidth="1"/>
    <col min="2" max="2" width="19.7109375" style="19" customWidth="1"/>
    <col min="3" max="3" width="76.85546875" customWidth="1"/>
    <col min="4" max="4" width="6.5703125" customWidth="1"/>
    <col min="5" max="5" width="38.85546875" customWidth="1"/>
    <col min="6" max="6" width="4.5703125" customWidth="1"/>
    <col min="7" max="7" width="15.28515625" style="18" customWidth="1"/>
    <col min="8" max="8" width="19.140625" customWidth="1"/>
    <col min="9" max="9" width="19.28515625" customWidth="1"/>
    <col min="10" max="16" width="32.85546875" customWidth="1"/>
    <col min="17" max="69" width="14.85546875" style="32" bestFit="1" customWidth="1"/>
  </cols>
  <sheetData>
    <row r="1" spans="1:69" s="29" customFormat="1" x14ac:dyDescent="0.25">
      <c r="A1" s="28" t="s">
        <v>1</v>
      </c>
      <c r="B1" s="28" t="s">
        <v>2</v>
      </c>
      <c r="C1" s="27" t="s">
        <v>3</v>
      </c>
      <c r="D1" s="27" t="s">
        <v>5</v>
      </c>
      <c r="E1" s="28" t="s">
        <v>6</v>
      </c>
      <c r="F1" s="28" t="s">
        <v>7</v>
      </c>
      <c r="G1" s="28" t="s">
        <v>487</v>
      </c>
      <c r="H1" s="28" t="s">
        <v>488</v>
      </c>
      <c r="I1" s="28">
        <v>2010</v>
      </c>
      <c r="J1" s="28">
        <v>2011</v>
      </c>
      <c r="K1" s="28">
        <v>2012</v>
      </c>
      <c r="L1" s="28">
        <v>2013</v>
      </c>
      <c r="M1" s="28">
        <v>2014</v>
      </c>
      <c r="N1" s="28">
        <v>2015</v>
      </c>
      <c r="O1" s="28">
        <v>2016</v>
      </c>
      <c r="P1" s="28">
        <v>2017</v>
      </c>
      <c r="Q1" s="28">
        <v>2018</v>
      </c>
      <c r="R1" s="28">
        <v>2019</v>
      </c>
      <c r="S1" s="28">
        <v>2020</v>
      </c>
      <c r="T1" s="28">
        <v>2021</v>
      </c>
      <c r="U1" s="28">
        <v>2022</v>
      </c>
      <c r="V1" s="28">
        <v>2023</v>
      </c>
      <c r="W1" s="28">
        <v>2024</v>
      </c>
      <c r="X1" s="28">
        <v>2025</v>
      </c>
      <c r="Y1" s="28">
        <v>2026</v>
      </c>
      <c r="Z1" s="28">
        <v>2027</v>
      </c>
      <c r="AA1" s="28">
        <v>2028</v>
      </c>
      <c r="AB1" s="28">
        <v>2029</v>
      </c>
      <c r="AC1" s="28">
        <v>2030</v>
      </c>
      <c r="AD1" s="28">
        <v>2031</v>
      </c>
      <c r="AE1" s="28">
        <v>2032</v>
      </c>
      <c r="AF1" s="28">
        <v>2033</v>
      </c>
      <c r="AG1" s="28">
        <v>2034</v>
      </c>
      <c r="AH1" s="28">
        <v>2035</v>
      </c>
      <c r="AI1" s="28">
        <v>2036</v>
      </c>
      <c r="AJ1" s="28">
        <v>2037</v>
      </c>
      <c r="AK1" s="28">
        <v>2038</v>
      </c>
      <c r="AL1" s="28">
        <v>2039</v>
      </c>
      <c r="AM1" s="28">
        <v>2040</v>
      </c>
      <c r="AN1" s="28">
        <v>2041</v>
      </c>
      <c r="AO1" s="28">
        <v>2042</v>
      </c>
      <c r="AP1" s="28">
        <v>2043</v>
      </c>
      <c r="AQ1" s="28">
        <v>2044</v>
      </c>
      <c r="AR1" s="28">
        <v>2045</v>
      </c>
      <c r="AS1" s="28">
        <v>2046</v>
      </c>
      <c r="AT1" s="28">
        <v>2047</v>
      </c>
      <c r="AU1" s="28">
        <v>2048</v>
      </c>
      <c r="AV1" s="28">
        <v>2049</v>
      </c>
      <c r="AW1" s="28">
        <v>2050</v>
      </c>
      <c r="AX1" s="28">
        <v>2051</v>
      </c>
      <c r="AY1" s="28">
        <v>2052</v>
      </c>
      <c r="AZ1" s="28">
        <v>2053</v>
      </c>
      <c r="BA1" s="28">
        <v>2054</v>
      </c>
      <c r="BB1" s="28">
        <v>2055</v>
      </c>
      <c r="BC1" s="28">
        <v>2056</v>
      </c>
      <c r="BD1" s="28">
        <v>2057</v>
      </c>
      <c r="BE1" s="28">
        <v>2058</v>
      </c>
      <c r="BF1" s="28">
        <v>2059</v>
      </c>
      <c r="BG1" s="28">
        <v>2060</v>
      </c>
      <c r="BH1" s="28">
        <v>2061</v>
      </c>
      <c r="BI1" s="28">
        <v>2062</v>
      </c>
      <c r="BJ1" s="28">
        <v>2063</v>
      </c>
      <c r="BK1" s="28">
        <v>2064</v>
      </c>
      <c r="BL1" s="28">
        <v>2065</v>
      </c>
      <c r="BM1" s="28">
        <v>2066</v>
      </c>
      <c r="BN1" s="28">
        <v>2067</v>
      </c>
      <c r="BO1" s="28">
        <v>2068</v>
      </c>
      <c r="BP1" s="28">
        <v>2069</v>
      </c>
      <c r="BQ1" s="28">
        <v>2070</v>
      </c>
    </row>
    <row r="2" spans="1:69" hidden="1" x14ac:dyDescent="0.25">
      <c r="A2" s="20">
        <v>1</v>
      </c>
      <c r="B2" s="20" t="s">
        <v>527</v>
      </c>
      <c r="C2" s="3" t="s">
        <v>528</v>
      </c>
      <c r="D2" s="3">
        <v>1</v>
      </c>
      <c r="E2" s="3" t="s">
        <v>489</v>
      </c>
      <c r="F2" s="3"/>
      <c r="G2" s="3" t="s">
        <v>490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idden="1" x14ac:dyDescent="0.25">
      <c r="A3" s="20">
        <v>1</v>
      </c>
      <c r="B3" s="20" t="s">
        <v>527</v>
      </c>
      <c r="C3" s="3" t="s">
        <v>528</v>
      </c>
      <c r="D3" s="3">
        <v>2</v>
      </c>
      <c r="E3" s="3" t="s">
        <v>491</v>
      </c>
      <c r="F3" s="3"/>
      <c r="G3" s="3" t="s">
        <v>490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idden="1" x14ac:dyDescent="0.25">
      <c r="A4" s="20">
        <v>1</v>
      </c>
      <c r="B4" s="20" t="s">
        <v>527</v>
      </c>
      <c r="C4" s="3" t="s">
        <v>528</v>
      </c>
      <c r="D4" s="3">
        <v>3</v>
      </c>
      <c r="E4" s="3" t="s">
        <v>492</v>
      </c>
      <c r="F4" s="3"/>
      <c r="G4" s="3" t="s">
        <v>490</v>
      </c>
      <c r="H4" s="3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idden="1" x14ac:dyDescent="0.25">
      <c r="A5" s="20">
        <v>1</v>
      </c>
      <c r="B5" s="20" t="s">
        <v>527</v>
      </c>
      <c r="C5" s="3" t="s">
        <v>528</v>
      </c>
      <c r="D5" s="3">
        <v>4</v>
      </c>
      <c r="E5" s="3" t="s">
        <v>493</v>
      </c>
      <c r="F5" s="3"/>
      <c r="G5" s="3" t="s">
        <v>490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hidden="1" x14ac:dyDescent="0.25">
      <c r="A6" s="20">
        <v>1</v>
      </c>
      <c r="B6" s="20" t="s">
        <v>527</v>
      </c>
      <c r="C6" s="3" t="s">
        <v>528</v>
      </c>
      <c r="D6" s="3">
        <v>5</v>
      </c>
      <c r="E6" s="3" t="s">
        <v>494</v>
      </c>
      <c r="F6" s="3"/>
      <c r="G6" s="3" t="s">
        <v>490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hidden="1" x14ac:dyDescent="0.25">
      <c r="A7" s="20">
        <v>1</v>
      </c>
      <c r="B7" s="20" t="s">
        <v>527</v>
      </c>
      <c r="C7" s="3" t="s">
        <v>528</v>
      </c>
      <c r="D7" s="3">
        <v>6</v>
      </c>
      <c r="E7" s="3" t="s">
        <v>495</v>
      </c>
      <c r="F7" s="3"/>
      <c r="G7" s="3" t="s">
        <v>500</v>
      </c>
      <c r="H7" s="3">
        <v>0</v>
      </c>
      <c r="I7" s="3">
        <v>99999</v>
      </c>
      <c r="J7" s="3">
        <v>99999</v>
      </c>
      <c r="K7" s="3">
        <v>99999</v>
      </c>
      <c r="L7" s="3">
        <v>99999</v>
      </c>
      <c r="M7" s="3">
        <v>99999</v>
      </c>
      <c r="N7" s="3">
        <v>99999</v>
      </c>
      <c r="O7" s="3">
        <v>99999</v>
      </c>
      <c r="P7" s="3">
        <v>99999</v>
      </c>
      <c r="Q7" s="3">
        <v>99999</v>
      </c>
      <c r="R7" s="3">
        <v>99999</v>
      </c>
      <c r="S7" s="3">
        <v>99999</v>
      </c>
      <c r="T7" s="3">
        <v>99999</v>
      </c>
      <c r="U7" s="3">
        <v>99999</v>
      </c>
      <c r="V7" s="3">
        <v>99999</v>
      </c>
      <c r="W7" s="3">
        <v>99999</v>
      </c>
      <c r="X7" s="3">
        <v>99999</v>
      </c>
      <c r="Y7" s="3">
        <v>99999</v>
      </c>
      <c r="Z7" s="3">
        <v>99999</v>
      </c>
      <c r="AA7" s="3">
        <v>99999</v>
      </c>
      <c r="AB7" s="3">
        <v>99999</v>
      </c>
      <c r="AC7" s="3">
        <v>99999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</row>
    <row r="8" spans="1:69" hidden="1" x14ac:dyDescent="0.25">
      <c r="A8" s="20">
        <v>1</v>
      </c>
      <c r="B8" s="20" t="s">
        <v>527</v>
      </c>
      <c r="C8" s="3" t="s">
        <v>528</v>
      </c>
      <c r="D8" s="3">
        <v>7</v>
      </c>
      <c r="E8" s="3" t="s">
        <v>496</v>
      </c>
      <c r="F8" s="3"/>
      <c r="G8" s="21" t="s">
        <v>490</v>
      </c>
      <c r="H8" s="22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hidden="1" x14ac:dyDescent="0.25">
      <c r="A9" s="20">
        <v>1</v>
      </c>
      <c r="B9" s="20" t="s">
        <v>527</v>
      </c>
      <c r="C9" s="3" t="s">
        <v>528</v>
      </c>
      <c r="D9" s="3">
        <v>8</v>
      </c>
      <c r="E9" s="3" t="s">
        <v>497</v>
      </c>
      <c r="F9" s="3"/>
      <c r="G9" s="3" t="s">
        <v>490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idden="1" x14ac:dyDescent="0.25">
      <c r="A10" s="20">
        <v>1</v>
      </c>
      <c r="B10" s="20" t="s">
        <v>527</v>
      </c>
      <c r="C10" s="3" t="s">
        <v>528</v>
      </c>
      <c r="D10" s="3">
        <v>9</v>
      </c>
      <c r="E10" s="3" t="s">
        <v>498</v>
      </c>
      <c r="F10" s="3"/>
      <c r="G10" s="3" t="s">
        <v>490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hidden="1" x14ac:dyDescent="0.25">
      <c r="A11" s="20">
        <v>1</v>
      </c>
      <c r="B11" s="20" t="s">
        <v>527</v>
      </c>
      <c r="C11" s="3" t="s">
        <v>528</v>
      </c>
      <c r="D11" s="3">
        <v>10</v>
      </c>
      <c r="E11" s="3" t="s">
        <v>499</v>
      </c>
      <c r="F11" s="3"/>
      <c r="G11" s="3" t="s">
        <v>490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s="17" customFormat="1" hidden="1" x14ac:dyDescent="0.25">
      <c r="A12" s="23">
        <v>2</v>
      </c>
      <c r="B12" s="23" t="s">
        <v>524</v>
      </c>
      <c r="C12" s="24" t="s">
        <v>11</v>
      </c>
      <c r="D12" s="24">
        <v>1</v>
      </c>
      <c r="E12" s="24" t="s">
        <v>489</v>
      </c>
      <c r="F12" s="24"/>
      <c r="G12" s="24" t="s">
        <v>490</v>
      </c>
      <c r="H12" s="24">
        <v>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</row>
    <row r="13" spans="1:69" s="17" customFormat="1" hidden="1" x14ac:dyDescent="0.25">
      <c r="A13" s="23">
        <v>2</v>
      </c>
      <c r="B13" s="23" t="s">
        <v>524</v>
      </c>
      <c r="C13" s="24" t="s">
        <v>11</v>
      </c>
      <c r="D13" s="24">
        <v>2</v>
      </c>
      <c r="E13" s="24" t="s">
        <v>491</v>
      </c>
      <c r="F13" s="24"/>
      <c r="G13" s="24" t="s">
        <v>490</v>
      </c>
      <c r="H13" s="24">
        <v>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</row>
    <row r="14" spans="1:69" s="17" customFormat="1" hidden="1" x14ac:dyDescent="0.25">
      <c r="A14" s="23">
        <v>2</v>
      </c>
      <c r="B14" s="23" t="s">
        <v>524</v>
      </c>
      <c r="C14" s="24" t="s">
        <v>11</v>
      </c>
      <c r="D14" s="24">
        <v>3</v>
      </c>
      <c r="E14" s="24" t="s">
        <v>492</v>
      </c>
      <c r="F14" s="24"/>
      <c r="G14" s="24" t="s">
        <v>490</v>
      </c>
      <c r="H14" s="24">
        <v>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</row>
    <row r="15" spans="1:69" s="17" customFormat="1" hidden="1" x14ac:dyDescent="0.25">
      <c r="A15" s="23">
        <v>2</v>
      </c>
      <c r="B15" s="23" t="s">
        <v>524</v>
      </c>
      <c r="C15" s="24" t="s">
        <v>11</v>
      </c>
      <c r="D15" s="24">
        <v>4</v>
      </c>
      <c r="E15" s="24" t="s">
        <v>493</v>
      </c>
      <c r="F15" s="24"/>
      <c r="G15" s="24" t="s">
        <v>490</v>
      </c>
      <c r="H15" s="24"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</row>
    <row r="16" spans="1:69" s="17" customFormat="1" hidden="1" x14ac:dyDescent="0.25">
      <c r="A16" s="23">
        <v>2</v>
      </c>
      <c r="B16" s="23" t="s">
        <v>524</v>
      </c>
      <c r="C16" s="24" t="s">
        <v>11</v>
      </c>
      <c r="D16" s="24">
        <v>5</v>
      </c>
      <c r="E16" s="24" t="s">
        <v>494</v>
      </c>
      <c r="F16" s="24"/>
      <c r="G16" s="24" t="s">
        <v>490</v>
      </c>
      <c r="H16" s="24">
        <v>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</row>
    <row r="17" spans="1:69" s="17" customFormat="1" hidden="1" x14ac:dyDescent="0.25">
      <c r="A17" s="23">
        <v>2</v>
      </c>
      <c r="B17" s="23" t="s">
        <v>524</v>
      </c>
      <c r="C17" s="24" t="s">
        <v>11</v>
      </c>
      <c r="D17" s="24">
        <v>6</v>
      </c>
      <c r="E17" s="24" t="s">
        <v>495</v>
      </c>
      <c r="F17" s="24"/>
      <c r="G17" s="24" t="s">
        <v>500</v>
      </c>
      <c r="H17" s="24">
        <v>0</v>
      </c>
      <c r="I17" s="24">
        <v>99999</v>
      </c>
      <c r="J17" s="24">
        <v>99999</v>
      </c>
      <c r="K17" s="24">
        <v>99999</v>
      </c>
      <c r="L17" s="24">
        <v>99999</v>
      </c>
      <c r="M17" s="24">
        <v>99999</v>
      </c>
      <c r="N17" s="24">
        <v>99999</v>
      </c>
      <c r="O17" s="24">
        <v>99999</v>
      </c>
      <c r="P17" s="24">
        <v>99999</v>
      </c>
      <c r="Q17" s="24">
        <v>99999</v>
      </c>
      <c r="R17" s="24">
        <v>99999</v>
      </c>
      <c r="S17" s="24">
        <v>99999</v>
      </c>
      <c r="T17" s="24">
        <v>99999</v>
      </c>
      <c r="U17" s="24">
        <v>99999</v>
      </c>
      <c r="V17" s="24">
        <v>99999</v>
      </c>
      <c r="W17" s="24">
        <v>99999</v>
      </c>
      <c r="X17" s="24">
        <v>99999</v>
      </c>
      <c r="Y17" s="24">
        <v>99999</v>
      </c>
      <c r="Z17" s="24">
        <v>99999</v>
      </c>
      <c r="AA17" s="24">
        <v>99999</v>
      </c>
      <c r="AB17" s="24">
        <v>99999</v>
      </c>
      <c r="AC17" s="24">
        <v>99999</v>
      </c>
      <c r="AD17" s="24">
        <v>99999</v>
      </c>
      <c r="AE17" s="24">
        <v>99999</v>
      </c>
      <c r="AF17" s="24">
        <v>99999</v>
      </c>
      <c r="AG17" s="24">
        <v>99999</v>
      </c>
      <c r="AH17" s="24">
        <v>99999</v>
      </c>
      <c r="AI17" s="24">
        <v>99999</v>
      </c>
      <c r="AJ17" s="24">
        <v>99999</v>
      </c>
      <c r="AK17" s="24">
        <v>99999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</row>
    <row r="18" spans="1:69" s="17" customFormat="1" hidden="1" x14ac:dyDescent="0.25">
      <c r="A18" s="23">
        <v>2</v>
      </c>
      <c r="B18" s="23" t="s">
        <v>524</v>
      </c>
      <c r="C18" s="24" t="s">
        <v>11</v>
      </c>
      <c r="D18" s="24">
        <v>7</v>
      </c>
      <c r="E18" s="24" t="s">
        <v>496</v>
      </c>
      <c r="F18" s="24"/>
      <c r="G18" s="25" t="s">
        <v>490</v>
      </c>
      <c r="H18" s="26">
        <v>0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</row>
    <row r="19" spans="1:69" s="17" customFormat="1" hidden="1" x14ac:dyDescent="0.25">
      <c r="A19" s="23">
        <v>2</v>
      </c>
      <c r="B19" s="23" t="s">
        <v>524</v>
      </c>
      <c r="C19" s="24" t="s">
        <v>11</v>
      </c>
      <c r="D19" s="24">
        <v>8</v>
      </c>
      <c r="E19" s="24" t="s">
        <v>497</v>
      </c>
      <c r="F19" s="24"/>
      <c r="G19" s="24" t="s">
        <v>490</v>
      </c>
      <c r="H19" s="24">
        <v>0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</row>
    <row r="20" spans="1:69" s="17" customFormat="1" hidden="1" x14ac:dyDescent="0.25">
      <c r="A20" s="23">
        <v>2</v>
      </c>
      <c r="B20" s="23" t="s">
        <v>524</v>
      </c>
      <c r="C20" s="24" t="s">
        <v>11</v>
      </c>
      <c r="D20" s="24">
        <v>9</v>
      </c>
      <c r="E20" s="24" t="s">
        <v>498</v>
      </c>
      <c r="F20" s="24"/>
      <c r="G20" s="24" t="s">
        <v>490</v>
      </c>
      <c r="H20" s="24">
        <v>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</row>
    <row r="21" spans="1:69" s="17" customFormat="1" hidden="1" x14ac:dyDescent="0.25">
      <c r="A21" s="23">
        <v>2</v>
      </c>
      <c r="B21" s="23" t="s">
        <v>524</v>
      </c>
      <c r="C21" s="24" t="s">
        <v>11</v>
      </c>
      <c r="D21" s="24">
        <v>10</v>
      </c>
      <c r="E21" s="24" t="s">
        <v>499</v>
      </c>
      <c r="F21" s="24"/>
      <c r="G21" s="24" t="s">
        <v>490</v>
      </c>
      <c r="H21" s="24">
        <v>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</row>
    <row r="22" spans="1:69" hidden="1" x14ac:dyDescent="0.25">
      <c r="A22" s="20">
        <v>3</v>
      </c>
      <c r="B22" s="20" t="s">
        <v>520</v>
      </c>
      <c r="C22" s="3" t="s">
        <v>11</v>
      </c>
      <c r="D22" s="3">
        <v>1</v>
      </c>
      <c r="E22" s="3" t="s">
        <v>489</v>
      </c>
      <c r="F22" s="3"/>
      <c r="G22" s="3" t="s">
        <v>490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hidden="1" x14ac:dyDescent="0.25">
      <c r="A23" s="20">
        <v>3</v>
      </c>
      <c r="B23" s="20" t="s">
        <v>520</v>
      </c>
      <c r="C23" s="3" t="s">
        <v>11</v>
      </c>
      <c r="D23" s="3">
        <v>2</v>
      </c>
      <c r="E23" s="3" t="s">
        <v>491</v>
      </c>
      <c r="F23" s="3"/>
      <c r="G23" s="3" t="s">
        <v>490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hidden="1" x14ac:dyDescent="0.25">
      <c r="A24" s="20">
        <v>3</v>
      </c>
      <c r="B24" s="20" t="s">
        <v>520</v>
      </c>
      <c r="C24" s="3" t="s">
        <v>11</v>
      </c>
      <c r="D24" s="3">
        <v>3</v>
      </c>
      <c r="E24" s="3" t="s">
        <v>492</v>
      </c>
      <c r="F24" s="3"/>
      <c r="G24" s="3" t="s">
        <v>500</v>
      </c>
      <c r="H24" s="3">
        <v>0</v>
      </c>
      <c r="I24" s="3">
        <v>12.1455784</v>
      </c>
      <c r="J24" s="3">
        <v>12.1455784</v>
      </c>
      <c r="K24" s="3">
        <v>12.1455784</v>
      </c>
      <c r="L24" s="3">
        <v>12.1455784</v>
      </c>
      <c r="M24" s="3">
        <v>12.1455784</v>
      </c>
      <c r="N24" s="3">
        <v>12.1455784</v>
      </c>
      <c r="O24" s="3">
        <v>12.1455784</v>
      </c>
      <c r="P24" s="3">
        <v>12.1455784</v>
      </c>
      <c r="Q24" s="3">
        <v>12.1455784</v>
      </c>
      <c r="R24" s="3">
        <v>13.34068108</v>
      </c>
      <c r="S24" s="3">
        <v>14.035508220000001</v>
      </c>
      <c r="T24" s="3">
        <v>7.0872368259999998</v>
      </c>
      <c r="U24" s="3">
        <v>12.03878108</v>
      </c>
      <c r="V24" s="3">
        <v>11.931983750000001</v>
      </c>
      <c r="W24" s="3">
        <v>11.82518642</v>
      </c>
      <c r="X24" s="3">
        <v>11.718389090000001</v>
      </c>
      <c r="Y24" s="3">
        <v>11.61159177</v>
      </c>
      <c r="Z24" s="3">
        <v>11.50479444</v>
      </c>
      <c r="AA24" s="3">
        <v>11.39799711</v>
      </c>
      <c r="AB24" s="3">
        <v>11.291199779999999</v>
      </c>
      <c r="AC24" s="3">
        <v>11.184402459999999</v>
      </c>
      <c r="AD24" s="3">
        <v>11.07760513</v>
      </c>
      <c r="AE24" s="3">
        <v>10.970807799999999</v>
      </c>
      <c r="AF24" s="3">
        <v>10.864010479999999</v>
      </c>
      <c r="AG24" s="3">
        <v>10.75721315</v>
      </c>
      <c r="AH24" s="3">
        <v>10.650415819999999</v>
      </c>
      <c r="AI24" s="3">
        <v>10.54361849</v>
      </c>
      <c r="AJ24" s="3">
        <v>10.43682117</v>
      </c>
      <c r="AK24" s="3">
        <v>10.330023840000001</v>
      </c>
      <c r="AL24" s="3">
        <v>10.22322651</v>
      </c>
      <c r="AM24" s="3">
        <v>10.116429180000001</v>
      </c>
      <c r="AN24" s="3">
        <v>10.009631860000001</v>
      </c>
      <c r="AO24" s="3">
        <v>9.9028345289999997</v>
      </c>
      <c r="AP24" s="3">
        <v>9.7960372020000008</v>
      </c>
      <c r="AQ24" s="3">
        <v>9.6892398750000002</v>
      </c>
      <c r="AR24" s="3">
        <v>9.5824425469999994</v>
      </c>
      <c r="AS24" s="3">
        <v>9.4756452200000005</v>
      </c>
      <c r="AT24" s="3">
        <v>9.3688478929999999</v>
      </c>
      <c r="AU24" s="3">
        <v>9.2620505649999991</v>
      </c>
      <c r="AV24" s="3">
        <v>9.1552532380000002</v>
      </c>
      <c r="AW24" s="3">
        <v>9.0484559109999996</v>
      </c>
      <c r="AX24" s="3">
        <v>9.0484559109999996</v>
      </c>
      <c r="AY24" s="3">
        <v>9.0484559109999996</v>
      </c>
      <c r="AZ24" s="3">
        <v>9.0484559109999996</v>
      </c>
      <c r="BA24" s="3">
        <v>9.0484559109999996</v>
      </c>
      <c r="BB24" s="3">
        <v>9.0484559109999996</v>
      </c>
      <c r="BC24" s="3">
        <v>9.0484559109999996</v>
      </c>
      <c r="BD24" s="3">
        <v>9.0484559109999996</v>
      </c>
      <c r="BE24" s="3">
        <v>9.0484559109999996</v>
      </c>
      <c r="BF24" s="3">
        <v>9.0484559109999996</v>
      </c>
      <c r="BG24" s="3">
        <v>9.0484559109999996</v>
      </c>
      <c r="BH24" s="3">
        <v>9.0484559109999996</v>
      </c>
      <c r="BI24" s="3">
        <v>9.0484559109999996</v>
      </c>
      <c r="BJ24" s="3">
        <v>9.0484559109999996</v>
      </c>
      <c r="BK24" s="3">
        <v>9.0484559109999996</v>
      </c>
      <c r="BL24" s="3">
        <v>9.0484559109999996</v>
      </c>
      <c r="BM24" s="3">
        <v>9.0484559109999996</v>
      </c>
      <c r="BN24" s="3">
        <v>9.0484559109999996</v>
      </c>
      <c r="BO24" s="3">
        <v>9.0484559109999996</v>
      </c>
      <c r="BP24" s="3">
        <v>9.0484559109999996</v>
      </c>
      <c r="BQ24" s="3">
        <v>9.0484559109999996</v>
      </c>
    </row>
    <row r="25" spans="1:69" hidden="1" x14ac:dyDescent="0.25">
      <c r="A25" s="20">
        <v>3</v>
      </c>
      <c r="B25" s="20" t="s">
        <v>520</v>
      </c>
      <c r="C25" s="3" t="s">
        <v>11</v>
      </c>
      <c r="D25" s="3">
        <v>4</v>
      </c>
      <c r="E25" s="3" t="s">
        <v>493</v>
      </c>
      <c r="F25" s="3"/>
      <c r="G25" s="3" t="s">
        <v>490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hidden="1" x14ac:dyDescent="0.25">
      <c r="A26" s="20">
        <v>3</v>
      </c>
      <c r="B26" s="20" t="s">
        <v>520</v>
      </c>
      <c r="C26" s="3" t="s">
        <v>11</v>
      </c>
      <c r="D26" s="3">
        <v>5</v>
      </c>
      <c r="E26" s="3" t="s">
        <v>494</v>
      </c>
      <c r="F26" s="3"/>
      <c r="G26" s="3" t="s">
        <v>490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hidden="1" x14ac:dyDescent="0.25">
      <c r="A27" s="20">
        <v>3</v>
      </c>
      <c r="B27" s="20" t="s">
        <v>520</v>
      </c>
      <c r="C27" s="3" t="s">
        <v>11</v>
      </c>
      <c r="D27" s="3">
        <v>6</v>
      </c>
      <c r="E27" s="3" t="s">
        <v>495</v>
      </c>
      <c r="F27" s="3"/>
      <c r="G27" s="3" t="s">
        <v>500</v>
      </c>
      <c r="H27" s="3">
        <v>0</v>
      </c>
      <c r="I27" s="3">
        <v>3.1408285182916904</v>
      </c>
      <c r="J27" s="3">
        <v>4.6590755225518201</v>
      </c>
      <c r="K27" s="3">
        <v>0.8562625284689831</v>
      </c>
      <c r="L27" s="3">
        <v>2.3817050161616256</v>
      </c>
      <c r="M27" s="3">
        <v>3.0113098165064667</v>
      </c>
      <c r="N27" s="3">
        <v>1.8420437587231908</v>
      </c>
      <c r="O27" s="3">
        <v>0.295014820733011</v>
      </c>
      <c r="P27" s="3">
        <v>6.8357092608868408E-2</v>
      </c>
      <c r="Q27" s="3">
        <v>0.3816124638432985</v>
      </c>
      <c r="R27" s="3">
        <v>2.0974834205773833E-2</v>
      </c>
      <c r="S27" s="3">
        <v>0.90227764501990038</v>
      </c>
      <c r="T27" s="3">
        <v>1.3088584363740172</v>
      </c>
      <c r="U27" s="3">
        <v>0.38161</v>
      </c>
      <c r="V27" s="3">
        <v>0.38161</v>
      </c>
      <c r="W27" s="3">
        <v>0.38161</v>
      </c>
      <c r="X27" s="3">
        <v>0.38161</v>
      </c>
      <c r="Y27" s="3">
        <v>0.38161</v>
      </c>
      <c r="Z27" s="3">
        <v>0.38161</v>
      </c>
      <c r="AA27" s="3">
        <v>0.38161</v>
      </c>
      <c r="AB27" s="3">
        <v>0.38161</v>
      </c>
      <c r="AC27" s="3">
        <v>0.38161</v>
      </c>
      <c r="AD27" s="3">
        <v>0.38161</v>
      </c>
      <c r="AE27" s="3">
        <v>0.38161</v>
      </c>
      <c r="AF27" s="3">
        <v>0.38161</v>
      </c>
      <c r="AG27" s="3">
        <v>0.38161</v>
      </c>
      <c r="AH27" s="3">
        <v>0.38161</v>
      </c>
      <c r="AI27" s="3">
        <v>0.38161</v>
      </c>
      <c r="AJ27" s="3">
        <v>0.38161</v>
      </c>
      <c r="AK27" s="3">
        <v>0.38161</v>
      </c>
      <c r="AL27" s="3">
        <v>0.38161</v>
      </c>
      <c r="AM27" s="3">
        <v>0.38161</v>
      </c>
      <c r="AN27" s="3">
        <v>0.38161</v>
      </c>
      <c r="AO27" s="3">
        <v>0.38161</v>
      </c>
      <c r="AP27" s="3">
        <v>0.38161</v>
      </c>
      <c r="AQ27" s="3">
        <v>0.38161</v>
      </c>
      <c r="AR27" s="3">
        <v>0.38161</v>
      </c>
      <c r="AS27" s="3">
        <v>0.38161</v>
      </c>
      <c r="AT27" s="3">
        <v>0.38161</v>
      </c>
      <c r="AU27" s="3">
        <v>0.38161</v>
      </c>
      <c r="AV27" s="3">
        <v>0.38161</v>
      </c>
      <c r="AW27" s="3">
        <v>0.38161</v>
      </c>
      <c r="AX27" s="3">
        <v>0.38161</v>
      </c>
      <c r="AY27" s="3">
        <v>0.38161</v>
      </c>
      <c r="AZ27" s="3">
        <v>0.38161</v>
      </c>
      <c r="BA27" s="3">
        <v>0.38161</v>
      </c>
      <c r="BB27" s="3">
        <v>0.38161</v>
      </c>
      <c r="BC27" s="3">
        <v>0.38161</v>
      </c>
      <c r="BD27" s="3">
        <v>0.38161</v>
      </c>
      <c r="BE27" s="3">
        <v>0.38161</v>
      </c>
      <c r="BF27" s="3">
        <v>0.38161</v>
      </c>
      <c r="BG27" s="3">
        <v>0.38161</v>
      </c>
      <c r="BH27" s="3">
        <v>0.38161</v>
      </c>
      <c r="BI27" s="3">
        <v>0.38161</v>
      </c>
      <c r="BJ27" s="3">
        <v>0.38161</v>
      </c>
      <c r="BK27" s="3">
        <v>0.38161</v>
      </c>
      <c r="BL27" s="3">
        <v>0.38161</v>
      </c>
      <c r="BM27" s="3">
        <v>0.38161</v>
      </c>
      <c r="BN27" s="3">
        <v>0.38161</v>
      </c>
      <c r="BO27" s="3">
        <v>0.38161</v>
      </c>
      <c r="BP27" s="3">
        <v>0.38161</v>
      </c>
      <c r="BQ27" s="3">
        <v>0.38161</v>
      </c>
    </row>
    <row r="28" spans="1:69" hidden="1" x14ac:dyDescent="0.25">
      <c r="A28" s="20">
        <v>3</v>
      </c>
      <c r="B28" s="20" t="s">
        <v>520</v>
      </c>
      <c r="C28" s="3" t="s">
        <v>11</v>
      </c>
      <c r="D28" s="3">
        <v>7</v>
      </c>
      <c r="E28" s="3" t="s">
        <v>496</v>
      </c>
      <c r="F28" s="3"/>
      <c r="G28" s="21" t="s">
        <v>500</v>
      </c>
      <c r="H28" s="22">
        <v>0</v>
      </c>
      <c r="I28" s="3">
        <v>3.1408285182916904</v>
      </c>
      <c r="J28" s="3">
        <v>4.6590755225518201</v>
      </c>
      <c r="K28" s="3">
        <v>0.8562625284689831</v>
      </c>
      <c r="L28" s="3">
        <v>2.3817050161616256</v>
      </c>
      <c r="M28" s="3">
        <v>3.0113098165064667</v>
      </c>
      <c r="N28" s="3">
        <v>1.8420437587231908</v>
      </c>
      <c r="O28" s="3">
        <v>0.295014820733011</v>
      </c>
      <c r="P28" s="3">
        <v>6.8357092608868408E-2</v>
      </c>
      <c r="Q28" s="3">
        <v>0.3816124638432985</v>
      </c>
      <c r="R28" s="3">
        <v>2.0974834205773833E-2</v>
      </c>
      <c r="S28" s="3">
        <v>0.90227764501990038</v>
      </c>
      <c r="T28" s="3">
        <v>1.3088584363740172</v>
      </c>
      <c r="U28" s="3">
        <v>0.38161</v>
      </c>
      <c r="V28" s="3">
        <v>0.38161</v>
      </c>
      <c r="W28" s="3">
        <v>0.38161</v>
      </c>
      <c r="X28" s="3">
        <v>0.38161</v>
      </c>
      <c r="Y28" s="3">
        <v>0.38161</v>
      </c>
      <c r="Z28" s="3">
        <v>0.38161</v>
      </c>
      <c r="AA28" s="3">
        <v>0.38161</v>
      </c>
      <c r="AB28" s="3">
        <v>0.38161</v>
      </c>
      <c r="AC28" s="3">
        <v>0.38161</v>
      </c>
      <c r="AD28" s="3">
        <v>0.38161</v>
      </c>
      <c r="AE28" s="3">
        <v>0.38161</v>
      </c>
      <c r="AF28" s="3">
        <v>0.38161</v>
      </c>
      <c r="AG28" s="3">
        <v>0.38161</v>
      </c>
      <c r="AH28" s="3">
        <v>0.38161</v>
      </c>
      <c r="AI28" s="3">
        <v>0.38161</v>
      </c>
      <c r="AJ28" s="3">
        <v>0.38161</v>
      </c>
      <c r="AK28" s="3">
        <v>0.38161</v>
      </c>
      <c r="AL28" s="3">
        <v>0.38161</v>
      </c>
      <c r="AM28" s="3">
        <v>0.38161</v>
      </c>
      <c r="AN28" s="3">
        <v>0.38161</v>
      </c>
      <c r="AO28" s="3">
        <v>0.38161</v>
      </c>
      <c r="AP28" s="3">
        <v>0.38161</v>
      </c>
      <c r="AQ28" s="3">
        <v>0.38161</v>
      </c>
      <c r="AR28" s="3">
        <v>0.38161</v>
      </c>
      <c r="AS28" s="3">
        <v>0.38161</v>
      </c>
      <c r="AT28" s="3">
        <v>0.38161</v>
      </c>
      <c r="AU28" s="3">
        <v>0.38161</v>
      </c>
      <c r="AV28" s="3">
        <v>0.38161</v>
      </c>
      <c r="AW28" s="3">
        <v>0.38161</v>
      </c>
      <c r="AX28" s="3">
        <v>0.38161</v>
      </c>
      <c r="AY28" s="3">
        <v>0.38161</v>
      </c>
      <c r="AZ28" s="3">
        <v>0.38161</v>
      </c>
      <c r="BA28" s="3">
        <v>0.38161</v>
      </c>
      <c r="BB28" s="3">
        <v>0.38161</v>
      </c>
      <c r="BC28" s="3">
        <v>0.38161</v>
      </c>
      <c r="BD28" s="3">
        <v>0.38161</v>
      </c>
      <c r="BE28" s="3">
        <v>0.38161</v>
      </c>
      <c r="BF28" s="3">
        <v>0.38161</v>
      </c>
      <c r="BG28" s="3">
        <v>0.38161</v>
      </c>
      <c r="BH28" s="3">
        <v>0.38161</v>
      </c>
      <c r="BI28" s="3">
        <v>0.38161</v>
      </c>
      <c r="BJ28" s="3">
        <v>0.38161</v>
      </c>
      <c r="BK28" s="3">
        <v>0.38161</v>
      </c>
      <c r="BL28" s="3">
        <v>0.38161</v>
      </c>
      <c r="BM28" s="3">
        <v>0.38161</v>
      </c>
      <c r="BN28" s="3">
        <v>0.38161</v>
      </c>
      <c r="BO28" s="3">
        <v>0.38161</v>
      </c>
      <c r="BP28" s="3">
        <v>0.38161</v>
      </c>
      <c r="BQ28" s="3">
        <v>0.38161</v>
      </c>
    </row>
    <row r="29" spans="1:69" hidden="1" x14ac:dyDescent="0.25">
      <c r="A29" s="20">
        <v>3</v>
      </c>
      <c r="B29" s="20" t="s">
        <v>520</v>
      </c>
      <c r="C29" s="3" t="s">
        <v>11</v>
      </c>
      <c r="D29" s="3">
        <v>8</v>
      </c>
      <c r="E29" s="3" t="s">
        <v>497</v>
      </c>
      <c r="F29" s="3"/>
      <c r="G29" s="3" t="s">
        <v>490</v>
      </c>
      <c r="H29" s="3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hidden="1" x14ac:dyDescent="0.25">
      <c r="A30" s="20">
        <v>3</v>
      </c>
      <c r="B30" s="20" t="s">
        <v>520</v>
      </c>
      <c r="C30" s="3" t="s">
        <v>11</v>
      </c>
      <c r="D30" s="3">
        <v>9</v>
      </c>
      <c r="E30" s="3" t="s">
        <v>498</v>
      </c>
      <c r="F30" s="3"/>
      <c r="G30" s="3" t="s">
        <v>490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hidden="1" x14ac:dyDescent="0.25">
      <c r="A31" s="20">
        <v>3</v>
      </c>
      <c r="B31" s="20" t="s">
        <v>520</v>
      </c>
      <c r="C31" s="3" t="s">
        <v>11</v>
      </c>
      <c r="D31" s="3">
        <v>10</v>
      </c>
      <c r="E31" s="3" t="s">
        <v>499</v>
      </c>
      <c r="F31" s="3"/>
      <c r="G31" s="3" t="s">
        <v>490</v>
      </c>
      <c r="H31" s="3"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s="17" customFormat="1" hidden="1" x14ac:dyDescent="0.25">
      <c r="A32" s="23">
        <v>4</v>
      </c>
      <c r="B32" s="23" t="s">
        <v>10</v>
      </c>
      <c r="C32" s="24" t="s">
        <v>11</v>
      </c>
      <c r="D32" s="24">
        <v>1</v>
      </c>
      <c r="E32" s="24" t="s">
        <v>489</v>
      </c>
      <c r="F32" s="24"/>
      <c r="G32" s="24" t="s">
        <v>490</v>
      </c>
      <c r="H32" s="24">
        <v>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</row>
    <row r="33" spans="1:69" s="17" customFormat="1" hidden="1" x14ac:dyDescent="0.25">
      <c r="A33" s="23">
        <v>4</v>
      </c>
      <c r="B33" s="23" t="s">
        <v>10</v>
      </c>
      <c r="C33" s="24" t="s">
        <v>11</v>
      </c>
      <c r="D33" s="24">
        <v>2</v>
      </c>
      <c r="E33" s="24" t="s">
        <v>491</v>
      </c>
      <c r="F33" s="24"/>
      <c r="G33" s="24" t="s">
        <v>490</v>
      </c>
      <c r="H33" s="24">
        <v>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</row>
    <row r="34" spans="1:69" s="17" customFormat="1" hidden="1" x14ac:dyDescent="0.25">
      <c r="A34" s="23">
        <v>4</v>
      </c>
      <c r="B34" s="23" t="s">
        <v>10</v>
      </c>
      <c r="C34" s="24" t="s">
        <v>11</v>
      </c>
      <c r="D34" s="24">
        <v>3</v>
      </c>
      <c r="E34" s="24" t="s">
        <v>492</v>
      </c>
      <c r="F34" s="24"/>
      <c r="G34" s="24" t="s">
        <v>500</v>
      </c>
      <c r="H34" s="24">
        <v>0</v>
      </c>
      <c r="I34" s="24">
        <v>15.499700000000001</v>
      </c>
      <c r="J34" s="24">
        <v>15.499700000000001</v>
      </c>
      <c r="K34" s="24">
        <v>15.499700000000001</v>
      </c>
      <c r="L34" s="24">
        <v>15.499700000000001</v>
      </c>
      <c r="M34" s="24">
        <v>15.499700000000001</v>
      </c>
      <c r="N34" s="24">
        <v>15.499700000000001</v>
      </c>
      <c r="O34" s="24">
        <v>15.499700000000001</v>
      </c>
      <c r="P34" s="24">
        <v>15.499700000000001</v>
      </c>
      <c r="Q34" s="24">
        <v>15.499700000000001</v>
      </c>
      <c r="R34" s="24">
        <v>14.483599999999999</v>
      </c>
      <c r="S34" s="24">
        <v>9.8337000000000003</v>
      </c>
      <c r="T34" s="24">
        <v>14.56973</v>
      </c>
      <c r="U34" s="24">
        <v>14.00658</v>
      </c>
      <c r="V34" s="24">
        <v>13.510590000000001</v>
      </c>
      <c r="W34" s="24">
        <v>13.992805479206501</v>
      </c>
      <c r="X34" s="24">
        <v>13.980750139101339</v>
      </c>
      <c r="Y34" s="24">
        <v>13.963528224665392</v>
      </c>
      <c r="Z34" s="24">
        <v>14.003138627868069</v>
      </c>
      <c r="AA34" s="24">
        <v>14.113358880258126</v>
      </c>
      <c r="AB34" s="24">
        <v>14.196024069550669</v>
      </c>
      <c r="AC34" s="24">
        <v>14.175357772227533</v>
      </c>
      <c r="AD34" s="24">
        <v>14.550795506931166</v>
      </c>
      <c r="AE34" s="24">
        <v>14.611072207456978</v>
      </c>
      <c r="AF34" s="24">
        <v>14.690293013862332</v>
      </c>
      <c r="AG34" s="24">
        <v>14.714403694072658</v>
      </c>
      <c r="AH34" s="24">
        <v>14.776402586042066</v>
      </c>
      <c r="AI34" s="24">
        <v>14.888345029875717</v>
      </c>
      <c r="AJ34" s="24">
        <v>15.010620622370936</v>
      </c>
      <c r="AK34" s="24">
        <v>15.091563620219885</v>
      </c>
      <c r="AL34" s="24">
        <v>15.146673746414914</v>
      </c>
      <c r="AM34" s="24">
        <v>15.272393721797323</v>
      </c>
      <c r="AN34" s="24">
        <v>15.341281379541108</v>
      </c>
      <c r="AO34" s="24">
        <v>15.348170145315487</v>
      </c>
      <c r="AP34" s="24">
        <v>15.50833394956979</v>
      </c>
      <c r="AQ34" s="24">
        <v>15.683997476816444</v>
      </c>
      <c r="AR34" s="24">
        <v>15.747718560229446</v>
      </c>
      <c r="AS34" s="24">
        <v>15.859661004063097</v>
      </c>
      <c r="AT34" s="24">
        <v>15.895827024378585</v>
      </c>
      <c r="AU34" s="24">
        <v>15.863105386950286</v>
      </c>
      <c r="AV34" s="24">
        <v>15.84932785540153</v>
      </c>
      <c r="AW34" s="24">
        <v>15.811439643642448</v>
      </c>
      <c r="AX34" s="24">
        <v>15.811439643642448</v>
      </c>
      <c r="AY34" s="24">
        <v>15.811439643642448</v>
      </c>
      <c r="AZ34" s="24">
        <v>15.811439643642448</v>
      </c>
      <c r="BA34" s="24">
        <v>15.811439643642448</v>
      </c>
      <c r="BB34" s="24">
        <v>15.811439643642448</v>
      </c>
      <c r="BC34" s="24">
        <v>15.811439643642448</v>
      </c>
      <c r="BD34" s="24">
        <v>15.811439643642448</v>
      </c>
      <c r="BE34" s="24">
        <v>15.811439643642448</v>
      </c>
      <c r="BF34" s="24">
        <v>15.811439643642448</v>
      </c>
      <c r="BG34" s="24">
        <v>15.811439643642448</v>
      </c>
      <c r="BH34" s="24">
        <v>15.811439643642448</v>
      </c>
      <c r="BI34" s="24">
        <v>15.811439643642448</v>
      </c>
      <c r="BJ34" s="24">
        <v>15.811439643642448</v>
      </c>
      <c r="BK34" s="24">
        <v>15.811439643642448</v>
      </c>
      <c r="BL34" s="24">
        <v>15.811439643642448</v>
      </c>
      <c r="BM34" s="24">
        <v>15.811439643642448</v>
      </c>
      <c r="BN34" s="24">
        <v>15.811439643642448</v>
      </c>
      <c r="BO34" s="24">
        <v>15.811439643642448</v>
      </c>
      <c r="BP34" s="24">
        <v>15.811439643642448</v>
      </c>
      <c r="BQ34" s="24">
        <v>15.811439643642448</v>
      </c>
    </row>
    <row r="35" spans="1:69" s="17" customFormat="1" hidden="1" x14ac:dyDescent="0.25">
      <c r="A35" s="23">
        <v>4</v>
      </c>
      <c r="B35" s="23" t="s">
        <v>10</v>
      </c>
      <c r="C35" s="24" t="s">
        <v>11</v>
      </c>
      <c r="D35" s="24">
        <v>4</v>
      </c>
      <c r="E35" s="24" t="s">
        <v>493</v>
      </c>
      <c r="F35" s="24"/>
      <c r="G35" s="24" t="s">
        <v>490</v>
      </c>
      <c r="H35" s="24">
        <v>0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</row>
    <row r="36" spans="1:69" s="17" customFormat="1" hidden="1" x14ac:dyDescent="0.25">
      <c r="A36" s="23">
        <v>4</v>
      </c>
      <c r="B36" s="23" t="s">
        <v>10</v>
      </c>
      <c r="C36" s="24" t="s">
        <v>11</v>
      </c>
      <c r="D36" s="24">
        <v>5</v>
      </c>
      <c r="E36" s="24" t="s">
        <v>494</v>
      </c>
      <c r="F36" s="24"/>
      <c r="G36" s="24" t="s">
        <v>490</v>
      </c>
      <c r="H36" s="24">
        <v>0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</row>
    <row r="37" spans="1:69" s="17" customFormat="1" hidden="1" x14ac:dyDescent="0.25">
      <c r="A37" s="23">
        <v>4</v>
      </c>
      <c r="B37" s="23" t="s">
        <v>10</v>
      </c>
      <c r="C37" s="24" t="s">
        <v>11</v>
      </c>
      <c r="D37" s="24">
        <v>6</v>
      </c>
      <c r="E37" s="24" t="s">
        <v>495</v>
      </c>
      <c r="F37" s="24"/>
      <c r="G37" s="24" t="s">
        <v>500</v>
      </c>
      <c r="H37" s="24">
        <v>0</v>
      </c>
      <c r="I37" s="24">
        <v>227.11760731059755</v>
      </c>
      <c r="J37" s="24">
        <v>87.748664971052577</v>
      </c>
      <c r="K37" s="24">
        <v>98.990156195507168</v>
      </c>
      <c r="L37" s="24">
        <v>121.19442398595879</v>
      </c>
      <c r="M37" s="24">
        <v>145.2103370563845</v>
      </c>
      <c r="N37" s="24">
        <v>137.73149372110686</v>
      </c>
      <c r="O37" s="24">
        <v>104.97090824157546</v>
      </c>
      <c r="P37" s="24">
        <v>103.86185616312979</v>
      </c>
      <c r="Q37" s="24">
        <v>117.76053434755926</v>
      </c>
      <c r="R37" s="24">
        <v>124.42923183837271</v>
      </c>
      <c r="S37" s="24">
        <v>108.2591</v>
      </c>
      <c r="T37" s="24">
        <v>136.77350000000001</v>
      </c>
      <c r="U37" s="24">
        <v>999999</v>
      </c>
      <c r="V37" s="24">
        <v>999999</v>
      </c>
      <c r="W37" s="24">
        <v>999999</v>
      </c>
      <c r="X37" s="24">
        <v>999999</v>
      </c>
      <c r="Y37" s="24">
        <v>999999</v>
      </c>
      <c r="Z37" s="24">
        <v>999999</v>
      </c>
      <c r="AA37" s="24">
        <v>999999</v>
      </c>
      <c r="AB37" s="24">
        <v>999999</v>
      </c>
      <c r="AC37" s="24">
        <v>999999</v>
      </c>
      <c r="AD37" s="24">
        <v>999999</v>
      </c>
      <c r="AE37" s="24">
        <v>999999</v>
      </c>
      <c r="AF37" s="24">
        <v>999999</v>
      </c>
      <c r="AG37" s="24">
        <v>999999</v>
      </c>
      <c r="AH37" s="24">
        <v>999999</v>
      </c>
      <c r="AI37" s="24">
        <v>999999</v>
      </c>
      <c r="AJ37" s="24">
        <v>999999</v>
      </c>
      <c r="AK37" s="24">
        <v>999999</v>
      </c>
      <c r="AL37" s="24">
        <v>999999</v>
      </c>
      <c r="AM37" s="24">
        <v>999999</v>
      </c>
      <c r="AN37" s="24">
        <v>999999</v>
      </c>
      <c r="AO37" s="24">
        <v>999999</v>
      </c>
      <c r="AP37" s="24">
        <v>999999</v>
      </c>
      <c r="AQ37" s="24">
        <v>999999</v>
      </c>
      <c r="AR37" s="24">
        <v>999999</v>
      </c>
      <c r="AS37" s="24">
        <v>999999</v>
      </c>
      <c r="AT37" s="24">
        <v>999999</v>
      </c>
      <c r="AU37" s="24">
        <v>999999</v>
      </c>
      <c r="AV37" s="24">
        <v>999999</v>
      </c>
      <c r="AW37" s="24">
        <v>999999</v>
      </c>
      <c r="AX37" s="24">
        <v>999999</v>
      </c>
      <c r="AY37" s="24">
        <v>999999</v>
      </c>
      <c r="AZ37" s="24">
        <v>999999</v>
      </c>
      <c r="BA37" s="24">
        <v>999999</v>
      </c>
      <c r="BB37" s="24">
        <v>999999</v>
      </c>
      <c r="BC37" s="24">
        <v>999999</v>
      </c>
      <c r="BD37" s="24">
        <v>999999</v>
      </c>
      <c r="BE37" s="24">
        <v>999999</v>
      </c>
      <c r="BF37" s="24">
        <v>999999</v>
      </c>
      <c r="BG37" s="24">
        <v>999999</v>
      </c>
      <c r="BH37" s="24">
        <v>999999</v>
      </c>
      <c r="BI37" s="24">
        <v>999999</v>
      </c>
      <c r="BJ37" s="24">
        <v>999999</v>
      </c>
      <c r="BK37" s="24">
        <v>999999</v>
      </c>
      <c r="BL37" s="24">
        <v>999999</v>
      </c>
      <c r="BM37" s="24">
        <v>999999</v>
      </c>
      <c r="BN37" s="24">
        <v>999999</v>
      </c>
      <c r="BO37" s="24">
        <v>999999</v>
      </c>
      <c r="BP37" s="24">
        <v>999999</v>
      </c>
      <c r="BQ37" s="24">
        <v>999999</v>
      </c>
    </row>
    <row r="38" spans="1:69" s="17" customFormat="1" hidden="1" x14ac:dyDescent="0.25">
      <c r="A38" s="23">
        <v>4</v>
      </c>
      <c r="B38" s="23" t="s">
        <v>10</v>
      </c>
      <c r="C38" s="24" t="s">
        <v>11</v>
      </c>
      <c r="D38" s="24">
        <v>7</v>
      </c>
      <c r="E38" s="24" t="s">
        <v>496</v>
      </c>
      <c r="F38" s="24"/>
      <c r="G38" s="25" t="s">
        <v>500</v>
      </c>
      <c r="H38" s="26">
        <v>0</v>
      </c>
      <c r="I38" s="24">
        <v>227.11760731059755</v>
      </c>
      <c r="J38" s="24">
        <v>87.748664971052577</v>
      </c>
      <c r="K38" s="24">
        <v>98.990156195507168</v>
      </c>
      <c r="L38" s="24">
        <v>121.19442398595879</v>
      </c>
      <c r="M38" s="24">
        <v>145.2103370563845</v>
      </c>
      <c r="N38" s="24">
        <v>137.73149372110686</v>
      </c>
      <c r="O38" s="24">
        <v>104.97090824157546</v>
      </c>
      <c r="P38" s="24">
        <v>103.86185616312979</v>
      </c>
      <c r="Q38" s="24">
        <v>117.76053434755926</v>
      </c>
      <c r="R38" s="24">
        <v>124.42923183837271</v>
      </c>
      <c r="S38" s="24">
        <v>108.2591</v>
      </c>
      <c r="T38" s="24">
        <v>100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</row>
    <row r="39" spans="1:69" s="17" customFormat="1" hidden="1" x14ac:dyDescent="0.25">
      <c r="A39" s="23">
        <v>4</v>
      </c>
      <c r="B39" s="23" t="s">
        <v>10</v>
      </c>
      <c r="C39" s="24" t="s">
        <v>11</v>
      </c>
      <c r="D39" s="24">
        <v>8</v>
      </c>
      <c r="E39" s="24" t="s">
        <v>497</v>
      </c>
      <c r="F39" s="24"/>
      <c r="G39" s="24" t="s">
        <v>490</v>
      </c>
      <c r="H39" s="24">
        <v>0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</row>
    <row r="40" spans="1:69" s="17" customFormat="1" hidden="1" x14ac:dyDescent="0.25">
      <c r="A40" s="23">
        <v>4</v>
      </c>
      <c r="B40" s="23" t="s">
        <v>10</v>
      </c>
      <c r="C40" s="24" t="s">
        <v>11</v>
      </c>
      <c r="D40" s="24">
        <v>9</v>
      </c>
      <c r="E40" s="24" t="s">
        <v>498</v>
      </c>
      <c r="F40" s="24"/>
      <c r="G40" s="24" t="s">
        <v>490</v>
      </c>
      <c r="H40" s="24">
        <v>0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</row>
    <row r="41" spans="1:69" s="17" customFormat="1" hidden="1" x14ac:dyDescent="0.25">
      <c r="A41" s="23">
        <v>4</v>
      </c>
      <c r="B41" s="23" t="s">
        <v>10</v>
      </c>
      <c r="C41" s="24" t="s">
        <v>11</v>
      </c>
      <c r="D41" s="24">
        <v>10</v>
      </c>
      <c r="E41" s="24" t="s">
        <v>499</v>
      </c>
      <c r="F41" s="24"/>
      <c r="G41" s="24" t="s">
        <v>490</v>
      </c>
      <c r="H41" s="24">
        <v>0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</row>
    <row r="42" spans="1:69" hidden="1" x14ac:dyDescent="0.25">
      <c r="A42" s="20">
        <v>5</v>
      </c>
      <c r="B42" s="20" t="s">
        <v>14</v>
      </c>
      <c r="C42" s="3" t="s">
        <v>15</v>
      </c>
      <c r="D42" s="3">
        <v>1</v>
      </c>
      <c r="E42" s="3" t="s">
        <v>489</v>
      </c>
      <c r="F42" s="3"/>
      <c r="G42" s="3" t="s">
        <v>490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hidden="1" x14ac:dyDescent="0.25">
      <c r="A43" s="20">
        <v>5</v>
      </c>
      <c r="B43" s="20" t="s">
        <v>14</v>
      </c>
      <c r="C43" s="3" t="s">
        <v>15</v>
      </c>
      <c r="D43" s="3">
        <v>2</v>
      </c>
      <c r="E43" s="3" t="s">
        <v>491</v>
      </c>
      <c r="F43" s="3"/>
      <c r="G43" s="3" t="s">
        <v>490</v>
      </c>
      <c r="H43" s="3"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hidden="1" x14ac:dyDescent="0.25">
      <c r="A44" s="20">
        <v>5</v>
      </c>
      <c r="B44" s="20" t="s">
        <v>14</v>
      </c>
      <c r="C44" s="3" t="s">
        <v>15</v>
      </c>
      <c r="D44" s="3">
        <v>3</v>
      </c>
      <c r="E44" s="3" t="s">
        <v>492</v>
      </c>
      <c r="F44" s="3"/>
      <c r="G44" s="3" t="s">
        <v>500</v>
      </c>
      <c r="H44" s="3">
        <v>0</v>
      </c>
      <c r="I44" s="3">
        <v>15.13806278919694</v>
      </c>
      <c r="J44" s="3">
        <v>15.13806278919694</v>
      </c>
      <c r="K44" s="3">
        <v>15.13806278919694</v>
      </c>
      <c r="L44" s="3">
        <v>15.13806278919694</v>
      </c>
      <c r="M44" s="3">
        <v>15.13806278919694</v>
      </c>
      <c r="N44" s="3">
        <v>15.13806278919694</v>
      </c>
      <c r="O44" s="3">
        <v>15.13806278919694</v>
      </c>
      <c r="P44" s="3">
        <v>15.13806278919694</v>
      </c>
      <c r="Q44" s="3">
        <v>15.13806278919694</v>
      </c>
      <c r="R44" s="3">
        <v>13.708643891013384</v>
      </c>
      <c r="S44" s="3">
        <v>10.005932287284894</v>
      </c>
      <c r="T44" s="3">
        <v>15.258616190248565</v>
      </c>
      <c r="U44" s="3">
        <v>14.630016313336521</v>
      </c>
      <c r="V44" s="3">
        <v>13.090377162762906</v>
      </c>
      <c r="W44" s="3">
        <v>13.004267590583174</v>
      </c>
      <c r="X44" s="3">
        <v>12.869936657982791</v>
      </c>
      <c r="Y44" s="3">
        <v>13.00254539913958</v>
      </c>
      <c r="Z44" s="3">
        <v>13.155820437619502</v>
      </c>
      <c r="AA44" s="3">
        <v>13.29531794455067</v>
      </c>
      <c r="AB44" s="3">
        <v>13.391760665391969</v>
      </c>
      <c r="AC44" s="3">
        <v>13.720699231118546</v>
      </c>
      <c r="AD44" s="3">
        <v>14.156413666347992</v>
      </c>
      <c r="AE44" s="3">
        <v>14.297633364722753</v>
      </c>
      <c r="AF44" s="3">
        <v>14.413020191443595</v>
      </c>
      <c r="AG44" s="3">
        <v>14.521518252390058</v>
      </c>
      <c r="AH44" s="3">
        <v>14.573183995697896</v>
      </c>
      <c r="AI44" s="3">
        <v>14.673071099426386</v>
      </c>
      <c r="AJ44" s="3">
        <v>14.762625054493308</v>
      </c>
      <c r="AK44" s="3">
        <v>14.922788858747611</v>
      </c>
      <c r="AL44" s="3">
        <v>14.927955433078393</v>
      </c>
      <c r="AM44" s="3">
        <v>15.041620068355641</v>
      </c>
      <c r="AN44" s="3">
        <v>15.134618406309752</v>
      </c>
      <c r="AO44" s="3">
        <v>15.157006895076481</v>
      </c>
      <c r="AP44" s="3">
        <v>15.305115359225621</v>
      </c>
      <c r="AQ44" s="3">
        <v>15.448057249043977</v>
      </c>
      <c r="AR44" s="3">
        <v>15.494556418021032</v>
      </c>
      <c r="AS44" s="3">
        <v>15.616832010516251</v>
      </c>
      <c r="AT44" s="3">
        <v>15.663331179493307</v>
      </c>
      <c r="AU44" s="3">
        <v>15.618554201959848</v>
      </c>
      <c r="AV44" s="3">
        <v>15.625442967734225</v>
      </c>
      <c r="AW44" s="3">
        <v>15.620276393403442</v>
      </c>
      <c r="AX44" s="3">
        <v>15.620276393403442</v>
      </c>
      <c r="AY44" s="3">
        <v>15.620276393403442</v>
      </c>
      <c r="AZ44" s="3">
        <v>15.620276393403442</v>
      </c>
      <c r="BA44" s="3">
        <v>15.620276393403442</v>
      </c>
      <c r="BB44" s="3">
        <v>15.620276393403442</v>
      </c>
      <c r="BC44" s="3">
        <v>15.620276393403442</v>
      </c>
      <c r="BD44" s="3">
        <v>15.620276393403442</v>
      </c>
      <c r="BE44" s="3">
        <v>15.620276393403442</v>
      </c>
      <c r="BF44" s="3">
        <v>15.620276393403442</v>
      </c>
      <c r="BG44" s="3">
        <v>15.620276393403442</v>
      </c>
      <c r="BH44" s="3">
        <v>15.620276393403442</v>
      </c>
      <c r="BI44" s="3">
        <v>15.620276393403442</v>
      </c>
      <c r="BJ44" s="3">
        <v>15.620276393403442</v>
      </c>
      <c r="BK44" s="3">
        <v>15.620276393403442</v>
      </c>
      <c r="BL44" s="3">
        <v>15.620276393403442</v>
      </c>
      <c r="BM44" s="3">
        <v>15.620276393403442</v>
      </c>
      <c r="BN44" s="3">
        <v>15.620276393403442</v>
      </c>
      <c r="BO44" s="3">
        <v>15.620276393403442</v>
      </c>
      <c r="BP44" s="3">
        <v>15.620276393403442</v>
      </c>
      <c r="BQ44" s="3">
        <v>15.620276393403442</v>
      </c>
    </row>
    <row r="45" spans="1:69" hidden="1" x14ac:dyDescent="0.25">
      <c r="A45" s="20">
        <v>5</v>
      </c>
      <c r="B45" s="20" t="s">
        <v>14</v>
      </c>
      <c r="C45" s="3" t="s">
        <v>15</v>
      </c>
      <c r="D45" s="3">
        <v>4</v>
      </c>
      <c r="E45" s="3" t="s">
        <v>493</v>
      </c>
      <c r="F45" s="3"/>
      <c r="G45" s="3" t="s">
        <v>490</v>
      </c>
      <c r="H45" s="3"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hidden="1" x14ac:dyDescent="0.25">
      <c r="A46" s="20">
        <v>5</v>
      </c>
      <c r="B46" s="20" t="s">
        <v>14</v>
      </c>
      <c r="C46" s="3" t="s">
        <v>15</v>
      </c>
      <c r="D46" s="3">
        <v>5</v>
      </c>
      <c r="E46" s="3" t="s">
        <v>494</v>
      </c>
      <c r="F46" s="3"/>
      <c r="G46" s="3" t="s">
        <v>490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hidden="1" x14ac:dyDescent="0.25">
      <c r="A47" s="20">
        <v>5</v>
      </c>
      <c r="B47" s="20" t="s">
        <v>14</v>
      </c>
      <c r="C47" s="3" t="s">
        <v>15</v>
      </c>
      <c r="D47" s="3">
        <v>6</v>
      </c>
      <c r="E47" s="3" t="s">
        <v>495</v>
      </c>
      <c r="F47" s="3"/>
      <c r="G47" s="3" t="s">
        <v>500</v>
      </c>
      <c r="H47" s="3">
        <v>0</v>
      </c>
      <c r="I47" s="3">
        <v>157.93249990389484</v>
      </c>
      <c r="J47" s="3">
        <v>65.573429957523601</v>
      </c>
      <c r="K47" s="3">
        <v>73.969709043557359</v>
      </c>
      <c r="L47" s="3">
        <v>83.202132104963752</v>
      </c>
      <c r="M47" s="3">
        <v>103.37991206621361</v>
      </c>
      <c r="N47" s="3">
        <v>100.97019158163269</v>
      </c>
      <c r="O47" s="3">
        <v>83.091807552657642</v>
      </c>
      <c r="P47" s="3">
        <v>85.129908492628488</v>
      </c>
      <c r="Q47" s="3">
        <v>91.607975457177815</v>
      </c>
      <c r="R47" s="3">
        <v>105.93168609615964</v>
      </c>
      <c r="S47" s="3">
        <v>78.997084172717436</v>
      </c>
      <c r="T47" s="3">
        <v>93.045174562286462</v>
      </c>
      <c r="U47" s="3">
        <v>9999</v>
      </c>
      <c r="V47" s="3">
        <v>9999</v>
      </c>
      <c r="W47" s="3">
        <v>9999</v>
      </c>
      <c r="X47" s="3">
        <v>9999</v>
      </c>
      <c r="Y47" s="3">
        <v>9999</v>
      </c>
      <c r="Z47" s="3">
        <v>9999</v>
      </c>
      <c r="AA47" s="3">
        <v>9999</v>
      </c>
      <c r="AB47" s="3">
        <v>9999</v>
      </c>
      <c r="AC47" s="3">
        <v>9999</v>
      </c>
      <c r="AD47" s="3">
        <v>9999</v>
      </c>
      <c r="AE47" s="3">
        <v>9999</v>
      </c>
      <c r="AF47" s="3">
        <v>9999</v>
      </c>
      <c r="AG47" s="3">
        <v>9999</v>
      </c>
      <c r="AH47" s="3">
        <v>9999</v>
      </c>
      <c r="AI47" s="3">
        <v>9999</v>
      </c>
      <c r="AJ47" s="3">
        <v>9999</v>
      </c>
      <c r="AK47" s="3">
        <v>9999</v>
      </c>
      <c r="AL47" s="3">
        <v>9999</v>
      </c>
      <c r="AM47" s="3">
        <v>9999</v>
      </c>
      <c r="AN47" s="3">
        <v>9999</v>
      </c>
      <c r="AO47" s="3">
        <v>9999</v>
      </c>
      <c r="AP47" s="3">
        <v>9999</v>
      </c>
      <c r="AQ47" s="3">
        <v>9999</v>
      </c>
      <c r="AR47" s="3">
        <v>9999</v>
      </c>
      <c r="AS47" s="3">
        <v>9999</v>
      </c>
      <c r="AT47" s="3">
        <v>9999</v>
      </c>
      <c r="AU47" s="3">
        <v>9999</v>
      </c>
      <c r="AV47" s="3">
        <v>9999</v>
      </c>
      <c r="AW47" s="3">
        <v>9999</v>
      </c>
      <c r="AX47" s="3">
        <v>9999</v>
      </c>
      <c r="AY47" s="3">
        <v>9999</v>
      </c>
      <c r="AZ47" s="3">
        <v>9999</v>
      </c>
      <c r="BA47" s="3">
        <v>9999</v>
      </c>
      <c r="BB47" s="3">
        <v>9999</v>
      </c>
      <c r="BC47" s="3">
        <v>9999</v>
      </c>
      <c r="BD47" s="3">
        <v>9999</v>
      </c>
      <c r="BE47" s="3">
        <v>9999</v>
      </c>
      <c r="BF47" s="3">
        <v>9999</v>
      </c>
      <c r="BG47" s="3">
        <v>9999</v>
      </c>
      <c r="BH47" s="3">
        <v>9999</v>
      </c>
      <c r="BI47" s="3">
        <v>9999</v>
      </c>
      <c r="BJ47" s="3">
        <v>9999</v>
      </c>
      <c r="BK47" s="3">
        <v>9999</v>
      </c>
      <c r="BL47" s="3">
        <v>9999</v>
      </c>
      <c r="BM47" s="3">
        <v>9999</v>
      </c>
      <c r="BN47" s="3">
        <v>9999</v>
      </c>
      <c r="BO47" s="3">
        <v>9999</v>
      </c>
      <c r="BP47" s="3">
        <v>9999</v>
      </c>
      <c r="BQ47" s="3">
        <v>9999</v>
      </c>
    </row>
    <row r="48" spans="1:69" hidden="1" x14ac:dyDescent="0.25">
      <c r="A48" s="20">
        <v>5</v>
      </c>
      <c r="B48" s="20" t="s">
        <v>14</v>
      </c>
      <c r="C48" s="3" t="s">
        <v>15</v>
      </c>
      <c r="D48" s="3">
        <v>7</v>
      </c>
      <c r="E48" s="3" t="s">
        <v>496</v>
      </c>
      <c r="F48" s="3"/>
      <c r="G48" s="21" t="s">
        <v>500</v>
      </c>
      <c r="H48" s="22">
        <v>0</v>
      </c>
      <c r="I48" s="3">
        <v>157.93249990389484</v>
      </c>
      <c r="J48" s="3">
        <v>65.573429957523601</v>
      </c>
      <c r="K48" s="3">
        <v>73.969709043557359</v>
      </c>
      <c r="L48" s="3">
        <v>83.202132104963752</v>
      </c>
      <c r="M48" s="3">
        <v>103.37991206621361</v>
      </c>
      <c r="N48" s="3">
        <v>100.97019158163269</v>
      </c>
      <c r="O48" s="3">
        <v>83.091807552657642</v>
      </c>
      <c r="P48" s="3">
        <v>85.129908492628488</v>
      </c>
      <c r="Q48" s="3">
        <v>91.607975457177801</v>
      </c>
      <c r="R48" s="3">
        <v>105.93168609615964</v>
      </c>
      <c r="S48" s="3">
        <v>78.997084172717436</v>
      </c>
      <c r="T48" s="3">
        <v>93.045174562286462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</row>
    <row r="49" spans="1:69" hidden="1" x14ac:dyDescent="0.25">
      <c r="A49" s="20">
        <v>5</v>
      </c>
      <c r="B49" s="20" t="s">
        <v>14</v>
      </c>
      <c r="C49" s="3" t="s">
        <v>15</v>
      </c>
      <c r="D49" s="3">
        <v>8</v>
      </c>
      <c r="E49" s="3" t="s">
        <v>497</v>
      </c>
      <c r="F49" s="3"/>
      <c r="G49" s="3" t="s">
        <v>490</v>
      </c>
      <c r="H49" s="3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hidden="1" x14ac:dyDescent="0.25">
      <c r="A50" s="20">
        <v>5</v>
      </c>
      <c r="B50" s="20" t="s">
        <v>14</v>
      </c>
      <c r="C50" s="3" t="s">
        <v>15</v>
      </c>
      <c r="D50" s="3">
        <v>9</v>
      </c>
      <c r="E50" s="3" t="s">
        <v>498</v>
      </c>
      <c r="F50" s="3"/>
      <c r="G50" s="3" t="s">
        <v>490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hidden="1" x14ac:dyDescent="0.25">
      <c r="A51" s="20">
        <v>5</v>
      </c>
      <c r="B51" s="20" t="s">
        <v>14</v>
      </c>
      <c r="C51" s="3" t="s">
        <v>15</v>
      </c>
      <c r="D51" s="3">
        <v>10</v>
      </c>
      <c r="E51" s="3" t="s">
        <v>499</v>
      </c>
      <c r="F51" s="3"/>
      <c r="G51" s="3" t="s">
        <v>490</v>
      </c>
      <c r="H51" s="3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s="17" customFormat="1" hidden="1" x14ac:dyDescent="0.25">
      <c r="A52" s="23">
        <v>6</v>
      </c>
      <c r="B52" s="23" t="s">
        <v>16</v>
      </c>
      <c r="C52" s="24" t="s">
        <v>17</v>
      </c>
      <c r="D52" s="24">
        <v>1</v>
      </c>
      <c r="E52" s="24" t="s">
        <v>489</v>
      </c>
      <c r="F52" s="24"/>
      <c r="G52" s="24" t="s">
        <v>490</v>
      </c>
      <c r="H52" s="24">
        <v>0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</row>
    <row r="53" spans="1:69" s="17" customFormat="1" hidden="1" x14ac:dyDescent="0.25">
      <c r="A53" s="23">
        <v>6</v>
      </c>
      <c r="B53" s="23" t="s">
        <v>16</v>
      </c>
      <c r="C53" s="24" t="s">
        <v>17</v>
      </c>
      <c r="D53" s="24">
        <v>2</v>
      </c>
      <c r="E53" s="24" t="s">
        <v>491</v>
      </c>
      <c r="F53" s="24"/>
      <c r="G53" s="24" t="s">
        <v>490</v>
      </c>
      <c r="H53" s="24">
        <v>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</row>
    <row r="54" spans="1:69" s="17" customFormat="1" hidden="1" x14ac:dyDescent="0.25">
      <c r="A54" s="23">
        <v>6</v>
      </c>
      <c r="B54" s="23" t="s">
        <v>16</v>
      </c>
      <c r="C54" s="24" t="s">
        <v>17</v>
      </c>
      <c r="D54" s="24">
        <v>3</v>
      </c>
      <c r="E54" s="24" t="s">
        <v>492</v>
      </c>
      <c r="F54" s="24"/>
      <c r="G54" s="24" t="s">
        <v>490</v>
      </c>
      <c r="H54" s="24">
        <v>0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</row>
    <row r="55" spans="1:69" s="17" customFormat="1" hidden="1" x14ac:dyDescent="0.25">
      <c r="A55" s="23">
        <v>6</v>
      </c>
      <c r="B55" s="23" t="s">
        <v>16</v>
      </c>
      <c r="C55" s="24" t="s">
        <v>17</v>
      </c>
      <c r="D55" s="24">
        <v>4</v>
      </c>
      <c r="E55" s="24" t="s">
        <v>493</v>
      </c>
      <c r="F55" s="24"/>
      <c r="G55" s="24" t="s">
        <v>490</v>
      </c>
      <c r="H55" s="24">
        <v>0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</row>
    <row r="56" spans="1:69" s="17" customFormat="1" hidden="1" x14ac:dyDescent="0.25">
      <c r="A56" s="23">
        <v>6</v>
      </c>
      <c r="B56" s="23" t="s">
        <v>16</v>
      </c>
      <c r="C56" s="24" t="s">
        <v>17</v>
      </c>
      <c r="D56" s="24">
        <v>5</v>
      </c>
      <c r="E56" s="24" t="s">
        <v>494</v>
      </c>
      <c r="F56" s="24"/>
      <c r="G56" s="24" t="s">
        <v>490</v>
      </c>
      <c r="H56" s="24">
        <v>0</v>
      </c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</row>
    <row r="57" spans="1:69" s="17" customFormat="1" hidden="1" x14ac:dyDescent="0.25">
      <c r="A57" s="23">
        <v>6</v>
      </c>
      <c r="B57" s="23" t="s">
        <v>16</v>
      </c>
      <c r="C57" s="24" t="s">
        <v>17</v>
      </c>
      <c r="D57" s="24">
        <v>6</v>
      </c>
      <c r="E57" s="24" t="s">
        <v>495</v>
      </c>
      <c r="F57" s="24"/>
      <c r="G57" s="24" t="s">
        <v>490</v>
      </c>
      <c r="H57" s="24">
        <v>0</v>
      </c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</row>
    <row r="58" spans="1:69" s="17" customFormat="1" hidden="1" x14ac:dyDescent="0.25">
      <c r="A58" s="23">
        <v>6</v>
      </c>
      <c r="B58" s="23" t="s">
        <v>16</v>
      </c>
      <c r="C58" s="24" t="s">
        <v>17</v>
      </c>
      <c r="D58" s="24">
        <v>7</v>
      </c>
      <c r="E58" s="24" t="s">
        <v>496</v>
      </c>
      <c r="F58" s="24"/>
      <c r="G58" s="25" t="s">
        <v>490</v>
      </c>
      <c r="H58" s="26">
        <v>0</v>
      </c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</row>
    <row r="59" spans="1:69" s="17" customFormat="1" hidden="1" x14ac:dyDescent="0.25">
      <c r="A59" s="23">
        <v>6</v>
      </c>
      <c r="B59" s="23" t="s">
        <v>16</v>
      </c>
      <c r="C59" s="24" t="s">
        <v>17</v>
      </c>
      <c r="D59" s="24">
        <v>8</v>
      </c>
      <c r="E59" s="24" t="s">
        <v>497</v>
      </c>
      <c r="F59" s="24"/>
      <c r="G59" s="24" t="s">
        <v>490</v>
      </c>
      <c r="H59" s="24">
        <v>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</row>
    <row r="60" spans="1:69" s="17" customFormat="1" hidden="1" x14ac:dyDescent="0.25">
      <c r="A60" s="23">
        <v>6</v>
      </c>
      <c r="B60" s="23" t="s">
        <v>16</v>
      </c>
      <c r="C60" s="24" t="s">
        <v>17</v>
      </c>
      <c r="D60" s="24">
        <v>9</v>
      </c>
      <c r="E60" s="24" t="s">
        <v>498</v>
      </c>
      <c r="F60" s="24"/>
      <c r="G60" s="24" t="s">
        <v>490</v>
      </c>
      <c r="H60" s="24">
        <v>0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</row>
    <row r="61" spans="1:69" s="17" customFormat="1" hidden="1" x14ac:dyDescent="0.25">
      <c r="A61" s="23">
        <v>6</v>
      </c>
      <c r="B61" s="23" t="s">
        <v>16</v>
      </c>
      <c r="C61" s="24" t="s">
        <v>17</v>
      </c>
      <c r="D61" s="24">
        <v>10</v>
      </c>
      <c r="E61" s="24" t="s">
        <v>499</v>
      </c>
      <c r="F61" s="24"/>
      <c r="G61" s="24" t="s">
        <v>490</v>
      </c>
      <c r="H61" s="24">
        <v>0</v>
      </c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</row>
    <row r="62" spans="1:69" hidden="1" x14ac:dyDescent="0.25">
      <c r="A62" s="20">
        <v>7</v>
      </c>
      <c r="B62" s="20" t="s">
        <v>18</v>
      </c>
      <c r="C62" s="3" t="s">
        <v>19</v>
      </c>
      <c r="D62" s="3">
        <v>1</v>
      </c>
      <c r="E62" s="3" t="s">
        <v>489</v>
      </c>
      <c r="F62" s="3"/>
      <c r="G62" s="3" t="s">
        <v>490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hidden="1" x14ac:dyDescent="0.25">
      <c r="A63" s="20">
        <v>7</v>
      </c>
      <c r="B63" s="20" t="s">
        <v>18</v>
      </c>
      <c r="C63" s="3" t="s">
        <v>19</v>
      </c>
      <c r="D63" s="3">
        <v>2</v>
      </c>
      <c r="E63" s="3" t="s">
        <v>491</v>
      </c>
      <c r="F63" s="3"/>
      <c r="G63" s="3" t="s">
        <v>490</v>
      </c>
      <c r="H63" s="3">
        <v>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hidden="1" x14ac:dyDescent="0.25">
      <c r="A64" s="20">
        <v>7</v>
      </c>
      <c r="B64" s="20" t="s">
        <v>18</v>
      </c>
      <c r="C64" s="3" t="s">
        <v>19</v>
      </c>
      <c r="D64" s="3">
        <v>3</v>
      </c>
      <c r="E64" s="3" t="s">
        <v>492</v>
      </c>
      <c r="F64" s="3"/>
      <c r="G64" s="3" t="s">
        <v>500</v>
      </c>
      <c r="H64" s="3">
        <v>0</v>
      </c>
      <c r="I64" s="3">
        <v>8.18040935707457</v>
      </c>
      <c r="J64" s="3">
        <v>8.18040935707457</v>
      </c>
      <c r="K64" s="3">
        <v>8.18040935707457</v>
      </c>
      <c r="L64" s="3">
        <v>8.18040935707457</v>
      </c>
      <c r="M64" s="3">
        <v>8.18040935707457</v>
      </c>
      <c r="N64" s="3">
        <v>8.18040935707457</v>
      </c>
      <c r="O64" s="3">
        <v>8.18040935707457</v>
      </c>
      <c r="P64" s="3">
        <v>8.18040935707457</v>
      </c>
      <c r="Q64" s="3">
        <v>8.18040935707457</v>
      </c>
      <c r="R64" s="3">
        <v>5.5282345339388144</v>
      </c>
      <c r="S64" s="3">
        <v>4.9082456142447421</v>
      </c>
      <c r="T64" s="3">
        <v>9.4203871964627144</v>
      </c>
      <c r="U64" s="3">
        <v>10.181595814531548</v>
      </c>
      <c r="V64" s="3">
        <v>10.085153093690248</v>
      </c>
      <c r="W64" s="3">
        <v>10.104097199569789</v>
      </c>
      <c r="X64" s="3">
        <v>10.079986519359464</v>
      </c>
      <c r="Y64" s="3">
        <v>10.116152539674951</v>
      </c>
      <c r="Z64" s="3">
        <v>10.253927855162523</v>
      </c>
      <c r="AA64" s="3">
        <v>10.482979317160611</v>
      </c>
      <c r="AB64" s="3">
        <v>10.699975439053537</v>
      </c>
      <c r="AC64" s="3">
        <v>10.923860326720842</v>
      </c>
      <c r="AD64" s="3">
        <v>11.21663287213193</v>
      </c>
      <c r="AE64" s="3">
        <v>11.407796122370936</v>
      </c>
      <c r="AF64" s="3">
        <v>11.598959372609942</v>
      </c>
      <c r="AG64" s="3">
        <v>11.73845687954111</v>
      </c>
      <c r="AH64" s="3">
        <v>11.843510557600382</v>
      </c>
      <c r="AI64" s="3">
        <v>11.945119852772466</v>
      </c>
      <c r="AJ64" s="3">
        <v>12.055340105162523</v>
      </c>
      <c r="AK64" s="3">
        <v>12.163838166108986</v>
      </c>
      <c r="AL64" s="3">
        <v>12.244781163957935</v>
      </c>
      <c r="AM64" s="3">
        <v>12.373945522227533</v>
      </c>
      <c r="AN64" s="3">
        <v>12.487610157504779</v>
      </c>
      <c r="AO64" s="3">
        <v>12.549609049474187</v>
      </c>
      <c r="AP64" s="3">
        <v>12.639163004541109</v>
      </c>
      <c r="AQ64" s="3">
        <v>12.747661065487572</v>
      </c>
      <c r="AR64" s="3">
        <v>12.809659957456979</v>
      </c>
      <c r="AS64" s="3">
        <v>12.875103232313576</v>
      </c>
      <c r="AT64" s="3">
        <v>12.930213358508604</v>
      </c>
      <c r="AU64" s="3">
        <v>12.969823761711281</v>
      </c>
      <c r="AV64" s="3">
        <v>12.983601293260039</v>
      </c>
      <c r="AW64" s="3">
        <v>12.985323484703633</v>
      </c>
      <c r="AX64" s="3">
        <v>12.985323484703633</v>
      </c>
      <c r="AY64" s="3">
        <v>12.985323484703633</v>
      </c>
      <c r="AZ64" s="3">
        <v>12.985323484703633</v>
      </c>
      <c r="BA64" s="3">
        <v>12.985323484703633</v>
      </c>
      <c r="BB64" s="3">
        <v>12.985323484703633</v>
      </c>
      <c r="BC64" s="3">
        <v>12.985323484703633</v>
      </c>
      <c r="BD64" s="3">
        <v>12.985323484703633</v>
      </c>
      <c r="BE64" s="3">
        <v>12.985323484703633</v>
      </c>
      <c r="BF64" s="3">
        <v>12.985323484703633</v>
      </c>
      <c r="BG64" s="3">
        <v>12.985323484703633</v>
      </c>
      <c r="BH64" s="3">
        <v>12.985323484703633</v>
      </c>
      <c r="BI64" s="3">
        <v>12.985323484703633</v>
      </c>
      <c r="BJ64" s="3">
        <v>12.985323484703633</v>
      </c>
      <c r="BK64" s="3">
        <v>12.985323484703633</v>
      </c>
      <c r="BL64" s="3">
        <v>12.985323484703633</v>
      </c>
      <c r="BM64" s="3">
        <v>12.985323484703633</v>
      </c>
      <c r="BN64" s="3">
        <v>12.985323484703633</v>
      </c>
      <c r="BO64" s="3">
        <v>12.985323484703633</v>
      </c>
      <c r="BP64" s="3">
        <v>12.985323484703633</v>
      </c>
      <c r="BQ64" s="3">
        <v>12.985323484703633</v>
      </c>
    </row>
    <row r="65" spans="1:69" hidden="1" x14ac:dyDescent="0.25">
      <c r="A65" s="20">
        <v>7</v>
      </c>
      <c r="B65" s="20" t="s">
        <v>18</v>
      </c>
      <c r="C65" s="3" t="s">
        <v>19</v>
      </c>
      <c r="D65" s="3">
        <v>4</v>
      </c>
      <c r="E65" s="3" t="s">
        <v>493</v>
      </c>
      <c r="F65" s="3"/>
      <c r="G65" s="3" t="s">
        <v>490</v>
      </c>
      <c r="H65" s="3">
        <v>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hidden="1" x14ac:dyDescent="0.25">
      <c r="A66" s="20">
        <v>7</v>
      </c>
      <c r="B66" s="20" t="s">
        <v>18</v>
      </c>
      <c r="C66" s="3" t="s">
        <v>19</v>
      </c>
      <c r="D66" s="3">
        <v>5</v>
      </c>
      <c r="E66" s="3" t="s">
        <v>494</v>
      </c>
      <c r="F66" s="3"/>
      <c r="G66" s="3" t="s">
        <v>490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hidden="1" x14ac:dyDescent="0.25">
      <c r="A67" s="20">
        <v>7</v>
      </c>
      <c r="B67" s="20" t="s">
        <v>18</v>
      </c>
      <c r="C67" s="3" t="s">
        <v>19</v>
      </c>
      <c r="D67" s="3">
        <v>6</v>
      </c>
      <c r="E67" s="3" t="s">
        <v>495</v>
      </c>
      <c r="F67" s="3"/>
      <c r="G67" s="3" t="s">
        <v>500</v>
      </c>
      <c r="H67" s="3">
        <v>0</v>
      </c>
      <c r="I67" s="3">
        <v>29.601819350345821</v>
      </c>
      <c r="J67" s="3">
        <v>37.876160773304392</v>
      </c>
      <c r="K67" s="3">
        <v>35.065787967190744</v>
      </c>
      <c r="L67" s="3">
        <v>37.220020014852238</v>
      </c>
      <c r="M67" s="3">
        <v>41.760746325556518</v>
      </c>
      <c r="N67" s="3">
        <v>42.080106871705794</v>
      </c>
      <c r="O67" s="3">
        <v>38.46842942252669</v>
      </c>
      <c r="P67" s="3">
        <v>38.480042533295752</v>
      </c>
      <c r="Q67" s="3">
        <v>43.389807172946462</v>
      </c>
      <c r="R67" s="3">
        <v>47.274511929187639</v>
      </c>
      <c r="S67" s="3">
        <v>48.313115125721133</v>
      </c>
      <c r="T67" s="3">
        <v>49.878194601928534</v>
      </c>
      <c r="U67" s="3">
        <v>9999</v>
      </c>
      <c r="V67" s="3">
        <v>9999</v>
      </c>
      <c r="W67" s="3">
        <v>9999</v>
      </c>
      <c r="X67" s="3">
        <v>9999</v>
      </c>
      <c r="Y67" s="3">
        <v>9999</v>
      </c>
      <c r="Z67" s="3">
        <v>9999</v>
      </c>
      <c r="AA67" s="3">
        <v>9999</v>
      </c>
      <c r="AB67" s="3">
        <v>9999</v>
      </c>
      <c r="AC67" s="3">
        <v>9999</v>
      </c>
      <c r="AD67" s="3">
        <v>9999</v>
      </c>
      <c r="AE67" s="3">
        <v>9999</v>
      </c>
      <c r="AF67" s="3">
        <v>9999</v>
      </c>
      <c r="AG67" s="3">
        <v>9999</v>
      </c>
      <c r="AH67" s="3">
        <v>9999</v>
      </c>
      <c r="AI67" s="3">
        <v>9999</v>
      </c>
      <c r="AJ67" s="3">
        <v>9999</v>
      </c>
      <c r="AK67" s="3">
        <v>9999</v>
      </c>
      <c r="AL67" s="3">
        <v>9999</v>
      </c>
      <c r="AM67" s="3">
        <v>9999</v>
      </c>
      <c r="AN67" s="3">
        <v>9999</v>
      </c>
      <c r="AO67" s="3">
        <v>9999</v>
      </c>
      <c r="AP67" s="3">
        <v>9999</v>
      </c>
      <c r="AQ67" s="3">
        <v>9999</v>
      </c>
      <c r="AR67" s="3">
        <v>9999</v>
      </c>
      <c r="AS67" s="3">
        <v>9999</v>
      </c>
      <c r="AT67" s="3">
        <v>9999</v>
      </c>
      <c r="AU67" s="3">
        <v>9999</v>
      </c>
      <c r="AV67" s="3">
        <v>9999</v>
      </c>
      <c r="AW67" s="3">
        <v>9999</v>
      </c>
      <c r="AX67" s="3">
        <v>9999</v>
      </c>
      <c r="AY67" s="3">
        <v>9999</v>
      </c>
      <c r="AZ67" s="3">
        <v>9999</v>
      </c>
      <c r="BA67" s="3">
        <v>9999</v>
      </c>
      <c r="BB67" s="3">
        <v>9999</v>
      </c>
      <c r="BC67" s="3">
        <v>9999</v>
      </c>
      <c r="BD67" s="3">
        <v>9999</v>
      </c>
      <c r="BE67" s="3">
        <v>9999</v>
      </c>
      <c r="BF67" s="3">
        <v>9999</v>
      </c>
      <c r="BG67" s="3">
        <v>9999</v>
      </c>
      <c r="BH67" s="3">
        <v>9999</v>
      </c>
      <c r="BI67" s="3">
        <v>9999</v>
      </c>
      <c r="BJ67" s="3">
        <v>9999</v>
      </c>
      <c r="BK67" s="3">
        <v>9999</v>
      </c>
      <c r="BL67" s="3">
        <v>9999</v>
      </c>
      <c r="BM67" s="3">
        <v>9999</v>
      </c>
      <c r="BN67" s="3">
        <v>9999</v>
      </c>
      <c r="BO67" s="3">
        <v>9999</v>
      </c>
      <c r="BP67" s="3">
        <v>9999</v>
      </c>
      <c r="BQ67" s="3">
        <v>9999</v>
      </c>
    </row>
    <row r="68" spans="1:69" hidden="1" x14ac:dyDescent="0.25">
      <c r="A68" s="20">
        <v>7</v>
      </c>
      <c r="B68" s="20" t="s">
        <v>18</v>
      </c>
      <c r="C68" s="3" t="s">
        <v>19</v>
      </c>
      <c r="D68" s="3">
        <v>7</v>
      </c>
      <c r="E68" s="3" t="s">
        <v>496</v>
      </c>
      <c r="F68" s="3"/>
      <c r="G68" s="21" t="s">
        <v>500</v>
      </c>
      <c r="H68" s="22">
        <v>0</v>
      </c>
      <c r="I68" s="3">
        <v>29.601819350345821</v>
      </c>
      <c r="J68" s="3">
        <v>37.876160773304392</v>
      </c>
      <c r="K68" s="3">
        <v>35.065787967190744</v>
      </c>
      <c r="L68" s="3">
        <v>37.220020014852238</v>
      </c>
      <c r="M68" s="3">
        <v>41.760746325556518</v>
      </c>
      <c r="N68" s="3">
        <v>42.080106871705794</v>
      </c>
      <c r="O68" s="3">
        <v>38.46842942252669</v>
      </c>
      <c r="P68" s="3">
        <v>38.480042533295752</v>
      </c>
      <c r="Q68" s="3">
        <v>43.389807172946462</v>
      </c>
      <c r="R68" s="3">
        <v>47.274511929187639</v>
      </c>
      <c r="S68" s="3">
        <v>48.313115125721133</v>
      </c>
      <c r="T68" s="3">
        <v>49.878194601928534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</row>
    <row r="69" spans="1:69" hidden="1" x14ac:dyDescent="0.25">
      <c r="A69" s="20">
        <v>7</v>
      </c>
      <c r="B69" s="20" t="s">
        <v>18</v>
      </c>
      <c r="C69" s="3" t="s">
        <v>19</v>
      </c>
      <c r="D69" s="3">
        <v>8</v>
      </c>
      <c r="E69" s="3" t="s">
        <v>497</v>
      </c>
      <c r="F69" s="3"/>
      <c r="G69" s="3" t="s">
        <v>490</v>
      </c>
      <c r="H69" s="3">
        <v>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hidden="1" x14ac:dyDescent="0.25">
      <c r="A70" s="20">
        <v>7</v>
      </c>
      <c r="B70" s="20" t="s">
        <v>18</v>
      </c>
      <c r="C70" s="3" t="s">
        <v>19</v>
      </c>
      <c r="D70" s="3">
        <v>9</v>
      </c>
      <c r="E70" s="3" t="s">
        <v>498</v>
      </c>
      <c r="F70" s="3"/>
      <c r="G70" s="3" t="s">
        <v>490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hidden="1" x14ac:dyDescent="0.25">
      <c r="A71" s="20">
        <v>7</v>
      </c>
      <c r="B71" s="20" t="s">
        <v>18</v>
      </c>
      <c r="C71" s="3" t="s">
        <v>19</v>
      </c>
      <c r="D71" s="3">
        <v>10</v>
      </c>
      <c r="E71" s="3" t="s">
        <v>499</v>
      </c>
      <c r="F71" s="3"/>
      <c r="G71" s="3" t="s">
        <v>490</v>
      </c>
      <c r="H71" s="3">
        <v>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s="17" customFormat="1" hidden="1" x14ac:dyDescent="0.25">
      <c r="A72" s="23">
        <v>8</v>
      </c>
      <c r="B72" s="23" t="s">
        <v>20</v>
      </c>
      <c r="C72" s="24" t="s">
        <v>21</v>
      </c>
      <c r="D72" s="24">
        <v>1</v>
      </c>
      <c r="E72" s="24" t="s">
        <v>489</v>
      </c>
      <c r="F72" s="24"/>
      <c r="G72" s="24" t="s">
        <v>490</v>
      </c>
      <c r="H72" s="24">
        <v>0</v>
      </c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</row>
    <row r="73" spans="1:69" s="17" customFormat="1" hidden="1" x14ac:dyDescent="0.25">
      <c r="A73" s="23">
        <v>8</v>
      </c>
      <c r="B73" s="23" t="s">
        <v>20</v>
      </c>
      <c r="C73" s="24" t="s">
        <v>21</v>
      </c>
      <c r="D73" s="24">
        <v>2</v>
      </c>
      <c r="E73" s="24" t="s">
        <v>491</v>
      </c>
      <c r="F73" s="24"/>
      <c r="G73" s="24" t="s">
        <v>490</v>
      </c>
      <c r="H73" s="24">
        <v>0</v>
      </c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</row>
    <row r="74" spans="1:69" s="17" customFormat="1" hidden="1" x14ac:dyDescent="0.25">
      <c r="A74" s="23">
        <v>8</v>
      </c>
      <c r="B74" s="23" t="s">
        <v>20</v>
      </c>
      <c r="C74" s="24" t="s">
        <v>21</v>
      </c>
      <c r="D74" s="24">
        <v>3</v>
      </c>
      <c r="E74" s="24" t="s">
        <v>492</v>
      </c>
      <c r="F74" s="24"/>
      <c r="G74" s="24" t="s">
        <v>500</v>
      </c>
      <c r="H74" s="24">
        <v>0</v>
      </c>
      <c r="I74" s="24">
        <v>23.0500772</v>
      </c>
      <c r="J74" s="24">
        <v>23.0500772</v>
      </c>
      <c r="K74" s="24">
        <v>23.0500772</v>
      </c>
      <c r="L74" s="24">
        <v>23.0500772</v>
      </c>
      <c r="M74" s="24">
        <v>23.0500772</v>
      </c>
      <c r="N74" s="24">
        <v>23.0500772</v>
      </c>
      <c r="O74" s="24">
        <v>23.0500772</v>
      </c>
      <c r="P74" s="24">
        <v>23.0500772</v>
      </c>
      <c r="Q74" s="24">
        <v>23.0500772</v>
      </c>
      <c r="R74" s="24">
        <v>23.0500772</v>
      </c>
      <c r="S74" s="24">
        <v>23.0500772</v>
      </c>
      <c r="T74" s="24">
        <v>23.0500772</v>
      </c>
      <c r="U74" s="24">
        <v>22.4237</v>
      </c>
      <c r="V74" s="24">
        <v>21.53755</v>
      </c>
      <c r="W74" s="24">
        <v>22.267060000000001</v>
      </c>
      <c r="X74" s="24">
        <v>22.163789999999999</v>
      </c>
      <c r="Y74" s="24">
        <v>22.060659999999999</v>
      </c>
      <c r="Z74" s="24">
        <v>22.053599999999999</v>
      </c>
      <c r="AA74" s="24">
        <v>22.232949999999999</v>
      </c>
      <c r="AB74" s="24">
        <v>22.350560000000002</v>
      </c>
      <c r="AC74" s="24">
        <v>22.31287</v>
      </c>
      <c r="AD74" s="24">
        <v>22.837299999999999</v>
      </c>
      <c r="AE74" s="24">
        <v>22.926590000000001</v>
      </c>
      <c r="AF74" s="24">
        <v>23.038979999999999</v>
      </c>
      <c r="AG74" s="24">
        <v>23.072510000000001</v>
      </c>
      <c r="AH74" s="24">
        <v>23.162980000000001</v>
      </c>
      <c r="AI74" s="24">
        <v>23.32818</v>
      </c>
      <c r="AJ74" s="24">
        <v>23.542490000000001</v>
      </c>
      <c r="AK74" s="24">
        <v>23.667819999999999</v>
      </c>
      <c r="AL74" s="24">
        <v>23.739000000000001</v>
      </c>
      <c r="AM74" s="24">
        <v>23.93563</v>
      </c>
      <c r="AN74" s="24">
        <v>24.039629999999999</v>
      </c>
      <c r="AO74" s="24">
        <v>24.051690000000001</v>
      </c>
      <c r="AP74" s="24">
        <v>24.305219999999998</v>
      </c>
      <c r="AQ74" s="24">
        <v>24.580069999999999</v>
      </c>
      <c r="AR74" s="24">
        <v>24.684449999999998</v>
      </c>
      <c r="AS74" s="24">
        <v>24.863140000000001</v>
      </c>
      <c r="AT74" s="24">
        <v>24.910540000000001</v>
      </c>
      <c r="AU74" s="24">
        <v>24.858070000000001</v>
      </c>
      <c r="AV74" s="24">
        <v>24.83117</v>
      </c>
      <c r="AW74" s="24">
        <v>24.75469</v>
      </c>
      <c r="AX74" s="24">
        <f t="shared" ref="AX74:BQ74" si="0">AW74</f>
        <v>24.75469</v>
      </c>
      <c r="AY74" s="24">
        <f t="shared" si="0"/>
        <v>24.75469</v>
      </c>
      <c r="AZ74" s="24">
        <f t="shared" si="0"/>
        <v>24.75469</v>
      </c>
      <c r="BA74" s="24">
        <f t="shared" si="0"/>
        <v>24.75469</v>
      </c>
      <c r="BB74" s="24">
        <f t="shared" si="0"/>
        <v>24.75469</v>
      </c>
      <c r="BC74" s="24">
        <f t="shared" si="0"/>
        <v>24.75469</v>
      </c>
      <c r="BD74" s="24">
        <f t="shared" si="0"/>
        <v>24.75469</v>
      </c>
      <c r="BE74" s="24">
        <f t="shared" si="0"/>
        <v>24.75469</v>
      </c>
      <c r="BF74" s="24">
        <f t="shared" si="0"/>
        <v>24.75469</v>
      </c>
      <c r="BG74" s="24">
        <f t="shared" si="0"/>
        <v>24.75469</v>
      </c>
      <c r="BH74" s="24">
        <f t="shared" si="0"/>
        <v>24.75469</v>
      </c>
      <c r="BI74" s="24">
        <f t="shared" si="0"/>
        <v>24.75469</v>
      </c>
      <c r="BJ74" s="24">
        <f t="shared" si="0"/>
        <v>24.75469</v>
      </c>
      <c r="BK74" s="24">
        <f t="shared" si="0"/>
        <v>24.75469</v>
      </c>
      <c r="BL74" s="24">
        <f t="shared" si="0"/>
        <v>24.75469</v>
      </c>
      <c r="BM74" s="24">
        <f t="shared" si="0"/>
        <v>24.75469</v>
      </c>
      <c r="BN74" s="24">
        <f t="shared" si="0"/>
        <v>24.75469</v>
      </c>
      <c r="BO74" s="24">
        <f t="shared" si="0"/>
        <v>24.75469</v>
      </c>
      <c r="BP74" s="24">
        <f t="shared" si="0"/>
        <v>24.75469</v>
      </c>
      <c r="BQ74" s="24">
        <f t="shared" si="0"/>
        <v>24.75469</v>
      </c>
    </row>
    <row r="75" spans="1:69" s="17" customFormat="1" hidden="1" x14ac:dyDescent="0.25">
      <c r="A75" s="23">
        <v>8</v>
      </c>
      <c r="B75" s="23" t="s">
        <v>20</v>
      </c>
      <c r="C75" s="24" t="s">
        <v>21</v>
      </c>
      <c r="D75" s="24">
        <v>4</v>
      </c>
      <c r="E75" s="24" t="s">
        <v>493</v>
      </c>
      <c r="F75" s="24"/>
      <c r="G75" s="24" t="s">
        <v>490</v>
      </c>
      <c r="H75" s="24">
        <v>0</v>
      </c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</row>
    <row r="76" spans="1:69" s="17" customFormat="1" hidden="1" x14ac:dyDescent="0.25">
      <c r="A76" s="23">
        <v>8</v>
      </c>
      <c r="B76" s="23" t="s">
        <v>20</v>
      </c>
      <c r="C76" s="24" t="s">
        <v>21</v>
      </c>
      <c r="D76" s="24">
        <v>5</v>
      </c>
      <c r="E76" s="24" t="s">
        <v>494</v>
      </c>
      <c r="F76" s="24"/>
      <c r="G76" s="24" t="s">
        <v>490</v>
      </c>
      <c r="H76" s="24">
        <v>0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</row>
    <row r="77" spans="1:69" s="17" customFormat="1" hidden="1" x14ac:dyDescent="0.25">
      <c r="A77" s="23">
        <v>8</v>
      </c>
      <c r="B77" s="23" t="s">
        <v>20</v>
      </c>
      <c r="C77" s="24" t="s">
        <v>21</v>
      </c>
      <c r="D77" s="24">
        <v>6</v>
      </c>
      <c r="E77" s="24" t="s">
        <v>495</v>
      </c>
      <c r="F77" s="24"/>
      <c r="G77" s="24" t="s">
        <v>500</v>
      </c>
      <c r="H77" s="24">
        <v>0</v>
      </c>
      <c r="I77" s="24">
        <v>0</v>
      </c>
      <c r="J77" s="24">
        <v>21.281025484310991</v>
      </c>
      <c r="K77" s="24">
        <v>16.287387853613186</v>
      </c>
      <c r="L77" s="24">
        <v>12.530546519820769</v>
      </c>
      <c r="M77" s="24">
        <v>6.2652732599103844</v>
      </c>
      <c r="N77" s="24">
        <v>11.398268219836964</v>
      </c>
      <c r="O77" s="24">
        <v>19.062921327419641</v>
      </c>
      <c r="P77" s="24">
        <v>25.612715801172108</v>
      </c>
      <c r="Q77" s="24">
        <v>24.078345824693489</v>
      </c>
      <c r="R77" s="24">
        <v>25.523331769395305</v>
      </c>
      <c r="S77" s="24">
        <v>17.832534842966325</v>
      </c>
      <c r="T77" s="24">
        <v>13.861502850491931</v>
      </c>
      <c r="U77" s="24">
        <v>9999</v>
      </c>
      <c r="V77" s="24">
        <v>9999</v>
      </c>
      <c r="W77" s="24">
        <v>9999</v>
      </c>
      <c r="X77" s="24">
        <v>9999</v>
      </c>
      <c r="Y77" s="24">
        <v>9999</v>
      </c>
      <c r="Z77" s="24">
        <v>9999</v>
      </c>
      <c r="AA77" s="24">
        <v>9999</v>
      </c>
      <c r="AB77" s="24">
        <v>9999</v>
      </c>
      <c r="AC77" s="24">
        <v>9999</v>
      </c>
      <c r="AD77" s="24">
        <v>9999</v>
      </c>
      <c r="AE77" s="24">
        <v>9999</v>
      </c>
      <c r="AF77" s="24">
        <v>9999</v>
      </c>
      <c r="AG77" s="24">
        <v>9999</v>
      </c>
      <c r="AH77" s="24">
        <v>9999</v>
      </c>
      <c r="AI77" s="24">
        <v>9999</v>
      </c>
      <c r="AJ77" s="24">
        <v>9999</v>
      </c>
      <c r="AK77" s="24">
        <v>9999</v>
      </c>
      <c r="AL77" s="24">
        <v>9999</v>
      </c>
      <c r="AM77" s="24">
        <v>9999</v>
      </c>
      <c r="AN77" s="24">
        <v>9999</v>
      </c>
      <c r="AO77" s="24">
        <v>9999</v>
      </c>
      <c r="AP77" s="24">
        <v>9999</v>
      </c>
      <c r="AQ77" s="24">
        <v>9999</v>
      </c>
      <c r="AR77" s="24">
        <v>9999</v>
      </c>
      <c r="AS77" s="24">
        <v>9999</v>
      </c>
      <c r="AT77" s="24">
        <v>9999</v>
      </c>
      <c r="AU77" s="24">
        <v>9999</v>
      </c>
      <c r="AV77" s="24">
        <v>9999</v>
      </c>
      <c r="AW77" s="24">
        <v>9999</v>
      </c>
      <c r="AX77" s="24">
        <v>9999</v>
      </c>
      <c r="AY77" s="24">
        <v>9999</v>
      </c>
      <c r="AZ77" s="24">
        <v>9999</v>
      </c>
      <c r="BA77" s="24">
        <v>9999</v>
      </c>
      <c r="BB77" s="24">
        <v>9999</v>
      </c>
      <c r="BC77" s="24">
        <v>9999</v>
      </c>
      <c r="BD77" s="24">
        <v>9999</v>
      </c>
      <c r="BE77" s="24">
        <v>9999</v>
      </c>
      <c r="BF77" s="24">
        <v>9999</v>
      </c>
      <c r="BG77" s="24">
        <v>9999</v>
      </c>
      <c r="BH77" s="24">
        <v>9999</v>
      </c>
      <c r="BI77" s="24">
        <v>9999</v>
      </c>
      <c r="BJ77" s="24">
        <v>9999</v>
      </c>
      <c r="BK77" s="24">
        <v>9999</v>
      </c>
      <c r="BL77" s="24">
        <v>9999</v>
      </c>
      <c r="BM77" s="24">
        <v>9999</v>
      </c>
      <c r="BN77" s="24">
        <v>9999</v>
      </c>
      <c r="BO77" s="24">
        <v>9999</v>
      </c>
      <c r="BP77" s="24">
        <v>9999</v>
      </c>
      <c r="BQ77" s="24">
        <v>9999</v>
      </c>
    </row>
    <row r="78" spans="1:69" s="17" customFormat="1" hidden="1" x14ac:dyDescent="0.25">
      <c r="A78" s="23">
        <v>8</v>
      </c>
      <c r="B78" s="23" t="s">
        <v>20</v>
      </c>
      <c r="C78" s="24" t="s">
        <v>21</v>
      </c>
      <c r="D78" s="24">
        <v>7</v>
      </c>
      <c r="E78" s="24" t="s">
        <v>496</v>
      </c>
      <c r="F78" s="24"/>
      <c r="G78" s="25" t="s">
        <v>500</v>
      </c>
      <c r="H78" s="26">
        <v>0</v>
      </c>
      <c r="I78" s="24">
        <v>0</v>
      </c>
      <c r="J78" s="24">
        <v>21.281025484310991</v>
      </c>
      <c r="K78" s="24">
        <v>16.287387853613186</v>
      </c>
      <c r="L78" s="24">
        <v>12.530546519820769</v>
      </c>
      <c r="M78" s="24">
        <v>6.2652732599103844</v>
      </c>
      <c r="N78" s="24">
        <v>11.398268219836964</v>
      </c>
      <c r="O78" s="24">
        <v>19.062921327419641</v>
      </c>
      <c r="P78" s="24">
        <v>25.612715801172108</v>
      </c>
      <c r="Q78" s="24">
        <v>24.078345824693489</v>
      </c>
      <c r="R78" s="24">
        <v>25.523331769395305</v>
      </c>
      <c r="S78" s="24">
        <v>17.832534842966325</v>
      </c>
      <c r="T78" s="24">
        <v>13.861502850491931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0</v>
      </c>
      <c r="BA78" s="24">
        <v>0</v>
      </c>
      <c r="BB78" s="24">
        <v>0</v>
      </c>
      <c r="BC78" s="24">
        <v>0</v>
      </c>
      <c r="BD78" s="24">
        <v>0</v>
      </c>
      <c r="BE78" s="24">
        <v>0</v>
      </c>
      <c r="BF78" s="24">
        <v>0</v>
      </c>
      <c r="BG78" s="24">
        <v>0</v>
      </c>
      <c r="BH78" s="24">
        <v>0</v>
      </c>
      <c r="BI78" s="24">
        <v>0</v>
      </c>
      <c r="BJ78" s="24">
        <v>0</v>
      </c>
      <c r="BK78" s="24">
        <v>0</v>
      </c>
      <c r="BL78" s="24">
        <v>0</v>
      </c>
      <c r="BM78" s="24">
        <v>0</v>
      </c>
      <c r="BN78" s="24">
        <v>0</v>
      </c>
      <c r="BO78" s="24">
        <v>0</v>
      </c>
      <c r="BP78" s="24">
        <v>0</v>
      </c>
      <c r="BQ78" s="24">
        <v>0</v>
      </c>
    </row>
    <row r="79" spans="1:69" s="17" customFormat="1" hidden="1" x14ac:dyDescent="0.25">
      <c r="A79" s="23">
        <v>8</v>
      </c>
      <c r="B79" s="23" t="s">
        <v>20</v>
      </c>
      <c r="C79" s="24" t="s">
        <v>21</v>
      </c>
      <c r="D79" s="24">
        <v>8</v>
      </c>
      <c r="E79" s="24" t="s">
        <v>497</v>
      </c>
      <c r="F79" s="24"/>
      <c r="G79" s="24" t="s">
        <v>490</v>
      </c>
      <c r="H79" s="24">
        <v>0</v>
      </c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</row>
    <row r="80" spans="1:69" s="17" customFormat="1" hidden="1" x14ac:dyDescent="0.25">
      <c r="A80" s="23">
        <v>8</v>
      </c>
      <c r="B80" s="23" t="s">
        <v>20</v>
      </c>
      <c r="C80" s="24" t="s">
        <v>21</v>
      </c>
      <c r="D80" s="24">
        <v>9</v>
      </c>
      <c r="E80" s="24" t="s">
        <v>498</v>
      </c>
      <c r="F80" s="24"/>
      <c r="G80" s="24" t="s">
        <v>490</v>
      </c>
      <c r="H80" s="24">
        <v>0</v>
      </c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</row>
    <row r="81" spans="1:69" s="17" customFormat="1" hidden="1" x14ac:dyDescent="0.25">
      <c r="A81" s="23">
        <v>8</v>
      </c>
      <c r="B81" s="23" t="s">
        <v>20</v>
      </c>
      <c r="C81" s="24" t="s">
        <v>21</v>
      </c>
      <c r="D81" s="24">
        <v>10</v>
      </c>
      <c r="E81" s="24" t="s">
        <v>499</v>
      </c>
      <c r="F81" s="24"/>
      <c r="G81" s="24" t="s">
        <v>490</v>
      </c>
      <c r="H81" s="24">
        <v>0</v>
      </c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</row>
    <row r="82" spans="1:69" hidden="1" x14ac:dyDescent="0.25">
      <c r="A82" s="20">
        <v>9</v>
      </c>
      <c r="B82" s="20" t="s">
        <v>22</v>
      </c>
      <c r="C82" s="3" t="s">
        <v>23</v>
      </c>
      <c r="D82" s="3">
        <v>1</v>
      </c>
      <c r="E82" s="3" t="s">
        <v>489</v>
      </c>
      <c r="F82" s="3"/>
      <c r="G82" s="3" t="s">
        <v>490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hidden="1" x14ac:dyDescent="0.25">
      <c r="A83" s="20">
        <v>9</v>
      </c>
      <c r="B83" s="20" t="s">
        <v>22</v>
      </c>
      <c r="C83" s="3" t="s">
        <v>23</v>
      </c>
      <c r="D83" s="3">
        <v>2</v>
      </c>
      <c r="E83" s="3" t="s">
        <v>491</v>
      </c>
      <c r="F83" s="3"/>
      <c r="G83" s="3" t="s">
        <v>490</v>
      </c>
      <c r="H83" s="3">
        <v>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hidden="1" x14ac:dyDescent="0.25">
      <c r="A84" s="20">
        <v>9</v>
      </c>
      <c r="B84" s="20" t="s">
        <v>22</v>
      </c>
      <c r="C84" s="3" t="s">
        <v>23</v>
      </c>
      <c r="D84" s="3">
        <v>3</v>
      </c>
      <c r="E84" s="3" t="s">
        <v>492</v>
      </c>
      <c r="F84" s="3"/>
      <c r="G84" s="3" t="s">
        <v>500</v>
      </c>
      <c r="H84" s="3">
        <v>0</v>
      </c>
      <c r="I84" s="3">
        <v>14.329032</v>
      </c>
      <c r="J84" s="3">
        <v>14.329032</v>
      </c>
      <c r="K84" s="3">
        <v>14.329032</v>
      </c>
      <c r="L84" s="3">
        <v>14.329032</v>
      </c>
      <c r="M84" s="3">
        <v>14.329032</v>
      </c>
      <c r="N84" s="3">
        <v>14.329032</v>
      </c>
      <c r="O84" s="3">
        <v>14.329032</v>
      </c>
      <c r="P84" s="3">
        <v>14.329032</v>
      </c>
      <c r="Q84" s="3">
        <v>14.329032</v>
      </c>
      <c r="R84" s="3">
        <v>14.329032</v>
      </c>
      <c r="S84" s="3">
        <v>14.329032</v>
      </c>
      <c r="T84" s="3">
        <v>14.329032</v>
      </c>
      <c r="U84" s="3">
        <v>14.978680000000001</v>
      </c>
      <c r="V84" s="3">
        <v>13.982340000000001</v>
      </c>
      <c r="W84" s="3">
        <v>15.125450000000001</v>
      </c>
      <c r="X84" s="3">
        <v>15.185079999999999</v>
      </c>
      <c r="Y84" s="3">
        <v>15.32851</v>
      </c>
      <c r="Z84" s="3">
        <v>15.603339999999999</v>
      </c>
      <c r="AA84" s="3">
        <v>15.87411</v>
      </c>
      <c r="AB84" s="3">
        <v>16.039010000000001</v>
      </c>
      <c r="AC84" s="3">
        <v>15.98338</v>
      </c>
      <c r="AD84" s="3">
        <v>16.456600000000002</v>
      </c>
      <c r="AE84" s="3">
        <v>16.636109999999999</v>
      </c>
      <c r="AF84" s="3">
        <v>16.744499999999999</v>
      </c>
      <c r="AG84" s="3">
        <v>16.90924</v>
      </c>
      <c r="AH84" s="3">
        <v>17.01868</v>
      </c>
      <c r="AI84" s="3">
        <v>17.21077</v>
      </c>
      <c r="AJ84" s="3">
        <v>17.461210000000001</v>
      </c>
      <c r="AK84" s="3">
        <v>17.63607</v>
      </c>
      <c r="AL84" s="3">
        <v>17.737410000000001</v>
      </c>
      <c r="AM84" s="3">
        <v>17.92004</v>
      </c>
      <c r="AN84" s="3">
        <v>18.05865</v>
      </c>
      <c r="AO84" s="3">
        <v>18.098579999999998</v>
      </c>
      <c r="AP84" s="3">
        <v>18.382919999999999</v>
      </c>
      <c r="AQ84" s="3">
        <v>18.68638</v>
      </c>
      <c r="AR84" s="3">
        <v>18.792470000000002</v>
      </c>
      <c r="AS84" s="3">
        <v>18.996639999999999</v>
      </c>
      <c r="AT84" s="3">
        <v>19.085789999999999</v>
      </c>
      <c r="AU84" s="3">
        <v>19.058479999999999</v>
      </c>
      <c r="AV84" s="3">
        <v>19.098980000000001</v>
      </c>
      <c r="AW84" s="3">
        <v>19.042290000000001</v>
      </c>
      <c r="AX84" s="3">
        <f t="shared" ref="AX84:BQ84" si="1">AW84</f>
        <v>19.042290000000001</v>
      </c>
      <c r="AY84" s="3">
        <f t="shared" si="1"/>
        <v>19.042290000000001</v>
      </c>
      <c r="AZ84" s="3">
        <f t="shared" si="1"/>
        <v>19.042290000000001</v>
      </c>
      <c r="BA84" s="3">
        <f t="shared" si="1"/>
        <v>19.042290000000001</v>
      </c>
      <c r="BB84" s="3">
        <f t="shared" si="1"/>
        <v>19.042290000000001</v>
      </c>
      <c r="BC84" s="3">
        <f t="shared" si="1"/>
        <v>19.042290000000001</v>
      </c>
      <c r="BD84" s="3">
        <f t="shared" si="1"/>
        <v>19.042290000000001</v>
      </c>
      <c r="BE84" s="3">
        <f t="shared" si="1"/>
        <v>19.042290000000001</v>
      </c>
      <c r="BF84" s="3">
        <f t="shared" si="1"/>
        <v>19.042290000000001</v>
      </c>
      <c r="BG84" s="3">
        <f t="shared" si="1"/>
        <v>19.042290000000001</v>
      </c>
      <c r="BH84" s="3">
        <f t="shared" si="1"/>
        <v>19.042290000000001</v>
      </c>
      <c r="BI84" s="3">
        <f t="shared" si="1"/>
        <v>19.042290000000001</v>
      </c>
      <c r="BJ84" s="3">
        <f t="shared" si="1"/>
        <v>19.042290000000001</v>
      </c>
      <c r="BK84" s="3">
        <f t="shared" si="1"/>
        <v>19.042290000000001</v>
      </c>
      <c r="BL84" s="3">
        <f t="shared" si="1"/>
        <v>19.042290000000001</v>
      </c>
      <c r="BM84" s="3">
        <f t="shared" si="1"/>
        <v>19.042290000000001</v>
      </c>
      <c r="BN84" s="3">
        <f t="shared" si="1"/>
        <v>19.042290000000001</v>
      </c>
      <c r="BO84" s="3">
        <f t="shared" si="1"/>
        <v>19.042290000000001</v>
      </c>
      <c r="BP84" s="3">
        <f t="shared" si="1"/>
        <v>19.042290000000001</v>
      </c>
      <c r="BQ84" s="3">
        <f t="shared" si="1"/>
        <v>19.042290000000001</v>
      </c>
    </row>
    <row r="85" spans="1:69" hidden="1" x14ac:dyDescent="0.25">
      <c r="A85" s="20">
        <v>9</v>
      </c>
      <c r="B85" s="20" t="s">
        <v>22</v>
      </c>
      <c r="C85" s="3" t="s">
        <v>23</v>
      </c>
      <c r="D85" s="3">
        <v>4</v>
      </c>
      <c r="E85" s="3" t="s">
        <v>493</v>
      </c>
      <c r="F85" s="3"/>
      <c r="G85" s="3" t="s">
        <v>490</v>
      </c>
      <c r="H85" s="3">
        <v>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hidden="1" x14ac:dyDescent="0.25">
      <c r="A86" s="20">
        <v>9</v>
      </c>
      <c r="B86" s="20" t="s">
        <v>22</v>
      </c>
      <c r="C86" s="3" t="s">
        <v>23</v>
      </c>
      <c r="D86" s="3">
        <v>5</v>
      </c>
      <c r="E86" s="3" t="s">
        <v>494</v>
      </c>
      <c r="F86" s="3"/>
      <c r="G86" s="3" t="s">
        <v>490</v>
      </c>
      <c r="H86" s="3"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hidden="1" x14ac:dyDescent="0.25">
      <c r="A87" s="20">
        <v>9</v>
      </c>
      <c r="B87" s="20" t="s">
        <v>22</v>
      </c>
      <c r="C87" s="3" t="s">
        <v>23</v>
      </c>
      <c r="D87" s="3">
        <v>6</v>
      </c>
      <c r="E87" s="3" t="s">
        <v>495</v>
      </c>
      <c r="F87" s="3"/>
      <c r="G87" s="3" t="s">
        <v>500</v>
      </c>
      <c r="H87" s="3">
        <v>0</v>
      </c>
      <c r="I87" s="3">
        <v>32.383159379536806</v>
      </c>
      <c r="J87" s="3">
        <v>0</v>
      </c>
      <c r="K87" s="3">
        <v>0</v>
      </c>
      <c r="L87" s="3">
        <v>0.4471047646089894</v>
      </c>
      <c r="M87" s="3">
        <v>1.4400257353640178</v>
      </c>
      <c r="N87" s="3">
        <v>1.1729241876755307</v>
      </c>
      <c r="O87" s="3">
        <v>0</v>
      </c>
      <c r="P87" s="3">
        <v>0</v>
      </c>
      <c r="Q87" s="3">
        <v>0</v>
      </c>
      <c r="R87" s="3">
        <v>0</v>
      </c>
      <c r="S87" s="3">
        <v>0.93795160777154696</v>
      </c>
      <c r="T87" s="3">
        <v>0</v>
      </c>
      <c r="U87" s="3">
        <v>9999</v>
      </c>
      <c r="V87" s="3">
        <v>9999</v>
      </c>
      <c r="W87" s="3">
        <v>9999</v>
      </c>
      <c r="X87" s="3">
        <v>9999</v>
      </c>
      <c r="Y87" s="3">
        <v>9999</v>
      </c>
      <c r="Z87" s="3">
        <v>9999</v>
      </c>
      <c r="AA87" s="3">
        <v>9999</v>
      </c>
      <c r="AB87" s="3">
        <v>9999</v>
      </c>
      <c r="AC87" s="3">
        <v>9999</v>
      </c>
      <c r="AD87" s="3">
        <v>9999</v>
      </c>
      <c r="AE87" s="3">
        <v>9999</v>
      </c>
      <c r="AF87" s="3">
        <v>9999</v>
      </c>
      <c r="AG87" s="3">
        <v>9999</v>
      </c>
      <c r="AH87" s="3">
        <v>9999</v>
      </c>
      <c r="AI87" s="3">
        <v>9999</v>
      </c>
      <c r="AJ87" s="3">
        <v>9999</v>
      </c>
      <c r="AK87" s="3">
        <v>9999</v>
      </c>
      <c r="AL87" s="3">
        <v>9999</v>
      </c>
      <c r="AM87" s="3">
        <v>9999</v>
      </c>
      <c r="AN87" s="3">
        <v>9999</v>
      </c>
      <c r="AO87" s="3">
        <v>9999</v>
      </c>
      <c r="AP87" s="3">
        <v>9999</v>
      </c>
      <c r="AQ87" s="3">
        <v>9999</v>
      </c>
      <c r="AR87" s="3">
        <v>9999</v>
      </c>
      <c r="AS87" s="3">
        <v>9999</v>
      </c>
      <c r="AT87" s="3">
        <v>9999</v>
      </c>
      <c r="AU87" s="3">
        <v>9999</v>
      </c>
      <c r="AV87" s="3">
        <v>9999</v>
      </c>
      <c r="AW87" s="3">
        <v>9999</v>
      </c>
      <c r="AX87" s="3">
        <v>9999</v>
      </c>
      <c r="AY87" s="3">
        <v>9999</v>
      </c>
      <c r="AZ87" s="3">
        <v>9999</v>
      </c>
      <c r="BA87" s="3">
        <v>9999</v>
      </c>
      <c r="BB87" s="3">
        <v>9999</v>
      </c>
      <c r="BC87" s="3">
        <v>9999</v>
      </c>
      <c r="BD87" s="3">
        <v>9999</v>
      </c>
      <c r="BE87" s="3">
        <v>9999</v>
      </c>
      <c r="BF87" s="3">
        <v>9999</v>
      </c>
      <c r="BG87" s="3">
        <v>9999</v>
      </c>
      <c r="BH87" s="3">
        <v>9999</v>
      </c>
      <c r="BI87" s="3">
        <v>9999</v>
      </c>
      <c r="BJ87" s="3">
        <v>9999</v>
      </c>
      <c r="BK87" s="3">
        <v>9999</v>
      </c>
      <c r="BL87" s="3">
        <v>9999</v>
      </c>
      <c r="BM87" s="3">
        <v>9999</v>
      </c>
      <c r="BN87" s="3">
        <v>9999</v>
      </c>
      <c r="BO87" s="3">
        <v>9999</v>
      </c>
      <c r="BP87" s="3">
        <v>9999</v>
      </c>
      <c r="BQ87" s="3">
        <v>9999</v>
      </c>
    </row>
    <row r="88" spans="1:69" hidden="1" x14ac:dyDescent="0.25">
      <c r="A88" s="20">
        <v>9</v>
      </c>
      <c r="B88" s="20" t="s">
        <v>22</v>
      </c>
      <c r="C88" s="3" t="s">
        <v>23</v>
      </c>
      <c r="D88" s="3">
        <v>7</v>
      </c>
      <c r="E88" s="3" t="s">
        <v>496</v>
      </c>
      <c r="F88" s="3"/>
      <c r="G88" s="21" t="s">
        <v>500</v>
      </c>
      <c r="H88" s="22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3">
        <v>0</v>
      </c>
      <c r="R88" s="3">
        <v>0</v>
      </c>
      <c r="S88" s="3">
        <v>0.93795160777154696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</row>
    <row r="89" spans="1:69" hidden="1" x14ac:dyDescent="0.25">
      <c r="A89" s="20">
        <v>9</v>
      </c>
      <c r="B89" s="20" t="s">
        <v>22</v>
      </c>
      <c r="C89" s="3" t="s">
        <v>23</v>
      </c>
      <c r="D89" s="3">
        <v>8</v>
      </c>
      <c r="E89" s="3" t="s">
        <v>497</v>
      </c>
      <c r="F89" s="3"/>
      <c r="G89" s="3" t="s">
        <v>490</v>
      </c>
      <c r="H89" s="3">
        <v>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hidden="1" x14ac:dyDescent="0.25">
      <c r="A90" s="20">
        <v>9</v>
      </c>
      <c r="B90" s="20" t="s">
        <v>22</v>
      </c>
      <c r="C90" s="3" t="s">
        <v>23</v>
      </c>
      <c r="D90" s="3">
        <v>9</v>
      </c>
      <c r="E90" s="3" t="s">
        <v>498</v>
      </c>
      <c r="F90" s="3"/>
      <c r="G90" s="3" t="s">
        <v>490</v>
      </c>
      <c r="H90" s="3">
        <v>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hidden="1" x14ac:dyDescent="0.25">
      <c r="A91" s="20">
        <v>9</v>
      </c>
      <c r="B91" s="20" t="s">
        <v>22</v>
      </c>
      <c r="C91" s="3" t="s">
        <v>23</v>
      </c>
      <c r="D91" s="3">
        <v>10</v>
      </c>
      <c r="E91" s="3" t="s">
        <v>499</v>
      </c>
      <c r="F91" s="3"/>
      <c r="G91" s="3" t="s">
        <v>490</v>
      </c>
      <c r="H91" s="3">
        <v>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s="17" customFormat="1" hidden="1" x14ac:dyDescent="0.25">
      <c r="A92" s="23">
        <v>10</v>
      </c>
      <c r="B92" s="23" t="s">
        <v>26</v>
      </c>
      <c r="C92" s="24" t="s">
        <v>27</v>
      </c>
      <c r="D92" s="24">
        <v>1</v>
      </c>
      <c r="E92" s="24" t="s">
        <v>489</v>
      </c>
      <c r="F92" s="24"/>
      <c r="G92" s="24" t="s">
        <v>490</v>
      </c>
      <c r="H92" s="24">
        <v>0</v>
      </c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</row>
    <row r="93" spans="1:69" s="17" customFormat="1" hidden="1" x14ac:dyDescent="0.25">
      <c r="A93" s="23">
        <v>10</v>
      </c>
      <c r="B93" s="23" t="s">
        <v>26</v>
      </c>
      <c r="C93" s="24" t="s">
        <v>27</v>
      </c>
      <c r="D93" s="24">
        <v>2</v>
      </c>
      <c r="E93" s="24" t="s">
        <v>491</v>
      </c>
      <c r="F93" s="24"/>
      <c r="G93" s="24" t="s">
        <v>490</v>
      </c>
      <c r="H93" s="24">
        <v>0</v>
      </c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</row>
    <row r="94" spans="1:69" s="17" customFormat="1" hidden="1" x14ac:dyDescent="0.25">
      <c r="A94" s="23">
        <v>10</v>
      </c>
      <c r="B94" s="23" t="s">
        <v>26</v>
      </c>
      <c r="C94" s="24" t="s">
        <v>27</v>
      </c>
      <c r="D94" s="24">
        <v>3</v>
      </c>
      <c r="E94" s="24" t="s">
        <v>492</v>
      </c>
      <c r="F94" s="24"/>
      <c r="G94" s="24" t="s">
        <v>500</v>
      </c>
      <c r="H94" s="24">
        <v>0</v>
      </c>
      <c r="I94" s="24">
        <v>11.8683698</v>
      </c>
      <c r="J94" s="24">
        <v>11.8683698</v>
      </c>
      <c r="K94" s="24">
        <v>11.8683698</v>
      </c>
      <c r="L94" s="24">
        <v>11.8683698</v>
      </c>
      <c r="M94" s="24">
        <v>11.8683698</v>
      </c>
      <c r="N94" s="24">
        <v>11.8683698</v>
      </c>
      <c r="O94" s="24">
        <v>11.8683698</v>
      </c>
      <c r="P94" s="24">
        <v>11.8683698</v>
      </c>
      <c r="Q94" s="24">
        <v>11.8683698</v>
      </c>
      <c r="R94" s="24">
        <v>11.8683698</v>
      </c>
      <c r="S94" s="24">
        <v>11.8683698</v>
      </c>
      <c r="T94" s="24">
        <v>11.8683698</v>
      </c>
      <c r="U94" s="24">
        <v>11.46402</v>
      </c>
      <c r="V94" s="24">
        <v>10.108650000000001</v>
      </c>
      <c r="W94" s="24">
        <v>10.99977</v>
      </c>
      <c r="X94" s="24">
        <v>11.13034</v>
      </c>
      <c r="Y94" s="24">
        <v>11.346310000000001</v>
      </c>
      <c r="Z94" s="24">
        <v>11.66873</v>
      </c>
      <c r="AA94" s="24">
        <v>11.90446</v>
      </c>
      <c r="AB94" s="24">
        <v>12.07944</v>
      </c>
      <c r="AC94" s="24">
        <v>12.26516</v>
      </c>
      <c r="AD94" s="24">
        <v>12.521800000000001</v>
      </c>
      <c r="AE94" s="24">
        <v>12.72306</v>
      </c>
      <c r="AF94" s="24">
        <v>12.85915</v>
      </c>
      <c r="AG94" s="24">
        <v>12.928509999999999</v>
      </c>
      <c r="AH94" s="24">
        <v>13.051360000000001</v>
      </c>
      <c r="AI94" s="24">
        <v>13.26013</v>
      </c>
      <c r="AJ94" s="24">
        <v>13.41297</v>
      </c>
      <c r="AK94" s="24">
        <v>13.590260000000001</v>
      </c>
      <c r="AL94" s="24">
        <v>13.63463</v>
      </c>
      <c r="AM94" s="24">
        <v>13.89406</v>
      </c>
      <c r="AN94" s="24">
        <v>14.052770000000001</v>
      </c>
      <c r="AO94" s="24">
        <v>14.11974</v>
      </c>
      <c r="AP94" s="24">
        <v>14.36478</v>
      </c>
      <c r="AQ94" s="24">
        <v>14.65976</v>
      </c>
      <c r="AR94" s="24">
        <v>14.740399999999999</v>
      </c>
      <c r="AS94" s="24">
        <v>14.95421</v>
      </c>
      <c r="AT94" s="24">
        <v>14.945499999999999</v>
      </c>
      <c r="AU94" s="24">
        <v>14.96617</v>
      </c>
      <c r="AV94" s="24">
        <v>15.01878</v>
      </c>
      <c r="AW94" s="24">
        <v>14.97146</v>
      </c>
      <c r="AX94" s="24">
        <f t="shared" ref="AX94:BQ94" si="2">AW94</f>
        <v>14.97146</v>
      </c>
      <c r="AY94" s="24">
        <f t="shared" si="2"/>
        <v>14.97146</v>
      </c>
      <c r="AZ94" s="24">
        <f t="shared" si="2"/>
        <v>14.97146</v>
      </c>
      <c r="BA94" s="24">
        <f t="shared" si="2"/>
        <v>14.97146</v>
      </c>
      <c r="BB94" s="24">
        <f t="shared" si="2"/>
        <v>14.97146</v>
      </c>
      <c r="BC94" s="24">
        <f t="shared" si="2"/>
        <v>14.97146</v>
      </c>
      <c r="BD94" s="24">
        <f t="shared" si="2"/>
        <v>14.97146</v>
      </c>
      <c r="BE94" s="24">
        <f t="shared" si="2"/>
        <v>14.97146</v>
      </c>
      <c r="BF94" s="24">
        <f t="shared" si="2"/>
        <v>14.97146</v>
      </c>
      <c r="BG94" s="24">
        <f t="shared" si="2"/>
        <v>14.97146</v>
      </c>
      <c r="BH94" s="24">
        <f t="shared" si="2"/>
        <v>14.97146</v>
      </c>
      <c r="BI94" s="24">
        <f t="shared" si="2"/>
        <v>14.97146</v>
      </c>
      <c r="BJ94" s="24">
        <f t="shared" si="2"/>
        <v>14.97146</v>
      </c>
      <c r="BK94" s="24">
        <f t="shared" si="2"/>
        <v>14.97146</v>
      </c>
      <c r="BL94" s="24">
        <f t="shared" si="2"/>
        <v>14.97146</v>
      </c>
      <c r="BM94" s="24">
        <f t="shared" si="2"/>
        <v>14.97146</v>
      </c>
      <c r="BN94" s="24">
        <f t="shared" si="2"/>
        <v>14.97146</v>
      </c>
      <c r="BO94" s="24">
        <f t="shared" si="2"/>
        <v>14.97146</v>
      </c>
      <c r="BP94" s="24">
        <f t="shared" si="2"/>
        <v>14.97146</v>
      </c>
      <c r="BQ94" s="24">
        <f t="shared" si="2"/>
        <v>14.97146</v>
      </c>
    </row>
    <row r="95" spans="1:69" s="17" customFormat="1" hidden="1" x14ac:dyDescent="0.25">
      <c r="A95" s="23">
        <v>10</v>
      </c>
      <c r="B95" s="23" t="s">
        <v>26</v>
      </c>
      <c r="C95" s="24" t="s">
        <v>27</v>
      </c>
      <c r="D95" s="24">
        <v>4</v>
      </c>
      <c r="E95" s="24" t="s">
        <v>493</v>
      </c>
      <c r="F95" s="24"/>
      <c r="G95" s="24" t="s">
        <v>490</v>
      </c>
      <c r="H95" s="24">
        <v>0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</row>
    <row r="96" spans="1:69" s="17" customFormat="1" hidden="1" x14ac:dyDescent="0.25">
      <c r="A96" s="23">
        <v>10</v>
      </c>
      <c r="B96" s="23" t="s">
        <v>26</v>
      </c>
      <c r="C96" s="24" t="s">
        <v>27</v>
      </c>
      <c r="D96" s="24">
        <v>5</v>
      </c>
      <c r="E96" s="24" t="s">
        <v>494</v>
      </c>
      <c r="F96" s="24"/>
      <c r="G96" s="24" t="s">
        <v>490</v>
      </c>
      <c r="H96" s="24">
        <v>0</v>
      </c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</row>
    <row r="97" spans="1:69" s="17" customFormat="1" hidden="1" x14ac:dyDescent="0.25">
      <c r="A97" s="23">
        <v>10</v>
      </c>
      <c r="B97" s="23" t="s">
        <v>26</v>
      </c>
      <c r="C97" s="24" t="s">
        <v>27</v>
      </c>
      <c r="D97" s="24">
        <v>6</v>
      </c>
      <c r="E97" s="24" t="s">
        <v>495</v>
      </c>
      <c r="F97" s="24"/>
      <c r="G97" s="24" t="s">
        <v>500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9999</v>
      </c>
      <c r="V97" s="24">
        <v>9999</v>
      </c>
      <c r="W97" s="24">
        <v>9999</v>
      </c>
      <c r="X97" s="24">
        <v>9999</v>
      </c>
      <c r="Y97" s="24">
        <v>9999</v>
      </c>
      <c r="Z97" s="24">
        <v>9999</v>
      </c>
      <c r="AA97" s="24">
        <v>9999</v>
      </c>
      <c r="AB97" s="24">
        <v>9999</v>
      </c>
      <c r="AC97" s="24">
        <v>9999</v>
      </c>
      <c r="AD97" s="24">
        <v>9999</v>
      </c>
      <c r="AE97" s="24">
        <v>9999</v>
      </c>
      <c r="AF97" s="24">
        <v>9999</v>
      </c>
      <c r="AG97" s="24">
        <v>9999</v>
      </c>
      <c r="AH97" s="24">
        <v>9999</v>
      </c>
      <c r="AI97" s="24">
        <v>9999</v>
      </c>
      <c r="AJ97" s="24">
        <v>9999</v>
      </c>
      <c r="AK97" s="24">
        <v>9999</v>
      </c>
      <c r="AL97" s="24">
        <v>9999</v>
      </c>
      <c r="AM97" s="24">
        <v>9999</v>
      </c>
      <c r="AN97" s="24">
        <v>9999</v>
      </c>
      <c r="AO97" s="24">
        <v>9999</v>
      </c>
      <c r="AP97" s="24">
        <v>9999</v>
      </c>
      <c r="AQ97" s="24">
        <v>9999</v>
      </c>
      <c r="AR97" s="24">
        <v>9999</v>
      </c>
      <c r="AS97" s="24">
        <v>9999</v>
      </c>
      <c r="AT97" s="24">
        <v>9999</v>
      </c>
      <c r="AU97" s="24">
        <v>9999</v>
      </c>
      <c r="AV97" s="24">
        <v>9999</v>
      </c>
      <c r="AW97" s="24">
        <v>9999</v>
      </c>
      <c r="AX97" s="24">
        <v>9999</v>
      </c>
      <c r="AY97" s="24">
        <v>9999</v>
      </c>
      <c r="AZ97" s="24">
        <v>9999</v>
      </c>
      <c r="BA97" s="24">
        <v>9999</v>
      </c>
      <c r="BB97" s="24">
        <v>9999</v>
      </c>
      <c r="BC97" s="24">
        <v>9999</v>
      </c>
      <c r="BD97" s="24">
        <v>9999</v>
      </c>
      <c r="BE97" s="24">
        <v>9999</v>
      </c>
      <c r="BF97" s="24">
        <v>9999</v>
      </c>
      <c r="BG97" s="24">
        <v>9999</v>
      </c>
      <c r="BH97" s="24">
        <v>9999</v>
      </c>
      <c r="BI97" s="24">
        <v>9999</v>
      </c>
      <c r="BJ97" s="24">
        <v>9999</v>
      </c>
      <c r="BK97" s="24">
        <v>9999</v>
      </c>
      <c r="BL97" s="24">
        <v>9999</v>
      </c>
      <c r="BM97" s="24">
        <v>9999</v>
      </c>
      <c r="BN97" s="24">
        <v>9999</v>
      </c>
      <c r="BO97" s="24">
        <v>9999</v>
      </c>
      <c r="BP97" s="24">
        <v>9999</v>
      </c>
      <c r="BQ97" s="24">
        <v>9999</v>
      </c>
    </row>
    <row r="98" spans="1:69" s="17" customFormat="1" hidden="1" x14ac:dyDescent="0.25">
      <c r="A98" s="23">
        <v>10</v>
      </c>
      <c r="B98" s="23" t="s">
        <v>26</v>
      </c>
      <c r="C98" s="24" t="s">
        <v>27</v>
      </c>
      <c r="D98" s="24">
        <v>7</v>
      </c>
      <c r="E98" s="24" t="s">
        <v>496</v>
      </c>
      <c r="F98" s="24"/>
      <c r="G98" s="25" t="s">
        <v>500</v>
      </c>
      <c r="H98" s="26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24">
        <v>0</v>
      </c>
      <c r="AX98" s="24">
        <v>0</v>
      </c>
      <c r="AY98" s="24">
        <v>0</v>
      </c>
      <c r="AZ98" s="24">
        <v>0</v>
      </c>
      <c r="BA98" s="24">
        <v>0</v>
      </c>
      <c r="BB98" s="24">
        <v>0</v>
      </c>
      <c r="BC98" s="24">
        <v>0</v>
      </c>
      <c r="BD98" s="24">
        <v>0</v>
      </c>
      <c r="BE98" s="24">
        <v>0</v>
      </c>
      <c r="BF98" s="24">
        <v>0</v>
      </c>
      <c r="BG98" s="24">
        <v>0</v>
      </c>
      <c r="BH98" s="24">
        <v>0</v>
      </c>
      <c r="BI98" s="24">
        <v>0</v>
      </c>
      <c r="BJ98" s="24">
        <v>0</v>
      </c>
      <c r="BK98" s="24">
        <v>0</v>
      </c>
      <c r="BL98" s="24">
        <v>0</v>
      </c>
      <c r="BM98" s="24">
        <v>0</v>
      </c>
      <c r="BN98" s="24">
        <v>0</v>
      </c>
      <c r="BO98" s="24">
        <v>0</v>
      </c>
      <c r="BP98" s="24">
        <v>0</v>
      </c>
      <c r="BQ98" s="24">
        <v>0</v>
      </c>
    </row>
    <row r="99" spans="1:69" s="17" customFormat="1" hidden="1" x14ac:dyDescent="0.25">
      <c r="A99" s="23">
        <v>10</v>
      </c>
      <c r="B99" s="23" t="s">
        <v>26</v>
      </c>
      <c r="C99" s="24" t="s">
        <v>27</v>
      </c>
      <c r="D99" s="24">
        <v>8</v>
      </c>
      <c r="E99" s="24" t="s">
        <v>497</v>
      </c>
      <c r="F99" s="24"/>
      <c r="G99" s="24" t="s">
        <v>490</v>
      </c>
      <c r="H99" s="24">
        <v>0</v>
      </c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</row>
    <row r="100" spans="1:69" s="17" customFormat="1" hidden="1" x14ac:dyDescent="0.25">
      <c r="A100" s="23">
        <v>10</v>
      </c>
      <c r="B100" s="23" t="s">
        <v>26</v>
      </c>
      <c r="C100" s="24" t="s">
        <v>27</v>
      </c>
      <c r="D100" s="24">
        <v>9</v>
      </c>
      <c r="E100" s="24" t="s">
        <v>498</v>
      </c>
      <c r="F100" s="24"/>
      <c r="G100" s="24" t="s">
        <v>490</v>
      </c>
      <c r="H100" s="24">
        <v>0</v>
      </c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</row>
    <row r="101" spans="1:69" s="17" customFormat="1" hidden="1" x14ac:dyDescent="0.25">
      <c r="A101" s="23">
        <v>10</v>
      </c>
      <c r="B101" s="23" t="s">
        <v>26</v>
      </c>
      <c r="C101" s="24" t="s">
        <v>27</v>
      </c>
      <c r="D101" s="24">
        <v>10</v>
      </c>
      <c r="E101" s="24" t="s">
        <v>499</v>
      </c>
      <c r="F101" s="24"/>
      <c r="G101" s="24" t="s">
        <v>490</v>
      </c>
      <c r="H101" s="24">
        <v>0</v>
      </c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</row>
    <row r="102" spans="1:69" hidden="1" x14ac:dyDescent="0.25">
      <c r="A102" s="20">
        <v>11</v>
      </c>
      <c r="B102" s="20" t="s">
        <v>28</v>
      </c>
      <c r="C102" s="3" t="s">
        <v>29</v>
      </c>
      <c r="D102" s="3">
        <v>1</v>
      </c>
      <c r="E102" s="3" t="s">
        <v>489</v>
      </c>
      <c r="F102" s="3"/>
      <c r="G102" s="3" t="s">
        <v>490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hidden="1" x14ac:dyDescent="0.25">
      <c r="A103" s="20">
        <v>11</v>
      </c>
      <c r="B103" s="20" t="s">
        <v>28</v>
      </c>
      <c r="C103" s="3" t="s">
        <v>29</v>
      </c>
      <c r="D103" s="3">
        <v>2</v>
      </c>
      <c r="E103" s="3" t="s">
        <v>491</v>
      </c>
      <c r="F103" s="3"/>
      <c r="G103" s="3" t="s">
        <v>490</v>
      </c>
      <c r="H103" s="3">
        <v>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hidden="1" x14ac:dyDescent="0.25">
      <c r="A104" s="20">
        <v>11</v>
      </c>
      <c r="B104" s="20" t="s">
        <v>28</v>
      </c>
      <c r="C104" s="3" t="s">
        <v>29</v>
      </c>
      <c r="D104" s="3">
        <v>3</v>
      </c>
      <c r="E104" s="3" t="s">
        <v>492</v>
      </c>
      <c r="F104" s="3"/>
      <c r="G104" s="3" t="s">
        <v>490</v>
      </c>
      <c r="H104" s="3">
        <v>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hidden="1" x14ac:dyDescent="0.25">
      <c r="A105" s="20">
        <v>11</v>
      </c>
      <c r="B105" s="20" t="s">
        <v>28</v>
      </c>
      <c r="C105" s="3" t="s">
        <v>29</v>
      </c>
      <c r="D105" s="3">
        <v>4</v>
      </c>
      <c r="E105" s="3" t="s">
        <v>493</v>
      </c>
      <c r="F105" s="3"/>
      <c r="G105" s="3" t="s">
        <v>490</v>
      </c>
      <c r="H105" s="3"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hidden="1" x14ac:dyDescent="0.25">
      <c r="A106" s="20">
        <v>11</v>
      </c>
      <c r="B106" s="20" t="s">
        <v>28</v>
      </c>
      <c r="C106" s="3" t="s">
        <v>29</v>
      </c>
      <c r="D106" s="3">
        <v>5</v>
      </c>
      <c r="E106" s="3" t="s">
        <v>494</v>
      </c>
      <c r="F106" s="3"/>
      <c r="G106" s="3" t="s">
        <v>490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hidden="1" x14ac:dyDescent="0.25">
      <c r="A107" s="20">
        <v>11</v>
      </c>
      <c r="B107" s="20" t="s">
        <v>28</v>
      </c>
      <c r="C107" s="3" t="s">
        <v>29</v>
      </c>
      <c r="D107" s="3">
        <v>6</v>
      </c>
      <c r="E107" s="3" t="s">
        <v>495</v>
      </c>
      <c r="F107" s="3"/>
      <c r="G107" s="3" t="s">
        <v>501</v>
      </c>
      <c r="H107" s="3">
        <v>0</v>
      </c>
      <c r="I107" s="3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hidden="1" x14ac:dyDescent="0.25">
      <c r="A108" s="20">
        <v>11</v>
      </c>
      <c r="B108" s="20" t="s">
        <v>28</v>
      </c>
      <c r="C108" s="3" t="s">
        <v>29</v>
      </c>
      <c r="D108" s="3">
        <v>7</v>
      </c>
      <c r="E108" s="3" t="s">
        <v>496</v>
      </c>
      <c r="F108" s="3"/>
      <c r="G108" s="21" t="s">
        <v>501</v>
      </c>
      <c r="H108" s="22">
        <v>0</v>
      </c>
      <c r="I108" s="3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hidden="1" x14ac:dyDescent="0.25">
      <c r="A109" s="20">
        <v>11</v>
      </c>
      <c r="B109" s="20" t="s">
        <v>28</v>
      </c>
      <c r="C109" s="3" t="s">
        <v>29</v>
      </c>
      <c r="D109" s="3">
        <v>8</v>
      </c>
      <c r="E109" s="3" t="s">
        <v>497</v>
      </c>
      <c r="F109" s="3"/>
      <c r="G109" s="3" t="s">
        <v>490</v>
      </c>
      <c r="H109" s="3">
        <v>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hidden="1" x14ac:dyDescent="0.25">
      <c r="A110" s="20">
        <v>11</v>
      </c>
      <c r="B110" s="20" t="s">
        <v>28</v>
      </c>
      <c r="C110" s="3" t="s">
        <v>29</v>
      </c>
      <c r="D110" s="3">
        <v>9</v>
      </c>
      <c r="E110" s="3" t="s">
        <v>498</v>
      </c>
      <c r="F110" s="3"/>
      <c r="G110" s="3" t="s">
        <v>490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hidden="1" x14ac:dyDescent="0.25">
      <c r="A111" s="20">
        <v>11</v>
      </c>
      <c r="B111" s="20" t="s">
        <v>28</v>
      </c>
      <c r="C111" s="3" t="s">
        <v>29</v>
      </c>
      <c r="D111" s="3">
        <v>10</v>
      </c>
      <c r="E111" s="3" t="s">
        <v>499</v>
      </c>
      <c r="F111" s="3"/>
      <c r="G111" s="3" t="s">
        <v>490</v>
      </c>
      <c r="H111" s="3"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s="17" customFormat="1" hidden="1" x14ac:dyDescent="0.25">
      <c r="A112" s="23">
        <v>12</v>
      </c>
      <c r="B112" s="23" t="s">
        <v>30</v>
      </c>
      <c r="C112" s="24" t="s">
        <v>31</v>
      </c>
      <c r="D112" s="24">
        <v>1</v>
      </c>
      <c r="E112" s="24" t="s">
        <v>489</v>
      </c>
      <c r="F112" s="24"/>
      <c r="G112" s="24" t="s">
        <v>490</v>
      </c>
      <c r="H112" s="24">
        <v>0</v>
      </c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</row>
    <row r="113" spans="1:69" s="17" customFormat="1" hidden="1" x14ac:dyDescent="0.25">
      <c r="A113" s="23">
        <v>12</v>
      </c>
      <c r="B113" s="23" t="s">
        <v>30</v>
      </c>
      <c r="C113" s="24" t="s">
        <v>31</v>
      </c>
      <c r="D113" s="24">
        <v>2</v>
      </c>
      <c r="E113" s="24" t="s">
        <v>491</v>
      </c>
      <c r="F113" s="24"/>
      <c r="G113" s="24" t="s">
        <v>490</v>
      </c>
      <c r="H113" s="24">
        <v>0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</row>
    <row r="114" spans="1:69" s="17" customFormat="1" hidden="1" x14ac:dyDescent="0.25">
      <c r="A114" s="23">
        <v>12</v>
      </c>
      <c r="B114" s="23" t="s">
        <v>30</v>
      </c>
      <c r="C114" s="24" t="s">
        <v>31</v>
      </c>
      <c r="D114" s="24">
        <v>3</v>
      </c>
      <c r="E114" s="24" t="s">
        <v>492</v>
      </c>
      <c r="F114" s="24"/>
      <c r="G114" s="24" t="s">
        <v>490</v>
      </c>
      <c r="H114" s="24">
        <v>0</v>
      </c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</row>
    <row r="115" spans="1:69" s="17" customFormat="1" hidden="1" x14ac:dyDescent="0.25">
      <c r="A115" s="23">
        <v>12</v>
      </c>
      <c r="B115" s="23" t="s">
        <v>30</v>
      </c>
      <c r="C115" s="24" t="s">
        <v>31</v>
      </c>
      <c r="D115" s="24">
        <v>4</v>
      </c>
      <c r="E115" s="24" t="s">
        <v>493</v>
      </c>
      <c r="F115" s="24"/>
      <c r="G115" s="24" t="s">
        <v>490</v>
      </c>
      <c r="H115" s="24">
        <v>0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</row>
    <row r="116" spans="1:69" s="17" customFormat="1" hidden="1" x14ac:dyDescent="0.25">
      <c r="A116" s="23">
        <v>12</v>
      </c>
      <c r="B116" s="23" t="s">
        <v>30</v>
      </c>
      <c r="C116" s="24" t="s">
        <v>31</v>
      </c>
      <c r="D116" s="24">
        <v>5</v>
      </c>
      <c r="E116" s="24" t="s">
        <v>494</v>
      </c>
      <c r="F116" s="24"/>
      <c r="G116" s="24" t="s">
        <v>490</v>
      </c>
      <c r="H116" s="24">
        <v>0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</row>
    <row r="117" spans="1:69" s="17" customFormat="1" hidden="1" x14ac:dyDescent="0.25">
      <c r="A117" s="23">
        <v>12</v>
      </c>
      <c r="B117" s="23" t="s">
        <v>30</v>
      </c>
      <c r="C117" s="24" t="s">
        <v>31</v>
      </c>
      <c r="D117" s="24">
        <v>6</v>
      </c>
      <c r="E117" s="24" t="s">
        <v>495</v>
      </c>
      <c r="F117" s="24"/>
      <c r="G117" s="24" t="s">
        <v>490</v>
      </c>
      <c r="H117" s="24">
        <v>0</v>
      </c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</row>
    <row r="118" spans="1:69" s="17" customFormat="1" hidden="1" x14ac:dyDescent="0.25">
      <c r="A118" s="23">
        <v>12</v>
      </c>
      <c r="B118" s="23" t="s">
        <v>30</v>
      </c>
      <c r="C118" s="24" t="s">
        <v>31</v>
      </c>
      <c r="D118" s="24">
        <v>7</v>
      </c>
      <c r="E118" s="24" t="s">
        <v>496</v>
      </c>
      <c r="F118" s="24"/>
      <c r="G118" s="25" t="s">
        <v>490</v>
      </c>
      <c r="H118" s="26">
        <v>0</v>
      </c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</row>
    <row r="119" spans="1:69" s="17" customFormat="1" hidden="1" x14ac:dyDescent="0.25">
      <c r="A119" s="23">
        <v>12</v>
      </c>
      <c r="B119" s="23" t="s">
        <v>30</v>
      </c>
      <c r="C119" s="24" t="s">
        <v>31</v>
      </c>
      <c r="D119" s="24">
        <v>8</v>
      </c>
      <c r="E119" s="24" t="s">
        <v>497</v>
      </c>
      <c r="F119" s="24"/>
      <c r="G119" s="24" t="s">
        <v>490</v>
      </c>
      <c r="H119" s="24">
        <v>0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</row>
    <row r="120" spans="1:69" s="17" customFormat="1" hidden="1" x14ac:dyDescent="0.25">
      <c r="A120" s="23">
        <v>12</v>
      </c>
      <c r="B120" s="23" t="s">
        <v>30</v>
      </c>
      <c r="C120" s="24" t="s">
        <v>31</v>
      </c>
      <c r="D120" s="24">
        <v>9</v>
      </c>
      <c r="E120" s="24" t="s">
        <v>498</v>
      </c>
      <c r="F120" s="24"/>
      <c r="G120" s="24" t="s">
        <v>490</v>
      </c>
      <c r="H120" s="24">
        <v>0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</row>
    <row r="121" spans="1:69" s="17" customFormat="1" hidden="1" x14ac:dyDescent="0.25">
      <c r="A121" s="23">
        <v>12</v>
      </c>
      <c r="B121" s="23" t="s">
        <v>30</v>
      </c>
      <c r="C121" s="24" t="s">
        <v>31</v>
      </c>
      <c r="D121" s="24">
        <v>10</v>
      </c>
      <c r="E121" s="24" t="s">
        <v>499</v>
      </c>
      <c r="F121" s="24"/>
      <c r="G121" s="24" t="s">
        <v>490</v>
      </c>
      <c r="H121" s="24">
        <v>0</v>
      </c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</row>
    <row r="122" spans="1:69" hidden="1" x14ac:dyDescent="0.25">
      <c r="A122" s="20">
        <v>13</v>
      </c>
      <c r="B122" s="20" t="s">
        <v>32</v>
      </c>
      <c r="C122" s="3" t="s">
        <v>33</v>
      </c>
      <c r="D122" s="3">
        <v>1</v>
      </c>
      <c r="E122" s="3" t="s">
        <v>489</v>
      </c>
      <c r="F122" s="3"/>
      <c r="G122" s="3" t="s">
        <v>490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hidden="1" x14ac:dyDescent="0.25">
      <c r="A123" s="20">
        <v>13</v>
      </c>
      <c r="B123" s="20" t="s">
        <v>32</v>
      </c>
      <c r="C123" s="3" t="s">
        <v>33</v>
      </c>
      <c r="D123" s="3">
        <v>2</v>
      </c>
      <c r="E123" s="3" t="s">
        <v>491</v>
      </c>
      <c r="F123" s="3"/>
      <c r="G123" s="3" t="s">
        <v>490</v>
      </c>
      <c r="H123" s="3">
        <v>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hidden="1" x14ac:dyDescent="0.25">
      <c r="A124" s="20">
        <v>13</v>
      </c>
      <c r="B124" s="20" t="s">
        <v>32</v>
      </c>
      <c r="C124" s="3" t="s">
        <v>33</v>
      </c>
      <c r="D124" s="3">
        <v>3</v>
      </c>
      <c r="E124" s="3" t="s">
        <v>492</v>
      </c>
      <c r="F124" s="3"/>
      <c r="G124" s="3" t="s">
        <v>501</v>
      </c>
      <c r="H124" s="3">
        <v>0</v>
      </c>
      <c r="I124" s="3">
        <v>0.66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hidden="1" x14ac:dyDescent="0.25">
      <c r="A125" s="20">
        <v>13</v>
      </c>
      <c r="B125" s="20" t="s">
        <v>32</v>
      </c>
      <c r="C125" s="3" t="s">
        <v>33</v>
      </c>
      <c r="D125" s="3">
        <v>4</v>
      </c>
      <c r="E125" s="3" t="s">
        <v>493</v>
      </c>
      <c r="F125" s="3"/>
      <c r="G125" s="3" t="s">
        <v>490</v>
      </c>
      <c r="H125" s="3"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hidden="1" x14ac:dyDescent="0.25">
      <c r="A126" s="20">
        <v>13</v>
      </c>
      <c r="B126" s="20" t="s">
        <v>32</v>
      </c>
      <c r="C126" s="3" t="s">
        <v>33</v>
      </c>
      <c r="D126" s="3">
        <v>5</v>
      </c>
      <c r="E126" s="3" t="s">
        <v>494</v>
      </c>
      <c r="F126" s="3"/>
      <c r="G126" s="3" t="s">
        <v>490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hidden="1" x14ac:dyDescent="0.25">
      <c r="A127" s="20">
        <v>13</v>
      </c>
      <c r="B127" s="20" t="s">
        <v>32</v>
      </c>
      <c r="C127" s="3" t="s">
        <v>33</v>
      </c>
      <c r="D127" s="3">
        <v>6</v>
      </c>
      <c r="E127" s="3" t="s">
        <v>495</v>
      </c>
      <c r="F127" s="3"/>
      <c r="G127" s="3" t="s">
        <v>490</v>
      </c>
      <c r="H127" s="3"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hidden="1" x14ac:dyDescent="0.25">
      <c r="A128" s="20">
        <v>13</v>
      </c>
      <c r="B128" s="20" t="s">
        <v>32</v>
      </c>
      <c r="C128" s="3" t="s">
        <v>33</v>
      </c>
      <c r="D128" s="3">
        <v>7</v>
      </c>
      <c r="E128" s="3" t="s">
        <v>496</v>
      </c>
      <c r="F128" s="3"/>
      <c r="G128" s="21" t="s">
        <v>490</v>
      </c>
      <c r="H128" s="22">
        <v>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hidden="1" x14ac:dyDescent="0.25">
      <c r="A129" s="20">
        <v>13</v>
      </c>
      <c r="B129" s="20" t="s">
        <v>32</v>
      </c>
      <c r="C129" s="3" t="s">
        <v>33</v>
      </c>
      <c r="D129" s="3">
        <v>8</v>
      </c>
      <c r="E129" s="3" t="s">
        <v>497</v>
      </c>
      <c r="F129" s="3"/>
      <c r="G129" s="3" t="s">
        <v>490</v>
      </c>
      <c r="H129" s="3">
        <v>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hidden="1" x14ac:dyDescent="0.25">
      <c r="A130" s="20">
        <v>13</v>
      </c>
      <c r="B130" s="20" t="s">
        <v>32</v>
      </c>
      <c r="C130" s="3" t="s">
        <v>33</v>
      </c>
      <c r="D130" s="3">
        <v>9</v>
      </c>
      <c r="E130" s="3" t="s">
        <v>498</v>
      </c>
      <c r="F130" s="3"/>
      <c r="G130" s="3" t="s">
        <v>490</v>
      </c>
      <c r="H130" s="3">
        <v>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hidden="1" x14ac:dyDescent="0.25">
      <c r="A131" s="20">
        <v>13</v>
      </c>
      <c r="B131" s="20" t="s">
        <v>32</v>
      </c>
      <c r="C131" s="3" t="s">
        <v>33</v>
      </c>
      <c r="D131" s="3">
        <v>10</v>
      </c>
      <c r="E131" s="3" t="s">
        <v>499</v>
      </c>
      <c r="F131" s="3"/>
      <c r="G131" s="3" t="s">
        <v>490</v>
      </c>
      <c r="H131" s="3">
        <v>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s="17" customFormat="1" hidden="1" x14ac:dyDescent="0.25">
      <c r="A132" s="23">
        <v>14</v>
      </c>
      <c r="B132" s="23" t="s">
        <v>36</v>
      </c>
      <c r="C132" s="24" t="s">
        <v>37</v>
      </c>
      <c r="D132" s="24">
        <v>1</v>
      </c>
      <c r="E132" s="24" t="s">
        <v>489</v>
      </c>
      <c r="F132" s="24"/>
      <c r="G132" s="24" t="s">
        <v>490</v>
      </c>
      <c r="H132" s="24"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</row>
    <row r="133" spans="1:69" s="17" customFormat="1" hidden="1" x14ac:dyDescent="0.25">
      <c r="A133" s="23">
        <v>14</v>
      </c>
      <c r="B133" s="23" t="s">
        <v>36</v>
      </c>
      <c r="C133" s="24" t="s">
        <v>37</v>
      </c>
      <c r="D133" s="24">
        <v>2</v>
      </c>
      <c r="E133" s="24" t="s">
        <v>491</v>
      </c>
      <c r="F133" s="24"/>
      <c r="G133" s="24" t="s">
        <v>490</v>
      </c>
      <c r="H133" s="24"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</row>
    <row r="134" spans="1:69" s="17" customFormat="1" hidden="1" x14ac:dyDescent="0.25">
      <c r="A134" s="23">
        <v>14</v>
      </c>
      <c r="B134" s="23" t="s">
        <v>36</v>
      </c>
      <c r="C134" s="24" t="s">
        <v>37</v>
      </c>
      <c r="D134" s="24">
        <v>3</v>
      </c>
      <c r="E134" s="24" t="s">
        <v>492</v>
      </c>
      <c r="F134" s="24"/>
      <c r="G134" s="24" t="s">
        <v>500</v>
      </c>
      <c r="H134" s="24">
        <v>0</v>
      </c>
      <c r="I134" s="24">
        <v>7.0806995300000004</v>
      </c>
      <c r="J134" s="24">
        <v>7.0806995300000004</v>
      </c>
      <c r="K134" s="24">
        <v>7.0806995300000004</v>
      </c>
      <c r="L134" s="24">
        <v>7.0806995300000004</v>
      </c>
      <c r="M134" s="24">
        <v>7.0806995300000004</v>
      </c>
      <c r="N134" s="24">
        <v>7.0806995300000004</v>
      </c>
      <c r="O134" s="24">
        <v>7.0806995300000004</v>
      </c>
      <c r="P134" s="24">
        <v>7.0806995300000004</v>
      </c>
      <c r="Q134" s="24">
        <v>7.0806995300000004</v>
      </c>
      <c r="R134" s="24">
        <v>7.0806995300000004</v>
      </c>
      <c r="S134" s="24">
        <v>7.0806995300000004</v>
      </c>
      <c r="T134" s="24">
        <v>7.0806995300000004</v>
      </c>
      <c r="U134" s="24">
        <v>6.708234</v>
      </c>
      <c r="V134" s="24">
        <v>6.3276680000000001</v>
      </c>
      <c r="W134" s="24">
        <v>5.971749</v>
      </c>
      <c r="X134" s="24">
        <v>5.8073199999999998</v>
      </c>
      <c r="Y134" s="24">
        <v>5.7722150000000001</v>
      </c>
      <c r="Z134" s="24">
        <v>5.8310409999999999</v>
      </c>
      <c r="AA134" s="24">
        <v>5.963794</v>
      </c>
      <c r="AB134" s="24">
        <v>6.1069529999999999</v>
      </c>
      <c r="AC134" s="24">
        <v>6.2024600000000003</v>
      </c>
      <c r="AD134" s="24">
        <v>6.3507300000000004</v>
      </c>
      <c r="AE134" s="24">
        <v>6.3715789999999997</v>
      </c>
      <c r="AF134" s="24">
        <v>6.4593749999999996</v>
      </c>
      <c r="AG134" s="24">
        <v>6.4575209999999998</v>
      </c>
      <c r="AH134" s="24">
        <v>6.4329090000000004</v>
      </c>
      <c r="AI134" s="24">
        <v>6.4302520000000003</v>
      </c>
      <c r="AJ134" s="24">
        <v>6.4388019999999999</v>
      </c>
      <c r="AK134" s="24">
        <v>6.4406929999999996</v>
      </c>
      <c r="AL134" s="24">
        <v>6.4421869999999997</v>
      </c>
      <c r="AM134" s="24">
        <v>6.4562369999999998</v>
      </c>
      <c r="AN134" s="24">
        <v>6.4456899999999999</v>
      </c>
      <c r="AO134" s="24">
        <v>6.4139080000000002</v>
      </c>
      <c r="AP134" s="24">
        <v>6.3999110000000003</v>
      </c>
      <c r="AQ134" s="24">
        <v>6.3414479999999998</v>
      </c>
      <c r="AR134" s="24">
        <v>6.3219240000000001</v>
      </c>
      <c r="AS134" s="24">
        <v>6.3098679999999998</v>
      </c>
      <c r="AT134" s="24">
        <v>6.2985550000000003</v>
      </c>
      <c r="AU134" s="24">
        <v>6.2935970000000001</v>
      </c>
      <c r="AV134" s="24">
        <v>6.2819459999999996</v>
      </c>
      <c r="AW134" s="24">
        <v>6.2650779999999999</v>
      </c>
      <c r="AX134" s="24">
        <f t="shared" ref="AX134:BQ134" si="3">AW134</f>
        <v>6.2650779999999999</v>
      </c>
      <c r="AY134" s="24">
        <f t="shared" si="3"/>
        <v>6.2650779999999999</v>
      </c>
      <c r="AZ134" s="24">
        <f t="shared" si="3"/>
        <v>6.2650779999999999</v>
      </c>
      <c r="BA134" s="24">
        <f t="shared" si="3"/>
        <v>6.2650779999999999</v>
      </c>
      <c r="BB134" s="24">
        <f t="shared" si="3"/>
        <v>6.2650779999999999</v>
      </c>
      <c r="BC134" s="24">
        <f t="shared" si="3"/>
        <v>6.2650779999999999</v>
      </c>
      <c r="BD134" s="24">
        <f t="shared" si="3"/>
        <v>6.2650779999999999</v>
      </c>
      <c r="BE134" s="24">
        <f t="shared" si="3"/>
        <v>6.2650779999999999</v>
      </c>
      <c r="BF134" s="24">
        <f t="shared" si="3"/>
        <v>6.2650779999999999</v>
      </c>
      <c r="BG134" s="24">
        <f t="shared" si="3"/>
        <v>6.2650779999999999</v>
      </c>
      <c r="BH134" s="24">
        <f t="shared" si="3"/>
        <v>6.2650779999999999</v>
      </c>
      <c r="BI134" s="24">
        <f t="shared" si="3"/>
        <v>6.2650779999999999</v>
      </c>
      <c r="BJ134" s="24">
        <f t="shared" si="3"/>
        <v>6.2650779999999999</v>
      </c>
      <c r="BK134" s="24">
        <f t="shared" si="3"/>
        <v>6.2650779999999999</v>
      </c>
      <c r="BL134" s="24">
        <f t="shared" si="3"/>
        <v>6.2650779999999999</v>
      </c>
      <c r="BM134" s="24">
        <f t="shared" si="3"/>
        <v>6.2650779999999999</v>
      </c>
      <c r="BN134" s="24">
        <f t="shared" si="3"/>
        <v>6.2650779999999999</v>
      </c>
      <c r="BO134" s="24">
        <f t="shared" si="3"/>
        <v>6.2650779999999999</v>
      </c>
      <c r="BP134" s="24">
        <f t="shared" si="3"/>
        <v>6.2650779999999999</v>
      </c>
      <c r="BQ134" s="24">
        <f t="shared" si="3"/>
        <v>6.2650779999999999</v>
      </c>
    </row>
    <row r="135" spans="1:69" s="17" customFormat="1" hidden="1" x14ac:dyDescent="0.25">
      <c r="A135" s="23">
        <v>14</v>
      </c>
      <c r="B135" s="23" t="s">
        <v>36</v>
      </c>
      <c r="C135" s="24" t="s">
        <v>37</v>
      </c>
      <c r="D135" s="24">
        <v>4</v>
      </c>
      <c r="E135" s="24" t="s">
        <v>493</v>
      </c>
      <c r="F135" s="24"/>
      <c r="G135" s="24" t="s">
        <v>490</v>
      </c>
      <c r="H135" s="24"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</row>
    <row r="136" spans="1:69" s="17" customFormat="1" hidden="1" x14ac:dyDescent="0.25">
      <c r="A136" s="23">
        <v>14</v>
      </c>
      <c r="B136" s="23" t="s">
        <v>36</v>
      </c>
      <c r="C136" s="24" t="s">
        <v>37</v>
      </c>
      <c r="D136" s="24">
        <v>5</v>
      </c>
      <c r="E136" s="24" t="s">
        <v>494</v>
      </c>
      <c r="F136" s="24"/>
      <c r="G136" s="24" t="s">
        <v>490</v>
      </c>
      <c r="H136" s="24"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</row>
    <row r="137" spans="1:69" s="17" customFormat="1" hidden="1" x14ac:dyDescent="0.25">
      <c r="A137" s="23">
        <v>14</v>
      </c>
      <c r="B137" s="23" t="s">
        <v>36</v>
      </c>
      <c r="C137" s="24" t="s">
        <v>37</v>
      </c>
      <c r="D137" s="24">
        <v>6</v>
      </c>
      <c r="E137" s="24" t="s">
        <v>495</v>
      </c>
      <c r="F137" s="24"/>
      <c r="G137" s="24" t="s">
        <v>500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99999</v>
      </c>
      <c r="AE137" s="24">
        <v>99999</v>
      </c>
      <c r="AF137" s="24">
        <v>99999</v>
      </c>
      <c r="AG137" s="24">
        <v>99999</v>
      </c>
      <c r="AH137" s="24">
        <v>99999</v>
      </c>
      <c r="AI137" s="24">
        <v>99999</v>
      </c>
      <c r="AJ137" s="24">
        <v>99999</v>
      </c>
      <c r="AK137" s="24">
        <v>99999</v>
      </c>
      <c r="AL137" s="24">
        <v>99999</v>
      </c>
      <c r="AM137" s="24">
        <v>99999</v>
      </c>
      <c r="AN137" s="24">
        <v>99999</v>
      </c>
      <c r="AO137" s="24">
        <v>99999</v>
      </c>
      <c r="AP137" s="24">
        <v>99999</v>
      </c>
      <c r="AQ137" s="24">
        <v>99999</v>
      </c>
      <c r="AR137" s="24">
        <v>99999</v>
      </c>
      <c r="AS137" s="24">
        <v>99999</v>
      </c>
      <c r="AT137" s="24">
        <v>99999</v>
      </c>
      <c r="AU137" s="24">
        <v>99999</v>
      </c>
      <c r="AV137" s="24">
        <v>99999</v>
      </c>
      <c r="AW137" s="24">
        <v>99999</v>
      </c>
      <c r="AX137" s="24">
        <v>99999</v>
      </c>
      <c r="AY137" s="24">
        <v>99999</v>
      </c>
      <c r="AZ137" s="24">
        <v>99999</v>
      </c>
      <c r="BA137" s="24">
        <v>99999</v>
      </c>
      <c r="BB137" s="24">
        <v>99999</v>
      </c>
      <c r="BC137" s="24">
        <v>99999</v>
      </c>
      <c r="BD137" s="24">
        <v>99999</v>
      </c>
      <c r="BE137" s="24">
        <v>99999</v>
      </c>
      <c r="BF137" s="24">
        <v>99999</v>
      </c>
      <c r="BG137" s="24">
        <v>99999</v>
      </c>
      <c r="BH137" s="24">
        <v>99999</v>
      </c>
      <c r="BI137" s="24">
        <v>99999</v>
      </c>
      <c r="BJ137" s="24">
        <v>99999</v>
      </c>
      <c r="BK137" s="24">
        <v>99999</v>
      </c>
      <c r="BL137" s="24">
        <v>99999</v>
      </c>
      <c r="BM137" s="24">
        <v>99999</v>
      </c>
      <c r="BN137" s="24">
        <v>99999</v>
      </c>
      <c r="BO137" s="24">
        <v>99999</v>
      </c>
      <c r="BP137" s="24">
        <v>99999</v>
      </c>
      <c r="BQ137" s="24">
        <v>99999</v>
      </c>
    </row>
    <row r="138" spans="1:69" s="17" customFormat="1" hidden="1" x14ac:dyDescent="0.25">
      <c r="A138" s="23">
        <v>14</v>
      </c>
      <c r="B138" s="23" t="s">
        <v>36</v>
      </c>
      <c r="C138" s="24" t="s">
        <v>37</v>
      </c>
      <c r="D138" s="24">
        <v>7</v>
      </c>
      <c r="E138" s="24" t="s">
        <v>496</v>
      </c>
      <c r="F138" s="24"/>
      <c r="G138" s="25" t="s">
        <v>500</v>
      </c>
      <c r="H138" s="26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>
        <v>0</v>
      </c>
      <c r="AV138" s="24">
        <v>0</v>
      </c>
      <c r="AW138" s="24">
        <v>0</v>
      </c>
      <c r="AX138" s="24">
        <v>0</v>
      </c>
      <c r="AY138" s="24">
        <v>0</v>
      </c>
      <c r="AZ138" s="24">
        <v>0</v>
      </c>
      <c r="BA138" s="24">
        <v>0</v>
      </c>
      <c r="BB138" s="24">
        <v>0</v>
      </c>
      <c r="BC138" s="24">
        <v>0</v>
      </c>
      <c r="BD138" s="24">
        <v>0</v>
      </c>
      <c r="BE138" s="24">
        <v>0</v>
      </c>
      <c r="BF138" s="24">
        <v>0</v>
      </c>
      <c r="BG138" s="24">
        <v>0</v>
      </c>
      <c r="BH138" s="24">
        <v>0</v>
      </c>
      <c r="BI138" s="24">
        <v>0</v>
      </c>
      <c r="BJ138" s="24">
        <v>0</v>
      </c>
      <c r="BK138" s="24">
        <v>0</v>
      </c>
      <c r="BL138" s="24">
        <v>0</v>
      </c>
      <c r="BM138" s="24">
        <v>0</v>
      </c>
      <c r="BN138" s="24">
        <v>0</v>
      </c>
      <c r="BO138" s="24">
        <v>0</v>
      </c>
      <c r="BP138" s="24">
        <v>0</v>
      </c>
      <c r="BQ138" s="24">
        <v>0</v>
      </c>
    </row>
    <row r="139" spans="1:69" s="17" customFormat="1" hidden="1" x14ac:dyDescent="0.25">
      <c r="A139" s="23">
        <v>14</v>
      </c>
      <c r="B139" s="23" t="s">
        <v>36</v>
      </c>
      <c r="C139" s="24" t="s">
        <v>37</v>
      </c>
      <c r="D139" s="24">
        <v>8</v>
      </c>
      <c r="E139" s="24" t="s">
        <v>497</v>
      </c>
      <c r="F139" s="24"/>
      <c r="G139" s="24" t="s">
        <v>490</v>
      </c>
      <c r="H139" s="24"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</row>
    <row r="140" spans="1:69" s="17" customFormat="1" hidden="1" x14ac:dyDescent="0.25">
      <c r="A140" s="23">
        <v>14</v>
      </c>
      <c r="B140" s="23" t="s">
        <v>36</v>
      </c>
      <c r="C140" s="24" t="s">
        <v>37</v>
      </c>
      <c r="D140" s="24">
        <v>9</v>
      </c>
      <c r="E140" s="24" t="s">
        <v>498</v>
      </c>
      <c r="F140" s="24"/>
      <c r="G140" s="24" t="s">
        <v>490</v>
      </c>
      <c r="H140" s="24"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</row>
    <row r="141" spans="1:69" s="17" customFormat="1" hidden="1" x14ac:dyDescent="0.25">
      <c r="A141" s="23">
        <v>14</v>
      </c>
      <c r="B141" s="23" t="s">
        <v>36</v>
      </c>
      <c r="C141" s="24" t="s">
        <v>37</v>
      </c>
      <c r="D141" s="24">
        <v>10</v>
      </c>
      <c r="E141" s="24" t="s">
        <v>499</v>
      </c>
      <c r="F141" s="24"/>
      <c r="G141" s="24" t="s">
        <v>490</v>
      </c>
      <c r="H141" s="24"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</row>
    <row r="142" spans="1:69" hidden="1" x14ac:dyDescent="0.25">
      <c r="A142" s="20">
        <v>15</v>
      </c>
      <c r="B142" s="20" t="s">
        <v>38</v>
      </c>
      <c r="C142" s="3" t="s">
        <v>39</v>
      </c>
      <c r="D142" s="3">
        <v>1</v>
      </c>
      <c r="E142" s="3" t="s">
        <v>489</v>
      </c>
      <c r="F142" s="3"/>
      <c r="G142" s="3" t="s">
        <v>490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hidden="1" x14ac:dyDescent="0.25">
      <c r="A143" s="20">
        <v>15</v>
      </c>
      <c r="B143" s="20" t="s">
        <v>38</v>
      </c>
      <c r="C143" s="3" t="s">
        <v>39</v>
      </c>
      <c r="D143" s="3">
        <v>2</v>
      </c>
      <c r="E143" s="3" t="s">
        <v>491</v>
      </c>
      <c r="F143" s="3"/>
      <c r="G143" s="3" t="s">
        <v>490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hidden="1" x14ac:dyDescent="0.25">
      <c r="A144" s="20">
        <v>15</v>
      </c>
      <c r="B144" s="20" t="s">
        <v>38</v>
      </c>
      <c r="C144" s="3" t="s">
        <v>39</v>
      </c>
      <c r="D144" s="3">
        <v>3</v>
      </c>
      <c r="E144" s="3" t="s">
        <v>492</v>
      </c>
      <c r="F144" s="3"/>
      <c r="G144" s="3" t="s">
        <v>501</v>
      </c>
      <c r="H144" s="3">
        <v>0</v>
      </c>
      <c r="I144" s="3">
        <v>2.23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hidden="1" x14ac:dyDescent="0.25">
      <c r="A145" s="20">
        <v>15</v>
      </c>
      <c r="B145" s="20" t="s">
        <v>38</v>
      </c>
      <c r="C145" s="3" t="s">
        <v>39</v>
      </c>
      <c r="D145" s="3">
        <v>4</v>
      </c>
      <c r="E145" s="3" t="s">
        <v>493</v>
      </c>
      <c r="F145" s="3"/>
      <c r="G145" s="3" t="s">
        <v>490</v>
      </c>
      <c r="H145" s="3"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hidden="1" x14ac:dyDescent="0.25">
      <c r="A146" s="20">
        <v>15</v>
      </c>
      <c r="B146" s="20" t="s">
        <v>38</v>
      </c>
      <c r="C146" s="3" t="s">
        <v>39</v>
      </c>
      <c r="D146" s="3">
        <v>5</v>
      </c>
      <c r="E146" s="3" t="s">
        <v>494</v>
      </c>
      <c r="F146" s="3"/>
      <c r="G146" s="3" t="s">
        <v>490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hidden="1" x14ac:dyDescent="0.25">
      <c r="A147" s="20">
        <v>15</v>
      </c>
      <c r="B147" s="20" t="s">
        <v>38</v>
      </c>
      <c r="C147" s="3" t="s">
        <v>39</v>
      </c>
      <c r="D147" s="3">
        <v>6</v>
      </c>
      <c r="E147" s="3" t="s">
        <v>495</v>
      </c>
      <c r="F147" s="3"/>
      <c r="G147" s="3" t="s">
        <v>490</v>
      </c>
      <c r="H147" s="3">
        <v>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hidden="1" x14ac:dyDescent="0.25">
      <c r="A148" s="20">
        <v>15</v>
      </c>
      <c r="B148" s="20" t="s">
        <v>38</v>
      </c>
      <c r="C148" s="3" t="s">
        <v>39</v>
      </c>
      <c r="D148" s="3">
        <v>7</v>
      </c>
      <c r="E148" s="3" t="s">
        <v>496</v>
      </c>
      <c r="F148" s="3"/>
      <c r="G148" s="21" t="s">
        <v>490</v>
      </c>
      <c r="H148" s="22">
        <v>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hidden="1" x14ac:dyDescent="0.25">
      <c r="A149" s="20">
        <v>15</v>
      </c>
      <c r="B149" s="20" t="s">
        <v>38</v>
      </c>
      <c r="C149" s="3" t="s">
        <v>39</v>
      </c>
      <c r="D149" s="3">
        <v>8</v>
      </c>
      <c r="E149" s="3" t="s">
        <v>497</v>
      </c>
      <c r="F149" s="3"/>
      <c r="G149" s="3" t="s">
        <v>490</v>
      </c>
      <c r="H149" s="3">
        <v>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hidden="1" x14ac:dyDescent="0.25">
      <c r="A150" s="20">
        <v>15</v>
      </c>
      <c r="B150" s="20" t="s">
        <v>38</v>
      </c>
      <c r="C150" s="3" t="s">
        <v>39</v>
      </c>
      <c r="D150" s="3">
        <v>9</v>
      </c>
      <c r="E150" s="3" t="s">
        <v>498</v>
      </c>
      <c r="F150" s="3"/>
      <c r="G150" s="3" t="s">
        <v>490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hidden="1" x14ac:dyDescent="0.25">
      <c r="A151" s="20">
        <v>15</v>
      </c>
      <c r="B151" s="20" t="s">
        <v>38</v>
      </c>
      <c r="C151" s="3" t="s">
        <v>39</v>
      </c>
      <c r="D151" s="3">
        <v>10</v>
      </c>
      <c r="E151" s="3" t="s">
        <v>499</v>
      </c>
      <c r="F151" s="3"/>
      <c r="G151" s="3" t="s">
        <v>490</v>
      </c>
      <c r="H151" s="3">
        <v>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s="17" customFormat="1" hidden="1" x14ac:dyDescent="0.25">
      <c r="A152" s="23">
        <v>16</v>
      </c>
      <c r="B152" s="23" t="s">
        <v>40</v>
      </c>
      <c r="C152" s="24" t="s">
        <v>572</v>
      </c>
      <c r="D152" s="24">
        <v>1</v>
      </c>
      <c r="E152" s="24" t="s">
        <v>489</v>
      </c>
      <c r="F152" s="24"/>
      <c r="G152" s="24" t="s">
        <v>490</v>
      </c>
      <c r="H152" s="24"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</row>
    <row r="153" spans="1:69" s="17" customFormat="1" hidden="1" x14ac:dyDescent="0.25">
      <c r="A153" s="23">
        <v>16</v>
      </c>
      <c r="B153" s="23" t="s">
        <v>40</v>
      </c>
      <c r="C153" s="24" t="s">
        <v>572</v>
      </c>
      <c r="D153" s="24">
        <v>2</v>
      </c>
      <c r="E153" s="24" t="s">
        <v>491</v>
      </c>
      <c r="F153" s="24"/>
      <c r="G153" s="24" t="s">
        <v>490</v>
      </c>
      <c r="H153" s="24"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</row>
    <row r="154" spans="1:69" s="17" customFormat="1" hidden="1" x14ac:dyDescent="0.25">
      <c r="A154" s="23">
        <v>16</v>
      </c>
      <c r="B154" s="23" t="s">
        <v>40</v>
      </c>
      <c r="C154" s="24" t="s">
        <v>572</v>
      </c>
      <c r="D154" s="24">
        <v>3</v>
      </c>
      <c r="E154" s="24" t="s">
        <v>492</v>
      </c>
      <c r="F154" s="24"/>
      <c r="G154" s="24" t="s">
        <v>501</v>
      </c>
      <c r="H154" s="24">
        <v>0</v>
      </c>
      <c r="I154" s="24">
        <v>85.183038574999998</v>
      </c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</row>
    <row r="155" spans="1:69" s="17" customFormat="1" hidden="1" x14ac:dyDescent="0.25">
      <c r="A155" s="23">
        <v>16</v>
      </c>
      <c r="B155" s="23" t="s">
        <v>40</v>
      </c>
      <c r="C155" s="24" t="s">
        <v>572</v>
      </c>
      <c r="D155" s="24">
        <v>4</v>
      </c>
      <c r="E155" s="24" t="s">
        <v>493</v>
      </c>
      <c r="F155" s="24"/>
      <c r="G155" s="24" t="s">
        <v>490</v>
      </c>
      <c r="H155" s="24"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</row>
    <row r="156" spans="1:69" s="17" customFormat="1" hidden="1" x14ac:dyDescent="0.25">
      <c r="A156" s="23">
        <v>16</v>
      </c>
      <c r="B156" s="23" t="s">
        <v>40</v>
      </c>
      <c r="C156" s="24" t="s">
        <v>572</v>
      </c>
      <c r="D156" s="24">
        <v>5</v>
      </c>
      <c r="E156" s="24" t="s">
        <v>494</v>
      </c>
      <c r="F156" s="24"/>
      <c r="G156" s="24" t="s">
        <v>490</v>
      </c>
      <c r="H156" s="24"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</row>
    <row r="157" spans="1:69" s="17" customFormat="1" hidden="1" x14ac:dyDescent="0.25">
      <c r="A157" s="23">
        <v>16</v>
      </c>
      <c r="B157" s="23" t="s">
        <v>40</v>
      </c>
      <c r="C157" s="24" t="s">
        <v>572</v>
      </c>
      <c r="D157" s="24">
        <v>6</v>
      </c>
      <c r="E157" s="24" t="s">
        <v>495</v>
      </c>
      <c r="F157" s="24"/>
      <c r="G157" s="24" t="s">
        <v>490</v>
      </c>
      <c r="H157" s="24"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</row>
    <row r="158" spans="1:69" s="17" customFormat="1" hidden="1" x14ac:dyDescent="0.25">
      <c r="A158" s="23">
        <v>16</v>
      </c>
      <c r="B158" s="23" t="s">
        <v>40</v>
      </c>
      <c r="C158" s="24" t="s">
        <v>572</v>
      </c>
      <c r="D158" s="24">
        <v>7</v>
      </c>
      <c r="E158" s="24" t="s">
        <v>496</v>
      </c>
      <c r="F158" s="24"/>
      <c r="G158" s="25" t="s">
        <v>490</v>
      </c>
      <c r="H158" s="26"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</row>
    <row r="159" spans="1:69" s="17" customFormat="1" hidden="1" x14ac:dyDescent="0.25">
      <c r="A159" s="23">
        <v>16</v>
      </c>
      <c r="B159" s="23" t="s">
        <v>40</v>
      </c>
      <c r="C159" s="24" t="s">
        <v>572</v>
      </c>
      <c r="D159" s="24">
        <v>8</v>
      </c>
      <c r="E159" s="24" t="s">
        <v>497</v>
      </c>
      <c r="F159" s="24"/>
      <c r="G159" s="24" t="s">
        <v>490</v>
      </c>
      <c r="H159" s="24"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</row>
    <row r="160" spans="1:69" s="17" customFormat="1" hidden="1" x14ac:dyDescent="0.25">
      <c r="A160" s="23">
        <v>16</v>
      </c>
      <c r="B160" s="23" t="s">
        <v>40</v>
      </c>
      <c r="C160" s="24" t="s">
        <v>572</v>
      </c>
      <c r="D160" s="24">
        <v>9</v>
      </c>
      <c r="E160" s="24" t="s">
        <v>498</v>
      </c>
      <c r="F160" s="24"/>
      <c r="G160" s="24" t="s">
        <v>490</v>
      </c>
      <c r="H160" s="24"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</row>
    <row r="161" spans="1:69" s="17" customFormat="1" hidden="1" x14ac:dyDescent="0.25">
      <c r="A161" s="23">
        <v>16</v>
      </c>
      <c r="B161" s="23" t="s">
        <v>40</v>
      </c>
      <c r="C161" s="24" t="s">
        <v>572</v>
      </c>
      <c r="D161" s="24">
        <v>10</v>
      </c>
      <c r="E161" s="24" t="s">
        <v>499</v>
      </c>
      <c r="F161" s="24"/>
      <c r="G161" s="24" t="s">
        <v>490</v>
      </c>
      <c r="H161" s="24"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</row>
    <row r="162" spans="1:69" hidden="1" x14ac:dyDescent="0.25">
      <c r="A162" s="20">
        <v>17</v>
      </c>
      <c r="B162" s="20" t="s">
        <v>42</v>
      </c>
      <c r="C162" s="3" t="s">
        <v>43</v>
      </c>
      <c r="D162" s="3">
        <v>1</v>
      </c>
      <c r="E162" s="3" t="s">
        <v>489</v>
      </c>
      <c r="F162" s="3"/>
      <c r="G162" s="3" t="s">
        <v>490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hidden="1" x14ac:dyDescent="0.25">
      <c r="A163" s="20">
        <v>17</v>
      </c>
      <c r="B163" s="20" t="s">
        <v>42</v>
      </c>
      <c r="C163" s="3" t="s">
        <v>43</v>
      </c>
      <c r="D163" s="3">
        <v>2</v>
      </c>
      <c r="E163" s="3" t="s">
        <v>491</v>
      </c>
      <c r="F163" s="3"/>
      <c r="G163" s="3" t="s">
        <v>490</v>
      </c>
      <c r="H163" s="3">
        <v>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hidden="1" x14ac:dyDescent="0.25">
      <c r="A164" s="20">
        <v>17</v>
      </c>
      <c r="B164" s="20" t="s">
        <v>42</v>
      </c>
      <c r="C164" s="3" t="s">
        <v>43</v>
      </c>
      <c r="D164" s="3">
        <v>3</v>
      </c>
      <c r="E164" s="3" t="s">
        <v>492</v>
      </c>
      <c r="F164" s="3"/>
      <c r="G164" s="3" t="s">
        <v>501</v>
      </c>
      <c r="H164" s="3">
        <v>0</v>
      </c>
      <c r="I164" s="3">
        <v>2.23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hidden="1" x14ac:dyDescent="0.25">
      <c r="A165" s="20">
        <v>17</v>
      </c>
      <c r="B165" s="20" t="s">
        <v>42</v>
      </c>
      <c r="C165" s="3" t="s">
        <v>43</v>
      </c>
      <c r="D165" s="3">
        <v>4</v>
      </c>
      <c r="E165" s="3" t="s">
        <v>493</v>
      </c>
      <c r="F165" s="3"/>
      <c r="G165" s="3" t="s">
        <v>490</v>
      </c>
      <c r="H165" s="3">
        <v>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hidden="1" x14ac:dyDescent="0.25">
      <c r="A166" s="20">
        <v>17</v>
      </c>
      <c r="B166" s="20" t="s">
        <v>42</v>
      </c>
      <c r="C166" s="3" t="s">
        <v>43</v>
      </c>
      <c r="D166" s="3">
        <v>5</v>
      </c>
      <c r="E166" s="3" t="s">
        <v>494</v>
      </c>
      <c r="F166" s="3"/>
      <c r="G166" s="3" t="s">
        <v>490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hidden="1" x14ac:dyDescent="0.25">
      <c r="A167" s="20">
        <v>17</v>
      </c>
      <c r="B167" s="20" t="s">
        <v>42</v>
      </c>
      <c r="C167" s="3" t="s">
        <v>43</v>
      </c>
      <c r="D167" s="3">
        <v>6</v>
      </c>
      <c r="E167" s="3" t="s">
        <v>495</v>
      </c>
      <c r="F167" s="3"/>
      <c r="G167" s="3" t="s">
        <v>490</v>
      </c>
      <c r="H167" s="3">
        <v>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hidden="1" x14ac:dyDescent="0.25">
      <c r="A168" s="20">
        <v>17</v>
      </c>
      <c r="B168" s="20" t="s">
        <v>42</v>
      </c>
      <c r="C168" s="3" t="s">
        <v>43</v>
      </c>
      <c r="D168" s="3">
        <v>7</v>
      </c>
      <c r="E168" s="3" t="s">
        <v>496</v>
      </c>
      <c r="F168" s="3"/>
      <c r="G168" s="21" t="s">
        <v>490</v>
      </c>
      <c r="H168" s="22">
        <v>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hidden="1" x14ac:dyDescent="0.25">
      <c r="A169" s="20">
        <v>17</v>
      </c>
      <c r="B169" s="20" t="s">
        <v>42</v>
      </c>
      <c r="C169" s="3" t="s">
        <v>43</v>
      </c>
      <c r="D169" s="3">
        <v>8</v>
      </c>
      <c r="E169" s="3" t="s">
        <v>497</v>
      </c>
      <c r="F169" s="3"/>
      <c r="G169" s="3" t="s">
        <v>490</v>
      </c>
      <c r="H169" s="3">
        <v>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hidden="1" x14ac:dyDescent="0.25">
      <c r="A170" s="20">
        <v>17</v>
      </c>
      <c r="B170" s="20" t="s">
        <v>42</v>
      </c>
      <c r="C170" s="3" t="s">
        <v>43</v>
      </c>
      <c r="D170" s="3">
        <v>9</v>
      </c>
      <c r="E170" s="3" t="s">
        <v>498</v>
      </c>
      <c r="F170" s="3"/>
      <c r="G170" s="3" t="s">
        <v>490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hidden="1" x14ac:dyDescent="0.25">
      <c r="A171" s="20">
        <v>17</v>
      </c>
      <c r="B171" s="20" t="s">
        <v>42</v>
      </c>
      <c r="C171" s="3" t="s">
        <v>43</v>
      </c>
      <c r="D171" s="3">
        <v>10</v>
      </c>
      <c r="E171" s="3" t="s">
        <v>499</v>
      </c>
      <c r="F171" s="3"/>
      <c r="G171" s="3" t="s">
        <v>490</v>
      </c>
      <c r="H171" s="3">
        <v>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s="17" customFormat="1" hidden="1" x14ac:dyDescent="0.25">
      <c r="A172" s="23">
        <v>18</v>
      </c>
      <c r="B172" s="23" t="s">
        <v>44</v>
      </c>
      <c r="C172" s="24" t="s">
        <v>45</v>
      </c>
      <c r="D172" s="24">
        <v>1</v>
      </c>
      <c r="E172" s="24" t="s">
        <v>489</v>
      </c>
      <c r="F172" s="24"/>
      <c r="G172" s="24" t="s">
        <v>490</v>
      </c>
      <c r="H172" s="24"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</row>
    <row r="173" spans="1:69" s="17" customFormat="1" hidden="1" x14ac:dyDescent="0.25">
      <c r="A173" s="23">
        <v>18</v>
      </c>
      <c r="B173" s="23" t="s">
        <v>44</v>
      </c>
      <c r="C173" s="24" t="s">
        <v>45</v>
      </c>
      <c r="D173" s="24">
        <v>2</v>
      </c>
      <c r="E173" s="24" t="s">
        <v>491</v>
      </c>
      <c r="F173" s="24"/>
      <c r="G173" s="24" t="s">
        <v>490</v>
      </c>
      <c r="H173" s="24"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</row>
    <row r="174" spans="1:69" s="17" customFormat="1" hidden="1" x14ac:dyDescent="0.25">
      <c r="A174" s="23">
        <v>18</v>
      </c>
      <c r="B174" s="23" t="s">
        <v>44</v>
      </c>
      <c r="C174" s="24" t="s">
        <v>45</v>
      </c>
      <c r="D174" s="24">
        <v>3</v>
      </c>
      <c r="E174" s="24" t="s">
        <v>492</v>
      </c>
      <c r="F174" s="24"/>
      <c r="G174" s="24" t="s">
        <v>490</v>
      </c>
      <c r="H174" s="24"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</row>
    <row r="175" spans="1:69" s="17" customFormat="1" hidden="1" x14ac:dyDescent="0.25">
      <c r="A175" s="23">
        <v>18</v>
      </c>
      <c r="B175" s="23" t="s">
        <v>44</v>
      </c>
      <c r="C175" s="24" t="s">
        <v>45</v>
      </c>
      <c r="D175" s="24">
        <v>4</v>
      </c>
      <c r="E175" s="24" t="s">
        <v>493</v>
      </c>
      <c r="F175" s="24"/>
      <c r="G175" s="24" t="s">
        <v>490</v>
      </c>
      <c r="H175" s="24"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</row>
    <row r="176" spans="1:69" s="17" customFormat="1" hidden="1" x14ac:dyDescent="0.25">
      <c r="A176" s="23">
        <v>18</v>
      </c>
      <c r="B176" s="23" t="s">
        <v>44</v>
      </c>
      <c r="C176" s="24" t="s">
        <v>45</v>
      </c>
      <c r="D176" s="24">
        <v>5</v>
      </c>
      <c r="E176" s="24" t="s">
        <v>494</v>
      </c>
      <c r="F176" s="24"/>
      <c r="G176" s="24" t="s">
        <v>490</v>
      </c>
      <c r="H176" s="24"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</row>
    <row r="177" spans="1:69" s="17" customFormat="1" hidden="1" x14ac:dyDescent="0.25">
      <c r="A177" s="23">
        <v>18</v>
      </c>
      <c r="B177" s="23" t="s">
        <v>44</v>
      </c>
      <c r="C177" s="24" t="s">
        <v>45</v>
      </c>
      <c r="D177" s="24">
        <v>6</v>
      </c>
      <c r="E177" s="24" t="s">
        <v>495</v>
      </c>
      <c r="F177" s="24"/>
      <c r="G177" s="24" t="s">
        <v>490</v>
      </c>
      <c r="H177" s="24"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</row>
    <row r="178" spans="1:69" s="17" customFormat="1" hidden="1" x14ac:dyDescent="0.25">
      <c r="A178" s="23">
        <v>18</v>
      </c>
      <c r="B178" s="23" t="s">
        <v>44</v>
      </c>
      <c r="C178" s="24" t="s">
        <v>45</v>
      </c>
      <c r="D178" s="24">
        <v>7</v>
      </c>
      <c r="E178" s="24" t="s">
        <v>496</v>
      </c>
      <c r="F178" s="24"/>
      <c r="G178" s="25" t="s">
        <v>490</v>
      </c>
      <c r="H178" s="26"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</row>
    <row r="179" spans="1:69" s="17" customFormat="1" hidden="1" x14ac:dyDescent="0.25">
      <c r="A179" s="23">
        <v>18</v>
      </c>
      <c r="B179" s="23" t="s">
        <v>44</v>
      </c>
      <c r="C179" s="24" t="s">
        <v>45</v>
      </c>
      <c r="D179" s="24">
        <v>8</v>
      </c>
      <c r="E179" s="24" t="s">
        <v>497</v>
      </c>
      <c r="F179" s="24"/>
      <c r="G179" s="24" t="s">
        <v>490</v>
      </c>
      <c r="H179" s="24"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</row>
    <row r="180" spans="1:69" s="17" customFormat="1" hidden="1" x14ac:dyDescent="0.25">
      <c r="A180" s="23">
        <v>18</v>
      </c>
      <c r="B180" s="23" t="s">
        <v>44</v>
      </c>
      <c r="C180" s="24" t="s">
        <v>45</v>
      </c>
      <c r="D180" s="24">
        <v>9</v>
      </c>
      <c r="E180" s="24" t="s">
        <v>498</v>
      </c>
      <c r="F180" s="24"/>
      <c r="G180" s="24" t="s">
        <v>490</v>
      </c>
      <c r="H180" s="24"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</row>
    <row r="181" spans="1:69" s="17" customFormat="1" hidden="1" x14ac:dyDescent="0.25">
      <c r="A181" s="23">
        <v>18</v>
      </c>
      <c r="B181" s="23" t="s">
        <v>44</v>
      </c>
      <c r="C181" s="24" t="s">
        <v>45</v>
      </c>
      <c r="D181" s="24">
        <v>10</v>
      </c>
      <c r="E181" s="24" t="s">
        <v>499</v>
      </c>
      <c r="F181" s="24"/>
      <c r="G181" s="24" t="s">
        <v>490</v>
      </c>
      <c r="H181" s="24"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</row>
    <row r="182" spans="1:69" hidden="1" x14ac:dyDescent="0.25">
      <c r="A182" s="20">
        <v>19</v>
      </c>
      <c r="B182" s="20" t="s">
        <v>46</v>
      </c>
      <c r="C182" s="3" t="s">
        <v>47</v>
      </c>
      <c r="D182" s="3">
        <v>1</v>
      </c>
      <c r="E182" s="3" t="s">
        <v>489</v>
      </c>
      <c r="F182" s="3"/>
      <c r="G182" s="3" t="s">
        <v>500</v>
      </c>
      <c r="H182" s="3">
        <v>0</v>
      </c>
      <c r="I182" s="3">
        <v>5000</v>
      </c>
      <c r="J182" s="3">
        <v>5000</v>
      </c>
      <c r="K182" s="3">
        <v>5000</v>
      </c>
      <c r="L182" s="3">
        <v>5000</v>
      </c>
      <c r="M182" s="3">
        <v>5000</v>
      </c>
      <c r="N182" s="3">
        <v>5000</v>
      </c>
      <c r="O182" s="3">
        <v>5000</v>
      </c>
      <c r="P182" s="3">
        <v>5000</v>
      </c>
      <c r="Q182" s="3">
        <v>5000</v>
      </c>
      <c r="R182" s="3">
        <v>5000</v>
      </c>
      <c r="S182" s="3">
        <v>5000</v>
      </c>
      <c r="T182" s="3">
        <v>5000</v>
      </c>
      <c r="U182" s="3">
        <v>5000</v>
      </c>
      <c r="V182" s="3">
        <v>5000</v>
      </c>
      <c r="W182" s="3">
        <v>5000</v>
      </c>
      <c r="X182" s="3">
        <v>5000</v>
      </c>
      <c r="Y182" s="3">
        <v>5000</v>
      </c>
      <c r="Z182" s="3">
        <v>5000</v>
      </c>
      <c r="AA182" s="3">
        <v>5000</v>
      </c>
      <c r="AB182" s="3">
        <v>5000</v>
      </c>
      <c r="AC182" s="3">
        <v>5000</v>
      </c>
      <c r="AD182" s="3">
        <v>5000</v>
      </c>
      <c r="AE182" s="3">
        <v>5000</v>
      </c>
      <c r="AF182" s="3">
        <v>5000</v>
      </c>
      <c r="AG182" s="3">
        <v>5000</v>
      </c>
      <c r="AH182" s="3">
        <v>5000</v>
      </c>
      <c r="AI182" s="3">
        <v>5000</v>
      </c>
      <c r="AJ182" s="3">
        <v>5000</v>
      </c>
      <c r="AK182" s="3">
        <v>5000</v>
      </c>
      <c r="AL182" s="3">
        <v>5000</v>
      </c>
      <c r="AM182" s="3">
        <v>5000</v>
      </c>
      <c r="AN182" s="3">
        <v>5000</v>
      </c>
      <c r="AO182" s="3">
        <v>5000</v>
      </c>
      <c r="AP182" s="3">
        <v>5000</v>
      </c>
      <c r="AQ182" s="3">
        <v>5000</v>
      </c>
      <c r="AR182" s="3">
        <v>5000</v>
      </c>
      <c r="AS182" s="3">
        <v>5000</v>
      </c>
      <c r="AT182" s="3">
        <v>5000</v>
      </c>
      <c r="AU182" s="3">
        <v>5000</v>
      </c>
      <c r="AV182" s="3">
        <v>5000</v>
      </c>
      <c r="AW182" s="3">
        <v>5000</v>
      </c>
      <c r="AX182" s="3">
        <v>5000</v>
      </c>
      <c r="AY182" s="3">
        <v>5000</v>
      </c>
      <c r="AZ182" s="3">
        <v>5000</v>
      </c>
      <c r="BA182" s="3">
        <v>5000</v>
      </c>
      <c r="BB182" s="3">
        <v>5000</v>
      </c>
      <c r="BC182" s="3">
        <v>5000</v>
      </c>
      <c r="BD182" s="3">
        <v>5000</v>
      </c>
      <c r="BE182" s="3">
        <v>5000</v>
      </c>
      <c r="BF182" s="3">
        <v>5000</v>
      </c>
      <c r="BG182" s="3">
        <v>5000</v>
      </c>
      <c r="BH182" s="3">
        <v>5000</v>
      </c>
      <c r="BI182" s="3">
        <v>5000</v>
      </c>
      <c r="BJ182" s="3">
        <v>5000</v>
      </c>
      <c r="BK182" s="3">
        <v>5000</v>
      </c>
      <c r="BL182" s="3">
        <v>5000</v>
      </c>
      <c r="BM182" s="3">
        <v>5000</v>
      </c>
      <c r="BN182" s="3">
        <v>5000</v>
      </c>
      <c r="BO182" s="3">
        <v>5000</v>
      </c>
      <c r="BP182" s="3">
        <v>5000</v>
      </c>
      <c r="BQ182" s="3">
        <v>5000</v>
      </c>
    </row>
    <row r="183" spans="1:69" hidden="1" x14ac:dyDescent="0.25">
      <c r="A183" s="20">
        <v>19</v>
      </c>
      <c r="B183" s="20" t="s">
        <v>46</v>
      </c>
      <c r="C183" s="3" t="s">
        <v>47</v>
      </c>
      <c r="D183" s="3">
        <v>2</v>
      </c>
      <c r="E183" s="3" t="s">
        <v>491</v>
      </c>
      <c r="F183" s="3"/>
      <c r="G183" s="3" t="s">
        <v>500</v>
      </c>
      <c r="H183" s="3">
        <v>0</v>
      </c>
      <c r="I183" s="3">
        <v>117</v>
      </c>
      <c r="J183" s="3">
        <v>117</v>
      </c>
      <c r="K183" s="3">
        <v>117</v>
      </c>
      <c r="L183" s="3">
        <v>117</v>
      </c>
      <c r="M183" s="3">
        <v>117</v>
      </c>
      <c r="N183" s="3">
        <v>117</v>
      </c>
      <c r="O183" s="3">
        <v>117</v>
      </c>
      <c r="P183" s="3">
        <v>117</v>
      </c>
      <c r="Q183" s="3">
        <v>117</v>
      </c>
      <c r="R183" s="3">
        <v>117</v>
      </c>
      <c r="S183" s="3">
        <v>102</v>
      </c>
      <c r="T183" s="3">
        <v>102</v>
      </c>
      <c r="U183" s="3">
        <v>102</v>
      </c>
      <c r="V183" s="3">
        <v>102</v>
      </c>
      <c r="W183" s="3">
        <v>102</v>
      </c>
      <c r="X183" s="3">
        <v>95</v>
      </c>
      <c r="Y183" s="3">
        <v>95</v>
      </c>
      <c r="Z183" s="3">
        <v>95</v>
      </c>
      <c r="AA183" s="3">
        <v>95</v>
      </c>
      <c r="AB183" s="3">
        <v>95</v>
      </c>
      <c r="AC183" s="3">
        <v>88</v>
      </c>
      <c r="AD183" s="3">
        <v>88</v>
      </c>
      <c r="AE183" s="3">
        <v>88</v>
      </c>
      <c r="AF183" s="3">
        <v>88</v>
      </c>
      <c r="AG183" s="3">
        <v>88</v>
      </c>
      <c r="AH183" s="3">
        <v>88</v>
      </c>
      <c r="AI183" s="3">
        <v>88</v>
      </c>
      <c r="AJ183" s="3">
        <v>88</v>
      </c>
      <c r="AK183" s="3">
        <v>88</v>
      </c>
      <c r="AL183" s="3">
        <v>88</v>
      </c>
      <c r="AM183" s="3">
        <v>88</v>
      </c>
      <c r="AN183" s="3">
        <v>88</v>
      </c>
      <c r="AO183" s="3">
        <v>88</v>
      </c>
      <c r="AP183" s="3">
        <v>88</v>
      </c>
      <c r="AQ183" s="3">
        <v>88</v>
      </c>
      <c r="AR183" s="3">
        <v>88</v>
      </c>
      <c r="AS183" s="3">
        <v>88</v>
      </c>
      <c r="AT183" s="3">
        <v>88</v>
      </c>
      <c r="AU183" s="3">
        <v>88</v>
      </c>
      <c r="AV183" s="3">
        <v>88</v>
      </c>
      <c r="AW183" s="3">
        <v>88</v>
      </c>
      <c r="AX183" s="3">
        <v>88</v>
      </c>
      <c r="AY183" s="3">
        <v>88</v>
      </c>
      <c r="AZ183" s="3">
        <v>88</v>
      </c>
      <c r="BA183" s="3">
        <v>88</v>
      </c>
      <c r="BB183" s="3">
        <v>88</v>
      </c>
      <c r="BC183" s="3">
        <v>88</v>
      </c>
      <c r="BD183" s="3">
        <v>88</v>
      </c>
      <c r="BE183" s="3">
        <v>88</v>
      </c>
      <c r="BF183" s="3">
        <v>88</v>
      </c>
      <c r="BG183" s="3">
        <v>88</v>
      </c>
      <c r="BH183" s="3">
        <v>88</v>
      </c>
      <c r="BI183" s="3">
        <v>88</v>
      </c>
      <c r="BJ183" s="3">
        <v>88</v>
      </c>
      <c r="BK183" s="3">
        <v>88</v>
      </c>
      <c r="BL183" s="3">
        <v>88</v>
      </c>
      <c r="BM183" s="3">
        <v>88</v>
      </c>
      <c r="BN183" s="3">
        <v>88</v>
      </c>
      <c r="BO183" s="3">
        <v>88</v>
      </c>
      <c r="BP183" s="3">
        <v>88</v>
      </c>
      <c r="BQ183" s="3">
        <v>88</v>
      </c>
    </row>
    <row r="184" spans="1:69" hidden="1" x14ac:dyDescent="0.25">
      <c r="A184" s="20">
        <v>19</v>
      </c>
      <c r="B184" s="20" t="s">
        <v>46</v>
      </c>
      <c r="C184" s="3" t="s">
        <v>47</v>
      </c>
      <c r="D184" s="3">
        <v>3</v>
      </c>
      <c r="E184" s="3" t="s">
        <v>492</v>
      </c>
      <c r="F184" s="3"/>
      <c r="G184" s="3" t="s">
        <v>490</v>
      </c>
      <c r="H184" s="3">
        <v>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hidden="1" x14ac:dyDescent="0.25">
      <c r="A185" s="20">
        <v>19</v>
      </c>
      <c r="B185" s="20" t="s">
        <v>46</v>
      </c>
      <c r="C185" s="3" t="s">
        <v>47</v>
      </c>
      <c r="D185" s="3">
        <v>4</v>
      </c>
      <c r="E185" s="3" t="s">
        <v>493</v>
      </c>
      <c r="F185" s="3"/>
      <c r="G185" s="3" t="s">
        <v>490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</row>
    <row r="186" spans="1:69" hidden="1" x14ac:dyDescent="0.25">
      <c r="A186" s="20">
        <v>19</v>
      </c>
      <c r="B186" s="20" t="s">
        <v>46</v>
      </c>
      <c r="C186" s="3" t="s">
        <v>47</v>
      </c>
      <c r="D186" s="3">
        <v>5</v>
      </c>
      <c r="E186" s="3" t="s">
        <v>494</v>
      </c>
      <c r="F186" s="3"/>
      <c r="G186" s="3" t="s">
        <v>500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0.9</v>
      </c>
      <c r="X186" s="3">
        <v>0.9</v>
      </c>
      <c r="Y186" s="3">
        <v>0.9</v>
      </c>
      <c r="Z186" s="3">
        <v>0.9</v>
      </c>
      <c r="AA186" s="3">
        <v>0.9</v>
      </c>
      <c r="AB186" s="3">
        <v>0.9</v>
      </c>
      <c r="AC186" s="3">
        <v>0.9</v>
      </c>
      <c r="AD186" s="3">
        <v>0.9</v>
      </c>
      <c r="AE186" s="3">
        <v>0.9</v>
      </c>
      <c r="AF186" s="3">
        <v>0.9</v>
      </c>
      <c r="AG186" s="3">
        <v>0.9</v>
      </c>
      <c r="AH186" s="3">
        <v>0.9</v>
      </c>
      <c r="AI186" s="3">
        <v>0.9</v>
      </c>
      <c r="AJ186" s="3">
        <v>0.9</v>
      </c>
      <c r="AK186" s="3">
        <v>0.9</v>
      </c>
      <c r="AL186" s="3">
        <v>0.9</v>
      </c>
      <c r="AM186" s="3">
        <v>0.9</v>
      </c>
      <c r="AN186" s="3">
        <v>0.9</v>
      </c>
      <c r="AO186" s="3">
        <v>0.9</v>
      </c>
      <c r="AP186" s="3">
        <v>0.9</v>
      </c>
      <c r="AQ186" s="3">
        <v>0.9</v>
      </c>
      <c r="AR186" s="3">
        <v>0.9</v>
      </c>
      <c r="AS186" s="3">
        <v>0.9</v>
      </c>
      <c r="AT186" s="3">
        <v>0.9</v>
      </c>
      <c r="AU186" s="3">
        <v>0.9</v>
      </c>
      <c r="AV186" s="3">
        <v>0.9</v>
      </c>
      <c r="AW186" s="3">
        <v>0.9</v>
      </c>
      <c r="AX186" s="3">
        <v>0.9</v>
      </c>
      <c r="AY186" s="3">
        <v>0.9</v>
      </c>
      <c r="AZ186" s="3">
        <v>0.9</v>
      </c>
      <c r="BA186" s="3">
        <v>0.9</v>
      </c>
      <c r="BB186" s="3">
        <v>0.9</v>
      </c>
      <c r="BC186" s="3">
        <v>0.9</v>
      </c>
      <c r="BD186" s="3">
        <v>0.9</v>
      </c>
      <c r="BE186" s="3">
        <v>0.9</v>
      </c>
      <c r="BF186" s="3">
        <v>0.9</v>
      </c>
      <c r="BG186" s="3">
        <v>0.9</v>
      </c>
      <c r="BH186" s="3">
        <v>0.9</v>
      </c>
      <c r="BI186" s="3">
        <v>0.9</v>
      </c>
      <c r="BJ186" s="3">
        <v>0.9</v>
      </c>
      <c r="BK186" s="3">
        <v>0.9</v>
      </c>
      <c r="BL186" s="3">
        <v>0.9</v>
      </c>
      <c r="BM186" s="3">
        <v>0.9</v>
      </c>
      <c r="BN186" s="3">
        <v>0.9</v>
      </c>
      <c r="BO186" s="3">
        <v>0.9</v>
      </c>
      <c r="BP186" s="3">
        <v>0.9</v>
      </c>
      <c r="BQ186" s="3">
        <v>0.9</v>
      </c>
    </row>
    <row r="187" spans="1:69" hidden="1" x14ac:dyDescent="0.25">
      <c r="A187" s="20">
        <v>19</v>
      </c>
      <c r="B187" s="20" t="s">
        <v>46</v>
      </c>
      <c r="C187" s="3" t="s">
        <v>47</v>
      </c>
      <c r="D187" s="3">
        <v>6</v>
      </c>
      <c r="E187" s="3" t="s">
        <v>495</v>
      </c>
      <c r="F187" s="3"/>
      <c r="G187" s="3" t="s">
        <v>490</v>
      </c>
      <c r="H187" s="3">
        <v>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hidden="1" x14ac:dyDescent="0.25">
      <c r="A188" s="20">
        <v>19</v>
      </c>
      <c r="B188" s="20" t="s">
        <v>46</v>
      </c>
      <c r="C188" s="3" t="s">
        <v>47</v>
      </c>
      <c r="D188" s="3">
        <v>7</v>
      </c>
      <c r="E188" s="3" t="s">
        <v>496</v>
      </c>
      <c r="F188" s="3"/>
      <c r="G188" s="21" t="s">
        <v>500</v>
      </c>
      <c r="H188" s="22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1.4</v>
      </c>
      <c r="AE188" s="3">
        <v>1.4</v>
      </c>
      <c r="AF188" s="3">
        <v>1.4</v>
      </c>
      <c r="AG188" s="3">
        <v>1.4</v>
      </c>
      <c r="AH188" s="3">
        <v>1.4</v>
      </c>
      <c r="AI188" s="3">
        <v>1.4</v>
      </c>
      <c r="AJ188" s="3">
        <v>1.4</v>
      </c>
      <c r="AK188" s="3">
        <v>1.4</v>
      </c>
      <c r="AL188" s="3">
        <v>1.4</v>
      </c>
      <c r="AM188" s="3">
        <v>1.4</v>
      </c>
      <c r="AN188" s="3">
        <v>1.4</v>
      </c>
      <c r="AO188" s="3">
        <v>1.4</v>
      </c>
      <c r="AP188" s="3">
        <v>1.4</v>
      </c>
      <c r="AQ188" s="3">
        <v>1.4</v>
      </c>
      <c r="AR188" s="3">
        <v>1.4</v>
      </c>
      <c r="AS188" s="3">
        <v>1.4</v>
      </c>
      <c r="AT188" s="3">
        <v>1.4</v>
      </c>
      <c r="AU188" s="3">
        <v>1.4</v>
      </c>
      <c r="AV188" s="3">
        <v>1.4</v>
      </c>
      <c r="AW188" s="3">
        <v>1.4</v>
      </c>
      <c r="AX188" s="3">
        <v>1.4</v>
      </c>
      <c r="AY188" s="3">
        <v>1.4</v>
      </c>
      <c r="AZ188" s="3">
        <v>1.4</v>
      </c>
      <c r="BA188" s="3">
        <v>1.4</v>
      </c>
      <c r="BB188" s="3">
        <v>1.4</v>
      </c>
      <c r="BC188" s="3">
        <v>1.4</v>
      </c>
      <c r="BD188" s="3">
        <v>1.4</v>
      </c>
      <c r="BE188" s="3">
        <v>1.4</v>
      </c>
      <c r="BF188" s="3">
        <v>1.4</v>
      </c>
      <c r="BG188" s="3">
        <v>1.4</v>
      </c>
      <c r="BH188" s="3">
        <v>1.4</v>
      </c>
      <c r="BI188" s="3">
        <v>1.4</v>
      </c>
      <c r="BJ188" s="3">
        <v>1.4</v>
      </c>
      <c r="BK188" s="3">
        <v>1.4</v>
      </c>
      <c r="BL188" s="3">
        <v>1.4</v>
      </c>
      <c r="BM188" s="3">
        <v>1.4</v>
      </c>
      <c r="BN188" s="3">
        <v>1.4</v>
      </c>
      <c r="BO188" s="3">
        <v>1.4</v>
      </c>
      <c r="BP188" s="3">
        <v>1.4</v>
      </c>
      <c r="BQ188" s="3">
        <v>1.4</v>
      </c>
    </row>
    <row r="189" spans="1:69" hidden="1" x14ac:dyDescent="0.25">
      <c r="A189" s="20">
        <v>19</v>
      </c>
      <c r="B189" s="20" t="s">
        <v>46</v>
      </c>
      <c r="C189" s="3" t="s">
        <v>47</v>
      </c>
      <c r="D189" s="3">
        <v>8</v>
      </c>
      <c r="E189" s="3" t="s">
        <v>497</v>
      </c>
      <c r="F189" s="3"/>
      <c r="G189" s="3" t="s">
        <v>500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5.0000000000000001E-3</v>
      </c>
      <c r="Y189" s="3">
        <v>0</v>
      </c>
      <c r="Z189" s="3">
        <v>0</v>
      </c>
      <c r="AA189" s="3">
        <v>0.05</v>
      </c>
      <c r="AB189" s="3">
        <v>0</v>
      </c>
      <c r="AC189" s="3">
        <v>0.05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</row>
    <row r="190" spans="1:69" hidden="1" x14ac:dyDescent="0.25">
      <c r="A190" s="20">
        <v>19</v>
      </c>
      <c r="B190" s="20" t="s">
        <v>46</v>
      </c>
      <c r="C190" s="3" t="s">
        <v>47</v>
      </c>
      <c r="D190" s="3">
        <v>9</v>
      </c>
      <c r="E190" s="3" t="s">
        <v>498</v>
      </c>
      <c r="F190" s="3"/>
      <c r="G190" s="3" t="s">
        <v>500</v>
      </c>
      <c r="H190" s="3">
        <v>0</v>
      </c>
      <c r="I190" s="3">
        <v>0.95</v>
      </c>
      <c r="J190" s="3">
        <v>0.95</v>
      </c>
      <c r="K190" s="3">
        <v>0.95</v>
      </c>
      <c r="L190" s="3">
        <v>0.95</v>
      </c>
      <c r="M190" s="3">
        <v>0.95</v>
      </c>
      <c r="N190" s="3">
        <v>0.95</v>
      </c>
      <c r="O190" s="3">
        <v>0.95</v>
      </c>
      <c r="P190" s="3">
        <v>0.95</v>
      </c>
      <c r="Q190" s="3">
        <v>0.95</v>
      </c>
      <c r="R190" s="3">
        <v>0.95</v>
      </c>
      <c r="S190" s="3">
        <v>0.95</v>
      </c>
      <c r="T190" s="3">
        <v>0.95</v>
      </c>
      <c r="U190" s="3">
        <v>0.95</v>
      </c>
      <c r="V190" s="3">
        <v>0.95</v>
      </c>
      <c r="W190" s="3">
        <v>0.95</v>
      </c>
      <c r="X190" s="3">
        <v>0.95</v>
      </c>
      <c r="Y190" s="3">
        <v>0.95</v>
      </c>
      <c r="Z190" s="3">
        <v>0.95</v>
      </c>
      <c r="AA190" s="3">
        <v>0.95</v>
      </c>
      <c r="AB190" s="3">
        <v>0.95</v>
      </c>
      <c r="AC190" s="3">
        <v>0.95</v>
      </c>
      <c r="AD190" s="3">
        <v>0.95</v>
      </c>
      <c r="AE190" s="3">
        <v>0.95</v>
      </c>
      <c r="AF190" s="3">
        <v>0.95</v>
      </c>
      <c r="AG190" s="3">
        <v>0.95</v>
      </c>
      <c r="AH190" s="3">
        <v>0.95</v>
      </c>
      <c r="AI190" s="3">
        <v>0.95</v>
      </c>
      <c r="AJ190" s="3">
        <v>0.95</v>
      </c>
      <c r="AK190" s="3">
        <v>0.95</v>
      </c>
      <c r="AL190" s="3">
        <v>0.95</v>
      </c>
      <c r="AM190" s="3">
        <v>0.95</v>
      </c>
      <c r="AN190" s="3">
        <v>0.95</v>
      </c>
      <c r="AO190" s="3">
        <v>0.95</v>
      </c>
      <c r="AP190" s="3">
        <v>0.95</v>
      </c>
      <c r="AQ190" s="3">
        <v>0.95</v>
      </c>
      <c r="AR190" s="3">
        <v>0.95</v>
      </c>
      <c r="AS190" s="3">
        <v>0.95</v>
      </c>
      <c r="AT190" s="3">
        <v>0.95</v>
      </c>
      <c r="AU190" s="3">
        <v>0.95</v>
      </c>
      <c r="AV190" s="3">
        <v>0.95</v>
      </c>
      <c r="AW190" s="3">
        <v>0.95</v>
      </c>
      <c r="AX190" s="3">
        <v>0.95</v>
      </c>
      <c r="AY190" s="3">
        <v>0.95</v>
      </c>
      <c r="AZ190" s="3">
        <v>0.95</v>
      </c>
      <c r="BA190" s="3">
        <v>0.95</v>
      </c>
      <c r="BB190" s="3">
        <v>0.95</v>
      </c>
      <c r="BC190" s="3">
        <v>0.95</v>
      </c>
      <c r="BD190" s="3">
        <v>0.95</v>
      </c>
      <c r="BE190" s="3">
        <v>0.95</v>
      </c>
      <c r="BF190" s="3">
        <v>0.95</v>
      </c>
      <c r="BG190" s="3">
        <v>0.95</v>
      </c>
      <c r="BH190" s="3">
        <v>0.95</v>
      </c>
      <c r="BI190" s="3">
        <v>0.95</v>
      </c>
      <c r="BJ190" s="3">
        <v>0.95</v>
      </c>
      <c r="BK190" s="3">
        <v>0.95</v>
      </c>
      <c r="BL190" s="3">
        <v>0.95</v>
      </c>
      <c r="BM190" s="3">
        <v>0.95</v>
      </c>
      <c r="BN190" s="3">
        <v>0.95</v>
      </c>
      <c r="BO190" s="3">
        <v>0.95</v>
      </c>
      <c r="BP190" s="3">
        <v>0.95</v>
      </c>
      <c r="BQ190" s="3">
        <v>0.95</v>
      </c>
    </row>
    <row r="191" spans="1:69" hidden="1" x14ac:dyDescent="0.25">
      <c r="A191" s="20">
        <v>19</v>
      </c>
      <c r="B191" s="20" t="s">
        <v>46</v>
      </c>
      <c r="C191" s="3" t="s">
        <v>47</v>
      </c>
      <c r="D191" s="3">
        <v>10</v>
      </c>
      <c r="E191" s="3" t="s">
        <v>499</v>
      </c>
      <c r="F191" s="3"/>
      <c r="G191" s="3" t="s">
        <v>501</v>
      </c>
      <c r="H191" s="3">
        <v>0</v>
      </c>
      <c r="I191" s="3">
        <v>0.95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s="17" customFormat="1" hidden="1" x14ac:dyDescent="0.25">
      <c r="A192" s="23">
        <v>20</v>
      </c>
      <c r="B192" s="23" t="s">
        <v>48</v>
      </c>
      <c r="C192" s="24" t="s">
        <v>49</v>
      </c>
      <c r="D192" s="24">
        <v>1</v>
      </c>
      <c r="E192" s="24" t="s">
        <v>489</v>
      </c>
      <c r="F192" s="24"/>
      <c r="G192" s="24" t="s">
        <v>500</v>
      </c>
      <c r="H192" s="24">
        <v>0</v>
      </c>
      <c r="I192" s="24">
        <v>3046.6669999999999</v>
      </c>
      <c r="J192" s="24">
        <v>3046.6669999999999</v>
      </c>
      <c r="K192" s="24">
        <v>3046.6669999999999</v>
      </c>
      <c r="L192" s="24">
        <v>3046.6669999999999</v>
      </c>
      <c r="M192" s="24">
        <v>3046.6669999999999</v>
      </c>
      <c r="N192" s="24">
        <v>3046.6669999999999</v>
      </c>
      <c r="O192" s="24">
        <v>3046.6669999999999</v>
      </c>
      <c r="P192" s="24">
        <v>3046.6669999999999</v>
      </c>
      <c r="Q192" s="24">
        <v>3046.6669999999999</v>
      </c>
      <c r="R192" s="24">
        <v>3046.6669999999999</v>
      </c>
      <c r="S192" s="24">
        <v>3046.6669999999999</v>
      </c>
      <c r="T192" s="24">
        <v>3046.6669999999999</v>
      </c>
      <c r="U192" s="24">
        <v>3046.6669999999999</v>
      </c>
      <c r="V192" s="24">
        <v>3046.6669999999999</v>
      </c>
      <c r="W192" s="24">
        <v>3046.6669999999999</v>
      </c>
      <c r="X192" s="24">
        <v>3046.6669999999999</v>
      </c>
      <c r="Y192" s="24">
        <v>3046.6669999999999</v>
      </c>
      <c r="Z192" s="24">
        <v>3046.6669999999999</v>
      </c>
      <c r="AA192" s="24">
        <v>3046.6669999999999</v>
      </c>
      <c r="AB192" s="24">
        <v>3046.6669999999999</v>
      </c>
      <c r="AC192" s="24">
        <v>3046.6669999999999</v>
      </c>
      <c r="AD192" s="24">
        <v>3046.6669999999999</v>
      </c>
      <c r="AE192" s="24">
        <v>3046.6669999999999</v>
      </c>
      <c r="AF192" s="24">
        <v>3046.6669999999999</v>
      </c>
      <c r="AG192" s="24">
        <v>3046.6669999999999</v>
      </c>
      <c r="AH192" s="24">
        <v>3046.6669999999999</v>
      </c>
      <c r="AI192" s="24">
        <v>3046.6669999999999</v>
      </c>
      <c r="AJ192" s="24">
        <v>3046.6669999999999</v>
      </c>
      <c r="AK192" s="24">
        <v>3046.6669999999999</v>
      </c>
      <c r="AL192" s="24">
        <v>3046.6669999999999</v>
      </c>
      <c r="AM192" s="24">
        <v>3046.6669999999999</v>
      </c>
      <c r="AN192" s="24">
        <v>3046.6669999999999</v>
      </c>
      <c r="AO192" s="24">
        <v>3046.6669999999999</v>
      </c>
      <c r="AP192" s="24">
        <v>3046.6669999999999</v>
      </c>
      <c r="AQ192" s="24">
        <v>3046.6669999999999</v>
      </c>
      <c r="AR192" s="24">
        <v>3046.6669999999999</v>
      </c>
      <c r="AS192" s="24">
        <v>3046.6669999999999</v>
      </c>
      <c r="AT192" s="24">
        <v>3046.6669999999999</v>
      </c>
      <c r="AU192" s="24">
        <v>3046.6669999999999</v>
      </c>
      <c r="AV192" s="24">
        <v>3046.6669999999999</v>
      </c>
      <c r="AW192" s="24">
        <v>3046.6669999999999</v>
      </c>
      <c r="AX192" s="24">
        <v>3046.6669999999999</v>
      </c>
      <c r="AY192" s="24">
        <v>3046.6669999999999</v>
      </c>
      <c r="AZ192" s="24">
        <v>3046.6669999999999</v>
      </c>
      <c r="BA192" s="24">
        <v>3046.6669999999999</v>
      </c>
      <c r="BB192" s="24">
        <v>3046.6669999999999</v>
      </c>
      <c r="BC192" s="24">
        <v>3046.6669999999999</v>
      </c>
      <c r="BD192" s="24">
        <v>3046.6669999999999</v>
      </c>
      <c r="BE192" s="24">
        <v>3046.6669999999999</v>
      </c>
      <c r="BF192" s="24">
        <v>3046.6669999999999</v>
      </c>
      <c r="BG192" s="24">
        <v>3046.6669999999999</v>
      </c>
      <c r="BH192" s="24">
        <v>3046.6669999999999</v>
      </c>
      <c r="BI192" s="24">
        <v>3046.6669999999999</v>
      </c>
      <c r="BJ192" s="24">
        <v>3046.6669999999999</v>
      </c>
      <c r="BK192" s="24">
        <v>3046.6669999999999</v>
      </c>
      <c r="BL192" s="24">
        <v>3046.6669999999999</v>
      </c>
      <c r="BM192" s="24">
        <v>3046.6669999999999</v>
      </c>
      <c r="BN192" s="24">
        <v>3046.6669999999999</v>
      </c>
      <c r="BO192" s="24">
        <v>3046.6669999999999</v>
      </c>
      <c r="BP192" s="24">
        <v>3046.6669999999999</v>
      </c>
      <c r="BQ192" s="24">
        <v>3046.6669999999999</v>
      </c>
    </row>
    <row r="193" spans="1:69" s="17" customFormat="1" hidden="1" x14ac:dyDescent="0.25">
      <c r="A193" s="23">
        <v>20</v>
      </c>
      <c r="B193" s="23" t="s">
        <v>48</v>
      </c>
      <c r="C193" s="24" t="s">
        <v>49</v>
      </c>
      <c r="D193" s="24">
        <v>2</v>
      </c>
      <c r="E193" s="24" t="s">
        <v>491</v>
      </c>
      <c r="F193" s="24"/>
      <c r="G193" s="24" t="s">
        <v>500</v>
      </c>
      <c r="H193" s="24">
        <v>0</v>
      </c>
      <c r="I193" s="24">
        <v>63.33</v>
      </c>
      <c r="J193" s="24">
        <v>63.33</v>
      </c>
      <c r="K193" s="24">
        <v>63.33</v>
      </c>
      <c r="L193" s="24">
        <v>63.33</v>
      </c>
      <c r="M193" s="24">
        <v>63.33</v>
      </c>
      <c r="N193" s="24">
        <v>63.33</v>
      </c>
      <c r="O193" s="24">
        <v>63.33</v>
      </c>
      <c r="P193" s="24">
        <v>63.33</v>
      </c>
      <c r="Q193" s="24">
        <v>63.33</v>
      </c>
      <c r="R193" s="24">
        <v>63.33</v>
      </c>
      <c r="S193" s="24">
        <v>63.33</v>
      </c>
      <c r="T193" s="24">
        <v>63.33</v>
      </c>
      <c r="U193" s="24">
        <v>63.33</v>
      </c>
      <c r="V193" s="24">
        <v>63.33</v>
      </c>
      <c r="W193" s="24">
        <v>63.33</v>
      </c>
      <c r="X193" s="24">
        <v>63.33</v>
      </c>
      <c r="Y193" s="24">
        <v>63.33</v>
      </c>
      <c r="Z193" s="24">
        <v>63.33</v>
      </c>
      <c r="AA193" s="24">
        <v>63.33</v>
      </c>
      <c r="AB193" s="24">
        <v>63.33</v>
      </c>
      <c r="AC193" s="24">
        <v>63.33</v>
      </c>
      <c r="AD193" s="24">
        <v>63.33</v>
      </c>
      <c r="AE193" s="24">
        <v>63.33</v>
      </c>
      <c r="AF193" s="24">
        <v>63.33</v>
      </c>
      <c r="AG193" s="24">
        <v>63.33</v>
      </c>
      <c r="AH193" s="24">
        <v>63.33</v>
      </c>
      <c r="AI193" s="24">
        <v>63.33</v>
      </c>
      <c r="AJ193" s="24">
        <v>63.33</v>
      </c>
      <c r="AK193" s="24">
        <v>63.33</v>
      </c>
      <c r="AL193" s="24">
        <v>63.33</v>
      </c>
      <c r="AM193" s="24">
        <v>63.33</v>
      </c>
      <c r="AN193" s="24">
        <v>63.33</v>
      </c>
      <c r="AO193" s="24">
        <v>63.33</v>
      </c>
      <c r="AP193" s="24">
        <v>63.33</v>
      </c>
      <c r="AQ193" s="24">
        <v>63.33</v>
      </c>
      <c r="AR193" s="24">
        <v>63.33</v>
      </c>
      <c r="AS193" s="24">
        <v>63.33</v>
      </c>
      <c r="AT193" s="24">
        <v>63.33</v>
      </c>
      <c r="AU193" s="24">
        <v>63.33</v>
      </c>
      <c r="AV193" s="24">
        <v>63.33</v>
      </c>
      <c r="AW193" s="24">
        <v>63.33</v>
      </c>
      <c r="AX193" s="24">
        <v>63.33</v>
      </c>
      <c r="AY193" s="24">
        <v>63.33</v>
      </c>
      <c r="AZ193" s="24">
        <v>63.33</v>
      </c>
      <c r="BA193" s="24">
        <v>63.33</v>
      </c>
      <c r="BB193" s="24">
        <v>63.33</v>
      </c>
      <c r="BC193" s="24">
        <v>63.33</v>
      </c>
      <c r="BD193" s="24">
        <v>63.33</v>
      </c>
      <c r="BE193" s="24">
        <v>63.33</v>
      </c>
      <c r="BF193" s="24">
        <v>63.33</v>
      </c>
      <c r="BG193" s="24">
        <v>63.33</v>
      </c>
      <c r="BH193" s="24">
        <v>63.33</v>
      </c>
      <c r="BI193" s="24">
        <v>63.33</v>
      </c>
      <c r="BJ193" s="24">
        <v>63.33</v>
      </c>
      <c r="BK193" s="24">
        <v>63.33</v>
      </c>
      <c r="BL193" s="24">
        <v>63.33</v>
      </c>
      <c r="BM193" s="24">
        <v>63.33</v>
      </c>
      <c r="BN193" s="24">
        <v>63.33</v>
      </c>
      <c r="BO193" s="24">
        <v>63.33</v>
      </c>
      <c r="BP193" s="24">
        <v>63.33</v>
      </c>
      <c r="BQ193" s="24">
        <v>63.33</v>
      </c>
    </row>
    <row r="194" spans="1:69" s="17" customFormat="1" hidden="1" x14ac:dyDescent="0.25">
      <c r="A194" s="23">
        <v>20</v>
      </c>
      <c r="B194" s="23" t="s">
        <v>48</v>
      </c>
      <c r="C194" s="58" t="s">
        <v>49</v>
      </c>
      <c r="D194" s="58">
        <v>3</v>
      </c>
      <c r="E194" s="58" t="s">
        <v>492</v>
      </c>
      <c r="F194" s="58"/>
      <c r="G194" s="58" t="s">
        <v>500</v>
      </c>
      <c r="H194" s="58">
        <v>0</v>
      </c>
      <c r="I194" s="58">
        <v>0.5559042748852957</v>
      </c>
      <c r="J194" s="58">
        <v>0.5559042748852957</v>
      </c>
      <c r="K194" s="58">
        <v>0.5559042748852957</v>
      </c>
      <c r="L194" s="58">
        <v>0.5559042748852957</v>
      </c>
      <c r="M194" s="58">
        <v>0.5559042748852957</v>
      </c>
      <c r="N194" s="58">
        <v>0.5559042748852957</v>
      </c>
      <c r="O194" s="58">
        <v>0.5559042748852957</v>
      </c>
      <c r="P194" s="58">
        <v>0.5559042748852957</v>
      </c>
      <c r="Q194" s="58">
        <v>0.5559042748852957</v>
      </c>
      <c r="R194" s="58">
        <v>0.5559042748852957</v>
      </c>
      <c r="S194" s="58">
        <v>0.5559042748852957</v>
      </c>
      <c r="T194" s="58">
        <v>0.5559042748852957</v>
      </c>
      <c r="U194" s="58">
        <v>0.5559042748852957</v>
      </c>
      <c r="V194" s="58">
        <v>0.5559042748852957</v>
      </c>
      <c r="W194" s="58">
        <v>0.5559042748852957</v>
      </c>
      <c r="X194" s="24">
        <v>0.5559042748852957</v>
      </c>
      <c r="Y194" s="24">
        <v>0.5559042748852957</v>
      </c>
      <c r="Z194" s="24">
        <v>0.5559042748852957</v>
      </c>
      <c r="AA194" s="24">
        <v>0.5559042748852957</v>
      </c>
      <c r="AB194" s="24">
        <v>0.5559042748852957</v>
      </c>
      <c r="AC194" s="24">
        <v>0.5559042748852957</v>
      </c>
      <c r="AD194" s="24">
        <v>0.5559042748852957</v>
      </c>
      <c r="AE194" s="24">
        <v>0.5559042748852957</v>
      </c>
      <c r="AF194" s="24">
        <v>0.5559042748852957</v>
      </c>
      <c r="AG194" s="24">
        <v>0.5559042748852957</v>
      </c>
      <c r="AH194" s="24">
        <v>0.5559042748852957</v>
      </c>
      <c r="AI194" s="24">
        <v>0.5559042748852957</v>
      </c>
      <c r="AJ194" s="24">
        <v>0.5559042748852957</v>
      </c>
      <c r="AK194" s="24">
        <v>0.5559042748852957</v>
      </c>
      <c r="AL194" s="24">
        <v>0.5559042748852957</v>
      </c>
      <c r="AM194" s="24">
        <v>0.5559042748852957</v>
      </c>
      <c r="AN194" s="24">
        <v>0.5559042748852957</v>
      </c>
      <c r="AO194" s="24">
        <v>0.5559042748852957</v>
      </c>
      <c r="AP194" s="24">
        <v>0.5559042748852957</v>
      </c>
      <c r="AQ194" s="24">
        <v>0.5559042748852957</v>
      </c>
      <c r="AR194" s="24">
        <v>0.5559042748852957</v>
      </c>
      <c r="AS194" s="24">
        <v>0.5559042748852957</v>
      </c>
      <c r="AT194" s="24">
        <v>0.5559042748852957</v>
      </c>
      <c r="AU194" s="24">
        <v>0.5559042748852957</v>
      </c>
      <c r="AV194" s="24">
        <v>0.5559042748852957</v>
      </c>
      <c r="AW194" s="24">
        <v>0.5559042748852957</v>
      </c>
      <c r="AX194" s="24">
        <v>0.5559042748852957</v>
      </c>
      <c r="AY194" s="24">
        <v>0.5559042748852957</v>
      </c>
      <c r="AZ194" s="24">
        <v>0.5559042748852957</v>
      </c>
      <c r="BA194" s="24">
        <v>0.5559042748852957</v>
      </c>
      <c r="BB194" s="24">
        <v>0.5559042748852957</v>
      </c>
      <c r="BC194" s="24">
        <v>0.5559042748852957</v>
      </c>
      <c r="BD194" s="24">
        <v>0.5559042748852957</v>
      </c>
      <c r="BE194" s="24">
        <v>0.5559042748852957</v>
      </c>
      <c r="BF194" s="24">
        <v>0.5559042748852957</v>
      </c>
      <c r="BG194" s="24">
        <v>0.5559042748852957</v>
      </c>
      <c r="BH194" s="24">
        <v>0.5559042748852957</v>
      </c>
      <c r="BI194" s="24">
        <v>0.5559042748852957</v>
      </c>
      <c r="BJ194" s="24">
        <v>0.5559042748852957</v>
      </c>
      <c r="BK194" s="24">
        <v>0.5559042748852957</v>
      </c>
      <c r="BL194" s="24">
        <v>0.5559042748852957</v>
      </c>
      <c r="BM194" s="24">
        <v>0.5559042748852957</v>
      </c>
      <c r="BN194" s="24">
        <v>0.5559042748852957</v>
      </c>
      <c r="BO194" s="24">
        <v>0.5559042748852957</v>
      </c>
      <c r="BP194" s="24">
        <v>0.5559042748852957</v>
      </c>
      <c r="BQ194" s="24">
        <v>0.5559042748852957</v>
      </c>
    </row>
    <row r="195" spans="1:69" s="17" customFormat="1" hidden="1" x14ac:dyDescent="0.25">
      <c r="A195" s="23">
        <v>20</v>
      </c>
      <c r="B195" s="56" t="s">
        <v>48</v>
      </c>
      <c r="C195" s="61" t="s">
        <v>49</v>
      </c>
      <c r="D195" s="62">
        <v>4</v>
      </c>
      <c r="E195" s="62" t="s">
        <v>493</v>
      </c>
      <c r="F195" s="62"/>
      <c r="G195" s="62" t="s">
        <v>500</v>
      </c>
      <c r="H195" s="62">
        <v>0</v>
      </c>
      <c r="I195" s="62">
        <v>1.79156800448E-2</v>
      </c>
      <c r="J195" s="62">
        <v>1.7851684630400003E-2</v>
      </c>
      <c r="K195" s="62">
        <v>1.8087213321600001E-2</v>
      </c>
      <c r="L195" s="62">
        <v>1.8094084240000002E-2</v>
      </c>
      <c r="M195" s="62">
        <v>1.7960980169600002E-2</v>
      </c>
      <c r="N195" s="62">
        <v>1.9235455638400002E-2</v>
      </c>
      <c r="O195" s="62">
        <v>3.5523926438400001E-2</v>
      </c>
      <c r="P195" s="62">
        <v>3.6079991462399999E-2</v>
      </c>
      <c r="Q195" s="62">
        <v>4.2200000000000001E-2</v>
      </c>
      <c r="R195" s="62">
        <v>4.2200000000000001E-2</v>
      </c>
      <c r="S195" s="62">
        <v>4.2200000000000001E-2</v>
      </c>
      <c r="T195" s="62">
        <v>4.2200000000000001E-2</v>
      </c>
      <c r="U195" s="62">
        <v>4.2200000000000001E-2</v>
      </c>
      <c r="V195" s="62">
        <v>4.2200000000000001E-2</v>
      </c>
      <c r="W195" s="63">
        <v>4.2200000000000001E-2</v>
      </c>
      <c r="X195" s="57">
        <v>4.2200000000000001E-2</v>
      </c>
      <c r="Y195" s="24">
        <v>4.2200000000000001E-2</v>
      </c>
      <c r="Z195" s="24">
        <v>4.2200000000000001E-2</v>
      </c>
      <c r="AA195" s="24">
        <v>4.2200000000000001E-2</v>
      </c>
      <c r="AB195" s="24">
        <v>4.2200000000000001E-2</v>
      </c>
      <c r="AC195" s="24">
        <v>4.2200000000000001E-2</v>
      </c>
      <c r="AD195" s="24">
        <v>4.2200000000000001E-2</v>
      </c>
      <c r="AE195" s="24">
        <v>4.2200000000000001E-2</v>
      </c>
      <c r="AF195" s="24">
        <v>4.2200000000000001E-2</v>
      </c>
      <c r="AG195" s="24">
        <v>4.2200000000000001E-2</v>
      </c>
      <c r="AH195" s="24">
        <v>4.2200000000000001E-2</v>
      </c>
      <c r="AI195" s="24">
        <v>4.2200000000000001E-2</v>
      </c>
      <c r="AJ195" s="24">
        <v>4.2200000000000001E-2</v>
      </c>
      <c r="AK195" s="24">
        <v>4.2200000000000001E-2</v>
      </c>
      <c r="AL195" s="24">
        <v>4.2200000000000001E-2</v>
      </c>
      <c r="AM195" s="24">
        <v>4.2200000000000001E-2</v>
      </c>
      <c r="AN195" s="24">
        <v>4.2200000000000001E-2</v>
      </c>
      <c r="AO195" s="24">
        <v>4.2200000000000001E-2</v>
      </c>
      <c r="AP195" s="24">
        <v>4.2200000000000001E-2</v>
      </c>
      <c r="AQ195" s="24">
        <v>4.2200000000000001E-2</v>
      </c>
      <c r="AR195" s="24">
        <v>4.2200000000000001E-2</v>
      </c>
      <c r="AS195" s="24">
        <v>4.2200000000000001E-2</v>
      </c>
      <c r="AT195" s="24">
        <v>4.2200000000000001E-2</v>
      </c>
      <c r="AU195" s="24">
        <v>4.2200000000000001E-2</v>
      </c>
      <c r="AV195" s="24">
        <v>4.2200000000000001E-2</v>
      </c>
      <c r="AW195" s="24">
        <v>4.2200000000000001E-2</v>
      </c>
      <c r="AX195" s="24">
        <v>4.2200000000000001E-2</v>
      </c>
      <c r="AY195" s="24">
        <v>4.2200000000000001E-2</v>
      </c>
      <c r="AZ195" s="24">
        <v>4.2200000000000001E-2</v>
      </c>
      <c r="BA195" s="24">
        <v>4.2200000000000001E-2</v>
      </c>
      <c r="BB195" s="24">
        <v>4.2200000000000001E-2</v>
      </c>
      <c r="BC195" s="24">
        <v>4.2200000000000001E-2</v>
      </c>
      <c r="BD195" s="24">
        <v>4.2200000000000001E-2</v>
      </c>
      <c r="BE195" s="24">
        <v>4.2200000000000001E-2</v>
      </c>
      <c r="BF195" s="24">
        <v>4.2200000000000001E-2</v>
      </c>
      <c r="BG195" s="24">
        <v>4.2200000000000001E-2</v>
      </c>
      <c r="BH195" s="24">
        <v>4.2200000000000001E-2</v>
      </c>
      <c r="BI195" s="24">
        <v>4.2200000000000001E-2</v>
      </c>
      <c r="BJ195" s="24">
        <v>4.2200000000000001E-2</v>
      </c>
      <c r="BK195" s="24">
        <v>4.2200000000000001E-2</v>
      </c>
      <c r="BL195" s="24">
        <v>4.2200000000000001E-2</v>
      </c>
      <c r="BM195" s="24">
        <v>4.2200000000000001E-2</v>
      </c>
      <c r="BN195" s="24">
        <v>4.2200000000000001E-2</v>
      </c>
      <c r="BO195" s="24">
        <v>4.2200000000000001E-2</v>
      </c>
      <c r="BP195" s="24">
        <v>4.2200000000000001E-2</v>
      </c>
      <c r="BQ195" s="24">
        <v>4.2200000000000001E-2</v>
      </c>
    </row>
    <row r="196" spans="1:69" s="17" customFormat="1" ht="15.75" hidden="1" thickBot="1" x14ac:dyDescent="0.3">
      <c r="A196" s="23">
        <v>20</v>
      </c>
      <c r="B196" s="56" t="s">
        <v>48</v>
      </c>
      <c r="C196" s="64" t="s">
        <v>49</v>
      </c>
      <c r="D196" s="65">
        <v>5</v>
      </c>
      <c r="E196" s="65" t="s">
        <v>494</v>
      </c>
      <c r="F196" s="65"/>
      <c r="G196" s="65" t="s">
        <v>500</v>
      </c>
      <c r="H196" s="65">
        <v>0</v>
      </c>
      <c r="I196" s="65">
        <v>1.79156800448E-2</v>
      </c>
      <c r="J196" s="65">
        <v>1.7851684630400003E-2</v>
      </c>
      <c r="K196" s="65">
        <v>1.8087213321600001E-2</v>
      </c>
      <c r="L196" s="65">
        <v>1.8094084240000002E-2</v>
      </c>
      <c r="M196" s="65">
        <v>1.7960980169600002E-2</v>
      </c>
      <c r="N196" s="65">
        <v>1.9235455638400002E-2</v>
      </c>
      <c r="O196" s="65">
        <v>3.5523926438400001E-2</v>
      </c>
      <c r="P196" s="65">
        <v>3.6079991462399999E-2</v>
      </c>
      <c r="Q196" s="65">
        <v>4.2200000000000001E-2</v>
      </c>
      <c r="R196" s="65">
        <v>4.2200000000000001E-2</v>
      </c>
      <c r="S196" s="65">
        <v>4.2200000000000001E-2</v>
      </c>
      <c r="T196" s="65">
        <v>4.2200000000000001E-2</v>
      </c>
      <c r="U196" s="65">
        <v>99999</v>
      </c>
      <c r="V196" s="65">
        <v>99999</v>
      </c>
      <c r="W196" s="66">
        <v>99999</v>
      </c>
      <c r="X196" s="57">
        <v>99999</v>
      </c>
      <c r="Y196" s="24">
        <v>99999</v>
      </c>
      <c r="Z196" s="24">
        <v>99999</v>
      </c>
      <c r="AA196" s="24">
        <v>99999</v>
      </c>
      <c r="AB196" s="24">
        <v>99999</v>
      </c>
      <c r="AC196" s="24">
        <v>99999</v>
      </c>
      <c r="AD196" s="24">
        <v>99999</v>
      </c>
      <c r="AE196" s="24">
        <v>99999</v>
      </c>
      <c r="AF196" s="24">
        <v>99999</v>
      </c>
      <c r="AG196" s="24">
        <v>99999</v>
      </c>
      <c r="AH196" s="24">
        <v>99999</v>
      </c>
      <c r="AI196" s="24">
        <v>99999</v>
      </c>
      <c r="AJ196" s="24">
        <v>99999</v>
      </c>
      <c r="AK196" s="24">
        <v>99999</v>
      </c>
      <c r="AL196" s="24">
        <v>99999</v>
      </c>
      <c r="AM196" s="24">
        <v>99999</v>
      </c>
      <c r="AN196" s="24">
        <v>99999</v>
      </c>
      <c r="AO196" s="24">
        <v>99999</v>
      </c>
      <c r="AP196" s="24">
        <v>99999</v>
      </c>
      <c r="AQ196" s="24">
        <v>99999</v>
      </c>
      <c r="AR196" s="24">
        <v>99999</v>
      </c>
      <c r="AS196" s="24">
        <v>99999</v>
      </c>
      <c r="AT196" s="24">
        <v>99999</v>
      </c>
      <c r="AU196" s="24">
        <v>99999</v>
      </c>
      <c r="AV196" s="24">
        <v>99999</v>
      </c>
      <c r="AW196" s="24">
        <v>99999</v>
      </c>
      <c r="AX196" s="24">
        <v>99999</v>
      </c>
      <c r="AY196" s="24">
        <v>99999</v>
      </c>
      <c r="AZ196" s="24">
        <v>99999</v>
      </c>
      <c r="BA196" s="24">
        <v>99999</v>
      </c>
      <c r="BB196" s="24">
        <v>99999</v>
      </c>
      <c r="BC196" s="24">
        <v>99999</v>
      </c>
      <c r="BD196" s="24">
        <v>99999</v>
      </c>
      <c r="BE196" s="24">
        <v>99999</v>
      </c>
      <c r="BF196" s="24">
        <v>99999</v>
      </c>
      <c r="BG196" s="24">
        <v>99999</v>
      </c>
      <c r="BH196" s="24">
        <v>99999</v>
      </c>
      <c r="BI196" s="24">
        <v>99999</v>
      </c>
      <c r="BJ196" s="24">
        <v>99999</v>
      </c>
      <c r="BK196" s="24">
        <v>99999</v>
      </c>
      <c r="BL196" s="24">
        <v>99999</v>
      </c>
      <c r="BM196" s="24">
        <v>99999</v>
      </c>
      <c r="BN196" s="24">
        <v>99999</v>
      </c>
      <c r="BO196" s="24">
        <v>99999</v>
      </c>
      <c r="BP196" s="24">
        <v>99999</v>
      </c>
      <c r="BQ196" s="24">
        <v>99999</v>
      </c>
    </row>
    <row r="197" spans="1:69" s="17" customFormat="1" hidden="1" x14ac:dyDescent="0.25">
      <c r="A197" s="23">
        <v>20</v>
      </c>
      <c r="B197" s="23" t="s">
        <v>48</v>
      </c>
      <c r="C197" s="59" t="s">
        <v>49</v>
      </c>
      <c r="D197" s="59">
        <v>6</v>
      </c>
      <c r="E197" s="59" t="s">
        <v>495</v>
      </c>
      <c r="F197" s="59"/>
      <c r="G197" s="59" t="s">
        <v>490</v>
      </c>
      <c r="H197" s="59">
        <v>0</v>
      </c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</row>
    <row r="198" spans="1:69" s="17" customFormat="1" ht="15.75" hidden="1" thickBot="1" x14ac:dyDescent="0.3">
      <c r="A198" s="23">
        <v>20</v>
      </c>
      <c r="B198" s="56" t="s">
        <v>48</v>
      </c>
      <c r="C198" s="67" t="s">
        <v>49</v>
      </c>
      <c r="D198" s="68">
        <v>7</v>
      </c>
      <c r="E198" s="68" t="s">
        <v>496</v>
      </c>
      <c r="F198" s="68"/>
      <c r="G198" s="69" t="s">
        <v>500</v>
      </c>
      <c r="H198" s="70">
        <v>0</v>
      </c>
      <c r="I198" s="68">
        <v>0.18037222506642372</v>
      </c>
      <c r="J198" s="68">
        <v>0.23252477786758863</v>
      </c>
      <c r="K198" s="68">
        <v>0.25560390115364684</v>
      </c>
      <c r="L198" s="68">
        <v>0.23056148593194203</v>
      </c>
      <c r="M198" s="68">
        <v>0.23931275530466456</v>
      </c>
      <c r="N198" s="68">
        <v>0.27352416158752724</v>
      </c>
      <c r="O198" s="68">
        <v>0.33071026073433923</v>
      </c>
      <c r="P198" s="68">
        <v>0.41958054994897942</v>
      </c>
      <c r="Q198" s="68">
        <v>0.37159999999999999</v>
      </c>
      <c r="R198" s="68">
        <v>0.53610000000000002</v>
      </c>
      <c r="S198" s="68">
        <v>0.50829999999999997</v>
      </c>
      <c r="T198" s="68">
        <v>0.53559999999999997</v>
      </c>
      <c r="U198" s="68">
        <v>0.52529999999999999</v>
      </c>
      <c r="V198" s="68">
        <v>0.5343</v>
      </c>
      <c r="W198" s="71">
        <v>0.53639999999999999</v>
      </c>
      <c r="X198" s="57">
        <v>0.54449999999999998</v>
      </c>
      <c r="Y198" s="24">
        <v>0.55249999999999999</v>
      </c>
      <c r="Z198" s="24">
        <v>0.56220000000000003</v>
      </c>
      <c r="AA198" s="24">
        <v>0.56200000000000006</v>
      </c>
      <c r="AB198" s="24">
        <v>0.56900000000000006</v>
      </c>
      <c r="AC198" s="24">
        <v>0.57800000000000007</v>
      </c>
      <c r="AD198" s="24">
        <v>0.58410000000000006</v>
      </c>
      <c r="AE198" s="24">
        <v>0.59380000000000011</v>
      </c>
      <c r="AF198" s="24">
        <v>0.6039000000000001</v>
      </c>
      <c r="AG198" s="24">
        <v>0.61350000000000016</v>
      </c>
      <c r="AH198" s="24">
        <v>0.6222000000000002</v>
      </c>
      <c r="AI198" s="24">
        <v>0.63270000000000015</v>
      </c>
      <c r="AJ198" s="24">
        <v>0.64140000000000019</v>
      </c>
      <c r="AK198" s="24">
        <v>0.6514000000000002</v>
      </c>
      <c r="AL198" s="24">
        <v>0.66140000000000021</v>
      </c>
      <c r="AM198" s="24">
        <v>0.67130000000000023</v>
      </c>
      <c r="AN198" s="24">
        <v>0.68070000000000019</v>
      </c>
      <c r="AO198" s="24">
        <v>0.6907000000000002</v>
      </c>
      <c r="AP198" s="24">
        <v>0.69810000000000016</v>
      </c>
      <c r="AQ198" s="24">
        <v>0.70810000000000017</v>
      </c>
      <c r="AR198" s="24">
        <v>0.71620000000000017</v>
      </c>
      <c r="AS198" s="24">
        <v>0.72680000000000022</v>
      </c>
      <c r="AT198" s="24">
        <v>0.7351000000000002</v>
      </c>
      <c r="AU198" s="24">
        <v>0.74360000000000015</v>
      </c>
      <c r="AV198" s="24">
        <v>0.75200000000000011</v>
      </c>
      <c r="AW198" s="24">
        <v>0.76070000000000015</v>
      </c>
      <c r="AX198" s="24">
        <v>0.77870000000000017</v>
      </c>
      <c r="AY198" s="24">
        <v>0.78810000000000013</v>
      </c>
      <c r="AZ198" s="24">
        <v>0.7975000000000001</v>
      </c>
      <c r="BA198" s="24">
        <v>0.80690000000000006</v>
      </c>
      <c r="BB198" s="24">
        <v>0.8166000000000001</v>
      </c>
      <c r="BC198" s="24">
        <v>0.82620000000000016</v>
      </c>
      <c r="BD198" s="24">
        <v>0.83580000000000021</v>
      </c>
      <c r="BE198" s="24">
        <v>0.84540000000000026</v>
      </c>
      <c r="BF198" s="24">
        <v>0.8551000000000003</v>
      </c>
      <c r="BG198" s="24">
        <v>0.86500000000000032</v>
      </c>
      <c r="BH198" s="24">
        <v>0.87490000000000034</v>
      </c>
      <c r="BI198" s="24">
        <v>0.88500000000000034</v>
      </c>
      <c r="BJ198" s="24">
        <v>0.89500000000000035</v>
      </c>
      <c r="BK198" s="24">
        <v>0.90520000000000034</v>
      </c>
      <c r="BL198" s="24">
        <v>0.91550000000000031</v>
      </c>
      <c r="BM198" s="24">
        <v>0.92580000000000029</v>
      </c>
      <c r="BN198" s="24">
        <v>0.93610000000000027</v>
      </c>
      <c r="BO198" s="24">
        <v>0.94650000000000023</v>
      </c>
      <c r="BP198" s="24">
        <v>0.95700000000000018</v>
      </c>
      <c r="BQ198" s="24">
        <v>0.96760000000000024</v>
      </c>
    </row>
    <row r="199" spans="1:69" s="17" customFormat="1" hidden="1" x14ac:dyDescent="0.25">
      <c r="A199" s="23">
        <v>20</v>
      </c>
      <c r="B199" s="23" t="s">
        <v>48</v>
      </c>
      <c r="C199" s="60" t="s">
        <v>49</v>
      </c>
      <c r="D199" s="60">
        <v>8</v>
      </c>
      <c r="E199" s="60" t="s">
        <v>497</v>
      </c>
      <c r="F199" s="60"/>
      <c r="G199" s="60" t="s">
        <v>490</v>
      </c>
      <c r="H199" s="60">
        <v>0</v>
      </c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</row>
    <row r="200" spans="1:69" s="17" customFormat="1" hidden="1" x14ac:dyDescent="0.25">
      <c r="A200" s="23">
        <v>20</v>
      </c>
      <c r="B200" s="23" t="s">
        <v>48</v>
      </c>
      <c r="C200" s="24" t="s">
        <v>49</v>
      </c>
      <c r="D200" s="24">
        <v>9</v>
      </c>
      <c r="E200" s="24" t="s">
        <v>498</v>
      </c>
      <c r="F200" s="24"/>
      <c r="G200" s="24" t="s">
        <v>500</v>
      </c>
      <c r="H200" s="24">
        <v>0</v>
      </c>
      <c r="I200" s="49">
        <v>0.33939999999999998</v>
      </c>
      <c r="J200" s="49">
        <v>0.43919999999999998</v>
      </c>
      <c r="K200" s="49">
        <v>0.47649999999999998</v>
      </c>
      <c r="L200" s="49">
        <v>0.42959999999999998</v>
      </c>
      <c r="M200" s="49">
        <v>0.44919999999999999</v>
      </c>
      <c r="N200" s="49">
        <v>0.47939999999999999</v>
      </c>
      <c r="O200" s="49">
        <v>0.31390000000000001</v>
      </c>
      <c r="P200" s="49">
        <v>0.3921</v>
      </c>
      <c r="Q200" s="24">
        <v>0.2969</v>
      </c>
      <c r="R200" s="24">
        <v>0.42830000000000001</v>
      </c>
      <c r="S200" s="24">
        <v>0.40610000000000002</v>
      </c>
      <c r="T200" s="24">
        <v>0.4279</v>
      </c>
      <c r="U200" s="24">
        <v>0.3</v>
      </c>
      <c r="V200" s="24">
        <v>0.3</v>
      </c>
      <c r="W200" s="24">
        <v>0.3</v>
      </c>
      <c r="X200" s="24">
        <v>0.3</v>
      </c>
      <c r="Y200" s="24">
        <v>0.3</v>
      </c>
      <c r="Z200" s="24">
        <v>0.3</v>
      </c>
      <c r="AA200" s="24">
        <v>0.3</v>
      </c>
      <c r="AB200" s="24">
        <v>0.3</v>
      </c>
      <c r="AC200" s="24">
        <v>0.3</v>
      </c>
      <c r="AD200" s="24">
        <v>0.3</v>
      </c>
      <c r="AE200" s="24">
        <v>0.3</v>
      </c>
      <c r="AF200" s="24">
        <v>0.3</v>
      </c>
      <c r="AG200" s="24">
        <v>0.3</v>
      </c>
      <c r="AH200" s="24">
        <v>0.3</v>
      </c>
      <c r="AI200" s="24">
        <v>0.3</v>
      </c>
      <c r="AJ200" s="24">
        <v>0.3</v>
      </c>
      <c r="AK200" s="24">
        <v>0.3</v>
      </c>
      <c r="AL200" s="24">
        <v>0.3</v>
      </c>
      <c r="AM200" s="24">
        <v>0.3</v>
      </c>
      <c r="AN200" s="24">
        <v>0.3</v>
      </c>
      <c r="AO200" s="24">
        <v>0.3</v>
      </c>
      <c r="AP200" s="24">
        <v>0.3</v>
      </c>
      <c r="AQ200" s="24">
        <v>0.3</v>
      </c>
      <c r="AR200" s="24">
        <v>0.3</v>
      </c>
      <c r="AS200" s="24">
        <v>0.3</v>
      </c>
      <c r="AT200" s="24">
        <v>0.3</v>
      </c>
      <c r="AU200" s="24">
        <v>0.3</v>
      </c>
      <c r="AV200" s="24">
        <v>0.3</v>
      </c>
      <c r="AW200" s="24">
        <v>0.3</v>
      </c>
      <c r="AX200" s="24">
        <v>0.3</v>
      </c>
      <c r="AY200" s="24">
        <v>0.3</v>
      </c>
      <c r="AZ200" s="24">
        <v>0.3</v>
      </c>
      <c r="BA200" s="24">
        <v>0.3</v>
      </c>
      <c r="BB200" s="24">
        <v>0.3</v>
      </c>
      <c r="BC200" s="24">
        <v>0.3</v>
      </c>
      <c r="BD200" s="24">
        <v>0.3</v>
      </c>
      <c r="BE200" s="24">
        <v>0.3</v>
      </c>
      <c r="BF200" s="24">
        <v>0.3</v>
      </c>
      <c r="BG200" s="24">
        <v>0.3</v>
      </c>
      <c r="BH200" s="24">
        <v>0.3</v>
      </c>
      <c r="BI200" s="24">
        <v>0.3</v>
      </c>
      <c r="BJ200" s="24">
        <v>0.3</v>
      </c>
      <c r="BK200" s="24">
        <v>0.3</v>
      </c>
      <c r="BL200" s="24">
        <v>0.3</v>
      </c>
      <c r="BM200" s="24">
        <v>0.3</v>
      </c>
      <c r="BN200" s="24">
        <v>0.3</v>
      </c>
      <c r="BO200" s="24">
        <v>0.3</v>
      </c>
      <c r="BP200" s="24">
        <v>0.3</v>
      </c>
      <c r="BQ200" s="24">
        <v>0.3</v>
      </c>
    </row>
    <row r="201" spans="1:69" s="17" customFormat="1" hidden="1" x14ac:dyDescent="0.25">
      <c r="A201" s="23">
        <v>20</v>
      </c>
      <c r="B201" s="23" t="s">
        <v>48</v>
      </c>
      <c r="C201" s="24" t="s">
        <v>49</v>
      </c>
      <c r="D201" s="24">
        <v>10</v>
      </c>
      <c r="E201" s="24" t="s">
        <v>499</v>
      </c>
      <c r="F201" s="24"/>
      <c r="G201" s="24" t="s">
        <v>501</v>
      </c>
      <c r="H201" s="24">
        <v>0</v>
      </c>
      <c r="I201" s="24">
        <v>0.95</v>
      </c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</row>
    <row r="202" spans="1:69" hidden="1" x14ac:dyDescent="0.25">
      <c r="A202" s="20">
        <v>21</v>
      </c>
      <c r="B202" s="20" t="s">
        <v>50</v>
      </c>
      <c r="C202" s="3" t="s">
        <v>51</v>
      </c>
      <c r="D202" s="3">
        <v>1</v>
      </c>
      <c r="E202" s="3" t="s">
        <v>489</v>
      </c>
      <c r="F202" s="3"/>
      <c r="G202" s="3" t="s">
        <v>500</v>
      </c>
      <c r="H202" s="3">
        <v>0</v>
      </c>
      <c r="I202" s="3">
        <v>2890.9666666666667</v>
      </c>
      <c r="J202" s="3">
        <v>2890.9666666666667</v>
      </c>
      <c r="K202" s="3">
        <v>2890.9666666666667</v>
      </c>
      <c r="L202" s="3">
        <v>2890.9666666666667</v>
      </c>
      <c r="M202" s="3">
        <v>2890.9666666666667</v>
      </c>
      <c r="N202" s="3">
        <v>2890.9666666666667</v>
      </c>
      <c r="O202" s="3">
        <v>2890.9666666666667</v>
      </c>
      <c r="P202" s="3">
        <v>2890.9666666666667</v>
      </c>
      <c r="Q202" s="3">
        <v>2890.9666666666667</v>
      </c>
      <c r="R202" s="3">
        <v>2890.9666666666667</v>
      </c>
      <c r="S202" s="3">
        <v>2890.9666666666667</v>
      </c>
      <c r="T202" s="3">
        <v>2890.9666666666667</v>
      </c>
      <c r="U202" s="3">
        <v>2890.9666666666667</v>
      </c>
      <c r="V202" s="3">
        <v>2890.9666666666667</v>
      </c>
      <c r="W202" s="3">
        <v>2890.9666666666667</v>
      </c>
      <c r="X202" s="3">
        <v>2890.9666666666667</v>
      </c>
      <c r="Y202" s="3">
        <v>2890.9666666666667</v>
      </c>
      <c r="Z202" s="3">
        <v>2890.9666666666667</v>
      </c>
      <c r="AA202" s="3">
        <v>2890.9666666666667</v>
      </c>
      <c r="AB202" s="3">
        <v>2890.9666666666667</v>
      </c>
      <c r="AC202" s="3">
        <v>2890.9666666666667</v>
      </c>
      <c r="AD202" s="3">
        <v>2890.9666666666667</v>
      </c>
      <c r="AE202" s="3">
        <v>2890.9666666666667</v>
      </c>
      <c r="AF202" s="3">
        <v>2890.9666666666667</v>
      </c>
      <c r="AG202" s="3">
        <v>2890.9666666666667</v>
      </c>
      <c r="AH202" s="3">
        <v>2890.9666666666667</v>
      </c>
      <c r="AI202" s="3">
        <v>2890.9666666666667</v>
      </c>
      <c r="AJ202" s="3">
        <v>2890.9666666666667</v>
      </c>
      <c r="AK202" s="3">
        <v>2890.9666666666667</v>
      </c>
      <c r="AL202" s="3">
        <v>2890.9666666666667</v>
      </c>
      <c r="AM202" s="3">
        <v>2890.9666666666667</v>
      </c>
      <c r="AN202" s="3">
        <v>2890.9666666666667</v>
      </c>
      <c r="AO202" s="3">
        <v>2890.9666666666667</v>
      </c>
      <c r="AP202" s="3">
        <v>2890.9666666666667</v>
      </c>
      <c r="AQ202" s="3">
        <v>2890.9666666666667</v>
      </c>
      <c r="AR202" s="3">
        <v>2890.9666666666667</v>
      </c>
      <c r="AS202" s="3">
        <v>2890.9666666666667</v>
      </c>
      <c r="AT202" s="3">
        <v>2890.9666666666667</v>
      </c>
      <c r="AU202" s="3">
        <v>2890.9666666666667</v>
      </c>
      <c r="AV202" s="3">
        <v>2890.9666666666667</v>
      </c>
      <c r="AW202" s="3">
        <v>2890.9666666666667</v>
      </c>
      <c r="AX202" s="3">
        <v>2890.9666666666667</v>
      </c>
      <c r="AY202" s="3">
        <v>2890.9666666666667</v>
      </c>
      <c r="AZ202" s="3">
        <v>2890.9666666666667</v>
      </c>
      <c r="BA202" s="3">
        <v>2890.9666666666667</v>
      </c>
      <c r="BB202" s="3">
        <v>2890.9666666666667</v>
      </c>
      <c r="BC202" s="3">
        <v>2890.9666666666667</v>
      </c>
      <c r="BD202" s="3">
        <v>2890.9666666666667</v>
      </c>
      <c r="BE202" s="3">
        <v>2890.9666666666667</v>
      </c>
      <c r="BF202" s="3">
        <v>2890.9666666666667</v>
      </c>
      <c r="BG202" s="3">
        <v>2890.9666666666667</v>
      </c>
      <c r="BH202" s="3">
        <v>2890.9666666666667</v>
      </c>
      <c r="BI202" s="3">
        <v>2890.9666666666667</v>
      </c>
      <c r="BJ202" s="3">
        <v>2890.9666666666667</v>
      </c>
      <c r="BK202" s="3">
        <v>2890.9666666666667</v>
      </c>
      <c r="BL202" s="3">
        <v>2890.9666666666667</v>
      </c>
      <c r="BM202" s="3">
        <v>2890.9666666666667</v>
      </c>
      <c r="BN202" s="3">
        <v>2890.9666666666667</v>
      </c>
      <c r="BO202" s="3">
        <v>2890.9666666666667</v>
      </c>
      <c r="BP202" s="3">
        <v>2890.9666666666667</v>
      </c>
      <c r="BQ202" s="3">
        <v>2890.9666666666667</v>
      </c>
    </row>
    <row r="203" spans="1:69" hidden="1" x14ac:dyDescent="0.25">
      <c r="A203" s="20">
        <v>21</v>
      </c>
      <c r="B203" s="20" t="s">
        <v>50</v>
      </c>
      <c r="C203" s="3" t="s">
        <v>51</v>
      </c>
      <c r="D203" s="3">
        <v>2</v>
      </c>
      <c r="E203" s="3" t="s">
        <v>491</v>
      </c>
      <c r="F203" s="3"/>
      <c r="G203" s="3" t="s">
        <v>500</v>
      </c>
      <c r="H203" s="3">
        <v>0</v>
      </c>
      <c r="I203" s="3">
        <v>63.33</v>
      </c>
      <c r="J203" s="3">
        <v>63.33</v>
      </c>
      <c r="K203" s="3">
        <v>63.33</v>
      </c>
      <c r="L203" s="3">
        <v>63.33</v>
      </c>
      <c r="M203" s="3">
        <v>63.33</v>
      </c>
      <c r="N203" s="3">
        <v>63.33</v>
      </c>
      <c r="O203" s="3">
        <v>63.33</v>
      </c>
      <c r="P203" s="3">
        <v>63.33</v>
      </c>
      <c r="Q203" s="3">
        <v>63.33</v>
      </c>
      <c r="R203" s="3">
        <v>63.33</v>
      </c>
      <c r="S203" s="3">
        <v>63.33</v>
      </c>
      <c r="T203" s="3">
        <v>63.33</v>
      </c>
      <c r="U203" s="3">
        <v>63.33</v>
      </c>
      <c r="V203" s="3">
        <v>63.33</v>
      </c>
      <c r="W203" s="3">
        <v>63.33</v>
      </c>
      <c r="X203" s="3">
        <v>63.33</v>
      </c>
      <c r="Y203" s="3">
        <v>63.33</v>
      </c>
      <c r="Z203" s="3">
        <v>63.33</v>
      </c>
      <c r="AA203" s="3">
        <v>63.33</v>
      </c>
      <c r="AB203" s="3">
        <v>63.33</v>
      </c>
      <c r="AC203" s="3">
        <v>63.33</v>
      </c>
      <c r="AD203" s="3">
        <v>63.33</v>
      </c>
      <c r="AE203" s="3">
        <v>63.33</v>
      </c>
      <c r="AF203" s="3">
        <v>63.33</v>
      </c>
      <c r="AG203" s="3">
        <v>63.33</v>
      </c>
      <c r="AH203" s="3">
        <v>63.33</v>
      </c>
      <c r="AI203" s="3">
        <v>63.33</v>
      </c>
      <c r="AJ203" s="3">
        <v>63.33</v>
      </c>
      <c r="AK203" s="3">
        <v>63.33</v>
      </c>
      <c r="AL203" s="3">
        <v>63.33</v>
      </c>
      <c r="AM203" s="3">
        <v>63.33</v>
      </c>
      <c r="AN203" s="3">
        <v>63.33</v>
      </c>
      <c r="AO203" s="3">
        <v>63.33</v>
      </c>
      <c r="AP203" s="3">
        <v>63.33</v>
      </c>
      <c r="AQ203" s="3">
        <v>63.33</v>
      </c>
      <c r="AR203" s="3">
        <v>63.33</v>
      </c>
      <c r="AS203" s="3">
        <v>63.33</v>
      </c>
      <c r="AT203" s="3">
        <v>63.33</v>
      </c>
      <c r="AU203" s="3">
        <v>63.33</v>
      </c>
      <c r="AV203" s="3">
        <v>63.33</v>
      </c>
      <c r="AW203" s="3">
        <v>63.33</v>
      </c>
      <c r="AX203" s="3">
        <v>63.33</v>
      </c>
      <c r="AY203" s="3">
        <v>63.33</v>
      </c>
      <c r="AZ203" s="3">
        <v>63.33</v>
      </c>
      <c r="BA203" s="3">
        <v>63.33</v>
      </c>
      <c r="BB203" s="3">
        <v>63.33</v>
      </c>
      <c r="BC203" s="3">
        <v>63.33</v>
      </c>
      <c r="BD203" s="3">
        <v>63.33</v>
      </c>
      <c r="BE203" s="3">
        <v>63.33</v>
      </c>
      <c r="BF203" s="3">
        <v>63.33</v>
      </c>
      <c r="BG203" s="3">
        <v>63.33</v>
      </c>
      <c r="BH203" s="3">
        <v>63.33</v>
      </c>
      <c r="BI203" s="3">
        <v>63.33</v>
      </c>
      <c r="BJ203" s="3">
        <v>63.33</v>
      </c>
      <c r="BK203" s="3">
        <v>63.33</v>
      </c>
      <c r="BL203" s="3">
        <v>63.33</v>
      </c>
      <c r="BM203" s="3">
        <v>63.33</v>
      </c>
      <c r="BN203" s="3">
        <v>63.33</v>
      </c>
      <c r="BO203" s="3">
        <v>63.33</v>
      </c>
      <c r="BP203" s="3">
        <v>63.33</v>
      </c>
      <c r="BQ203" s="3">
        <v>63.33</v>
      </c>
    </row>
    <row r="204" spans="1:69" hidden="1" x14ac:dyDescent="0.25">
      <c r="A204" s="20">
        <v>21</v>
      </c>
      <c r="B204" s="20" t="s">
        <v>50</v>
      </c>
      <c r="C204" s="3" t="s">
        <v>51</v>
      </c>
      <c r="D204" s="3">
        <v>3</v>
      </c>
      <c r="E204" s="3" t="s">
        <v>492</v>
      </c>
      <c r="F204" s="3"/>
      <c r="G204" s="3" t="s">
        <v>500</v>
      </c>
      <c r="H204" s="3">
        <v>0</v>
      </c>
      <c r="I204" s="3">
        <v>0.5559042748852957</v>
      </c>
      <c r="J204" s="3">
        <v>0.5559042748852957</v>
      </c>
      <c r="K204" s="3">
        <v>0.5559042748852957</v>
      </c>
      <c r="L204" s="3">
        <v>0.5559042748852957</v>
      </c>
      <c r="M204" s="3">
        <v>0.5559042748852957</v>
      </c>
      <c r="N204" s="3">
        <v>0.5559042748852957</v>
      </c>
      <c r="O204" s="3">
        <v>0.5559042748852957</v>
      </c>
      <c r="P204" s="3">
        <v>0.5559042748852957</v>
      </c>
      <c r="Q204" s="3">
        <v>0.5559042748852957</v>
      </c>
      <c r="R204" s="3">
        <v>0.5559042748852957</v>
      </c>
      <c r="S204" s="3">
        <v>0.5559042748852957</v>
      </c>
      <c r="T204" s="3">
        <v>0.5559042748852957</v>
      </c>
      <c r="U204" s="3">
        <v>0.5559042748852957</v>
      </c>
      <c r="V204" s="3">
        <v>0.5559042748852957</v>
      </c>
      <c r="W204" s="3">
        <v>0.5559042748852957</v>
      </c>
      <c r="X204" s="3">
        <v>0.5559042748852957</v>
      </c>
      <c r="Y204" s="3">
        <v>0.5559042748852957</v>
      </c>
      <c r="Z204" s="3">
        <v>0.5559042748852957</v>
      </c>
      <c r="AA204" s="3">
        <v>0.5559042748852957</v>
      </c>
      <c r="AB204" s="3">
        <v>0.5559042748852957</v>
      </c>
      <c r="AC204" s="3">
        <v>0.5559042748852957</v>
      </c>
      <c r="AD204" s="3">
        <v>0.5559042748852957</v>
      </c>
      <c r="AE204" s="3">
        <v>0.5559042748852957</v>
      </c>
      <c r="AF204" s="3">
        <v>0.5559042748852957</v>
      </c>
      <c r="AG204" s="3">
        <v>0.5559042748852957</v>
      </c>
      <c r="AH204" s="3">
        <v>0.5559042748852957</v>
      </c>
      <c r="AI204" s="3">
        <v>0.5559042748852957</v>
      </c>
      <c r="AJ204" s="3">
        <v>0.5559042748852957</v>
      </c>
      <c r="AK204" s="3">
        <v>0.5559042748852957</v>
      </c>
      <c r="AL204" s="3">
        <v>0.5559042748852957</v>
      </c>
      <c r="AM204" s="3">
        <v>0.5559042748852957</v>
      </c>
      <c r="AN204" s="3">
        <v>0.5559042748852957</v>
      </c>
      <c r="AO204" s="3">
        <v>0.5559042748852957</v>
      </c>
      <c r="AP204" s="3">
        <v>0.5559042748852957</v>
      </c>
      <c r="AQ204" s="3">
        <v>0.5559042748852957</v>
      </c>
      <c r="AR204" s="3">
        <v>0.5559042748852957</v>
      </c>
      <c r="AS204" s="3">
        <v>0.5559042748852957</v>
      </c>
      <c r="AT204" s="3">
        <v>0.5559042748852957</v>
      </c>
      <c r="AU204" s="3">
        <v>0.5559042748852957</v>
      </c>
      <c r="AV204" s="3">
        <v>0.5559042748852957</v>
      </c>
      <c r="AW204" s="3">
        <v>0.5559042748852957</v>
      </c>
      <c r="AX204" s="3">
        <v>0.5559042748852957</v>
      </c>
      <c r="AY204" s="3">
        <v>0.5559042748852957</v>
      </c>
      <c r="AZ204" s="3">
        <v>0.5559042748852957</v>
      </c>
      <c r="BA204" s="3">
        <v>0.5559042748852957</v>
      </c>
      <c r="BB204" s="3">
        <v>0.5559042748852957</v>
      </c>
      <c r="BC204" s="3">
        <v>0.5559042748852957</v>
      </c>
      <c r="BD204" s="3">
        <v>0.5559042748852957</v>
      </c>
      <c r="BE204" s="3">
        <v>0.5559042748852957</v>
      </c>
      <c r="BF204" s="3">
        <v>0.5559042748852957</v>
      </c>
      <c r="BG204" s="3">
        <v>0.5559042748852957</v>
      </c>
      <c r="BH204" s="3">
        <v>0.5559042748852957</v>
      </c>
      <c r="BI204" s="3">
        <v>0.5559042748852957</v>
      </c>
      <c r="BJ204" s="3">
        <v>0.5559042748852957</v>
      </c>
      <c r="BK204" s="3">
        <v>0.5559042748852957</v>
      </c>
      <c r="BL204" s="3">
        <v>0.5559042748852957</v>
      </c>
      <c r="BM204" s="3">
        <v>0.5559042748852957</v>
      </c>
      <c r="BN204" s="3">
        <v>0.5559042748852957</v>
      </c>
      <c r="BO204" s="3">
        <v>0.5559042748852957</v>
      </c>
      <c r="BP204" s="3">
        <v>0.5559042748852957</v>
      </c>
      <c r="BQ204" s="3">
        <v>0.5559042748852957</v>
      </c>
    </row>
    <row r="205" spans="1:69" hidden="1" x14ac:dyDescent="0.25">
      <c r="A205" s="20">
        <v>21</v>
      </c>
      <c r="B205" s="20" t="s">
        <v>50</v>
      </c>
      <c r="C205" s="3" t="s">
        <v>51</v>
      </c>
      <c r="D205" s="3">
        <v>4</v>
      </c>
      <c r="E205" s="3" t="s">
        <v>493</v>
      </c>
      <c r="F205" s="3"/>
      <c r="G205" s="3" t="s">
        <v>500</v>
      </c>
      <c r="H205" s="3">
        <v>0</v>
      </c>
      <c r="I205" s="3">
        <v>9.7017314635200025E-2</v>
      </c>
      <c r="J205" s="3">
        <v>9.6670765509599993E-2</v>
      </c>
      <c r="K205" s="3">
        <v>9.7946204738400017E-2</v>
      </c>
      <c r="L205" s="3">
        <v>9.798341226E-2</v>
      </c>
      <c r="M205" s="3">
        <v>9.7262624690400035E-2</v>
      </c>
      <c r="N205" s="3">
        <v>0.10416418730160003</v>
      </c>
      <c r="O205" s="3">
        <v>0.19236980900160006</v>
      </c>
      <c r="P205" s="3">
        <v>0.19538102237760002</v>
      </c>
      <c r="Q205" s="3">
        <v>0.21299999999999999</v>
      </c>
      <c r="R205" s="3">
        <v>0.21299999999999999</v>
      </c>
      <c r="S205" s="3">
        <v>0.21299999999999999</v>
      </c>
      <c r="T205" s="3">
        <v>0.21299999999999999</v>
      </c>
      <c r="U205" s="3">
        <v>0.21299999999999999</v>
      </c>
      <c r="V205" s="3">
        <v>0.21299999999999999</v>
      </c>
      <c r="W205" s="3">
        <v>0.21299999999999999</v>
      </c>
      <c r="X205" s="3">
        <v>0.21299999999999999</v>
      </c>
      <c r="Y205" s="3">
        <v>0.21299999999999999</v>
      </c>
      <c r="Z205" s="3">
        <v>0.21299999999999999</v>
      </c>
      <c r="AA205" s="3">
        <v>0.21299999999999999</v>
      </c>
      <c r="AB205" s="3">
        <v>0.21299999999999999</v>
      </c>
      <c r="AC205" s="3">
        <v>0.21299999999999999</v>
      </c>
      <c r="AD205" s="3">
        <v>0.21299999999999999</v>
      </c>
      <c r="AE205" s="3">
        <v>0.21299999999999999</v>
      </c>
      <c r="AF205" s="3">
        <v>0.21299999999999999</v>
      </c>
      <c r="AG205" s="3">
        <v>0.21299999999999999</v>
      </c>
      <c r="AH205" s="3">
        <v>0.21299999999999999</v>
      </c>
      <c r="AI205" s="3">
        <v>0.21299999999999999</v>
      </c>
      <c r="AJ205" s="3">
        <v>0.21299999999999999</v>
      </c>
      <c r="AK205" s="3">
        <v>0.21299999999999999</v>
      </c>
      <c r="AL205" s="3">
        <v>0.21299999999999999</v>
      </c>
      <c r="AM205" s="3">
        <v>0.21299999999999999</v>
      </c>
      <c r="AN205" s="3">
        <v>0.21299999999999999</v>
      </c>
      <c r="AO205" s="3">
        <v>0.21299999999999999</v>
      </c>
      <c r="AP205" s="3">
        <v>0.21299999999999999</v>
      </c>
      <c r="AQ205" s="3">
        <v>0.21299999999999999</v>
      </c>
      <c r="AR205" s="3">
        <v>0.21299999999999999</v>
      </c>
      <c r="AS205" s="3">
        <v>0.21299999999999999</v>
      </c>
      <c r="AT205" s="3">
        <v>0.21299999999999999</v>
      </c>
      <c r="AU205" s="3">
        <v>0.21299999999999999</v>
      </c>
      <c r="AV205" s="3">
        <v>0.21299999999999999</v>
      </c>
      <c r="AW205" s="3">
        <v>0.21299999999999999</v>
      </c>
      <c r="AX205" s="3">
        <v>0.21299999999999999</v>
      </c>
      <c r="AY205" s="3">
        <v>0.21299999999999999</v>
      </c>
      <c r="AZ205" s="3">
        <v>0.21299999999999999</v>
      </c>
      <c r="BA205" s="3">
        <v>0.21299999999999999</v>
      </c>
      <c r="BB205" s="3">
        <v>0.21299999999999999</v>
      </c>
      <c r="BC205" s="3">
        <v>0.21299999999999999</v>
      </c>
      <c r="BD205" s="3">
        <v>0.21299999999999999</v>
      </c>
      <c r="BE205" s="3">
        <v>0.21299999999999999</v>
      </c>
      <c r="BF205" s="3">
        <v>0.21299999999999999</v>
      </c>
      <c r="BG205" s="3">
        <v>0.21299999999999999</v>
      </c>
      <c r="BH205" s="3">
        <v>0.21299999999999999</v>
      </c>
      <c r="BI205" s="3">
        <v>0.21299999999999999</v>
      </c>
      <c r="BJ205" s="3">
        <v>0.21299999999999999</v>
      </c>
      <c r="BK205" s="3">
        <v>0.21299999999999999</v>
      </c>
      <c r="BL205" s="3">
        <v>0.21299999999999999</v>
      </c>
      <c r="BM205" s="3">
        <v>0.21299999999999999</v>
      </c>
      <c r="BN205" s="3">
        <v>0.21299999999999999</v>
      </c>
      <c r="BO205" s="3">
        <v>0.21299999999999999</v>
      </c>
      <c r="BP205" s="3">
        <v>0.21299999999999999</v>
      </c>
      <c r="BQ205" s="3">
        <v>0.21299999999999999</v>
      </c>
    </row>
    <row r="206" spans="1:69" hidden="1" x14ac:dyDescent="0.25">
      <c r="A206" s="20">
        <v>21</v>
      </c>
      <c r="B206" s="20" t="s">
        <v>50</v>
      </c>
      <c r="C206" s="3" t="s">
        <v>51</v>
      </c>
      <c r="D206" s="3">
        <v>5</v>
      </c>
      <c r="E206" s="3" t="s">
        <v>494</v>
      </c>
      <c r="F206" s="3"/>
      <c r="G206" s="3" t="s">
        <v>500</v>
      </c>
      <c r="H206" s="3">
        <v>0</v>
      </c>
      <c r="I206" s="3">
        <v>9.7017314635200025E-2</v>
      </c>
      <c r="J206" s="3">
        <v>9.6670765509599993E-2</v>
      </c>
      <c r="K206" s="3">
        <v>9.7946204738400017E-2</v>
      </c>
      <c r="L206" s="3">
        <v>9.798341226E-2</v>
      </c>
      <c r="M206" s="3">
        <v>9.7262624690400035E-2</v>
      </c>
      <c r="N206" s="3">
        <v>0.10416418730160003</v>
      </c>
      <c r="O206" s="3">
        <v>0.19236980900160006</v>
      </c>
      <c r="P206" s="3">
        <v>0.19538102237760002</v>
      </c>
      <c r="Q206" s="3">
        <v>0.21299999999999999</v>
      </c>
      <c r="R206" s="3">
        <v>0.21299999999999999</v>
      </c>
      <c r="S206" s="3">
        <v>0.21299999999999999</v>
      </c>
      <c r="T206" s="3">
        <v>0.21299999999999999</v>
      </c>
      <c r="U206" s="3">
        <v>0.41839999999999999</v>
      </c>
      <c r="V206" s="3">
        <v>0.41839999999999999</v>
      </c>
      <c r="W206" s="3">
        <v>0.49340000000000001</v>
      </c>
      <c r="X206" s="3">
        <v>0.49340000000000001</v>
      </c>
      <c r="Y206" s="3">
        <v>0.49340000000000001</v>
      </c>
      <c r="Z206" s="3">
        <v>0.49340000000000001</v>
      </c>
      <c r="AA206" s="3">
        <v>0.49340000000000001</v>
      </c>
      <c r="AB206" s="3">
        <v>0.49340000000000001</v>
      </c>
      <c r="AC206" s="3">
        <v>0.49340000000000001</v>
      </c>
      <c r="AD206" s="3">
        <v>0.49340000000000001</v>
      </c>
      <c r="AE206" s="3">
        <v>0.49340000000000001</v>
      </c>
      <c r="AF206" s="3">
        <v>0.49340000000000001</v>
      </c>
      <c r="AG206" s="3">
        <v>0.49340000000000001</v>
      </c>
      <c r="AH206" s="3">
        <v>0.49340000000000001</v>
      </c>
      <c r="AI206" s="3">
        <v>0.49340000000000001</v>
      </c>
      <c r="AJ206" s="3">
        <v>0.49340000000000001</v>
      </c>
      <c r="AK206" s="3">
        <v>0.49340000000000001</v>
      </c>
      <c r="AL206" s="3">
        <v>0.49340000000000001</v>
      </c>
      <c r="AM206" s="3">
        <v>0.49340000000000001</v>
      </c>
      <c r="AN206" s="3">
        <v>0.49340000000000001</v>
      </c>
      <c r="AO206" s="3">
        <v>0.49340000000000001</v>
      </c>
      <c r="AP206" s="3">
        <v>0.49340000000000001</v>
      </c>
      <c r="AQ206" s="3">
        <v>0.49340000000000001</v>
      </c>
      <c r="AR206" s="3">
        <v>0.49340000000000001</v>
      </c>
      <c r="AS206" s="3">
        <v>0.49340000000000001</v>
      </c>
      <c r="AT206" s="3">
        <v>0.49340000000000001</v>
      </c>
      <c r="AU206" s="3">
        <v>0.49340000000000001</v>
      </c>
      <c r="AV206" s="3">
        <v>0.49340000000000001</v>
      </c>
      <c r="AW206" s="3">
        <v>0.49340000000000001</v>
      </c>
      <c r="AX206" s="3">
        <v>0.49340000000000001</v>
      </c>
      <c r="AY206" s="3">
        <v>0.49340000000000001</v>
      </c>
      <c r="AZ206" s="3">
        <v>0.49340000000000001</v>
      </c>
      <c r="BA206" s="3">
        <v>0.49340000000000001</v>
      </c>
      <c r="BB206" s="3">
        <v>0.49340000000000001</v>
      </c>
      <c r="BC206" s="3">
        <v>0.49340000000000001</v>
      </c>
      <c r="BD206" s="3">
        <v>0.49340000000000001</v>
      </c>
      <c r="BE206" s="3">
        <v>0.49340000000000001</v>
      </c>
      <c r="BF206" s="3">
        <v>0.49340000000000001</v>
      </c>
      <c r="BG206" s="3">
        <v>0.49340000000000001</v>
      </c>
      <c r="BH206" s="3">
        <v>0.49340000000000001</v>
      </c>
      <c r="BI206" s="3">
        <v>0.49340000000000001</v>
      </c>
      <c r="BJ206" s="3">
        <v>0.49340000000000001</v>
      </c>
      <c r="BK206" s="3">
        <v>0.49340000000000001</v>
      </c>
      <c r="BL206" s="3">
        <v>0.49340000000000001</v>
      </c>
      <c r="BM206" s="3">
        <v>0.49340000000000001</v>
      </c>
      <c r="BN206" s="3">
        <v>0.49340000000000001</v>
      </c>
      <c r="BO206" s="3">
        <v>0.49340000000000001</v>
      </c>
      <c r="BP206" s="3">
        <v>0.49340000000000001</v>
      </c>
      <c r="BQ206" s="3">
        <v>0.49340000000000001</v>
      </c>
    </row>
    <row r="207" spans="1:69" hidden="1" x14ac:dyDescent="0.25">
      <c r="A207" s="20">
        <v>21</v>
      </c>
      <c r="B207" s="20" t="s">
        <v>50</v>
      </c>
      <c r="C207" s="3" t="s">
        <v>51</v>
      </c>
      <c r="D207" s="3">
        <v>6</v>
      </c>
      <c r="E207" s="3" t="s">
        <v>495</v>
      </c>
      <c r="F207" s="3"/>
      <c r="G207" s="3" t="s">
        <v>490</v>
      </c>
      <c r="H207" s="3">
        <v>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hidden="1" x14ac:dyDescent="0.25">
      <c r="A208" s="20">
        <v>21</v>
      </c>
      <c r="B208" s="20" t="s">
        <v>50</v>
      </c>
      <c r="C208" s="3" t="s">
        <v>51</v>
      </c>
      <c r="D208" s="3">
        <v>7</v>
      </c>
      <c r="E208" s="3" t="s">
        <v>496</v>
      </c>
      <c r="F208" s="3"/>
      <c r="G208" s="21" t="s">
        <v>500</v>
      </c>
      <c r="H208" s="22">
        <v>0</v>
      </c>
      <c r="I208" s="3">
        <v>1.1108522247100148</v>
      </c>
      <c r="J208" s="3">
        <v>1.4320423596221161</v>
      </c>
      <c r="K208" s="3">
        <v>1.5741789631775316</v>
      </c>
      <c r="L208" s="3">
        <v>1.4199511010391217</v>
      </c>
      <c r="M208" s="3">
        <v>1.4738472430207679</v>
      </c>
      <c r="N208" s="3">
        <v>1.6845438553499712</v>
      </c>
      <c r="O208" s="3">
        <v>2.036733919182304</v>
      </c>
      <c r="P208" s="3">
        <v>2.5840563156784953</v>
      </c>
      <c r="Q208" s="3">
        <v>3.1625000000000001</v>
      </c>
      <c r="R208" s="3">
        <v>4.2037000000000004</v>
      </c>
      <c r="S208" s="3">
        <v>3.1303000000000001</v>
      </c>
      <c r="T208" s="3">
        <v>3.7993000000000001</v>
      </c>
      <c r="U208" s="3">
        <v>6.2047999999999996</v>
      </c>
      <c r="V208" s="3">
        <v>6.2047999999999996</v>
      </c>
      <c r="W208" s="3">
        <v>7.3170000000000002</v>
      </c>
      <c r="X208" s="3">
        <v>7.3170000000000002</v>
      </c>
      <c r="Y208" s="3">
        <v>7.3170000000000002</v>
      </c>
      <c r="Z208" s="3">
        <v>7.3170000000000002</v>
      </c>
      <c r="AA208" s="3">
        <v>7.3170000000000002</v>
      </c>
      <c r="AB208" s="3">
        <v>7.3170000000000002</v>
      </c>
      <c r="AC208" s="3">
        <v>7.3170000000000002</v>
      </c>
      <c r="AD208" s="3">
        <v>7.3170000000000002</v>
      </c>
      <c r="AE208" s="3">
        <v>7.3170000000000002</v>
      </c>
      <c r="AF208" s="3">
        <v>7.3170000000000002</v>
      </c>
      <c r="AG208" s="3">
        <v>7.3170000000000002</v>
      </c>
      <c r="AH208" s="3">
        <v>7.3170000000000002</v>
      </c>
      <c r="AI208" s="3">
        <v>7.3170000000000002</v>
      </c>
      <c r="AJ208" s="3">
        <v>7.3170000000000002</v>
      </c>
      <c r="AK208" s="3">
        <v>7.3170000000000002</v>
      </c>
      <c r="AL208" s="3">
        <v>7.3170000000000002</v>
      </c>
      <c r="AM208" s="3">
        <v>7.3170000000000002</v>
      </c>
      <c r="AN208" s="3">
        <v>7.3170000000000002</v>
      </c>
      <c r="AO208" s="3">
        <v>7.3170000000000002</v>
      </c>
      <c r="AP208" s="3">
        <v>7.3170000000000002</v>
      </c>
      <c r="AQ208" s="3">
        <v>7.3170000000000002</v>
      </c>
      <c r="AR208" s="3">
        <v>7.3170000000000002</v>
      </c>
      <c r="AS208" s="3">
        <v>7.3170000000000002</v>
      </c>
      <c r="AT208" s="3">
        <v>7.3170000000000002</v>
      </c>
      <c r="AU208" s="3">
        <v>7.3170000000000002</v>
      </c>
      <c r="AV208" s="3">
        <v>7.3170000000000002</v>
      </c>
      <c r="AW208" s="3">
        <v>7.3170000000000002</v>
      </c>
      <c r="AX208" s="3">
        <v>7.3170000000000002</v>
      </c>
      <c r="AY208" s="3">
        <v>7.3170000000000002</v>
      </c>
      <c r="AZ208" s="3">
        <v>7.3170000000000002</v>
      </c>
      <c r="BA208" s="3">
        <v>7.3170000000000002</v>
      </c>
      <c r="BB208" s="3">
        <v>7.3170000000000002</v>
      </c>
      <c r="BC208" s="3">
        <v>7.3170000000000002</v>
      </c>
      <c r="BD208" s="3">
        <v>7.3170000000000002</v>
      </c>
      <c r="BE208" s="3">
        <v>7.3170000000000002</v>
      </c>
      <c r="BF208" s="3">
        <v>7.3170000000000002</v>
      </c>
      <c r="BG208" s="3">
        <v>7.3170000000000002</v>
      </c>
      <c r="BH208" s="3">
        <v>7.3170000000000002</v>
      </c>
      <c r="BI208" s="3">
        <v>7.3170000000000002</v>
      </c>
      <c r="BJ208" s="3">
        <v>7.3170000000000002</v>
      </c>
      <c r="BK208" s="3">
        <v>7.3170000000000002</v>
      </c>
      <c r="BL208" s="3">
        <v>7.3170000000000002</v>
      </c>
      <c r="BM208" s="3">
        <v>7.3170000000000002</v>
      </c>
      <c r="BN208" s="3">
        <v>7.3170000000000002</v>
      </c>
      <c r="BO208" s="3">
        <v>7.3170000000000002</v>
      </c>
      <c r="BP208" s="3">
        <v>7.3170000000000002</v>
      </c>
      <c r="BQ208" s="3">
        <v>7.3170000000000002</v>
      </c>
    </row>
    <row r="209" spans="1:69" hidden="1" x14ac:dyDescent="0.25">
      <c r="A209" s="20">
        <v>21</v>
      </c>
      <c r="B209" s="20" t="s">
        <v>50</v>
      </c>
      <c r="C209" s="3" t="s">
        <v>51</v>
      </c>
      <c r="D209" s="3">
        <v>8</v>
      </c>
      <c r="E209" s="3" t="s">
        <v>497</v>
      </c>
      <c r="F209" s="3"/>
      <c r="G209" s="3" t="s">
        <v>490</v>
      </c>
      <c r="H209" s="3">
        <v>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hidden="1" x14ac:dyDescent="0.25">
      <c r="A210" s="20">
        <v>21</v>
      </c>
      <c r="B210" s="20" t="s">
        <v>50</v>
      </c>
      <c r="C210" s="3" t="s">
        <v>51</v>
      </c>
      <c r="D210" s="3">
        <v>9</v>
      </c>
      <c r="E210" s="3" t="s">
        <v>498</v>
      </c>
      <c r="F210" s="3"/>
      <c r="G210" s="3" t="s">
        <v>500</v>
      </c>
      <c r="H210" s="3">
        <v>0</v>
      </c>
      <c r="I210" s="3">
        <v>0.38600000000000001</v>
      </c>
      <c r="J210" s="3">
        <v>0.4995</v>
      </c>
      <c r="K210" s="3">
        <v>0.54190000000000005</v>
      </c>
      <c r="L210" s="3">
        <v>0.48859999999999998</v>
      </c>
      <c r="M210" s="3">
        <v>0.51090000000000002</v>
      </c>
      <c r="N210" s="3">
        <v>0.54530000000000001</v>
      </c>
      <c r="O210" s="3">
        <v>0.35699999999999998</v>
      </c>
      <c r="P210" s="3">
        <v>0.44590000000000002</v>
      </c>
      <c r="Q210" s="3">
        <v>0.50060000000000004</v>
      </c>
      <c r="R210" s="3">
        <v>0.66539999999999999</v>
      </c>
      <c r="S210" s="3">
        <v>0.4955</v>
      </c>
      <c r="T210" s="3">
        <v>0.60140000000000005</v>
      </c>
      <c r="U210" s="3">
        <v>0.5</v>
      </c>
      <c r="V210" s="3">
        <v>0.5</v>
      </c>
      <c r="W210" s="3">
        <v>0.5</v>
      </c>
      <c r="X210" s="3">
        <v>0.5</v>
      </c>
      <c r="Y210" s="3">
        <v>0.5</v>
      </c>
      <c r="Z210" s="3">
        <v>0.5</v>
      </c>
      <c r="AA210" s="3">
        <v>0.5</v>
      </c>
      <c r="AB210" s="3">
        <v>0.5</v>
      </c>
      <c r="AC210" s="3">
        <v>0.5</v>
      </c>
      <c r="AD210" s="3">
        <v>0.5</v>
      </c>
      <c r="AE210" s="3">
        <v>0.5</v>
      </c>
      <c r="AF210" s="3">
        <v>0.5</v>
      </c>
      <c r="AG210" s="3">
        <v>0.5</v>
      </c>
      <c r="AH210" s="3">
        <v>0.5</v>
      </c>
      <c r="AI210" s="3">
        <v>0.5</v>
      </c>
      <c r="AJ210" s="3">
        <v>0.5</v>
      </c>
      <c r="AK210" s="3">
        <v>0.5</v>
      </c>
      <c r="AL210" s="3">
        <v>0.5</v>
      </c>
      <c r="AM210" s="3">
        <v>0.5</v>
      </c>
      <c r="AN210" s="3">
        <v>0.5</v>
      </c>
      <c r="AO210" s="3">
        <v>0.5</v>
      </c>
      <c r="AP210" s="3">
        <v>0.5</v>
      </c>
      <c r="AQ210" s="3">
        <v>0.5</v>
      </c>
      <c r="AR210" s="3">
        <v>0.5</v>
      </c>
      <c r="AS210" s="3">
        <v>0.5</v>
      </c>
      <c r="AT210" s="3">
        <v>0.5</v>
      </c>
      <c r="AU210" s="3">
        <v>0.5</v>
      </c>
      <c r="AV210" s="3">
        <v>0.5</v>
      </c>
      <c r="AW210" s="3">
        <v>0.5</v>
      </c>
      <c r="AX210" s="3">
        <v>0.5</v>
      </c>
      <c r="AY210" s="3">
        <v>0.5</v>
      </c>
      <c r="AZ210" s="3">
        <v>0.5</v>
      </c>
      <c r="BA210" s="3">
        <v>0.5</v>
      </c>
      <c r="BB210" s="3">
        <v>0.5</v>
      </c>
      <c r="BC210" s="3">
        <v>0.5</v>
      </c>
      <c r="BD210" s="3">
        <v>0.5</v>
      </c>
      <c r="BE210" s="3">
        <v>0.5</v>
      </c>
      <c r="BF210" s="3">
        <v>0.5</v>
      </c>
      <c r="BG210" s="3">
        <v>0.5</v>
      </c>
      <c r="BH210" s="3">
        <v>0.5</v>
      </c>
      <c r="BI210" s="3">
        <v>0.5</v>
      </c>
      <c r="BJ210" s="3">
        <v>0.5</v>
      </c>
      <c r="BK210" s="3">
        <v>0.5</v>
      </c>
      <c r="BL210" s="3">
        <v>0.5</v>
      </c>
      <c r="BM210" s="3">
        <v>0.5</v>
      </c>
      <c r="BN210" s="3">
        <v>0.5</v>
      </c>
      <c r="BO210" s="3">
        <v>0.5</v>
      </c>
      <c r="BP210" s="3">
        <v>0.5</v>
      </c>
      <c r="BQ210" s="3">
        <v>0.5</v>
      </c>
    </row>
    <row r="211" spans="1:69" hidden="1" x14ac:dyDescent="0.25">
      <c r="A211" s="20">
        <v>21</v>
      </c>
      <c r="B211" s="20" t="s">
        <v>50</v>
      </c>
      <c r="C211" s="3" t="s">
        <v>51</v>
      </c>
      <c r="D211" s="3">
        <v>10</v>
      </c>
      <c r="E211" s="3" t="s">
        <v>499</v>
      </c>
      <c r="F211" s="3"/>
      <c r="G211" s="3" t="s">
        <v>501</v>
      </c>
      <c r="H211" s="3">
        <v>0</v>
      </c>
      <c r="I211" s="3">
        <v>0.95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s="17" customFormat="1" hidden="1" x14ac:dyDescent="0.25">
      <c r="A212" s="23">
        <v>22</v>
      </c>
      <c r="B212" s="23" t="s">
        <v>52</v>
      </c>
      <c r="C212" s="24" t="s">
        <v>53</v>
      </c>
      <c r="D212" s="24">
        <v>1</v>
      </c>
      <c r="E212" s="24" t="s">
        <v>489</v>
      </c>
      <c r="F212" s="24"/>
      <c r="G212" s="24" t="s">
        <v>500</v>
      </c>
      <c r="H212" s="24">
        <v>0</v>
      </c>
      <c r="I212" s="24">
        <v>1572.4504999999999</v>
      </c>
      <c r="J212" s="24">
        <v>1572.4504999999999</v>
      </c>
      <c r="K212" s="24">
        <v>1572.4504999999999</v>
      </c>
      <c r="L212" s="24">
        <v>1572.4504999999999</v>
      </c>
      <c r="M212" s="24">
        <v>1572.4504999999999</v>
      </c>
      <c r="N212" s="24">
        <v>1572.4504999999999</v>
      </c>
      <c r="O212" s="24">
        <v>1572.4504999999999</v>
      </c>
      <c r="P212" s="24">
        <v>1572.4504999999999</v>
      </c>
      <c r="Q212" s="24">
        <v>1572.4504999999999</v>
      </c>
      <c r="R212" s="24">
        <v>1572.4504999999999</v>
      </c>
      <c r="S212" s="24">
        <v>1572.4504999999999</v>
      </c>
      <c r="T212" s="24">
        <v>1572.4504999999999</v>
      </c>
      <c r="U212" s="24">
        <v>1572.4504999999999</v>
      </c>
      <c r="V212" s="24">
        <v>1572.4504999999999</v>
      </c>
      <c r="W212" s="24">
        <v>1572.4504999999999</v>
      </c>
      <c r="X212" s="24">
        <v>1572.4504999999999</v>
      </c>
      <c r="Y212" s="24">
        <v>1572.4504999999999</v>
      </c>
      <c r="Z212" s="24">
        <v>1572.4504999999999</v>
      </c>
      <c r="AA212" s="24">
        <v>1572.4504999999999</v>
      </c>
      <c r="AB212" s="24">
        <v>1572.4504999999999</v>
      </c>
      <c r="AC212" s="24">
        <v>1572.4504999999999</v>
      </c>
      <c r="AD212" s="24">
        <v>1572.4504999999999</v>
      </c>
      <c r="AE212" s="24">
        <v>1572.4504999999999</v>
      </c>
      <c r="AF212" s="24">
        <v>1572.4504999999999</v>
      </c>
      <c r="AG212" s="24">
        <v>1572.4504999999999</v>
      </c>
      <c r="AH212" s="24">
        <v>1572.4504999999999</v>
      </c>
      <c r="AI212" s="24">
        <v>1572.4504999999999</v>
      </c>
      <c r="AJ212" s="24">
        <v>1572.4504999999999</v>
      </c>
      <c r="AK212" s="24">
        <v>1572.4504999999999</v>
      </c>
      <c r="AL212" s="24">
        <v>1572.4504999999999</v>
      </c>
      <c r="AM212" s="24">
        <v>1572.4504999999999</v>
      </c>
      <c r="AN212" s="24">
        <v>1572.4504999999999</v>
      </c>
      <c r="AO212" s="24">
        <v>1572.4504999999999</v>
      </c>
      <c r="AP212" s="24">
        <v>1572.4504999999999</v>
      </c>
      <c r="AQ212" s="24">
        <v>1572.4504999999999</v>
      </c>
      <c r="AR212" s="24">
        <v>1572.4504999999999</v>
      </c>
      <c r="AS212" s="24">
        <v>1572.4504999999999</v>
      </c>
      <c r="AT212" s="24">
        <v>1572.4504999999999</v>
      </c>
      <c r="AU212" s="24">
        <v>1572.4504999999999</v>
      </c>
      <c r="AV212" s="24">
        <v>1572.4504999999999</v>
      </c>
      <c r="AW212" s="24">
        <v>1572.4504999999999</v>
      </c>
      <c r="AX212" s="24">
        <v>1572.4504999999999</v>
      </c>
      <c r="AY212" s="24">
        <v>1572.4504999999999</v>
      </c>
      <c r="AZ212" s="24">
        <v>1572.4504999999999</v>
      </c>
      <c r="BA212" s="24">
        <v>1572.4504999999999</v>
      </c>
      <c r="BB212" s="24">
        <v>1572.4504999999999</v>
      </c>
      <c r="BC212" s="24">
        <v>1572.4504999999999</v>
      </c>
      <c r="BD212" s="24">
        <v>1572.4504999999999</v>
      </c>
      <c r="BE212" s="24">
        <v>1572.4504999999999</v>
      </c>
      <c r="BF212" s="24">
        <v>1572.4504999999999</v>
      </c>
      <c r="BG212" s="24">
        <v>1572.4504999999999</v>
      </c>
      <c r="BH212" s="24">
        <v>1572.4504999999999</v>
      </c>
      <c r="BI212" s="24">
        <v>1572.4504999999999</v>
      </c>
      <c r="BJ212" s="24">
        <v>1572.4504999999999</v>
      </c>
      <c r="BK212" s="24">
        <v>1572.4504999999999</v>
      </c>
      <c r="BL212" s="24">
        <v>1572.4504999999999</v>
      </c>
      <c r="BM212" s="24">
        <v>1572.4504999999999</v>
      </c>
      <c r="BN212" s="24">
        <v>1572.4504999999999</v>
      </c>
      <c r="BO212" s="24">
        <v>1572.4504999999999</v>
      </c>
      <c r="BP212" s="24">
        <v>1572.4504999999999</v>
      </c>
      <c r="BQ212" s="24">
        <v>1572.4504999999999</v>
      </c>
    </row>
    <row r="213" spans="1:69" s="17" customFormat="1" hidden="1" x14ac:dyDescent="0.25">
      <c r="A213" s="23">
        <v>22</v>
      </c>
      <c r="B213" s="23" t="s">
        <v>52</v>
      </c>
      <c r="C213" s="24" t="s">
        <v>53</v>
      </c>
      <c r="D213" s="24">
        <v>2</v>
      </c>
      <c r="E213" s="24" t="s">
        <v>491</v>
      </c>
      <c r="F213" s="24"/>
      <c r="G213" s="24" t="s">
        <v>500</v>
      </c>
      <c r="H213" s="24">
        <v>0</v>
      </c>
      <c r="I213" s="24">
        <v>42</v>
      </c>
      <c r="J213" s="24">
        <v>42</v>
      </c>
      <c r="K213" s="24">
        <v>42</v>
      </c>
      <c r="L213" s="24">
        <v>42</v>
      </c>
      <c r="M213" s="24">
        <v>42</v>
      </c>
      <c r="N213" s="24">
        <v>42</v>
      </c>
      <c r="O213" s="24">
        <v>42</v>
      </c>
      <c r="P213" s="24">
        <v>42</v>
      </c>
      <c r="Q213" s="24">
        <v>42</v>
      </c>
      <c r="R213" s="24">
        <v>42</v>
      </c>
      <c r="S213" s="24">
        <v>42</v>
      </c>
      <c r="T213" s="24">
        <v>42</v>
      </c>
      <c r="U213" s="24">
        <v>42</v>
      </c>
      <c r="V213" s="24">
        <v>42</v>
      </c>
      <c r="W213" s="24">
        <v>42</v>
      </c>
      <c r="X213" s="24">
        <v>42</v>
      </c>
      <c r="Y213" s="24">
        <v>42</v>
      </c>
      <c r="Z213" s="24">
        <v>42</v>
      </c>
      <c r="AA213" s="24">
        <v>42</v>
      </c>
      <c r="AB213" s="24">
        <v>42</v>
      </c>
      <c r="AC213" s="24">
        <v>42</v>
      </c>
      <c r="AD213" s="24">
        <v>42</v>
      </c>
      <c r="AE213" s="24">
        <v>42</v>
      </c>
      <c r="AF213" s="24">
        <v>42</v>
      </c>
      <c r="AG213" s="24">
        <v>42</v>
      </c>
      <c r="AH213" s="24">
        <v>42</v>
      </c>
      <c r="AI213" s="24">
        <v>42</v>
      </c>
      <c r="AJ213" s="24">
        <v>42</v>
      </c>
      <c r="AK213" s="24">
        <v>42</v>
      </c>
      <c r="AL213" s="24">
        <v>42</v>
      </c>
      <c r="AM213" s="24">
        <v>42</v>
      </c>
      <c r="AN213" s="24">
        <v>42</v>
      </c>
      <c r="AO213" s="24">
        <v>42</v>
      </c>
      <c r="AP213" s="24">
        <v>42</v>
      </c>
      <c r="AQ213" s="24">
        <v>42</v>
      </c>
      <c r="AR213" s="24">
        <v>42</v>
      </c>
      <c r="AS213" s="24">
        <v>42</v>
      </c>
      <c r="AT213" s="24">
        <v>42</v>
      </c>
      <c r="AU213" s="24">
        <v>42</v>
      </c>
      <c r="AV213" s="24">
        <v>42</v>
      </c>
      <c r="AW213" s="24">
        <v>42</v>
      </c>
      <c r="AX213" s="24">
        <v>42</v>
      </c>
      <c r="AY213" s="24">
        <v>42</v>
      </c>
      <c r="AZ213" s="24">
        <v>42</v>
      </c>
      <c r="BA213" s="24">
        <v>42</v>
      </c>
      <c r="BB213" s="24">
        <v>42</v>
      </c>
      <c r="BC213" s="24">
        <v>42</v>
      </c>
      <c r="BD213" s="24">
        <v>42</v>
      </c>
      <c r="BE213" s="24">
        <v>42</v>
      </c>
      <c r="BF213" s="24">
        <v>42</v>
      </c>
      <c r="BG213" s="24">
        <v>42</v>
      </c>
      <c r="BH213" s="24">
        <v>42</v>
      </c>
      <c r="BI213" s="24">
        <v>42</v>
      </c>
      <c r="BJ213" s="24">
        <v>42</v>
      </c>
      <c r="BK213" s="24">
        <v>42</v>
      </c>
      <c r="BL213" s="24">
        <v>42</v>
      </c>
      <c r="BM213" s="24">
        <v>42</v>
      </c>
      <c r="BN213" s="24">
        <v>42</v>
      </c>
      <c r="BO213" s="24">
        <v>42</v>
      </c>
      <c r="BP213" s="24">
        <v>42</v>
      </c>
      <c r="BQ213" s="24">
        <v>42</v>
      </c>
    </row>
    <row r="214" spans="1:69" s="17" customFormat="1" hidden="1" x14ac:dyDescent="0.25">
      <c r="A214" s="23">
        <v>22</v>
      </c>
      <c r="B214" s="23" t="s">
        <v>52</v>
      </c>
      <c r="C214" s="24" t="s">
        <v>53</v>
      </c>
      <c r="D214" s="24">
        <v>3</v>
      </c>
      <c r="E214" s="24" t="s">
        <v>492</v>
      </c>
      <c r="F214" s="24"/>
      <c r="G214" s="24" t="s">
        <v>500</v>
      </c>
      <c r="H214" s="24">
        <v>0</v>
      </c>
      <c r="I214" s="24">
        <v>0.5559042748852957</v>
      </c>
      <c r="J214" s="24">
        <v>0.5559042748852957</v>
      </c>
      <c r="K214" s="24">
        <v>0.5559042748852957</v>
      </c>
      <c r="L214" s="24">
        <v>0.5559042748852957</v>
      </c>
      <c r="M214" s="24">
        <v>0.5559042748852957</v>
      </c>
      <c r="N214" s="24">
        <v>0.5559042748852957</v>
      </c>
      <c r="O214" s="24">
        <v>0.5559042748852957</v>
      </c>
      <c r="P214" s="24">
        <v>0.5559042748852957</v>
      </c>
      <c r="Q214" s="24">
        <v>0.5559042748852957</v>
      </c>
      <c r="R214" s="24">
        <v>0.5559042748852957</v>
      </c>
      <c r="S214" s="24">
        <v>0.5559042748852957</v>
      </c>
      <c r="T214" s="24">
        <v>0.5559042748852957</v>
      </c>
      <c r="U214" s="24">
        <v>0.5559042748852957</v>
      </c>
      <c r="V214" s="24">
        <v>0.5559042748852957</v>
      </c>
      <c r="W214" s="24">
        <v>0.5559042748852957</v>
      </c>
      <c r="X214" s="24">
        <v>0.5559042748852957</v>
      </c>
      <c r="Y214" s="24">
        <v>0.5559042748852957</v>
      </c>
      <c r="Z214" s="24">
        <v>0.5559042748852957</v>
      </c>
      <c r="AA214" s="24">
        <v>0.5559042748852957</v>
      </c>
      <c r="AB214" s="24">
        <v>0.5559042748852957</v>
      </c>
      <c r="AC214" s="24">
        <v>0.5559042748852957</v>
      </c>
      <c r="AD214" s="24">
        <v>0.5559042748852957</v>
      </c>
      <c r="AE214" s="24">
        <v>0.5559042748852957</v>
      </c>
      <c r="AF214" s="24">
        <v>0.5559042748852957</v>
      </c>
      <c r="AG214" s="24">
        <v>0.5559042748852957</v>
      </c>
      <c r="AH214" s="24">
        <v>0.5559042748852957</v>
      </c>
      <c r="AI214" s="24">
        <v>0.5559042748852957</v>
      </c>
      <c r="AJ214" s="24">
        <v>0.5559042748852957</v>
      </c>
      <c r="AK214" s="24">
        <v>0.5559042748852957</v>
      </c>
      <c r="AL214" s="24">
        <v>0.5559042748852957</v>
      </c>
      <c r="AM214" s="24">
        <v>0.5559042748852957</v>
      </c>
      <c r="AN214" s="24">
        <v>0.5559042748852957</v>
      </c>
      <c r="AO214" s="24">
        <v>0.5559042748852957</v>
      </c>
      <c r="AP214" s="24">
        <v>0.5559042748852957</v>
      </c>
      <c r="AQ214" s="24">
        <v>0.5559042748852957</v>
      </c>
      <c r="AR214" s="24">
        <v>0.5559042748852957</v>
      </c>
      <c r="AS214" s="24">
        <v>0.5559042748852957</v>
      </c>
      <c r="AT214" s="24">
        <v>0.5559042748852957</v>
      </c>
      <c r="AU214" s="24">
        <v>0.5559042748852957</v>
      </c>
      <c r="AV214" s="24">
        <v>0.5559042748852957</v>
      </c>
      <c r="AW214" s="24">
        <v>0.5559042748852957</v>
      </c>
      <c r="AX214" s="24">
        <v>0.5559042748852957</v>
      </c>
      <c r="AY214" s="24">
        <v>0.5559042748852957</v>
      </c>
      <c r="AZ214" s="24">
        <v>0.5559042748852957</v>
      </c>
      <c r="BA214" s="24">
        <v>0.5559042748852957</v>
      </c>
      <c r="BB214" s="24">
        <v>0.5559042748852957</v>
      </c>
      <c r="BC214" s="24">
        <v>0.5559042748852957</v>
      </c>
      <c r="BD214" s="24">
        <v>0.5559042748852957</v>
      </c>
      <c r="BE214" s="24">
        <v>0.5559042748852957</v>
      </c>
      <c r="BF214" s="24">
        <v>0.5559042748852957</v>
      </c>
      <c r="BG214" s="24">
        <v>0.5559042748852957</v>
      </c>
      <c r="BH214" s="24">
        <v>0.5559042748852957</v>
      </c>
      <c r="BI214" s="24">
        <v>0.5559042748852957</v>
      </c>
      <c r="BJ214" s="24">
        <v>0.5559042748852957</v>
      </c>
      <c r="BK214" s="24">
        <v>0.5559042748852957</v>
      </c>
      <c r="BL214" s="24">
        <v>0.5559042748852957</v>
      </c>
      <c r="BM214" s="24">
        <v>0.5559042748852957</v>
      </c>
      <c r="BN214" s="24">
        <v>0.5559042748852957</v>
      </c>
      <c r="BO214" s="24">
        <v>0.5559042748852957</v>
      </c>
      <c r="BP214" s="24">
        <v>0.5559042748852957</v>
      </c>
      <c r="BQ214" s="24">
        <v>0.5559042748852957</v>
      </c>
    </row>
    <row r="215" spans="1:69" s="17" customFormat="1" hidden="1" x14ac:dyDescent="0.25">
      <c r="A215" s="23">
        <v>22</v>
      </c>
      <c r="B215" s="23" t="s">
        <v>52</v>
      </c>
      <c r="C215" s="24" t="s">
        <v>53</v>
      </c>
      <c r="D215" s="24">
        <v>4</v>
      </c>
      <c r="E215" s="24" t="s">
        <v>493</v>
      </c>
      <c r="F215" s="24"/>
      <c r="G215" s="24" t="s">
        <v>490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  <c r="BB215" s="24">
        <v>0</v>
      </c>
      <c r="BC215" s="24">
        <v>0</v>
      </c>
      <c r="BD215" s="24">
        <v>0</v>
      </c>
      <c r="BE215" s="24">
        <v>0</v>
      </c>
      <c r="BF215" s="24">
        <v>0</v>
      </c>
      <c r="BG215" s="24">
        <v>0</v>
      </c>
      <c r="BH215" s="24">
        <v>0</v>
      </c>
      <c r="BI215" s="24">
        <v>0</v>
      </c>
      <c r="BJ215" s="24">
        <v>0</v>
      </c>
      <c r="BK215" s="24">
        <v>0</v>
      </c>
      <c r="BL215" s="24">
        <v>0</v>
      </c>
      <c r="BM215" s="24">
        <v>0</v>
      </c>
      <c r="BN215" s="24">
        <v>0</v>
      </c>
      <c r="BO215" s="24">
        <v>0</v>
      </c>
      <c r="BP215" s="24">
        <v>0</v>
      </c>
      <c r="BQ215" s="24">
        <v>0</v>
      </c>
    </row>
    <row r="216" spans="1:69" s="17" customFormat="1" hidden="1" x14ac:dyDescent="0.25">
      <c r="A216" s="23">
        <v>22</v>
      </c>
      <c r="B216" s="23" t="s">
        <v>52</v>
      </c>
      <c r="C216" s="24" t="s">
        <v>53</v>
      </c>
      <c r="D216" s="24">
        <v>5</v>
      </c>
      <c r="E216" s="24" t="s">
        <v>494</v>
      </c>
      <c r="F216" s="24"/>
      <c r="G216" s="24" t="s">
        <v>500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4">
        <v>0</v>
      </c>
      <c r="AK216" s="24">
        <v>0</v>
      </c>
      <c r="AL216" s="24">
        <v>0</v>
      </c>
      <c r="AM216" s="24">
        <v>0</v>
      </c>
      <c r="AN216" s="24">
        <v>0</v>
      </c>
      <c r="AO216" s="24">
        <v>0</v>
      </c>
      <c r="AP216" s="24">
        <v>0</v>
      </c>
      <c r="AQ216" s="24">
        <v>0</v>
      </c>
      <c r="AR216" s="24">
        <v>0</v>
      </c>
      <c r="AS216" s="24">
        <v>0</v>
      </c>
      <c r="AT216" s="24">
        <v>0</v>
      </c>
      <c r="AU216" s="24">
        <v>0</v>
      </c>
      <c r="AV216" s="24">
        <v>0</v>
      </c>
      <c r="AW216" s="24">
        <v>0</v>
      </c>
      <c r="AX216" s="24">
        <v>0</v>
      </c>
      <c r="AY216" s="24">
        <v>0</v>
      </c>
      <c r="AZ216" s="24">
        <v>0</v>
      </c>
      <c r="BA216" s="24">
        <v>0</v>
      </c>
      <c r="BB216" s="24">
        <v>0</v>
      </c>
      <c r="BC216" s="24">
        <v>0</v>
      </c>
      <c r="BD216" s="24">
        <v>0</v>
      </c>
      <c r="BE216" s="24">
        <v>0</v>
      </c>
      <c r="BF216" s="24">
        <v>0</v>
      </c>
      <c r="BG216" s="24">
        <v>0</v>
      </c>
      <c r="BH216" s="24">
        <v>0</v>
      </c>
      <c r="BI216" s="24">
        <v>0</v>
      </c>
      <c r="BJ216" s="24">
        <v>0</v>
      </c>
      <c r="BK216" s="24">
        <v>0</v>
      </c>
      <c r="BL216" s="24">
        <v>0</v>
      </c>
      <c r="BM216" s="24">
        <v>0</v>
      </c>
      <c r="BN216" s="24">
        <v>0</v>
      </c>
      <c r="BO216" s="24">
        <v>0</v>
      </c>
      <c r="BP216" s="24">
        <v>0</v>
      </c>
      <c r="BQ216" s="24">
        <v>0</v>
      </c>
    </row>
    <row r="217" spans="1:69" s="17" customFormat="1" hidden="1" x14ac:dyDescent="0.25">
      <c r="A217" s="23">
        <v>22</v>
      </c>
      <c r="B217" s="23" t="s">
        <v>52</v>
      </c>
      <c r="C217" s="24" t="s">
        <v>53</v>
      </c>
      <c r="D217" s="24">
        <v>6</v>
      </c>
      <c r="E217" s="24" t="s">
        <v>495</v>
      </c>
      <c r="F217" s="24"/>
      <c r="G217" s="24" t="s">
        <v>490</v>
      </c>
      <c r="H217" s="24">
        <v>0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</row>
    <row r="218" spans="1:69" s="17" customFormat="1" hidden="1" x14ac:dyDescent="0.25">
      <c r="A218" s="23">
        <v>22</v>
      </c>
      <c r="B218" s="23" t="s">
        <v>52</v>
      </c>
      <c r="C218" s="24" t="s">
        <v>53</v>
      </c>
      <c r="D218" s="24">
        <v>7</v>
      </c>
      <c r="E218" s="24" t="s">
        <v>496</v>
      </c>
      <c r="F218" s="24"/>
      <c r="G218" s="25" t="s">
        <v>500</v>
      </c>
      <c r="H218" s="26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24">
        <v>0</v>
      </c>
      <c r="AR218" s="24">
        <v>0</v>
      </c>
      <c r="AS218" s="24">
        <v>0</v>
      </c>
      <c r="AT218" s="24">
        <v>0</v>
      </c>
      <c r="AU218" s="24">
        <v>0</v>
      </c>
      <c r="AV218" s="24">
        <v>0</v>
      </c>
      <c r="AW218" s="24">
        <v>0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0</v>
      </c>
      <c r="BE218" s="24">
        <v>0</v>
      </c>
      <c r="BF218" s="24">
        <v>0</v>
      </c>
      <c r="BG218" s="24">
        <v>0</v>
      </c>
      <c r="BH218" s="24">
        <v>0</v>
      </c>
      <c r="BI218" s="24">
        <v>0</v>
      </c>
      <c r="BJ218" s="24">
        <v>0</v>
      </c>
      <c r="BK218" s="24">
        <v>0</v>
      </c>
      <c r="BL218" s="24">
        <v>0</v>
      </c>
      <c r="BM218" s="24">
        <v>0</v>
      </c>
      <c r="BN218" s="24">
        <v>0</v>
      </c>
      <c r="BO218" s="24">
        <v>0</v>
      </c>
      <c r="BP218" s="24">
        <v>0</v>
      </c>
      <c r="BQ218" s="24">
        <v>0</v>
      </c>
    </row>
    <row r="219" spans="1:69" s="17" customFormat="1" hidden="1" x14ac:dyDescent="0.25">
      <c r="A219" s="23">
        <v>22</v>
      </c>
      <c r="B219" s="23" t="s">
        <v>52</v>
      </c>
      <c r="C219" s="24" t="s">
        <v>53</v>
      </c>
      <c r="D219" s="24">
        <v>8</v>
      </c>
      <c r="E219" s="24" t="s">
        <v>497</v>
      </c>
      <c r="F219" s="24"/>
      <c r="G219" s="24" t="s">
        <v>490</v>
      </c>
      <c r="H219" s="24">
        <v>0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</row>
    <row r="220" spans="1:69" s="17" customFormat="1" hidden="1" x14ac:dyDescent="0.25">
      <c r="A220" s="23">
        <v>22</v>
      </c>
      <c r="B220" s="23" t="s">
        <v>52</v>
      </c>
      <c r="C220" s="24" t="s">
        <v>53</v>
      </c>
      <c r="D220" s="24">
        <v>9</v>
      </c>
      <c r="E220" s="24" t="s">
        <v>498</v>
      </c>
      <c r="F220" s="24"/>
      <c r="G220" s="24" t="s">
        <v>500</v>
      </c>
      <c r="H220" s="24">
        <v>0</v>
      </c>
      <c r="I220" s="24">
        <v>0.501</v>
      </c>
      <c r="J220" s="24">
        <v>0.501</v>
      </c>
      <c r="K220" s="24">
        <v>0.501</v>
      </c>
      <c r="L220" s="24">
        <v>0.501</v>
      </c>
      <c r="M220" s="24">
        <v>0.501</v>
      </c>
      <c r="N220" s="24">
        <v>0.501</v>
      </c>
      <c r="O220" s="24">
        <v>0.501</v>
      </c>
      <c r="P220" s="24">
        <v>0.501</v>
      </c>
      <c r="Q220" s="24">
        <v>0.501</v>
      </c>
      <c r="R220" s="24">
        <v>0.66579999999999995</v>
      </c>
      <c r="S220" s="24">
        <v>0.49580000000000002</v>
      </c>
      <c r="T220" s="24">
        <v>0.49580000000000002</v>
      </c>
      <c r="U220" s="24">
        <v>0.49580000000000002</v>
      </c>
      <c r="V220" s="24">
        <v>0.49580000000000002</v>
      </c>
      <c r="W220" s="24">
        <v>0.49580000000000002</v>
      </c>
      <c r="X220" s="24">
        <v>0.49580000000000002</v>
      </c>
      <c r="Y220" s="24">
        <v>0.49580000000000002</v>
      </c>
      <c r="Z220" s="24">
        <v>0.49580000000000002</v>
      </c>
      <c r="AA220" s="24">
        <v>0.49580000000000002</v>
      </c>
      <c r="AB220" s="24">
        <v>0.49580000000000002</v>
      </c>
      <c r="AC220" s="24">
        <v>0.49580000000000002</v>
      </c>
      <c r="AD220" s="24">
        <v>0.49580000000000002</v>
      </c>
      <c r="AE220" s="24">
        <v>0.49580000000000002</v>
      </c>
      <c r="AF220" s="24">
        <v>0.49580000000000002</v>
      </c>
      <c r="AG220" s="24">
        <v>0.49580000000000002</v>
      </c>
      <c r="AH220" s="24">
        <v>0.49580000000000002</v>
      </c>
      <c r="AI220" s="24">
        <v>0.49580000000000002</v>
      </c>
      <c r="AJ220" s="24">
        <v>0.49580000000000002</v>
      </c>
      <c r="AK220" s="24">
        <v>0.49580000000000002</v>
      </c>
      <c r="AL220" s="24">
        <v>0.49580000000000002</v>
      </c>
      <c r="AM220" s="24">
        <v>0.49580000000000002</v>
      </c>
      <c r="AN220" s="24">
        <v>0.49580000000000002</v>
      </c>
      <c r="AO220" s="24">
        <v>0.49580000000000002</v>
      </c>
      <c r="AP220" s="24">
        <v>0.49580000000000002</v>
      </c>
      <c r="AQ220" s="24">
        <v>0.49580000000000002</v>
      </c>
      <c r="AR220" s="24">
        <v>0.49580000000000002</v>
      </c>
      <c r="AS220" s="24">
        <v>0.49580000000000002</v>
      </c>
      <c r="AT220" s="24">
        <v>0.49580000000000002</v>
      </c>
      <c r="AU220" s="24">
        <v>0.49580000000000002</v>
      </c>
      <c r="AV220" s="24">
        <v>0.49580000000000002</v>
      </c>
      <c r="AW220" s="24">
        <v>0.49580000000000002</v>
      </c>
      <c r="AX220" s="24">
        <v>0.49580000000000002</v>
      </c>
      <c r="AY220" s="24">
        <v>0.49580000000000002</v>
      </c>
      <c r="AZ220" s="24">
        <v>0.49580000000000002</v>
      </c>
      <c r="BA220" s="24">
        <v>0.49580000000000002</v>
      </c>
      <c r="BB220" s="24">
        <v>0.49580000000000002</v>
      </c>
      <c r="BC220" s="24">
        <v>0.49580000000000002</v>
      </c>
      <c r="BD220" s="24">
        <v>0.49580000000000002</v>
      </c>
      <c r="BE220" s="24">
        <v>0.49580000000000002</v>
      </c>
      <c r="BF220" s="24">
        <v>0.49580000000000002</v>
      </c>
      <c r="BG220" s="24">
        <v>0.49580000000000002</v>
      </c>
      <c r="BH220" s="24">
        <v>0.49580000000000002</v>
      </c>
      <c r="BI220" s="24">
        <v>0.49580000000000002</v>
      </c>
      <c r="BJ220" s="24">
        <v>0.49580000000000002</v>
      </c>
      <c r="BK220" s="24">
        <v>0.49580000000000002</v>
      </c>
      <c r="BL220" s="24">
        <v>0.49580000000000002</v>
      </c>
      <c r="BM220" s="24">
        <v>0.49580000000000002</v>
      </c>
      <c r="BN220" s="24">
        <v>0.49580000000000002</v>
      </c>
      <c r="BO220" s="24">
        <v>0.49580000000000002</v>
      </c>
      <c r="BP220" s="24">
        <v>0.49580000000000002</v>
      </c>
      <c r="BQ220" s="24">
        <v>0.49580000000000002</v>
      </c>
    </row>
    <row r="221" spans="1:69" s="17" customFormat="1" hidden="1" x14ac:dyDescent="0.25">
      <c r="A221" s="23">
        <v>22</v>
      </c>
      <c r="B221" s="23" t="s">
        <v>52</v>
      </c>
      <c r="C221" s="24" t="s">
        <v>53</v>
      </c>
      <c r="D221" s="24">
        <v>10</v>
      </c>
      <c r="E221" s="24" t="s">
        <v>499</v>
      </c>
      <c r="F221" s="24"/>
      <c r="G221" s="24" t="s">
        <v>501</v>
      </c>
      <c r="H221" s="24">
        <v>0</v>
      </c>
      <c r="I221" s="24">
        <v>0.95</v>
      </c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</row>
    <row r="222" spans="1:69" hidden="1" x14ac:dyDescent="0.25">
      <c r="A222" s="20">
        <v>23</v>
      </c>
      <c r="B222" s="20" t="s">
        <v>54</v>
      </c>
      <c r="C222" s="3" t="s">
        <v>55</v>
      </c>
      <c r="D222" s="3">
        <v>1</v>
      </c>
      <c r="E222" s="3" t="s">
        <v>489</v>
      </c>
      <c r="F222" s="3"/>
      <c r="G222" s="3" t="s">
        <v>500</v>
      </c>
      <c r="H222" s="3">
        <v>0</v>
      </c>
      <c r="I222" s="3">
        <v>3046.6669999999999</v>
      </c>
      <c r="J222" s="3">
        <v>3046.6669999999999</v>
      </c>
      <c r="K222" s="3">
        <v>3046.6669999999999</v>
      </c>
      <c r="L222" s="3">
        <v>3046.6669999999999</v>
      </c>
      <c r="M222" s="3">
        <v>3046.6669999999999</v>
      </c>
      <c r="N222" s="3">
        <v>3046.6669999999999</v>
      </c>
      <c r="O222" s="3">
        <v>3046.6669999999999</v>
      </c>
      <c r="P222" s="3">
        <v>3046.6669999999999</v>
      </c>
      <c r="Q222" s="3">
        <v>3046.6669999999999</v>
      </c>
      <c r="R222" s="3">
        <v>3046.6669999999999</v>
      </c>
      <c r="S222" s="3">
        <v>3046.6669999999999</v>
      </c>
      <c r="T222" s="3">
        <v>3046.6669999999999</v>
      </c>
      <c r="U222" s="3">
        <v>3046.6669999999999</v>
      </c>
      <c r="V222" s="3">
        <v>3046.6669999999999</v>
      </c>
      <c r="W222" s="3">
        <v>3046.6669999999999</v>
      </c>
      <c r="X222" s="3">
        <v>3046.6669999999999</v>
      </c>
      <c r="Y222" s="3">
        <v>3046.6669999999999</v>
      </c>
      <c r="Z222" s="3">
        <v>3046.6669999999999</v>
      </c>
      <c r="AA222" s="3">
        <v>3046.6669999999999</v>
      </c>
      <c r="AB222" s="3">
        <v>3046.6669999999999</v>
      </c>
      <c r="AC222" s="3">
        <v>3046.6669999999999</v>
      </c>
      <c r="AD222" s="3">
        <v>3046.6669999999999</v>
      </c>
      <c r="AE222" s="3">
        <v>3046.6669999999999</v>
      </c>
      <c r="AF222" s="3">
        <v>3046.6669999999999</v>
      </c>
      <c r="AG222" s="3">
        <v>3046.6669999999999</v>
      </c>
      <c r="AH222" s="3">
        <v>3046.6669999999999</v>
      </c>
      <c r="AI222" s="3">
        <v>3046.6669999999999</v>
      </c>
      <c r="AJ222" s="3">
        <v>3046.6669999999999</v>
      </c>
      <c r="AK222" s="3">
        <v>3046.6669999999999</v>
      </c>
      <c r="AL222" s="3">
        <v>3046.6669999999999</v>
      </c>
      <c r="AM222" s="3">
        <v>3046.6669999999999</v>
      </c>
      <c r="AN222" s="3">
        <v>3046.6669999999999</v>
      </c>
      <c r="AO222" s="3">
        <v>3046.6669999999999</v>
      </c>
      <c r="AP222" s="3">
        <v>3046.6669999999999</v>
      </c>
      <c r="AQ222" s="3">
        <v>3046.6669999999999</v>
      </c>
      <c r="AR222" s="3">
        <v>3046.6669999999999</v>
      </c>
      <c r="AS222" s="3">
        <v>3046.6669999999999</v>
      </c>
      <c r="AT222" s="3">
        <v>3046.6669999999999</v>
      </c>
      <c r="AU222" s="3">
        <v>3046.6669999999999</v>
      </c>
      <c r="AV222" s="3">
        <v>3046.6669999999999</v>
      </c>
      <c r="AW222" s="3">
        <v>3046.6669999999999</v>
      </c>
      <c r="AX222" s="3">
        <v>3046.6669999999999</v>
      </c>
      <c r="AY222" s="3">
        <v>3046.6669999999999</v>
      </c>
      <c r="AZ222" s="3">
        <v>3046.6669999999999</v>
      </c>
      <c r="BA222" s="3">
        <v>3046.6669999999999</v>
      </c>
      <c r="BB222" s="3">
        <v>3046.6669999999999</v>
      </c>
      <c r="BC222" s="3">
        <v>3046.6669999999999</v>
      </c>
      <c r="BD222" s="3">
        <v>3046.6669999999999</v>
      </c>
      <c r="BE222" s="3">
        <v>3046.6669999999999</v>
      </c>
      <c r="BF222" s="3">
        <v>3046.6669999999999</v>
      </c>
      <c r="BG222" s="3">
        <v>3046.6669999999999</v>
      </c>
      <c r="BH222" s="3">
        <v>3046.6669999999999</v>
      </c>
      <c r="BI222" s="3">
        <v>3046.6669999999999</v>
      </c>
      <c r="BJ222" s="3">
        <v>3046.6669999999999</v>
      </c>
      <c r="BK222" s="3">
        <v>3046.6669999999999</v>
      </c>
      <c r="BL222" s="3">
        <v>3046.6669999999999</v>
      </c>
      <c r="BM222" s="3">
        <v>3046.6669999999999</v>
      </c>
      <c r="BN222" s="3">
        <v>3046.6669999999999</v>
      </c>
      <c r="BO222" s="3">
        <v>3046.6669999999999</v>
      </c>
      <c r="BP222" s="3">
        <v>3046.6669999999999</v>
      </c>
      <c r="BQ222" s="3">
        <v>3046.6669999999999</v>
      </c>
    </row>
    <row r="223" spans="1:69" hidden="1" x14ac:dyDescent="0.25">
      <c r="A223" s="20">
        <v>23</v>
      </c>
      <c r="B223" s="20" t="s">
        <v>54</v>
      </c>
      <c r="C223" s="3" t="s">
        <v>55</v>
      </c>
      <c r="D223" s="3">
        <v>2</v>
      </c>
      <c r="E223" s="3" t="s">
        <v>491</v>
      </c>
      <c r="F223" s="3"/>
      <c r="G223" s="3" t="s">
        <v>500</v>
      </c>
      <c r="H223" s="3">
        <v>0</v>
      </c>
      <c r="I223" s="3">
        <v>63.33</v>
      </c>
      <c r="J223" s="3">
        <v>63.33</v>
      </c>
      <c r="K223" s="3">
        <v>63.33</v>
      </c>
      <c r="L223" s="3">
        <v>63.33</v>
      </c>
      <c r="M223" s="3">
        <v>63.33</v>
      </c>
      <c r="N223" s="3">
        <v>63.33</v>
      </c>
      <c r="O223" s="3">
        <v>63.33</v>
      </c>
      <c r="P223" s="3">
        <v>63.33</v>
      </c>
      <c r="Q223" s="3">
        <v>63.33</v>
      </c>
      <c r="R223" s="3">
        <v>63.33</v>
      </c>
      <c r="S223" s="3">
        <v>63.33</v>
      </c>
      <c r="T223" s="3">
        <v>63.33</v>
      </c>
      <c r="U223" s="3">
        <v>63.33</v>
      </c>
      <c r="V223" s="3">
        <v>63.33</v>
      </c>
      <c r="W223" s="3">
        <v>63.33</v>
      </c>
      <c r="X223" s="3">
        <v>63.33</v>
      </c>
      <c r="Y223" s="3">
        <v>63.33</v>
      </c>
      <c r="Z223" s="3">
        <v>63.33</v>
      </c>
      <c r="AA223" s="3">
        <v>63.33</v>
      </c>
      <c r="AB223" s="3">
        <v>63.33</v>
      </c>
      <c r="AC223" s="3">
        <v>63.33</v>
      </c>
      <c r="AD223" s="3">
        <v>63.33</v>
      </c>
      <c r="AE223" s="3">
        <v>63.33</v>
      </c>
      <c r="AF223" s="3">
        <v>63.33</v>
      </c>
      <c r="AG223" s="3">
        <v>63.33</v>
      </c>
      <c r="AH223" s="3">
        <v>63.33</v>
      </c>
      <c r="AI223" s="3">
        <v>63.33</v>
      </c>
      <c r="AJ223" s="3">
        <v>63.33</v>
      </c>
      <c r="AK223" s="3">
        <v>63.33</v>
      </c>
      <c r="AL223" s="3">
        <v>63.33</v>
      </c>
      <c r="AM223" s="3">
        <v>63.33</v>
      </c>
      <c r="AN223" s="3">
        <v>63.33</v>
      </c>
      <c r="AO223" s="3">
        <v>63.33</v>
      </c>
      <c r="AP223" s="3">
        <v>63.33</v>
      </c>
      <c r="AQ223" s="3">
        <v>63.33</v>
      </c>
      <c r="AR223" s="3">
        <v>63.33</v>
      </c>
      <c r="AS223" s="3">
        <v>63.33</v>
      </c>
      <c r="AT223" s="3">
        <v>63.33</v>
      </c>
      <c r="AU223" s="3">
        <v>63.33</v>
      </c>
      <c r="AV223" s="3">
        <v>63.33</v>
      </c>
      <c r="AW223" s="3">
        <v>63.33</v>
      </c>
      <c r="AX223" s="3">
        <v>63.33</v>
      </c>
      <c r="AY223" s="3">
        <v>63.33</v>
      </c>
      <c r="AZ223" s="3">
        <v>63.33</v>
      </c>
      <c r="BA223" s="3">
        <v>63.33</v>
      </c>
      <c r="BB223" s="3">
        <v>63.33</v>
      </c>
      <c r="BC223" s="3">
        <v>63.33</v>
      </c>
      <c r="BD223" s="3">
        <v>63.33</v>
      </c>
      <c r="BE223" s="3">
        <v>63.33</v>
      </c>
      <c r="BF223" s="3">
        <v>63.33</v>
      </c>
      <c r="BG223" s="3">
        <v>63.33</v>
      </c>
      <c r="BH223" s="3">
        <v>63.33</v>
      </c>
      <c r="BI223" s="3">
        <v>63.33</v>
      </c>
      <c r="BJ223" s="3">
        <v>63.33</v>
      </c>
      <c r="BK223" s="3">
        <v>63.33</v>
      </c>
      <c r="BL223" s="3">
        <v>63.33</v>
      </c>
      <c r="BM223" s="3">
        <v>63.33</v>
      </c>
      <c r="BN223" s="3">
        <v>63.33</v>
      </c>
      <c r="BO223" s="3">
        <v>63.33</v>
      </c>
      <c r="BP223" s="3">
        <v>63.33</v>
      </c>
      <c r="BQ223" s="3">
        <v>63.33</v>
      </c>
    </row>
    <row r="224" spans="1:69" hidden="1" x14ac:dyDescent="0.25">
      <c r="A224" s="20">
        <v>23</v>
      </c>
      <c r="B224" s="20" t="s">
        <v>54</v>
      </c>
      <c r="C224" s="3" t="s">
        <v>55</v>
      </c>
      <c r="D224" s="3">
        <v>3</v>
      </c>
      <c r="E224" s="3" t="s">
        <v>492</v>
      </c>
      <c r="F224" s="3"/>
      <c r="G224" s="3" t="s">
        <v>500</v>
      </c>
      <c r="H224" s="3">
        <v>0</v>
      </c>
      <c r="I224" s="3">
        <v>0.5559042748852957</v>
      </c>
      <c r="J224" s="3">
        <v>0.5559042748852957</v>
      </c>
      <c r="K224" s="3">
        <v>0.5559042748852957</v>
      </c>
      <c r="L224" s="3">
        <v>0.5559042748852957</v>
      </c>
      <c r="M224" s="3">
        <v>0.5559042748852957</v>
      </c>
      <c r="N224" s="3">
        <v>0.5559042748852957</v>
      </c>
      <c r="O224" s="3">
        <v>0.5559042748852957</v>
      </c>
      <c r="P224" s="3">
        <v>0.5559042748852957</v>
      </c>
      <c r="Q224" s="3">
        <v>0.5559042748852957</v>
      </c>
      <c r="R224" s="3">
        <v>0.5559042748852957</v>
      </c>
      <c r="S224" s="3">
        <v>0.5559042748852957</v>
      </c>
      <c r="T224" s="3">
        <v>0.5559042748852957</v>
      </c>
      <c r="U224" s="3">
        <v>0.5559042748852957</v>
      </c>
      <c r="V224" s="3">
        <v>0.5559042748852957</v>
      </c>
      <c r="W224" s="3">
        <v>0.5559042748852957</v>
      </c>
      <c r="X224" s="3">
        <v>0.5559042748852957</v>
      </c>
      <c r="Y224" s="3">
        <v>0.5559042748852957</v>
      </c>
      <c r="Z224" s="3">
        <v>0.5559042748852957</v>
      </c>
      <c r="AA224" s="3">
        <v>0.5559042748852957</v>
      </c>
      <c r="AB224" s="3">
        <v>0.5559042748852957</v>
      </c>
      <c r="AC224" s="3">
        <v>0.5559042748852957</v>
      </c>
      <c r="AD224" s="3">
        <v>0.5559042748852957</v>
      </c>
      <c r="AE224" s="3">
        <v>0.5559042748852957</v>
      </c>
      <c r="AF224" s="3">
        <v>0.5559042748852957</v>
      </c>
      <c r="AG224" s="3">
        <v>0.5559042748852957</v>
      </c>
      <c r="AH224" s="3">
        <v>0.5559042748852957</v>
      </c>
      <c r="AI224" s="3">
        <v>0.5559042748852957</v>
      </c>
      <c r="AJ224" s="3">
        <v>0.5559042748852957</v>
      </c>
      <c r="AK224" s="3">
        <v>0.5559042748852957</v>
      </c>
      <c r="AL224" s="3">
        <v>0.5559042748852957</v>
      </c>
      <c r="AM224" s="3">
        <v>0.5559042748852957</v>
      </c>
      <c r="AN224" s="3">
        <v>0.5559042748852957</v>
      </c>
      <c r="AO224" s="3">
        <v>0.5559042748852957</v>
      </c>
      <c r="AP224" s="3">
        <v>0.5559042748852957</v>
      </c>
      <c r="AQ224" s="3">
        <v>0.5559042748852957</v>
      </c>
      <c r="AR224" s="3">
        <v>0.5559042748852957</v>
      </c>
      <c r="AS224" s="3">
        <v>0.5559042748852957</v>
      </c>
      <c r="AT224" s="3">
        <v>0.5559042748852957</v>
      </c>
      <c r="AU224" s="3">
        <v>0.5559042748852957</v>
      </c>
      <c r="AV224" s="3">
        <v>0.5559042748852957</v>
      </c>
      <c r="AW224" s="3">
        <v>0.5559042748852957</v>
      </c>
      <c r="AX224" s="3">
        <v>0.5559042748852957</v>
      </c>
      <c r="AY224" s="3">
        <v>0.5559042748852957</v>
      </c>
      <c r="AZ224" s="3">
        <v>0.5559042748852957</v>
      </c>
      <c r="BA224" s="3">
        <v>0.5559042748852957</v>
      </c>
      <c r="BB224" s="3">
        <v>0.5559042748852957</v>
      </c>
      <c r="BC224" s="3">
        <v>0.5559042748852957</v>
      </c>
      <c r="BD224" s="3">
        <v>0.5559042748852957</v>
      </c>
      <c r="BE224" s="3">
        <v>0.5559042748852957</v>
      </c>
      <c r="BF224" s="3">
        <v>0.5559042748852957</v>
      </c>
      <c r="BG224" s="3">
        <v>0.5559042748852957</v>
      </c>
      <c r="BH224" s="3">
        <v>0.5559042748852957</v>
      </c>
      <c r="BI224" s="3">
        <v>0.5559042748852957</v>
      </c>
      <c r="BJ224" s="3">
        <v>0.5559042748852957</v>
      </c>
      <c r="BK224" s="3">
        <v>0.5559042748852957</v>
      </c>
      <c r="BL224" s="3">
        <v>0.5559042748852957</v>
      </c>
      <c r="BM224" s="3">
        <v>0.5559042748852957</v>
      </c>
      <c r="BN224" s="3">
        <v>0.5559042748852957</v>
      </c>
      <c r="BO224" s="3">
        <v>0.5559042748852957</v>
      </c>
      <c r="BP224" s="3">
        <v>0.5559042748852957</v>
      </c>
      <c r="BQ224" s="3">
        <v>0.5559042748852957</v>
      </c>
    </row>
    <row r="225" spans="1:69" hidden="1" x14ac:dyDescent="0.25">
      <c r="A225" s="20">
        <v>23</v>
      </c>
      <c r="B225" s="20" t="s">
        <v>54</v>
      </c>
      <c r="C225" s="3" t="s">
        <v>55</v>
      </c>
      <c r="D225" s="3">
        <v>4</v>
      </c>
      <c r="E225" s="3" t="s">
        <v>493</v>
      </c>
      <c r="F225" s="3"/>
      <c r="G225" s="3" t="s">
        <v>490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</row>
    <row r="226" spans="1:69" hidden="1" x14ac:dyDescent="0.25">
      <c r="A226" s="20">
        <v>23</v>
      </c>
      <c r="B226" s="20" t="s">
        <v>54</v>
      </c>
      <c r="C226" s="3" t="s">
        <v>55</v>
      </c>
      <c r="D226" s="3">
        <v>5</v>
      </c>
      <c r="E226" s="3" t="s">
        <v>494</v>
      </c>
      <c r="F226" s="3"/>
      <c r="G226" s="3" t="s">
        <v>500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2.18E-2</v>
      </c>
      <c r="AA226" s="3">
        <v>2.18E-2</v>
      </c>
      <c r="AB226" s="3">
        <v>2.18E-2</v>
      </c>
      <c r="AC226" s="3">
        <v>2.18E-2</v>
      </c>
      <c r="AD226" s="3">
        <v>2.18E-2</v>
      </c>
      <c r="AE226" s="3">
        <v>2.18E-2</v>
      </c>
      <c r="AF226" s="3">
        <v>2.18E-2</v>
      </c>
      <c r="AG226" s="3">
        <v>2.18E-2</v>
      </c>
      <c r="AH226" s="3">
        <v>2.18E-2</v>
      </c>
      <c r="AI226" s="3">
        <v>2.18E-2</v>
      </c>
      <c r="AJ226" s="3">
        <v>2.18E-2</v>
      </c>
      <c r="AK226" s="3">
        <v>2.18E-2</v>
      </c>
      <c r="AL226" s="3">
        <v>2.18E-2</v>
      </c>
      <c r="AM226" s="3">
        <v>2.18E-2</v>
      </c>
      <c r="AN226" s="3">
        <v>2.18E-2</v>
      </c>
      <c r="AO226" s="3">
        <v>2.18E-2</v>
      </c>
      <c r="AP226" s="3">
        <v>2.18E-2</v>
      </c>
      <c r="AQ226" s="3">
        <v>2.18E-2</v>
      </c>
      <c r="AR226" s="3">
        <v>2.18E-2</v>
      </c>
      <c r="AS226" s="3">
        <v>2.18E-2</v>
      </c>
      <c r="AT226" s="3">
        <v>2.18E-2</v>
      </c>
      <c r="AU226" s="3">
        <v>2.18E-2</v>
      </c>
      <c r="AV226" s="3">
        <v>2.18E-2</v>
      </c>
      <c r="AW226" s="3">
        <v>2.18E-2</v>
      </c>
      <c r="AX226" s="3">
        <v>2.18E-2</v>
      </c>
      <c r="AY226" s="3">
        <v>2.18E-2</v>
      </c>
      <c r="AZ226" s="3">
        <v>2.18E-2</v>
      </c>
      <c r="BA226" s="3">
        <v>2.18E-2</v>
      </c>
      <c r="BB226" s="3">
        <v>2.18E-2</v>
      </c>
      <c r="BC226" s="3">
        <v>2.18E-2</v>
      </c>
      <c r="BD226" s="3">
        <v>2.18E-2</v>
      </c>
      <c r="BE226" s="3">
        <v>2.18E-2</v>
      </c>
      <c r="BF226" s="3">
        <v>2.18E-2</v>
      </c>
      <c r="BG226" s="3">
        <v>2.18E-2</v>
      </c>
      <c r="BH226" s="3">
        <v>2.18E-2</v>
      </c>
      <c r="BI226" s="3">
        <v>2.18E-2</v>
      </c>
      <c r="BJ226" s="3">
        <v>2.18E-2</v>
      </c>
      <c r="BK226" s="3">
        <v>2.18E-2</v>
      </c>
      <c r="BL226" s="3">
        <v>2.18E-2</v>
      </c>
      <c r="BM226" s="3">
        <v>2.18E-2</v>
      </c>
      <c r="BN226" s="3">
        <v>2.18E-2</v>
      </c>
      <c r="BO226" s="3">
        <v>2.18E-2</v>
      </c>
      <c r="BP226" s="3">
        <v>2.18E-2</v>
      </c>
      <c r="BQ226" s="3">
        <v>2.18E-2</v>
      </c>
    </row>
    <row r="227" spans="1:69" hidden="1" x14ac:dyDescent="0.25">
      <c r="A227" s="20">
        <v>23</v>
      </c>
      <c r="B227" s="20" t="s">
        <v>54</v>
      </c>
      <c r="C227" s="3" t="s">
        <v>55</v>
      </c>
      <c r="D227" s="3">
        <v>6</v>
      </c>
      <c r="E227" s="3" t="s">
        <v>495</v>
      </c>
      <c r="F227" s="3"/>
      <c r="G227" s="3" t="s">
        <v>490</v>
      </c>
      <c r="H227" s="3">
        <v>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hidden="1" x14ac:dyDescent="0.25">
      <c r="A228" s="20">
        <v>23</v>
      </c>
      <c r="B228" s="20" t="s">
        <v>54</v>
      </c>
      <c r="C228" s="3" t="s">
        <v>55</v>
      </c>
      <c r="D228" s="3">
        <v>7</v>
      </c>
      <c r="E228" s="3" t="s">
        <v>496</v>
      </c>
      <c r="F228" s="3"/>
      <c r="G228" s="21" t="s">
        <v>500</v>
      </c>
      <c r="H228" s="22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</row>
    <row r="229" spans="1:69" hidden="1" x14ac:dyDescent="0.25">
      <c r="A229" s="20">
        <v>23</v>
      </c>
      <c r="B229" s="20" t="s">
        <v>54</v>
      </c>
      <c r="C229" s="3" t="s">
        <v>55</v>
      </c>
      <c r="D229" s="3">
        <v>8</v>
      </c>
      <c r="E229" s="3" t="s">
        <v>497</v>
      </c>
      <c r="F229" s="3"/>
      <c r="G229" s="3" t="s">
        <v>490</v>
      </c>
      <c r="H229" s="3">
        <v>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hidden="1" x14ac:dyDescent="0.25">
      <c r="A230" s="20">
        <v>23</v>
      </c>
      <c r="B230" s="20" t="s">
        <v>54</v>
      </c>
      <c r="C230" s="3" t="s">
        <v>55</v>
      </c>
      <c r="D230" s="3">
        <v>9</v>
      </c>
      <c r="E230" s="3" t="s">
        <v>498</v>
      </c>
      <c r="F230" s="3"/>
      <c r="G230" s="3" t="s">
        <v>500</v>
      </c>
      <c r="H230" s="3">
        <v>0</v>
      </c>
      <c r="I230" s="3">
        <v>0.54079999999999995</v>
      </c>
      <c r="J230" s="3">
        <v>0.54079999999999995</v>
      </c>
      <c r="K230" s="3">
        <v>0.54079999999999995</v>
      </c>
      <c r="L230" s="3">
        <v>0.54079999999999995</v>
      </c>
      <c r="M230" s="3">
        <v>0.54079999999999995</v>
      </c>
      <c r="N230" s="3">
        <v>0.54079999999999995</v>
      </c>
      <c r="O230" s="3">
        <v>0.54079999999999995</v>
      </c>
      <c r="P230" s="3">
        <v>0.54079999999999995</v>
      </c>
      <c r="Q230" s="3">
        <v>0.54079999999999995</v>
      </c>
      <c r="R230" s="3">
        <v>0.6</v>
      </c>
      <c r="S230" s="3">
        <v>0.55310000000000004</v>
      </c>
      <c r="T230" s="3">
        <v>0.55310000000000004</v>
      </c>
      <c r="U230" s="3">
        <v>0.55310000000000004</v>
      </c>
      <c r="V230" s="3">
        <v>0.55310000000000004</v>
      </c>
      <c r="W230" s="3">
        <v>0.55310000000000004</v>
      </c>
      <c r="X230" s="3">
        <v>0.55310000000000004</v>
      </c>
      <c r="Y230" s="3">
        <v>0.55310000000000004</v>
      </c>
      <c r="Z230" s="3">
        <v>0.55310000000000004</v>
      </c>
      <c r="AA230" s="3">
        <v>0.55310000000000004</v>
      </c>
      <c r="AB230" s="3">
        <v>0.55310000000000004</v>
      </c>
      <c r="AC230" s="3">
        <v>0.55310000000000004</v>
      </c>
      <c r="AD230" s="3">
        <v>0.55310000000000004</v>
      </c>
      <c r="AE230" s="3">
        <v>0.55310000000000004</v>
      </c>
      <c r="AF230" s="3">
        <v>0.55310000000000004</v>
      </c>
      <c r="AG230" s="3">
        <v>0.55310000000000004</v>
      </c>
      <c r="AH230" s="3">
        <v>0.55310000000000004</v>
      </c>
      <c r="AI230" s="3">
        <v>0.55310000000000004</v>
      </c>
      <c r="AJ230" s="3">
        <v>0.55310000000000004</v>
      </c>
      <c r="AK230" s="3">
        <v>0.55310000000000004</v>
      </c>
      <c r="AL230" s="3">
        <v>0.55310000000000004</v>
      </c>
      <c r="AM230" s="3">
        <v>0.55310000000000004</v>
      </c>
      <c r="AN230" s="3">
        <v>0.55310000000000004</v>
      </c>
      <c r="AO230" s="3">
        <v>0.55310000000000004</v>
      </c>
      <c r="AP230" s="3">
        <v>0.55310000000000004</v>
      </c>
      <c r="AQ230" s="3">
        <v>0.55310000000000004</v>
      </c>
      <c r="AR230" s="3">
        <v>0.55310000000000004</v>
      </c>
      <c r="AS230" s="3">
        <v>0.55310000000000004</v>
      </c>
      <c r="AT230" s="3">
        <v>0.55310000000000004</v>
      </c>
      <c r="AU230" s="3">
        <v>0.55310000000000004</v>
      </c>
      <c r="AV230" s="3">
        <v>0.55310000000000004</v>
      </c>
      <c r="AW230" s="3">
        <v>0.55310000000000004</v>
      </c>
      <c r="AX230" s="3">
        <v>0.55310000000000004</v>
      </c>
      <c r="AY230" s="3">
        <v>0.55310000000000004</v>
      </c>
      <c r="AZ230" s="3">
        <v>0.55310000000000004</v>
      </c>
      <c r="BA230" s="3">
        <v>0.55310000000000004</v>
      </c>
      <c r="BB230" s="3">
        <v>0.55310000000000004</v>
      </c>
      <c r="BC230" s="3">
        <v>0.55310000000000004</v>
      </c>
      <c r="BD230" s="3">
        <v>0.55310000000000004</v>
      </c>
      <c r="BE230" s="3">
        <v>0.55310000000000004</v>
      </c>
      <c r="BF230" s="3">
        <v>0.55310000000000004</v>
      </c>
      <c r="BG230" s="3">
        <v>0.55310000000000004</v>
      </c>
      <c r="BH230" s="3">
        <v>0.55310000000000004</v>
      </c>
      <c r="BI230" s="3">
        <v>0.55310000000000004</v>
      </c>
      <c r="BJ230" s="3">
        <v>0.55310000000000004</v>
      </c>
      <c r="BK230" s="3">
        <v>0.55310000000000004</v>
      </c>
      <c r="BL230" s="3">
        <v>0.55310000000000004</v>
      </c>
      <c r="BM230" s="3">
        <v>0.55310000000000004</v>
      </c>
      <c r="BN230" s="3">
        <v>0.55310000000000004</v>
      </c>
      <c r="BO230" s="3">
        <v>0.55310000000000004</v>
      </c>
      <c r="BP230" s="3">
        <v>0.55310000000000004</v>
      </c>
      <c r="BQ230" s="3">
        <v>0.55310000000000004</v>
      </c>
    </row>
    <row r="231" spans="1:69" hidden="1" x14ac:dyDescent="0.25">
      <c r="A231" s="20">
        <v>23</v>
      </c>
      <c r="B231" s="20" t="s">
        <v>54</v>
      </c>
      <c r="C231" s="3" t="s">
        <v>55</v>
      </c>
      <c r="D231" s="3">
        <v>10</v>
      </c>
      <c r="E231" s="3" t="s">
        <v>499</v>
      </c>
      <c r="F231" s="3"/>
      <c r="G231" s="3" t="s">
        <v>501</v>
      </c>
      <c r="H231" s="3">
        <v>0</v>
      </c>
      <c r="I231" s="3">
        <v>0.95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s="17" customFormat="1" hidden="1" x14ac:dyDescent="0.25">
      <c r="A232" s="23">
        <v>24</v>
      </c>
      <c r="B232" s="23" t="s">
        <v>56</v>
      </c>
      <c r="C232" s="24" t="s">
        <v>57</v>
      </c>
      <c r="D232" s="24">
        <v>1</v>
      </c>
      <c r="E232" s="24" t="s">
        <v>489</v>
      </c>
      <c r="F232" s="24"/>
      <c r="G232" s="24" t="s">
        <v>500</v>
      </c>
      <c r="H232" s="24">
        <v>0</v>
      </c>
      <c r="I232" s="24">
        <v>2890.9666666666667</v>
      </c>
      <c r="J232" s="24">
        <v>2890.9666666666667</v>
      </c>
      <c r="K232" s="24">
        <v>2890.9666666666667</v>
      </c>
      <c r="L232" s="24">
        <v>2890.9666666666667</v>
      </c>
      <c r="M232" s="24">
        <v>2890.9666666666667</v>
      </c>
      <c r="N232" s="24">
        <v>2890.9666666666667</v>
      </c>
      <c r="O232" s="24">
        <v>2890.9666666666667</v>
      </c>
      <c r="P232" s="24">
        <v>2890.9666666666667</v>
      </c>
      <c r="Q232" s="24">
        <v>2890.9666666666667</v>
      </c>
      <c r="R232" s="24">
        <v>2890.9666666666667</v>
      </c>
      <c r="S232" s="24">
        <v>2890.9666666666667</v>
      </c>
      <c r="T232" s="24">
        <v>2890.9666666666667</v>
      </c>
      <c r="U232" s="24">
        <v>2890.9666666666667</v>
      </c>
      <c r="V232" s="24">
        <v>2890.9666666666667</v>
      </c>
      <c r="W232" s="24">
        <v>2890.9666666666667</v>
      </c>
      <c r="X232" s="24">
        <v>2890.9666666666667</v>
      </c>
      <c r="Y232" s="24">
        <v>2890.9666666666667</v>
      </c>
      <c r="Z232" s="24">
        <v>2890.9666666666667</v>
      </c>
      <c r="AA232" s="24">
        <v>2890.9666666666667</v>
      </c>
      <c r="AB232" s="24">
        <v>2890.9666666666667</v>
      </c>
      <c r="AC232" s="24">
        <v>2890.9666666666667</v>
      </c>
      <c r="AD232" s="24">
        <v>2890.9666666666667</v>
      </c>
      <c r="AE232" s="24">
        <v>2890.9666666666667</v>
      </c>
      <c r="AF232" s="24">
        <v>2890.9666666666667</v>
      </c>
      <c r="AG232" s="24">
        <v>2890.9666666666667</v>
      </c>
      <c r="AH232" s="24">
        <v>2890.9666666666667</v>
      </c>
      <c r="AI232" s="24">
        <v>2890.9666666666667</v>
      </c>
      <c r="AJ232" s="24">
        <v>2890.9666666666667</v>
      </c>
      <c r="AK232" s="24">
        <v>2890.9666666666667</v>
      </c>
      <c r="AL232" s="24">
        <v>2890.9666666666667</v>
      </c>
      <c r="AM232" s="24">
        <v>2890.9666666666667</v>
      </c>
      <c r="AN232" s="24">
        <v>2890.9666666666667</v>
      </c>
      <c r="AO232" s="24">
        <v>2890.9666666666667</v>
      </c>
      <c r="AP232" s="24">
        <v>2890.9666666666667</v>
      </c>
      <c r="AQ232" s="24">
        <v>2890.9666666666667</v>
      </c>
      <c r="AR232" s="24">
        <v>2890.9666666666667</v>
      </c>
      <c r="AS232" s="24">
        <v>2890.9666666666667</v>
      </c>
      <c r="AT232" s="24">
        <v>2890.9666666666667</v>
      </c>
      <c r="AU232" s="24">
        <v>2890.9666666666667</v>
      </c>
      <c r="AV232" s="24">
        <v>2890.9666666666667</v>
      </c>
      <c r="AW232" s="24">
        <v>2890.9666666666667</v>
      </c>
      <c r="AX232" s="24">
        <v>2890.9666666666667</v>
      </c>
      <c r="AY232" s="24">
        <v>2890.9666666666667</v>
      </c>
      <c r="AZ232" s="24">
        <v>2890.9666666666667</v>
      </c>
      <c r="BA232" s="24">
        <v>2890.9666666666667</v>
      </c>
      <c r="BB232" s="24">
        <v>2890.9666666666667</v>
      </c>
      <c r="BC232" s="24">
        <v>2890.9666666666667</v>
      </c>
      <c r="BD232" s="24">
        <v>2890.9666666666667</v>
      </c>
      <c r="BE232" s="24">
        <v>2890.9666666666667</v>
      </c>
      <c r="BF232" s="24">
        <v>2890.9666666666667</v>
      </c>
      <c r="BG232" s="24">
        <v>2890.9666666666667</v>
      </c>
      <c r="BH232" s="24">
        <v>2890.9666666666667</v>
      </c>
      <c r="BI232" s="24">
        <v>2890.9666666666667</v>
      </c>
      <c r="BJ232" s="24">
        <v>2890.9666666666667</v>
      </c>
      <c r="BK232" s="24">
        <v>2890.9666666666667</v>
      </c>
      <c r="BL232" s="24">
        <v>2890.9666666666667</v>
      </c>
      <c r="BM232" s="24">
        <v>2890.9666666666667</v>
      </c>
      <c r="BN232" s="24">
        <v>2890.9666666666667</v>
      </c>
      <c r="BO232" s="24">
        <v>2890.9666666666667</v>
      </c>
      <c r="BP232" s="24">
        <v>2890.9666666666667</v>
      </c>
      <c r="BQ232" s="24">
        <v>2890.9666666666667</v>
      </c>
    </row>
    <row r="233" spans="1:69" s="17" customFormat="1" hidden="1" x14ac:dyDescent="0.25">
      <c r="A233" s="23">
        <v>24</v>
      </c>
      <c r="B233" s="23" t="s">
        <v>56</v>
      </c>
      <c r="C233" s="24" t="s">
        <v>57</v>
      </c>
      <c r="D233" s="24">
        <v>2</v>
      </c>
      <c r="E233" s="24" t="s">
        <v>491</v>
      </c>
      <c r="F233" s="24"/>
      <c r="G233" s="24" t="s">
        <v>500</v>
      </c>
      <c r="H233" s="24">
        <v>0</v>
      </c>
      <c r="I233" s="24">
        <v>63.33</v>
      </c>
      <c r="J233" s="24">
        <v>63.33</v>
      </c>
      <c r="K233" s="24">
        <v>63.33</v>
      </c>
      <c r="L233" s="24">
        <v>63.33</v>
      </c>
      <c r="M233" s="24">
        <v>63.33</v>
      </c>
      <c r="N233" s="24">
        <v>63.33</v>
      </c>
      <c r="O233" s="24">
        <v>63.33</v>
      </c>
      <c r="P233" s="24">
        <v>63.33</v>
      </c>
      <c r="Q233" s="24">
        <v>63.33</v>
      </c>
      <c r="R233" s="24">
        <v>63.33</v>
      </c>
      <c r="S233" s="24">
        <v>63.33</v>
      </c>
      <c r="T233" s="24">
        <v>63.33</v>
      </c>
      <c r="U233" s="24">
        <v>63.33</v>
      </c>
      <c r="V233" s="24">
        <v>63.33</v>
      </c>
      <c r="W233" s="24">
        <v>63.33</v>
      </c>
      <c r="X233" s="24">
        <v>63.33</v>
      </c>
      <c r="Y233" s="24">
        <v>63.33</v>
      </c>
      <c r="Z233" s="24">
        <v>63.33</v>
      </c>
      <c r="AA233" s="24">
        <v>63.33</v>
      </c>
      <c r="AB233" s="24">
        <v>63.33</v>
      </c>
      <c r="AC233" s="24">
        <v>63.33</v>
      </c>
      <c r="AD233" s="24">
        <v>63.33</v>
      </c>
      <c r="AE233" s="24">
        <v>63.33</v>
      </c>
      <c r="AF233" s="24">
        <v>63.33</v>
      </c>
      <c r="AG233" s="24">
        <v>63.33</v>
      </c>
      <c r="AH233" s="24">
        <v>63.33</v>
      </c>
      <c r="AI233" s="24">
        <v>63.33</v>
      </c>
      <c r="AJ233" s="24">
        <v>63.33</v>
      </c>
      <c r="AK233" s="24">
        <v>63.33</v>
      </c>
      <c r="AL233" s="24">
        <v>63.33</v>
      </c>
      <c r="AM233" s="24">
        <v>63.33</v>
      </c>
      <c r="AN233" s="24">
        <v>63.33</v>
      </c>
      <c r="AO233" s="24">
        <v>63.33</v>
      </c>
      <c r="AP233" s="24">
        <v>63.33</v>
      </c>
      <c r="AQ233" s="24">
        <v>63.33</v>
      </c>
      <c r="AR233" s="24">
        <v>63.33</v>
      </c>
      <c r="AS233" s="24">
        <v>63.33</v>
      </c>
      <c r="AT233" s="24">
        <v>63.33</v>
      </c>
      <c r="AU233" s="24">
        <v>63.33</v>
      </c>
      <c r="AV233" s="24">
        <v>63.33</v>
      </c>
      <c r="AW233" s="24">
        <v>63.33</v>
      </c>
      <c r="AX233" s="24">
        <v>63.33</v>
      </c>
      <c r="AY233" s="24">
        <v>63.33</v>
      </c>
      <c r="AZ233" s="24">
        <v>63.33</v>
      </c>
      <c r="BA233" s="24">
        <v>63.33</v>
      </c>
      <c r="BB233" s="24">
        <v>63.33</v>
      </c>
      <c r="BC233" s="24">
        <v>63.33</v>
      </c>
      <c r="BD233" s="24">
        <v>63.33</v>
      </c>
      <c r="BE233" s="24">
        <v>63.33</v>
      </c>
      <c r="BF233" s="24">
        <v>63.33</v>
      </c>
      <c r="BG233" s="24">
        <v>63.33</v>
      </c>
      <c r="BH233" s="24">
        <v>63.33</v>
      </c>
      <c r="BI233" s="24">
        <v>63.33</v>
      </c>
      <c r="BJ233" s="24">
        <v>63.33</v>
      </c>
      <c r="BK233" s="24">
        <v>63.33</v>
      </c>
      <c r="BL233" s="24">
        <v>63.33</v>
      </c>
      <c r="BM233" s="24">
        <v>63.33</v>
      </c>
      <c r="BN233" s="24">
        <v>63.33</v>
      </c>
      <c r="BO233" s="24">
        <v>63.33</v>
      </c>
      <c r="BP233" s="24">
        <v>63.33</v>
      </c>
      <c r="BQ233" s="24">
        <v>63.33</v>
      </c>
    </row>
    <row r="234" spans="1:69" s="17" customFormat="1" hidden="1" x14ac:dyDescent="0.25">
      <c r="A234" s="23">
        <v>24</v>
      </c>
      <c r="B234" s="23" t="s">
        <v>56</v>
      </c>
      <c r="C234" s="24" t="s">
        <v>57</v>
      </c>
      <c r="D234" s="24">
        <v>3</v>
      </c>
      <c r="E234" s="24" t="s">
        <v>492</v>
      </c>
      <c r="F234" s="24"/>
      <c r="G234" s="24" t="s">
        <v>500</v>
      </c>
      <c r="H234" s="24">
        <v>0</v>
      </c>
      <c r="I234" s="24">
        <v>0.5559042748852957</v>
      </c>
      <c r="J234" s="24">
        <v>0.5559042748852957</v>
      </c>
      <c r="K234" s="24">
        <v>0.5559042748852957</v>
      </c>
      <c r="L234" s="24">
        <v>0.5559042748852957</v>
      </c>
      <c r="M234" s="24">
        <v>0.5559042748852957</v>
      </c>
      <c r="N234" s="24">
        <v>0.5559042748852957</v>
      </c>
      <c r="O234" s="24">
        <v>0.5559042748852957</v>
      </c>
      <c r="P234" s="24">
        <v>0.5559042748852957</v>
      </c>
      <c r="Q234" s="24">
        <v>0.5559042748852957</v>
      </c>
      <c r="R234" s="24">
        <v>0.5559042748852957</v>
      </c>
      <c r="S234" s="24">
        <v>0.5559042748852957</v>
      </c>
      <c r="T234" s="24">
        <v>0.5559042748852957</v>
      </c>
      <c r="U234" s="24">
        <v>0.5559042748852957</v>
      </c>
      <c r="V234" s="24">
        <v>0.5559042748852957</v>
      </c>
      <c r="W234" s="24">
        <v>0.5559042748852957</v>
      </c>
      <c r="X234" s="24">
        <v>0.5559042748852957</v>
      </c>
      <c r="Y234" s="24">
        <v>0.5559042748852957</v>
      </c>
      <c r="Z234" s="24">
        <v>0.5559042748852957</v>
      </c>
      <c r="AA234" s="24">
        <v>0.5559042748852957</v>
      </c>
      <c r="AB234" s="24">
        <v>0.5559042748852957</v>
      </c>
      <c r="AC234" s="24">
        <v>0.5559042748852957</v>
      </c>
      <c r="AD234" s="24">
        <v>0.5559042748852957</v>
      </c>
      <c r="AE234" s="24">
        <v>0.5559042748852957</v>
      </c>
      <c r="AF234" s="24">
        <v>0.5559042748852957</v>
      </c>
      <c r="AG234" s="24">
        <v>0.5559042748852957</v>
      </c>
      <c r="AH234" s="24">
        <v>0.5559042748852957</v>
      </c>
      <c r="AI234" s="24">
        <v>0.5559042748852957</v>
      </c>
      <c r="AJ234" s="24">
        <v>0.5559042748852957</v>
      </c>
      <c r="AK234" s="24">
        <v>0.5559042748852957</v>
      </c>
      <c r="AL234" s="24">
        <v>0.5559042748852957</v>
      </c>
      <c r="AM234" s="24">
        <v>0.5559042748852957</v>
      </c>
      <c r="AN234" s="24">
        <v>0.5559042748852957</v>
      </c>
      <c r="AO234" s="24">
        <v>0.5559042748852957</v>
      </c>
      <c r="AP234" s="24">
        <v>0.5559042748852957</v>
      </c>
      <c r="AQ234" s="24">
        <v>0.5559042748852957</v>
      </c>
      <c r="AR234" s="24">
        <v>0.5559042748852957</v>
      </c>
      <c r="AS234" s="24">
        <v>0.5559042748852957</v>
      </c>
      <c r="AT234" s="24">
        <v>0.5559042748852957</v>
      </c>
      <c r="AU234" s="24">
        <v>0.5559042748852957</v>
      </c>
      <c r="AV234" s="24">
        <v>0.5559042748852957</v>
      </c>
      <c r="AW234" s="24">
        <v>0.5559042748852957</v>
      </c>
      <c r="AX234" s="24">
        <v>0.5559042748852957</v>
      </c>
      <c r="AY234" s="24">
        <v>0.5559042748852957</v>
      </c>
      <c r="AZ234" s="24">
        <v>0.5559042748852957</v>
      </c>
      <c r="BA234" s="24">
        <v>0.5559042748852957</v>
      </c>
      <c r="BB234" s="24">
        <v>0.5559042748852957</v>
      </c>
      <c r="BC234" s="24">
        <v>0.5559042748852957</v>
      </c>
      <c r="BD234" s="24">
        <v>0.5559042748852957</v>
      </c>
      <c r="BE234" s="24">
        <v>0.5559042748852957</v>
      </c>
      <c r="BF234" s="24">
        <v>0.5559042748852957</v>
      </c>
      <c r="BG234" s="24">
        <v>0.5559042748852957</v>
      </c>
      <c r="BH234" s="24">
        <v>0.5559042748852957</v>
      </c>
      <c r="BI234" s="24">
        <v>0.5559042748852957</v>
      </c>
      <c r="BJ234" s="24">
        <v>0.5559042748852957</v>
      </c>
      <c r="BK234" s="24">
        <v>0.5559042748852957</v>
      </c>
      <c r="BL234" s="24">
        <v>0.5559042748852957</v>
      </c>
      <c r="BM234" s="24">
        <v>0.5559042748852957</v>
      </c>
      <c r="BN234" s="24">
        <v>0.5559042748852957</v>
      </c>
      <c r="BO234" s="24">
        <v>0.5559042748852957</v>
      </c>
      <c r="BP234" s="24">
        <v>0.5559042748852957</v>
      </c>
      <c r="BQ234" s="24">
        <v>0.5559042748852957</v>
      </c>
    </row>
    <row r="235" spans="1:69" s="17" customFormat="1" hidden="1" x14ac:dyDescent="0.25">
      <c r="A235" s="23">
        <v>24</v>
      </c>
      <c r="B235" s="23" t="s">
        <v>56</v>
      </c>
      <c r="C235" s="24" t="s">
        <v>57</v>
      </c>
      <c r="D235" s="24">
        <v>4</v>
      </c>
      <c r="E235" s="24" t="s">
        <v>493</v>
      </c>
      <c r="F235" s="24"/>
      <c r="G235" s="24" t="s">
        <v>500</v>
      </c>
      <c r="H235" s="24">
        <v>0</v>
      </c>
      <c r="I235" s="50">
        <v>0.34365999999999997</v>
      </c>
      <c r="J235" s="50">
        <v>0.34365999999999997</v>
      </c>
      <c r="K235" s="50">
        <v>0.34365999999999997</v>
      </c>
      <c r="L235" s="50">
        <v>0.34365999999999997</v>
      </c>
      <c r="M235" s="50">
        <v>0.33</v>
      </c>
      <c r="N235" s="50">
        <v>0.33</v>
      </c>
      <c r="O235" s="50">
        <v>0.33</v>
      </c>
      <c r="P235" s="50">
        <v>0.33</v>
      </c>
      <c r="Q235" s="24">
        <v>0.40300000000000002</v>
      </c>
      <c r="R235" s="24">
        <v>0.40300000000000002</v>
      </c>
      <c r="S235" s="24">
        <v>0.40300000000000002</v>
      </c>
      <c r="T235" s="24">
        <v>0.40300000000000002</v>
      </c>
      <c r="U235" s="24">
        <v>0.40300000000000002</v>
      </c>
      <c r="V235" s="24">
        <v>0.40300000000000002</v>
      </c>
      <c r="W235" s="24">
        <v>0.40300000000000002</v>
      </c>
      <c r="X235" s="24">
        <v>0.40300000000000002</v>
      </c>
      <c r="Y235" s="24">
        <v>0.40300000000000002</v>
      </c>
      <c r="Z235" s="24">
        <v>0.40300000000000002</v>
      </c>
      <c r="AA235" s="24">
        <v>0.40300000000000002</v>
      </c>
      <c r="AB235" s="24">
        <v>0.40300000000000002</v>
      </c>
      <c r="AC235" s="24">
        <v>0.40300000000000002</v>
      </c>
      <c r="AD235" s="24">
        <v>0.40300000000000002</v>
      </c>
      <c r="AE235" s="24">
        <v>0.40300000000000002</v>
      </c>
      <c r="AF235" s="24">
        <v>0.40300000000000002</v>
      </c>
      <c r="AG235" s="24">
        <v>0.40300000000000002</v>
      </c>
      <c r="AH235" s="24">
        <v>0.40300000000000002</v>
      </c>
      <c r="AI235" s="24">
        <v>0.40300000000000002</v>
      </c>
      <c r="AJ235" s="24">
        <v>0.40300000000000002</v>
      </c>
      <c r="AK235" s="24">
        <v>0.40300000000000002</v>
      </c>
      <c r="AL235" s="24">
        <v>0.40300000000000002</v>
      </c>
      <c r="AM235" s="24">
        <v>0.40300000000000002</v>
      </c>
      <c r="AN235" s="24">
        <v>0.40300000000000002</v>
      </c>
      <c r="AO235" s="24">
        <v>0.40300000000000002</v>
      </c>
      <c r="AP235" s="24">
        <v>0.40300000000000002</v>
      </c>
      <c r="AQ235" s="24">
        <v>0.40300000000000002</v>
      </c>
      <c r="AR235" s="24">
        <v>0.40300000000000002</v>
      </c>
      <c r="AS235" s="24">
        <v>0.40300000000000002</v>
      </c>
      <c r="AT235" s="24">
        <v>0.40300000000000002</v>
      </c>
      <c r="AU235" s="24">
        <v>0.40300000000000002</v>
      </c>
      <c r="AV235" s="24">
        <v>0.40300000000000002</v>
      </c>
      <c r="AW235" s="24">
        <v>0.40300000000000002</v>
      </c>
      <c r="AX235" s="24">
        <v>0.40300000000000002</v>
      </c>
      <c r="AY235" s="24">
        <v>0.40300000000000002</v>
      </c>
      <c r="AZ235" s="24">
        <v>0.40300000000000002</v>
      </c>
      <c r="BA235" s="24">
        <v>0.40300000000000002</v>
      </c>
      <c r="BB235" s="24">
        <v>0.40300000000000002</v>
      </c>
      <c r="BC235" s="24">
        <v>0.40300000000000002</v>
      </c>
      <c r="BD235" s="24">
        <v>0.40300000000000002</v>
      </c>
      <c r="BE235" s="24">
        <v>0.40300000000000002</v>
      </c>
      <c r="BF235" s="24">
        <v>0.40300000000000002</v>
      </c>
      <c r="BG235" s="24">
        <v>0.40300000000000002</v>
      </c>
      <c r="BH235" s="24">
        <v>0.40300000000000002</v>
      </c>
      <c r="BI235" s="24">
        <v>0.40300000000000002</v>
      </c>
      <c r="BJ235" s="24">
        <v>0.40300000000000002</v>
      </c>
      <c r="BK235" s="24">
        <v>0.40300000000000002</v>
      </c>
      <c r="BL235" s="24">
        <v>0.40300000000000002</v>
      </c>
      <c r="BM235" s="24">
        <v>0.40300000000000002</v>
      </c>
      <c r="BN235" s="24">
        <v>0.40300000000000002</v>
      </c>
      <c r="BO235" s="24">
        <v>0.40300000000000002</v>
      </c>
      <c r="BP235" s="24">
        <v>0.40300000000000002</v>
      </c>
      <c r="BQ235" s="24">
        <v>0.40300000000000002</v>
      </c>
    </row>
    <row r="236" spans="1:69" s="17" customFormat="1" hidden="1" x14ac:dyDescent="0.25">
      <c r="A236" s="23">
        <v>24</v>
      </c>
      <c r="B236" s="23" t="s">
        <v>56</v>
      </c>
      <c r="C236" s="24" t="s">
        <v>57</v>
      </c>
      <c r="D236" s="24">
        <v>5</v>
      </c>
      <c r="E236" s="24" t="s">
        <v>494</v>
      </c>
      <c r="F236" s="24"/>
      <c r="G236" s="24" t="s">
        <v>500</v>
      </c>
      <c r="H236" s="24">
        <v>0</v>
      </c>
      <c r="I236" s="50">
        <v>0.34365999999999997</v>
      </c>
      <c r="J236" s="50">
        <v>0.34365999999999997</v>
      </c>
      <c r="K236" s="50">
        <v>0.34365999999999997</v>
      </c>
      <c r="L236" s="50">
        <v>0.34365999999999997</v>
      </c>
      <c r="M236" s="50">
        <v>0.33</v>
      </c>
      <c r="N236" s="50">
        <v>0.33</v>
      </c>
      <c r="O236" s="50">
        <v>0.33</v>
      </c>
      <c r="P236" s="50">
        <v>0.33</v>
      </c>
      <c r="Q236" s="24">
        <v>0.40300000000000002</v>
      </c>
      <c r="R236" s="24">
        <v>0.40300000000000002</v>
      </c>
      <c r="S236" s="24">
        <v>0.40300000000000002</v>
      </c>
      <c r="T236" s="24">
        <v>0.40300000000000002</v>
      </c>
      <c r="U236" s="24">
        <v>99999</v>
      </c>
      <c r="V236" s="24">
        <v>99999</v>
      </c>
      <c r="W236" s="24">
        <v>99999</v>
      </c>
      <c r="X236" s="24">
        <v>99999</v>
      </c>
      <c r="Y236" s="24">
        <v>99999</v>
      </c>
      <c r="Z236" s="24">
        <v>99999</v>
      </c>
      <c r="AA236" s="24">
        <v>99999</v>
      </c>
      <c r="AB236" s="24">
        <v>99999</v>
      </c>
      <c r="AC236" s="24">
        <v>99999</v>
      </c>
      <c r="AD236" s="24">
        <v>99999</v>
      </c>
      <c r="AE236" s="24">
        <v>99999</v>
      </c>
      <c r="AF236" s="24">
        <v>99999</v>
      </c>
      <c r="AG236" s="24">
        <v>99999</v>
      </c>
      <c r="AH236" s="24">
        <v>99999</v>
      </c>
      <c r="AI236" s="24">
        <v>99999</v>
      </c>
      <c r="AJ236" s="24">
        <v>99999</v>
      </c>
      <c r="AK236" s="24">
        <v>99999</v>
      </c>
      <c r="AL236" s="24">
        <v>99999</v>
      </c>
      <c r="AM236" s="24">
        <v>99999</v>
      </c>
      <c r="AN236" s="24">
        <v>99999</v>
      </c>
      <c r="AO236" s="24">
        <v>99999</v>
      </c>
      <c r="AP236" s="24">
        <v>99999</v>
      </c>
      <c r="AQ236" s="24">
        <v>99999</v>
      </c>
      <c r="AR236" s="24">
        <v>99999</v>
      </c>
      <c r="AS236" s="24">
        <v>99999</v>
      </c>
      <c r="AT236" s="24">
        <v>99999</v>
      </c>
      <c r="AU236" s="24">
        <v>99999</v>
      </c>
      <c r="AV236" s="24">
        <v>99999</v>
      </c>
      <c r="AW236" s="24">
        <v>99999</v>
      </c>
      <c r="AX236" s="24">
        <v>99999</v>
      </c>
      <c r="AY236" s="24">
        <v>99999</v>
      </c>
      <c r="AZ236" s="24">
        <v>99999</v>
      </c>
      <c r="BA236" s="24">
        <v>99999</v>
      </c>
      <c r="BB236" s="24">
        <v>99999</v>
      </c>
      <c r="BC236" s="24">
        <v>99999</v>
      </c>
      <c r="BD236" s="24">
        <v>99999</v>
      </c>
      <c r="BE236" s="24">
        <v>99999</v>
      </c>
      <c r="BF236" s="24">
        <v>99999</v>
      </c>
      <c r="BG236" s="24">
        <v>99999</v>
      </c>
      <c r="BH236" s="24">
        <v>99999</v>
      </c>
      <c r="BI236" s="24">
        <v>99999</v>
      </c>
      <c r="BJ236" s="24">
        <v>99999</v>
      </c>
      <c r="BK236" s="24">
        <v>99999</v>
      </c>
      <c r="BL236" s="24">
        <v>99999</v>
      </c>
      <c r="BM236" s="24">
        <v>99999</v>
      </c>
      <c r="BN236" s="24">
        <v>99999</v>
      </c>
      <c r="BO236" s="24">
        <v>99999</v>
      </c>
      <c r="BP236" s="24">
        <v>99999</v>
      </c>
      <c r="BQ236" s="24">
        <v>99999</v>
      </c>
    </row>
    <row r="237" spans="1:69" s="17" customFormat="1" hidden="1" x14ac:dyDescent="0.25">
      <c r="A237" s="23">
        <v>24</v>
      </c>
      <c r="B237" s="23" t="s">
        <v>56</v>
      </c>
      <c r="C237" s="24" t="s">
        <v>57</v>
      </c>
      <c r="D237" s="24">
        <v>6</v>
      </c>
      <c r="E237" s="24" t="s">
        <v>495</v>
      </c>
      <c r="F237" s="24"/>
      <c r="G237" s="24" t="s">
        <v>490</v>
      </c>
      <c r="H237" s="24">
        <v>0</v>
      </c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</row>
    <row r="238" spans="1:69" s="17" customFormat="1" hidden="1" x14ac:dyDescent="0.25">
      <c r="A238" s="23">
        <v>24</v>
      </c>
      <c r="B238" s="23" t="s">
        <v>56</v>
      </c>
      <c r="C238" s="24" t="s">
        <v>57</v>
      </c>
      <c r="D238" s="24">
        <v>7</v>
      </c>
      <c r="E238" s="24" t="s">
        <v>496</v>
      </c>
      <c r="F238" s="24"/>
      <c r="G238" s="25" t="s">
        <v>500</v>
      </c>
      <c r="H238" s="26">
        <v>0</v>
      </c>
      <c r="I238" s="24">
        <v>2.3450285385466678</v>
      </c>
      <c r="J238" s="24">
        <v>3.023066549286713</v>
      </c>
      <c r="K238" s="24">
        <v>3.3231194134708342</v>
      </c>
      <c r="L238" s="24">
        <v>2.9975416902520453</v>
      </c>
      <c r="M238" s="24">
        <v>3.1113173916938073</v>
      </c>
      <c r="N238" s="24">
        <v>3.5561016374255625</v>
      </c>
      <c r="O238" s="24">
        <v>4.2995810420736378</v>
      </c>
      <c r="P238" s="24">
        <v>5.4549882249726735</v>
      </c>
      <c r="Q238" s="24">
        <v>6.4592999999999998</v>
      </c>
      <c r="R238" s="24">
        <v>7.1669</v>
      </c>
      <c r="S238" s="24">
        <v>6.6074999999999999</v>
      </c>
      <c r="T238" s="24">
        <v>7.1262999999999996</v>
      </c>
      <c r="U238" s="24">
        <v>6.9811000000000005</v>
      </c>
      <c r="V238" s="24">
        <v>7.1071000000000009</v>
      </c>
      <c r="W238" s="24">
        <v>7.1370000000000005</v>
      </c>
      <c r="X238" s="24">
        <v>7.2513000000000005</v>
      </c>
      <c r="Y238" s="24">
        <v>7.3641000000000005</v>
      </c>
      <c r="Z238" s="24">
        <v>7.5013000000000005</v>
      </c>
      <c r="AA238" s="24">
        <v>7.4989000000000008</v>
      </c>
      <c r="AB238" s="24">
        <v>7.5974000000000004</v>
      </c>
      <c r="AC238" s="24">
        <v>7.7241</v>
      </c>
      <c r="AD238" s="24">
        <v>7.8094999999999999</v>
      </c>
      <c r="AE238" s="24">
        <v>7.9455</v>
      </c>
      <c r="AF238" s="24">
        <v>8.0879999999999992</v>
      </c>
      <c r="AG238" s="24">
        <v>8.2234999999999996</v>
      </c>
      <c r="AH238" s="24">
        <v>8.3462999999999994</v>
      </c>
      <c r="AI238" s="24">
        <v>8.4946999999999999</v>
      </c>
      <c r="AJ238" s="24">
        <v>8.6173000000000002</v>
      </c>
      <c r="AK238" s="24">
        <v>8.7580000000000009</v>
      </c>
      <c r="AL238" s="24">
        <v>8.8986000000000001</v>
      </c>
      <c r="AM238" s="24">
        <v>9.0385000000000009</v>
      </c>
      <c r="AN238" s="24">
        <v>9.1707000000000001</v>
      </c>
      <c r="AO238" s="24">
        <v>9.3109999999999999</v>
      </c>
      <c r="AP238" s="24">
        <v>9.4155999999999995</v>
      </c>
      <c r="AQ238" s="24">
        <v>9.5560999999999989</v>
      </c>
      <c r="AR238" s="24">
        <v>9.6701999999999995</v>
      </c>
      <c r="AS238" s="24">
        <v>9.8193000000000001</v>
      </c>
      <c r="AT238" s="24">
        <v>9.9357000000000006</v>
      </c>
      <c r="AU238" s="24">
        <v>10.055800000000001</v>
      </c>
      <c r="AV238" s="24">
        <v>10.173900000000001</v>
      </c>
      <c r="AW238" s="24">
        <v>10.296900000000001</v>
      </c>
      <c r="AX238" s="24">
        <v>10.550400000000002</v>
      </c>
      <c r="AY238" s="24">
        <v>10.682300000000001</v>
      </c>
      <c r="AZ238" s="24">
        <v>10.815200000000001</v>
      </c>
      <c r="BA238" s="24">
        <v>10.947600000000001</v>
      </c>
      <c r="BB238" s="24">
        <v>11.084200000000001</v>
      </c>
      <c r="BC238" s="24">
        <v>11.219800000000001</v>
      </c>
      <c r="BD238" s="24">
        <v>11.355400000000001</v>
      </c>
      <c r="BE238" s="24">
        <v>11.491000000000001</v>
      </c>
      <c r="BF238" s="24">
        <v>11.627600000000001</v>
      </c>
      <c r="BG238" s="24">
        <v>11.766300000000001</v>
      </c>
      <c r="BH238" s="24">
        <v>11.9061</v>
      </c>
      <c r="BI238" s="24">
        <v>12.048</v>
      </c>
      <c r="BJ238" s="24">
        <v>12.189400000000001</v>
      </c>
      <c r="BK238" s="24">
        <v>12.3323</v>
      </c>
      <c r="BL238" s="24">
        <v>12.476800000000001</v>
      </c>
      <c r="BM238" s="24">
        <v>12.621300000000002</v>
      </c>
      <c r="BN238" s="24">
        <v>12.766900000000001</v>
      </c>
      <c r="BO238" s="24">
        <v>12.913500000000001</v>
      </c>
      <c r="BP238" s="24">
        <v>13.0617</v>
      </c>
      <c r="BQ238" s="24">
        <v>13.211</v>
      </c>
    </row>
    <row r="239" spans="1:69" s="17" customFormat="1" hidden="1" x14ac:dyDescent="0.25">
      <c r="A239" s="23">
        <v>24</v>
      </c>
      <c r="B239" s="23" t="s">
        <v>56</v>
      </c>
      <c r="C239" s="24" t="s">
        <v>57</v>
      </c>
      <c r="D239" s="24">
        <v>8</v>
      </c>
      <c r="E239" s="24" t="s">
        <v>497</v>
      </c>
      <c r="F239" s="24"/>
      <c r="G239" s="24" t="s">
        <v>490</v>
      </c>
      <c r="H239" s="24">
        <v>0</v>
      </c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</row>
    <row r="240" spans="1:69" s="17" customFormat="1" hidden="1" x14ac:dyDescent="0.25">
      <c r="A240" s="23">
        <v>24</v>
      </c>
      <c r="B240" s="23" t="s">
        <v>56</v>
      </c>
      <c r="C240" s="24" t="s">
        <v>57</v>
      </c>
      <c r="D240" s="24">
        <v>9</v>
      </c>
      <c r="E240" s="24" t="s">
        <v>498</v>
      </c>
      <c r="F240" s="24"/>
      <c r="G240" s="24" t="s">
        <v>500</v>
      </c>
      <c r="H240" s="24">
        <v>0</v>
      </c>
      <c r="I240" s="24">
        <v>0.44690000000000002</v>
      </c>
      <c r="J240" s="24">
        <v>0.57820000000000005</v>
      </c>
      <c r="K240" s="24">
        <v>0.62729999999999997</v>
      </c>
      <c r="L240" s="24">
        <v>0.56559999999999999</v>
      </c>
      <c r="M240" s="24">
        <v>0.59140000000000004</v>
      </c>
      <c r="N240" s="24">
        <v>0.63119999999999998</v>
      </c>
      <c r="O240" s="24">
        <v>0.44</v>
      </c>
      <c r="P240" s="24">
        <v>0.56999999999999995</v>
      </c>
      <c r="Q240" s="24">
        <v>0.54039999999999999</v>
      </c>
      <c r="R240" s="24">
        <v>0.59960000000000002</v>
      </c>
      <c r="S240" s="24">
        <v>0.55279999999999996</v>
      </c>
      <c r="T240" s="24">
        <v>0.59619999999999995</v>
      </c>
      <c r="U240" s="24">
        <v>0.54</v>
      </c>
      <c r="V240" s="24">
        <v>0.54</v>
      </c>
      <c r="W240" s="24">
        <v>0.54</v>
      </c>
      <c r="X240" s="24">
        <v>0.54</v>
      </c>
      <c r="Y240" s="24">
        <v>0.54</v>
      </c>
      <c r="Z240" s="24">
        <v>0.54</v>
      </c>
      <c r="AA240" s="24">
        <v>0.54</v>
      </c>
      <c r="AB240" s="24">
        <v>0.54</v>
      </c>
      <c r="AC240" s="24">
        <v>0.54</v>
      </c>
      <c r="AD240" s="24">
        <v>0.54</v>
      </c>
      <c r="AE240" s="24">
        <v>0.54</v>
      </c>
      <c r="AF240" s="24">
        <v>0.54</v>
      </c>
      <c r="AG240" s="24">
        <v>0.54</v>
      </c>
      <c r="AH240" s="24">
        <v>0.54</v>
      </c>
      <c r="AI240" s="24">
        <v>0.54</v>
      </c>
      <c r="AJ240" s="24">
        <v>0.54</v>
      </c>
      <c r="AK240" s="24">
        <v>0.54</v>
      </c>
      <c r="AL240" s="24">
        <v>0.54</v>
      </c>
      <c r="AM240" s="24">
        <v>0.54</v>
      </c>
      <c r="AN240" s="24">
        <v>0.54</v>
      </c>
      <c r="AO240" s="24">
        <v>0.54</v>
      </c>
      <c r="AP240" s="24">
        <v>0.54</v>
      </c>
      <c r="AQ240" s="24">
        <v>0.54</v>
      </c>
      <c r="AR240" s="24">
        <v>0.54</v>
      </c>
      <c r="AS240" s="24">
        <v>0.54</v>
      </c>
      <c r="AT240" s="24">
        <v>0.54</v>
      </c>
      <c r="AU240" s="24">
        <v>0.54</v>
      </c>
      <c r="AV240" s="24">
        <v>0.54</v>
      </c>
      <c r="AW240" s="24">
        <v>0.54</v>
      </c>
      <c r="AX240" s="24">
        <v>0.54</v>
      </c>
      <c r="AY240" s="24">
        <v>0.54</v>
      </c>
      <c r="AZ240" s="24">
        <v>0.54</v>
      </c>
      <c r="BA240" s="24">
        <v>0.54</v>
      </c>
      <c r="BB240" s="24">
        <v>0.54</v>
      </c>
      <c r="BC240" s="24">
        <v>0.54</v>
      </c>
      <c r="BD240" s="24">
        <v>0.54</v>
      </c>
      <c r="BE240" s="24">
        <v>0.54</v>
      </c>
      <c r="BF240" s="24">
        <v>0.54</v>
      </c>
      <c r="BG240" s="24">
        <v>0.54</v>
      </c>
      <c r="BH240" s="24">
        <v>0.54</v>
      </c>
      <c r="BI240" s="24">
        <v>0.54</v>
      </c>
      <c r="BJ240" s="24">
        <v>0.54</v>
      </c>
      <c r="BK240" s="24">
        <v>0.54</v>
      </c>
      <c r="BL240" s="24">
        <v>0.54</v>
      </c>
      <c r="BM240" s="24">
        <v>0.54</v>
      </c>
      <c r="BN240" s="24">
        <v>0.54</v>
      </c>
      <c r="BO240" s="24">
        <v>0.54</v>
      </c>
      <c r="BP240" s="24">
        <v>0.54</v>
      </c>
      <c r="BQ240" s="24">
        <v>0.54</v>
      </c>
    </row>
    <row r="241" spans="1:69" s="17" customFormat="1" hidden="1" x14ac:dyDescent="0.25">
      <c r="A241" s="23">
        <v>24</v>
      </c>
      <c r="B241" s="23" t="s">
        <v>56</v>
      </c>
      <c r="C241" s="24" t="s">
        <v>57</v>
      </c>
      <c r="D241" s="24">
        <v>10</v>
      </c>
      <c r="E241" s="24" t="s">
        <v>499</v>
      </c>
      <c r="F241" s="24"/>
      <c r="G241" s="24" t="s">
        <v>501</v>
      </c>
      <c r="H241" s="24">
        <v>0</v>
      </c>
      <c r="I241" s="24">
        <v>0.95</v>
      </c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</row>
    <row r="242" spans="1:69" hidden="1" x14ac:dyDescent="0.25">
      <c r="A242" s="20">
        <v>25</v>
      </c>
      <c r="B242" s="20" t="s">
        <v>58</v>
      </c>
      <c r="C242" s="3" t="s">
        <v>59</v>
      </c>
      <c r="D242" s="3">
        <v>1</v>
      </c>
      <c r="E242" s="3" t="s">
        <v>489</v>
      </c>
      <c r="F242" s="3"/>
      <c r="G242" s="3" t="s">
        <v>500</v>
      </c>
      <c r="H242" s="3">
        <v>0</v>
      </c>
      <c r="I242" s="3">
        <v>1572.4504999999999</v>
      </c>
      <c r="J242" s="3">
        <v>1572.4504999999999</v>
      </c>
      <c r="K242" s="3">
        <v>1572.4504999999999</v>
      </c>
      <c r="L242" s="3">
        <v>1572.4504999999999</v>
      </c>
      <c r="M242" s="3">
        <v>1572.4504999999999</v>
      </c>
      <c r="N242" s="3">
        <v>1572.4504999999999</v>
      </c>
      <c r="O242" s="3">
        <v>1572.4504999999999</v>
      </c>
      <c r="P242" s="3">
        <v>1572.4504999999999</v>
      </c>
      <c r="Q242" s="3">
        <v>1572.4504999999999</v>
      </c>
      <c r="R242" s="3">
        <v>1572.4504999999999</v>
      </c>
      <c r="S242" s="3">
        <v>1572.4504999999999</v>
      </c>
      <c r="T242" s="3">
        <v>1572.4504999999999</v>
      </c>
      <c r="U242" s="3">
        <v>1572.4504999999999</v>
      </c>
      <c r="V242" s="3">
        <v>1572.4504999999999</v>
      </c>
      <c r="W242" s="3">
        <v>1572.4504999999999</v>
      </c>
      <c r="X242" s="3">
        <v>1572.4504999999999</v>
      </c>
      <c r="Y242" s="3">
        <v>1572.4504999999999</v>
      </c>
      <c r="Z242" s="3">
        <v>1572.4504999999999</v>
      </c>
      <c r="AA242" s="3">
        <v>1572.4504999999999</v>
      </c>
      <c r="AB242" s="3">
        <v>1572.4504999999999</v>
      </c>
      <c r="AC242" s="3">
        <v>1572.4504999999999</v>
      </c>
      <c r="AD242" s="3">
        <v>1572.4504999999999</v>
      </c>
      <c r="AE242" s="3">
        <v>1572.4504999999999</v>
      </c>
      <c r="AF242" s="3">
        <v>1572.4504999999999</v>
      </c>
      <c r="AG242" s="3">
        <v>1572.4504999999999</v>
      </c>
      <c r="AH242" s="3">
        <v>1572.4504999999999</v>
      </c>
      <c r="AI242" s="3">
        <v>1572.4504999999999</v>
      </c>
      <c r="AJ242" s="3">
        <v>1572.4504999999999</v>
      </c>
      <c r="AK242" s="3">
        <v>1572.4504999999999</v>
      </c>
      <c r="AL242" s="3">
        <v>1572.4504999999999</v>
      </c>
      <c r="AM242" s="3">
        <v>1572.4504999999999</v>
      </c>
      <c r="AN242" s="3">
        <v>1572.4504999999999</v>
      </c>
      <c r="AO242" s="3">
        <v>1572.4504999999999</v>
      </c>
      <c r="AP242" s="3">
        <v>1572.4504999999999</v>
      </c>
      <c r="AQ242" s="3">
        <v>1572.4504999999999</v>
      </c>
      <c r="AR242" s="3">
        <v>1572.4504999999999</v>
      </c>
      <c r="AS242" s="3">
        <v>1572.4504999999999</v>
      </c>
      <c r="AT242" s="3">
        <v>1572.4504999999999</v>
      </c>
      <c r="AU242" s="3">
        <v>1572.4504999999999</v>
      </c>
      <c r="AV242" s="3">
        <v>1572.4504999999999</v>
      </c>
      <c r="AW242" s="3">
        <v>1572.4504999999999</v>
      </c>
      <c r="AX242" s="3">
        <v>1572.4504999999999</v>
      </c>
      <c r="AY242" s="3">
        <v>1572.4504999999999</v>
      </c>
      <c r="AZ242" s="3">
        <v>1572.4504999999999</v>
      </c>
      <c r="BA242" s="3">
        <v>1572.4504999999999</v>
      </c>
      <c r="BB242" s="3">
        <v>1572.4504999999999</v>
      </c>
      <c r="BC242" s="3">
        <v>1572.4504999999999</v>
      </c>
      <c r="BD242" s="3">
        <v>1572.4504999999999</v>
      </c>
      <c r="BE242" s="3">
        <v>1572.4504999999999</v>
      </c>
      <c r="BF242" s="3">
        <v>1572.4504999999999</v>
      </c>
      <c r="BG242" s="3">
        <v>1572.4504999999999</v>
      </c>
      <c r="BH242" s="3">
        <v>1572.4504999999999</v>
      </c>
      <c r="BI242" s="3">
        <v>1572.4504999999999</v>
      </c>
      <c r="BJ242" s="3">
        <v>1572.4504999999999</v>
      </c>
      <c r="BK242" s="3">
        <v>1572.4504999999999</v>
      </c>
      <c r="BL242" s="3">
        <v>1572.4504999999999</v>
      </c>
      <c r="BM242" s="3">
        <v>1572.4504999999999</v>
      </c>
      <c r="BN242" s="3">
        <v>1572.4504999999999</v>
      </c>
      <c r="BO242" s="3">
        <v>1572.4504999999999</v>
      </c>
      <c r="BP242" s="3">
        <v>1572.4504999999999</v>
      </c>
      <c r="BQ242" s="3">
        <v>1572.4504999999999</v>
      </c>
    </row>
    <row r="243" spans="1:69" hidden="1" x14ac:dyDescent="0.25">
      <c r="A243" s="20">
        <v>25</v>
      </c>
      <c r="B243" s="20" t="s">
        <v>58</v>
      </c>
      <c r="C243" s="3" t="s">
        <v>59</v>
      </c>
      <c r="D243" s="3">
        <v>2</v>
      </c>
      <c r="E243" s="3" t="s">
        <v>491</v>
      </c>
      <c r="F243" s="3"/>
      <c r="G243" s="3" t="s">
        <v>500</v>
      </c>
      <c r="H243" s="3">
        <v>0</v>
      </c>
      <c r="I243" s="3">
        <v>42</v>
      </c>
      <c r="J243" s="3">
        <v>42</v>
      </c>
      <c r="K243" s="3">
        <v>42</v>
      </c>
      <c r="L243" s="3">
        <v>42</v>
      </c>
      <c r="M243" s="3">
        <v>42</v>
      </c>
      <c r="N243" s="3">
        <v>42</v>
      </c>
      <c r="O243" s="3">
        <v>42</v>
      </c>
      <c r="P243" s="3">
        <v>42</v>
      </c>
      <c r="Q243" s="3">
        <v>42</v>
      </c>
      <c r="R243" s="3">
        <v>42</v>
      </c>
      <c r="S243" s="3">
        <v>42</v>
      </c>
      <c r="T243" s="3">
        <v>42</v>
      </c>
      <c r="U243" s="3">
        <v>42</v>
      </c>
      <c r="V243" s="3">
        <v>42</v>
      </c>
      <c r="W243" s="3">
        <v>42</v>
      </c>
      <c r="X243" s="3">
        <v>42</v>
      </c>
      <c r="Y243" s="3">
        <v>42</v>
      </c>
      <c r="Z243" s="3">
        <v>42</v>
      </c>
      <c r="AA243" s="3">
        <v>42</v>
      </c>
      <c r="AB243" s="3">
        <v>42</v>
      </c>
      <c r="AC243" s="3">
        <v>42</v>
      </c>
      <c r="AD243" s="3">
        <v>42</v>
      </c>
      <c r="AE243" s="3">
        <v>42</v>
      </c>
      <c r="AF243" s="3">
        <v>42</v>
      </c>
      <c r="AG243" s="3">
        <v>42</v>
      </c>
      <c r="AH243" s="3">
        <v>42</v>
      </c>
      <c r="AI243" s="3">
        <v>42</v>
      </c>
      <c r="AJ243" s="3">
        <v>42</v>
      </c>
      <c r="AK243" s="3">
        <v>42</v>
      </c>
      <c r="AL243" s="3">
        <v>42</v>
      </c>
      <c r="AM243" s="3">
        <v>42</v>
      </c>
      <c r="AN243" s="3">
        <v>42</v>
      </c>
      <c r="AO243" s="3">
        <v>42</v>
      </c>
      <c r="AP243" s="3">
        <v>42</v>
      </c>
      <c r="AQ243" s="3">
        <v>42</v>
      </c>
      <c r="AR243" s="3">
        <v>42</v>
      </c>
      <c r="AS243" s="3">
        <v>42</v>
      </c>
      <c r="AT243" s="3">
        <v>42</v>
      </c>
      <c r="AU243" s="3">
        <v>42</v>
      </c>
      <c r="AV243" s="3">
        <v>42</v>
      </c>
      <c r="AW243" s="3">
        <v>42</v>
      </c>
      <c r="AX243" s="3">
        <v>42</v>
      </c>
      <c r="AY243" s="3">
        <v>42</v>
      </c>
      <c r="AZ243" s="3">
        <v>42</v>
      </c>
      <c r="BA243" s="3">
        <v>42</v>
      </c>
      <c r="BB243" s="3">
        <v>42</v>
      </c>
      <c r="BC243" s="3">
        <v>42</v>
      </c>
      <c r="BD243" s="3">
        <v>42</v>
      </c>
      <c r="BE243" s="3">
        <v>42</v>
      </c>
      <c r="BF243" s="3">
        <v>42</v>
      </c>
      <c r="BG243" s="3">
        <v>42</v>
      </c>
      <c r="BH243" s="3">
        <v>42</v>
      </c>
      <c r="BI243" s="3">
        <v>42</v>
      </c>
      <c r="BJ243" s="3">
        <v>42</v>
      </c>
      <c r="BK243" s="3">
        <v>42</v>
      </c>
      <c r="BL243" s="3">
        <v>42</v>
      </c>
      <c r="BM243" s="3">
        <v>42</v>
      </c>
      <c r="BN243" s="3">
        <v>42</v>
      </c>
      <c r="BO243" s="3">
        <v>42</v>
      </c>
      <c r="BP243" s="3">
        <v>42</v>
      </c>
      <c r="BQ243" s="3">
        <v>42</v>
      </c>
    </row>
    <row r="244" spans="1:69" hidden="1" x14ac:dyDescent="0.25">
      <c r="A244" s="20">
        <v>25</v>
      </c>
      <c r="B244" s="20" t="s">
        <v>58</v>
      </c>
      <c r="C244" s="3" t="s">
        <v>59</v>
      </c>
      <c r="D244" s="3">
        <v>3</v>
      </c>
      <c r="E244" s="3" t="s">
        <v>492</v>
      </c>
      <c r="F244" s="3"/>
      <c r="G244" s="3" t="s">
        <v>500</v>
      </c>
      <c r="H244" s="3">
        <v>0</v>
      </c>
      <c r="I244" s="3">
        <v>0.5559042748852957</v>
      </c>
      <c r="J244" s="3">
        <v>0.5559042748852957</v>
      </c>
      <c r="K244" s="3">
        <v>0.5559042748852957</v>
      </c>
      <c r="L244" s="3">
        <v>0.5559042748852957</v>
      </c>
      <c r="M244" s="3">
        <v>0.5559042748852957</v>
      </c>
      <c r="N244" s="3">
        <v>0.5559042748852957</v>
      </c>
      <c r="O244" s="3">
        <v>0.5559042748852957</v>
      </c>
      <c r="P244" s="3">
        <v>0.5559042748852957</v>
      </c>
      <c r="Q244" s="3">
        <v>0.5559042748852957</v>
      </c>
      <c r="R244" s="3">
        <v>0.5559042748852957</v>
      </c>
      <c r="S244" s="3">
        <v>0.5559042748852957</v>
      </c>
      <c r="T244" s="3">
        <v>0.5559042748852957</v>
      </c>
      <c r="U244" s="3">
        <v>0.5559042748852957</v>
      </c>
      <c r="V244" s="3">
        <v>0.5559042748852957</v>
      </c>
      <c r="W244" s="3">
        <v>0.5559042748852957</v>
      </c>
      <c r="X244" s="3">
        <v>0.5559042748852957</v>
      </c>
      <c r="Y244" s="3">
        <v>0.5559042748852957</v>
      </c>
      <c r="Z244" s="3">
        <v>0.5559042748852957</v>
      </c>
      <c r="AA244" s="3">
        <v>0.5559042748852957</v>
      </c>
      <c r="AB244" s="3">
        <v>0.5559042748852957</v>
      </c>
      <c r="AC244" s="3">
        <v>0.5559042748852957</v>
      </c>
      <c r="AD244" s="3">
        <v>0.5559042748852957</v>
      </c>
      <c r="AE244" s="3">
        <v>0.5559042748852957</v>
      </c>
      <c r="AF244" s="3">
        <v>0.5559042748852957</v>
      </c>
      <c r="AG244" s="3">
        <v>0.5559042748852957</v>
      </c>
      <c r="AH244" s="3">
        <v>0.5559042748852957</v>
      </c>
      <c r="AI244" s="3">
        <v>0.5559042748852957</v>
      </c>
      <c r="AJ244" s="3">
        <v>0.5559042748852957</v>
      </c>
      <c r="AK244" s="3">
        <v>0.5559042748852957</v>
      </c>
      <c r="AL244" s="3">
        <v>0.5559042748852957</v>
      </c>
      <c r="AM244" s="3">
        <v>0.5559042748852957</v>
      </c>
      <c r="AN244" s="3">
        <v>0.5559042748852957</v>
      </c>
      <c r="AO244" s="3">
        <v>0.5559042748852957</v>
      </c>
      <c r="AP244" s="3">
        <v>0.5559042748852957</v>
      </c>
      <c r="AQ244" s="3">
        <v>0.5559042748852957</v>
      </c>
      <c r="AR244" s="3">
        <v>0.5559042748852957</v>
      </c>
      <c r="AS244" s="3">
        <v>0.5559042748852957</v>
      </c>
      <c r="AT244" s="3">
        <v>0.5559042748852957</v>
      </c>
      <c r="AU244" s="3">
        <v>0.5559042748852957</v>
      </c>
      <c r="AV244" s="3">
        <v>0.5559042748852957</v>
      </c>
      <c r="AW244" s="3">
        <v>0.5559042748852957</v>
      </c>
      <c r="AX244" s="3">
        <v>0.5559042748852957</v>
      </c>
      <c r="AY244" s="3">
        <v>0.5559042748852957</v>
      </c>
      <c r="AZ244" s="3">
        <v>0.5559042748852957</v>
      </c>
      <c r="BA244" s="3">
        <v>0.5559042748852957</v>
      </c>
      <c r="BB244" s="3">
        <v>0.5559042748852957</v>
      </c>
      <c r="BC244" s="3">
        <v>0.5559042748852957</v>
      </c>
      <c r="BD244" s="3">
        <v>0.5559042748852957</v>
      </c>
      <c r="BE244" s="3">
        <v>0.5559042748852957</v>
      </c>
      <c r="BF244" s="3">
        <v>0.5559042748852957</v>
      </c>
      <c r="BG244" s="3">
        <v>0.5559042748852957</v>
      </c>
      <c r="BH244" s="3">
        <v>0.5559042748852957</v>
      </c>
      <c r="BI244" s="3">
        <v>0.5559042748852957</v>
      </c>
      <c r="BJ244" s="3">
        <v>0.5559042748852957</v>
      </c>
      <c r="BK244" s="3">
        <v>0.5559042748852957</v>
      </c>
      <c r="BL244" s="3">
        <v>0.5559042748852957</v>
      </c>
      <c r="BM244" s="3">
        <v>0.5559042748852957</v>
      </c>
      <c r="BN244" s="3">
        <v>0.5559042748852957</v>
      </c>
      <c r="BO244" s="3">
        <v>0.5559042748852957</v>
      </c>
      <c r="BP244" s="3">
        <v>0.5559042748852957</v>
      </c>
      <c r="BQ244" s="3">
        <v>0.5559042748852957</v>
      </c>
    </row>
    <row r="245" spans="1:69" hidden="1" x14ac:dyDescent="0.25">
      <c r="A245" s="20">
        <v>25</v>
      </c>
      <c r="B245" s="20" t="s">
        <v>58</v>
      </c>
      <c r="C245" s="3" t="s">
        <v>59</v>
      </c>
      <c r="D245" s="3">
        <v>4</v>
      </c>
      <c r="E245" s="3" t="s">
        <v>493</v>
      </c>
      <c r="F245" s="3"/>
      <c r="G245" s="3" t="s">
        <v>500</v>
      </c>
      <c r="H245" s="3">
        <v>0</v>
      </c>
      <c r="I245" s="51">
        <v>1.075</v>
      </c>
      <c r="J245" s="51">
        <v>1.075</v>
      </c>
      <c r="K245" s="51">
        <v>1.075</v>
      </c>
      <c r="L245" s="51">
        <v>1.075</v>
      </c>
      <c r="M245" s="51">
        <v>1.075</v>
      </c>
      <c r="N245" s="51">
        <v>1.075</v>
      </c>
      <c r="O245" s="51">
        <v>1.075</v>
      </c>
      <c r="P245" s="51">
        <v>1.075</v>
      </c>
      <c r="Q245" s="51">
        <v>1.075</v>
      </c>
      <c r="R245" s="3">
        <v>1.075</v>
      </c>
      <c r="S245" s="3">
        <v>1.075</v>
      </c>
      <c r="T245" s="3">
        <v>1.075</v>
      </c>
      <c r="U245" s="3">
        <v>1.075</v>
      </c>
      <c r="V245" s="3">
        <v>1.075</v>
      </c>
      <c r="W245" s="3">
        <v>1.075</v>
      </c>
      <c r="X245" s="3">
        <v>1.075</v>
      </c>
      <c r="Y245" s="3">
        <v>1.075</v>
      </c>
      <c r="Z245" s="3">
        <v>1.075</v>
      </c>
      <c r="AA245" s="3">
        <v>1.075</v>
      </c>
      <c r="AB245" s="3">
        <v>1.075</v>
      </c>
      <c r="AC245" s="3">
        <v>1.075</v>
      </c>
      <c r="AD245" s="3">
        <v>1.075</v>
      </c>
      <c r="AE245" s="3">
        <v>1.075</v>
      </c>
      <c r="AF245" s="3">
        <v>1.075</v>
      </c>
      <c r="AG245" s="3">
        <v>1.075</v>
      </c>
      <c r="AH245" s="3">
        <v>1.075</v>
      </c>
      <c r="AI245" s="3">
        <v>1.075</v>
      </c>
      <c r="AJ245" s="3">
        <v>1.075</v>
      </c>
      <c r="AK245" s="3">
        <v>1.075</v>
      </c>
      <c r="AL245" s="3">
        <v>1.075</v>
      </c>
      <c r="AM245" s="3">
        <v>1.075</v>
      </c>
      <c r="AN245" s="3">
        <v>1.075</v>
      </c>
      <c r="AO245" s="3">
        <v>1.075</v>
      </c>
      <c r="AP245" s="3">
        <v>1.075</v>
      </c>
      <c r="AQ245" s="3">
        <v>1.075</v>
      </c>
      <c r="AR245" s="3">
        <v>1.075</v>
      </c>
      <c r="AS245" s="3">
        <v>1.075</v>
      </c>
      <c r="AT245" s="3">
        <v>1.075</v>
      </c>
      <c r="AU245" s="3">
        <v>1.075</v>
      </c>
      <c r="AV245" s="3">
        <v>1.075</v>
      </c>
      <c r="AW245" s="3">
        <v>1.075</v>
      </c>
      <c r="AX245" s="3">
        <v>1.075</v>
      </c>
      <c r="AY245" s="3">
        <v>1.075</v>
      </c>
      <c r="AZ245" s="3">
        <v>1.075</v>
      </c>
      <c r="BA245" s="3">
        <v>1.075</v>
      </c>
      <c r="BB245" s="3">
        <v>1.075</v>
      </c>
      <c r="BC245" s="3">
        <v>1.075</v>
      </c>
      <c r="BD245" s="3">
        <v>1.075</v>
      </c>
      <c r="BE245" s="3">
        <v>1.075</v>
      </c>
      <c r="BF245" s="3">
        <v>1.075</v>
      </c>
      <c r="BG245" s="3">
        <v>1.075</v>
      </c>
      <c r="BH245" s="3">
        <v>1.075</v>
      </c>
      <c r="BI245" s="3">
        <v>1.075</v>
      </c>
      <c r="BJ245" s="3">
        <v>1.075</v>
      </c>
      <c r="BK245" s="3">
        <v>1.075</v>
      </c>
      <c r="BL245" s="3">
        <v>1.075</v>
      </c>
      <c r="BM245" s="3">
        <v>1.075</v>
      </c>
      <c r="BN245" s="3">
        <v>1.075</v>
      </c>
      <c r="BO245" s="3">
        <v>1.075</v>
      </c>
      <c r="BP245" s="3">
        <v>1.075</v>
      </c>
      <c r="BQ245" s="3">
        <v>1.075</v>
      </c>
    </row>
    <row r="246" spans="1:69" hidden="1" x14ac:dyDescent="0.25">
      <c r="A246" s="20">
        <v>25</v>
      </c>
      <c r="B246" s="20" t="s">
        <v>58</v>
      </c>
      <c r="C246" s="3" t="s">
        <v>59</v>
      </c>
      <c r="D246" s="3">
        <v>5</v>
      </c>
      <c r="E246" s="3" t="s">
        <v>494</v>
      </c>
      <c r="F246" s="3"/>
      <c r="G246" s="3" t="s">
        <v>500</v>
      </c>
      <c r="H246" s="3">
        <v>0</v>
      </c>
      <c r="I246" s="51">
        <v>1.075</v>
      </c>
      <c r="J246" s="51">
        <v>1.075</v>
      </c>
      <c r="K246" s="51">
        <v>1.075</v>
      </c>
      <c r="L246" s="51">
        <v>1.075</v>
      </c>
      <c r="M246" s="51">
        <v>1.075</v>
      </c>
      <c r="N246" s="51">
        <v>1.075</v>
      </c>
      <c r="O246" s="51">
        <v>1.075</v>
      </c>
      <c r="P246" s="51">
        <v>1.075</v>
      </c>
      <c r="Q246" s="51">
        <v>1.075</v>
      </c>
      <c r="R246" s="3">
        <v>1.075</v>
      </c>
      <c r="S246" s="3">
        <v>1.075</v>
      </c>
      <c r="T246" s="3">
        <v>1.075</v>
      </c>
      <c r="U246" s="3">
        <v>99999</v>
      </c>
      <c r="V246" s="3">
        <v>99999</v>
      </c>
      <c r="W246" s="3">
        <v>99999</v>
      </c>
      <c r="X246" s="3">
        <v>99999</v>
      </c>
      <c r="Y246" s="3">
        <v>99999</v>
      </c>
      <c r="Z246" s="3">
        <v>99999</v>
      </c>
      <c r="AA246" s="3">
        <v>99999</v>
      </c>
      <c r="AB246" s="3">
        <v>99999</v>
      </c>
      <c r="AC246" s="3">
        <v>99999</v>
      </c>
      <c r="AD246" s="3">
        <v>99999</v>
      </c>
      <c r="AE246" s="3">
        <v>99999</v>
      </c>
      <c r="AF246" s="3">
        <v>99999</v>
      </c>
      <c r="AG246" s="3">
        <v>99999</v>
      </c>
      <c r="AH246" s="3">
        <v>99999</v>
      </c>
      <c r="AI246" s="3">
        <v>99999</v>
      </c>
      <c r="AJ246" s="3">
        <v>99999</v>
      </c>
      <c r="AK246" s="3">
        <v>99999</v>
      </c>
      <c r="AL246" s="3">
        <v>99999</v>
      </c>
      <c r="AM246" s="3">
        <v>99999</v>
      </c>
      <c r="AN246" s="3">
        <v>99999</v>
      </c>
      <c r="AO246" s="3">
        <v>99999</v>
      </c>
      <c r="AP246" s="3">
        <v>99999</v>
      </c>
      <c r="AQ246" s="3">
        <v>99999</v>
      </c>
      <c r="AR246" s="3">
        <v>99999</v>
      </c>
      <c r="AS246" s="3">
        <v>99999</v>
      </c>
      <c r="AT246" s="3">
        <v>99999</v>
      </c>
      <c r="AU246" s="3">
        <v>99999</v>
      </c>
      <c r="AV246" s="3">
        <v>99999</v>
      </c>
      <c r="AW246" s="3">
        <v>99999</v>
      </c>
      <c r="AX246" s="3">
        <v>99999</v>
      </c>
      <c r="AY246" s="3">
        <v>99999</v>
      </c>
      <c r="AZ246" s="3">
        <v>99999</v>
      </c>
      <c r="BA246" s="3">
        <v>99999</v>
      </c>
      <c r="BB246" s="3">
        <v>99999</v>
      </c>
      <c r="BC246" s="3">
        <v>99999</v>
      </c>
      <c r="BD246" s="3">
        <v>99999</v>
      </c>
      <c r="BE246" s="3">
        <v>99999</v>
      </c>
      <c r="BF246" s="3">
        <v>99999</v>
      </c>
      <c r="BG246" s="3">
        <v>99999</v>
      </c>
      <c r="BH246" s="3">
        <v>99999</v>
      </c>
      <c r="BI246" s="3">
        <v>99999</v>
      </c>
      <c r="BJ246" s="3">
        <v>99999</v>
      </c>
      <c r="BK246" s="3">
        <v>99999</v>
      </c>
      <c r="BL246" s="3">
        <v>99999</v>
      </c>
      <c r="BM246" s="3">
        <v>99999</v>
      </c>
      <c r="BN246" s="3">
        <v>99999</v>
      </c>
      <c r="BO246" s="3">
        <v>99999</v>
      </c>
      <c r="BP246" s="3">
        <v>99999</v>
      </c>
      <c r="BQ246" s="3">
        <v>99999</v>
      </c>
    </row>
    <row r="247" spans="1:69" hidden="1" x14ac:dyDescent="0.25">
      <c r="A247" s="20">
        <v>25</v>
      </c>
      <c r="B247" s="20" t="s">
        <v>58</v>
      </c>
      <c r="C247" s="3" t="s">
        <v>59</v>
      </c>
      <c r="D247" s="3">
        <v>6</v>
      </c>
      <c r="E247" s="3" t="s">
        <v>495</v>
      </c>
      <c r="F247" s="3"/>
      <c r="G247" s="3" t="s">
        <v>490</v>
      </c>
      <c r="H247" s="3">
        <v>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hidden="1" x14ac:dyDescent="0.25">
      <c r="A248" s="20">
        <v>25</v>
      </c>
      <c r="B248" s="20" t="s">
        <v>58</v>
      </c>
      <c r="C248" s="3" t="s">
        <v>59</v>
      </c>
      <c r="D248" s="3">
        <v>7</v>
      </c>
      <c r="E248" s="3" t="s">
        <v>496</v>
      </c>
      <c r="F248" s="3"/>
      <c r="G248" s="21" t="s">
        <v>500</v>
      </c>
      <c r="H248" s="22">
        <v>0</v>
      </c>
      <c r="I248" s="3">
        <v>6.5717354222270172</v>
      </c>
      <c r="J248" s="3">
        <v>8.4718770791631979</v>
      </c>
      <c r="K248" s="3">
        <v>9.3127487375190192</v>
      </c>
      <c r="L248" s="3">
        <v>8.4003459154659605</v>
      </c>
      <c r="M248" s="3">
        <v>8.7191922727972635</v>
      </c>
      <c r="N248" s="3">
        <v>9.9656608487129485</v>
      </c>
      <c r="O248" s="3">
        <v>12.049196233851621</v>
      </c>
      <c r="P248" s="3">
        <v>15.287122845891449</v>
      </c>
      <c r="Q248" s="3">
        <v>17.466100000000001</v>
      </c>
      <c r="R248" s="3">
        <v>19.9786</v>
      </c>
      <c r="S248" s="3">
        <v>18.5183</v>
      </c>
      <c r="T248" s="3">
        <v>19.544899999999998</v>
      </c>
      <c r="U248" s="3">
        <v>15</v>
      </c>
      <c r="V248" s="3">
        <v>15</v>
      </c>
      <c r="W248" s="3">
        <v>15</v>
      </c>
      <c r="X248" s="3">
        <v>15</v>
      </c>
      <c r="Y248" s="3">
        <v>15</v>
      </c>
      <c r="Z248" s="3">
        <v>15</v>
      </c>
      <c r="AA248" s="3">
        <v>15</v>
      </c>
      <c r="AB248" s="3">
        <v>15</v>
      </c>
      <c r="AC248" s="3">
        <v>15</v>
      </c>
      <c r="AD248" s="3">
        <v>15</v>
      </c>
      <c r="AE248" s="3">
        <v>15</v>
      </c>
      <c r="AF248" s="3">
        <v>15</v>
      </c>
      <c r="AG248" s="3">
        <v>15</v>
      </c>
      <c r="AH248" s="3">
        <v>15</v>
      </c>
      <c r="AI248" s="3">
        <v>15</v>
      </c>
      <c r="AJ248" s="3">
        <v>15</v>
      </c>
      <c r="AK248" s="3">
        <v>15</v>
      </c>
      <c r="AL248" s="3">
        <v>15</v>
      </c>
      <c r="AM248" s="3">
        <v>15</v>
      </c>
      <c r="AN248" s="3">
        <v>15</v>
      </c>
      <c r="AO248" s="3">
        <v>15</v>
      </c>
      <c r="AP248" s="3">
        <v>15</v>
      </c>
      <c r="AQ248" s="3">
        <v>15</v>
      </c>
      <c r="AR248" s="3">
        <v>15</v>
      </c>
      <c r="AS248" s="3">
        <v>15</v>
      </c>
      <c r="AT248" s="3">
        <v>15</v>
      </c>
      <c r="AU248" s="3">
        <v>15</v>
      </c>
      <c r="AV248" s="3">
        <v>15</v>
      </c>
      <c r="AW248" s="3">
        <v>15</v>
      </c>
      <c r="AX248" s="3">
        <v>15</v>
      </c>
      <c r="AY248" s="3">
        <v>15</v>
      </c>
      <c r="AZ248" s="3">
        <v>15</v>
      </c>
      <c r="BA248" s="3">
        <v>15</v>
      </c>
      <c r="BB248" s="3">
        <v>15</v>
      </c>
      <c r="BC248" s="3">
        <v>15</v>
      </c>
      <c r="BD248" s="3">
        <v>15</v>
      </c>
      <c r="BE248" s="3">
        <v>15</v>
      </c>
      <c r="BF248" s="3">
        <v>15</v>
      </c>
      <c r="BG248" s="3">
        <v>15</v>
      </c>
      <c r="BH248" s="3">
        <v>15</v>
      </c>
      <c r="BI248" s="3">
        <v>15</v>
      </c>
      <c r="BJ248" s="3">
        <v>15</v>
      </c>
      <c r="BK248" s="3">
        <v>15</v>
      </c>
      <c r="BL248" s="3">
        <v>15</v>
      </c>
      <c r="BM248" s="3">
        <v>15</v>
      </c>
      <c r="BN248" s="3">
        <v>15</v>
      </c>
      <c r="BO248" s="3">
        <v>15</v>
      </c>
      <c r="BP248" s="3">
        <v>15</v>
      </c>
      <c r="BQ248" s="3">
        <v>15</v>
      </c>
    </row>
    <row r="249" spans="1:69" hidden="1" x14ac:dyDescent="0.25">
      <c r="A249" s="20">
        <v>25</v>
      </c>
      <c r="B249" s="20" t="s">
        <v>58</v>
      </c>
      <c r="C249" s="3" t="s">
        <v>59</v>
      </c>
      <c r="D249" s="3">
        <v>8</v>
      </c>
      <c r="E249" s="3" t="s">
        <v>497</v>
      </c>
      <c r="F249" s="3"/>
      <c r="G249" s="3" t="s">
        <v>500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0.59560000000000002</v>
      </c>
      <c r="AD249" s="3">
        <v>0</v>
      </c>
      <c r="AE249" s="3">
        <v>2.4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</row>
    <row r="250" spans="1:69" hidden="1" x14ac:dyDescent="0.25">
      <c r="A250" s="20">
        <v>25</v>
      </c>
      <c r="B250" s="20" t="s">
        <v>58</v>
      </c>
      <c r="C250" s="3" t="s">
        <v>59</v>
      </c>
      <c r="D250" s="3">
        <v>9</v>
      </c>
      <c r="E250" s="3" t="s">
        <v>498</v>
      </c>
      <c r="F250" s="3"/>
      <c r="G250" s="3" t="s">
        <v>500</v>
      </c>
      <c r="H250" s="3">
        <v>0</v>
      </c>
      <c r="I250" s="3">
        <v>0.47110000000000002</v>
      </c>
      <c r="J250" s="3">
        <v>0.60950000000000004</v>
      </c>
      <c r="K250" s="3">
        <v>0.6613</v>
      </c>
      <c r="L250" s="3">
        <v>0.59630000000000005</v>
      </c>
      <c r="M250" s="3">
        <v>0.62350000000000005</v>
      </c>
      <c r="N250" s="3">
        <v>0.66539999999999999</v>
      </c>
      <c r="O250" s="3">
        <v>0.43569999999999998</v>
      </c>
      <c r="P250" s="3">
        <v>0.54420000000000002</v>
      </c>
      <c r="Q250" s="3">
        <v>0.54779999999999995</v>
      </c>
      <c r="R250" s="3">
        <v>0.62660000000000005</v>
      </c>
      <c r="S250" s="3">
        <v>0.58079999999999998</v>
      </c>
      <c r="T250" s="3">
        <v>0.61299999999999999</v>
      </c>
      <c r="U250" s="3">
        <v>0.58079999999999998</v>
      </c>
      <c r="V250" s="3">
        <v>0.58079999999999998</v>
      </c>
      <c r="W250" s="3">
        <v>0.58079999999999998</v>
      </c>
      <c r="X250" s="3">
        <v>0.58079999999999998</v>
      </c>
      <c r="Y250" s="3">
        <v>0.58079999999999998</v>
      </c>
      <c r="Z250" s="3">
        <v>0.58079999999999998</v>
      </c>
      <c r="AA250" s="3">
        <v>0.58079999999999998</v>
      </c>
      <c r="AB250" s="3">
        <v>0.58079999999999998</v>
      </c>
      <c r="AC250" s="3">
        <v>0.58079999999999998</v>
      </c>
      <c r="AD250" s="3">
        <v>0.58079999999999998</v>
      </c>
      <c r="AE250" s="3">
        <v>0.58079999999999998</v>
      </c>
      <c r="AF250" s="3">
        <v>0.58079999999999998</v>
      </c>
      <c r="AG250" s="3">
        <v>0.58079999999999998</v>
      </c>
      <c r="AH250" s="3">
        <v>0.58079999999999998</v>
      </c>
      <c r="AI250" s="3">
        <v>0.58079999999999998</v>
      </c>
      <c r="AJ250" s="3">
        <v>0.58079999999999998</v>
      </c>
      <c r="AK250" s="3">
        <v>0.58079999999999998</v>
      </c>
      <c r="AL250" s="3">
        <v>0.58079999999999998</v>
      </c>
      <c r="AM250" s="3">
        <v>0.58079999999999998</v>
      </c>
      <c r="AN250" s="3">
        <v>0.58079999999999998</v>
      </c>
      <c r="AO250" s="3">
        <v>0.58079999999999998</v>
      </c>
      <c r="AP250" s="3">
        <v>0.58079999999999998</v>
      </c>
      <c r="AQ250" s="3">
        <v>0.58079999999999998</v>
      </c>
      <c r="AR250" s="3">
        <v>0.58079999999999998</v>
      </c>
      <c r="AS250" s="3">
        <v>0.58079999999999998</v>
      </c>
      <c r="AT250" s="3">
        <v>0.58079999999999998</v>
      </c>
      <c r="AU250" s="3">
        <v>0.58079999999999998</v>
      </c>
      <c r="AV250" s="3">
        <v>0.58079999999999998</v>
      </c>
      <c r="AW250" s="3">
        <v>0.58079999999999998</v>
      </c>
      <c r="AX250" s="3">
        <v>0.58079999999999998</v>
      </c>
      <c r="AY250" s="3">
        <v>0.58079999999999998</v>
      </c>
      <c r="AZ250" s="3">
        <v>0.58079999999999998</v>
      </c>
      <c r="BA250" s="3">
        <v>0.58079999999999998</v>
      </c>
      <c r="BB250" s="3">
        <v>0.58079999999999998</v>
      </c>
      <c r="BC250" s="3">
        <v>0.58079999999999998</v>
      </c>
      <c r="BD250" s="3">
        <v>0.58079999999999998</v>
      </c>
      <c r="BE250" s="3">
        <v>0.58079999999999998</v>
      </c>
      <c r="BF250" s="3">
        <v>0.58079999999999998</v>
      </c>
      <c r="BG250" s="3">
        <v>0.58079999999999998</v>
      </c>
      <c r="BH250" s="3">
        <v>0.58079999999999998</v>
      </c>
      <c r="BI250" s="3">
        <v>0.58079999999999998</v>
      </c>
      <c r="BJ250" s="3">
        <v>0.58079999999999998</v>
      </c>
      <c r="BK250" s="3">
        <v>0.58079999999999998</v>
      </c>
      <c r="BL250" s="3">
        <v>0.58079999999999998</v>
      </c>
      <c r="BM250" s="3">
        <v>0.58079999999999998</v>
      </c>
      <c r="BN250" s="3">
        <v>0.58079999999999998</v>
      </c>
      <c r="BO250" s="3">
        <v>0.58079999999999998</v>
      </c>
      <c r="BP250" s="3">
        <v>0.58079999999999998</v>
      </c>
      <c r="BQ250" s="3">
        <v>0.58079999999999998</v>
      </c>
    </row>
    <row r="251" spans="1:69" hidden="1" x14ac:dyDescent="0.25">
      <c r="A251" s="20">
        <v>25</v>
      </c>
      <c r="B251" s="20" t="s">
        <v>58</v>
      </c>
      <c r="C251" s="3" t="s">
        <v>59</v>
      </c>
      <c r="D251" s="3">
        <v>10</v>
      </c>
      <c r="E251" s="3" t="s">
        <v>499</v>
      </c>
      <c r="F251" s="3"/>
      <c r="G251" s="3" t="s">
        <v>501</v>
      </c>
      <c r="H251" s="3">
        <v>0</v>
      </c>
      <c r="I251" s="3">
        <v>0.95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s="17" customFormat="1" hidden="1" x14ac:dyDescent="0.25">
      <c r="A252" s="23">
        <v>26</v>
      </c>
      <c r="B252" s="23" t="s">
        <v>60</v>
      </c>
      <c r="C252" s="24" t="s">
        <v>61</v>
      </c>
      <c r="D252" s="24">
        <v>1</v>
      </c>
      <c r="E252" s="24" t="s">
        <v>489</v>
      </c>
      <c r="F252" s="24"/>
      <c r="G252" s="24" t="s">
        <v>500</v>
      </c>
      <c r="H252" s="24">
        <v>0</v>
      </c>
      <c r="I252" s="24">
        <v>3080.5955555555552</v>
      </c>
      <c r="J252" s="24">
        <v>3080.5955555555552</v>
      </c>
      <c r="K252" s="24">
        <v>3080.5955555555552</v>
      </c>
      <c r="L252" s="24">
        <v>3080.5955555555552</v>
      </c>
      <c r="M252" s="24">
        <v>3080.5955555555552</v>
      </c>
      <c r="N252" s="24">
        <v>3080.5955555555552</v>
      </c>
      <c r="O252" s="24">
        <v>3080.5955555555552</v>
      </c>
      <c r="P252" s="24">
        <v>3080.5955555555552</v>
      </c>
      <c r="Q252" s="24">
        <v>3080.5955555555552</v>
      </c>
      <c r="R252" s="24">
        <v>3080.5955555555552</v>
      </c>
      <c r="S252" s="24">
        <v>3080.5955555555552</v>
      </c>
      <c r="T252" s="24">
        <v>3080.5955555555552</v>
      </c>
      <c r="U252" s="24">
        <v>3080.5955555555552</v>
      </c>
      <c r="V252" s="24">
        <v>3080.5955555555552</v>
      </c>
      <c r="W252" s="24">
        <v>3080.5955555555552</v>
      </c>
      <c r="X252" s="24">
        <v>3080.5955555555552</v>
      </c>
      <c r="Y252" s="24">
        <v>3080.5955555555552</v>
      </c>
      <c r="Z252" s="24">
        <v>3080.5955555555552</v>
      </c>
      <c r="AA252" s="24">
        <v>3080.5955555555552</v>
      </c>
      <c r="AB252" s="24">
        <v>3080.5955555555552</v>
      </c>
      <c r="AC252" s="24">
        <v>3080.5955555555552</v>
      </c>
      <c r="AD252" s="24">
        <v>3080.5955555555552</v>
      </c>
      <c r="AE252" s="24">
        <v>3080.5955555555552</v>
      </c>
      <c r="AF252" s="24">
        <v>3080.5955555555552</v>
      </c>
      <c r="AG252" s="24">
        <v>3080.5955555555552</v>
      </c>
      <c r="AH252" s="24">
        <v>3080.5955555555552</v>
      </c>
      <c r="AI252" s="24">
        <v>3080.5955555555552</v>
      </c>
      <c r="AJ252" s="24">
        <v>3080.5955555555552</v>
      </c>
      <c r="AK252" s="24">
        <v>3080.5955555555552</v>
      </c>
      <c r="AL252" s="24">
        <v>3080.5955555555552</v>
      </c>
      <c r="AM252" s="24">
        <v>3080.5955555555552</v>
      </c>
      <c r="AN252" s="24">
        <v>3080.5955555555552</v>
      </c>
      <c r="AO252" s="24">
        <v>3080.5955555555552</v>
      </c>
      <c r="AP252" s="24">
        <v>3080.5955555555552</v>
      </c>
      <c r="AQ252" s="24">
        <v>3080.5955555555552</v>
      </c>
      <c r="AR252" s="24">
        <v>3080.5955555555552</v>
      </c>
      <c r="AS252" s="24">
        <v>3080.5955555555552</v>
      </c>
      <c r="AT252" s="24">
        <v>3080.5955555555552</v>
      </c>
      <c r="AU252" s="24">
        <v>3080.5955555555552</v>
      </c>
      <c r="AV252" s="24">
        <v>3080.5955555555552</v>
      </c>
      <c r="AW252" s="24">
        <v>3080.5955555555552</v>
      </c>
      <c r="AX252" s="24">
        <v>3080.5955555555552</v>
      </c>
      <c r="AY252" s="24">
        <v>3080.5955555555552</v>
      </c>
      <c r="AZ252" s="24">
        <v>3080.5955555555552</v>
      </c>
      <c r="BA252" s="24">
        <v>3080.5955555555552</v>
      </c>
      <c r="BB252" s="24">
        <v>3080.5955555555552</v>
      </c>
      <c r="BC252" s="24">
        <v>3080.5955555555552</v>
      </c>
      <c r="BD252" s="24">
        <v>3080.5955555555552</v>
      </c>
      <c r="BE252" s="24">
        <v>3080.5955555555552</v>
      </c>
      <c r="BF252" s="24">
        <v>3080.5955555555552</v>
      </c>
      <c r="BG252" s="24">
        <v>3080.5955555555552</v>
      </c>
      <c r="BH252" s="24">
        <v>3080.5955555555552</v>
      </c>
      <c r="BI252" s="24">
        <v>3080.5955555555552</v>
      </c>
      <c r="BJ252" s="24">
        <v>3080.5955555555552</v>
      </c>
      <c r="BK252" s="24">
        <v>3080.5955555555552</v>
      </c>
      <c r="BL252" s="24">
        <v>3080.5955555555552</v>
      </c>
      <c r="BM252" s="24">
        <v>3080.5955555555552</v>
      </c>
      <c r="BN252" s="24">
        <v>3080.5955555555552</v>
      </c>
      <c r="BO252" s="24">
        <v>3080.5955555555552</v>
      </c>
      <c r="BP252" s="24">
        <v>3080.5955555555552</v>
      </c>
      <c r="BQ252" s="24">
        <v>3080.5955555555552</v>
      </c>
    </row>
    <row r="253" spans="1:69" s="17" customFormat="1" hidden="1" x14ac:dyDescent="0.25">
      <c r="A253" s="23">
        <v>26</v>
      </c>
      <c r="B253" s="23" t="s">
        <v>60</v>
      </c>
      <c r="C253" s="24" t="s">
        <v>61</v>
      </c>
      <c r="D253" s="24">
        <v>2</v>
      </c>
      <c r="E253" s="24" t="s">
        <v>491</v>
      </c>
      <c r="F253" s="24"/>
      <c r="G253" s="24" t="s">
        <v>500</v>
      </c>
      <c r="H253" s="24">
        <v>0</v>
      </c>
      <c r="I253" s="24">
        <v>65.94</v>
      </c>
      <c r="J253" s="24">
        <v>65.94</v>
      </c>
      <c r="K253" s="24">
        <v>65.94</v>
      </c>
      <c r="L253" s="24">
        <v>65.94</v>
      </c>
      <c r="M253" s="24">
        <v>65.94</v>
      </c>
      <c r="N253" s="24">
        <v>65.94</v>
      </c>
      <c r="O253" s="24">
        <v>65.94</v>
      </c>
      <c r="P253" s="24">
        <v>65.94</v>
      </c>
      <c r="Q253" s="24">
        <v>65.94</v>
      </c>
      <c r="R253" s="24">
        <v>65.94</v>
      </c>
      <c r="S253" s="24">
        <v>65.94</v>
      </c>
      <c r="T253" s="24">
        <v>65.94</v>
      </c>
      <c r="U253" s="24">
        <v>65.94</v>
      </c>
      <c r="V253" s="24">
        <v>65.94</v>
      </c>
      <c r="W253" s="24">
        <v>65.94</v>
      </c>
      <c r="X253" s="24">
        <v>65.94</v>
      </c>
      <c r="Y253" s="24">
        <v>65.94</v>
      </c>
      <c r="Z253" s="24">
        <v>65.94</v>
      </c>
      <c r="AA253" s="24">
        <v>65.94</v>
      </c>
      <c r="AB253" s="24">
        <v>65.94</v>
      </c>
      <c r="AC253" s="24">
        <v>65.94</v>
      </c>
      <c r="AD253" s="24">
        <v>65.94</v>
      </c>
      <c r="AE253" s="24">
        <v>65.94</v>
      </c>
      <c r="AF253" s="24">
        <v>65.94</v>
      </c>
      <c r="AG253" s="24">
        <v>65.94</v>
      </c>
      <c r="AH253" s="24">
        <v>65.94</v>
      </c>
      <c r="AI253" s="24">
        <v>65.94</v>
      </c>
      <c r="AJ253" s="24">
        <v>65.94</v>
      </c>
      <c r="AK253" s="24">
        <v>65.94</v>
      </c>
      <c r="AL253" s="24">
        <v>65.94</v>
      </c>
      <c r="AM253" s="24">
        <v>65.94</v>
      </c>
      <c r="AN253" s="24">
        <v>65.94</v>
      </c>
      <c r="AO253" s="24">
        <v>65.94</v>
      </c>
      <c r="AP253" s="24">
        <v>65.94</v>
      </c>
      <c r="AQ253" s="24">
        <v>65.94</v>
      </c>
      <c r="AR253" s="24">
        <v>65.94</v>
      </c>
      <c r="AS253" s="24">
        <v>65.94</v>
      </c>
      <c r="AT253" s="24">
        <v>65.94</v>
      </c>
      <c r="AU253" s="24">
        <v>65.94</v>
      </c>
      <c r="AV253" s="24">
        <v>65.94</v>
      </c>
      <c r="AW253" s="24">
        <v>65.94</v>
      </c>
      <c r="AX253" s="24">
        <v>65.94</v>
      </c>
      <c r="AY253" s="24">
        <v>65.94</v>
      </c>
      <c r="AZ253" s="24">
        <v>65.94</v>
      </c>
      <c r="BA253" s="24">
        <v>65.94</v>
      </c>
      <c r="BB253" s="24">
        <v>65.94</v>
      </c>
      <c r="BC253" s="24">
        <v>65.94</v>
      </c>
      <c r="BD253" s="24">
        <v>65.94</v>
      </c>
      <c r="BE253" s="24">
        <v>65.94</v>
      </c>
      <c r="BF253" s="24">
        <v>65.94</v>
      </c>
      <c r="BG253" s="24">
        <v>65.94</v>
      </c>
      <c r="BH253" s="24">
        <v>65.94</v>
      </c>
      <c r="BI253" s="24">
        <v>65.94</v>
      </c>
      <c r="BJ253" s="24">
        <v>65.94</v>
      </c>
      <c r="BK253" s="24">
        <v>65.94</v>
      </c>
      <c r="BL253" s="24">
        <v>65.94</v>
      </c>
      <c r="BM253" s="24">
        <v>65.94</v>
      </c>
      <c r="BN253" s="24">
        <v>65.94</v>
      </c>
      <c r="BO253" s="24">
        <v>65.94</v>
      </c>
      <c r="BP253" s="24">
        <v>65.94</v>
      </c>
      <c r="BQ253" s="24">
        <v>65.94</v>
      </c>
    </row>
    <row r="254" spans="1:69" s="17" customFormat="1" hidden="1" x14ac:dyDescent="0.25">
      <c r="A254" s="23">
        <v>26</v>
      </c>
      <c r="B254" s="23" t="s">
        <v>60</v>
      </c>
      <c r="C254" s="24" t="s">
        <v>61</v>
      </c>
      <c r="D254" s="24">
        <v>3</v>
      </c>
      <c r="E254" s="24" t="s">
        <v>492</v>
      </c>
      <c r="F254" s="24"/>
      <c r="G254" s="24" t="s">
        <v>500</v>
      </c>
      <c r="H254" s="24">
        <v>0</v>
      </c>
      <c r="I254" s="24">
        <v>0.5559042748852957</v>
      </c>
      <c r="J254" s="24">
        <v>0.5559042748852957</v>
      </c>
      <c r="K254" s="24">
        <v>0.5559042748852957</v>
      </c>
      <c r="L254" s="24">
        <v>0.5559042748852957</v>
      </c>
      <c r="M254" s="24">
        <v>0.5559042748852957</v>
      </c>
      <c r="N254" s="24">
        <v>0.5559042748852957</v>
      </c>
      <c r="O254" s="24">
        <v>0.5559042748852957</v>
      </c>
      <c r="P254" s="24">
        <v>0.5559042748852957</v>
      </c>
      <c r="Q254" s="24">
        <v>0.5559042748852957</v>
      </c>
      <c r="R254" s="24">
        <v>0.5559042748852957</v>
      </c>
      <c r="S254" s="24">
        <v>0.5559042748852957</v>
      </c>
      <c r="T254" s="24">
        <v>0.5559042748852957</v>
      </c>
      <c r="U254" s="24">
        <v>0.5559042748852957</v>
      </c>
      <c r="V254" s="24">
        <v>0.5559042748852957</v>
      </c>
      <c r="W254" s="24">
        <v>0.5559042748852957</v>
      </c>
      <c r="X254" s="24">
        <v>0.5559042748852957</v>
      </c>
      <c r="Y254" s="24">
        <v>0.5559042748852957</v>
      </c>
      <c r="Z254" s="24">
        <v>0.5559042748852957</v>
      </c>
      <c r="AA254" s="24">
        <v>0.5559042748852957</v>
      </c>
      <c r="AB254" s="24">
        <v>0.5559042748852957</v>
      </c>
      <c r="AC254" s="24">
        <v>0.5559042748852957</v>
      </c>
      <c r="AD254" s="24">
        <v>0.5559042748852957</v>
      </c>
      <c r="AE254" s="24">
        <v>0.5559042748852957</v>
      </c>
      <c r="AF254" s="24">
        <v>0.5559042748852957</v>
      </c>
      <c r="AG254" s="24">
        <v>0.5559042748852957</v>
      </c>
      <c r="AH254" s="24">
        <v>0.5559042748852957</v>
      </c>
      <c r="AI254" s="24">
        <v>0.5559042748852957</v>
      </c>
      <c r="AJ254" s="24">
        <v>0.5559042748852957</v>
      </c>
      <c r="AK254" s="24">
        <v>0.5559042748852957</v>
      </c>
      <c r="AL254" s="24">
        <v>0.5559042748852957</v>
      </c>
      <c r="AM254" s="24">
        <v>0.5559042748852957</v>
      </c>
      <c r="AN254" s="24">
        <v>0.5559042748852957</v>
      </c>
      <c r="AO254" s="24">
        <v>0.5559042748852957</v>
      </c>
      <c r="AP254" s="24">
        <v>0.5559042748852957</v>
      </c>
      <c r="AQ254" s="24">
        <v>0.5559042748852957</v>
      </c>
      <c r="AR254" s="24">
        <v>0.5559042748852957</v>
      </c>
      <c r="AS254" s="24">
        <v>0.5559042748852957</v>
      </c>
      <c r="AT254" s="24">
        <v>0.5559042748852957</v>
      </c>
      <c r="AU254" s="24">
        <v>0.5559042748852957</v>
      </c>
      <c r="AV254" s="24">
        <v>0.5559042748852957</v>
      </c>
      <c r="AW254" s="24">
        <v>0.5559042748852957</v>
      </c>
      <c r="AX254" s="24">
        <v>0.5559042748852957</v>
      </c>
      <c r="AY254" s="24">
        <v>0.5559042748852957</v>
      </c>
      <c r="AZ254" s="24">
        <v>0.5559042748852957</v>
      </c>
      <c r="BA254" s="24">
        <v>0.5559042748852957</v>
      </c>
      <c r="BB254" s="24">
        <v>0.5559042748852957</v>
      </c>
      <c r="BC254" s="24">
        <v>0.5559042748852957</v>
      </c>
      <c r="BD254" s="24">
        <v>0.5559042748852957</v>
      </c>
      <c r="BE254" s="24">
        <v>0.5559042748852957</v>
      </c>
      <c r="BF254" s="24">
        <v>0.5559042748852957</v>
      </c>
      <c r="BG254" s="24">
        <v>0.5559042748852957</v>
      </c>
      <c r="BH254" s="24">
        <v>0.5559042748852957</v>
      </c>
      <c r="BI254" s="24">
        <v>0.5559042748852957</v>
      </c>
      <c r="BJ254" s="24">
        <v>0.5559042748852957</v>
      </c>
      <c r="BK254" s="24">
        <v>0.5559042748852957</v>
      </c>
      <c r="BL254" s="24">
        <v>0.5559042748852957</v>
      </c>
      <c r="BM254" s="24">
        <v>0.5559042748852957</v>
      </c>
      <c r="BN254" s="24">
        <v>0.5559042748852957</v>
      </c>
      <c r="BO254" s="24">
        <v>0.5559042748852957</v>
      </c>
      <c r="BP254" s="24">
        <v>0.5559042748852957</v>
      </c>
      <c r="BQ254" s="24">
        <v>0.5559042748852957</v>
      </c>
    </row>
    <row r="255" spans="1:69" s="17" customFormat="1" hidden="1" x14ac:dyDescent="0.25">
      <c r="A255" s="23">
        <v>26</v>
      </c>
      <c r="B255" s="23" t="s">
        <v>60</v>
      </c>
      <c r="C255" s="24" t="s">
        <v>61</v>
      </c>
      <c r="D255" s="24">
        <v>4</v>
      </c>
      <c r="E255" s="24" t="s">
        <v>493</v>
      </c>
      <c r="F255" s="24"/>
      <c r="G255" s="24" t="s">
        <v>500</v>
      </c>
      <c r="H255" s="24">
        <v>0</v>
      </c>
      <c r="I255" s="24">
        <v>1.79156800448E-2</v>
      </c>
      <c r="J255" s="24">
        <v>1.7851684630400003E-2</v>
      </c>
      <c r="K255" s="24">
        <v>1.8087213321600001E-2</v>
      </c>
      <c r="L255" s="24">
        <v>1.8094084240000002E-2</v>
      </c>
      <c r="M255" s="24">
        <v>1.7960980169600002E-2</v>
      </c>
      <c r="N255" s="24">
        <v>1.9235455638400002E-2</v>
      </c>
      <c r="O255" s="24">
        <v>3.5523926438400001E-2</v>
      </c>
      <c r="P255" s="24">
        <v>3.6079991462399999E-2</v>
      </c>
      <c r="Q255" s="24">
        <v>5.4393999999999998E-2</v>
      </c>
      <c r="R255" s="24">
        <v>5.4393999999999998E-2</v>
      </c>
      <c r="S255" s="24">
        <v>5.4393999999999998E-2</v>
      </c>
      <c r="T255" s="24">
        <v>5.4393999999999998E-2</v>
      </c>
      <c r="U255" s="24">
        <v>5.4393999999999998E-2</v>
      </c>
      <c r="V255" s="24">
        <v>5.4393999999999998E-2</v>
      </c>
      <c r="W255" s="24">
        <v>5.4393999999999998E-2</v>
      </c>
      <c r="X255" s="24">
        <v>5.4393999999999998E-2</v>
      </c>
      <c r="Y255" s="24">
        <v>5.4393999999999998E-2</v>
      </c>
      <c r="Z255" s="24">
        <v>5.4393999999999998E-2</v>
      </c>
      <c r="AA255" s="24">
        <v>5.4393999999999998E-2</v>
      </c>
      <c r="AB255" s="24">
        <v>5.4393999999999998E-2</v>
      </c>
      <c r="AC255" s="24">
        <v>5.4393999999999998E-2</v>
      </c>
      <c r="AD255" s="24">
        <v>5.4393999999999998E-2</v>
      </c>
      <c r="AE255" s="24">
        <v>5.4393999999999998E-2</v>
      </c>
      <c r="AF255" s="24">
        <v>5.4393999999999998E-2</v>
      </c>
      <c r="AG255" s="24">
        <v>5.4393999999999998E-2</v>
      </c>
      <c r="AH255" s="24">
        <v>5.4393999999999998E-2</v>
      </c>
      <c r="AI255" s="24">
        <v>5.4393999999999998E-2</v>
      </c>
      <c r="AJ255" s="24">
        <v>5.4393999999999998E-2</v>
      </c>
      <c r="AK255" s="24">
        <v>5.4393999999999998E-2</v>
      </c>
      <c r="AL255" s="24">
        <v>5.4393999999999998E-2</v>
      </c>
      <c r="AM255" s="24">
        <v>5.4393999999999998E-2</v>
      </c>
      <c r="AN255" s="24">
        <v>5.4393999999999998E-2</v>
      </c>
      <c r="AO255" s="24">
        <v>5.4393999999999998E-2</v>
      </c>
      <c r="AP255" s="24">
        <v>5.4393999999999998E-2</v>
      </c>
      <c r="AQ255" s="24">
        <v>5.4393999999999998E-2</v>
      </c>
      <c r="AR255" s="24">
        <v>5.4393999999999998E-2</v>
      </c>
      <c r="AS255" s="24">
        <v>5.4393999999999998E-2</v>
      </c>
      <c r="AT255" s="24">
        <v>5.4393999999999998E-2</v>
      </c>
      <c r="AU255" s="24">
        <v>5.4393999999999998E-2</v>
      </c>
      <c r="AV255" s="24">
        <v>5.4393999999999998E-2</v>
      </c>
      <c r="AW255" s="24">
        <v>5.4393999999999998E-2</v>
      </c>
      <c r="AX255" s="24">
        <v>5.4393999999999998E-2</v>
      </c>
      <c r="AY255" s="24">
        <v>5.4393999999999998E-2</v>
      </c>
      <c r="AZ255" s="24">
        <v>5.4393999999999998E-2</v>
      </c>
      <c r="BA255" s="24">
        <v>5.4393999999999998E-2</v>
      </c>
      <c r="BB255" s="24">
        <v>5.4393999999999998E-2</v>
      </c>
      <c r="BC255" s="24">
        <v>5.4393999999999998E-2</v>
      </c>
      <c r="BD255" s="24">
        <v>5.4393999999999998E-2</v>
      </c>
      <c r="BE255" s="24">
        <v>5.4393999999999998E-2</v>
      </c>
      <c r="BF255" s="24">
        <v>5.4393999999999998E-2</v>
      </c>
      <c r="BG255" s="24">
        <v>5.4393999999999998E-2</v>
      </c>
      <c r="BH255" s="24">
        <v>5.4393999999999998E-2</v>
      </c>
      <c r="BI255" s="24">
        <v>5.4393999999999998E-2</v>
      </c>
      <c r="BJ255" s="24">
        <v>5.4393999999999998E-2</v>
      </c>
      <c r="BK255" s="24">
        <v>5.4393999999999998E-2</v>
      </c>
      <c r="BL255" s="24">
        <v>5.4393999999999998E-2</v>
      </c>
      <c r="BM255" s="24">
        <v>5.4393999999999998E-2</v>
      </c>
      <c r="BN255" s="24">
        <v>5.4393999999999998E-2</v>
      </c>
      <c r="BO255" s="24">
        <v>5.4393999999999998E-2</v>
      </c>
      <c r="BP255" s="24">
        <v>5.4393999999999998E-2</v>
      </c>
      <c r="BQ255" s="24">
        <v>5.4393999999999998E-2</v>
      </c>
    </row>
    <row r="256" spans="1:69" s="17" customFormat="1" hidden="1" x14ac:dyDescent="0.25">
      <c r="A256" s="23">
        <v>26</v>
      </c>
      <c r="B256" s="23" t="s">
        <v>60</v>
      </c>
      <c r="C256" s="24" t="s">
        <v>61</v>
      </c>
      <c r="D256" s="24">
        <v>5</v>
      </c>
      <c r="E256" s="24" t="s">
        <v>494</v>
      </c>
      <c r="F256" s="24"/>
      <c r="G256" s="24" t="s">
        <v>500</v>
      </c>
      <c r="H256" s="24">
        <v>0</v>
      </c>
      <c r="I256" s="24">
        <v>1.79156800448E-2</v>
      </c>
      <c r="J256" s="24">
        <v>1.7851684630400003E-2</v>
      </c>
      <c r="K256" s="24">
        <v>1.8087213321600001E-2</v>
      </c>
      <c r="L256" s="24">
        <v>1.8094084240000002E-2</v>
      </c>
      <c r="M256" s="24">
        <v>1.7960980169600002E-2</v>
      </c>
      <c r="N256" s="24">
        <v>1.9235455638400002E-2</v>
      </c>
      <c r="O256" s="24">
        <v>3.5523926438400001E-2</v>
      </c>
      <c r="P256" s="24">
        <v>3.6079991462399999E-2</v>
      </c>
      <c r="Q256" s="24">
        <v>5.4393999999999998E-2</v>
      </c>
      <c r="R256" s="24">
        <v>5.4393999999999991E-2</v>
      </c>
      <c r="S256" s="24">
        <v>6.4539999999999986E-2</v>
      </c>
      <c r="T256" s="24">
        <v>6.4539999999999986E-2</v>
      </c>
      <c r="U256" s="24">
        <v>99999</v>
      </c>
      <c r="V256" s="24">
        <v>99999</v>
      </c>
      <c r="W256" s="24">
        <v>99999</v>
      </c>
      <c r="X256" s="24">
        <v>99999</v>
      </c>
      <c r="Y256" s="24">
        <v>99999</v>
      </c>
      <c r="Z256" s="24">
        <v>99999</v>
      </c>
      <c r="AA256" s="24">
        <v>99999</v>
      </c>
      <c r="AB256" s="24">
        <v>99999</v>
      </c>
      <c r="AC256" s="24">
        <v>99999</v>
      </c>
      <c r="AD256" s="24">
        <v>99999</v>
      </c>
      <c r="AE256" s="24">
        <v>99999</v>
      </c>
      <c r="AF256" s="24">
        <v>99999</v>
      </c>
      <c r="AG256" s="24">
        <v>99999</v>
      </c>
      <c r="AH256" s="24">
        <v>99999</v>
      </c>
      <c r="AI256" s="24">
        <v>99999</v>
      </c>
      <c r="AJ256" s="24">
        <v>99999</v>
      </c>
      <c r="AK256" s="24">
        <v>99999</v>
      </c>
      <c r="AL256" s="24">
        <v>99999</v>
      </c>
      <c r="AM256" s="24">
        <v>99999</v>
      </c>
      <c r="AN256" s="24">
        <v>99999</v>
      </c>
      <c r="AO256" s="24">
        <v>99999</v>
      </c>
      <c r="AP256" s="24">
        <v>99999</v>
      </c>
      <c r="AQ256" s="24">
        <v>99999</v>
      </c>
      <c r="AR256" s="24">
        <v>99999</v>
      </c>
      <c r="AS256" s="24">
        <v>99999</v>
      </c>
      <c r="AT256" s="24">
        <v>99999</v>
      </c>
      <c r="AU256" s="24">
        <v>99999</v>
      </c>
      <c r="AV256" s="24">
        <v>99999</v>
      </c>
      <c r="AW256" s="24">
        <v>99999</v>
      </c>
      <c r="AX256" s="24">
        <v>99999</v>
      </c>
      <c r="AY256" s="24">
        <v>99999</v>
      </c>
      <c r="AZ256" s="24">
        <v>99999</v>
      </c>
      <c r="BA256" s="24">
        <v>99999</v>
      </c>
      <c r="BB256" s="24">
        <v>99999</v>
      </c>
      <c r="BC256" s="24">
        <v>99999</v>
      </c>
      <c r="BD256" s="24">
        <v>99999</v>
      </c>
      <c r="BE256" s="24">
        <v>99999</v>
      </c>
      <c r="BF256" s="24">
        <v>99999</v>
      </c>
      <c r="BG256" s="24">
        <v>99999</v>
      </c>
      <c r="BH256" s="24">
        <v>99999</v>
      </c>
      <c r="BI256" s="24">
        <v>99999</v>
      </c>
      <c r="BJ256" s="24">
        <v>99999</v>
      </c>
      <c r="BK256" s="24">
        <v>99999</v>
      </c>
      <c r="BL256" s="24">
        <v>99999</v>
      </c>
      <c r="BM256" s="24">
        <v>99999</v>
      </c>
      <c r="BN256" s="24">
        <v>99999</v>
      </c>
      <c r="BO256" s="24">
        <v>99999</v>
      </c>
      <c r="BP256" s="24">
        <v>99999</v>
      </c>
      <c r="BQ256" s="24">
        <v>99999</v>
      </c>
    </row>
    <row r="257" spans="1:69" s="17" customFormat="1" hidden="1" x14ac:dyDescent="0.25">
      <c r="A257" s="23">
        <v>26</v>
      </c>
      <c r="B257" s="23" t="s">
        <v>60</v>
      </c>
      <c r="C257" s="24" t="s">
        <v>61</v>
      </c>
      <c r="D257" s="24">
        <v>6</v>
      </c>
      <c r="E257" s="24" t="s">
        <v>495</v>
      </c>
      <c r="F257" s="24"/>
      <c r="G257" s="24" t="s">
        <v>490</v>
      </c>
      <c r="H257" s="24">
        <v>0</v>
      </c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</row>
    <row r="258" spans="1:69" s="17" customFormat="1" hidden="1" x14ac:dyDescent="0.25">
      <c r="A258" s="23">
        <v>26</v>
      </c>
      <c r="B258" s="23" t="s">
        <v>60</v>
      </c>
      <c r="C258" s="24" t="s">
        <v>61</v>
      </c>
      <c r="D258" s="24">
        <v>7</v>
      </c>
      <c r="E258" s="24" t="s">
        <v>496</v>
      </c>
      <c r="F258" s="24"/>
      <c r="G258" s="25" t="s">
        <v>500</v>
      </c>
      <c r="H258" s="26">
        <v>0</v>
      </c>
      <c r="I258" s="24">
        <v>0.38266257655247155</v>
      </c>
      <c r="J258" s="24">
        <v>0.49330505613231423</v>
      </c>
      <c r="K258" s="24">
        <v>0.54226778738410675</v>
      </c>
      <c r="L258" s="24">
        <v>0.48913990071360958</v>
      </c>
      <c r="M258" s="24">
        <v>0.50770585944166502</v>
      </c>
      <c r="N258" s="24">
        <v>0.58028590812079273</v>
      </c>
      <c r="O258" s="24">
        <v>0.70160713723156953</v>
      </c>
      <c r="P258" s="24">
        <v>0.29014688517399201</v>
      </c>
      <c r="Q258" s="24">
        <v>0.96150000000000002</v>
      </c>
      <c r="R258" s="24">
        <v>0.9667</v>
      </c>
      <c r="S258" s="24">
        <v>1.0781000000000001</v>
      </c>
      <c r="T258" s="24">
        <v>1.331</v>
      </c>
      <c r="U258" s="24">
        <v>1.2837000000000001</v>
      </c>
      <c r="V258" s="24">
        <v>1.3248</v>
      </c>
      <c r="W258" s="24">
        <v>1.3345</v>
      </c>
      <c r="X258" s="24">
        <v>1.3717999999999999</v>
      </c>
      <c r="Y258" s="24">
        <v>1.4085999999999999</v>
      </c>
      <c r="Z258" s="24">
        <v>1.4533999999999998</v>
      </c>
      <c r="AA258" s="24">
        <v>1.4525999999999999</v>
      </c>
      <c r="AB258" s="24">
        <v>1.4846999999999999</v>
      </c>
      <c r="AC258" s="24">
        <v>1.5259999999999998</v>
      </c>
      <c r="AD258" s="24">
        <v>1.5538999999999998</v>
      </c>
      <c r="AE258" s="24">
        <v>1.5982999999999998</v>
      </c>
      <c r="AF258" s="24">
        <v>1.6447999999999998</v>
      </c>
      <c r="AG258" s="24">
        <v>1.6889999999999998</v>
      </c>
      <c r="AH258" s="24">
        <v>1.7289999999999999</v>
      </c>
      <c r="AI258" s="24">
        <v>1.7773999999999999</v>
      </c>
      <c r="AJ258" s="24">
        <v>1.8173999999999999</v>
      </c>
      <c r="AK258" s="24">
        <v>1.8633</v>
      </c>
      <c r="AL258" s="24">
        <v>1.9092</v>
      </c>
      <c r="AM258" s="24">
        <v>1.9548000000000001</v>
      </c>
      <c r="AN258" s="24">
        <v>1.9979</v>
      </c>
      <c r="AO258" s="24">
        <v>2.0436999999999999</v>
      </c>
      <c r="AP258" s="24">
        <v>2.0777999999999999</v>
      </c>
      <c r="AQ258" s="24">
        <v>2.1235999999999997</v>
      </c>
      <c r="AR258" s="24">
        <v>2.1607999999999996</v>
      </c>
      <c r="AS258" s="24">
        <v>2.2093999999999996</v>
      </c>
      <c r="AT258" s="24">
        <v>2.2473999999999994</v>
      </c>
      <c r="AU258" s="24">
        <v>2.2865999999999995</v>
      </c>
      <c r="AV258" s="24">
        <v>2.3250999999999995</v>
      </c>
      <c r="AW258" s="24">
        <v>2.3651999999999993</v>
      </c>
      <c r="AX258" s="24">
        <v>2.4478999999999993</v>
      </c>
      <c r="AY258" s="24">
        <v>2.4908999999999994</v>
      </c>
      <c r="AZ258" s="24">
        <v>2.5342999999999996</v>
      </c>
      <c r="BA258" s="24">
        <v>2.5774999999999997</v>
      </c>
      <c r="BB258" s="24">
        <v>2.6220999999999997</v>
      </c>
      <c r="BC258" s="24">
        <v>2.6662999999999997</v>
      </c>
      <c r="BD258" s="24">
        <v>2.7104999999999997</v>
      </c>
      <c r="BE258" s="24">
        <v>2.7546999999999997</v>
      </c>
      <c r="BF258" s="24">
        <v>2.7992999999999997</v>
      </c>
      <c r="BG258" s="24">
        <v>2.8445999999999998</v>
      </c>
      <c r="BH258" s="24">
        <v>2.8901999999999997</v>
      </c>
      <c r="BI258" s="24">
        <v>2.9364999999999997</v>
      </c>
      <c r="BJ258" s="24">
        <v>2.9825999999999997</v>
      </c>
      <c r="BK258" s="24">
        <v>3.0291999999999999</v>
      </c>
      <c r="BL258" s="24">
        <v>3.0762999999999998</v>
      </c>
      <c r="BM258" s="24">
        <v>3.1234999999999999</v>
      </c>
      <c r="BN258" s="24">
        <v>3.1709999999999998</v>
      </c>
      <c r="BO258" s="24">
        <v>3.2187999999999999</v>
      </c>
      <c r="BP258" s="24">
        <v>3.2671999999999999</v>
      </c>
      <c r="BQ258" s="24">
        <v>3.3159000000000001</v>
      </c>
    </row>
    <row r="259" spans="1:69" s="17" customFormat="1" hidden="1" x14ac:dyDescent="0.25">
      <c r="A259" s="23">
        <v>26</v>
      </c>
      <c r="B259" s="23" t="s">
        <v>60</v>
      </c>
      <c r="C259" s="24" t="s">
        <v>61</v>
      </c>
      <c r="D259" s="24">
        <v>8</v>
      </c>
      <c r="E259" s="24" t="s">
        <v>497</v>
      </c>
      <c r="F259" s="24"/>
      <c r="G259" s="24" t="s">
        <v>490</v>
      </c>
      <c r="H259" s="24">
        <v>0</v>
      </c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</row>
    <row r="260" spans="1:69" s="17" customFormat="1" hidden="1" x14ac:dyDescent="0.25">
      <c r="A260" s="23">
        <v>26</v>
      </c>
      <c r="B260" s="23" t="s">
        <v>60</v>
      </c>
      <c r="C260" s="24" t="s">
        <v>61</v>
      </c>
      <c r="D260" s="24">
        <v>9</v>
      </c>
      <c r="E260" s="24" t="s">
        <v>498</v>
      </c>
      <c r="F260" s="24"/>
      <c r="G260" s="24" t="s">
        <v>500</v>
      </c>
      <c r="H260" s="24">
        <v>0</v>
      </c>
      <c r="I260" s="24">
        <v>1.1000000000000001</v>
      </c>
      <c r="J260" s="24">
        <v>1.1000000000000001</v>
      </c>
      <c r="K260" s="24">
        <v>1.1000000000000001</v>
      </c>
      <c r="L260" s="24">
        <v>1.1000000000000001</v>
      </c>
      <c r="M260" s="24">
        <v>1.1000000000000001</v>
      </c>
      <c r="N260" s="24">
        <v>1.1000000000000001</v>
      </c>
      <c r="O260" s="24">
        <v>0.7</v>
      </c>
      <c r="P260" s="24">
        <v>0.51190000000000002</v>
      </c>
      <c r="Q260" s="24">
        <v>0.59599999999999997</v>
      </c>
      <c r="R260" s="24">
        <v>0.59919999999999995</v>
      </c>
      <c r="S260" s="24">
        <v>0.56320000000000003</v>
      </c>
      <c r="T260" s="24">
        <v>0.69530000000000003</v>
      </c>
      <c r="U260" s="24">
        <v>0.6</v>
      </c>
      <c r="V260" s="24">
        <v>0.6</v>
      </c>
      <c r="W260" s="24">
        <v>0.6</v>
      </c>
      <c r="X260" s="24">
        <v>0.6</v>
      </c>
      <c r="Y260" s="24">
        <v>0.6</v>
      </c>
      <c r="Z260" s="24">
        <v>0.6</v>
      </c>
      <c r="AA260" s="24">
        <v>0.6</v>
      </c>
      <c r="AB260" s="24">
        <v>0.6</v>
      </c>
      <c r="AC260" s="24">
        <v>0.6</v>
      </c>
      <c r="AD260" s="24">
        <v>0.6</v>
      </c>
      <c r="AE260" s="24">
        <v>0.6</v>
      </c>
      <c r="AF260" s="24">
        <v>0.6</v>
      </c>
      <c r="AG260" s="24">
        <v>0.6</v>
      </c>
      <c r="AH260" s="24">
        <v>0.6</v>
      </c>
      <c r="AI260" s="24">
        <v>0.6</v>
      </c>
      <c r="AJ260" s="24">
        <v>0.6</v>
      </c>
      <c r="AK260" s="24">
        <v>0.6</v>
      </c>
      <c r="AL260" s="24">
        <v>0.6</v>
      </c>
      <c r="AM260" s="24">
        <v>0.6</v>
      </c>
      <c r="AN260" s="24">
        <v>0.6</v>
      </c>
      <c r="AO260" s="24">
        <v>0.6</v>
      </c>
      <c r="AP260" s="24">
        <v>0.6</v>
      </c>
      <c r="AQ260" s="24">
        <v>0.6</v>
      </c>
      <c r="AR260" s="24">
        <v>0.6</v>
      </c>
      <c r="AS260" s="24">
        <v>0.6</v>
      </c>
      <c r="AT260" s="24">
        <v>0.6</v>
      </c>
      <c r="AU260" s="24">
        <v>0.6</v>
      </c>
      <c r="AV260" s="24">
        <v>0.6</v>
      </c>
      <c r="AW260" s="24">
        <v>0.6</v>
      </c>
      <c r="AX260" s="24">
        <v>0.6</v>
      </c>
      <c r="AY260" s="24">
        <v>0.6</v>
      </c>
      <c r="AZ260" s="24">
        <v>0.6</v>
      </c>
      <c r="BA260" s="24">
        <v>0.6</v>
      </c>
      <c r="BB260" s="24">
        <v>0.6</v>
      </c>
      <c r="BC260" s="24">
        <v>0.6</v>
      </c>
      <c r="BD260" s="24">
        <v>0.6</v>
      </c>
      <c r="BE260" s="24">
        <v>0.6</v>
      </c>
      <c r="BF260" s="24">
        <v>0.6</v>
      </c>
      <c r="BG260" s="24">
        <v>0.6</v>
      </c>
      <c r="BH260" s="24">
        <v>0.6</v>
      </c>
      <c r="BI260" s="24">
        <v>0.6</v>
      </c>
      <c r="BJ260" s="24">
        <v>0.6</v>
      </c>
      <c r="BK260" s="24">
        <v>0.6</v>
      </c>
      <c r="BL260" s="24">
        <v>0.6</v>
      </c>
      <c r="BM260" s="24">
        <v>0.6</v>
      </c>
      <c r="BN260" s="24">
        <v>0.6</v>
      </c>
      <c r="BO260" s="24">
        <v>0.6</v>
      </c>
      <c r="BP260" s="24">
        <v>0.6</v>
      </c>
      <c r="BQ260" s="24">
        <v>0.6</v>
      </c>
    </row>
    <row r="261" spans="1:69" s="17" customFormat="1" hidden="1" x14ac:dyDescent="0.25">
      <c r="A261" s="23">
        <v>26</v>
      </c>
      <c r="B261" s="23" t="s">
        <v>60</v>
      </c>
      <c r="C261" s="24" t="s">
        <v>61</v>
      </c>
      <c r="D261" s="24">
        <v>10</v>
      </c>
      <c r="E261" s="24" t="s">
        <v>499</v>
      </c>
      <c r="F261" s="24"/>
      <c r="G261" s="24" t="s">
        <v>501</v>
      </c>
      <c r="H261" s="24">
        <v>0</v>
      </c>
      <c r="I261" s="24">
        <v>0.95</v>
      </c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</row>
    <row r="262" spans="1:69" hidden="1" x14ac:dyDescent="0.25">
      <c r="A262" s="20">
        <v>27</v>
      </c>
      <c r="B262" s="20" t="s">
        <v>62</v>
      </c>
      <c r="C262" s="3" t="s">
        <v>63</v>
      </c>
      <c r="D262" s="3">
        <v>1</v>
      </c>
      <c r="E262" s="3" t="s">
        <v>489</v>
      </c>
      <c r="F262" s="3"/>
      <c r="G262" s="3" t="s">
        <v>500</v>
      </c>
      <c r="H262" s="3">
        <v>0</v>
      </c>
      <c r="I262" s="3">
        <v>2740.8264285714286</v>
      </c>
      <c r="J262" s="3">
        <v>2740.8264285714286</v>
      </c>
      <c r="K262" s="3">
        <v>2740.8264285714286</v>
      </c>
      <c r="L262" s="3">
        <v>2740.8264285714286</v>
      </c>
      <c r="M262" s="3">
        <v>2740.8264285714286</v>
      </c>
      <c r="N262" s="3">
        <v>2740.8264285714286</v>
      </c>
      <c r="O262" s="3">
        <v>2740.8264285714286</v>
      </c>
      <c r="P262" s="3">
        <v>2740.8264285714286</v>
      </c>
      <c r="Q262" s="3">
        <v>2740.8264285714286</v>
      </c>
      <c r="R262" s="3">
        <v>2740.8264285714286</v>
      </c>
      <c r="S262" s="3">
        <v>2740.8264285714286</v>
      </c>
      <c r="T262" s="3">
        <v>2740.8264285714286</v>
      </c>
      <c r="U262" s="3">
        <v>2740.8264285714286</v>
      </c>
      <c r="V262" s="3">
        <v>2740.8264285714286</v>
      </c>
      <c r="W262" s="3">
        <v>2740.8264285714286</v>
      </c>
      <c r="X262" s="3">
        <v>2740.8264285714286</v>
      </c>
      <c r="Y262" s="3">
        <v>2740.8264285714286</v>
      </c>
      <c r="Z262" s="3">
        <v>2740.8264285714286</v>
      </c>
      <c r="AA262" s="3">
        <v>2740.8264285714286</v>
      </c>
      <c r="AB262" s="3">
        <v>2740.8264285714286</v>
      </c>
      <c r="AC262" s="3">
        <v>2740.8264285714286</v>
      </c>
      <c r="AD262" s="3">
        <v>2740.8264285714286</v>
      </c>
      <c r="AE262" s="3">
        <v>2740.8264285714286</v>
      </c>
      <c r="AF262" s="3">
        <v>2740.8264285714286</v>
      </c>
      <c r="AG262" s="3">
        <v>2740.8264285714286</v>
      </c>
      <c r="AH262" s="3">
        <v>2740.8264285714286</v>
      </c>
      <c r="AI262" s="3">
        <v>2740.8264285714286</v>
      </c>
      <c r="AJ262" s="3">
        <v>2740.8264285714286</v>
      </c>
      <c r="AK262" s="3">
        <v>2740.8264285714286</v>
      </c>
      <c r="AL262" s="3">
        <v>2740.8264285714286</v>
      </c>
      <c r="AM262" s="3">
        <v>2740.8264285714286</v>
      </c>
      <c r="AN262" s="3">
        <v>2740.8264285714286</v>
      </c>
      <c r="AO262" s="3">
        <v>2740.8264285714286</v>
      </c>
      <c r="AP262" s="3">
        <v>2740.8264285714286</v>
      </c>
      <c r="AQ262" s="3">
        <v>2740.8264285714286</v>
      </c>
      <c r="AR262" s="3">
        <v>2740.8264285714286</v>
      </c>
      <c r="AS262" s="3">
        <v>2740.8264285714286</v>
      </c>
      <c r="AT262" s="3">
        <v>2740.8264285714286</v>
      </c>
      <c r="AU262" s="3">
        <v>2740.8264285714286</v>
      </c>
      <c r="AV262" s="3">
        <v>2740.8264285714286</v>
      </c>
      <c r="AW262" s="3">
        <v>2740.8264285714286</v>
      </c>
      <c r="AX262" s="3">
        <v>2740.8264285714286</v>
      </c>
      <c r="AY262" s="3">
        <v>2740.8264285714286</v>
      </c>
      <c r="AZ262" s="3">
        <v>2740.8264285714286</v>
      </c>
      <c r="BA262" s="3">
        <v>2740.8264285714286</v>
      </c>
      <c r="BB262" s="3">
        <v>2740.8264285714286</v>
      </c>
      <c r="BC262" s="3">
        <v>2740.8264285714286</v>
      </c>
      <c r="BD262" s="3">
        <v>2740.8264285714286</v>
      </c>
      <c r="BE262" s="3">
        <v>2740.8264285714286</v>
      </c>
      <c r="BF262" s="3">
        <v>2740.8264285714286</v>
      </c>
      <c r="BG262" s="3">
        <v>2740.8264285714286</v>
      </c>
      <c r="BH262" s="3">
        <v>2740.8264285714286</v>
      </c>
      <c r="BI262" s="3">
        <v>2740.8264285714286</v>
      </c>
      <c r="BJ262" s="3">
        <v>2740.8264285714286</v>
      </c>
      <c r="BK262" s="3">
        <v>2740.8264285714286</v>
      </c>
      <c r="BL262" s="3">
        <v>2740.8264285714286</v>
      </c>
      <c r="BM262" s="3">
        <v>2740.8264285714286</v>
      </c>
      <c r="BN262" s="3">
        <v>2740.8264285714286</v>
      </c>
      <c r="BO262" s="3">
        <v>2740.8264285714286</v>
      </c>
      <c r="BP262" s="3">
        <v>2740.8264285714286</v>
      </c>
      <c r="BQ262" s="3">
        <v>2740.8264285714286</v>
      </c>
    </row>
    <row r="263" spans="1:69" hidden="1" x14ac:dyDescent="0.25">
      <c r="A263" s="20">
        <v>27</v>
      </c>
      <c r="B263" s="20" t="s">
        <v>62</v>
      </c>
      <c r="C263" s="3" t="s">
        <v>63</v>
      </c>
      <c r="D263" s="3">
        <v>2</v>
      </c>
      <c r="E263" s="3" t="s">
        <v>491</v>
      </c>
      <c r="F263" s="3"/>
      <c r="G263" s="3" t="s">
        <v>500</v>
      </c>
      <c r="H263" s="3">
        <v>0</v>
      </c>
      <c r="I263" s="3">
        <v>50</v>
      </c>
      <c r="J263" s="3">
        <v>50</v>
      </c>
      <c r="K263" s="3">
        <v>50</v>
      </c>
      <c r="L263" s="3">
        <v>50</v>
      </c>
      <c r="M263" s="3">
        <v>50</v>
      </c>
      <c r="N263" s="3">
        <v>50</v>
      </c>
      <c r="O263" s="3">
        <v>50</v>
      </c>
      <c r="P263" s="3">
        <v>50</v>
      </c>
      <c r="Q263" s="3">
        <v>50</v>
      </c>
      <c r="R263" s="3">
        <v>50</v>
      </c>
      <c r="S263" s="3">
        <v>50</v>
      </c>
      <c r="T263" s="3">
        <v>50</v>
      </c>
      <c r="U263" s="3">
        <v>50</v>
      </c>
      <c r="V263" s="3">
        <v>50</v>
      </c>
      <c r="W263" s="3">
        <v>50</v>
      </c>
      <c r="X263" s="3">
        <v>50</v>
      </c>
      <c r="Y263" s="3">
        <v>50</v>
      </c>
      <c r="Z263" s="3">
        <v>50</v>
      </c>
      <c r="AA263" s="3">
        <v>50</v>
      </c>
      <c r="AB263" s="3">
        <v>50</v>
      </c>
      <c r="AC263" s="3">
        <v>50</v>
      </c>
      <c r="AD263" s="3">
        <v>50</v>
      </c>
      <c r="AE263" s="3">
        <v>50</v>
      </c>
      <c r="AF263" s="3">
        <v>50</v>
      </c>
      <c r="AG263" s="3">
        <v>50</v>
      </c>
      <c r="AH263" s="3">
        <v>50</v>
      </c>
      <c r="AI263" s="3">
        <v>50</v>
      </c>
      <c r="AJ263" s="3">
        <v>50</v>
      </c>
      <c r="AK263" s="3">
        <v>50</v>
      </c>
      <c r="AL263" s="3">
        <v>50</v>
      </c>
      <c r="AM263" s="3">
        <v>50</v>
      </c>
      <c r="AN263" s="3">
        <v>50</v>
      </c>
      <c r="AO263" s="3">
        <v>50</v>
      </c>
      <c r="AP263" s="3">
        <v>50</v>
      </c>
      <c r="AQ263" s="3">
        <v>50</v>
      </c>
      <c r="AR263" s="3">
        <v>50</v>
      </c>
      <c r="AS263" s="3">
        <v>50</v>
      </c>
      <c r="AT263" s="3">
        <v>50</v>
      </c>
      <c r="AU263" s="3">
        <v>50</v>
      </c>
      <c r="AV263" s="3">
        <v>50</v>
      </c>
      <c r="AW263" s="3">
        <v>50</v>
      </c>
      <c r="AX263" s="3">
        <v>50</v>
      </c>
      <c r="AY263" s="3">
        <v>50</v>
      </c>
      <c r="AZ263" s="3">
        <v>50</v>
      </c>
      <c r="BA263" s="3">
        <v>50</v>
      </c>
      <c r="BB263" s="3">
        <v>50</v>
      </c>
      <c r="BC263" s="3">
        <v>50</v>
      </c>
      <c r="BD263" s="3">
        <v>50</v>
      </c>
      <c r="BE263" s="3">
        <v>50</v>
      </c>
      <c r="BF263" s="3">
        <v>50</v>
      </c>
      <c r="BG263" s="3">
        <v>50</v>
      </c>
      <c r="BH263" s="3">
        <v>50</v>
      </c>
      <c r="BI263" s="3">
        <v>50</v>
      </c>
      <c r="BJ263" s="3">
        <v>50</v>
      </c>
      <c r="BK263" s="3">
        <v>50</v>
      </c>
      <c r="BL263" s="3">
        <v>50</v>
      </c>
      <c r="BM263" s="3">
        <v>50</v>
      </c>
      <c r="BN263" s="3">
        <v>50</v>
      </c>
      <c r="BO263" s="3">
        <v>50</v>
      </c>
      <c r="BP263" s="3">
        <v>50</v>
      </c>
      <c r="BQ263" s="3">
        <v>50</v>
      </c>
    </row>
    <row r="264" spans="1:69" hidden="1" x14ac:dyDescent="0.25">
      <c r="A264" s="20">
        <v>27</v>
      </c>
      <c r="B264" s="20" t="s">
        <v>62</v>
      </c>
      <c r="C264" s="3" t="s">
        <v>63</v>
      </c>
      <c r="D264" s="3">
        <v>3</v>
      </c>
      <c r="E264" s="3" t="s">
        <v>492</v>
      </c>
      <c r="F264" s="3"/>
      <c r="G264" s="3" t="s">
        <v>500</v>
      </c>
      <c r="H264" s="3">
        <v>0</v>
      </c>
      <c r="I264" s="3">
        <v>0.5559042748852957</v>
      </c>
      <c r="J264" s="3">
        <v>0.5559042748852957</v>
      </c>
      <c r="K264" s="3">
        <v>0.5559042748852957</v>
      </c>
      <c r="L264" s="3">
        <v>0.5559042748852957</v>
      </c>
      <c r="M264" s="3">
        <v>0.5559042748852957</v>
      </c>
      <c r="N264" s="3">
        <v>0.5559042748852957</v>
      </c>
      <c r="O264" s="3">
        <v>0.5559042748852957</v>
      </c>
      <c r="P264" s="3">
        <v>0.5559042748852957</v>
      </c>
      <c r="Q264" s="3">
        <v>0.5559042748852957</v>
      </c>
      <c r="R264" s="3">
        <v>0.5559042748852957</v>
      </c>
      <c r="S264" s="3">
        <v>0.5559042748852957</v>
      </c>
      <c r="T264" s="3">
        <v>0.5559042748852957</v>
      </c>
      <c r="U264" s="3">
        <v>0.5559042748852957</v>
      </c>
      <c r="V264" s="3">
        <v>0.5559042748852957</v>
      </c>
      <c r="W264" s="3">
        <v>0.5559042748852957</v>
      </c>
      <c r="X264" s="3">
        <v>0.5559042748852957</v>
      </c>
      <c r="Y264" s="3">
        <v>0.5559042748852957</v>
      </c>
      <c r="Z264" s="3">
        <v>0.5559042748852957</v>
      </c>
      <c r="AA264" s="3">
        <v>0.5559042748852957</v>
      </c>
      <c r="AB264" s="3">
        <v>0.5559042748852957</v>
      </c>
      <c r="AC264" s="3">
        <v>0.5559042748852957</v>
      </c>
      <c r="AD264" s="3">
        <v>0.5559042748852957</v>
      </c>
      <c r="AE264" s="3">
        <v>0.5559042748852957</v>
      </c>
      <c r="AF264" s="3">
        <v>0.5559042748852957</v>
      </c>
      <c r="AG264" s="3">
        <v>0.5559042748852957</v>
      </c>
      <c r="AH264" s="3">
        <v>0.5559042748852957</v>
      </c>
      <c r="AI264" s="3">
        <v>0.5559042748852957</v>
      </c>
      <c r="AJ264" s="3">
        <v>0.5559042748852957</v>
      </c>
      <c r="AK264" s="3">
        <v>0.5559042748852957</v>
      </c>
      <c r="AL264" s="3">
        <v>0.5559042748852957</v>
      </c>
      <c r="AM264" s="3">
        <v>0.5559042748852957</v>
      </c>
      <c r="AN264" s="3">
        <v>0.5559042748852957</v>
      </c>
      <c r="AO264" s="3">
        <v>0.5559042748852957</v>
      </c>
      <c r="AP264" s="3">
        <v>0.5559042748852957</v>
      </c>
      <c r="AQ264" s="3">
        <v>0.5559042748852957</v>
      </c>
      <c r="AR264" s="3">
        <v>0.5559042748852957</v>
      </c>
      <c r="AS264" s="3">
        <v>0.5559042748852957</v>
      </c>
      <c r="AT264" s="3">
        <v>0.5559042748852957</v>
      </c>
      <c r="AU264" s="3">
        <v>0.5559042748852957</v>
      </c>
      <c r="AV264" s="3">
        <v>0.5559042748852957</v>
      </c>
      <c r="AW264" s="3">
        <v>0.5559042748852957</v>
      </c>
      <c r="AX264" s="3">
        <v>0.5559042748852957</v>
      </c>
      <c r="AY264" s="3">
        <v>0.5559042748852957</v>
      </c>
      <c r="AZ264" s="3">
        <v>0.5559042748852957</v>
      </c>
      <c r="BA264" s="3">
        <v>0.5559042748852957</v>
      </c>
      <c r="BB264" s="3">
        <v>0.5559042748852957</v>
      </c>
      <c r="BC264" s="3">
        <v>0.5559042748852957</v>
      </c>
      <c r="BD264" s="3">
        <v>0.5559042748852957</v>
      </c>
      <c r="BE264" s="3">
        <v>0.5559042748852957</v>
      </c>
      <c r="BF264" s="3">
        <v>0.5559042748852957</v>
      </c>
      <c r="BG264" s="3">
        <v>0.5559042748852957</v>
      </c>
      <c r="BH264" s="3">
        <v>0.5559042748852957</v>
      </c>
      <c r="BI264" s="3">
        <v>0.5559042748852957</v>
      </c>
      <c r="BJ264" s="3">
        <v>0.5559042748852957</v>
      </c>
      <c r="BK264" s="3">
        <v>0.5559042748852957</v>
      </c>
      <c r="BL264" s="3">
        <v>0.5559042748852957</v>
      </c>
      <c r="BM264" s="3">
        <v>0.5559042748852957</v>
      </c>
      <c r="BN264" s="3">
        <v>0.5559042748852957</v>
      </c>
      <c r="BO264" s="3">
        <v>0.5559042748852957</v>
      </c>
      <c r="BP264" s="3">
        <v>0.5559042748852957</v>
      </c>
      <c r="BQ264" s="3">
        <v>0.5559042748852957</v>
      </c>
    </row>
    <row r="265" spans="1:69" hidden="1" x14ac:dyDescent="0.25">
      <c r="A265" s="20">
        <v>27</v>
      </c>
      <c r="B265" s="20" t="s">
        <v>62</v>
      </c>
      <c r="C265" s="3" t="s">
        <v>63</v>
      </c>
      <c r="D265" s="3">
        <v>4</v>
      </c>
      <c r="E265" s="3" t="s">
        <v>493</v>
      </c>
      <c r="F265" s="3"/>
      <c r="G265" s="3" t="s">
        <v>500</v>
      </c>
      <c r="H265" s="3">
        <v>0</v>
      </c>
      <c r="I265" s="3">
        <v>9.7017314635200025E-2</v>
      </c>
      <c r="J265" s="3">
        <v>9.6670765509599993E-2</v>
      </c>
      <c r="K265" s="3">
        <v>9.7946204738400017E-2</v>
      </c>
      <c r="L265" s="3">
        <v>9.798341226E-2</v>
      </c>
      <c r="M265" s="3">
        <v>9.7262624690400035E-2</v>
      </c>
      <c r="N265" s="3">
        <v>0.10416418730160003</v>
      </c>
      <c r="O265" s="3">
        <v>0.19236980900160006</v>
      </c>
      <c r="P265" s="3">
        <v>0.19538102237760002</v>
      </c>
      <c r="Q265" s="3">
        <v>0.33335999999999999</v>
      </c>
      <c r="R265" s="3">
        <v>0.33335999999999999</v>
      </c>
      <c r="S265" s="3">
        <v>0.33335999999999999</v>
      </c>
      <c r="T265" s="3">
        <v>0.33335999999999999</v>
      </c>
      <c r="U265" s="3">
        <v>0.33335999999999999</v>
      </c>
      <c r="V265" s="3">
        <v>0.33335999999999999</v>
      </c>
      <c r="W265" s="3">
        <v>0.33335999999999999</v>
      </c>
      <c r="X265" s="3">
        <v>0.33335999999999999</v>
      </c>
      <c r="Y265" s="3">
        <v>0.33335999999999999</v>
      </c>
      <c r="Z265" s="3">
        <v>0.33335999999999999</v>
      </c>
      <c r="AA265" s="3">
        <v>0.33335999999999999</v>
      </c>
      <c r="AB265" s="3">
        <v>0.33335999999999999</v>
      </c>
      <c r="AC265" s="3">
        <v>0.33335999999999999</v>
      </c>
      <c r="AD265" s="3">
        <v>0.33335999999999999</v>
      </c>
      <c r="AE265" s="3">
        <v>0.33335999999999999</v>
      </c>
      <c r="AF265" s="3">
        <v>0.33335999999999999</v>
      </c>
      <c r="AG265" s="3">
        <v>0.33335999999999999</v>
      </c>
      <c r="AH265" s="3">
        <v>0.33335999999999999</v>
      </c>
      <c r="AI265" s="3">
        <v>0.33335999999999999</v>
      </c>
      <c r="AJ265" s="3">
        <v>0.33335999999999999</v>
      </c>
      <c r="AK265" s="3">
        <v>0.33335999999999999</v>
      </c>
      <c r="AL265" s="3">
        <v>0.33335999999999999</v>
      </c>
      <c r="AM265" s="3">
        <v>0.33335999999999999</v>
      </c>
      <c r="AN265" s="3">
        <v>0.33335999999999999</v>
      </c>
      <c r="AO265" s="3">
        <v>0.33335999999999999</v>
      </c>
      <c r="AP265" s="3">
        <v>0.33335999999999999</v>
      </c>
      <c r="AQ265" s="3">
        <v>0.33335999999999999</v>
      </c>
      <c r="AR265" s="3">
        <v>0.33335999999999999</v>
      </c>
      <c r="AS265" s="3">
        <v>0.33335999999999999</v>
      </c>
      <c r="AT265" s="3">
        <v>0.33335999999999999</v>
      </c>
      <c r="AU265" s="3">
        <v>0.33335999999999999</v>
      </c>
      <c r="AV265" s="3">
        <v>0.33335999999999999</v>
      </c>
      <c r="AW265" s="3">
        <v>0.33335999999999999</v>
      </c>
      <c r="AX265" s="3">
        <v>0.33335999999999999</v>
      </c>
      <c r="AY265" s="3">
        <v>0.33335999999999999</v>
      </c>
      <c r="AZ265" s="3">
        <v>0.33335999999999999</v>
      </c>
      <c r="BA265" s="3">
        <v>0.33335999999999999</v>
      </c>
      <c r="BB265" s="3">
        <v>0.33335999999999999</v>
      </c>
      <c r="BC265" s="3">
        <v>0.33335999999999999</v>
      </c>
      <c r="BD265" s="3">
        <v>0.33335999999999999</v>
      </c>
      <c r="BE265" s="3">
        <v>0.33335999999999999</v>
      </c>
      <c r="BF265" s="3">
        <v>0.33335999999999999</v>
      </c>
      <c r="BG265" s="3">
        <v>0.33335999999999999</v>
      </c>
      <c r="BH265" s="3">
        <v>0.33335999999999999</v>
      </c>
      <c r="BI265" s="3">
        <v>0.33335999999999999</v>
      </c>
      <c r="BJ265" s="3">
        <v>0.33335999999999999</v>
      </c>
      <c r="BK265" s="3">
        <v>0.33335999999999999</v>
      </c>
      <c r="BL265" s="3">
        <v>0.33335999999999999</v>
      </c>
      <c r="BM265" s="3">
        <v>0.33335999999999999</v>
      </c>
      <c r="BN265" s="3">
        <v>0.33335999999999999</v>
      </c>
      <c r="BO265" s="3">
        <v>0.33335999999999999</v>
      </c>
      <c r="BP265" s="3">
        <v>0.33335999999999999</v>
      </c>
      <c r="BQ265" s="3">
        <v>0.33335999999999999</v>
      </c>
    </row>
    <row r="266" spans="1:69" hidden="1" x14ac:dyDescent="0.25">
      <c r="A266" s="20">
        <v>27</v>
      </c>
      <c r="B266" s="20" t="s">
        <v>62</v>
      </c>
      <c r="C266" s="3" t="s">
        <v>63</v>
      </c>
      <c r="D266" s="3">
        <v>5</v>
      </c>
      <c r="E266" s="3" t="s">
        <v>494</v>
      </c>
      <c r="F266" s="3"/>
      <c r="G266" s="3" t="s">
        <v>500</v>
      </c>
      <c r="H266" s="3">
        <v>0</v>
      </c>
      <c r="I266" s="3">
        <v>9.7017314635200025E-2</v>
      </c>
      <c r="J266" s="3">
        <v>9.6670765509599993E-2</v>
      </c>
      <c r="K266" s="3">
        <v>9.7946204738400017E-2</v>
      </c>
      <c r="L266" s="3">
        <v>9.798341226E-2</v>
      </c>
      <c r="M266" s="3">
        <v>9.7262624690400035E-2</v>
      </c>
      <c r="N266" s="3">
        <v>0.10416418730160003</v>
      </c>
      <c r="O266" s="3">
        <v>0.19236980900160006</v>
      </c>
      <c r="P266" s="3">
        <v>0.19538102237760002</v>
      </c>
      <c r="Q266" s="3">
        <v>0.33335999999999999</v>
      </c>
      <c r="R266" s="3">
        <v>0.33335999999999999</v>
      </c>
      <c r="S266" s="3">
        <v>0.33335999999999999</v>
      </c>
      <c r="T266" s="3">
        <v>0.33335999999999999</v>
      </c>
      <c r="U266" s="3">
        <v>0.33335999999999999</v>
      </c>
      <c r="V266" s="3">
        <v>0.33335999999999999</v>
      </c>
      <c r="W266" s="3">
        <v>0.40836</v>
      </c>
      <c r="X266" s="3">
        <v>0.40836</v>
      </c>
      <c r="Y266" s="3">
        <v>0.40836</v>
      </c>
      <c r="Z266" s="3">
        <v>0.40836</v>
      </c>
      <c r="AA266" s="3">
        <v>0.60236000000000001</v>
      </c>
      <c r="AB266" s="3">
        <v>0.60236000000000001</v>
      </c>
      <c r="AC266" s="3">
        <v>0.60236000000000001</v>
      </c>
      <c r="AD266" s="3">
        <v>0.60236000000000001</v>
      </c>
      <c r="AE266" s="3">
        <v>0.60236000000000001</v>
      </c>
      <c r="AF266" s="3">
        <v>0.60236000000000001</v>
      </c>
      <c r="AG266" s="3">
        <v>0.60236000000000001</v>
      </c>
      <c r="AH266" s="3">
        <v>0.60236000000000001</v>
      </c>
      <c r="AI266" s="3">
        <v>0.60236000000000001</v>
      </c>
      <c r="AJ266" s="3">
        <v>0.60236000000000001</v>
      </c>
      <c r="AK266" s="3">
        <v>0.60236000000000001</v>
      </c>
      <c r="AL266" s="3">
        <v>0.60236000000000001</v>
      </c>
      <c r="AM266" s="3">
        <v>0.60236000000000001</v>
      </c>
      <c r="AN266" s="3">
        <v>0.60236000000000001</v>
      </c>
      <c r="AO266" s="3">
        <v>0.60236000000000001</v>
      </c>
      <c r="AP266" s="3">
        <v>0.60236000000000001</v>
      </c>
      <c r="AQ266" s="3">
        <v>0.60236000000000001</v>
      </c>
      <c r="AR266" s="3">
        <v>0.60236000000000001</v>
      </c>
      <c r="AS266" s="3">
        <v>0.60236000000000001</v>
      </c>
      <c r="AT266" s="3">
        <v>0.60236000000000001</v>
      </c>
      <c r="AU266" s="3">
        <v>0.60236000000000001</v>
      </c>
      <c r="AV266" s="3">
        <v>0.60236000000000001</v>
      </c>
      <c r="AW266" s="3">
        <v>0.60236000000000001</v>
      </c>
      <c r="AX266" s="3">
        <v>0.60236000000000001</v>
      </c>
      <c r="AY266" s="3">
        <v>0.60236000000000001</v>
      </c>
      <c r="AZ266" s="3">
        <v>0.60236000000000001</v>
      </c>
      <c r="BA266" s="3">
        <v>0.60236000000000001</v>
      </c>
      <c r="BB266" s="3">
        <v>0.60236000000000001</v>
      </c>
      <c r="BC266" s="3">
        <v>0.60236000000000001</v>
      </c>
      <c r="BD266" s="3">
        <v>0.60236000000000001</v>
      </c>
      <c r="BE266" s="3">
        <v>0.60236000000000001</v>
      </c>
      <c r="BF266" s="3">
        <v>0.60236000000000001</v>
      </c>
      <c r="BG266" s="3">
        <v>0.60236000000000001</v>
      </c>
      <c r="BH266" s="3">
        <v>0.60236000000000001</v>
      </c>
      <c r="BI266" s="3">
        <v>0.60236000000000001</v>
      </c>
      <c r="BJ266" s="3">
        <v>0.60236000000000001</v>
      </c>
      <c r="BK266" s="3">
        <v>0.60236000000000001</v>
      </c>
      <c r="BL266" s="3">
        <v>0.60236000000000001</v>
      </c>
      <c r="BM266" s="3">
        <v>0.60236000000000001</v>
      </c>
      <c r="BN266" s="3">
        <v>0.60236000000000001</v>
      </c>
      <c r="BO266" s="3">
        <v>0.60236000000000001</v>
      </c>
      <c r="BP266" s="3">
        <v>0.60236000000000001</v>
      </c>
      <c r="BQ266" s="3">
        <v>0.60236000000000001</v>
      </c>
    </row>
    <row r="267" spans="1:69" hidden="1" x14ac:dyDescent="0.25">
      <c r="A267" s="20">
        <v>27</v>
      </c>
      <c r="B267" s="20" t="s">
        <v>62</v>
      </c>
      <c r="C267" s="3" t="s">
        <v>63</v>
      </c>
      <c r="D267" s="3">
        <v>6</v>
      </c>
      <c r="E267" s="3" t="s">
        <v>495</v>
      </c>
      <c r="F267" s="3"/>
      <c r="G267" s="3" t="s">
        <v>490</v>
      </c>
      <c r="H267" s="3">
        <v>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hidden="1" x14ac:dyDescent="0.25">
      <c r="A268" s="20">
        <v>27</v>
      </c>
      <c r="B268" s="20" t="s">
        <v>62</v>
      </c>
      <c r="C268" s="3" t="s">
        <v>63</v>
      </c>
      <c r="D268" s="3">
        <v>7</v>
      </c>
      <c r="E268" s="3" t="s">
        <v>496</v>
      </c>
      <c r="F268" s="3"/>
      <c r="G268" s="21" t="s">
        <v>500</v>
      </c>
      <c r="H268" s="22">
        <v>0</v>
      </c>
      <c r="I268" s="3">
        <v>1.7107361908430452</v>
      </c>
      <c r="J268" s="3">
        <v>2.2053758699230692</v>
      </c>
      <c r="K268" s="3">
        <v>2.4242692801687342</v>
      </c>
      <c r="L268" s="3">
        <v>2.186755073033392</v>
      </c>
      <c r="M268" s="3">
        <v>2.2697562847012054</v>
      </c>
      <c r="N268" s="3">
        <v>2.594233575183015</v>
      </c>
      <c r="O268" s="3">
        <v>3.1366138079908268</v>
      </c>
      <c r="P268" s="3">
        <v>3.9795020076245873</v>
      </c>
      <c r="Q268" s="3">
        <v>1.3862000000000001</v>
      </c>
      <c r="R268" s="3">
        <v>4.7884000000000002</v>
      </c>
      <c r="S268" s="3">
        <v>4.8201000000000001</v>
      </c>
      <c r="T268" s="3">
        <v>5.4885000000000002</v>
      </c>
      <c r="U268" s="3">
        <v>5.4885000000000002</v>
      </c>
      <c r="V268" s="3">
        <v>5.4885000000000002</v>
      </c>
      <c r="W268" s="3">
        <v>6.7233000000000001</v>
      </c>
      <c r="X268" s="3">
        <v>6.7233000000000001</v>
      </c>
      <c r="Y268" s="3">
        <v>6.7233000000000001</v>
      </c>
      <c r="Z268" s="3">
        <v>6.7233000000000001</v>
      </c>
      <c r="AA268" s="3">
        <v>9.9172999999999991</v>
      </c>
      <c r="AB268" s="3">
        <v>9.9172999999999991</v>
      </c>
      <c r="AC268" s="3">
        <v>9.9172999999999991</v>
      </c>
      <c r="AD268" s="3">
        <v>9.9172999999999991</v>
      </c>
      <c r="AE268" s="3">
        <v>9.9172999999999991</v>
      </c>
      <c r="AF268" s="3">
        <v>9.9172999999999991</v>
      </c>
      <c r="AG268" s="3">
        <v>9.9172999999999991</v>
      </c>
      <c r="AH268" s="3">
        <v>9.9172999999999991</v>
      </c>
      <c r="AI268" s="3">
        <v>9.9172999999999991</v>
      </c>
      <c r="AJ268" s="3">
        <v>9.9172999999999991</v>
      </c>
      <c r="AK268" s="3">
        <v>9.9172999999999991</v>
      </c>
      <c r="AL268" s="3">
        <v>9.9172999999999991</v>
      </c>
      <c r="AM268" s="3">
        <v>9.9172999999999991</v>
      </c>
      <c r="AN268" s="3">
        <v>9.9172999999999991</v>
      </c>
      <c r="AO268" s="3">
        <v>9.9172999999999991</v>
      </c>
      <c r="AP268" s="3">
        <v>9.9172999999999991</v>
      </c>
      <c r="AQ268" s="3">
        <v>9.9172999999999991</v>
      </c>
      <c r="AR268" s="3">
        <v>9.9172999999999991</v>
      </c>
      <c r="AS268" s="3">
        <v>9.9172999999999991</v>
      </c>
      <c r="AT268" s="3">
        <v>9.9172999999999991</v>
      </c>
      <c r="AU268" s="3">
        <v>9.9172999999999991</v>
      </c>
      <c r="AV268" s="3">
        <v>9.9172999999999991</v>
      </c>
      <c r="AW268" s="3">
        <v>9.9172999999999991</v>
      </c>
      <c r="AX268" s="3">
        <v>9.9172999999999991</v>
      </c>
      <c r="AY268" s="3">
        <v>9.9172999999999991</v>
      </c>
      <c r="AZ268" s="3">
        <v>9.9172999999999991</v>
      </c>
      <c r="BA268" s="3">
        <v>9.9172999999999991</v>
      </c>
      <c r="BB268" s="3">
        <v>9.9172999999999991</v>
      </c>
      <c r="BC268" s="3">
        <v>9.9172999999999991</v>
      </c>
      <c r="BD268" s="3">
        <v>9.9172999999999991</v>
      </c>
      <c r="BE268" s="3">
        <v>9.9172999999999991</v>
      </c>
      <c r="BF268" s="3">
        <v>9.9172999999999991</v>
      </c>
      <c r="BG268" s="3">
        <v>9.9172999999999991</v>
      </c>
      <c r="BH268" s="3">
        <v>9.9172999999999991</v>
      </c>
      <c r="BI268" s="3">
        <v>9.9172999999999991</v>
      </c>
      <c r="BJ268" s="3">
        <v>9.9172999999999991</v>
      </c>
      <c r="BK268" s="3">
        <v>9.9172999999999991</v>
      </c>
      <c r="BL268" s="3">
        <v>9.9172999999999991</v>
      </c>
      <c r="BM268" s="3">
        <v>9.9172999999999991</v>
      </c>
      <c r="BN268" s="3">
        <v>9.9172999999999991</v>
      </c>
      <c r="BO268" s="3">
        <v>9.9172999999999991</v>
      </c>
      <c r="BP268" s="3">
        <v>9.9172999999999991</v>
      </c>
      <c r="BQ268" s="3">
        <v>9.9172999999999991</v>
      </c>
    </row>
    <row r="269" spans="1:69" hidden="1" x14ac:dyDescent="0.25">
      <c r="A269" s="20">
        <v>27</v>
      </c>
      <c r="B269" s="20" t="s">
        <v>62</v>
      </c>
      <c r="C269" s="3" t="s">
        <v>63</v>
      </c>
      <c r="D269" s="3">
        <v>8</v>
      </c>
      <c r="E269" s="3" t="s">
        <v>497</v>
      </c>
      <c r="F269" s="3"/>
      <c r="G269" s="3" t="s">
        <v>490</v>
      </c>
      <c r="H269" s="3">
        <v>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hidden="1" x14ac:dyDescent="0.25">
      <c r="A270" s="20">
        <v>27</v>
      </c>
      <c r="B270" s="20" t="s">
        <v>62</v>
      </c>
      <c r="C270" s="3" t="s">
        <v>63</v>
      </c>
      <c r="D270" s="3">
        <v>9</v>
      </c>
      <c r="E270" s="3" t="s">
        <v>498</v>
      </c>
      <c r="F270" s="3"/>
      <c r="G270" s="3" t="s">
        <v>500</v>
      </c>
      <c r="H270" s="3">
        <v>0</v>
      </c>
      <c r="I270" s="3">
        <v>0.7</v>
      </c>
      <c r="J270" s="3">
        <v>1</v>
      </c>
      <c r="K270" s="3">
        <v>1</v>
      </c>
      <c r="L270" s="3">
        <v>1</v>
      </c>
      <c r="M270" s="3">
        <v>1</v>
      </c>
      <c r="N270" s="3">
        <v>1</v>
      </c>
      <c r="O270" s="3">
        <v>0.7</v>
      </c>
      <c r="P270" s="3">
        <v>0.7</v>
      </c>
      <c r="Q270" s="3">
        <v>0.14019999999999999</v>
      </c>
      <c r="R270" s="3">
        <v>0.48430000000000001</v>
      </c>
      <c r="S270" s="3">
        <v>0.48749999999999999</v>
      </c>
      <c r="T270" s="3">
        <v>0.55510000000000004</v>
      </c>
      <c r="U270" s="3">
        <v>0.55510000000000004</v>
      </c>
      <c r="V270" s="3">
        <v>0.55510000000000004</v>
      </c>
      <c r="W270" s="3">
        <v>0.55510000000000004</v>
      </c>
      <c r="X270" s="3">
        <v>0.55510000000000004</v>
      </c>
      <c r="Y270" s="3">
        <v>0.55510000000000004</v>
      </c>
      <c r="Z270" s="3">
        <v>0.55510000000000004</v>
      </c>
      <c r="AA270" s="3">
        <v>0.55510000000000004</v>
      </c>
      <c r="AB270" s="3">
        <v>0.55510000000000004</v>
      </c>
      <c r="AC270" s="3">
        <v>0.55510000000000004</v>
      </c>
      <c r="AD270" s="3">
        <v>0.55510000000000004</v>
      </c>
      <c r="AE270" s="3">
        <v>0.55510000000000004</v>
      </c>
      <c r="AF270" s="3">
        <v>0.55510000000000004</v>
      </c>
      <c r="AG270" s="3">
        <v>0.55510000000000004</v>
      </c>
      <c r="AH270" s="3">
        <v>0.55510000000000004</v>
      </c>
      <c r="AI270" s="3">
        <v>0.55510000000000004</v>
      </c>
      <c r="AJ270" s="3">
        <v>0.55510000000000004</v>
      </c>
      <c r="AK270" s="3">
        <v>0.55510000000000004</v>
      </c>
      <c r="AL270" s="3">
        <v>0.55510000000000004</v>
      </c>
      <c r="AM270" s="3">
        <v>0.55510000000000004</v>
      </c>
      <c r="AN270" s="3">
        <v>0.55510000000000004</v>
      </c>
      <c r="AO270" s="3">
        <v>0.55510000000000004</v>
      </c>
      <c r="AP270" s="3">
        <v>0.55510000000000004</v>
      </c>
      <c r="AQ270" s="3">
        <v>0.55510000000000004</v>
      </c>
      <c r="AR270" s="3">
        <v>0.55510000000000004</v>
      </c>
      <c r="AS270" s="3">
        <v>0.55510000000000004</v>
      </c>
      <c r="AT270" s="3">
        <v>0.55510000000000004</v>
      </c>
      <c r="AU270" s="3">
        <v>0.55510000000000004</v>
      </c>
      <c r="AV270" s="3">
        <v>0.55510000000000004</v>
      </c>
      <c r="AW270" s="3">
        <v>0.55510000000000004</v>
      </c>
      <c r="AX270" s="3">
        <v>0.55510000000000004</v>
      </c>
      <c r="AY270" s="3">
        <v>0.55510000000000004</v>
      </c>
      <c r="AZ270" s="3">
        <v>0.55510000000000004</v>
      </c>
      <c r="BA270" s="3">
        <v>0.55510000000000004</v>
      </c>
      <c r="BB270" s="3">
        <v>0.55510000000000004</v>
      </c>
      <c r="BC270" s="3">
        <v>0.55510000000000004</v>
      </c>
      <c r="BD270" s="3">
        <v>0.55510000000000004</v>
      </c>
      <c r="BE270" s="3">
        <v>0.55510000000000004</v>
      </c>
      <c r="BF270" s="3">
        <v>0.55510000000000004</v>
      </c>
      <c r="BG270" s="3">
        <v>0.55510000000000004</v>
      </c>
      <c r="BH270" s="3">
        <v>0.55510000000000004</v>
      </c>
      <c r="BI270" s="3">
        <v>0.55510000000000004</v>
      </c>
      <c r="BJ270" s="3">
        <v>0.55510000000000004</v>
      </c>
      <c r="BK270" s="3">
        <v>0.55510000000000004</v>
      </c>
      <c r="BL270" s="3">
        <v>0.55510000000000004</v>
      </c>
      <c r="BM270" s="3">
        <v>0.55510000000000004</v>
      </c>
      <c r="BN270" s="3">
        <v>0.55510000000000004</v>
      </c>
      <c r="BO270" s="3">
        <v>0.55510000000000004</v>
      </c>
      <c r="BP270" s="3">
        <v>0.55510000000000004</v>
      </c>
      <c r="BQ270" s="3">
        <v>0.55510000000000004</v>
      </c>
    </row>
    <row r="271" spans="1:69" hidden="1" x14ac:dyDescent="0.25">
      <c r="A271" s="20">
        <v>27</v>
      </c>
      <c r="B271" s="20" t="s">
        <v>62</v>
      </c>
      <c r="C271" s="3" t="s">
        <v>63</v>
      </c>
      <c r="D271" s="3">
        <v>10</v>
      </c>
      <c r="E271" s="3" t="s">
        <v>499</v>
      </c>
      <c r="F271" s="3"/>
      <c r="G271" s="3" t="s">
        <v>501</v>
      </c>
      <c r="H271" s="3">
        <v>0</v>
      </c>
      <c r="I271" s="3">
        <v>0.95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s="17" customFormat="1" hidden="1" x14ac:dyDescent="0.25">
      <c r="A272" s="23">
        <v>28</v>
      </c>
      <c r="B272" s="23" t="s">
        <v>64</v>
      </c>
      <c r="C272" s="24" t="s">
        <v>65</v>
      </c>
      <c r="D272" s="24">
        <v>1</v>
      </c>
      <c r="E272" s="24" t="s">
        <v>489</v>
      </c>
      <c r="F272" s="24"/>
      <c r="G272" s="24" t="s">
        <v>500</v>
      </c>
      <c r="H272" s="24">
        <v>0</v>
      </c>
      <c r="I272" s="24">
        <v>1318.4942000000001</v>
      </c>
      <c r="J272" s="24">
        <v>1318.4942000000001</v>
      </c>
      <c r="K272" s="24">
        <v>1318.4942000000001</v>
      </c>
      <c r="L272" s="24">
        <v>1318.4942000000001</v>
      </c>
      <c r="M272" s="24">
        <v>1318.4942000000001</v>
      </c>
      <c r="N272" s="24">
        <v>1318.4942000000001</v>
      </c>
      <c r="O272" s="24">
        <v>1318.4942000000001</v>
      </c>
      <c r="P272" s="24">
        <v>1318.4942000000001</v>
      </c>
      <c r="Q272" s="24">
        <v>1318.4942000000001</v>
      </c>
      <c r="R272" s="24">
        <v>1318.4942000000001</v>
      </c>
      <c r="S272" s="24">
        <v>1318.4942000000001</v>
      </c>
      <c r="T272" s="24">
        <v>1318.4942000000001</v>
      </c>
      <c r="U272" s="24">
        <v>1318.4942000000001</v>
      </c>
      <c r="V272" s="24">
        <v>1318.4942000000001</v>
      </c>
      <c r="W272" s="24">
        <v>1318.4942000000001</v>
      </c>
      <c r="X272" s="24">
        <v>1318.4942000000001</v>
      </c>
      <c r="Y272" s="24">
        <v>1318.4942000000001</v>
      </c>
      <c r="Z272" s="24">
        <v>1318.4942000000001</v>
      </c>
      <c r="AA272" s="24">
        <v>1318.4942000000001</v>
      </c>
      <c r="AB272" s="24">
        <v>1318.4942000000001</v>
      </c>
      <c r="AC272" s="24">
        <v>1318.4942000000001</v>
      </c>
      <c r="AD272" s="24">
        <v>1318.4942000000001</v>
      </c>
      <c r="AE272" s="24">
        <v>1318.4942000000001</v>
      </c>
      <c r="AF272" s="24">
        <v>1318.4942000000001</v>
      </c>
      <c r="AG272" s="24">
        <v>1318.4942000000001</v>
      </c>
      <c r="AH272" s="24">
        <v>1318.4942000000001</v>
      </c>
      <c r="AI272" s="24">
        <v>1318.4942000000001</v>
      </c>
      <c r="AJ272" s="24">
        <v>1318.4942000000001</v>
      </c>
      <c r="AK272" s="24">
        <v>1318.4942000000001</v>
      </c>
      <c r="AL272" s="24">
        <v>1318.4942000000001</v>
      </c>
      <c r="AM272" s="24">
        <v>1318.4942000000001</v>
      </c>
      <c r="AN272" s="24">
        <v>1318.4942000000001</v>
      </c>
      <c r="AO272" s="24">
        <v>1318.4942000000001</v>
      </c>
      <c r="AP272" s="24">
        <v>1318.4942000000001</v>
      </c>
      <c r="AQ272" s="24">
        <v>1318.4942000000001</v>
      </c>
      <c r="AR272" s="24">
        <v>1318.4942000000001</v>
      </c>
      <c r="AS272" s="24">
        <v>1318.4942000000001</v>
      </c>
      <c r="AT272" s="24">
        <v>1318.4942000000001</v>
      </c>
      <c r="AU272" s="24">
        <v>1318.4942000000001</v>
      </c>
      <c r="AV272" s="24">
        <v>1318.4942000000001</v>
      </c>
      <c r="AW272" s="24">
        <v>1318.4942000000001</v>
      </c>
      <c r="AX272" s="24">
        <v>1318.4942000000001</v>
      </c>
      <c r="AY272" s="24">
        <v>1318.4942000000001</v>
      </c>
      <c r="AZ272" s="24">
        <v>1318.4942000000001</v>
      </c>
      <c r="BA272" s="24">
        <v>1318.4942000000001</v>
      </c>
      <c r="BB272" s="24">
        <v>1318.4942000000001</v>
      </c>
      <c r="BC272" s="24">
        <v>1318.4942000000001</v>
      </c>
      <c r="BD272" s="24">
        <v>1318.4942000000001</v>
      </c>
      <c r="BE272" s="24">
        <v>1318.4942000000001</v>
      </c>
      <c r="BF272" s="24">
        <v>1318.4942000000001</v>
      </c>
      <c r="BG272" s="24">
        <v>1318.4942000000001</v>
      </c>
      <c r="BH272" s="24">
        <v>1318.4942000000001</v>
      </c>
      <c r="BI272" s="24">
        <v>1318.4942000000001</v>
      </c>
      <c r="BJ272" s="24">
        <v>1318.4942000000001</v>
      </c>
      <c r="BK272" s="24">
        <v>1318.4942000000001</v>
      </c>
      <c r="BL272" s="24">
        <v>1318.4942000000001</v>
      </c>
      <c r="BM272" s="24">
        <v>1318.4942000000001</v>
      </c>
      <c r="BN272" s="24">
        <v>1318.4942000000001</v>
      </c>
      <c r="BO272" s="24">
        <v>1318.4942000000001</v>
      </c>
      <c r="BP272" s="24">
        <v>1318.4942000000001</v>
      </c>
      <c r="BQ272" s="24">
        <v>1318.4942000000001</v>
      </c>
    </row>
    <row r="273" spans="1:69" s="17" customFormat="1" hidden="1" x14ac:dyDescent="0.25">
      <c r="A273" s="23">
        <v>28</v>
      </c>
      <c r="B273" s="23" t="s">
        <v>64</v>
      </c>
      <c r="C273" s="24" t="s">
        <v>65</v>
      </c>
      <c r="D273" s="24">
        <v>2</v>
      </c>
      <c r="E273" s="24" t="s">
        <v>491</v>
      </c>
      <c r="F273" s="24"/>
      <c r="G273" s="24" t="s">
        <v>500</v>
      </c>
      <c r="H273" s="24">
        <v>0</v>
      </c>
      <c r="I273" s="24">
        <v>42</v>
      </c>
      <c r="J273" s="24">
        <v>42</v>
      </c>
      <c r="K273" s="24">
        <v>42</v>
      </c>
      <c r="L273" s="24">
        <v>42</v>
      </c>
      <c r="M273" s="24">
        <v>42</v>
      </c>
      <c r="N273" s="24">
        <v>42</v>
      </c>
      <c r="O273" s="24">
        <v>42</v>
      </c>
      <c r="P273" s="24">
        <v>42</v>
      </c>
      <c r="Q273" s="24">
        <v>42</v>
      </c>
      <c r="R273" s="24">
        <v>42</v>
      </c>
      <c r="S273" s="24">
        <v>42</v>
      </c>
      <c r="T273" s="24">
        <v>42</v>
      </c>
      <c r="U273" s="24">
        <v>42</v>
      </c>
      <c r="V273" s="24">
        <v>42</v>
      </c>
      <c r="W273" s="24">
        <v>42</v>
      </c>
      <c r="X273" s="24">
        <v>42</v>
      </c>
      <c r="Y273" s="24">
        <v>42</v>
      </c>
      <c r="Z273" s="24">
        <v>42</v>
      </c>
      <c r="AA273" s="24">
        <v>42</v>
      </c>
      <c r="AB273" s="24">
        <v>42</v>
      </c>
      <c r="AC273" s="24">
        <v>42</v>
      </c>
      <c r="AD273" s="24">
        <v>42</v>
      </c>
      <c r="AE273" s="24">
        <v>42</v>
      </c>
      <c r="AF273" s="24">
        <v>42</v>
      </c>
      <c r="AG273" s="24">
        <v>42</v>
      </c>
      <c r="AH273" s="24">
        <v>42</v>
      </c>
      <c r="AI273" s="24">
        <v>42</v>
      </c>
      <c r="AJ273" s="24">
        <v>42</v>
      </c>
      <c r="AK273" s="24">
        <v>42</v>
      </c>
      <c r="AL273" s="24">
        <v>42</v>
      </c>
      <c r="AM273" s="24">
        <v>42</v>
      </c>
      <c r="AN273" s="24">
        <v>42</v>
      </c>
      <c r="AO273" s="24">
        <v>42</v>
      </c>
      <c r="AP273" s="24">
        <v>42</v>
      </c>
      <c r="AQ273" s="24">
        <v>42</v>
      </c>
      <c r="AR273" s="24">
        <v>42</v>
      </c>
      <c r="AS273" s="24">
        <v>42</v>
      </c>
      <c r="AT273" s="24">
        <v>42</v>
      </c>
      <c r="AU273" s="24">
        <v>42</v>
      </c>
      <c r="AV273" s="24">
        <v>42</v>
      </c>
      <c r="AW273" s="24">
        <v>42</v>
      </c>
      <c r="AX273" s="24">
        <v>42</v>
      </c>
      <c r="AY273" s="24">
        <v>42</v>
      </c>
      <c r="AZ273" s="24">
        <v>42</v>
      </c>
      <c r="BA273" s="24">
        <v>42</v>
      </c>
      <c r="BB273" s="24">
        <v>42</v>
      </c>
      <c r="BC273" s="24">
        <v>42</v>
      </c>
      <c r="BD273" s="24">
        <v>42</v>
      </c>
      <c r="BE273" s="24">
        <v>42</v>
      </c>
      <c r="BF273" s="24">
        <v>42</v>
      </c>
      <c r="BG273" s="24">
        <v>42</v>
      </c>
      <c r="BH273" s="24">
        <v>42</v>
      </c>
      <c r="BI273" s="24">
        <v>42</v>
      </c>
      <c r="BJ273" s="24">
        <v>42</v>
      </c>
      <c r="BK273" s="24">
        <v>42</v>
      </c>
      <c r="BL273" s="24">
        <v>42</v>
      </c>
      <c r="BM273" s="24">
        <v>42</v>
      </c>
      <c r="BN273" s="24">
        <v>42</v>
      </c>
      <c r="BO273" s="24">
        <v>42</v>
      </c>
      <c r="BP273" s="24">
        <v>42</v>
      </c>
      <c r="BQ273" s="24">
        <v>42</v>
      </c>
    </row>
    <row r="274" spans="1:69" s="17" customFormat="1" hidden="1" x14ac:dyDescent="0.25">
      <c r="A274" s="23">
        <v>28</v>
      </c>
      <c r="B274" s="23" t="s">
        <v>64</v>
      </c>
      <c r="C274" s="24" t="s">
        <v>65</v>
      </c>
      <c r="D274" s="24">
        <v>3</v>
      </c>
      <c r="E274" s="24" t="s">
        <v>492</v>
      </c>
      <c r="F274" s="24"/>
      <c r="G274" s="24" t="s">
        <v>500</v>
      </c>
      <c r="H274" s="24">
        <v>0</v>
      </c>
      <c r="I274" s="24">
        <v>0.5559042748852957</v>
      </c>
      <c r="J274" s="24">
        <v>0.5559042748852957</v>
      </c>
      <c r="K274" s="24">
        <v>0.5559042748852957</v>
      </c>
      <c r="L274" s="24">
        <v>0.5559042748852957</v>
      </c>
      <c r="M274" s="24">
        <v>0.5559042748852957</v>
      </c>
      <c r="N274" s="24">
        <v>0.5559042748852957</v>
      </c>
      <c r="O274" s="24">
        <v>0.5559042748852957</v>
      </c>
      <c r="P274" s="24">
        <v>0.5559042748852957</v>
      </c>
      <c r="Q274" s="24">
        <v>0.5559042748852957</v>
      </c>
      <c r="R274" s="24">
        <v>0.5559042748852957</v>
      </c>
      <c r="S274" s="24">
        <v>0.5559042748852957</v>
      </c>
      <c r="T274" s="24">
        <v>0.5559042748852957</v>
      </c>
      <c r="U274" s="24">
        <v>0.5559042748852957</v>
      </c>
      <c r="V274" s="24">
        <v>0.5559042748852957</v>
      </c>
      <c r="W274" s="24">
        <v>0.5559042748852957</v>
      </c>
      <c r="X274" s="24">
        <v>0.5559042748852957</v>
      </c>
      <c r="Y274" s="24">
        <v>0.5559042748852957</v>
      </c>
      <c r="Z274" s="24">
        <v>0.5559042748852957</v>
      </c>
      <c r="AA274" s="24">
        <v>0.5559042748852957</v>
      </c>
      <c r="AB274" s="24">
        <v>0.5559042748852957</v>
      </c>
      <c r="AC274" s="24">
        <v>0.5559042748852957</v>
      </c>
      <c r="AD274" s="24">
        <v>0.5559042748852957</v>
      </c>
      <c r="AE274" s="24">
        <v>0.5559042748852957</v>
      </c>
      <c r="AF274" s="24">
        <v>0.5559042748852957</v>
      </c>
      <c r="AG274" s="24">
        <v>0.5559042748852957</v>
      </c>
      <c r="AH274" s="24">
        <v>0.5559042748852957</v>
      </c>
      <c r="AI274" s="24">
        <v>0.5559042748852957</v>
      </c>
      <c r="AJ274" s="24">
        <v>0.5559042748852957</v>
      </c>
      <c r="AK274" s="24">
        <v>0.5559042748852957</v>
      </c>
      <c r="AL274" s="24">
        <v>0.5559042748852957</v>
      </c>
      <c r="AM274" s="24">
        <v>0.5559042748852957</v>
      </c>
      <c r="AN274" s="24">
        <v>0.5559042748852957</v>
      </c>
      <c r="AO274" s="24">
        <v>0.5559042748852957</v>
      </c>
      <c r="AP274" s="24">
        <v>0.5559042748852957</v>
      </c>
      <c r="AQ274" s="24">
        <v>0.5559042748852957</v>
      </c>
      <c r="AR274" s="24">
        <v>0.5559042748852957</v>
      </c>
      <c r="AS274" s="24">
        <v>0.5559042748852957</v>
      </c>
      <c r="AT274" s="24">
        <v>0.5559042748852957</v>
      </c>
      <c r="AU274" s="24">
        <v>0.5559042748852957</v>
      </c>
      <c r="AV274" s="24">
        <v>0.5559042748852957</v>
      </c>
      <c r="AW274" s="24">
        <v>0.5559042748852957</v>
      </c>
      <c r="AX274" s="24">
        <v>0.5559042748852957</v>
      </c>
      <c r="AY274" s="24">
        <v>0.5559042748852957</v>
      </c>
      <c r="AZ274" s="24">
        <v>0.5559042748852957</v>
      </c>
      <c r="BA274" s="24">
        <v>0.5559042748852957</v>
      </c>
      <c r="BB274" s="24">
        <v>0.5559042748852957</v>
      </c>
      <c r="BC274" s="24">
        <v>0.5559042748852957</v>
      </c>
      <c r="BD274" s="24">
        <v>0.5559042748852957</v>
      </c>
      <c r="BE274" s="24">
        <v>0.5559042748852957</v>
      </c>
      <c r="BF274" s="24">
        <v>0.5559042748852957</v>
      </c>
      <c r="BG274" s="24">
        <v>0.5559042748852957</v>
      </c>
      <c r="BH274" s="24">
        <v>0.5559042748852957</v>
      </c>
      <c r="BI274" s="24">
        <v>0.5559042748852957</v>
      </c>
      <c r="BJ274" s="24">
        <v>0.5559042748852957</v>
      </c>
      <c r="BK274" s="24">
        <v>0.5559042748852957</v>
      </c>
      <c r="BL274" s="24">
        <v>0.5559042748852957</v>
      </c>
      <c r="BM274" s="24">
        <v>0.5559042748852957</v>
      </c>
      <c r="BN274" s="24">
        <v>0.5559042748852957</v>
      </c>
      <c r="BO274" s="24">
        <v>0.5559042748852957</v>
      </c>
      <c r="BP274" s="24">
        <v>0.5559042748852957</v>
      </c>
      <c r="BQ274" s="24">
        <v>0.5559042748852957</v>
      </c>
    </row>
    <row r="275" spans="1:69" s="17" customFormat="1" hidden="1" x14ac:dyDescent="0.25">
      <c r="A275" s="23">
        <v>28</v>
      </c>
      <c r="B275" s="23" t="s">
        <v>64</v>
      </c>
      <c r="C275" s="24" t="s">
        <v>65</v>
      </c>
      <c r="D275" s="24">
        <v>4</v>
      </c>
      <c r="E275" s="24" t="s">
        <v>493</v>
      </c>
      <c r="F275" s="24"/>
      <c r="G275" s="24" t="s">
        <v>490</v>
      </c>
      <c r="H275" s="24">
        <v>0</v>
      </c>
      <c r="I275" s="24">
        <v>0</v>
      </c>
      <c r="J275" s="24">
        <v>0</v>
      </c>
      <c r="K275" s="24">
        <v>0</v>
      </c>
      <c r="L275" s="24">
        <v>0</v>
      </c>
      <c r="M275" s="24">
        <v>0</v>
      </c>
      <c r="N275" s="24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4">
        <v>0</v>
      </c>
      <c r="AG275" s="24">
        <v>0</v>
      </c>
      <c r="AH275" s="24">
        <v>0</v>
      </c>
      <c r="AI275" s="24">
        <v>0</v>
      </c>
      <c r="AJ275" s="24">
        <v>0</v>
      </c>
      <c r="AK275" s="24">
        <v>0</v>
      </c>
      <c r="AL275" s="24">
        <v>0</v>
      </c>
      <c r="AM275" s="24">
        <v>0</v>
      </c>
      <c r="AN275" s="24">
        <v>0</v>
      </c>
      <c r="AO275" s="24">
        <v>0</v>
      </c>
      <c r="AP275" s="24">
        <v>0</v>
      </c>
      <c r="AQ275" s="24">
        <v>0</v>
      </c>
      <c r="AR275" s="24">
        <v>0</v>
      </c>
      <c r="AS275" s="24">
        <v>0</v>
      </c>
      <c r="AT275" s="24">
        <v>0</v>
      </c>
      <c r="AU275" s="24">
        <v>0</v>
      </c>
      <c r="AV275" s="24">
        <v>0</v>
      </c>
      <c r="AW275" s="24">
        <v>0</v>
      </c>
      <c r="AX275" s="24">
        <v>0</v>
      </c>
      <c r="AY275" s="24">
        <v>0</v>
      </c>
      <c r="AZ275" s="24">
        <v>0</v>
      </c>
      <c r="BA275" s="24">
        <v>0</v>
      </c>
      <c r="BB275" s="24">
        <v>0</v>
      </c>
      <c r="BC275" s="24">
        <v>0</v>
      </c>
      <c r="BD275" s="24">
        <v>0</v>
      </c>
      <c r="BE275" s="24">
        <v>0</v>
      </c>
      <c r="BF275" s="24">
        <v>0</v>
      </c>
      <c r="BG275" s="24">
        <v>0</v>
      </c>
      <c r="BH275" s="24">
        <v>0</v>
      </c>
      <c r="BI275" s="24">
        <v>0</v>
      </c>
      <c r="BJ275" s="24">
        <v>0</v>
      </c>
      <c r="BK275" s="24">
        <v>0</v>
      </c>
      <c r="BL275" s="24">
        <v>0</v>
      </c>
      <c r="BM275" s="24">
        <v>0</v>
      </c>
      <c r="BN275" s="24">
        <v>0</v>
      </c>
      <c r="BO275" s="24">
        <v>0</v>
      </c>
      <c r="BP275" s="24">
        <v>0</v>
      </c>
      <c r="BQ275" s="24">
        <v>0</v>
      </c>
    </row>
    <row r="276" spans="1:69" s="17" customFormat="1" hidden="1" x14ac:dyDescent="0.25">
      <c r="A276" s="23">
        <v>28</v>
      </c>
      <c r="B276" s="23" t="s">
        <v>64</v>
      </c>
      <c r="C276" s="24" t="s">
        <v>65</v>
      </c>
      <c r="D276" s="24">
        <v>5</v>
      </c>
      <c r="E276" s="24" t="s">
        <v>494</v>
      </c>
      <c r="F276" s="24"/>
      <c r="G276" s="24" t="s">
        <v>500</v>
      </c>
      <c r="H276" s="24">
        <v>0</v>
      </c>
      <c r="I276" s="24">
        <v>0</v>
      </c>
      <c r="J276" s="24">
        <v>0</v>
      </c>
      <c r="K276" s="24">
        <v>0</v>
      </c>
      <c r="L276" s="24">
        <v>0</v>
      </c>
      <c r="M276" s="24">
        <v>0</v>
      </c>
      <c r="N276" s="24">
        <v>0</v>
      </c>
      <c r="O276" s="24">
        <v>0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24">
        <v>0</v>
      </c>
      <c r="AD276" s="24">
        <v>0</v>
      </c>
      <c r="AE276" s="24">
        <v>0</v>
      </c>
      <c r="AF276" s="24">
        <v>0</v>
      </c>
      <c r="AG276" s="24">
        <v>0</v>
      </c>
      <c r="AH276" s="24">
        <v>0</v>
      </c>
      <c r="AI276" s="24">
        <v>0</v>
      </c>
      <c r="AJ276" s="24">
        <v>0</v>
      </c>
      <c r="AK276" s="24">
        <v>0</v>
      </c>
      <c r="AL276" s="24">
        <v>0</v>
      </c>
      <c r="AM276" s="24">
        <v>0</v>
      </c>
      <c r="AN276" s="24">
        <v>0</v>
      </c>
      <c r="AO276" s="24">
        <v>0</v>
      </c>
      <c r="AP276" s="24">
        <v>0</v>
      </c>
      <c r="AQ276" s="24">
        <v>0</v>
      </c>
      <c r="AR276" s="24">
        <v>0</v>
      </c>
      <c r="AS276" s="24">
        <v>0</v>
      </c>
      <c r="AT276" s="24">
        <v>0</v>
      </c>
      <c r="AU276" s="24">
        <v>0</v>
      </c>
      <c r="AV276" s="24">
        <v>0</v>
      </c>
      <c r="AW276" s="24">
        <v>0</v>
      </c>
      <c r="AX276" s="24">
        <v>0</v>
      </c>
      <c r="AY276" s="24">
        <v>0</v>
      </c>
      <c r="AZ276" s="24">
        <v>0</v>
      </c>
      <c r="BA276" s="24">
        <v>0</v>
      </c>
      <c r="BB276" s="24">
        <v>0</v>
      </c>
      <c r="BC276" s="24">
        <v>0</v>
      </c>
      <c r="BD276" s="24">
        <v>0</v>
      </c>
      <c r="BE276" s="24">
        <v>0</v>
      </c>
      <c r="BF276" s="24">
        <v>0</v>
      </c>
      <c r="BG276" s="24">
        <v>0</v>
      </c>
      <c r="BH276" s="24">
        <v>0</v>
      </c>
      <c r="BI276" s="24">
        <v>0</v>
      </c>
      <c r="BJ276" s="24">
        <v>0</v>
      </c>
      <c r="BK276" s="24">
        <v>0</v>
      </c>
      <c r="BL276" s="24">
        <v>0</v>
      </c>
      <c r="BM276" s="24">
        <v>0</v>
      </c>
      <c r="BN276" s="24">
        <v>0</v>
      </c>
      <c r="BO276" s="24">
        <v>0</v>
      </c>
      <c r="BP276" s="24">
        <v>0</v>
      </c>
      <c r="BQ276" s="24">
        <v>0</v>
      </c>
    </row>
    <row r="277" spans="1:69" s="17" customFormat="1" hidden="1" x14ac:dyDescent="0.25">
      <c r="A277" s="23">
        <v>28</v>
      </c>
      <c r="B277" s="23" t="s">
        <v>64</v>
      </c>
      <c r="C277" s="24" t="s">
        <v>65</v>
      </c>
      <c r="D277" s="24">
        <v>6</v>
      </c>
      <c r="E277" s="24" t="s">
        <v>495</v>
      </c>
      <c r="F277" s="24"/>
      <c r="G277" s="24" t="s">
        <v>490</v>
      </c>
      <c r="H277" s="24">
        <v>0</v>
      </c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</row>
    <row r="278" spans="1:69" s="17" customFormat="1" hidden="1" x14ac:dyDescent="0.25">
      <c r="A278" s="23">
        <v>28</v>
      </c>
      <c r="B278" s="23" t="s">
        <v>64</v>
      </c>
      <c r="C278" s="24" t="s">
        <v>65</v>
      </c>
      <c r="D278" s="24">
        <v>7</v>
      </c>
      <c r="E278" s="24" t="s">
        <v>496</v>
      </c>
      <c r="F278" s="24"/>
      <c r="G278" s="25" t="s">
        <v>500</v>
      </c>
      <c r="H278" s="26">
        <v>0</v>
      </c>
      <c r="I278" s="24">
        <v>0</v>
      </c>
      <c r="J278" s="24">
        <v>0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0</v>
      </c>
      <c r="AI278" s="24">
        <v>0</v>
      </c>
      <c r="AJ278" s="24">
        <v>0</v>
      </c>
      <c r="AK278" s="24">
        <v>0</v>
      </c>
      <c r="AL278" s="24">
        <v>0</v>
      </c>
      <c r="AM278" s="24">
        <v>0</v>
      </c>
      <c r="AN278" s="24">
        <v>0</v>
      </c>
      <c r="AO278" s="24">
        <v>0</v>
      </c>
      <c r="AP278" s="24">
        <v>0</v>
      </c>
      <c r="AQ278" s="24">
        <v>0</v>
      </c>
      <c r="AR278" s="24">
        <v>0</v>
      </c>
      <c r="AS278" s="24">
        <v>0</v>
      </c>
      <c r="AT278" s="24">
        <v>0</v>
      </c>
      <c r="AU278" s="24">
        <v>0</v>
      </c>
      <c r="AV278" s="24">
        <v>0</v>
      </c>
      <c r="AW278" s="24">
        <v>0</v>
      </c>
      <c r="AX278" s="24">
        <v>0</v>
      </c>
      <c r="AY278" s="24">
        <v>0</v>
      </c>
      <c r="AZ278" s="24">
        <v>0</v>
      </c>
      <c r="BA278" s="24">
        <v>0</v>
      </c>
      <c r="BB278" s="24">
        <v>0</v>
      </c>
      <c r="BC278" s="24">
        <v>0</v>
      </c>
      <c r="BD278" s="24">
        <v>0</v>
      </c>
      <c r="BE278" s="24">
        <v>0</v>
      </c>
      <c r="BF278" s="24">
        <v>0</v>
      </c>
      <c r="BG278" s="24">
        <v>0</v>
      </c>
      <c r="BH278" s="24">
        <v>0</v>
      </c>
      <c r="BI278" s="24">
        <v>0</v>
      </c>
      <c r="BJ278" s="24">
        <v>0</v>
      </c>
      <c r="BK278" s="24">
        <v>0</v>
      </c>
      <c r="BL278" s="24">
        <v>0</v>
      </c>
      <c r="BM278" s="24">
        <v>0</v>
      </c>
      <c r="BN278" s="24">
        <v>0</v>
      </c>
      <c r="BO278" s="24">
        <v>0</v>
      </c>
      <c r="BP278" s="24">
        <v>0</v>
      </c>
      <c r="BQ278" s="24">
        <v>0</v>
      </c>
    </row>
    <row r="279" spans="1:69" s="17" customFormat="1" hidden="1" x14ac:dyDescent="0.25">
      <c r="A279" s="23">
        <v>28</v>
      </c>
      <c r="B279" s="23" t="s">
        <v>64</v>
      </c>
      <c r="C279" s="24" t="s">
        <v>65</v>
      </c>
      <c r="D279" s="24">
        <v>8</v>
      </c>
      <c r="E279" s="24" t="s">
        <v>497</v>
      </c>
      <c r="F279" s="24"/>
      <c r="G279" s="24" t="s">
        <v>490</v>
      </c>
      <c r="H279" s="24">
        <v>0</v>
      </c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</row>
    <row r="280" spans="1:69" s="17" customFormat="1" hidden="1" x14ac:dyDescent="0.25">
      <c r="A280" s="23">
        <v>28</v>
      </c>
      <c r="B280" s="23" t="s">
        <v>64</v>
      </c>
      <c r="C280" s="24" t="s">
        <v>65</v>
      </c>
      <c r="D280" s="24">
        <v>9</v>
      </c>
      <c r="E280" s="24" t="s">
        <v>498</v>
      </c>
      <c r="F280" s="24"/>
      <c r="G280" s="24" t="s">
        <v>500</v>
      </c>
      <c r="H280" s="24">
        <v>0</v>
      </c>
      <c r="I280" s="24">
        <v>0.14030000000000001</v>
      </c>
      <c r="J280" s="24">
        <v>0.14030000000000001</v>
      </c>
      <c r="K280" s="24">
        <v>0.14030000000000001</v>
      </c>
      <c r="L280" s="24">
        <v>0.14030000000000001</v>
      </c>
      <c r="M280" s="24">
        <v>0.14030000000000001</v>
      </c>
      <c r="N280" s="24">
        <v>0.14030000000000001</v>
      </c>
      <c r="O280" s="24">
        <v>0.14030000000000001</v>
      </c>
      <c r="P280" s="24">
        <v>0.14030000000000001</v>
      </c>
      <c r="Q280" s="24">
        <v>0.14030000000000001</v>
      </c>
      <c r="R280" s="24">
        <v>0.48459999999999998</v>
      </c>
      <c r="S280" s="24">
        <v>0.48780000000000001</v>
      </c>
      <c r="T280" s="24">
        <v>0.3706666666666667</v>
      </c>
      <c r="U280" s="24">
        <v>0.14000000000000001</v>
      </c>
      <c r="V280" s="24">
        <v>0.14000000000000001</v>
      </c>
      <c r="W280" s="24">
        <v>0.14000000000000001</v>
      </c>
      <c r="X280" s="24">
        <v>0.14000000000000001</v>
      </c>
      <c r="Y280" s="24">
        <v>0.14000000000000001</v>
      </c>
      <c r="Z280" s="24">
        <v>0.14000000000000001</v>
      </c>
      <c r="AA280" s="24">
        <v>0.14000000000000001</v>
      </c>
      <c r="AB280" s="24">
        <v>0.14000000000000001</v>
      </c>
      <c r="AC280" s="24">
        <v>0.14000000000000001</v>
      </c>
      <c r="AD280" s="24">
        <v>0.14000000000000001</v>
      </c>
      <c r="AE280" s="24">
        <v>0.14000000000000001</v>
      </c>
      <c r="AF280" s="24">
        <v>0.14000000000000001</v>
      </c>
      <c r="AG280" s="24">
        <v>0.14000000000000001</v>
      </c>
      <c r="AH280" s="24">
        <v>0.14000000000000001</v>
      </c>
      <c r="AI280" s="24">
        <v>0.14000000000000001</v>
      </c>
      <c r="AJ280" s="24">
        <v>0.14000000000000001</v>
      </c>
      <c r="AK280" s="24">
        <v>0.14000000000000001</v>
      </c>
      <c r="AL280" s="24">
        <v>0.14000000000000001</v>
      </c>
      <c r="AM280" s="24">
        <v>0.14000000000000001</v>
      </c>
      <c r="AN280" s="24">
        <v>0.14000000000000001</v>
      </c>
      <c r="AO280" s="24">
        <v>0.14000000000000001</v>
      </c>
      <c r="AP280" s="24">
        <v>0.14000000000000001</v>
      </c>
      <c r="AQ280" s="24">
        <v>0.14000000000000001</v>
      </c>
      <c r="AR280" s="24">
        <v>0.14000000000000001</v>
      </c>
      <c r="AS280" s="24">
        <v>0.14000000000000001</v>
      </c>
      <c r="AT280" s="24">
        <v>0.14000000000000001</v>
      </c>
      <c r="AU280" s="24">
        <v>0.14000000000000001</v>
      </c>
      <c r="AV280" s="24">
        <v>0.14000000000000001</v>
      </c>
      <c r="AW280" s="24">
        <v>0.14000000000000001</v>
      </c>
      <c r="AX280" s="24">
        <v>0.14000000000000001</v>
      </c>
      <c r="AY280" s="24">
        <v>0.14000000000000001</v>
      </c>
      <c r="AZ280" s="24">
        <v>0.14000000000000001</v>
      </c>
      <c r="BA280" s="24">
        <v>0.14000000000000001</v>
      </c>
      <c r="BB280" s="24">
        <v>0.14000000000000001</v>
      </c>
      <c r="BC280" s="24">
        <v>0.14000000000000001</v>
      </c>
      <c r="BD280" s="24">
        <v>0.14000000000000001</v>
      </c>
      <c r="BE280" s="24">
        <v>0.14000000000000001</v>
      </c>
      <c r="BF280" s="24">
        <v>0.14000000000000001</v>
      </c>
      <c r="BG280" s="24">
        <v>0.14000000000000001</v>
      </c>
      <c r="BH280" s="24">
        <v>0.14000000000000001</v>
      </c>
      <c r="BI280" s="24">
        <v>0.14000000000000001</v>
      </c>
      <c r="BJ280" s="24">
        <v>0.14000000000000001</v>
      </c>
      <c r="BK280" s="24">
        <v>0.14000000000000001</v>
      </c>
      <c r="BL280" s="24">
        <v>0.14000000000000001</v>
      </c>
      <c r="BM280" s="24">
        <v>0.14000000000000001</v>
      </c>
      <c r="BN280" s="24">
        <v>0.14000000000000001</v>
      </c>
      <c r="BO280" s="24">
        <v>0.14000000000000001</v>
      </c>
      <c r="BP280" s="24">
        <v>0.14000000000000001</v>
      </c>
      <c r="BQ280" s="24">
        <v>0.14000000000000001</v>
      </c>
    </row>
    <row r="281" spans="1:69" s="17" customFormat="1" hidden="1" x14ac:dyDescent="0.25">
      <c r="A281" s="23">
        <v>28</v>
      </c>
      <c r="B281" s="23" t="s">
        <v>64</v>
      </c>
      <c r="C281" s="24" t="s">
        <v>65</v>
      </c>
      <c r="D281" s="24">
        <v>10</v>
      </c>
      <c r="E281" s="24" t="s">
        <v>499</v>
      </c>
      <c r="F281" s="24"/>
      <c r="G281" s="24" t="s">
        <v>501</v>
      </c>
      <c r="H281" s="24">
        <v>0</v>
      </c>
      <c r="I281" s="24">
        <v>0.95</v>
      </c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</row>
    <row r="282" spans="1:69" hidden="1" x14ac:dyDescent="0.25">
      <c r="A282" s="20">
        <v>29</v>
      </c>
      <c r="B282" s="20" t="s">
        <v>66</v>
      </c>
      <c r="C282" s="3" t="s">
        <v>67</v>
      </c>
      <c r="D282" s="3">
        <v>1</v>
      </c>
      <c r="E282" s="3" t="s">
        <v>489</v>
      </c>
      <c r="F282" s="3"/>
      <c r="G282" s="3" t="s">
        <v>500</v>
      </c>
      <c r="H282" s="3">
        <v>0</v>
      </c>
      <c r="I282" s="3">
        <v>3080.5955555555552</v>
      </c>
      <c r="J282" s="3">
        <v>3080.5955555555552</v>
      </c>
      <c r="K282" s="3">
        <v>3080.5955555555552</v>
      </c>
      <c r="L282" s="3">
        <v>3080.5955555555552</v>
      </c>
      <c r="M282" s="3">
        <v>3080.5955555555552</v>
      </c>
      <c r="N282" s="3">
        <v>3080.5955555555552</v>
      </c>
      <c r="O282" s="3">
        <v>3080.5955555555552</v>
      </c>
      <c r="P282" s="3">
        <v>3080.5955555555552</v>
      </c>
      <c r="Q282" s="3">
        <v>3080.5955555555552</v>
      </c>
      <c r="R282" s="3">
        <v>3080.5955555555552</v>
      </c>
      <c r="S282" s="3">
        <v>3080.5955555555552</v>
      </c>
      <c r="T282" s="3">
        <v>3080.5955555555552</v>
      </c>
      <c r="U282" s="3">
        <v>3080.5955555555552</v>
      </c>
      <c r="V282" s="3">
        <v>3080.5955555555552</v>
      </c>
      <c r="W282" s="3">
        <v>3080.5955555555552</v>
      </c>
      <c r="X282" s="3">
        <v>3080.5955555555552</v>
      </c>
      <c r="Y282" s="3">
        <v>3080.5955555555552</v>
      </c>
      <c r="Z282" s="3">
        <v>3080.5955555555552</v>
      </c>
      <c r="AA282" s="3">
        <v>3080.5955555555552</v>
      </c>
      <c r="AB282" s="3">
        <v>3080.5955555555552</v>
      </c>
      <c r="AC282" s="3">
        <v>3080.5955555555552</v>
      </c>
      <c r="AD282" s="3">
        <v>3080.5955555555552</v>
      </c>
      <c r="AE282" s="3">
        <v>3080.5955555555552</v>
      </c>
      <c r="AF282" s="3">
        <v>3080.5955555555552</v>
      </c>
      <c r="AG282" s="3">
        <v>3080.5955555555552</v>
      </c>
      <c r="AH282" s="3">
        <v>3080.5955555555552</v>
      </c>
      <c r="AI282" s="3">
        <v>3080.5955555555552</v>
      </c>
      <c r="AJ282" s="3">
        <v>3080.5955555555552</v>
      </c>
      <c r="AK282" s="3">
        <v>3080.5955555555552</v>
      </c>
      <c r="AL282" s="3">
        <v>3080.5955555555552</v>
      </c>
      <c r="AM282" s="3">
        <v>3080.5955555555552</v>
      </c>
      <c r="AN282" s="3">
        <v>3080.5955555555552</v>
      </c>
      <c r="AO282" s="3">
        <v>3080.5955555555552</v>
      </c>
      <c r="AP282" s="3">
        <v>3080.5955555555552</v>
      </c>
      <c r="AQ282" s="3">
        <v>3080.5955555555552</v>
      </c>
      <c r="AR282" s="3">
        <v>3080.5955555555552</v>
      </c>
      <c r="AS282" s="3">
        <v>3080.5955555555552</v>
      </c>
      <c r="AT282" s="3">
        <v>3080.5955555555552</v>
      </c>
      <c r="AU282" s="3">
        <v>3080.5955555555552</v>
      </c>
      <c r="AV282" s="3">
        <v>3080.5955555555552</v>
      </c>
      <c r="AW282" s="3">
        <v>3080.5955555555552</v>
      </c>
      <c r="AX282" s="3">
        <v>3080.5955555555552</v>
      </c>
      <c r="AY282" s="3">
        <v>3080.5955555555552</v>
      </c>
      <c r="AZ282" s="3">
        <v>3080.5955555555552</v>
      </c>
      <c r="BA282" s="3">
        <v>3080.5955555555552</v>
      </c>
      <c r="BB282" s="3">
        <v>3080.5955555555552</v>
      </c>
      <c r="BC282" s="3">
        <v>3080.5955555555552</v>
      </c>
      <c r="BD282" s="3">
        <v>3080.5955555555552</v>
      </c>
      <c r="BE282" s="3">
        <v>3080.5955555555552</v>
      </c>
      <c r="BF282" s="3">
        <v>3080.5955555555552</v>
      </c>
      <c r="BG282" s="3">
        <v>3080.5955555555552</v>
      </c>
      <c r="BH282" s="3">
        <v>3080.5955555555552</v>
      </c>
      <c r="BI282" s="3">
        <v>3080.5955555555552</v>
      </c>
      <c r="BJ282" s="3">
        <v>3080.5955555555552</v>
      </c>
      <c r="BK282" s="3">
        <v>3080.5955555555552</v>
      </c>
      <c r="BL282" s="3">
        <v>3080.5955555555552</v>
      </c>
      <c r="BM282" s="3">
        <v>3080.5955555555552</v>
      </c>
      <c r="BN282" s="3">
        <v>3080.5955555555552</v>
      </c>
      <c r="BO282" s="3">
        <v>3080.5955555555552</v>
      </c>
      <c r="BP282" s="3">
        <v>3080.5955555555552</v>
      </c>
      <c r="BQ282" s="3">
        <v>3080.5955555555552</v>
      </c>
    </row>
    <row r="283" spans="1:69" hidden="1" x14ac:dyDescent="0.25">
      <c r="A283" s="20">
        <v>29</v>
      </c>
      <c r="B283" s="20" t="s">
        <v>66</v>
      </c>
      <c r="C283" s="3" t="s">
        <v>67</v>
      </c>
      <c r="D283" s="3">
        <v>2</v>
      </c>
      <c r="E283" s="3" t="s">
        <v>491</v>
      </c>
      <c r="F283" s="3"/>
      <c r="G283" s="3" t="s">
        <v>500</v>
      </c>
      <c r="H283" s="3">
        <v>0</v>
      </c>
      <c r="I283" s="3">
        <v>65.94</v>
      </c>
      <c r="J283" s="3">
        <v>65.94</v>
      </c>
      <c r="K283" s="3">
        <v>65.94</v>
      </c>
      <c r="L283" s="3">
        <v>65.94</v>
      </c>
      <c r="M283" s="3">
        <v>65.94</v>
      </c>
      <c r="N283" s="3">
        <v>65.94</v>
      </c>
      <c r="O283" s="3">
        <v>65.94</v>
      </c>
      <c r="P283" s="3">
        <v>65.94</v>
      </c>
      <c r="Q283" s="3">
        <v>65.94</v>
      </c>
      <c r="R283" s="3">
        <v>65.94</v>
      </c>
      <c r="S283" s="3">
        <v>65.94</v>
      </c>
      <c r="T283" s="3">
        <v>65.94</v>
      </c>
      <c r="U283" s="3">
        <v>65.94</v>
      </c>
      <c r="V283" s="3">
        <v>65.94</v>
      </c>
      <c r="W283" s="3">
        <v>65.94</v>
      </c>
      <c r="X283" s="3">
        <v>65.94</v>
      </c>
      <c r="Y283" s="3">
        <v>65.94</v>
      </c>
      <c r="Z283" s="3">
        <v>65.94</v>
      </c>
      <c r="AA283" s="3">
        <v>65.94</v>
      </c>
      <c r="AB283" s="3">
        <v>65.94</v>
      </c>
      <c r="AC283" s="3">
        <v>65.94</v>
      </c>
      <c r="AD283" s="3">
        <v>65.94</v>
      </c>
      <c r="AE283" s="3">
        <v>65.94</v>
      </c>
      <c r="AF283" s="3">
        <v>65.94</v>
      </c>
      <c r="AG283" s="3">
        <v>65.94</v>
      </c>
      <c r="AH283" s="3">
        <v>65.94</v>
      </c>
      <c r="AI283" s="3">
        <v>65.94</v>
      </c>
      <c r="AJ283" s="3">
        <v>65.94</v>
      </c>
      <c r="AK283" s="3">
        <v>65.94</v>
      </c>
      <c r="AL283" s="3">
        <v>65.94</v>
      </c>
      <c r="AM283" s="3">
        <v>65.94</v>
      </c>
      <c r="AN283" s="3">
        <v>65.94</v>
      </c>
      <c r="AO283" s="3">
        <v>65.94</v>
      </c>
      <c r="AP283" s="3">
        <v>65.94</v>
      </c>
      <c r="AQ283" s="3">
        <v>65.94</v>
      </c>
      <c r="AR283" s="3">
        <v>65.94</v>
      </c>
      <c r="AS283" s="3">
        <v>65.94</v>
      </c>
      <c r="AT283" s="3">
        <v>65.94</v>
      </c>
      <c r="AU283" s="3">
        <v>65.94</v>
      </c>
      <c r="AV283" s="3">
        <v>65.94</v>
      </c>
      <c r="AW283" s="3">
        <v>65.94</v>
      </c>
      <c r="AX283" s="3">
        <v>65.94</v>
      </c>
      <c r="AY283" s="3">
        <v>65.94</v>
      </c>
      <c r="AZ283" s="3">
        <v>65.94</v>
      </c>
      <c r="BA283" s="3">
        <v>65.94</v>
      </c>
      <c r="BB283" s="3">
        <v>65.94</v>
      </c>
      <c r="BC283" s="3">
        <v>65.94</v>
      </c>
      <c r="BD283" s="3">
        <v>65.94</v>
      </c>
      <c r="BE283" s="3">
        <v>65.94</v>
      </c>
      <c r="BF283" s="3">
        <v>65.94</v>
      </c>
      <c r="BG283" s="3">
        <v>65.94</v>
      </c>
      <c r="BH283" s="3">
        <v>65.94</v>
      </c>
      <c r="BI283" s="3">
        <v>65.94</v>
      </c>
      <c r="BJ283" s="3">
        <v>65.94</v>
      </c>
      <c r="BK283" s="3">
        <v>65.94</v>
      </c>
      <c r="BL283" s="3">
        <v>65.94</v>
      </c>
      <c r="BM283" s="3">
        <v>65.94</v>
      </c>
      <c r="BN283" s="3">
        <v>65.94</v>
      </c>
      <c r="BO283" s="3">
        <v>65.94</v>
      </c>
      <c r="BP283" s="3">
        <v>65.94</v>
      </c>
      <c r="BQ283" s="3">
        <v>65.94</v>
      </c>
    </row>
    <row r="284" spans="1:69" hidden="1" x14ac:dyDescent="0.25">
      <c r="A284" s="20">
        <v>29</v>
      </c>
      <c r="B284" s="20" t="s">
        <v>66</v>
      </c>
      <c r="C284" s="3" t="s">
        <v>67</v>
      </c>
      <c r="D284" s="3">
        <v>3</v>
      </c>
      <c r="E284" s="3" t="s">
        <v>492</v>
      </c>
      <c r="F284" s="3"/>
      <c r="G284" s="3" t="s">
        <v>500</v>
      </c>
      <c r="H284" s="3">
        <v>0</v>
      </c>
      <c r="I284" s="3">
        <v>0.5559042748852957</v>
      </c>
      <c r="J284" s="3">
        <v>0.5559042748852957</v>
      </c>
      <c r="K284" s="3">
        <v>0.5559042748852957</v>
      </c>
      <c r="L284" s="3">
        <v>0.5559042748852957</v>
      </c>
      <c r="M284" s="3">
        <v>0.5559042748852957</v>
      </c>
      <c r="N284" s="3">
        <v>0.5559042748852957</v>
      </c>
      <c r="O284" s="3">
        <v>0.5559042748852957</v>
      </c>
      <c r="P284" s="3">
        <v>0.5559042748852957</v>
      </c>
      <c r="Q284" s="3">
        <v>0.5559042748852957</v>
      </c>
      <c r="R284" s="3">
        <v>0.5559042748852957</v>
      </c>
      <c r="S284" s="3">
        <v>0.5559042748852957</v>
      </c>
      <c r="T284" s="3">
        <v>0.5559042748852957</v>
      </c>
      <c r="U284" s="3">
        <v>0.5559042748852957</v>
      </c>
      <c r="V284" s="3">
        <v>0.5559042748852957</v>
      </c>
      <c r="W284" s="3">
        <v>0.5559042748852957</v>
      </c>
      <c r="X284" s="3">
        <v>0.5559042748852957</v>
      </c>
      <c r="Y284" s="3">
        <v>0.5559042748852957</v>
      </c>
      <c r="Z284" s="3">
        <v>0.5559042748852957</v>
      </c>
      <c r="AA284" s="3">
        <v>0.5559042748852957</v>
      </c>
      <c r="AB284" s="3">
        <v>0.5559042748852957</v>
      </c>
      <c r="AC284" s="3">
        <v>0.5559042748852957</v>
      </c>
      <c r="AD284" s="3">
        <v>0.5559042748852957</v>
      </c>
      <c r="AE284" s="3">
        <v>0.5559042748852957</v>
      </c>
      <c r="AF284" s="3">
        <v>0.5559042748852957</v>
      </c>
      <c r="AG284" s="3">
        <v>0.5559042748852957</v>
      </c>
      <c r="AH284" s="3">
        <v>0.5559042748852957</v>
      </c>
      <c r="AI284" s="3">
        <v>0.5559042748852957</v>
      </c>
      <c r="AJ284" s="3">
        <v>0.5559042748852957</v>
      </c>
      <c r="AK284" s="3">
        <v>0.5559042748852957</v>
      </c>
      <c r="AL284" s="3">
        <v>0.5559042748852957</v>
      </c>
      <c r="AM284" s="3">
        <v>0.5559042748852957</v>
      </c>
      <c r="AN284" s="3">
        <v>0.5559042748852957</v>
      </c>
      <c r="AO284" s="3">
        <v>0.5559042748852957</v>
      </c>
      <c r="AP284" s="3">
        <v>0.5559042748852957</v>
      </c>
      <c r="AQ284" s="3">
        <v>0.5559042748852957</v>
      </c>
      <c r="AR284" s="3">
        <v>0.5559042748852957</v>
      </c>
      <c r="AS284" s="3">
        <v>0.5559042748852957</v>
      </c>
      <c r="AT284" s="3">
        <v>0.5559042748852957</v>
      </c>
      <c r="AU284" s="3">
        <v>0.5559042748852957</v>
      </c>
      <c r="AV284" s="3">
        <v>0.5559042748852957</v>
      </c>
      <c r="AW284" s="3">
        <v>0.5559042748852957</v>
      </c>
      <c r="AX284" s="3">
        <v>0.5559042748852957</v>
      </c>
      <c r="AY284" s="3">
        <v>0.5559042748852957</v>
      </c>
      <c r="AZ284" s="3">
        <v>0.5559042748852957</v>
      </c>
      <c r="BA284" s="3">
        <v>0.5559042748852957</v>
      </c>
      <c r="BB284" s="3">
        <v>0.5559042748852957</v>
      </c>
      <c r="BC284" s="3">
        <v>0.5559042748852957</v>
      </c>
      <c r="BD284" s="3">
        <v>0.5559042748852957</v>
      </c>
      <c r="BE284" s="3">
        <v>0.5559042748852957</v>
      </c>
      <c r="BF284" s="3">
        <v>0.5559042748852957</v>
      </c>
      <c r="BG284" s="3">
        <v>0.5559042748852957</v>
      </c>
      <c r="BH284" s="3">
        <v>0.5559042748852957</v>
      </c>
      <c r="BI284" s="3">
        <v>0.5559042748852957</v>
      </c>
      <c r="BJ284" s="3">
        <v>0.5559042748852957</v>
      </c>
      <c r="BK284" s="3">
        <v>0.5559042748852957</v>
      </c>
      <c r="BL284" s="3">
        <v>0.5559042748852957</v>
      </c>
      <c r="BM284" s="3">
        <v>0.5559042748852957</v>
      </c>
      <c r="BN284" s="3">
        <v>0.5559042748852957</v>
      </c>
      <c r="BO284" s="3">
        <v>0.5559042748852957</v>
      </c>
      <c r="BP284" s="3">
        <v>0.5559042748852957</v>
      </c>
      <c r="BQ284" s="3">
        <v>0.5559042748852957</v>
      </c>
    </row>
    <row r="285" spans="1:69" hidden="1" x14ac:dyDescent="0.25">
      <c r="A285" s="20">
        <v>29</v>
      </c>
      <c r="B285" s="20" t="s">
        <v>66</v>
      </c>
      <c r="C285" s="3" t="s">
        <v>67</v>
      </c>
      <c r="D285" s="3">
        <v>4</v>
      </c>
      <c r="E285" s="3" t="s">
        <v>493</v>
      </c>
      <c r="F285" s="3"/>
      <c r="G285" s="3" t="s">
        <v>500</v>
      </c>
      <c r="H285" s="3">
        <v>0</v>
      </c>
      <c r="I285" s="3">
        <v>0.22394600056000005</v>
      </c>
      <c r="J285" s="3">
        <v>0.22314605788</v>
      </c>
      <c r="K285" s="3">
        <v>0.22609016652000002</v>
      </c>
      <c r="L285" s="3">
        <v>0.22617605300000002</v>
      </c>
      <c r="M285" s="3">
        <v>0.22451225212000006</v>
      </c>
      <c r="N285" s="3">
        <v>0.24044319548000004</v>
      </c>
      <c r="O285" s="3">
        <v>0.44404908048000008</v>
      </c>
      <c r="P285" s="3">
        <v>0.45099989328000006</v>
      </c>
      <c r="Q285" s="3">
        <v>0.54239000000000004</v>
      </c>
      <c r="R285" s="3">
        <v>0.54239000000000004</v>
      </c>
      <c r="S285" s="3">
        <v>0.54239000000000004</v>
      </c>
      <c r="T285" s="3">
        <v>0.54239000000000004</v>
      </c>
      <c r="U285" s="3">
        <v>0.54239000000000004</v>
      </c>
      <c r="V285" s="3">
        <v>0.54239000000000004</v>
      </c>
      <c r="W285" s="3">
        <v>0.54239000000000004</v>
      </c>
      <c r="X285" s="3">
        <v>0.54239000000000004</v>
      </c>
      <c r="Y285" s="3">
        <v>0.54239000000000004</v>
      </c>
      <c r="Z285" s="3">
        <v>0.54239000000000004</v>
      </c>
      <c r="AA285" s="3">
        <v>0.54239000000000004</v>
      </c>
      <c r="AB285" s="3">
        <v>0.54239000000000004</v>
      </c>
      <c r="AC285" s="3">
        <v>0.54239000000000004</v>
      </c>
      <c r="AD285" s="3">
        <v>0.54239000000000004</v>
      </c>
      <c r="AE285" s="3">
        <v>0.54239000000000004</v>
      </c>
      <c r="AF285" s="3">
        <v>0.54239000000000004</v>
      </c>
      <c r="AG285" s="3">
        <v>0.54239000000000004</v>
      </c>
      <c r="AH285" s="3">
        <v>0.54239000000000004</v>
      </c>
      <c r="AI285" s="3">
        <v>0.54239000000000004</v>
      </c>
      <c r="AJ285" s="3">
        <v>0.54239000000000004</v>
      </c>
      <c r="AK285" s="3">
        <v>0.54239000000000004</v>
      </c>
      <c r="AL285" s="3">
        <v>0.54239000000000004</v>
      </c>
      <c r="AM285" s="3">
        <v>0.54239000000000004</v>
      </c>
      <c r="AN285" s="3">
        <v>0.54239000000000004</v>
      </c>
      <c r="AO285" s="3">
        <v>0.54239000000000004</v>
      </c>
      <c r="AP285" s="3">
        <v>0.54239000000000004</v>
      </c>
      <c r="AQ285" s="3">
        <v>0.54239000000000004</v>
      </c>
      <c r="AR285" s="3">
        <v>0.54239000000000004</v>
      </c>
      <c r="AS285" s="3">
        <v>0.54239000000000004</v>
      </c>
      <c r="AT285" s="3">
        <v>0.54239000000000004</v>
      </c>
      <c r="AU285" s="3">
        <v>0.54239000000000004</v>
      </c>
      <c r="AV285" s="3">
        <v>0.54239000000000004</v>
      </c>
      <c r="AW285" s="3">
        <v>0.54239000000000004</v>
      </c>
      <c r="AX285" s="3">
        <v>0.54239000000000004</v>
      </c>
      <c r="AY285" s="3">
        <v>0.54239000000000004</v>
      </c>
      <c r="AZ285" s="3">
        <v>0.54239000000000004</v>
      </c>
      <c r="BA285" s="3">
        <v>0.54239000000000004</v>
      </c>
      <c r="BB285" s="3">
        <v>0.54239000000000004</v>
      </c>
      <c r="BC285" s="3">
        <v>0.54239000000000004</v>
      </c>
      <c r="BD285" s="3">
        <v>0.54239000000000004</v>
      </c>
      <c r="BE285" s="3">
        <v>0.54239000000000004</v>
      </c>
      <c r="BF285" s="3">
        <v>0.54239000000000004</v>
      </c>
      <c r="BG285" s="3">
        <v>0.54239000000000004</v>
      </c>
      <c r="BH285" s="3">
        <v>0.54239000000000004</v>
      </c>
      <c r="BI285" s="3">
        <v>0.54239000000000004</v>
      </c>
      <c r="BJ285" s="3">
        <v>0.54239000000000004</v>
      </c>
      <c r="BK285" s="3">
        <v>0.54239000000000004</v>
      </c>
      <c r="BL285" s="3">
        <v>0.54239000000000004</v>
      </c>
      <c r="BM285" s="3">
        <v>0.54239000000000004</v>
      </c>
      <c r="BN285" s="3">
        <v>0.54239000000000004</v>
      </c>
      <c r="BO285" s="3">
        <v>0.54239000000000004</v>
      </c>
      <c r="BP285" s="3">
        <v>0.54239000000000004</v>
      </c>
      <c r="BQ285" s="3">
        <v>0.54239000000000004</v>
      </c>
    </row>
    <row r="286" spans="1:69" hidden="1" x14ac:dyDescent="0.25">
      <c r="A286" s="20">
        <v>29</v>
      </c>
      <c r="B286" s="20" t="s">
        <v>66</v>
      </c>
      <c r="C286" s="3" t="s">
        <v>67</v>
      </c>
      <c r="D286" s="3">
        <v>5</v>
      </c>
      <c r="E286" s="3" t="s">
        <v>494</v>
      </c>
      <c r="F286" s="3"/>
      <c r="G286" s="3" t="s">
        <v>500</v>
      </c>
      <c r="H286" s="3">
        <v>0</v>
      </c>
      <c r="I286" s="3">
        <v>0.22394600056000005</v>
      </c>
      <c r="J286" s="3">
        <v>0.22314605788</v>
      </c>
      <c r="K286" s="3">
        <v>0.22609016652000002</v>
      </c>
      <c r="L286" s="3">
        <v>0.22617605300000002</v>
      </c>
      <c r="M286" s="3">
        <v>0.22451225212000006</v>
      </c>
      <c r="N286" s="3">
        <v>0.24044319548000004</v>
      </c>
      <c r="O286" s="3">
        <v>0.44404908048000008</v>
      </c>
      <c r="P286" s="3">
        <v>0.45099989328000006</v>
      </c>
      <c r="Q286" s="3">
        <v>0.54239000000000004</v>
      </c>
      <c r="R286" s="3">
        <v>0.55239000000000005</v>
      </c>
      <c r="S286" s="3">
        <v>0.55239000000000005</v>
      </c>
      <c r="T286" s="3">
        <v>0.55239000000000005</v>
      </c>
      <c r="U286" s="3">
        <v>99999</v>
      </c>
      <c r="V286" s="3">
        <v>99999</v>
      </c>
      <c r="W286" s="3">
        <v>99999</v>
      </c>
      <c r="X286" s="3">
        <v>99999</v>
      </c>
      <c r="Y286" s="3">
        <v>99999</v>
      </c>
      <c r="Z286" s="3">
        <v>99999</v>
      </c>
      <c r="AA286" s="3">
        <v>99999</v>
      </c>
      <c r="AB286" s="3">
        <v>99999</v>
      </c>
      <c r="AC286" s="3">
        <v>99999</v>
      </c>
      <c r="AD286" s="3">
        <v>99999</v>
      </c>
      <c r="AE286" s="3">
        <v>99999</v>
      </c>
      <c r="AF286" s="3">
        <v>99999</v>
      </c>
      <c r="AG286" s="3">
        <v>99999</v>
      </c>
      <c r="AH286" s="3">
        <v>99999</v>
      </c>
      <c r="AI286" s="3">
        <v>99999</v>
      </c>
      <c r="AJ286" s="3">
        <v>99999</v>
      </c>
      <c r="AK286" s="3">
        <v>99999</v>
      </c>
      <c r="AL286" s="3">
        <v>99999</v>
      </c>
      <c r="AM286" s="3">
        <v>99999</v>
      </c>
      <c r="AN286" s="3">
        <v>99999</v>
      </c>
      <c r="AO286" s="3">
        <v>99999</v>
      </c>
      <c r="AP286" s="3">
        <v>99999</v>
      </c>
      <c r="AQ286" s="3">
        <v>99999</v>
      </c>
      <c r="AR286" s="3">
        <v>99999</v>
      </c>
      <c r="AS286" s="3">
        <v>99999</v>
      </c>
      <c r="AT286" s="3">
        <v>99999</v>
      </c>
      <c r="AU286" s="3">
        <v>99999</v>
      </c>
      <c r="AV286" s="3">
        <v>99999</v>
      </c>
      <c r="AW286" s="3">
        <v>99999</v>
      </c>
      <c r="AX286" s="3">
        <v>99999</v>
      </c>
      <c r="AY286" s="3">
        <v>99999</v>
      </c>
      <c r="AZ286" s="3">
        <v>99999</v>
      </c>
      <c r="BA286" s="3">
        <v>99999</v>
      </c>
      <c r="BB286" s="3">
        <v>99999</v>
      </c>
      <c r="BC286" s="3">
        <v>99999</v>
      </c>
      <c r="BD286" s="3">
        <v>99999</v>
      </c>
      <c r="BE286" s="3">
        <v>99999</v>
      </c>
      <c r="BF286" s="3">
        <v>99999</v>
      </c>
      <c r="BG286" s="3">
        <v>99999</v>
      </c>
      <c r="BH286" s="3">
        <v>99999</v>
      </c>
      <c r="BI286" s="3">
        <v>99999</v>
      </c>
      <c r="BJ286" s="3">
        <v>99999</v>
      </c>
      <c r="BK286" s="3">
        <v>99999</v>
      </c>
      <c r="BL286" s="3">
        <v>99999</v>
      </c>
      <c r="BM286" s="3">
        <v>99999</v>
      </c>
      <c r="BN286" s="3">
        <v>99999</v>
      </c>
      <c r="BO286" s="3">
        <v>99999</v>
      </c>
      <c r="BP286" s="3">
        <v>99999</v>
      </c>
      <c r="BQ286" s="3">
        <v>99999</v>
      </c>
    </row>
    <row r="287" spans="1:69" hidden="1" x14ac:dyDescent="0.25">
      <c r="A287" s="20">
        <v>29</v>
      </c>
      <c r="B287" s="20" t="s">
        <v>66</v>
      </c>
      <c r="C287" s="3" t="s">
        <v>67</v>
      </c>
      <c r="D287" s="3">
        <v>6</v>
      </c>
      <c r="E287" s="3" t="s">
        <v>495</v>
      </c>
      <c r="F287" s="3"/>
      <c r="G287" s="3" t="s">
        <v>490</v>
      </c>
      <c r="H287" s="3">
        <v>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hidden="1" x14ac:dyDescent="0.25">
      <c r="A288" s="20">
        <v>29</v>
      </c>
      <c r="B288" s="20" t="s">
        <v>66</v>
      </c>
      <c r="C288" s="3" t="s">
        <v>67</v>
      </c>
      <c r="D288" s="3">
        <v>7</v>
      </c>
      <c r="E288" s="3" t="s">
        <v>496</v>
      </c>
      <c r="F288" s="3"/>
      <c r="G288" s="21" t="s">
        <v>500</v>
      </c>
      <c r="H288" s="22">
        <v>0</v>
      </c>
      <c r="I288" s="3">
        <v>3.6188390100651526</v>
      </c>
      <c r="J288" s="3">
        <v>4.6651846571393412</v>
      </c>
      <c r="K288" s="3">
        <v>5.1282250816555512</v>
      </c>
      <c r="L288" s="3">
        <v>4.6257947929723509</v>
      </c>
      <c r="M288" s="3">
        <v>4.8013730172911675</v>
      </c>
      <c r="N288" s="3">
        <v>5.4877623524563734</v>
      </c>
      <c r="O288" s="3">
        <v>6.6350969065969929</v>
      </c>
      <c r="P288" s="3">
        <v>8.4181168218155218</v>
      </c>
      <c r="Q288" s="3">
        <v>9.6891999999999996</v>
      </c>
      <c r="R288" s="3">
        <v>11.860099999999999</v>
      </c>
      <c r="S288" s="3">
        <v>10.1968</v>
      </c>
      <c r="T288" s="3">
        <v>10.9937</v>
      </c>
      <c r="U288" s="3">
        <v>10.525699999999999</v>
      </c>
      <c r="V288" s="3">
        <v>10.932599999999999</v>
      </c>
      <c r="W288" s="3">
        <v>11.0291</v>
      </c>
      <c r="X288" s="3">
        <v>11.398199999999999</v>
      </c>
      <c r="Y288" s="3">
        <v>11.7623</v>
      </c>
      <c r="Z288" s="3">
        <v>12.2052</v>
      </c>
      <c r="AA288" s="3">
        <v>12.1975</v>
      </c>
      <c r="AB288" s="3">
        <v>12.515599999999999</v>
      </c>
      <c r="AC288" s="3">
        <v>12.9247</v>
      </c>
      <c r="AD288" s="3">
        <v>13.2005</v>
      </c>
      <c r="AE288" s="3">
        <v>13.6395</v>
      </c>
      <c r="AF288" s="3">
        <v>14.099500000000001</v>
      </c>
      <c r="AG288" s="3">
        <v>14.537000000000001</v>
      </c>
      <c r="AH288" s="3">
        <v>14.933300000000001</v>
      </c>
      <c r="AI288" s="3">
        <v>15.4123</v>
      </c>
      <c r="AJ288" s="3">
        <v>15.808</v>
      </c>
      <c r="AK288" s="3">
        <v>16.2622</v>
      </c>
      <c r="AL288" s="3">
        <v>16.7163</v>
      </c>
      <c r="AM288" s="3">
        <v>17.167899999999999</v>
      </c>
      <c r="AN288" s="3">
        <v>17.5945</v>
      </c>
      <c r="AO288" s="3">
        <v>18.047499999999999</v>
      </c>
      <c r="AP288" s="3">
        <v>18.385099999999998</v>
      </c>
      <c r="AQ288" s="3">
        <v>18.838499999999996</v>
      </c>
      <c r="AR288" s="3">
        <v>19.206799999999998</v>
      </c>
      <c r="AS288" s="3">
        <v>19.688099999999999</v>
      </c>
      <c r="AT288" s="3">
        <v>20.063699999999997</v>
      </c>
      <c r="AU288" s="3">
        <v>20.451399999999996</v>
      </c>
      <c r="AV288" s="3">
        <v>20.832699999999996</v>
      </c>
      <c r="AW288" s="3">
        <v>21.229899999999997</v>
      </c>
      <c r="AX288" s="3">
        <v>22.048399999999997</v>
      </c>
      <c r="AY288" s="3">
        <v>22.474099999999996</v>
      </c>
      <c r="AZ288" s="3">
        <v>22.903199999999995</v>
      </c>
      <c r="BA288" s="3">
        <v>23.330599999999993</v>
      </c>
      <c r="BB288" s="3">
        <v>23.771699999999992</v>
      </c>
      <c r="BC288" s="3">
        <v>24.209299999999992</v>
      </c>
      <c r="BD288" s="3">
        <v>24.646899999999992</v>
      </c>
      <c r="BE288" s="3">
        <v>25.084599999999991</v>
      </c>
      <c r="BF288" s="3">
        <v>25.52559999999999</v>
      </c>
      <c r="BG288" s="3">
        <v>25.973499999999991</v>
      </c>
      <c r="BH288" s="3">
        <v>26.424699999999991</v>
      </c>
      <c r="BI288" s="3">
        <v>26.882799999999992</v>
      </c>
      <c r="BJ288" s="3">
        <v>27.339199999999991</v>
      </c>
      <c r="BK288" s="3">
        <v>27.800699999999992</v>
      </c>
      <c r="BL288" s="3">
        <v>28.267299999999992</v>
      </c>
      <c r="BM288" s="3">
        <v>28.733899999999991</v>
      </c>
      <c r="BN288" s="3">
        <v>29.20389999999999</v>
      </c>
      <c r="BO288" s="3">
        <v>29.677299999999992</v>
      </c>
      <c r="BP288" s="3">
        <v>30.155799999999992</v>
      </c>
      <c r="BQ288" s="3">
        <v>30.637699999999992</v>
      </c>
    </row>
    <row r="289" spans="1:69" hidden="1" x14ac:dyDescent="0.25">
      <c r="A289" s="20">
        <v>29</v>
      </c>
      <c r="B289" s="20" t="s">
        <v>66</v>
      </c>
      <c r="C289" s="3" t="s">
        <v>67</v>
      </c>
      <c r="D289" s="3">
        <v>8</v>
      </c>
      <c r="E289" s="3" t="s">
        <v>497</v>
      </c>
      <c r="F289" s="3"/>
      <c r="G289" s="3" t="s">
        <v>490</v>
      </c>
      <c r="H289" s="3">
        <v>0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hidden="1" x14ac:dyDescent="0.25">
      <c r="A290" s="20">
        <v>29</v>
      </c>
      <c r="B290" s="20" t="s">
        <v>66</v>
      </c>
      <c r="C290" s="3" t="s">
        <v>67</v>
      </c>
      <c r="D290" s="3">
        <v>9</v>
      </c>
      <c r="E290" s="3" t="s">
        <v>498</v>
      </c>
      <c r="F290" s="3"/>
      <c r="G290" s="3" t="s">
        <v>500</v>
      </c>
      <c r="H290" s="3">
        <v>0</v>
      </c>
      <c r="I290" s="3">
        <v>0.54479999999999995</v>
      </c>
      <c r="J290" s="3">
        <v>0.70489999999999997</v>
      </c>
      <c r="K290" s="3">
        <v>0.76480000000000004</v>
      </c>
      <c r="L290" s="3">
        <v>0.68959999999999999</v>
      </c>
      <c r="M290" s="3">
        <v>0.72099999999999997</v>
      </c>
      <c r="N290" s="3">
        <v>0.76949999999999996</v>
      </c>
      <c r="O290" s="3">
        <v>0.50380000000000003</v>
      </c>
      <c r="P290" s="3">
        <v>0.62929999999999997</v>
      </c>
      <c r="Q290" s="3">
        <v>0.60229999999999995</v>
      </c>
      <c r="R290" s="3">
        <v>0.72389999999999999</v>
      </c>
      <c r="S290" s="3">
        <v>0.68720000000000003</v>
      </c>
      <c r="T290" s="3">
        <v>0.72909999999999997</v>
      </c>
      <c r="U290" s="3">
        <v>0.6</v>
      </c>
      <c r="V290" s="3">
        <v>0.6</v>
      </c>
      <c r="W290" s="3">
        <v>0.6</v>
      </c>
      <c r="X290" s="3">
        <v>0.6</v>
      </c>
      <c r="Y290" s="3">
        <v>0.6</v>
      </c>
      <c r="Z290" s="3">
        <v>0.6</v>
      </c>
      <c r="AA290" s="3">
        <v>0.6</v>
      </c>
      <c r="AB290" s="3">
        <v>0.6</v>
      </c>
      <c r="AC290" s="3">
        <v>0.6</v>
      </c>
      <c r="AD290" s="3">
        <v>0.6</v>
      </c>
      <c r="AE290" s="3">
        <v>0.6</v>
      </c>
      <c r="AF290" s="3">
        <v>0.6</v>
      </c>
      <c r="AG290" s="3">
        <v>0.6</v>
      </c>
      <c r="AH290" s="3">
        <v>0.6</v>
      </c>
      <c r="AI290" s="3">
        <v>0.6</v>
      </c>
      <c r="AJ290" s="3">
        <v>0.6</v>
      </c>
      <c r="AK290" s="3">
        <v>0.6</v>
      </c>
      <c r="AL290" s="3">
        <v>0.6</v>
      </c>
      <c r="AM290" s="3">
        <v>0.6</v>
      </c>
      <c r="AN290" s="3">
        <v>0.6</v>
      </c>
      <c r="AO290" s="3">
        <v>0.6</v>
      </c>
      <c r="AP290" s="3">
        <v>0.6</v>
      </c>
      <c r="AQ290" s="3">
        <v>0.6</v>
      </c>
      <c r="AR290" s="3">
        <v>0.6</v>
      </c>
      <c r="AS290" s="3">
        <v>0.6</v>
      </c>
      <c r="AT290" s="3">
        <v>0.6</v>
      </c>
      <c r="AU290" s="3">
        <v>0.6</v>
      </c>
      <c r="AV290" s="3">
        <v>0.6</v>
      </c>
      <c r="AW290" s="3">
        <v>0.6</v>
      </c>
      <c r="AX290" s="3">
        <v>0.6</v>
      </c>
      <c r="AY290" s="3">
        <v>0.6</v>
      </c>
      <c r="AZ290" s="3">
        <v>0.6</v>
      </c>
      <c r="BA290" s="3">
        <v>0.6</v>
      </c>
      <c r="BB290" s="3">
        <v>0.6</v>
      </c>
      <c r="BC290" s="3">
        <v>0.6</v>
      </c>
      <c r="BD290" s="3">
        <v>0.6</v>
      </c>
      <c r="BE290" s="3">
        <v>0.6</v>
      </c>
      <c r="BF290" s="3">
        <v>0.6</v>
      </c>
      <c r="BG290" s="3">
        <v>0.6</v>
      </c>
      <c r="BH290" s="3">
        <v>0.6</v>
      </c>
      <c r="BI290" s="3">
        <v>0.6</v>
      </c>
      <c r="BJ290" s="3">
        <v>0.6</v>
      </c>
      <c r="BK290" s="3">
        <v>0.6</v>
      </c>
      <c r="BL290" s="3">
        <v>0.6</v>
      </c>
      <c r="BM290" s="3">
        <v>0.6</v>
      </c>
      <c r="BN290" s="3">
        <v>0.6</v>
      </c>
      <c r="BO290" s="3">
        <v>0.6</v>
      </c>
      <c r="BP290" s="3">
        <v>0.6</v>
      </c>
      <c r="BQ290" s="3">
        <v>0.6</v>
      </c>
    </row>
    <row r="291" spans="1:69" hidden="1" x14ac:dyDescent="0.25">
      <c r="A291" s="20">
        <v>29</v>
      </c>
      <c r="B291" s="20" t="s">
        <v>66</v>
      </c>
      <c r="C291" s="3" t="s">
        <v>67</v>
      </c>
      <c r="D291" s="3">
        <v>10</v>
      </c>
      <c r="E291" s="3" t="s">
        <v>499</v>
      </c>
      <c r="F291" s="3"/>
      <c r="G291" s="3" t="s">
        <v>501</v>
      </c>
      <c r="H291" s="3">
        <v>0</v>
      </c>
      <c r="I291" s="3">
        <v>0.95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s="17" customFormat="1" hidden="1" x14ac:dyDescent="0.25">
      <c r="A292" s="23">
        <v>30</v>
      </c>
      <c r="B292" s="23" t="s">
        <v>68</v>
      </c>
      <c r="C292" s="24" t="s">
        <v>69</v>
      </c>
      <c r="D292" s="24">
        <v>1</v>
      </c>
      <c r="E292" s="24" t="s">
        <v>489</v>
      </c>
      <c r="F292" s="24"/>
      <c r="G292" s="24" t="s">
        <v>500</v>
      </c>
      <c r="H292" s="24">
        <v>0</v>
      </c>
      <c r="I292" s="24">
        <v>2740.8264285714286</v>
      </c>
      <c r="J292" s="24">
        <v>2740.8264285714286</v>
      </c>
      <c r="K292" s="24">
        <v>2740.8264285714286</v>
      </c>
      <c r="L292" s="24">
        <v>2740.8264285714286</v>
      </c>
      <c r="M292" s="24">
        <v>2740.8264285714286</v>
      </c>
      <c r="N292" s="24">
        <v>2740.8264285714286</v>
      </c>
      <c r="O292" s="24">
        <v>2740.8264285714286</v>
      </c>
      <c r="P292" s="24">
        <v>2740.8264285714286</v>
      </c>
      <c r="Q292" s="24">
        <v>2740.8264285714286</v>
      </c>
      <c r="R292" s="24">
        <v>2740.8264285714286</v>
      </c>
      <c r="S292" s="24">
        <v>2740.8264285714286</v>
      </c>
      <c r="T292" s="24">
        <v>2740.8264285714286</v>
      </c>
      <c r="U292" s="24">
        <v>2740.8264285714286</v>
      </c>
      <c r="V292" s="24">
        <v>2740.8264285714286</v>
      </c>
      <c r="W292" s="24">
        <v>2740.8264285714286</v>
      </c>
      <c r="X292" s="24">
        <v>2740.8264285714286</v>
      </c>
      <c r="Y292" s="24">
        <v>2740.8264285714286</v>
      </c>
      <c r="Z292" s="24">
        <v>2740.8264285714286</v>
      </c>
      <c r="AA292" s="24">
        <v>2740.8264285714286</v>
      </c>
      <c r="AB292" s="24">
        <v>2740.8264285714286</v>
      </c>
      <c r="AC292" s="24">
        <v>2740.8264285714286</v>
      </c>
      <c r="AD292" s="24">
        <v>2740.8264285714286</v>
      </c>
      <c r="AE292" s="24">
        <v>2740.8264285714286</v>
      </c>
      <c r="AF292" s="24">
        <v>2740.8264285714286</v>
      </c>
      <c r="AG292" s="24">
        <v>2740.8264285714286</v>
      </c>
      <c r="AH292" s="24">
        <v>2740.8264285714286</v>
      </c>
      <c r="AI292" s="24">
        <v>2740.8264285714286</v>
      </c>
      <c r="AJ292" s="24">
        <v>2740.8264285714286</v>
      </c>
      <c r="AK292" s="24">
        <v>2740.8264285714286</v>
      </c>
      <c r="AL292" s="24">
        <v>2740.8264285714286</v>
      </c>
      <c r="AM292" s="24">
        <v>2740.8264285714286</v>
      </c>
      <c r="AN292" s="24">
        <v>2740.8264285714286</v>
      </c>
      <c r="AO292" s="24">
        <v>2740.8264285714286</v>
      </c>
      <c r="AP292" s="24">
        <v>2740.8264285714286</v>
      </c>
      <c r="AQ292" s="24">
        <v>2740.8264285714286</v>
      </c>
      <c r="AR292" s="24">
        <v>2740.8264285714286</v>
      </c>
      <c r="AS292" s="24">
        <v>2740.8264285714286</v>
      </c>
      <c r="AT292" s="24">
        <v>2740.8264285714286</v>
      </c>
      <c r="AU292" s="24">
        <v>2740.8264285714286</v>
      </c>
      <c r="AV292" s="24">
        <v>2740.8264285714286</v>
      </c>
      <c r="AW292" s="24">
        <v>2740.8264285714286</v>
      </c>
      <c r="AX292" s="24">
        <v>2740.8264285714286</v>
      </c>
      <c r="AY292" s="24">
        <v>2740.8264285714286</v>
      </c>
      <c r="AZ292" s="24">
        <v>2740.8264285714286</v>
      </c>
      <c r="BA292" s="24">
        <v>2740.8264285714286</v>
      </c>
      <c r="BB292" s="24">
        <v>2740.8264285714286</v>
      </c>
      <c r="BC292" s="24">
        <v>2740.8264285714286</v>
      </c>
      <c r="BD292" s="24">
        <v>2740.8264285714286</v>
      </c>
      <c r="BE292" s="24">
        <v>2740.8264285714286</v>
      </c>
      <c r="BF292" s="24">
        <v>2740.8264285714286</v>
      </c>
      <c r="BG292" s="24">
        <v>2740.8264285714286</v>
      </c>
      <c r="BH292" s="24">
        <v>2740.8264285714286</v>
      </c>
      <c r="BI292" s="24">
        <v>2740.8264285714286</v>
      </c>
      <c r="BJ292" s="24">
        <v>2740.8264285714286</v>
      </c>
      <c r="BK292" s="24">
        <v>2740.8264285714286</v>
      </c>
      <c r="BL292" s="24">
        <v>2740.8264285714286</v>
      </c>
      <c r="BM292" s="24">
        <v>2740.8264285714286</v>
      </c>
      <c r="BN292" s="24">
        <v>2740.8264285714286</v>
      </c>
      <c r="BO292" s="24">
        <v>2740.8264285714286</v>
      </c>
      <c r="BP292" s="24">
        <v>2740.8264285714286</v>
      </c>
      <c r="BQ292" s="24">
        <v>2740.8264285714286</v>
      </c>
    </row>
    <row r="293" spans="1:69" s="17" customFormat="1" hidden="1" x14ac:dyDescent="0.25">
      <c r="A293" s="23">
        <v>30</v>
      </c>
      <c r="B293" s="23" t="s">
        <v>68</v>
      </c>
      <c r="C293" s="24" t="s">
        <v>69</v>
      </c>
      <c r="D293" s="24">
        <v>2</v>
      </c>
      <c r="E293" s="24" t="s">
        <v>491</v>
      </c>
      <c r="F293" s="24"/>
      <c r="G293" s="24" t="s">
        <v>500</v>
      </c>
      <c r="H293" s="24">
        <v>0</v>
      </c>
      <c r="I293" s="24">
        <v>50</v>
      </c>
      <c r="J293" s="24">
        <v>50</v>
      </c>
      <c r="K293" s="24">
        <v>50</v>
      </c>
      <c r="L293" s="24">
        <v>50</v>
      </c>
      <c r="M293" s="24">
        <v>50</v>
      </c>
      <c r="N293" s="24">
        <v>50</v>
      </c>
      <c r="O293" s="24">
        <v>50</v>
      </c>
      <c r="P293" s="24">
        <v>50</v>
      </c>
      <c r="Q293" s="24">
        <v>50</v>
      </c>
      <c r="R293" s="24">
        <v>50</v>
      </c>
      <c r="S293" s="24">
        <v>50</v>
      </c>
      <c r="T293" s="24">
        <v>50</v>
      </c>
      <c r="U293" s="24">
        <v>50</v>
      </c>
      <c r="V293" s="24">
        <v>50</v>
      </c>
      <c r="W293" s="24">
        <v>50</v>
      </c>
      <c r="X293" s="24">
        <v>50</v>
      </c>
      <c r="Y293" s="24">
        <v>50</v>
      </c>
      <c r="Z293" s="24">
        <v>50</v>
      </c>
      <c r="AA293" s="24">
        <v>50</v>
      </c>
      <c r="AB293" s="24">
        <v>50</v>
      </c>
      <c r="AC293" s="24">
        <v>50</v>
      </c>
      <c r="AD293" s="24">
        <v>50</v>
      </c>
      <c r="AE293" s="24">
        <v>50</v>
      </c>
      <c r="AF293" s="24">
        <v>50</v>
      </c>
      <c r="AG293" s="24">
        <v>50</v>
      </c>
      <c r="AH293" s="24">
        <v>50</v>
      </c>
      <c r="AI293" s="24">
        <v>50</v>
      </c>
      <c r="AJ293" s="24">
        <v>50</v>
      </c>
      <c r="AK293" s="24">
        <v>50</v>
      </c>
      <c r="AL293" s="24">
        <v>50</v>
      </c>
      <c r="AM293" s="24">
        <v>50</v>
      </c>
      <c r="AN293" s="24">
        <v>50</v>
      </c>
      <c r="AO293" s="24">
        <v>50</v>
      </c>
      <c r="AP293" s="24">
        <v>50</v>
      </c>
      <c r="AQ293" s="24">
        <v>50</v>
      </c>
      <c r="AR293" s="24">
        <v>50</v>
      </c>
      <c r="AS293" s="24">
        <v>50</v>
      </c>
      <c r="AT293" s="24">
        <v>50</v>
      </c>
      <c r="AU293" s="24">
        <v>50</v>
      </c>
      <c r="AV293" s="24">
        <v>50</v>
      </c>
      <c r="AW293" s="24">
        <v>50</v>
      </c>
      <c r="AX293" s="24">
        <v>50</v>
      </c>
      <c r="AY293" s="24">
        <v>50</v>
      </c>
      <c r="AZ293" s="24">
        <v>50</v>
      </c>
      <c r="BA293" s="24">
        <v>50</v>
      </c>
      <c r="BB293" s="24">
        <v>50</v>
      </c>
      <c r="BC293" s="24">
        <v>50</v>
      </c>
      <c r="BD293" s="24">
        <v>50</v>
      </c>
      <c r="BE293" s="24">
        <v>50</v>
      </c>
      <c r="BF293" s="24">
        <v>50</v>
      </c>
      <c r="BG293" s="24">
        <v>50</v>
      </c>
      <c r="BH293" s="24">
        <v>50</v>
      </c>
      <c r="BI293" s="24">
        <v>50</v>
      </c>
      <c r="BJ293" s="24">
        <v>50</v>
      </c>
      <c r="BK293" s="24">
        <v>50</v>
      </c>
      <c r="BL293" s="24">
        <v>50</v>
      </c>
      <c r="BM293" s="24">
        <v>50</v>
      </c>
      <c r="BN293" s="24">
        <v>50</v>
      </c>
      <c r="BO293" s="24">
        <v>50</v>
      </c>
      <c r="BP293" s="24">
        <v>50</v>
      </c>
      <c r="BQ293" s="24">
        <v>50</v>
      </c>
    </row>
    <row r="294" spans="1:69" s="17" customFormat="1" hidden="1" x14ac:dyDescent="0.25">
      <c r="A294" s="23">
        <v>30</v>
      </c>
      <c r="B294" s="23" t="s">
        <v>68</v>
      </c>
      <c r="C294" s="24" t="s">
        <v>69</v>
      </c>
      <c r="D294" s="24">
        <v>3</v>
      </c>
      <c r="E294" s="24" t="s">
        <v>492</v>
      </c>
      <c r="F294" s="24"/>
      <c r="G294" s="24" t="s">
        <v>500</v>
      </c>
      <c r="H294" s="24">
        <v>0</v>
      </c>
      <c r="I294" s="24">
        <v>0.5559042748852957</v>
      </c>
      <c r="J294" s="24">
        <v>0.5559042748852957</v>
      </c>
      <c r="K294" s="24">
        <v>0.5559042748852957</v>
      </c>
      <c r="L294" s="24">
        <v>0.5559042748852957</v>
      </c>
      <c r="M294" s="24">
        <v>0.5559042748852957</v>
      </c>
      <c r="N294" s="24">
        <v>0.5559042748852957</v>
      </c>
      <c r="O294" s="24">
        <v>0.5559042748852957</v>
      </c>
      <c r="P294" s="24">
        <v>0.5559042748852957</v>
      </c>
      <c r="Q294" s="24">
        <v>0.5559042748852957</v>
      </c>
      <c r="R294" s="24">
        <v>0.5559042748852957</v>
      </c>
      <c r="S294" s="24">
        <v>0.5559042748852957</v>
      </c>
      <c r="T294" s="24">
        <v>0.5559042748852957</v>
      </c>
      <c r="U294" s="24">
        <v>0.5559042748852957</v>
      </c>
      <c r="V294" s="24">
        <v>0.5559042748852957</v>
      </c>
      <c r="W294" s="24">
        <v>0.5559042748852957</v>
      </c>
      <c r="X294" s="24">
        <v>0.5559042748852957</v>
      </c>
      <c r="Y294" s="24">
        <v>0.5559042748852957</v>
      </c>
      <c r="Z294" s="24">
        <v>0.5559042748852957</v>
      </c>
      <c r="AA294" s="24">
        <v>0.5559042748852957</v>
      </c>
      <c r="AB294" s="24">
        <v>0.5559042748852957</v>
      </c>
      <c r="AC294" s="24">
        <v>0.5559042748852957</v>
      </c>
      <c r="AD294" s="24">
        <v>0.5559042748852957</v>
      </c>
      <c r="AE294" s="24">
        <v>0.5559042748852957</v>
      </c>
      <c r="AF294" s="24">
        <v>0.5559042748852957</v>
      </c>
      <c r="AG294" s="24">
        <v>0.5559042748852957</v>
      </c>
      <c r="AH294" s="24">
        <v>0.5559042748852957</v>
      </c>
      <c r="AI294" s="24">
        <v>0.5559042748852957</v>
      </c>
      <c r="AJ294" s="24">
        <v>0.5559042748852957</v>
      </c>
      <c r="AK294" s="24">
        <v>0.5559042748852957</v>
      </c>
      <c r="AL294" s="24">
        <v>0.5559042748852957</v>
      </c>
      <c r="AM294" s="24">
        <v>0.5559042748852957</v>
      </c>
      <c r="AN294" s="24">
        <v>0.5559042748852957</v>
      </c>
      <c r="AO294" s="24">
        <v>0.5559042748852957</v>
      </c>
      <c r="AP294" s="24">
        <v>0.5559042748852957</v>
      </c>
      <c r="AQ294" s="24">
        <v>0.5559042748852957</v>
      </c>
      <c r="AR294" s="24">
        <v>0.5559042748852957</v>
      </c>
      <c r="AS294" s="24">
        <v>0.5559042748852957</v>
      </c>
      <c r="AT294" s="24">
        <v>0.5559042748852957</v>
      </c>
      <c r="AU294" s="24">
        <v>0.5559042748852957</v>
      </c>
      <c r="AV294" s="24">
        <v>0.5559042748852957</v>
      </c>
      <c r="AW294" s="24">
        <v>0.5559042748852957</v>
      </c>
      <c r="AX294" s="24">
        <v>0.5559042748852957</v>
      </c>
      <c r="AY294" s="24">
        <v>0.5559042748852957</v>
      </c>
      <c r="AZ294" s="24">
        <v>0.5559042748852957</v>
      </c>
      <c r="BA294" s="24">
        <v>0.5559042748852957</v>
      </c>
      <c r="BB294" s="24">
        <v>0.5559042748852957</v>
      </c>
      <c r="BC294" s="24">
        <v>0.5559042748852957</v>
      </c>
      <c r="BD294" s="24">
        <v>0.5559042748852957</v>
      </c>
      <c r="BE294" s="24">
        <v>0.5559042748852957</v>
      </c>
      <c r="BF294" s="24">
        <v>0.5559042748852957</v>
      </c>
      <c r="BG294" s="24">
        <v>0.5559042748852957</v>
      </c>
      <c r="BH294" s="24">
        <v>0.5559042748852957</v>
      </c>
      <c r="BI294" s="24">
        <v>0.5559042748852957</v>
      </c>
      <c r="BJ294" s="24">
        <v>0.5559042748852957</v>
      </c>
      <c r="BK294" s="24">
        <v>0.5559042748852957</v>
      </c>
      <c r="BL294" s="24">
        <v>0.5559042748852957</v>
      </c>
      <c r="BM294" s="24">
        <v>0.5559042748852957</v>
      </c>
      <c r="BN294" s="24">
        <v>0.5559042748852957</v>
      </c>
      <c r="BO294" s="24">
        <v>0.5559042748852957</v>
      </c>
      <c r="BP294" s="24">
        <v>0.5559042748852957</v>
      </c>
      <c r="BQ294" s="24">
        <v>0.5559042748852957</v>
      </c>
    </row>
    <row r="295" spans="1:69" s="17" customFormat="1" hidden="1" x14ac:dyDescent="0.25">
      <c r="A295" s="23">
        <v>30</v>
      </c>
      <c r="B295" s="23" t="s">
        <v>68</v>
      </c>
      <c r="C295" s="24" t="s">
        <v>69</v>
      </c>
      <c r="D295" s="24">
        <v>4</v>
      </c>
      <c r="E295" s="24" t="s">
        <v>493</v>
      </c>
      <c r="F295" s="24"/>
      <c r="G295" s="24" t="s">
        <v>500</v>
      </c>
      <c r="H295" s="24">
        <v>0</v>
      </c>
      <c r="I295" s="24">
        <v>0.20826978052080003</v>
      </c>
      <c r="J295" s="24">
        <v>0.20752583382839998</v>
      </c>
      <c r="K295" s="24">
        <v>0.2102638548636</v>
      </c>
      <c r="L295" s="24">
        <v>0.21034372929</v>
      </c>
      <c r="M295" s="24">
        <v>0.20879639447160003</v>
      </c>
      <c r="N295" s="24">
        <v>0.22361217179640003</v>
      </c>
      <c r="O295" s="24">
        <v>0.41296564484640003</v>
      </c>
      <c r="P295" s="24">
        <v>0.41942990075039999</v>
      </c>
      <c r="Q295" s="24">
        <v>0.41</v>
      </c>
      <c r="R295" s="24">
        <v>0.41</v>
      </c>
      <c r="S295" s="24">
        <v>0.41</v>
      </c>
      <c r="T295" s="24">
        <v>0.41</v>
      </c>
      <c r="U295" s="24">
        <v>0.41</v>
      </c>
      <c r="V295" s="24">
        <v>0.41</v>
      </c>
      <c r="W295" s="24">
        <v>0.41</v>
      </c>
      <c r="X295" s="24">
        <v>0.41</v>
      </c>
      <c r="Y295" s="24">
        <v>0.41</v>
      </c>
      <c r="Z295" s="24">
        <v>0.41</v>
      </c>
      <c r="AA295" s="24">
        <v>0.41</v>
      </c>
      <c r="AB295" s="24">
        <v>0.41</v>
      </c>
      <c r="AC295" s="24">
        <v>0.41</v>
      </c>
      <c r="AD295" s="24">
        <v>0.41</v>
      </c>
      <c r="AE295" s="24">
        <v>0.41</v>
      </c>
      <c r="AF295" s="24">
        <v>0.41</v>
      </c>
      <c r="AG295" s="24">
        <v>0.41</v>
      </c>
      <c r="AH295" s="24">
        <v>0.41</v>
      </c>
      <c r="AI295" s="24">
        <v>0.41</v>
      </c>
      <c r="AJ295" s="24">
        <v>0.41</v>
      </c>
      <c r="AK295" s="24">
        <v>0.41</v>
      </c>
      <c r="AL295" s="24">
        <v>0.41</v>
      </c>
      <c r="AM295" s="24">
        <v>0.41</v>
      </c>
      <c r="AN295" s="24">
        <v>0.41</v>
      </c>
      <c r="AO295" s="24">
        <v>0.41</v>
      </c>
      <c r="AP295" s="24">
        <v>0.41</v>
      </c>
      <c r="AQ295" s="24">
        <v>0.41</v>
      </c>
      <c r="AR295" s="24">
        <v>0.41</v>
      </c>
      <c r="AS295" s="24">
        <v>0.41</v>
      </c>
      <c r="AT295" s="24">
        <v>0.41</v>
      </c>
      <c r="AU295" s="24">
        <v>0.41</v>
      </c>
      <c r="AV295" s="24">
        <v>0.41</v>
      </c>
      <c r="AW295" s="24">
        <v>0.41</v>
      </c>
      <c r="AX295" s="24">
        <v>0.41</v>
      </c>
      <c r="AY295" s="24">
        <v>0.41</v>
      </c>
      <c r="AZ295" s="24">
        <v>0.41</v>
      </c>
      <c r="BA295" s="24">
        <v>0.41</v>
      </c>
      <c r="BB295" s="24">
        <v>0.41</v>
      </c>
      <c r="BC295" s="24">
        <v>0.41</v>
      </c>
      <c r="BD295" s="24">
        <v>0.41</v>
      </c>
      <c r="BE295" s="24">
        <v>0.41</v>
      </c>
      <c r="BF295" s="24">
        <v>0.41</v>
      </c>
      <c r="BG295" s="24">
        <v>0.41</v>
      </c>
      <c r="BH295" s="24">
        <v>0.41</v>
      </c>
      <c r="BI295" s="24">
        <v>0.41</v>
      </c>
      <c r="BJ295" s="24">
        <v>0.41</v>
      </c>
      <c r="BK295" s="24">
        <v>0.41</v>
      </c>
      <c r="BL295" s="24">
        <v>0.41</v>
      </c>
      <c r="BM295" s="24">
        <v>0.41</v>
      </c>
      <c r="BN295" s="24">
        <v>0.41</v>
      </c>
      <c r="BO295" s="24">
        <v>0.41</v>
      </c>
      <c r="BP295" s="24">
        <v>0.41</v>
      </c>
      <c r="BQ295" s="24">
        <v>0.41</v>
      </c>
    </row>
    <row r="296" spans="1:69" s="17" customFormat="1" hidden="1" x14ac:dyDescent="0.25">
      <c r="A296" s="23">
        <v>30</v>
      </c>
      <c r="B296" s="23" t="s">
        <v>68</v>
      </c>
      <c r="C296" s="24" t="s">
        <v>69</v>
      </c>
      <c r="D296" s="24">
        <v>5</v>
      </c>
      <c r="E296" s="24" t="s">
        <v>494</v>
      </c>
      <c r="F296" s="24"/>
      <c r="G296" s="24" t="s">
        <v>500</v>
      </c>
      <c r="H296" s="24">
        <v>0</v>
      </c>
      <c r="I296" s="24">
        <v>0.20826978052080003</v>
      </c>
      <c r="J296" s="24">
        <v>0.20752583382839998</v>
      </c>
      <c r="K296" s="24">
        <v>0.2102638548636</v>
      </c>
      <c r="L296" s="24">
        <v>0.21034372929</v>
      </c>
      <c r="M296" s="24">
        <v>0.20879639447160003</v>
      </c>
      <c r="N296" s="24">
        <v>0.22361217179640003</v>
      </c>
      <c r="O296" s="24">
        <v>0.41296564484640003</v>
      </c>
      <c r="P296" s="24">
        <v>0.41942990075039999</v>
      </c>
      <c r="Q296" s="24">
        <v>0.41</v>
      </c>
      <c r="R296" s="24">
        <v>0.41</v>
      </c>
      <c r="S296" s="24">
        <v>0.47430399999999995</v>
      </c>
      <c r="T296" s="24">
        <v>0.47430399999999995</v>
      </c>
      <c r="U296" s="24">
        <v>99999</v>
      </c>
      <c r="V296" s="24">
        <v>99999</v>
      </c>
      <c r="W296" s="24">
        <v>99999</v>
      </c>
      <c r="X296" s="24">
        <v>99999</v>
      </c>
      <c r="Y296" s="24">
        <v>99999</v>
      </c>
      <c r="Z296" s="24">
        <v>99999</v>
      </c>
      <c r="AA296" s="24">
        <v>99999</v>
      </c>
      <c r="AB296" s="24">
        <v>99999</v>
      </c>
      <c r="AC296" s="24">
        <v>99999</v>
      </c>
      <c r="AD296" s="24">
        <v>99999</v>
      </c>
      <c r="AE296" s="24">
        <v>99999</v>
      </c>
      <c r="AF296" s="24">
        <v>99999</v>
      </c>
      <c r="AG296" s="24">
        <v>99999</v>
      </c>
      <c r="AH296" s="24">
        <v>99999</v>
      </c>
      <c r="AI296" s="24">
        <v>99999</v>
      </c>
      <c r="AJ296" s="24">
        <v>99999</v>
      </c>
      <c r="AK296" s="24">
        <v>99999</v>
      </c>
      <c r="AL296" s="24">
        <v>99999</v>
      </c>
      <c r="AM296" s="24">
        <v>99999</v>
      </c>
      <c r="AN296" s="24">
        <v>99999</v>
      </c>
      <c r="AO296" s="24">
        <v>99999</v>
      </c>
      <c r="AP296" s="24">
        <v>99999</v>
      </c>
      <c r="AQ296" s="24">
        <v>99999</v>
      </c>
      <c r="AR296" s="24">
        <v>99999</v>
      </c>
      <c r="AS296" s="24">
        <v>99999</v>
      </c>
      <c r="AT296" s="24">
        <v>99999</v>
      </c>
      <c r="AU296" s="24">
        <v>99999</v>
      </c>
      <c r="AV296" s="24">
        <v>99999</v>
      </c>
      <c r="AW296" s="24">
        <v>99999</v>
      </c>
      <c r="AX296" s="24">
        <v>99999</v>
      </c>
      <c r="AY296" s="24">
        <v>99999</v>
      </c>
      <c r="AZ296" s="24">
        <v>99999</v>
      </c>
      <c r="BA296" s="24">
        <v>99999</v>
      </c>
      <c r="BB296" s="24">
        <v>99999</v>
      </c>
      <c r="BC296" s="24">
        <v>99999</v>
      </c>
      <c r="BD296" s="24">
        <v>99999</v>
      </c>
      <c r="BE296" s="24">
        <v>99999</v>
      </c>
      <c r="BF296" s="24">
        <v>99999</v>
      </c>
      <c r="BG296" s="24">
        <v>99999</v>
      </c>
      <c r="BH296" s="24">
        <v>99999</v>
      </c>
      <c r="BI296" s="24">
        <v>99999</v>
      </c>
      <c r="BJ296" s="24">
        <v>99999</v>
      </c>
      <c r="BK296" s="24">
        <v>99999</v>
      </c>
      <c r="BL296" s="24">
        <v>99999</v>
      </c>
      <c r="BM296" s="24">
        <v>99999</v>
      </c>
      <c r="BN296" s="24">
        <v>99999</v>
      </c>
      <c r="BO296" s="24">
        <v>99999</v>
      </c>
      <c r="BP296" s="24">
        <v>99999</v>
      </c>
      <c r="BQ296" s="24">
        <v>99999</v>
      </c>
    </row>
    <row r="297" spans="1:69" s="17" customFormat="1" hidden="1" x14ac:dyDescent="0.25">
      <c r="A297" s="23">
        <v>30</v>
      </c>
      <c r="B297" s="23" t="s">
        <v>68</v>
      </c>
      <c r="C297" s="24" t="s">
        <v>69</v>
      </c>
      <c r="D297" s="24">
        <v>6</v>
      </c>
      <c r="E297" s="24" t="s">
        <v>495</v>
      </c>
      <c r="F297" s="24"/>
      <c r="G297" s="24" t="s">
        <v>490</v>
      </c>
      <c r="H297" s="24">
        <v>0</v>
      </c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</row>
    <row r="298" spans="1:69" s="17" customFormat="1" hidden="1" x14ac:dyDescent="0.25">
      <c r="A298" s="23">
        <v>30</v>
      </c>
      <c r="B298" s="23" t="s">
        <v>68</v>
      </c>
      <c r="C298" s="24" t="s">
        <v>69</v>
      </c>
      <c r="D298" s="24">
        <v>7</v>
      </c>
      <c r="E298" s="24" t="s">
        <v>496</v>
      </c>
      <c r="F298" s="24"/>
      <c r="G298" s="25" t="s">
        <v>500</v>
      </c>
      <c r="H298" s="26">
        <v>0</v>
      </c>
      <c r="I298" s="24">
        <v>3.1202682228328507</v>
      </c>
      <c r="J298" s="24">
        <v>4.0224578653077954</v>
      </c>
      <c r="K298" s="24">
        <v>4.4217047835836532</v>
      </c>
      <c r="L298" s="24">
        <v>3.9884947790472247</v>
      </c>
      <c r="M298" s="24">
        <v>4.1398834295065763</v>
      </c>
      <c r="N298" s="24">
        <v>4.7317082730684357</v>
      </c>
      <c r="O298" s="24">
        <v>5.7209734877646312</v>
      </c>
      <c r="P298" s="24">
        <v>7.2583451051979067</v>
      </c>
      <c r="Q298" s="24">
        <v>4.3959999999999999</v>
      </c>
      <c r="R298" s="24">
        <v>6.8475000000000001</v>
      </c>
      <c r="S298" s="24">
        <v>8.7922999999999991</v>
      </c>
      <c r="T298" s="24">
        <v>9.4085000000000001</v>
      </c>
      <c r="U298" s="24">
        <v>9.0923999999999996</v>
      </c>
      <c r="V298" s="24">
        <v>9.3680000000000003</v>
      </c>
      <c r="W298" s="24">
        <v>9.4333000000000009</v>
      </c>
      <c r="X298" s="24">
        <v>9.6832000000000011</v>
      </c>
      <c r="Y298" s="24">
        <v>9.9297000000000004</v>
      </c>
      <c r="Z298" s="24">
        <v>10.2296</v>
      </c>
      <c r="AA298" s="24">
        <v>10.224399999999999</v>
      </c>
      <c r="AB298" s="24">
        <v>10.4398</v>
      </c>
      <c r="AC298" s="24">
        <v>10.716799999999999</v>
      </c>
      <c r="AD298" s="24">
        <v>10.903599999999999</v>
      </c>
      <c r="AE298" s="24">
        <v>11.200899999999999</v>
      </c>
      <c r="AF298" s="24">
        <v>11.5124</v>
      </c>
      <c r="AG298" s="24">
        <v>11.8087</v>
      </c>
      <c r="AH298" s="24">
        <v>12.0771</v>
      </c>
      <c r="AI298" s="24">
        <v>12.4015</v>
      </c>
      <c r="AJ298" s="24">
        <v>12.669500000000001</v>
      </c>
      <c r="AK298" s="24">
        <v>12.977100000000002</v>
      </c>
      <c r="AL298" s="24">
        <v>13.284600000000001</v>
      </c>
      <c r="AM298" s="24">
        <v>13.5905</v>
      </c>
      <c r="AN298" s="24">
        <v>13.8794</v>
      </c>
      <c r="AO298" s="24">
        <v>14.186200000000001</v>
      </c>
      <c r="AP298" s="24">
        <v>14.414800000000001</v>
      </c>
      <c r="AQ298" s="24">
        <v>14.721900000000002</v>
      </c>
      <c r="AR298" s="24">
        <v>14.971300000000001</v>
      </c>
      <c r="AS298" s="24">
        <v>15.297200000000002</v>
      </c>
      <c r="AT298" s="24">
        <v>15.551600000000002</v>
      </c>
      <c r="AU298" s="24">
        <v>15.814200000000003</v>
      </c>
      <c r="AV298" s="24">
        <v>16.072400000000002</v>
      </c>
      <c r="AW298" s="24">
        <v>16.3414</v>
      </c>
      <c r="AX298" s="24">
        <v>16.895700000000001</v>
      </c>
      <c r="AY298" s="24">
        <v>17.184000000000001</v>
      </c>
      <c r="AZ298" s="24">
        <v>17.474600000000002</v>
      </c>
      <c r="BA298" s="24">
        <v>17.764000000000003</v>
      </c>
      <c r="BB298" s="24">
        <v>18.062700000000003</v>
      </c>
      <c r="BC298" s="24">
        <v>18.359100000000002</v>
      </c>
      <c r="BD298" s="24">
        <v>18.6555</v>
      </c>
      <c r="BE298" s="24">
        <v>18.951899999999998</v>
      </c>
      <c r="BF298" s="24">
        <v>19.250599999999999</v>
      </c>
      <c r="BG298" s="24">
        <v>19.553899999999999</v>
      </c>
      <c r="BH298" s="24">
        <v>19.859499999999997</v>
      </c>
      <c r="BI298" s="24">
        <v>20.169699999999995</v>
      </c>
      <c r="BJ298" s="24">
        <v>20.478799999999996</v>
      </c>
      <c r="BK298" s="24">
        <v>20.791299999999996</v>
      </c>
      <c r="BL298" s="24">
        <v>21.107299999999995</v>
      </c>
      <c r="BM298" s="24">
        <v>21.423299999999994</v>
      </c>
      <c r="BN298" s="24">
        <v>21.741599999999995</v>
      </c>
      <c r="BO298" s="24">
        <v>22.062199999999994</v>
      </c>
      <c r="BP298" s="24">
        <v>22.386199999999995</v>
      </c>
      <c r="BQ298" s="24">
        <v>22.712599999999995</v>
      </c>
    </row>
    <row r="299" spans="1:69" s="17" customFormat="1" hidden="1" x14ac:dyDescent="0.25">
      <c r="A299" s="23">
        <v>30</v>
      </c>
      <c r="B299" s="23" t="s">
        <v>68</v>
      </c>
      <c r="C299" s="24" t="s">
        <v>69</v>
      </c>
      <c r="D299" s="24">
        <v>8</v>
      </c>
      <c r="E299" s="24" t="s">
        <v>497</v>
      </c>
      <c r="F299" s="24"/>
      <c r="G299" s="24" t="s">
        <v>490</v>
      </c>
      <c r="H299" s="24">
        <v>0</v>
      </c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</row>
    <row r="300" spans="1:69" s="17" customFormat="1" hidden="1" x14ac:dyDescent="0.25">
      <c r="A300" s="23">
        <v>30</v>
      </c>
      <c r="B300" s="23" t="s">
        <v>68</v>
      </c>
      <c r="C300" s="24" t="s">
        <v>69</v>
      </c>
      <c r="D300" s="24">
        <v>9</v>
      </c>
      <c r="E300" s="24" t="s">
        <v>498</v>
      </c>
      <c r="F300" s="24"/>
      <c r="G300" s="24" t="s">
        <v>500</v>
      </c>
      <c r="H300" s="24">
        <v>0</v>
      </c>
      <c r="I300" s="24">
        <v>0.50509999999999999</v>
      </c>
      <c r="J300" s="24">
        <v>0.65349999999999997</v>
      </c>
      <c r="K300" s="24">
        <v>0.70899999999999996</v>
      </c>
      <c r="L300" s="24">
        <v>0.63929999999999998</v>
      </c>
      <c r="M300" s="24">
        <v>0.66849999999999998</v>
      </c>
      <c r="N300" s="24">
        <v>0.71340000000000003</v>
      </c>
      <c r="O300" s="24">
        <v>0.46710000000000002</v>
      </c>
      <c r="P300" s="24">
        <v>0.58350000000000002</v>
      </c>
      <c r="Q300" s="24">
        <v>0.36149999999999999</v>
      </c>
      <c r="R300" s="24">
        <v>0.56310000000000004</v>
      </c>
      <c r="S300" s="24">
        <v>0.625</v>
      </c>
      <c r="T300" s="24">
        <v>0.66879999999999995</v>
      </c>
      <c r="U300" s="24">
        <v>0.36</v>
      </c>
      <c r="V300" s="24">
        <v>0.36</v>
      </c>
      <c r="W300" s="24">
        <v>0.36</v>
      </c>
      <c r="X300" s="24">
        <v>0.36</v>
      </c>
      <c r="Y300" s="24">
        <v>0.36</v>
      </c>
      <c r="Z300" s="24">
        <v>0.36</v>
      </c>
      <c r="AA300" s="24">
        <v>0.36</v>
      </c>
      <c r="AB300" s="24">
        <v>0.36</v>
      </c>
      <c r="AC300" s="24">
        <v>0.36</v>
      </c>
      <c r="AD300" s="24">
        <v>0.36</v>
      </c>
      <c r="AE300" s="24">
        <v>0.36</v>
      </c>
      <c r="AF300" s="24">
        <v>0.36</v>
      </c>
      <c r="AG300" s="24">
        <v>0.36</v>
      </c>
      <c r="AH300" s="24">
        <v>0.36</v>
      </c>
      <c r="AI300" s="24">
        <v>0.36</v>
      </c>
      <c r="AJ300" s="24">
        <v>0.36</v>
      </c>
      <c r="AK300" s="24">
        <v>0.36</v>
      </c>
      <c r="AL300" s="24">
        <v>0.36</v>
      </c>
      <c r="AM300" s="24">
        <v>0.36</v>
      </c>
      <c r="AN300" s="24">
        <v>0.36</v>
      </c>
      <c r="AO300" s="24">
        <v>0.36</v>
      </c>
      <c r="AP300" s="24">
        <v>0.36</v>
      </c>
      <c r="AQ300" s="24">
        <v>0.36</v>
      </c>
      <c r="AR300" s="24">
        <v>0.36</v>
      </c>
      <c r="AS300" s="24">
        <v>0.36</v>
      </c>
      <c r="AT300" s="24">
        <v>0.36</v>
      </c>
      <c r="AU300" s="24">
        <v>0.36</v>
      </c>
      <c r="AV300" s="24">
        <v>0.36</v>
      </c>
      <c r="AW300" s="24">
        <v>0.36</v>
      </c>
      <c r="AX300" s="24">
        <v>0.36</v>
      </c>
      <c r="AY300" s="24">
        <v>0.36</v>
      </c>
      <c r="AZ300" s="24">
        <v>0.36</v>
      </c>
      <c r="BA300" s="24">
        <v>0.36</v>
      </c>
      <c r="BB300" s="24">
        <v>0.36</v>
      </c>
      <c r="BC300" s="24">
        <v>0.36</v>
      </c>
      <c r="BD300" s="24">
        <v>0.36</v>
      </c>
      <c r="BE300" s="24">
        <v>0.36</v>
      </c>
      <c r="BF300" s="24">
        <v>0.36</v>
      </c>
      <c r="BG300" s="24">
        <v>0.36</v>
      </c>
      <c r="BH300" s="24">
        <v>0.36</v>
      </c>
      <c r="BI300" s="24">
        <v>0.36</v>
      </c>
      <c r="BJ300" s="24">
        <v>0.36</v>
      </c>
      <c r="BK300" s="24">
        <v>0.36</v>
      </c>
      <c r="BL300" s="24">
        <v>0.36</v>
      </c>
      <c r="BM300" s="24">
        <v>0.36</v>
      </c>
      <c r="BN300" s="24">
        <v>0.36</v>
      </c>
      <c r="BO300" s="24">
        <v>0.36</v>
      </c>
      <c r="BP300" s="24">
        <v>0.36</v>
      </c>
      <c r="BQ300" s="24">
        <v>0.36</v>
      </c>
    </row>
    <row r="301" spans="1:69" s="17" customFormat="1" hidden="1" x14ac:dyDescent="0.25">
      <c r="A301" s="23">
        <v>30</v>
      </c>
      <c r="B301" s="23" t="s">
        <v>68</v>
      </c>
      <c r="C301" s="24" t="s">
        <v>69</v>
      </c>
      <c r="D301" s="24">
        <v>10</v>
      </c>
      <c r="E301" s="24" t="s">
        <v>499</v>
      </c>
      <c r="F301" s="24"/>
      <c r="G301" s="24" t="s">
        <v>501</v>
      </c>
      <c r="H301" s="24">
        <v>0</v>
      </c>
      <c r="I301" s="24">
        <v>0.95</v>
      </c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</row>
    <row r="302" spans="1:69" hidden="1" x14ac:dyDescent="0.25">
      <c r="A302" s="20">
        <v>31</v>
      </c>
      <c r="B302" s="20" t="s">
        <v>70</v>
      </c>
      <c r="C302" s="3" t="s">
        <v>71</v>
      </c>
      <c r="D302" s="3">
        <v>1</v>
      </c>
      <c r="E302" s="3" t="s">
        <v>489</v>
      </c>
      <c r="F302" s="3"/>
      <c r="G302" s="3" t="s">
        <v>500</v>
      </c>
      <c r="H302" s="3">
        <v>0</v>
      </c>
      <c r="I302" s="3">
        <v>1318.4942000000001</v>
      </c>
      <c r="J302" s="3">
        <v>1318.4942000000001</v>
      </c>
      <c r="K302" s="3">
        <v>1318.4942000000001</v>
      </c>
      <c r="L302" s="3">
        <v>1318.4942000000001</v>
      </c>
      <c r="M302" s="3">
        <v>1318.4942000000001</v>
      </c>
      <c r="N302" s="3">
        <v>1318.4942000000001</v>
      </c>
      <c r="O302" s="3">
        <v>1318.4942000000001</v>
      </c>
      <c r="P302" s="3">
        <v>1318.4942000000001</v>
      </c>
      <c r="Q302" s="3">
        <v>1318.4942000000001</v>
      </c>
      <c r="R302" s="3">
        <v>1318.4942000000001</v>
      </c>
      <c r="S302" s="3">
        <v>1318.4942000000001</v>
      </c>
      <c r="T302" s="3">
        <v>1318.4942000000001</v>
      </c>
      <c r="U302" s="3">
        <v>1318.4942000000001</v>
      </c>
      <c r="V302" s="3">
        <v>1318.4942000000001</v>
      </c>
      <c r="W302" s="3">
        <v>1318.4942000000001</v>
      </c>
      <c r="X302" s="3">
        <v>1318.4942000000001</v>
      </c>
      <c r="Y302" s="3">
        <v>1318.4942000000001</v>
      </c>
      <c r="Z302" s="3">
        <v>1318.4942000000001</v>
      </c>
      <c r="AA302" s="3">
        <v>1318.4942000000001</v>
      </c>
      <c r="AB302" s="3">
        <v>1318.4942000000001</v>
      </c>
      <c r="AC302" s="3">
        <v>1318.4942000000001</v>
      </c>
      <c r="AD302" s="3">
        <v>1318.4942000000001</v>
      </c>
      <c r="AE302" s="3">
        <v>1318.4942000000001</v>
      </c>
      <c r="AF302" s="3">
        <v>1318.4942000000001</v>
      </c>
      <c r="AG302" s="3">
        <v>1318.4942000000001</v>
      </c>
      <c r="AH302" s="3">
        <v>1318.4942000000001</v>
      </c>
      <c r="AI302" s="3">
        <v>1318.4942000000001</v>
      </c>
      <c r="AJ302" s="3">
        <v>1318.4942000000001</v>
      </c>
      <c r="AK302" s="3">
        <v>1318.4942000000001</v>
      </c>
      <c r="AL302" s="3">
        <v>1318.4942000000001</v>
      </c>
      <c r="AM302" s="3">
        <v>1318.4942000000001</v>
      </c>
      <c r="AN302" s="3">
        <v>1318.4942000000001</v>
      </c>
      <c r="AO302" s="3">
        <v>1318.4942000000001</v>
      </c>
      <c r="AP302" s="3">
        <v>1318.4942000000001</v>
      </c>
      <c r="AQ302" s="3">
        <v>1318.4942000000001</v>
      </c>
      <c r="AR302" s="3">
        <v>1318.4942000000001</v>
      </c>
      <c r="AS302" s="3">
        <v>1318.4942000000001</v>
      </c>
      <c r="AT302" s="3">
        <v>1318.4942000000001</v>
      </c>
      <c r="AU302" s="3">
        <v>1318.4942000000001</v>
      </c>
      <c r="AV302" s="3">
        <v>1318.4942000000001</v>
      </c>
      <c r="AW302" s="3">
        <v>1318.4942000000001</v>
      </c>
      <c r="AX302" s="3">
        <v>1318.4942000000001</v>
      </c>
      <c r="AY302" s="3">
        <v>1318.4942000000001</v>
      </c>
      <c r="AZ302" s="3">
        <v>1318.4942000000001</v>
      </c>
      <c r="BA302" s="3">
        <v>1318.4942000000001</v>
      </c>
      <c r="BB302" s="3">
        <v>1318.4942000000001</v>
      </c>
      <c r="BC302" s="3">
        <v>1318.4942000000001</v>
      </c>
      <c r="BD302" s="3">
        <v>1318.4942000000001</v>
      </c>
      <c r="BE302" s="3">
        <v>1318.4942000000001</v>
      </c>
      <c r="BF302" s="3">
        <v>1318.4942000000001</v>
      </c>
      <c r="BG302" s="3">
        <v>1318.4942000000001</v>
      </c>
      <c r="BH302" s="3">
        <v>1318.4942000000001</v>
      </c>
      <c r="BI302" s="3">
        <v>1318.4942000000001</v>
      </c>
      <c r="BJ302" s="3">
        <v>1318.4942000000001</v>
      </c>
      <c r="BK302" s="3">
        <v>1318.4942000000001</v>
      </c>
      <c r="BL302" s="3">
        <v>1318.4942000000001</v>
      </c>
      <c r="BM302" s="3">
        <v>1318.4942000000001</v>
      </c>
      <c r="BN302" s="3">
        <v>1318.4942000000001</v>
      </c>
      <c r="BO302" s="3">
        <v>1318.4942000000001</v>
      </c>
      <c r="BP302" s="3">
        <v>1318.4942000000001</v>
      </c>
      <c r="BQ302" s="3">
        <v>1318.4942000000001</v>
      </c>
    </row>
    <row r="303" spans="1:69" hidden="1" x14ac:dyDescent="0.25">
      <c r="A303" s="20">
        <v>31</v>
      </c>
      <c r="B303" s="20" t="s">
        <v>70</v>
      </c>
      <c r="C303" s="3" t="s">
        <v>71</v>
      </c>
      <c r="D303" s="3">
        <v>2</v>
      </c>
      <c r="E303" s="3" t="s">
        <v>491</v>
      </c>
      <c r="F303" s="3"/>
      <c r="G303" s="3" t="s">
        <v>500</v>
      </c>
      <c r="H303" s="3">
        <v>0</v>
      </c>
      <c r="I303" s="3">
        <v>42</v>
      </c>
      <c r="J303" s="3">
        <v>42</v>
      </c>
      <c r="K303" s="3">
        <v>42</v>
      </c>
      <c r="L303" s="3">
        <v>42</v>
      </c>
      <c r="M303" s="3">
        <v>42</v>
      </c>
      <c r="N303" s="3">
        <v>42</v>
      </c>
      <c r="O303" s="3">
        <v>42</v>
      </c>
      <c r="P303" s="3">
        <v>42</v>
      </c>
      <c r="Q303" s="3">
        <v>42</v>
      </c>
      <c r="R303" s="3">
        <v>42</v>
      </c>
      <c r="S303" s="3">
        <v>42</v>
      </c>
      <c r="T303" s="3">
        <v>42</v>
      </c>
      <c r="U303" s="3">
        <v>42</v>
      </c>
      <c r="V303" s="3">
        <v>42</v>
      </c>
      <c r="W303" s="3">
        <v>42</v>
      </c>
      <c r="X303" s="3">
        <v>42</v>
      </c>
      <c r="Y303" s="3">
        <v>42</v>
      </c>
      <c r="Z303" s="3">
        <v>42</v>
      </c>
      <c r="AA303" s="3">
        <v>42</v>
      </c>
      <c r="AB303" s="3">
        <v>42</v>
      </c>
      <c r="AC303" s="3">
        <v>42</v>
      </c>
      <c r="AD303" s="3">
        <v>42</v>
      </c>
      <c r="AE303" s="3">
        <v>42</v>
      </c>
      <c r="AF303" s="3">
        <v>42</v>
      </c>
      <c r="AG303" s="3">
        <v>42</v>
      </c>
      <c r="AH303" s="3">
        <v>42</v>
      </c>
      <c r="AI303" s="3">
        <v>42</v>
      </c>
      <c r="AJ303" s="3">
        <v>42</v>
      </c>
      <c r="AK303" s="3">
        <v>42</v>
      </c>
      <c r="AL303" s="3">
        <v>42</v>
      </c>
      <c r="AM303" s="3">
        <v>42</v>
      </c>
      <c r="AN303" s="3">
        <v>42</v>
      </c>
      <c r="AO303" s="3">
        <v>42</v>
      </c>
      <c r="AP303" s="3">
        <v>42</v>
      </c>
      <c r="AQ303" s="3">
        <v>42</v>
      </c>
      <c r="AR303" s="3">
        <v>42</v>
      </c>
      <c r="AS303" s="3">
        <v>42</v>
      </c>
      <c r="AT303" s="3">
        <v>42</v>
      </c>
      <c r="AU303" s="3">
        <v>42</v>
      </c>
      <c r="AV303" s="3">
        <v>42</v>
      </c>
      <c r="AW303" s="3">
        <v>42</v>
      </c>
      <c r="AX303" s="3">
        <v>42</v>
      </c>
      <c r="AY303" s="3">
        <v>42</v>
      </c>
      <c r="AZ303" s="3">
        <v>42</v>
      </c>
      <c r="BA303" s="3">
        <v>42</v>
      </c>
      <c r="BB303" s="3">
        <v>42</v>
      </c>
      <c r="BC303" s="3">
        <v>42</v>
      </c>
      <c r="BD303" s="3">
        <v>42</v>
      </c>
      <c r="BE303" s="3">
        <v>42</v>
      </c>
      <c r="BF303" s="3">
        <v>42</v>
      </c>
      <c r="BG303" s="3">
        <v>42</v>
      </c>
      <c r="BH303" s="3">
        <v>42</v>
      </c>
      <c r="BI303" s="3">
        <v>42</v>
      </c>
      <c r="BJ303" s="3">
        <v>42</v>
      </c>
      <c r="BK303" s="3">
        <v>42</v>
      </c>
      <c r="BL303" s="3">
        <v>42</v>
      </c>
      <c r="BM303" s="3">
        <v>42</v>
      </c>
      <c r="BN303" s="3">
        <v>42</v>
      </c>
      <c r="BO303" s="3">
        <v>42</v>
      </c>
      <c r="BP303" s="3">
        <v>42</v>
      </c>
      <c r="BQ303" s="3">
        <v>42</v>
      </c>
    </row>
    <row r="304" spans="1:69" hidden="1" x14ac:dyDescent="0.25">
      <c r="A304" s="20">
        <v>31</v>
      </c>
      <c r="B304" s="20" t="s">
        <v>70</v>
      </c>
      <c r="C304" s="3" t="s">
        <v>71</v>
      </c>
      <c r="D304" s="3">
        <v>3</v>
      </c>
      <c r="E304" s="3" t="s">
        <v>492</v>
      </c>
      <c r="F304" s="3"/>
      <c r="G304" s="3" t="s">
        <v>500</v>
      </c>
      <c r="H304" s="3">
        <v>0</v>
      </c>
      <c r="I304" s="3">
        <v>0.5559042748852957</v>
      </c>
      <c r="J304" s="3">
        <v>0.5559042748852957</v>
      </c>
      <c r="K304" s="3">
        <v>0.5559042748852957</v>
      </c>
      <c r="L304" s="3">
        <v>0.5559042748852957</v>
      </c>
      <c r="M304" s="3">
        <v>0.5559042748852957</v>
      </c>
      <c r="N304" s="3">
        <v>0.5559042748852957</v>
      </c>
      <c r="O304" s="3">
        <v>0.5559042748852957</v>
      </c>
      <c r="P304" s="3">
        <v>0.5559042748852957</v>
      </c>
      <c r="Q304" s="3">
        <v>0.5559042748852957</v>
      </c>
      <c r="R304" s="3">
        <v>0.5559042748852957</v>
      </c>
      <c r="S304" s="3">
        <v>0.5559042748852957</v>
      </c>
      <c r="T304" s="3">
        <v>0.5559042748852957</v>
      </c>
      <c r="U304" s="3">
        <v>0.5559042748852957</v>
      </c>
      <c r="V304" s="3">
        <v>0.5559042748852957</v>
      </c>
      <c r="W304" s="3">
        <v>0.5559042748852957</v>
      </c>
      <c r="X304" s="3">
        <v>0.5559042748852957</v>
      </c>
      <c r="Y304" s="3">
        <v>0.5559042748852957</v>
      </c>
      <c r="Z304" s="3">
        <v>0.5559042748852957</v>
      </c>
      <c r="AA304" s="3">
        <v>0.5559042748852957</v>
      </c>
      <c r="AB304" s="3">
        <v>0.5559042748852957</v>
      </c>
      <c r="AC304" s="3">
        <v>0.5559042748852957</v>
      </c>
      <c r="AD304" s="3">
        <v>0.5559042748852957</v>
      </c>
      <c r="AE304" s="3">
        <v>0.5559042748852957</v>
      </c>
      <c r="AF304" s="3">
        <v>0.5559042748852957</v>
      </c>
      <c r="AG304" s="3">
        <v>0.5559042748852957</v>
      </c>
      <c r="AH304" s="3">
        <v>0.5559042748852957</v>
      </c>
      <c r="AI304" s="3">
        <v>0.5559042748852957</v>
      </c>
      <c r="AJ304" s="3">
        <v>0.5559042748852957</v>
      </c>
      <c r="AK304" s="3">
        <v>0.5559042748852957</v>
      </c>
      <c r="AL304" s="3">
        <v>0.5559042748852957</v>
      </c>
      <c r="AM304" s="3">
        <v>0.5559042748852957</v>
      </c>
      <c r="AN304" s="3">
        <v>0.5559042748852957</v>
      </c>
      <c r="AO304" s="3">
        <v>0.5559042748852957</v>
      </c>
      <c r="AP304" s="3">
        <v>0.5559042748852957</v>
      </c>
      <c r="AQ304" s="3">
        <v>0.5559042748852957</v>
      </c>
      <c r="AR304" s="3">
        <v>0.5559042748852957</v>
      </c>
      <c r="AS304" s="3">
        <v>0.5559042748852957</v>
      </c>
      <c r="AT304" s="3">
        <v>0.5559042748852957</v>
      </c>
      <c r="AU304" s="3">
        <v>0.5559042748852957</v>
      </c>
      <c r="AV304" s="3">
        <v>0.5559042748852957</v>
      </c>
      <c r="AW304" s="3">
        <v>0.5559042748852957</v>
      </c>
      <c r="AX304" s="3">
        <v>0.5559042748852957</v>
      </c>
      <c r="AY304" s="3">
        <v>0.5559042748852957</v>
      </c>
      <c r="AZ304" s="3">
        <v>0.5559042748852957</v>
      </c>
      <c r="BA304" s="3">
        <v>0.5559042748852957</v>
      </c>
      <c r="BB304" s="3">
        <v>0.5559042748852957</v>
      </c>
      <c r="BC304" s="3">
        <v>0.5559042748852957</v>
      </c>
      <c r="BD304" s="3">
        <v>0.5559042748852957</v>
      </c>
      <c r="BE304" s="3">
        <v>0.5559042748852957</v>
      </c>
      <c r="BF304" s="3">
        <v>0.5559042748852957</v>
      </c>
      <c r="BG304" s="3">
        <v>0.5559042748852957</v>
      </c>
      <c r="BH304" s="3">
        <v>0.5559042748852957</v>
      </c>
      <c r="BI304" s="3">
        <v>0.5559042748852957</v>
      </c>
      <c r="BJ304" s="3">
        <v>0.5559042748852957</v>
      </c>
      <c r="BK304" s="3">
        <v>0.5559042748852957</v>
      </c>
      <c r="BL304" s="3">
        <v>0.5559042748852957</v>
      </c>
      <c r="BM304" s="3">
        <v>0.5559042748852957</v>
      </c>
      <c r="BN304" s="3">
        <v>0.5559042748852957</v>
      </c>
      <c r="BO304" s="3">
        <v>0.5559042748852957</v>
      </c>
      <c r="BP304" s="3">
        <v>0.5559042748852957</v>
      </c>
      <c r="BQ304" s="3">
        <v>0.5559042748852957</v>
      </c>
    </row>
    <row r="305" spans="1:69" hidden="1" x14ac:dyDescent="0.25">
      <c r="A305" s="20">
        <v>31</v>
      </c>
      <c r="B305" s="20" t="s">
        <v>70</v>
      </c>
      <c r="C305" s="3" t="s">
        <v>71</v>
      </c>
      <c r="D305" s="3">
        <v>4</v>
      </c>
      <c r="E305" s="3" t="s">
        <v>493</v>
      </c>
      <c r="F305" s="3"/>
      <c r="G305" s="3" t="s">
        <v>500</v>
      </c>
      <c r="H305" s="3">
        <v>0</v>
      </c>
      <c r="I305" s="3">
        <v>0.87338940218400019</v>
      </c>
      <c r="J305" s="3">
        <v>0.87026962573200006</v>
      </c>
      <c r="K305" s="3">
        <v>0.88175164942800011</v>
      </c>
      <c r="L305" s="3">
        <v>0.88208660670000005</v>
      </c>
      <c r="M305" s="3">
        <v>0.8755977832680002</v>
      </c>
      <c r="N305" s="3">
        <v>0.93772846237200025</v>
      </c>
      <c r="O305" s="3">
        <v>1.7317914138720003</v>
      </c>
      <c r="P305" s="3">
        <v>1.7588995837920001</v>
      </c>
      <c r="Q305" s="3">
        <v>1.9869999899999999</v>
      </c>
      <c r="R305" s="3">
        <v>1.9869999899999999</v>
      </c>
      <c r="S305" s="3">
        <v>1.9869999899999999</v>
      </c>
      <c r="T305" s="3">
        <v>1.9869999899999999</v>
      </c>
      <c r="U305" s="3">
        <v>1.9869999899999999</v>
      </c>
      <c r="V305" s="3">
        <v>1.9869999899999999</v>
      </c>
      <c r="W305" s="3">
        <v>1.9869999899999999</v>
      </c>
      <c r="X305" s="3">
        <v>1.9869999899999999</v>
      </c>
      <c r="Y305" s="3">
        <v>1.9869999899999999</v>
      </c>
      <c r="Z305" s="3">
        <v>1.9869999899999999</v>
      </c>
      <c r="AA305" s="3">
        <v>1.9869999899999999</v>
      </c>
      <c r="AB305" s="3">
        <v>1.9869999899999999</v>
      </c>
      <c r="AC305" s="3">
        <v>1.9869999899999999</v>
      </c>
      <c r="AD305" s="3">
        <v>1.9869999899999999</v>
      </c>
      <c r="AE305" s="3">
        <v>1.9869999899999999</v>
      </c>
      <c r="AF305" s="3">
        <v>1.9869999899999999</v>
      </c>
      <c r="AG305" s="3">
        <v>1.9869999899999999</v>
      </c>
      <c r="AH305" s="3">
        <v>1.9869999899999999</v>
      </c>
      <c r="AI305" s="3">
        <v>1.9869999899999999</v>
      </c>
      <c r="AJ305" s="3">
        <v>1.9869999899999999</v>
      </c>
      <c r="AK305" s="3">
        <v>1.9869999899999999</v>
      </c>
      <c r="AL305" s="3">
        <v>1.9869999899999999</v>
      </c>
      <c r="AM305" s="3">
        <v>1.9869999899999999</v>
      </c>
      <c r="AN305" s="3">
        <v>1.9869999899999999</v>
      </c>
      <c r="AO305" s="3">
        <v>1.9869999899999999</v>
      </c>
      <c r="AP305" s="3">
        <v>1.9869999899999999</v>
      </c>
      <c r="AQ305" s="3">
        <v>1.9869999899999999</v>
      </c>
      <c r="AR305" s="3">
        <v>1.9869999899999999</v>
      </c>
      <c r="AS305" s="3">
        <v>1.9869999899999999</v>
      </c>
      <c r="AT305" s="3">
        <v>1.9869999899999999</v>
      </c>
      <c r="AU305" s="3">
        <v>1.9869999899999999</v>
      </c>
      <c r="AV305" s="3">
        <v>1.9869999899999999</v>
      </c>
      <c r="AW305" s="3">
        <v>1.9869999899999999</v>
      </c>
      <c r="AX305" s="3">
        <v>1.9869999899999999</v>
      </c>
      <c r="AY305" s="3">
        <v>1.9869999899999999</v>
      </c>
      <c r="AZ305" s="3">
        <v>1.9869999899999999</v>
      </c>
      <c r="BA305" s="3">
        <v>1.9869999899999999</v>
      </c>
      <c r="BB305" s="3">
        <v>1.9869999899999999</v>
      </c>
      <c r="BC305" s="3">
        <v>1.9869999899999999</v>
      </c>
      <c r="BD305" s="3">
        <v>1.9869999899999999</v>
      </c>
      <c r="BE305" s="3">
        <v>1.9869999899999999</v>
      </c>
      <c r="BF305" s="3">
        <v>1.9869999899999999</v>
      </c>
      <c r="BG305" s="3">
        <v>1.9869999899999999</v>
      </c>
      <c r="BH305" s="3">
        <v>1.9869999899999999</v>
      </c>
      <c r="BI305" s="3">
        <v>1.9869999899999999</v>
      </c>
      <c r="BJ305" s="3">
        <v>1.9869999899999999</v>
      </c>
      <c r="BK305" s="3">
        <v>1.9869999899999999</v>
      </c>
      <c r="BL305" s="3">
        <v>1.9869999899999999</v>
      </c>
      <c r="BM305" s="3">
        <v>1.9869999899999999</v>
      </c>
      <c r="BN305" s="3">
        <v>1.9869999899999999</v>
      </c>
      <c r="BO305" s="3">
        <v>1.9869999899999999</v>
      </c>
      <c r="BP305" s="3">
        <v>1.9869999899999999</v>
      </c>
      <c r="BQ305" s="3">
        <v>1.9869999899999999</v>
      </c>
    </row>
    <row r="306" spans="1:69" hidden="1" x14ac:dyDescent="0.25">
      <c r="A306" s="20">
        <v>31</v>
      </c>
      <c r="B306" s="20" t="s">
        <v>70</v>
      </c>
      <c r="C306" s="3" t="s">
        <v>71</v>
      </c>
      <c r="D306" s="3">
        <v>5</v>
      </c>
      <c r="E306" s="3" t="s">
        <v>494</v>
      </c>
      <c r="F306" s="3"/>
      <c r="G306" s="3" t="s">
        <v>500</v>
      </c>
      <c r="H306" s="3">
        <v>0</v>
      </c>
      <c r="I306" s="3">
        <v>0.87338940218400019</v>
      </c>
      <c r="J306" s="3">
        <v>0.87026962573200006</v>
      </c>
      <c r="K306" s="3">
        <v>0.88175164942800011</v>
      </c>
      <c r="L306" s="3">
        <v>0.88208660670000005</v>
      </c>
      <c r="M306" s="3">
        <v>0.8755977832680002</v>
      </c>
      <c r="N306" s="3">
        <v>0.93772846237200025</v>
      </c>
      <c r="O306" s="3">
        <v>1.7317914138720003</v>
      </c>
      <c r="P306" s="3">
        <v>1.7588995837920001</v>
      </c>
      <c r="Q306" s="3">
        <v>1.9869999899999999</v>
      </c>
      <c r="R306" s="3">
        <v>1.9869999899999999</v>
      </c>
      <c r="S306" s="3">
        <v>1.9869999899999999</v>
      </c>
      <c r="T306" s="3">
        <v>1.9869999899999999</v>
      </c>
      <c r="U306" s="3">
        <v>99999</v>
      </c>
      <c r="V306" s="3">
        <v>99999</v>
      </c>
      <c r="W306" s="3">
        <v>99999</v>
      </c>
      <c r="X306" s="3">
        <v>99999</v>
      </c>
      <c r="Y306" s="3">
        <v>99999</v>
      </c>
      <c r="Z306" s="3">
        <v>99999</v>
      </c>
      <c r="AA306" s="3">
        <v>99999</v>
      </c>
      <c r="AB306" s="3">
        <v>99999</v>
      </c>
      <c r="AC306" s="3">
        <v>99999</v>
      </c>
      <c r="AD306" s="3">
        <v>99999</v>
      </c>
      <c r="AE306" s="3">
        <v>99999</v>
      </c>
      <c r="AF306" s="3">
        <v>99999</v>
      </c>
      <c r="AG306" s="3">
        <v>99999</v>
      </c>
      <c r="AH306" s="3">
        <v>99999</v>
      </c>
      <c r="AI306" s="3">
        <v>99999</v>
      </c>
      <c r="AJ306" s="3">
        <v>99999</v>
      </c>
      <c r="AK306" s="3">
        <v>99999</v>
      </c>
      <c r="AL306" s="3">
        <v>99999</v>
      </c>
      <c r="AM306" s="3">
        <v>99999</v>
      </c>
      <c r="AN306" s="3">
        <v>99999</v>
      </c>
      <c r="AO306" s="3">
        <v>99999</v>
      </c>
      <c r="AP306" s="3">
        <v>99999</v>
      </c>
      <c r="AQ306" s="3">
        <v>99999</v>
      </c>
      <c r="AR306" s="3">
        <v>99999</v>
      </c>
      <c r="AS306" s="3">
        <v>99999</v>
      </c>
      <c r="AT306" s="3">
        <v>99999</v>
      </c>
      <c r="AU306" s="3">
        <v>99999</v>
      </c>
      <c r="AV306" s="3">
        <v>99999</v>
      </c>
      <c r="AW306" s="3">
        <v>99999</v>
      </c>
      <c r="AX306" s="3">
        <v>99999</v>
      </c>
      <c r="AY306" s="3">
        <v>99999</v>
      </c>
      <c r="AZ306" s="3">
        <v>99999</v>
      </c>
      <c r="BA306" s="3">
        <v>99999</v>
      </c>
      <c r="BB306" s="3">
        <v>99999</v>
      </c>
      <c r="BC306" s="3">
        <v>99999</v>
      </c>
      <c r="BD306" s="3">
        <v>99999</v>
      </c>
      <c r="BE306" s="3">
        <v>99999</v>
      </c>
      <c r="BF306" s="3">
        <v>99999</v>
      </c>
      <c r="BG306" s="3">
        <v>99999</v>
      </c>
      <c r="BH306" s="3">
        <v>99999</v>
      </c>
      <c r="BI306" s="3">
        <v>99999</v>
      </c>
      <c r="BJ306" s="3">
        <v>99999</v>
      </c>
      <c r="BK306" s="3">
        <v>99999</v>
      </c>
      <c r="BL306" s="3">
        <v>99999</v>
      </c>
      <c r="BM306" s="3">
        <v>99999</v>
      </c>
      <c r="BN306" s="3">
        <v>99999</v>
      </c>
      <c r="BO306" s="3">
        <v>99999</v>
      </c>
      <c r="BP306" s="3">
        <v>99999</v>
      </c>
      <c r="BQ306" s="3">
        <v>99999</v>
      </c>
    </row>
    <row r="307" spans="1:69" hidden="1" x14ac:dyDescent="0.25">
      <c r="A307" s="20">
        <v>31</v>
      </c>
      <c r="B307" s="20" t="s">
        <v>70</v>
      </c>
      <c r="C307" s="3" t="s">
        <v>71</v>
      </c>
      <c r="D307" s="3">
        <v>6</v>
      </c>
      <c r="E307" s="3" t="s">
        <v>495</v>
      </c>
      <c r="F307" s="3"/>
      <c r="G307" s="3" t="s">
        <v>490</v>
      </c>
      <c r="H307" s="3">
        <v>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hidden="1" x14ac:dyDescent="0.25">
      <c r="A308" s="20">
        <v>31</v>
      </c>
      <c r="B308" s="20" t="s">
        <v>70</v>
      </c>
      <c r="C308" s="3" t="s">
        <v>71</v>
      </c>
      <c r="D308" s="3">
        <v>7</v>
      </c>
      <c r="E308" s="3" t="s">
        <v>496</v>
      </c>
      <c r="F308" s="3"/>
      <c r="G308" s="21" t="s">
        <v>500</v>
      </c>
      <c r="H308" s="22">
        <v>0</v>
      </c>
      <c r="I308" s="3">
        <v>11.693034945051741</v>
      </c>
      <c r="J308" s="3">
        <v>15.073941413068674</v>
      </c>
      <c r="K308" s="3">
        <v>16.570097459187501</v>
      </c>
      <c r="L308" s="3">
        <v>14.946666600095668</v>
      </c>
      <c r="M308" s="3">
        <v>15.513987308985977</v>
      </c>
      <c r="N308" s="3">
        <v>17.731818624409172</v>
      </c>
      <c r="O308" s="3">
        <v>21.439036049090934</v>
      </c>
      <c r="P308" s="3">
        <v>27.200252317177448</v>
      </c>
      <c r="Q308" s="3">
        <v>29.6967</v>
      </c>
      <c r="R308" s="3">
        <v>31.340900000000001</v>
      </c>
      <c r="S308" s="3">
        <v>32.949800000000003</v>
      </c>
      <c r="T308" s="3">
        <v>32.796599999999998</v>
      </c>
      <c r="U308" s="3">
        <v>30</v>
      </c>
      <c r="V308" s="3">
        <v>31.2073</v>
      </c>
      <c r="W308" s="3">
        <v>31.493500000000001</v>
      </c>
      <c r="X308" s="3">
        <v>32.5884</v>
      </c>
      <c r="Y308" s="3">
        <v>33.668500000000002</v>
      </c>
      <c r="Z308" s="3">
        <v>34.982399999999998</v>
      </c>
      <c r="AA308" s="3">
        <v>34.959499999999998</v>
      </c>
      <c r="AB308" s="3">
        <v>35.903300000000002</v>
      </c>
      <c r="AC308" s="3">
        <v>37.117000000000004</v>
      </c>
      <c r="AD308" s="3">
        <v>37.935200000000002</v>
      </c>
      <c r="AE308" s="3">
        <v>39.2376</v>
      </c>
      <c r="AF308" s="3">
        <v>40.602400000000003</v>
      </c>
      <c r="AG308" s="3">
        <v>41.900400000000005</v>
      </c>
      <c r="AH308" s="3">
        <v>43.076200000000007</v>
      </c>
      <c r="AI308" s="3">
        <v>44.49730000000001</v>
      </c>
      <c r="AJ308" s="3">
        <v>45.671300000000009</v>
      </c>
      <c r="AK308" s="3">
        <v>47.018900000000009</v>
      </c>
      <c r="AL308" s="3">
        <v>48.366000000000007</v>
      </c>
      <c r="AM308" s="3">
        <v>49.705900000000007</v>
      </c>
      <c r="AN308" s="3">
        <v>50.971600000000009</v>
      </c>
      <c r="AO308" s="3">
        <v>52.315600000000011</v>
      </c>
      <c r="AP308" s="3">
        <v>53.31730000000001</v>
      </c>
      <c r="AQ308" s="3">
        <v>54.662500000000009</v>
      </c>
      <c r="AR308" s="3">
        <v>55.75500000000001</v>
      </c>
      <c r="AS308" s="3">
        <v>57.182900000000011</v>
      </c>
      <c r="AT308" s="3">
        <v>58.29740000000001</v>
      </c>
      <c r="AU308" s="3">
        <v>59.447700000000012</v>
      </c>
      <c r="AV308" s="3">
        <v>60.579000000000015</v>
      </c>
      <c r="AW308" s="3">
        <v>61.757400000000018</v>
      </c>
      <c r="AX308" s="3">
        <v>64.185700000000026</v>
      </c>
      <c r="AY308" s="3">
        <v>65.44880000000002</v>
      </c>
      <c r="AZ308" s="3">
        <v>66.722000000000023</v>
      </c>
      <c r="BA308" s="3">
        <v>67.990000000000023</v>
      </c>
      <c r="BB308" s="3">
        <v>69.298500000000018</v>
      </c>
      <c r="BC308" s="3">
        <v>70.596800000000016</v>
      </c>
      <c r="BD308" s="3">
        <v>71.895200000000017</v>
      </c>
      <c r="BE308" s="3">
        <v>73.193700000000021</v>
      </c>
      <c r="BF308" s="3">
        <v>74.502200000000016</v>
      </c>
      <c r="BG308" s="3">
        <v>75.830900000000014</v>
      </c>
      <c r="BH308" s="3">
        <v>77.169600000000017</v>
      </c>
      <c r="BI308" s="3">
        <v>78.528600000000012</v>
      </c>
      <c r="BJ308" s="3">
        <v>79.882600000000011</v>
      </c>
      <c r="BK308" s="3">
        <v>81.251700000000014</v>
      </c>
      <c r="BL308" s="3">
        <v>82.635900000000021</v>
      </c>
      <c r="BM308" s="3">
        <v>84.020200000000017</v>
      </c>
      <c r="BN308" s="3">
        <v>85.414600000000021</v>
      </c>
      <c r="BO308" s="3">
        <v>86.81910000000002</v>
      </c>
      <c r="BP308" s="3">
        <v>88.238700000000023</v>
      </c>
      <c r="BQ308" s="3">
        <v>89.668500000000023</v>
      </c>
    </row>
    <row r="309" spans="1:69" hidden="1" x14ac:dyDescent="0.25">
      <c r="A309" s="20">
        <v>31</v>
      </c>
      <c r="B309" s="20" t="s">
        <v>70</v>
      </c>
      <c r="C309" s="3" t="s">
        <v>71</v>
      </c>
      <c r="D309" s="3">
        <v>8</v>
      </c>
      <c r="E309" s="3" t="s">
        <v>497</v>
      </c>
      <c r="F309" s="3"/>
      <c r="G309" s="3" t="s">
        <v>490</v>
      </c>
      <c r="H309" s="3">
        <v>0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hidden="1" x14ac:dyDescent="0.25">
      <c r="A310" s="20">
        <v>31</v>
      </c>
      <c r="B310" s="20" t="s">
        <v>70</v>
      </c>
      <c r="C310" s="3" t="s">
        <v>71</v>
      </c>
      <c r="D310" s="3">
        <v>9</v>
      </c>
      <c r="E310" s="3" t="s">
        <v>498</v>
      </c>
      <c r="F310" s="3"/>
      <c r="G310" s="3" t="s">
        <v>500</v>
      </c>
      <c r="H310" s="3">
        <v>0</v>
      </c>
      <c r="I310" s="3">
        <v>0.45140000000000002</v>
      </c>
      <c r="J310" s="3">
        <v>0.58399999999999996</v>
      </c>
      <c r="K310" s="3">
        <v>0.63360000000000005</v>
      </c>
      <c r="L310" s="3">
        <v>0.57130000000000003</v>
      </c>
      <c r="M310" s="3">
        <v>0.59740000000000004</v>
      </c>
      <c r="N310" s="3">
        <v>0.63749999999999996</v>
      </c>
      <c r="O310" s="3">
        <v>0.41739999999999999</v>
      </c>
      <c r="P310" s="3">
        <v>0.52139999999999997</v>
      </c>
      <c r="Q310" s="3">
        <v>0.50390000000000001</v>
      </c>
      <c r="R310" s="3">
        <v>0.53180000000000005</v>
      </c>
      <c r="S310" s="3">
        <v>0.55910000000000004</v>
      </c>
      <c r="T310" s="3">
        <v>0.55649999999999999</v>
      </c>
      <c r="U310" s="3">
        <v>0.5</v>
      </c>
      <c r="V310" s="3">
        <v>0.5</v>
      </c>
      <c r="W310" s="3">
        <v>0.5</v>
      </c>
      <c r="X310" s="3">
        <v>0.5</v>
      </c>
      <c r="Y310" s="3">
        <v>0.5</v>
      </c>
      <c r="Z310" s="3">
        <v>0.5</v>
      </c>
      <c r="AA310" s="3">
        <v>0.5</v>
      </c>
      <c r="AB310" s="3">
        <v>0.5</v>
      </c>
      <c r="AC310" s="3">
        <v>0.5</v>
      </c>
      <c r="AD310" s="3">
        <v>0.5</v>
      </c>
      <c r="AE310" s="3">
        <v>0.5</v>
      </c>
      <c r="AF310" s="3">
        <v>0.5</v>
      </c>
      <c r="AG310" s="3">
        <v>0.5</v>
      </c>
      <c r="AH310" s="3">
        <v>0.5</v>
      </c>
      <c r="AI310" s="3">
        <v>0.5</v>
      </c>
      <c r="AJ310" s="3">
        <v>0.5</v>
      </c>
      <c r="AK310" s="3">
        <v>0.5</v>
      </c>
      <c r="AL310" s="3">
        <v>0.5</v>
      </c>
      <c r="AM310" s="3">
        <v>0.5</v>
      </c>
      <c r="AN310" s="3">
        <v>0.5</v>
      </c>
      <c r="AO310" s="3">
        <v>0.5</v>
      </c>
      <c r="AP310" s="3">
        <v>0.5</v>
      </c>
      <c r="AQ310" s="3">
        <v>0.5</v>
      </c>
      <c r="AR310" s="3">
        <v>0.5</v>
      </c>
      <c r="AS310" s="3">
        <v>0.5</v>
      </c>
      <c r="AT310" s="3">
        <v>0.5</v>
      </c>
      <c r="AU310" s="3">
        <v>0.5</v>
      </c>
      <c r="AV310" s="3">
        <v>0.5</v>
      </c>
      <c r="AW310" s="3">
        <v>0.5</v>
      </c>
      <c r="AX310" s="3">
        <v>0.5</v>
      </c>
      <c r="AY310" s="3">
        <v>0.5</v>
      </c>
      <c r="AZ310" s="3">
        <v>0.5</v>
      </c>
      <c r="BA310" s="3">
        <v>0.5</v>
      </c>
      <c r="BB310" s="3">
        <v>0.5</v>
      </c>
      <c r="BC310" s="3">
        <v>0.5</v>
      </c>
      <c r="BD310" s="3">
        <v>0.5</v>
      </c>
      <c r="BE310" s="3">
        <v>0.5</v>
      </c>
      <c r="BF310" s="3">
        <v>0.5</v>
      </c>
      <c r="BG310" s="3">
        <v>0.5</v>
      </c>
      <c r="BH310" s="3">
        <v>0.5</v>
      </c>
      <c r="BI310" s="3">
        <v>0.5</v>
      </c>
      <c r="BJ310" s="3">
        <v>0.5</v>
      </c>
      <c r="BK310" s="3">
        <v>0.5</v>
      </c>
      <c r="BL310" s="3">
        <v>0.5</v>
      </c>
      <c r="BM310" s="3">
        <v>0.5</v>
      </c>
      <c r="BN310" s="3">
        <v>0.5</v>
      </c>
      <c r="BO310" s="3">
        <v>0.5</v>
      </c>
      <c r="BP310" s="3">
        <v>0.5</v>
      </c>
      <c r="BQ310" s="3">
        <v>0.5</v>
      </c>
    </row>
    <row r="311" spans="1:69" hidden="1" x14ac:dyDescent="0.25">
      <c r="A311" s="20">
        <v>31</v>
      </c>
      <c r="B311" s="20" t="s">
        <v>70</v>
      </c>
      <c r="C311" s="3" t="s">
        <v>71</v>
      </c>
      <c r="D311" s="3">
        <v>10</v>
      </c>
      <c r="E311" s="3" t="s">
        <v>499</v>
      </c>
      <c r="F311" s="3"/>
      <c r="G311" s="3" t="s">
        <v>501</v>
      </c>
      <c r="H311" s="3">
        <v>0</v>
      </c>
      <c r="I311" s="3">
        <v>0.95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s="17" customFormat="1" hidden="1" x14ac:dyDescent="0.25">
      <c r="A312" s="23">
        <v>32</v>
      </c>
      <c r="B312" s="23" t="s">
        <v>72</v>
      </c>
      <c r="C312" s="24" t="s">
        <v>73</v>
      </c>
      <c r="D312" s="24">
        <v>1</v>
      </c>
      <c r="E312" s="24" t="s">
        <v>489</v>
      </c>
      <c r="F312" s="24"/>
      <c r="G312" s="24" t="s">
        <v>500</v>
      </c>
      <c r="H312" s="24">
        <v>0</v>
      </c>
      <c r="I312" s="24">
        <v>1216.67</v>
      </c>
      <c r="J312" s="24">
        <v>1216.67</v>
      </c>
      <c r="K312" s="24">
        <v>1216.67</v>
      </c>
      <c r="L312" s="24">
        <v>1216.67</v>
      </c>
      <c r="M312" s="24">
        <v>1216.67</v>
      </c>
      <c r="N312" s="24">
        <v>1216.67</v>
      </c>
      <c r="O312" s="24">
        <v>1216.67</v>
      </c>
      <c r="P312" s="24">
        <v>1216.67</v>
      </c>
      <c r="Q312" s="24">
        <v>1216.67</v>
      </c>
      <c r="R312" s="24">
        <v>1174.44</v>
      </c>
      <c r="S312" s="24">
        <v>1132.22</v>
      </c>
      <c r="T312" s="24">
        <v>1090</v>
      </c>
      <c r="U312" s="24">
        <v>1047.78</v>
      </c>
      <c r="V312" s="24">
        <v>1005.56</v>
      </c>
      <c r="W312" s="24">
        <v>963.33</v>
      </c>
      <c r="X312" s="24">
        <v>921.11</v>
      </c>
      <c r="Y312" s="24">
        <v>878.89</v>
      </c>
      <c r="Z312" s="24">
        <v>836.67</v>
      </c>
      <c r="AA312" s="24">
        <v>794.44</v>
      </c>
      <c r="AB312" s="24">
        <v>752.22</v>
      </c>
      <c r="AC312" s="24">
        <v>710</v>
      </c>
      <c r="AD312" s="24">
        <v>700</v>
      </c>
      <c r="AE312" s="24">
        <v>690</v>
      </c>
      <c r="AF312" s="24">
        <v>680</v>
      </c>
      <c r="AG312" s="24">
        <v>670</v>
      </c>
      <c r="AH312" s="24">
        <v>660</v>
      </c>
      <c r="AI312" s="24">
        <v>650</v>
      </c>
      <c r="AJ312" s="24">
        <v>640</v>
      </c>
      <c r="AK312" s="24">
        <v>630</v>
      </c>
      <c r="AL312" s="24">
        <v>620</v>
      </c>
      <c r="AM312" s="24">
        <v>610</v>
      </c>
      <c r="AN312" s="24">
        <v>600</v>
      </c>
      <c r="AO312" s="24">
        <v>590</v>
      </c>
      <c r="AP312" s="24">
        <v>580</v>
      </c>
      <c r="AQ312" s="24">
        <v>570</v>
      </c>
      <c r="AR312" s="24">
        <v>560</v>
      </c>
      <c r="AS312" s="24">
        <v>550</v>
      </c>
      <c r="AT312" s="24">
        <v>540</v>
      </c>
      <c r="AU312" s="24">
        <v>530</v>
      </c>
      <c r="AV312" s="24">
        <v>520</v>
      </c>
      <c r="AW312" s="24">
        <v>510</v>
      </c>
      <c r="AX312" s="24">
        <v>510</v>
      </c>
      <c r="AY312" s="24">
        <v>510</v>
      </c>
      <c r="AZ312" s="24">
        <v>510</v>
      </c>
      <c r="BA312" s="24">
        <v>510</v>
      </c>
      <c r="BB312" s="24">
        <v>510</v>
      </c>
      <c r="BC312" s="24">
        <v>510</v>
      </c>
      <c r="BD312" s="24">
        <v>510</v>
      </c>
      <c r="BE312" s="24">
        <v>510</v>
      </c>
      <c r="BF312" s="24">
        <v>510</v>
      </c>
      <c r="BG312" s="24">
        <v>510</v>
      </c>
      <c r="BH312" s="24">
        <v>510</v>
      </c>
      <c r="BI312" s="24">
        <v>510</v>
      </c>
      <c r="BJ312" s="24">
        <v>510</v>
      </c>
      <c r="BK312" s="24">
        <v>510</v>
      </c>
      <c r="BL312" s="24">
        <v>510</v>
      </c>
      <c r="BM312" s="24">
        <v>510</v>
      </c>
      <c r="BN312" s="24">
        <v>510</v>
      </c>
      <c r="BO312" s="24">
        <v>510</v>
      </c>
      <c r="BP312" s="24">
        <v>510</v>
      </c>
      <c r="BQ312" s="24">
        <v>510</v>
      </c>
    </row>
    <row r="313" spans="1:69" s="17" customFormat="1" hidden="1" x14ac:dyDescent="0.25">
      <c r="A313" s="23">
        <v>32</v>
      </c>
      <c r="B313" s="23" t="s">
        <v>72</v>
      </c>
      <c r="C313" s="24" t="s">
        <v>73</v>
      </c>
      <c r="D313" s="24">
        <v>2</v>
      </c>
      <c r="E313" s="24" t="s">
        <v>491</v>
      </c>
      <c r="F313" s="24"/>
      <c r="G313" s="24" t="s">
        <v>500</v>
      </c>
      <c r="H313" s="24">
        <v>0</v>
      </c>
      <c r="I313" s="24">
        <v>19.8</v>
      </c>
      <c r="J313" s="24">
        <v>19.8</v>
      </c>
      <c r="K313" s="24">
        <v>19.8</v>
      </c>
      <c r="L313" s="24">
        <v>19.8</v>
      </c>
      <c r="M313" s="24">
        <v>19.8</v>
      </c>
      <c r="N313" s="24">
        <v>19.8</v>
      </c>
      <c r="O313" s="24">
        <v>19.8</v>
      </c>
      <c r="P313" s="24">
        <v>19.8</v>
      </c>
      <c r="Q313" s="24">
        <v>19.8</v>
      </c>
      <c r="R313" s="24">
        <v>19.8</v>
      </c>
      <c r="S313" s="24">
        <v>13.6</v>
      </c>
      <c r="T313" s="24">
        <v>13.6</v>
      </c>
      <c r="U313" s="24">
        <v>13.6</v>
      </c>
      <c r="V313" s="24">
        <v>13.6</v>
      </c>
      <c r="W313" s="24">
        <v>13.6</v>
      </c>
      <c r="X313" s="24">
        <v>12.2</v>
      </c>
      <c r="Y313" s="24">
        <v>12.2</v>
      </c>
      <c r="Z313" s="24">
        <v>12.2</v>
      </c>
      <c r="AA313" s="24">
        <v>12.2</v>
      </c>
      <c r="AB313" s="24">
        <v>12.2</v>
      </c>
      <c r="AC313" s="24">
        <v>10.8</v>
      </c>
      <c r="AD313" s="24">
        <v>10.8</v>
      </c>
      <c r="AE313" s="24">
        <v>10.8</v>
      </c>
      <c r="AF313" s="24">
        <v>10.8</v>
      </c>
      <c r="AG313" s="24">
        <v>10.8</v>
      </c>
      <c r="AH313" s="24">
        <v>10.5</v>
      </c>
      <c r="AI313" s="24">
        <v>10.5</v>
      </c>
      <c r="AJ313" s="24">
        <v>10.5</v>
      </c>
      <c r="AK313" s="24">
        <v>10.5</v>
      </c>
      <c r="AL313" s="24">
        <v>10.5</v>
      </c>
      <c r="AM313" s="24">
        <v>10.199999999999999</v>
      </c>
      <c r="AN313" s="24">
        <v>10.199999999999999</v>
      </c>
      <c r="AO313" s="24">
        <v>10.199999999999999</v>
      </c>
      <c r="AP313" s="24">
        <v>10.199999999999999</v>
      </c>
      <c r="AQ313" s="24">
        <v>10.199999999999999</v>
      </c>
      <c r="AR313" s="24">
        <v>9.9</v>
      </c>
      <c r="AS313" s="24">
        <v>9.9</v>
      </c>
      <c r="AT313" s="24">
        <v>9.9</v>
      </c>
      <c r="AU313" s="24">
        <v>9.9</v>
      </c>
      <c r="AV313" s="24">
        <v>9.9</v>
      </c>
      <c r="AW313" s="24">
        <v>9.6</v>
      </c>
      <c r="AX313" s="24">
        <v>9.6</v>
      </c>
      <c r="AY313" s="24">
        <v>9.6</v>
      </c>
      <c r="AZ313" s="24">
        <v>9.6</v>
      </c>
      <c r="BA313" s="24">
        <v>9.6</v>
      </c>
      <c r="BB313" s="24">
        <v>9.6</v>
      </c>
      <c r="BC313" s="24">
        <v>9.6</v>
      </c>
      <c r="BD313" s="24">
        <v>9.6</v>
      </c>
      <c r="BE313" s="24">
        <v>9.6</v>
      </c>
      <c r="BF313" s="24">
        <v>9.6</v>
      </c>
      <c r="BG313" s="24">
        <v>9.6</v>
      </c>
      <c r="BH313" s="24">
        <v>9.6</v>
      </c>
      <c r="BI313" s="24">
        <v>9.6</v>
      </c>
      <c r="BJ313" s="24">
        <v>9.6</v>
      </c>
      <c r="BK313" s="24">
        <v>9.6</v>
      </c>
      <c r="BL313" s="24">
        <v>9.6</v>
      </c>
      <c r="BM313" s="24">
        <v>9.6</v>
      </c>
      <c r="BN313" s="24">
        <v>9.6</v>
      </c>
      <c r="BO313" s="24">
        <v>9.6</v>
      </c>
      <c r="BP313" s="24">
        <v>9.6</v>
      </c>
      <c r="BQ313" s="24">
        <v>9.6</v>
      </c>
    </row>
    <row r="314" spans="1:69" s="17" customFormat="1" hidden="1" x14ac:dyDescent="0.25">
      <c r="A314" s="23">
        <v>32</v>
      </c>
      <c r="B314" s="23" t="s">
        <v>72</v>
      </c>
      <c r="C314" s="24" t="s">
        <v>73</v>
      </c>
      <c r="D314" s="24">
        <v>3</v>
      </c>
      <c r="E314" s="24" t="s">
        <v>492</v>
      </c>
      <c r="F314" s="24"/>
      <c r="G314" s="24" t="s">
        <v>500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4">
        <v>0</v>
      </c>
      <c r="AN314" s="24">
        <v>0</v>
      </c>
      <c r="AO314" s="24">
        <v>0</v>
      </c>
      <c r="AP314" s="24">
        <v>0</v>
      </c>
      <c r="AQ314" s="24">
        <v>0</v>
      </c>
      <c r="AR314" s="24">
        <v>0</v>
      </c>
      <c r="AS314" s="24">
        <v>0</v>
      </c>
      <c r="AT314" s="24">
        <v>0</v>
      </c>
      <c r="AU314" s="24">
        <v>0</v>
      </c>
      <c r="AV314" s="24">
        <v>0</v>
      </c>
      <c r="AW314" s="24">
        <v>0</v>
      </c>
      <c r="AX314" s="24">
        <v>0</v>
      </c>
      <c r="AY314" s="24">
        <v>0</v>
      </c>
      <c r="AZ314" s="24">
        <v>0</v>
      </c>
      <c r="BA314" s="24">
        <v>0</v>
      </c>
      <c r="BB314" s="24">
        <v>0</v>
      </c>
      <c r="BC314" s="24">
        <v>0</v>
      </c>
      <c r="BD314" s="24">
        <v>0</v>
      </c>
      <c r="BE314" s="24">
        <v>0</v>
      </c>
      <c r="BF314" s="24">
        <v>0</v>
      </c>
      <c r="BG314" s="24">
        <v>0</v>
      </c>
      <c r="BH314" s="24">
        <v>0</v>
      </c>
      <c r="BI314" s="24">
        <v>0</v>
      </c>
      <c r="BJ314" s="24">
        <v>0</v>
      </c>
      <c r="BK314" s="24">
        <v>0</v>
      </c>
      <c r="BL314" s="24">
        <v>0</v>
      </c>
      <c r="BM314" s="24">
        <v>0</v>
      </c>
      <c r="BN314" s="24">
        <v>0</v>
      </c>
      <c r="BO314" s="24">
        <v>0</v>
      </c>
      <c r="BP314" s="24">
        <v>0</v>
      </c>
      <c r="BQ314" s="24">
        <v>0</v>
      </c>
    </row>
    <row r="315" spans="1:69" s="17" customFormat="1" hidden="1" x14ac:dyDescent="0.25">
      <c r="A315" s="23">
        <v>32</v>
      </c>
      <c r="B315" s="23" t="s">
        <v>72</v>
      </c>
      <c r="C315" s="24" t="s">
        <v>73</v>
      </c>
      <c r="D315" s="24">
        <v>4</v>
      </c>
      <c r="E315" s="24" t="s">
        <v>493</v>
      </c>
      <c r="F315" s="24"/>
      <c r="G315" s="24" t="s">
        <v>500</v>
      </c>
      <c r="H315" s="24">
        <v>0</v>
      </c>
      <c r="I315" s="24">
        <v>2.1120000000000002E-3</v>
      </c>
      <c r="J315" s="24">
        <v>2.1120000000000002E-3</v>
      </c>
      <c r="K315" s="24">
        <v>2.1120000000000002E-3</v>
      </c>
      <c r="L315" s="24">
        <v>1.7212799999999997E-2</v>
      </c>
      <c r="M315" s="24">
        <v>2.3240799999999999E-2</v>
      </c>
      <c r="N315" s="24">
        <v>2.2475200000000001E-2</v>
      </c>
      <c r="O315" s="24">
        <v>2.3302400000000001E-2</v>
      </c>
      <c r="P315" s="24">
        <v>2.3302400000000001E-2</v>
      </c>
      <c r="Q315" s="24">
        <v>2.4460819999999991E-2</v>
      </c>
      <c r="R315" s="24">
        <v>2.4460819999999991E-2</v>
      </c>
      <c r="S315" s="24">
        <v>2.4460819999999991E-2</v>
      </c>
      <c r="T315" s="24">
        <v>2.4460819999999991E-2</v>
      </c>
      <c r="U315" s="24">
        <v>2.4460819999999991E-2</v>
      </c>
      <c r="V315" s="24">
        <v>2.4460819999999991E-2</v>
      </c>
      <c r="W315" s="24">
        <v>2.4460819999999991E-2</v>
      </c>
      <c r="X315" s="24">
        <v>2.4460819999999991E-2</v>
      </c>
      <c r="Y315" s="24">
        <v>2.4460819999999991E-2</v>
      </c>
      <c r="Z315" s="24">
        <v>2.4460819999999991E-2</v>
      </c>
      <c r="AA315" s="24">
        <v>2.4460819999999991E-2</v>
      </c>
      <c r="AB315" s="24">
        <v>2.4460819999999991E-2</v>
      </c>
      <c r="AC315" s="24">
        <v>2.4460819999999991E-2</v>
      </c>
      <c r="AD315" s="24">
        <v>2.4460819999999991E-2</v>
      </c>
      <c r="AE315" s="24">
        <v>2.4460819999999991E-2</v>
      </c>
      <c r="AF315" s="24">
        <v>2.4460819999999991E-2</v>
      </c>
      <c r="AG315" s="24">
        <v>2.4460819999999991E-2</v>
      </c>
      <c r="AH315" s="24">
        <v>2.4460819999999991E-2</v>
      </c>
      <c r="AI315" s="24">
        <v>2.4460819999999991E-2</v>
      </c>
      <c r="AJ315" s="24">
        <v>2.4460819999999991E-2</v>
      </c>
      <c r="AK315" s="24">
        <v>2.4460819999999991E-2</v>
      </c>
      <c r="AL315" s="24">
        <v>2.4460819999999991E-2</v>
      </c>
      <c r="AM315" s="24">
        <v>2.4460819999999991E-2</v>
      </c>
      <c r="AN315" s="24">
        <v>2.4460819999999991E-2</v>
      </c>
      <c r="AO315" s="24">
        <v>2.4460819999999991E-2</v>
      </c>
      <c r="AP315" s="24">
        <v>2.4460819999999991E-2</v>
      </c>
      <c r="AQ315" s="24">
        <v>2.4460819999999991E-2</v>
      </c>
      <c r="AR315" s="24">
        <v>2.4460819999999991E-2</v>
      </c>
      <c r="AS315" s="24">
        <v>2.4460819999999991E-2</v>
      </c>
      <c r="AT315" s="24">
        <v>2.4460819999999991E-2</v>
      </c>
      <c r="AU315" s="24">
        <v>2.4460819999999991E-2</v>
      </c>
      <c r="AV315" s="24">
        <v>0</v>
      </c>
      <c r="AW315" s="24">
        <v>0</v>
      </c>
      <c r="AX315" s="24">
        <v>0</v>
      </c>
      <c r="AY315" s="24">
        <v>0</v>
      </c>
      <c r="AZ315" s="24">
        <v>0</v>
      </c>
      <c r="BA315" s="24">
        <v>0</v>
      </c>
      <c r="BB315" s="24">
        <v>0</v>
      </c>
      <c r="BC315" s="24">
        <v>0</v>
      </c>
      <c r="BD315" s="24">
        <v>0</v>
      </c>
      <c r="BE315" s="24">
        <v>0</v>
      </c>
      <c r="BF315" s="24">
        <v>0</v>
      </c>
      <c r="BG315" s="24">
        <v>0</v>
      </c>
      <c r="BH315" s="24">
        <v>0</v>
      </c>
      <c r="BI315" s="24">
        <v>0</v>
      </c>
      <c r="BJ315" s="24">
        <v>0</v>
      </c>
      <c r="BK315" s="24">
        <v>0</v>
      </c>
      <c r="BL315" s="24">
        <v>0</v>
      </c>
      <c r="BM315" s="24">
        <v>0</v>
      </c>
      <c r="BN315" s="24">
        <v>0</v>
      </c>
      <c r="BO315" s="24">
        <v>0</v>
      </c>
      <c r="BP315" s="24">
        <v>0</v>
      </c>
      <c r="BQ315" s="24">
        <v>0</v>
      </c>
    </row>
    <row r="316" spans="1:69" s="17" customFormat="1" hidden="1" x14ac:dyDescent="0.25">
      <c r="A316" s="23">
        <v>32</v>
      </c>
      <c r="B316" s="23" t="s">
        <v>72</v>
      </c>
      <c r="C316" s="24" t="s">
        <v>73</v>
      </c>
      <c r="D316" s="24">
        <v>5</v>
      </c>
      <c r="E316" s="24" t="s">
        <v>494</v>
      </c>
      <c r="F316" s="24"/>
      <c r="G316" s="24" t="s">
        <v>500</v>
      </c>
      <c r="H316" s="24">
        <v>0</v>
      </c>
      <c r="I316" s="24">
        <v>1</v>
      </c>
      <c r="J316" s="24">
        <v>1</v>
      </c>
      <c r="K316" s="24">
        <v>1</v>
      </c>
      <c r="L316" s="24">
        <v>1</v>
      </c>
      <c r="M316" s="24">
        <v>1</v>
      </c>
      <c r="N316" s="24">
        <v>1</v>
      </c>
      <c r="O316" s="24">
        <v>1</v>
      </c>
      <c r="P316" s="24">
        <v>1</v>
      </c>
      <c r="Q316" s="24">
        <v>1</v>
      </c>
      <c r="R316" s="24">
        <v>1</v>
      </c>
      <c r="S316" s="24">
        <v>1</v>
      </c>
      <c r="T316" s="24">
        <v>1</v>
      </c>
      <c r="U316" s="24">
        <v>18</v>
      </c>
      <c r="V316" s="24">
        <v>18</v>
      </c>
      <c r="W316" s="24">
        <v>18</v>
      </c>
      <c r="X316" s="24">
        <v>18</v>
      </c>
      <c r="Y316" s="24">
        <v>18</v>
      </c>
      <c r="Z316" s="24">
        <v>18</v>
      </c>
      <c r="AA316" s="24">
        <v>18</v>
      </c>
      <c r="AB316" s="24">
        <v>18</v>
      </c>
      <c r="AC316" s="24">
        <v>18</v>
      </c>
      <c r="AD316" s="24">
        <v>18</v>
      </c>
      <c r="AE316" s="24">
        <v>18</v>
      </c>
      <c r="AF316" s="24">
        <v>18</v>
      </c>
      <c r="AG316" s="24">
        <v>18</v>
      </c>
      <c r="AH316" s="24">
        <v>18</v>
      </c>
      <c r="AI316" s="24">
        <v>18</v>
      </c>
      <c r="AJ316" s="24">
        <v>18</v>
      </c>
      <c r="AK316" s="24">
        <v>18</v>
      </c>
      <c r="AL316" s="24">
        <v>18</v>
      </c>
      <c r="AM316" s="24">
        <v>18</v>
      </c>
      <c r="AN316" s="24">
        <v>18</v>
      </c>
      <c r="AO316" s="24">
        <v>18</v>
      </c>
      <c r="AP316" s="24">
        <v>18</v>
      </c>
      <c r="AQ316" s="24">
        <v>18</v>
      </c>
      <c r="AR316" s="24">
        <v>18</v>
      </c>
      <c r="AS316" s="24">
        <v>18</v>
      </c>
      <c r="AT316" s="24">
        <v>18</v>
      </c>
      <c r="AU316" s="24">
        <v>18</v>
      </c>
      <c r="AV316" s="24">
        <v>18</v>
      </c>
      <c r="AW316" s="24">
        <v>18</v>
      </c>
      <c r="AX316" s="24">
        <v>18</v>
      </c>
      <c r="AY316" s="24">
        <v>18</v>
      </c>
      <c r="AZ316" s="24">
        <v>18</v>
      </c>
      <c r="BA316" s="24">
        <v>18</v>
      </c>
      <c r="BB316" s="24">
        <v>18</v>
      </c>
      <c r="BC316" s="24">
        <v>18</v>
      </c>
      <c r="BD316" s="24">
        <v>18</v>
      </c>
      <c r="BE316" s="24">
        <v>18</v>
      </c>
      <c r="BF316" s="24">
        <v>18</v>
      </c>
      <c r="BG316" s="24">
        <v>18</v>
      </c>
      <c r="BH316" s="24">
        <v>18</v>
      </c>
      <c r="BI316" s="24">
        <v>18</v>
      </c>
      <c r="BJ316" s="24">
        <v>18</v>
      </c>
      <c r="BK316" s="24">
        <v>18</v>
      </c>
      <c r="BL316" s="24">
        <v>18</v>
      </c>
      <c r="BM316" s="24">
        <v>18</v>
      </c>
      <c r="BN316" s="24">
        <v>18</v>
      </c>
      <c r="BO316" s="24">
        <v>18</v>
      </c>
      <c r="BP316" s="24">
        <v>18</v>
      </c>
      <c r="BQ316" s="24">
        <v>18</v>
      </c>
    </row>
    <row r="317" spans="1:69" s="17" customFormat="1" hidden="1" x14ac:dyDescent="0.25">
      <c r="A317" s="23">
        <v>32</v>
      </c>
      <c r="B317" s="23" t="s">
        <v>72</v>
      </c>
      <c r="C317" s="24" t="s">
        <v>73</v>
      </c>
      <c r="D317" s="24">
        <v>6</v>
      </c>
      <c r="E317" s="24" t="s">
        <v>495</v>
      </c>
      <c r="F317" s="24"/>
      <c r="G317" s="24" t="s">
        <v>500</v>
      </c>
      <c r="H317" s="24">
        <v>0</v>
      </c>
      <c r="I317" s="50">
        <v>1.2928E-2</v>
      </c>
      <c r="J317" s="50">
        <v>1.2928E-2</v>
      </c>
      <c r="K317" s="50">
        <v>1.2928E-2</v>
      </c>
      <c r="L317" s="24">
        <v>1.2950574991504584E-2</v>
      </c>
      <c r="M317" s="24">
        <v>5.1802299966018338E-2</v>
      </c>
      <c r="N317" s="24">
        <v>0.11655517492354125</v>
      </c>
      <c r="O317" s="24">
        <v>0.12626810616716969</v>
      </c>
      <c r="P317" s="24">
        <v>0.11979281867141742</v>
      </c>
      <c r="Q317" s="24">
        <v>0.12503799999999998</v>
      </c>
      <c r="R317" s="24">
        <v>0.11917999999999999</v>
      </c>
      <c r="S317" s="24">
        <v>0.12160399999999999</v>
      </c>
      <c r="T317" s="24">
        <v>0.120291</v>
      </c>
      <c r="U317" s="24">
        <v>0.12130100000000001</v>
      </c>
      <c r="V317" s="24">
        <v>0.125139</v>
      </c>
      <c r="W317" s="24">
        <v>0.12604799999999999</v>
      </c>
      <c r="X317" s="24">
        <v>0.129583</v>
      </c>
      <c r="Y317" s="24">
        <v>0.13291600000000001</v>
      </c>
      <c r="Z317" s="24">
        <v>0.137158</v>
      </c>
      <c r="AA317" s="24">
        <v>0.13705699999999998</v>
      </c>
      <c r="AB317" s="24">
        <v>0.139986</v>
      </c>
      <c r="AC317" s="24">
        <v>0.143925</v>
      </c>
      <c r="AD317" s="24">
        <v>0.14645</v>
      </c>
      <c r="AE317" s="24">
        <v>0.150591</v>
      </c>
      <c r="AF317" s="24">
        <v>0.15493400000000002</v>
      </c>
      <c r="AG317" s="24">
        <v>0.158974</v>
      </c>
      <c r="AH317" s="24">
        <v>0.16271099999999999</v>
      </c>
      <c r="AI317" s="24">
        <v>0.16725599999999999</v>
      </c>
      <c r="AJ317" s="24">
        <v>0.17099300000000001</v>
      </c>
      <c r="AK317" s="24">
        <v>0.175235</v>
      </c>
      <c r="AL317" s="24">
        <v>0.179477</v>
      </c>
      <c r="AM317" s="24">
        <v>0.18371900000000002</v>
      </c>
      <c r="AN317" s="24">
        <v>0.18775900000000001</v>
      </c>
      <c r="AO317" s="24">
        <v>0.192001</v>
      </c>
      <c r="AP317" s="24">
        <v>0.195132</v>
      </c>
      <c r="AQ317" s="24">
        <v>0.199374</v>
      </c>
      <c r="AR317" s="24">
        <v>0.20290900000000001</v>
      </c>
      <c r="AS317" s="24">
        <v>0.20735300000000001</v>
      </c>
      <c r="AT317" s="24">
        <v>0.21088800000000002</v>
      </c>
      <c r="AU317" s="24">
        <v>0.21452400000000002</v>
      </c>
      <c r="AV317" s="24">
        <v>0.21815999999999999</v>
      </c>
      <c r="AW317" s="24">
        <v>0.22189700000000001</v>
      </c>
      <c r="AX317" s="24">
        <v>0.229573</v>
      </c>
      <c r="AY317" s="24">
        <v>0.23361300000000002</v>
      </c>
      <c r="AZ317" s="24">
        <v>0.23755199999999999</v>
      </c>
      <c r="BA317" s="24">
        <v>0.241592</v>
      </c>
      <c r="BB317" s="24">
        <v>0.24573299999999998</v>
      </c>
      <c r="BC317" s="24">
        <v>0.24987400000000001</v>
      </c>
      <c r="BD317" s="24">
        <v>0.25401499999999999</v>
      </c>
      <c r="BE317" s="24">
        <v>0.25805500000000003</v>
      </c>
      <c r="BF317" s="24">
        <v>0.26219599999999998</v>
      </c>
      <c r="BG317" s="24">
        <v>0.26643800000000001</v>
      </c>
      <c r="BH317" s="24">
        <v>0.27068000000000003</v>
      </c>
      <c r="BI317" s="24">
        <v>0.27502299999999996</v>
      </c>
      <c r="BJ317" s="24">
        <v>0.27926500000000004</v>
      </c>
      <c r="BK317" s="24">
        <v>0.28360799999999997</v>
      </c>
      <c r="BL317" s="24">
        <v>0.28795100000000001</v>
      </c>
      <c r="BM317" s="24">
        <v>0.29239499999999996</v>
      </c>
      <c r="BN317" s="24">
        <v>0.296738</v>
      </c>
      <c r="BO317" s="24">
        <v>0.30118200000000001</v>
      </c>
      <c r="BP317" s="24">
        <v>0.30572700000000003</v>
      </c>
      <c r="BQ317" s="24">
        <v>0.31027199999999999</v>
      </c>
    </row>
    <row r="318" spans="1:69" s="17" customFormat="1" hidden="1" x14ac:dyDescent="0.25">
      <c r="A318" s="23">
        <v>32</v>
      </c>
      <c r="B318" s="23" t="s">
        <v>72</v>
      </c>
      <c r="C318" s="24" t="s">
        <v>73</v>
      </c>
      <c r="D318" s="24">
        <v>7</v>
      </c>
      <c r="E318" s="24" t="s">
        <v>496</v>
      </c>
      <c r="F318" s="24"/>
      <c r="G318" s="25" t="s">
        <v>500</v>
      </c>
      <c r="H318" s="26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0.11860675115981922</v>
      </c>
      <c r="Q318" s="24">
        <v>0.12379999999999999</v>
      </c>
      <c r="R318" s="24">
        <v>0.11799999999999999</v>
      </c>
      <c r="S318" s="24">
        <v>0.12039999999999999</v>
      </c>
      <c r="T318" s="24">
        <v>0.1191</v>
      </c>
      <c r="U318" s="24">
        <v>0.1201</v>
      </c>
      <c r="V318" s="24">
        <v>0.1239</v>
      </c>
      <c r="W318" s="24">
        <v>0.12479999999999999</v>
      </c>
      <c r="X318" s="24">
        <v>0.1283</v>
      </c>
      <c r="Y318" s="24">
        <v>0.13159999999999999</v>
      </c>
      <c r="Z318" s="24">
        <v>0.1358</v>
      </c>
      <c r="AA318" s="24">
        <v>0.13569999999999999</v>
      </c>
      <c r="AB318" s="24">
        <v>0.1386</v>
      </c>
      <c r="AC318" s="24">
        <v>0.14249999999999999</v>
      </c>
      <c r="AD318" s="24">
        <v>0.14499999999999999</v>
      </c>
      <c r="AE318" s="24">
        <v>0.14910000000000001</v>
      </c>
      <c r="AF318" s="24">
        <v>0.15340000000000001</v>
      </c>
      <c r="AG318" s="24">
        <v>0.15740000000000001</v>
      </c>
      <c r="AH318" s="24">
        <v>0.16109999999999999</v>
      </c>
      <c r="AI318" s="24">
        <v>0.1656</v>
      </c>
      <c r="AJ318" s="24">
        <v>0.16930000000000001</v>
      </c>
      <c r="AK318" s="24">
        <v>0.17349999999999999</v>
      </c>
      <c r="AL318" s="24">
        <v>0.1777</v>
      </c>
      <c r="AM318" s="24">
        <v>0.18190000000000001</v>
      </c>
      <c r="AN318" s="24">
        <v>0.18590000000000001</v>
      </c>
      <c r="AO318" s="24">
        <v>0.19009999999999999</v>
      </c>
      <c r="AP318" s="24">
        <v>0.19320000000000001</v>
      </c>
      <c r="AQ318" s="24">
        <v>0.19739999999999999</v>
      </c>
      <c r="AR318" s="24">
        <v>0.2009</v>
      </c>
      <c r="AS318" s="24">
        <v>0.20530000000000001</v>
      </c>
      <c r="AT318" s="24">
        <v>0.20880000000000001</v>
      </c>
      <c r="AU318" s="24">
        <v>0.21240000000000001</v>
      </c>
      <c r="AV318" s="24">
        <v>0.216</v>
      </c>
      <c r="AW318" s="24">
        <v>0.21970000000000001</v>
      </c>
      <c r="AX318" s="24">
        <v>0.2273</v>
      </c>
      <c r="AY318" s="24">
        <v>0.23130000000000001</v>
      </c>
      <c r="AZ318" s="24">
        <v>0.23519999999999999</v>
      </c>
      <c r="BA318" s="24">
        <v>0.2392</v>
      </c>
      <c r="BB318" s="24">
        <v>0.24329999999999999</v>
      </c>
      <c r="BC318" s="24">
        <v>0.24740000000000001</v>
      </c>
      <c r="BD318" s="24">
        <v>0.2515</v>
      </c>
      <c r="BE318" s="24">
        <v>0.2555</v>
      </c>
      <c r="BF318" s="24">
        <v>0.2596</v>
      </c>
      <c r="BG318" s="24">
        <v>0.26379999999999998</v>
      </c>
      <c r="BH318" s="24">
        <v>0.26800000000000002</v>
      </c>
      <c r="BI318" s="24">
        <v>0.27229999999999999</v>
      </c>
      <c r="BJ318" s="24">
        <v>0.27650000000000002</v>
      </c>
      <c r="BK318" s="24">
        <v>0.28079999999999999</v>
      </c>
      <c r="BL318" s="24">
        <v>0.28510000000000002</v>
      </c>
      <c r="BM318" s="24">
        <v>0.28949999999999998</v>
      </c>
      <c r="BN318" s="24">
        <v>0.29380000000000001</v>
      </c>
      <c r="BO318" s="24">
        <v>0.29820000000000002</v>
      </c>
      <c r="BP318" s="24">
        <v>0.30270000000000002</v>
      </c>
      <c r="BQ318" s="24">
        <v>0.30719999999999997</v>
      </c>
    </row>
    <row r="319" spans="1:69" s="17" customFormat="1" hidden="1" x14ac:dyDescent="0.25">
      <c r="A319" s="23">
        <v>32</v>
      </c>
      <c r="B319" s="23" t="s">
        <v>72</v>
      </c>
      <c r="C319" s="24" t="s">
        <v>73</v>
      </c>
      <c r="D319" s="24">
        <v>8</v>
      </c>
      <c r="E319" s="24" t="s">
        <v>497</v>
      </c>
      <c r="F319" s="24"/>
      <c r="G319" s="24" t="s">
        <v>500</v>
      </c>
      <c r="H319" s="24">
        <v>0</v>
      </c>
      <c r="I319" s="24">
        <v>0</v>
      </c>
      <c r="J319" s="24">
        <v>0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0.32</v>
      </c>
      <c r="AB319" s="24">
        <v>0</v>
      </c>
      <c r="AC319" s="24">
        <v>0.27</v>
      </c>
      <c r="AD319" s="24">
        <v>0.06</v>
      </c>
      <c r="AE319" s="24">
        <v>0.16</v>
      </c>
      <c r="AF319" s="24">
        <v>0</v>
      </c>
      <c r="AG319" s="24">
        <v>0</v>
      </c>
      <c r="AH319" s="24">
        <v>0</v>
      </c>
      <c r="AI319" s="24">
        <v>0</v>
      </c>
      <c r="AJ319" s="24">
        <v>0</v>
      </c>
      <c r="AK319" s="24">
        <v>0</v>
      </c>
      <c r="AL319" s="24">
        <v>0</v>
      </c>
      <c r="AM319" s="24">
        <v>0</v>
      </c>
      <c r="AN319" s="24">
        <v>0</v>
      </c>
      <c r="AO319" s="24">
        <v>0</v>
      </c>
      <c r="AP319" s="24">
        <v>0</v>
      </c>
      <c r="AQ319" s="24">
        <v>0</v>
      </c>
      <c r="AR319" s="24">
        <v>0</v>
      </c>
      <c r="AS319" s="24">
        <v>0</v>
      </c>
      <c r="AT319" s="24">
        <v>0</v>
      </c>
      <c r="AU319" s="24">
        <v>0</v>
      </c>
      <c r="AV319" s="24">
        <v>0</v>
      </c>
      <c r="AW319" s="24">
        <v>0</v>
      </c>
      <c r="AX319" s="24">
        <v>0</v>
      </c>
      <c r="AY319" s="24">
        <v>0</v>
      </c>
      <c r="AZ319" s="24">
        <v>0</v>
      </c>
      <c r="BA319" s="24">
        <v>0</v>
      </c>
      <c r="BB319" s="24">
        <v>0</v>
      </c>
      <c r="BC319" s="24">
        <v>0</v>
      </c>
      <c r="BD319" s="24">
        <v>0</v>
      </c>
      <c r="BE319" s="24">
        <v>0</v>
      </c>
      <c r="BF319" s="24">
        <v>0</v>
      </c>
      <c r="BG319" s="24">
        <v>0</v>
      </c>
      <c r="BH319" s="24">
        <v>0</v>
      </c>
      <c r="BI319" s="24">
        <v>0</v>
      </c>
      <c r="BJ319" s="24">
        <v>0</v>
      </c>
      <c r="BK319" s="24">
        <v>0</v>
      </c>
      <c r="BL319" s="24">
        <v>0</v>
      </c>
      <c r="BM319" s="24">
        <v>0</v>
      </c>
      <c r="BN319" s="24">
        <v>0</v>
      </c>
      <c r="BO319" s="24">
        <v>0</v>
      </c>
      <c r="BP319" s="24">
        <v>0</v>
      </c>
      <c r="BQ319" s="24">
        <v>0</v>
      </c>
    </row>
    <row r="320" spans="1:69" s="17" customFormat="1" hidden="1" x14ac:dyDescent="0.25">
      <c r="A320" s="23">
        <v>32</v>
      </c>
      <c r="B320" s="23" t="s">
        <v>72</v>
      </c>
      <c r="C320" s="24" t="s">
        <v>73</v>
      </c>
      <c r="D320" s="24">
        <v>9</v>
      </c>
      <c r="E320" s="24" t="s">
        <v>498</v>
      </c>
      <c r="F320" s="24"/>
      <c r="G320" s="24" t="s">
        <v>500</v>
      </c>
      <c r="H320" s="24">
        <v>0</v>
      </c>
      <c r="I320" s="50">
        <v>2.5100000000000001E-2</v>
      </c>
      <c r="J320" s="50">
        <v>2.5100000000000001E-2</v>
      </c>
      <c r="K320" s="50">
        <v>2.5100000000000001E-2</v>
      </c>
      <c r="L320" s="50">
        <v>2.5100000000000001E-2</v>
      </c>
      <c r="M320" s="24">
        <v>7.4399999999999994E-2</v>
      </c>
      <c r="N320" s="24">
        <v>0.1731</v>
      </c>
      <c r="O320" s="24">
        <v>0.18090000000000001</v>
      </c>
      <c r="P320" s="24">
        <v>0.1716</v>
      </c>
      <c r="Q320" s="24">
        <v>0.17069999999999999</v>
      </c>
      <c r="R320" s="24">
        <v>0.16259999999999999</v>
      </c>
      <c r="S320" s="24">
        <v>0.16600000000000001</v>
      </c>
      <c r="T320" s="24">
        <v>0.16420000000000001</v>
      </c>
      <c r="U320" s="24">
        <v>0.22</v>
      </c>
      <c r="V320" s="24">
        <v>0.22</v>
      </c>
      <c r="W320" s="24">
        <v>0.22</v>
      </c>
      <c r="X320" s="24">
        <v>0.22</v>
      </c>
      <c r="Y320" s="24">
        <v>0.22</v>
      </c>
      <c r="Z320" s="24">
        <v>0.22</v>
      </c>
      <c r="AA320" s="24">
        <v>0.22</v>
      </c>
      <c r="AB320" s="24">
        <v>0.22</v>
      </c>
      <c r="AC320" s="24">
        <v>0.22</v>
      </c>
      <c r="AD320" s="24">
        <v>0.22</v>
      </c>
      <c r="AE320" s="24">
        <v>0.22</v>
      </c>
      <c r="AF320" s="24">
        <v>0.22</v>
      </c>
      <c r="AG320" s="24">
        <v>0.22</v>
      </c>
      <c r="AH320" s="24">
        <v>0.22</v>
      </c>
      <c r="AI320" s="24">
        <v>0.22</v>
      </c>
      <c r="AJ320" s="24">
        <v>0.22</v>
      </c>
      <c r="AK320" s="24">
        <v>0.22</v>
      </c>
      <c r="AL320" s="24">
        <v>0.22</v>
      </c>
      <c r="AM320" s="24">
        <v>0.22</v>
      </c>
      <c r="AN320" s="24">
        <v>0.22</v>
      </c>
      <c r="AO320" s="24">
        <v>0.22</v>
      </c>
      <c r="AP320" s="24">
        <v>0.22</v>
      </c>
      <c r="AQ320" s="24">
        <v>0.22</v>
      </c>
      <c r="AR320" s="24">
        <v>0.22</v>
      </c>
      <c r="AS320" s="24">
        <v>0.22</v>
      </c>
      <c r="AT320" s="24">
        <v>0.22</v>
      </c>
      <c r="AU320" s="24">
        <v>0.22</v>
      </c>
      <c r="AV320" s="24">
        <v>0.22</v>
      </c>
      <c r="AW320" s="24">
        <v>0.22</v>
      </c>
      <c r="AX320" s="24">
        <v>0.22</v>
      </c>
      <c r="AY320" s="24">
        <v>0.22</v>
      </c>
      <c r="AZ320" s="24">
        <v>0.22</v>
      </c>
      <c r="BA320" s="24">
        <v>0.22</v>
      </c>
      <c r="BB320" s="24">
        <v>0.22</v>
      </c>
      <c r="BC320" s="24">
        <v>0.22</v>
      </c>
      <c r="BD320" s="24">
        <v>0.22</v>
      </c>
      <c r="BE320" s="24">
        <v>0.22</v>
      </c>
      <c r="BF320" s="24">
        <v>0.22</v>
      </c>
      <c r="BG320" s="24">
        <v>0.22</v>
      </c>
      <c r="BH320" s="24">
        <v>0.22</v>
      </c>
      <c r="BI320" s="24">
        <v>0.22</v>
      </c>
      <c r="BJ320" s="24">
        <v>0.22</v>
      </c>
      <c r="BK320" s="24">
        <v>0.22</v>
      </c>
      <c r="BL320" s="24">
        <v>0.22</v>
      </c>
      <c r="BM320" s="24">
        <v>0.22</v>
      </c>
      <c r="BN320" s="24">
        <v>0.22</v>
      </c>
      <c r="BO320" s="24">
        <v>0.22</v>
      </c>
      <c r="BP320" s="24">
        <v>0.22</v>
      </c>
      <c r="BQ320" s="24">
        <v>0.22</v>
      </c>
    </row>
    <row r="321" spans="1:69" s="17" customFormat="1" hidden="1" x14ac:dyDescent="0.25">
      <c r="A321" s="23">
        <v>32</v>
      </c>
      <c r="B321" s="23" t="s">
        <v>72</v>
      </c>
      <c r="C321" s="24" t="s">
        <v>73</v>
      </c>
      <c r="D321" s="24">
        <v>10</v>
      </c>
      <c r="E321" s="24" t="s">
        <v>499</v>
      </c>
      <c r="F321" s="24"/>
      <c r="G321" s="24" t="s">
        <v>501</v>
      </c>
      <c r="H321" s="24">
        <v>0</v>
      </c>
      <c r="I321" s="24">
        <v>0.95</v>
      </c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</row>
    <row r="322" spans="1:69" x14ac:dyDescent="0.25">
      <c r="A322" s="20">
        <v>33</v>
      </c>
      <c r="B322" s="20" t="s">
        <v>74</v>
      </c>
      <c r="C322" s="3" t="s">
        <v>75</v>
      </c>
      <c r="D322" s="3">
        <v>1</v>
      </c>
      <c r="E322" s="3" t="s">
        <v>489</v>
      </c>
      <c r="F322" s="3"/>
      <c r="G322" s="3" t="s">
        <v>500</v>
      </c>
      <c r="H322" s="3">
        <v>0</v>
      </c>
      <c r="I322" s="3">
        <v>1643.89</v>
      </c>
      <c r="J322" s="3">
        <v>1643.89</v>
      </c>
      <c r="K322" s="3">
        <v>1643.89</v>
      </c>
      <c r="L322" s="3">
        <v>1643.89</v>
      </c>
      <c r="M322" s="3">
        <v>1643.89</v>
      </c>
      <c r="N322" s="3">
        <v>1643.89</v>
      </c>
      <c r="O322" s="3">
        <v>1643.89</v>
      </c>
      <c r="P322" s="3">
        <v>1643.89</v>
      </c>
      <c r="Q322" s="3">
        <v>1643.89</v>
      </c>
      <c r="R322" s="3">
        <v>1628.7</v>
      </c>
      <c r="S322" s="3">
        <v>1613.52</v>
      </c>
      <c r="T322" s="3">
        <v>1598.34</v>
      </c>
      <c r="U322" s="3">
        <v>1583.15</v>
      </c>
      <c r="V322" s="3">
        <v>1567.97</v>
      </c>
      <c r="W322" s="3">
        <v>1552.78</v>
      </c>
      <c r="X322" s="3">
        <v>1537.6</v>
      </c>
      <c r="Y322" s="3">
        <v>1522.42</v>
      </c>
      <c r="Z322" s="3">
        <v>1507.23</v>
      </c>
      <c r="AA322" s="3">
        <v>1492.05</v>
      </c>
      <c r="AB322" s="3">
        <v>1476.86</v>
      </c>
      <c r="AC322" s="3">
        <v>1461.68</v>
      </c>
      <c r="AD322" s="3">
        <v>1446.5</v>
      </c>
      <c r="AE322" s="3">
        <v>1431.31</v>
      </c>
      <c r="AF322" s="3">
        <v>1416.13</v>
      </c>
      <c r="AG322" s="3">
        <v>1400.94</v>
      </c>
      <c r="AH322" s="3">
        <v>1385.76</v>
      </c>
      <c r="AI322" s="3">
        <v>1370.58</v>
      </c>
      <c r="AJ322" s="3">
        <v>1355.39</v>
      </c>
      <c r="AK322" s="3">
        <v>1340.21</v>
      </c>
      <c r="AL322" s="3">
        <v>1325.02</v>
      </c>
      <c r="AM322" s="3">
        <v>1309.8399999999999</v>
      </c>
      <c r="AN322" s="3">
        <v>1294.6600000000001</v>
      </c>
      <c r="AO322" s="3">
        <v>1279.47</v>
      </c>
      <c r="AP322" s="3">
        <v>1264.29</v>
      </c>
      <c r="AQ322" s="3">
        <v>1249.0999999999999</v>
      </c>
      <c r="AR322" s="3">
        <v>1233.92</v>
      </c>
      <c r="AS322" s="3">
        <v>1218.74</v>
      </c>
      <c r="AT322" s="3">
        <v>1203.55</v>
      </c>
      <c r="AU322" s="3">
        <v>1188.3699999999999</v>
      </c>
      <c r="AV322" s="3">
        <v>1173.18</v>
      </c>
      <c r="AW322" s="3">
        <v>1158</v>
      </c>
      <c r="AX322" s="3">
        <v>1158</v>
      </c>
      <c r="AY322" s="3">
        <v>1158</v>
      </c>
      <c r="AZ322" s="3">
        <v>1158</v>
      </c>
      <c r="BA322" s="3">
        <v>1158</v>
      </c>
      <c r="BB322" s="3">
        <v>1158</v>
      </c>
      <c r="BC322" s="3">
        <v>1158</v>
      </c>
      <c r="BD322" s="3">
        <v>1158</v>
      </c>
      <c r="BE322" s="3">
        <v>1158</v>
      </c>
      <c r="BF322" s="3">
        <v>1158</v>
      </c>
      <c r="BG322" s="3">
        <v>1158</v>
      </c>
      <c r="BH322" s="3">
        <v>1158</v>
      </c>
      <c r="BI322" s="3">
        <v>1158</v>
      </c>
      <c r="BJ322" s="3">
        <v>1158</v>
      </c>
      <c r="BK322" s="3">
        <v>1158</v>
      </c>
      <c r="BL322" s="3">
        <v>1158</v>
      </c>
      <c r="BM322" s="3">
        <v>1158</v>
      </c>
      <c r="BN322" s="3">
        <v>1158</v>
      </c>
      <c r="BO322" s="3">
        <v>1158</v>
      </c>
      <c r="BP322" s="3">
        <v>1158</v>
      </c>
      <c r="BQ322" s="3">
        <v>1158</v>
      </c>
    </row>
    <row r="323" spans="1:69" x14ac:dyDescent="0.25">
      <c r="A323" s="20">
        <v>33</v>
      </c>
      <c r="B323" s="20" t="s">
        <v>74</v>
      </c>
      <c r="C323" s="3" t="s">
        <v>75</v>
      </c>
      <c r="D323" s="3">
        <v>2</v>
      </c>
      <c r="E323" s="3" t="s">
        <v>491</v>
      </c>
      <c r="F323" s="3"/>
      <c r="G323" s="3" t="s">
        <v>500</v>
      </c>
      <c r="H323" s="3">
        <v>0</v>
      </c>
      <c r="I323" s="3">
        <v>37.950000000000003</v>
      </c>
      <c r="J323" s="3">
        <v>37.950000000000003</v>
      </c>
      <c r="K323" s="3">
        <v>37.950000000000003</v>
      </c>
      <c r="L323" s="3">
        <v>37.950000000000003</v>
      </c>
      <c r="M323" s="3">
        <v>37.950000000000003</v>
      </c>
      <c r="N323" s="3">
        <v>37.950000000000003</v>
      </c>
      <c r="O323" s="3">
        <v>37.950000000000003</v>
      </c>
      <c r="P323" s="3">
        <v>37.950000000000003</v>
      </c>
      <c r="Q323" s="3">
        <v>37.950000000000003</v>
      </c>
      <c r="R323" s="3">
        <v>37.950000000000003</v>
      </c>
      <c r="S323" s="3">
        <v>34.29</v>
      </c>
      <c r="T323" s="3">
        <v>34.29</v>
      </c>
      <c r="U323" s="3">
        <v>34.29</v>
      </c>
      <c r="V323" s="3">
        <v>34.29</v>
      </c>
      <c r="W323" s="3">
        <v>34.29</v>
      </c>
      <c r="X323" s="3">
        <v>30.65</v>
      </c>
      <c r="Y323" s="3">
        <v>30.65</v>
      </c>
      <c r="Z323" s="3">
        <v>30.65</v>
      </c>
      <c r="AA323" s="3">
        <v>30.65</v>
      </c>
      <c r="AB323" s="3">
        <v>30.65</v>
      </c>
      <c r="AC323" s="3">
        <v>27</v>
      </c>
      <c r="AD323" s="3">
        <v>27</v>
      </c>
      <c r="AE323" s="3">
        <v>27</v>
      </c>
      <c r="AF323" s="3">
        <v>27</v>
      </c>
      <c r="AG323" s="3">
        <v>27</v>
      </c>
      <c r="AH323" s="3">
        <v>24.59</v>
      </c>
      <c r="AI323" s="3">
        <v>24.59</v>
      </c>
      <c r="AJ323" s="3">
        <v>24.59</v>
      </c>
      <c r="AK323" s="3">
        <v>24.59</v>
      </c>
      <c r="AL323" s="3">
        <v>24.59</v>
      </c>
      <c r="AM323" s="3">
        <v>22.19</v>
      </c>
      <c r="AN323" s="3">
        <v>22.19</v>
      </c>
      <c r="AO323" s="3">
        <v>22.19</v>
      </c>
      <c r="AP323" s="3">
        <v>22.19</v>
      </c>
      <c r="AQ323" s="3">
        <v>22.19</v>
      </c>
      <c r="AR323" s="3">
        <v>19.78</v>
      </c>
      <c r="AS323" s="3">
        <v>19.78</v>
      </c>
      <c r="AT323" s="3">
        <v>19.78</v>
      </c>
      <c r="AU323" s="3">
        <v>19.78</v>
      </c>
      <c r="AV323" s="3">
        <v>19.78</v>
      </c>
      <c r="AW323" s="3">
        <v>17.37</v>
      </c>
      <c r="AX323" s="3">
        <v>17.37</v>
      </c>
      <c r="AY323" s="3">
        <v>17.37</v>
      </c>
      <c r="AZ323" s="3">
        <v>17.37</v>
      </c>
      <c r="BA323" s="3">
        <v>17.37</v>
      </c>
      <c r="BB323" s="3">
        <v>17.37</v>
      </c>
      <c r="BC323" s="3">
        <v>17.37</v>
      </c>
      <c r="BD323" s="3">
        <v>17.37</v>
      </c>
      <c r="BE323" s="3">
        <v>17.37</v>
      </c>
      <c r="BF323" s="3">
        <v>17.37</v>
      </c>
      <c r="BG323" s="3">
        <v>17.37</v>
      </c>
      <c r="BH323" s="3">
        <v>17.37</v>
      </c>
      <c r="BI323" s="3">
        <v>17.37</v>
      </c>
      <c r="BJ323" s="3">
        <v>17.37</v>
      </c>
      <c r="BK323" s="3">
        <v>17.37</v>
      </c>
      <c r="BL323" s="3">
        <v>17.37</v>
      </c>
      <c r="BM323" s="3">
        <v>17.37</v>
      </c>
      <c r="BN323" s="3">
        <v>17.37</v>
      </c>
      <c r="BO323" s="3">
        <v>17.37</v>
      </c>
      <c r="BP323" s="3">
        <v>17.37</v>
      </c>
      <c r="BQ323" s="3">
        <v>17.37</v>
      </c>
    </row>
    <row r="324" spans="1:69" x14ac:dyDescent="0.25">
      <c r="A324" s="20">
        <v>33</v>
      </c>
      <c r="B324" s="20" t="s">
        <v>74</v>
      </c>
      <c r="C324" s="3" t="s">
        <v>75</v>
      </c>
      <c r="D324" s="3">
        <v>3</v>
      </c>
      <c r="E324" s="3" t="s">
        <v>492</v>
      </c>
      <c r="F324" s="3"/>
      <c r="G324" s="3" t="s">
        <v>500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</row>
    <row r="325" spans="1:69" x14ac:dyDescent="0.25">
      <c r="A325" s="20">
        <v>33</v>
      </c>
      <c r="B325" s="20" t="s">
        <v>74</v>
      </c>
      <c r="C325" s="3" t="s">
        <v>75</v>
      </c>
      <c r="D325" s="3">
        <v>4</v>
      </c>
      <c r="E325" s="3" t="s">
        <v>493</v>
      </c>
      <c r="F325" s="3"/>
      <c r="G325" s="3" t="s">
        <v>500</v>
      </c>
      <c r="H325" s="3">
        <v>0</v>
      </c>
      <c r="I325" s="3">
        <v>1.872E-3</v>
      </c>
      <c r="J325" s="3">
        <v>1.872E-3</v>
      </c>
      <c r="K325" s="3">
        <v>1.872E-3</v>
      </c>
      <c r="L325" s="3">
        <v>1.5256800000000001E-2</v>
      </c>
      <c r="M325" s="3">
        <v>1.6497000000000001E-2</v>
      </c>
      <c r="N325" s="3">
        <v>1.6497000000000001E-2</v>
      </c>
      <c r="O325" s="3">
        <v>1.6497000000000001E-2</v>
      </c>
      <c r="P325" s="3">
        <v>1.6497000000000001E-2</v>
      </c>
      <c r="Q325" s="3">
        <v>1.6500000000000001E-2</v>
      </c>
      <c r="R325" s="3">
        <v>1.6500000000000001E-2</v>
      </c>
      <c r="S325" s="3">
        <v>1.6500000000000001E-2</v>
      </c>
      <c r="T325" s="3">
        <v>1.6500000000000001E-2</v>
      </c>
      <c r="U325" s="3">
        <v>1.6500000000000001E-2</v>
      </c>
      <c r="V325" s="3">
        <v>1.6500000000000001E-2</v>
      </c>
      <c r="W325" s="3">
        <v>1.6500000000000001E-2</v>
      </c>
      <c r="X325" s="3">
        <v>1.6500000000000001E-2</v>
      </c>
      <c r="Y325" s="3">
        <v>1.6500000000000001E-2</v>
      </c>
      <c r="Z325" s="3">
        <v>1.6500000000000001E-2</v>
      </c>
      <c r="AA325" s="3">
        <v>1.6500000000000001E-2</v>
      </c>
      <c r="AB325" s="3">
        <v>1.6500000000000001E-2</v>
      </c>
      <c r="AC325" s="3">
        <v>1.6500000000000001E-2</v>
      </c>
      <c r="AD325" s="3">
        <v>1.6500000000000001E-2</v>
      </c>
      <c r="AE325" s="3">
        <v>1.6500000000000001E-2</v>
      </c>
      <c r="AF325" s="3">
        <v>1.6500000000000001E-2</v>
      </c>
      <c r="AG325" s="3">
        <v>1.6500000000000001E-2</v>
      </c>
      <c r="AH325" s="3">
        <v>1.6500000000000001E-2</v>
      </c>
      <c r="AI325" s="3">
        <v>1.6500000000000001E-2</v>
      </c>
      <c r="AJ325" s="3">
        <v>1.6500000000000001E-2</v>
      </c>
      <c r="AK325" s="3">
        <v>1.6500000000000001E-2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</row>
    <row r="326" spans="1:69" x14ac:dyDescent="0.25">
      <c r="A326" s="20">
        <v>33</v>
      </c>
      <c r="B326" s="20" t="s">
        <v>74</v>
      </c>
      <c r="C326" s="3" t="s">
        <v>75</v>
      </c>
      <c r="D326" s="3">
        <v>5</v>
      </c>
      <c r="E326" s="3" t="s">
        <v>494</v>
      </c>
      <c r="F326" s="3"/>
      <c r="G326" s="3" t="s">
        <v>500</v>
      </c>
      <c r="H326" s="3">
        <v>0</v>
      </c>
      <c r="I326" s="3">
        <v>1</v>
      </c>
      <c r="J326" s="3">
        <v>1</v>
      </c>
      <c r="K326" s="3">
        <v>1</v>
      </c>
      <c r="L326" s="3">
        <v>1</v>
      </c>
      <c r="M326" s="3">
        <v>1</v>
      </c>
      <c r="N326" s="3">
        <v>1</v>
      </c>
      <c r="O326" s="3">
        <v>1</v>
      </c>
      <c r="P326" s="3">
        <v>1.6497000000000001E-2</v>
      </c>
      <c r="Q326" s="3">
        <v>1.6500000000000001E-2</v>
      </c>
      <c r="R326" s="3">
        <v>1.6500000000000001E-2</v>
      </c>
      <c r="S326" s="3">
        <v>1.6500000000000001E-2</v>
      </c>
      <c r="T326" s="3">
        <v>1.6500000000000001E-2</v>
      </c>
      <c r="U326" s="3">
        <v>0.88</v>
      </c>
      <c r="V326" s="3">
        <v>0.88</v>
      </c>
      <c r="W326" s="3">
        <v>0.88</v>
      </c>
      <c r="X326" s="3">
        <v>0.88</v>
      </c>
      <c r="Y326" s="3">
        <v>0.88</v>
      </c>
      <c r="Z326" s="3">
        <v>0.88</v>
      </c>
      <c r="AA326" s="3">
        <v>0.88</v>
      </c>
      <c r="AB326" s="3">
        <v>0.88</v>
      </c>
      <c r="AC326" s="3">
        <v>0.88</v>
      </c>
      <c r="AD326" s="3">
        <v>0.88</v>
      </c>
      <c r="AE326" s="3">
        <v>0.88</v>
      </c>
      <c r="AF326" s="3">
        <v>0.88</v>
      </c>
      <c r="AG326" s="3">
        <v>0.88</v>
      </c>
      <c r="AH326" s="3">
        <v>0.88</v>
      </c>
      <c r="AI326" s="3">
        <v>0.88</v>
      </c>
      <c r="AJ326" s="3">
        <v>0.88</v>
      </c>
      <c r="AK326" s="3">
        <v>0.88</v>
      </c>
      <c r="AL326" s="3">
        <v>0.88</v>
      </c>
      <c r="AM326" s="3">
        <v>0.88</v>
      </c>
      <c r="AN326" s="3">
        <v>0.88</v>
      </c>
      <c r="AO326" s="3">
        <v>0.88</v>
      </c>
      <c r="AP326" s="3">
        <v>0.88</v>
      </c>
      <c r="AQ326" s="3">
        <v>0.88</v>
      </c>
      <c r="AR326" s="3">
        <v>0.88</v>
      </c>
      <c r="AS326" s="3">
        <v>0.88</v>
      </c>
      <c r="AT326" s="3">
        <v>0.88</v>
      </c>
      <c r="AU326" s="3">
        <v>0.88</v>
      </c>
      <c r="AV326" s="3">
        <v>0.88</v>
      </c>
      <c r="AW326" s="3">
        <v>0.88</v>
      </c>
      <c r="AX326" s="3">
        <v>0.88</v>
      </c>
      <c r="AY326" s="3">
        <v>0.88</v>
      </c>
      <c r="AZ326" s="3">
        <v>0.88</v>
      </c>
      <c r="BA326" s="3">
        <v>0.88</v>
      </c>
      <c r="BB326" s="3">
        <v>0.88</v>
      </c>
      <c r="BC326" s="3">
        <v>0.88</v>
      </c>
      <c r="BD326" s="3">
        <v>0.88</v>
      </c>
      <c r="BE326" s="3">
        <v>0.88</v>
      </c>
      <c r="BF326" s="3">
        <v>0.88</v>
      </c>
      <c r="BG326" s="3">
        <v>0.88</v>
      </c>
      <c r="BH326" s="3">
        <v>0.88</v>
      </c>
      <c r="BI326" s="3">
        <v>0.88</v>
      </c>
      <c r="BJ326" s="3">
        <v>0.88</v>
      </c>
      <c r="BK326" s="3">
        <v>0.88</v>
      </c>
      <c r="BL326" s="3">
        <v>0.88</v>
      </c>
      <c r="BM326" s="3">
        <v>0.88</v>
      </c>
      <c r="BN326" s="3">
        <v>0.88</v>
      </c>
      <c r="BO326" s="3">
        <v>0.88</v>
      </c>
      <c r="BP326" s="3">
        <v>0.88</v>
      </c>
      <c r="BQ326" s="3">
        <v>0.88</v>
      </c>
    </row>
    <row r="327" spans="1:69" x14ac:dyDescent="0.25">
      <c r="A327" s="20">
        <v>33</v>
      </c>
      <c r="B327" s="20" t="s">
        <v>74</v>
      </c>
      <c r="C327" s="3" t="s">
        <v>75</v>
      </c>
      <c r="D327" s="3">
        <v>6</v>
      </c>
      <c r="E327" s="3" t="s">
        <v>495</v>
      </c>
      <c r="F327" s="3"/>
      <c r="G327" s="3" t="s">
        <v>500</v>
      </c>
      <c r="H327" s="3">
        <v>0</v>
      </c>
      <c r="I327" s="3">
        <v>1.0036695618416051E-2</v>
      </c>
      <c r="J327" s="3">
        <v>1.0036695618416051E-2</v>
      </c>
      <c r="K327" s="3">
        <v>6.6911304122773685E-3</v>
      </c>
      <c r="L327" s="3">
        <v>0.190697216749905</v>
      </c>
      <c r="M327" s="3">
        <v>0.26764521649109468</v>
      </c>
      <c r="N327" s="3">
        <v>0.33121095540772971</v>
      </c>
      <c r="O327" s="3">
        <v>0.28102747731564948</v>
      </c>
      <c r="P327" s="3">
        <v>0.24422626004812392</v>
      </c>
      <c r="Q327" s="3">
        <v>0.265125</v>
      </c>
      <c r="R327" s="3">
        <v>0.28774899999999998</v>
      </c>
      <c r="S327" s="3">
        <v>0.25775199999999998</v>
      </c>
      <c r="T327" s="3">
        <v>0.21603900000000001</v>
      </c>
      <c r="U327" s="3">
        <v>0.25623699999999999</v>
      </c>
      <c r="V327" s="3">
        <v>0.26431699999999997</v>
      </c>
      <c r="W327" s="3">
        <v>0.26623600000000003</v>
      </c>
      <c r="X327" s="3">
        <v>0.27350799999999997</v>
      </c>
      <c r="Y327" s="3">
        <v>0.28078000000000003</v>
      </c>
      <c r="Z327" s="3">
        <v>0.28956700000000002</v>
      </c>
      <c r="AA327" s="3">
        <v>0.28936499999999998</v>
      </c>
      <c r="AB327" s="3">
        <v>0.29572799999999999</v>
      </c>
      <c r="AC327" s="3">
        <v>0.30380800000000002</v>
      </c>
      <c r="AD327" s="3">
        <v>0.30926200000000004</v>
      </c>
      <c r="AE327" s="3">
        <v>0.31794800000000001</v>
      </c>
      <c r="AF327" s="3">
        <v>0.32713900000000001</v>
      </c>
      <c r="AG327" s="3">
        <v>0.33582500000000004</v>
      </c>
      <c r="AH327" s="3">
        <v>0.34360200000000002</v>
      </c>
      <c r="AI327" s="3">
        <v>0.35309600000000002</v>
      </c>
      <c r="AJ327" s="3">
        <v>0.36097400000000002</v>
      </c>
      <c r="AK327" s="3">
        <v>0.36996300000000004</v>
      </c>
      <c r="AL327" s="3">
        <v>0.37905300000000003</v>
      </c>
      <c r="AM327" s="3">
        <v>0.38794099999999998</v>
      </c>
      <c r="AN327" s="3">
        <v>0.39642500000000003</v>
      </c>
      <c r="AO327" s="3">
        <v>0.405414</v>
      </c>
      <c r="AP327" s="3">
        <v>0.41208</v>
      </c>
      <c r="AQ327" s="3">
        <v>0.42106899999999997</v>
      </c>
      <c r="AR327" s="3">
        <v>0.42844200000000005</v>
      </c>
      <c r="AS327" s="3">
        <v>0.43793599999999999</v>
      </c>
      <c r="AT327" s="3">
        <v>0.44541000000000003</v>
      </c>
      <c r="AU327" s="3">
        <v>0.45308599999999999</v>
      </c>
      <c r="AV327" s="3">
        <v>0.46066099999999999</v>
      </c>
      <c r="AW327" s="3">
        <v>0.46853899999999998</v>
      </c>
      <c r="AX327" s="3">
        <v>0.48480000000000001</v>
      </c>
      <c r="AY327" s="3">
        <v>0.49318300000000004</v>
      </c>
      <c r="AZ327" s="3">
        <v>0.50166699999999997</v>
      </c>
      <c r="BA327" s="3">
        <v>0.51015100000000002</v>
      </c>
      <c r="BB327" s="3">
        <v>0.51893800000000001</v>
      </c>
      <c r="BC327" s="3">
        <v>0.52762399999999998</v>
      </c>
      <c r="BD327" s="3">
        <v>0.53631000000000006</v>
      </c>
      <c r="BE327" s="3">
        <v>0.54499599999999992</v>
      </c>
      <c r="BF327" s="3">
        <v>0.55368200000000001</v>
      </c>
      <c r="BG327" s="3">
        <v>0.56257000000000001</v>
      </c>
      <c r="BH327" s="3">
        <v>0.57155899999999993</v>
      </c>
      <c r="BI327" s="3">
        <v>0.58064899999999997</v>
      </c>
      <c r="BJ327" s="3">
        <v>0.589638</v>
      </c>
      <c r="BK327" s="3">
        <v>0.59882899999999994</v>
      </c>
      <c r="BL327" s="3">
        <v>0.60812100000000002</v>
      </c>
      <c r="BM327" s="3">
        <v>0.61731199999999997</v>
      </c>
      <c r="BN327" s="3">
        <v>0.62670500000000007</v>
      </c>
      <c r="BO327" s="3">
        <v>0.63609800000000005</v>
      </c>
      <c r="BP327" s="3">
        <v>0.64549100000000004</v>
      </c>
      <c r="BQ327" s="3">
        <v>0.65508599999999995</v>
      </c>
    </row>
    <row r="328" spans="1:69" x14ac:dyDescent="0.25">
      <c r="A328" s="20">
        <v>33</v>
      </c>
      <c r="B328" s="20" t="s">
        <v>74</v>
      </c>
      <c r="C328" s="3" t="s">
        <v>75</v>
      </c>
      <c r="D328" s="3">
        <v>7</v>
      </c>
      <c r="E328" s="3" t="s">
        <v>496</v>
      </c>
      <c r="F328" s="3"/>
      <c r="G328" s="21" t="s">
        <v>500</v>
      </c>
      <c r="H328" s="22">
        <v>0</v>
      </c>
      <c r="I328" s="24">
        <v>0</v>
      </c>
      <c r="J328" s="24">
        <v>0</v>
      </c>
      <c r="K328" s="24">
        <v>0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Q328" s="3">
        <v>0.26250000000000001</v>
      </c>
      <c r="R328" s="3">
        <v>0.28489999999999999</v>
      </c>
      <c r="S328" s="3">
        <v>0.25519999999999998</v>
      </c>
      <c r="T328" s="3">
        <v>0.21390000000000001</v>
      </c>
      <c r="U328" s="3">
        <v>0.25369999999999998</v>
      </c>
      <c r="V328" s="3">
        <v>0.26169999999999999</v>
      </c>
      <c r="W328" s="3">
        <v>0.2636</v>
      </c>
      <c r="X328" s="3">
        <v>0.27079999999999999</v>
      </c>
      <c r="Y328" s="3">
        <v>0.27800000000000002</v>
      </c>
      <c r="Z328" s="3">
        <v>0.28670000000000001</v>
      </c>
      <c r="AA328" s="3">
        <v>0.28649999999999998</v>
      </c>
      <c r="AB328" s="3">
        <v>0.2928</v>
      </c>
      <c r="AC328" s="3">
        <v>0.30080000000000001</v>
      </c>
      <c r="AD328" s="3">
        <v>0.30620000000000003</v>
      </c>
      <c r="AE328" s="3">
        <v>0.31480000000000002</v>
      </c>
      <c r="AF328" s="3">
        <v>0.32390000000000002</v>
      </c>
      <c r="AG328" s="3">
        <v>0.33250000000000002</v>
      </c>
      <c r="AH328" s="3">
        <v>0.3402</v>
      </c>
      <c r="AI328" s="3">
        <v>0.34960000000000002</v>
      </c>
      <c r="AJ328" s="3">
        <v>0.3574</v>
      </c>
      <c r="AK328" s="3">
        <v>0.36630000000000001</v>
      </c>
      <c r="AL328" s="3">
        <v>0.37530000000000002</v>
      </c>
      <c r="AM328" s="3">
        <v>0.3841</v>
      </c>
      <c r="AN328" s="3">
        <v>0.39250000000000002</v>
      </c>
      <c r="AO328" s="3">
        <v>0.40139999999999998</v>
      </c>
      <c r="AP328" s="3">
        <v>0.40799999999999997</v>
      </c>
      <c r="AQ328" s="3">
        <v>0.41689999999999999</v>
      </c>
      <c r="AR328" s="3">
        <v>0.42420000000000002</v>
      </c>
      <c r="AS328" s="3">
        <v>0.43359999999999999</v>
      </c>
      <c r="AT328" s="3">
        <v>0.441</v>
      </c>
      <c r="AU328" s="3">
        <v>0.4486</v>
      </c>
      <c r="AV328" s="3">
        <v>0.45610000000000001</v>
      </c>
      <c r="AW328" s="3">
        <v>0.46389999999999998</v>
      </c>
      <c r="AX328" s="3">
        <v>0.48</v>
      </c>
      <c r="AY328" s="3">
        <v>0.48830000000000001</v>
      </c>
      <c r="AZ328" s="3">
        <v>0.49669999999999997</v>
      </c>
      <c r="BA328" s="3">
        <v>0.50509999999999999</v>
      </c>
      <c r="BB328" s="3">
        <v>0.51380000000000003</v>
      </c>
      <c r="BC328" s="3">
        <v>0.52239999999999998</v>
      </c>
      <c r="BD328" s="3">
        <v>0.53100000000000003</v>
      </c>
      <c r="BE328" s="3">
        <v>0.53959999999999997</v>
      </c>
      <c r="BF328" s="3">
        <v>0.54820000000000002</v>
      </c>
      <c r="BG328" s="3">
        <v>0.55700000000000005</v>
      </c>
      <c r="BH328" s="3">
        <v>0.56589999999999996</v>
      </c>
      <c r="BI328" s="3">
        <v>0.57489999999999997</v>
      </c>
      <c r="BJ328" s="3">
        <v>0.58379999999999999</v>
      </c>
      <c r="BK328" s="3">
        <v>0.59289999999999998</v>
      </c>
      <c r="BL328" s="3">
        <v>0.60209999999999997</v>
      </c>
      <c r="BM328" s="3">
        <v>0.61119999999999997</v>
      </c>
      <c r="BN328" s="3">
        <v>0.62050000000000005</v>
      </c>
      <c r="BO328" s="3">
        <v>0.62980000000000003</v>
      </c>
      <c r="BP328" s="3">
        <v>0.6391</v>
      </c>
      <c r="BQ328" s="3">
        <v>0.64859999999999995</v>
      </c>
    </row>
    <row r="329" spans="1:69" x14ac:dyDescent="0.25">
      <c r="A329" s="20">
        <v>33</v>
      </c>
      <c r="B329" s="20" t="s">
        <v>74</v>
      </c>
      <c r="C329" s="3" t="s">
        <v>75</v>
      </c>
      <c r="D329" s="3">
        <v>8</v>
      </c>
      <c r="E329" s="3" t="s">
        <v>497</v>
      </c>
      <c r="F329" s="3"/>
      <c r="G329" s="3" t="s">
        <v>500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0.05</v>
      </c>
      <c r="W329" s="3">
        <v>0</v>
      </c>
      <c r="X329" s="3">
        <v>0</v>
      </c>
      <c r="Y329" s="3">
        <v>0.11</v>
      </c>
      <c r="Z329" s="3">
        <v>0</v>
      </c>
      <c r="AA329" s="3">
        <v>0</v>
      </c>
      <c r="AB329" s="3">
        <v>0.16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</row>
    <row r="330" spans="1:69" x14ac:dyDescent="0.25">
      <c r="A330" s="20">
        <v>33</v>
      </c>
      <c r="B330" s="20" t="s">
        <v>74</v>
      </c>
      <c r="C330" s="3" t="s">
        <v>75</v>
      </c>
      <c r="D330" s="3">
        <v>9</v>
      </c>
      <c r="E330" s="3" t="s">
        <v>498</v>
      </c>
      <c r="F330" s="3"/>
      <c r="G330" s="3" t="s">
        <v>500</v>
      </c>
      <c r="H330" s="3">
        <v>0</v>
      </c>
      <c r="I330" s="3">
        <v>0.17899999999999999</v>
      </c>
      <c r="J330" s="3">
        <v>0.17899999999999999</v>
      </c>
      <c r="K330" s="3">
        <v>0.1193</v>
      </c>
      <c r="L330" s="3">
        <v>0.41720000000000002</v>
      </c>
      <c r="M330" s="3">
        <v>0.54159999999999997</v>
      </c>
      <c r="N330" s="3">
        <v>0.67020000000000002</v>
      </c>
      <c r="O330" s="3">
        <v>0.56869999999999998</v>
      </c>
      <c r="P330" s="3">
        <v>0.49419999999999997</v>
      </c>
      <c r="Q330" s="3">
        <v>0.53639999999999999</v>
      </c>
      <c r="R330" s="3">
        <v>0.58209999999999995</v>
      </c>
      <c r="S330" s="3">
        <v>0.52139999999999997</v>
      </c>
      <c r="T330" s="3">
        <v>0.43709999999999999</v>
      </c>
      <c r="U330" s="3">
        <v>0.52139999999999997</v>
      </c>
      <c r="V330" s="3">
        <v>0.52139999999999997</v>
      </c>
      <c r="W330" s="3">
        <v>0.52139999999999997</v>
      </c>
      <c r="X330" s="3">
        <v>0.52139999999999997</v>
      </c>
      <c r="Y330" s="3">
        <v>0.52139999999999997</v>
      </c>
      <c r="Z330" s="3">
        <v>0.52139999999999997</v>
      </c>
      <c r="AA330" s="3">
        <v>0.52139999999999997</v>
      </c>
      <c r="AB330" s="3">
        <v>0.52139999999999997</v>
      </c>
      <c r="AC330" s="3">
        <v>0.52139999999999997</v>
      </c>
      <c r="AD330" s="3">
        <v>0.52139999999999997</v>
      </c>
      <c r="AE330" s="3">
        <v>0.52139999999999997</v>
      </c>
      <c r="AF330" s="3">
        <v>0.52139999999999997</v>
      </c>
      <c r="AG330" s="3">
        <v>0.52139999999999997</v>
      </c>
      <c r="AH330" s="3">
        <v>0.52139999999999997</v>
      </c>
      <c r="AI330" s="3">
        <v>0.52139999999999997</v>
      </c>
      <c r="AJ330" s="3">
        <v>0.52139999999999997</v>
      </c>
      <c r="AK330" s="3">
        <v>0.52139999999999997</v>
      </c>
      <c r="AL330" s="3">
        <v>0.52139999999999997</v>
      </c>
      <c r="AM330" s="3">
        <v>0.52139999999999997</v>
      </c>
      <c r="AN330" s="3">
        <v>0.52139999999999997</v>
      </c>
      <c r="AO330" s="3">
        <v>0.52139999999999997</v>
      </c>
      <c r="AP330" s="3">
        <v>0.52139999999999997</v>
      </c>
      <c r="AQ330" s="3">
        <v>0.52139999999999997</v>
      </c>
      <c r="AR330" s="3">
        <v>0.52139999999999997</v>
      </c>
      <c r="AS330" s="3">
        <v>0.52139999999999997</v>
      </c>
      <c r="AT330" s="3">
        <v>0.52139999999999997</v>
      </c>
      <c r="AU330" s="3">
        <v>0.52139999999999997</v>
      </c>
      <c r="AV330" s="3">
        <v>0.52139999999999997</v>
      </c>
      <c r="AW330" s="3">
        <v>0.52139999999999997</v>
      </c>
      <c r="AX330" s="3">
        <v>0.52139999999999997</v>
      </c>
      <c r="AY330" s="3">
        <v>0.52139999999999997</v>
      </c>
      <c r="AZ330" s="3">
        <v>0.52139999999999997</v>
      </c>
      <c r="BA330" s="3">
        <v>0.52139999999999997</v>
      </c>
      <c r="BB330" s="3">
        <v>0.52139999999999997</v>
      </c>
      <c r="BC330" s="3">
        <v>0.52139999999999997</v>
      </c>
      <c r="BD330" s="3">
        <v>0.52139999999999997</v>
      </c>
      <c r="BE330" s="3">
        <v>0.52139999999999997</v>
      </c>
      <c r="BF330" s="3">
        <v>0.52139999999999997</v>
      </c>
      <c r="BG330" s="3">
        <v>0.52139999999999997</v>
      </c>
      <c r="BH330" s="3">
        <v>0.52139999999999997</v>
      </c>
      <c r="BI330" s="3">
        <v>0.52139999999999997</v>
      </c>
      <c r="BJ330" s="3">
        <v>0.52139999999999997</v>
      </c>
      <c r="BK330" s="3">
        <v>0.52139999999999997</v>
      </c>
      <c r="BL330" s="3">
        <v>0.52139999999999997</v>
      </c>
      <c r="BM330" s="3">
        <v>0.52139999999999997</v>
      </c>
      <c r="BN330" s="3">
        <v>0.52139999999999997</v>
      </c>
      <c r="BO330" s="3">
        <v>0.52139999999999997</v>
      </c>
      <c r="BP330" s="3">
        <v>0.52139999999999997</v>
      </c>
      <c r="BQ330" s="3">
        <v>0.52139999999999997</v>
      </c>
    </row>
    <row r="331" spans="1:69" x14ac:dyDescent="0.25">
      <c r="A331" s="20">
        <v>33</v>
      </c>
      <c r="B331" s="20" t="s">
        <v>74</v>
      </c>
      <c r="C331" s="3" t="s">
        <v>75</v>
      </c>
      <c r="D331" s="3">
        <v>10</v>
      </c>
      <c r="E331" s="3" t="s">
        <v>499</v>
      </c>
      <c r="F331" s="3"/>
      <c r="G331" s="3" t="s">
        <v>501</v>
      </c>
      <c r="H331" s="3">
        <v>0</v>
      </c>
      <c r="I331" s="3">
        <v>0.95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s="17" customFormat="1" hidden="1" x14ac:dyDescent="0.25">
      <c r="A332" s="23">
        <v>34</v>
      </c>
      <c r="B332" s="23" t="s">
        <v>76</v>
      </c>
      <c r="C332" s="24" t="s">
        <v>77</v>
      </c>
      <c r="D332" s="24">
        <v>1</v>
      </c>
      <c r="E332" s="24" t="s">
        <v>489</v>
      </c>
      <c r="F332" s="24"/>
      <c r="G332" s="24" t="s">
        <v>500</v>
      </c>
      <c r="H332" s="24">
        <v>0</v>
      </c>
      <c r="I332" s="24">
        <v>1643.89</v>
      </c>
      <c r="J332" s="24">
        <v>1643.89</v>
      </c>
      <c r="K332" s="24">
        <v>1643.89</v>
      </c>
      <c r="L332" s="24">
        <v>1643.89</v>
      </c>
      <c r="M332" s="24">
        <v>1643.89</v>
      </c>
      <c r="N332" s="24">
        <v>1643.89</v>
      </c>
      <c r="O332" s="24">
        <v>1643.89</v>
      </c>
      <c r="P332" s="24">
        <v>1643.89</v>
      </c>
      <c r="Q332" s="24">
        <v>1643.89</v>
      </c>
      <c r="R332" s="24">
        <v>1628.7</v>
      </c>
      <c r="S332" s="24">
        <v>1613.52</v>
      </c>
      <c r="T332" s="24">
        <v>1598.34</v>
      </c>
      <c r="U332" s="24">
        <v>1583.15</v>
      </c>
      <c r="V332" s="24">
        <v>1567.97</v>
      </c>
      <c r="W332" s="24">
        <v>1552.78</v>
      </c>
      <c r="X332" s="24">
        <v>1537.6</v>
      </c>
      <c r="Y332" s="24">
        <v>1522.42</v>
      </c>
      <c r="Z332" s="24">
        <v>1507.23</v>
      </c>
      <c r="AA332" s="24">
        <v>1492.05</v>
      </c>
      <c r="AB332" s="24">
        <v>1476.86</v>
      </c>
      <c r="AC332" s="24">
        <v>1461.68</v>
      </c>
      <c r="AD332" s="24">
        <v>1446.5</v>
      </c>
      <c r="AE332" s="24">
        <v>1431.31</v>
      </c>
      <c r="AF332" s="24">
        <v>1416.13</v>
      </c>
      <c r="AG332" s="24">
        <v>1400.94</v>
      </c>
      <c r="AH332" s="24">
        <v>1385.76</v>
      </c>
      <c r="AI332" s="24">
        <v>1370.58</v>
      </c>
      <c r="AJ332" s="24">
        <v>1355.39</v>
      </c>
      <c r="AK332" s="24">
        <v>1340.21</v>
      </c>
      <c r="AL332" s="24">
        <v>1325.02</v>
      </c>
      <c r="AM332" s="24">
        <v>1309.8399999999999</v>
      </c>
      <c r="AN332" s="24">
        <v>1294.6600000000001</v>
      </c>
      <c r="AO332" s="24">
        <v>1279.47</v>
      </c>
      <c r="AP332" s="24">
        <v>1264.29</v>
      </c>
      <c r="AQ332" s="24">
        <v>1249.0999999999999</v>
      </c>
      <c r="AR332" s="24">
        <v>1233.92</v>
      </c>
      <c r="AS332" s="24">
        <v>1218.74</v>
      </c>
      <c r="AT332" s="24">
        <v>1203.55</v>
      </c>
      <c r="AU332" s="24">
        <v>1188.3699999999999</v>
      </c>
      <c r="AV332" s="24">
        <v>1173.18</v>
      </c>
      <c r="AW332" s="24">
        <v>1158</v>
      </c>
      <c r="AX332" s="24">
        <v>1158</v>
      </c>
      <c r="AY332" s="24">
        <v>1158</v>
      </c>
      <c r="AZ332" s="24">
        <v>1158</v>
      </c>
      <c r="BA332" s="24">
        <v>1158</v>
      </c>
      <c r="BB332" s="24">
        <v>1158</v>
      </c>
      <c r="BC332" s="24">
        <v>1158</v>
      </c>
      <c r="BD332" s="24">
        <v>1158</v>
      </c>
      <c r="BE332" s="24">
        <v>1158</v>
      </c>
      <c r="BF332" s="24">
        <v>1158</v>
      </c>
      <c r="BG332" s="24">
        <v>1158</v>
      </c>
      <c r="BH332" s="24">
        <v>1158</v>
      </c>
      <c r="BI332" s="24">
        <v>1158</v>
      </c>
      <c r="BJ332" s="24">
        <v>1158</v>
      </c>
      <c r="BK332" s="24">
        <v>1158</v>
      </c>
      <c r="BL332" s="24">
        <v>1158</v>
      </c>
      <c r="BM332" s="24">
        <v>1158</v>
      </c>
      <c r="BN332" s="24">
        <v>1158</v>
      </c>
      <c r="BO332" s="24">
        <v>1158</v>
      </c>
      <c r="BP332" s="24">
        <v>1158</v>
      </c>
      <c r="BQ332" s="24">
        <v>1158</v>
      </c>
    </row>
    <row r="333" spans="1:69" s="17" customFormat="1" hidden="1" x14ac:dyDescent="0.25">
      <c r="A333" s="23">
        <v>34</v>
      </c>
      <c r="B333" s="23" t="s">
        <v>76</v>
      </c>
      <c r="C333" s="24" t="s">
        <v>77</v>
      </c>
      <c r="D333" s="24">
        <v>2</v>
      </c>
      <c r="E333" s="24" t="s">
        <v>491</v>
      </c>
      <c r="F333" s="24"/>
      <c r="G333" s="24" t="s">
        <v>500</v>
      </c>
      <c r="H333" s="24">
        <v>0</v>
      </c>
      <c r="I333" s="24">
        <v>37.950000000000003</v>
      </c>
      <c r="J333" s="24">
        <v>37.950000000000003</v>
      </c>
      <c r="K333" s="24">
        <v>37.950000000000003</v>
      </c>
      <c r="L333" s="24">
        <v>37.950000000000003</v>
      </c>
      <c r="M333" s="24">
        <v>37.950000000000003</v>
      </c>
      <c r="N333" s="24">
        <v>37.950000000000003</v>
      </c>
      <c r="O333" s="24">
        <v>37.950000000000003</v>
      </c>
      <c r="P333" s="24">
        <v>37.950000000000003</v>
      </c>
      <c r="Q333" s="24">
        <v>37.950000000000003</v>
      </c>
      <c r="R333" s="24">
        <v>37.950000000000003</v>
      </c>
      <c r="S333" s="24">
        <v>34.29</v>
      </c>
      <c r="T333" s="24">
        <v>34.29</v>
      </c>
      <c r="U333" s="24">
        <v>34.29</v>
      </c>
      <c r="V333" s="24">
        <v>34.29</v>
      </c>
      <c r="W333" s="24">
        <v>34.29</v>
      </c>
      <c r="X333" s="24">
        <v>30.65</v>
      </c>
      <c r="Y333" s="24">
        <v>30.65</v>
      </c>
      <c r="Z333" s="24">
        <v>30.65</v>
      </c>
      <c r="AA333" s="24">
        <v>30.65</v>
      </c>
      <c r="AB333" s="24">
        <v>30.65</v>
      </c>
      <c r="AC333" s="24">
        <v>27</v>
      </c>
      <c r="AD333" s="24">
        <v>27</v>
      </c>
      <c r="AE333" s="24">
        <v>27</v>
      </c>
      <c r="AF333" s="24">
        <v>27</v>
      </c>
      <c r="AG333" s="24">
        <v>27</v>
      </c>
      <c r="AH333" s="24">
        <v>24.59</v>
      </c>
      <c r="AI333" s="24">
        <v>24.59</v>
      </c>
      <c r="AJ333" s="24">
        <v>24.59</v>
      </c>
      <c r="AK333" s="24">
        <v>24.59</v>
      </c>
      <c r="AL333" s="24">
        <v>24.59</v>
      </c>
      <c r="AM333" s="24">
        <v>22.19</v>
      </c>
      <c r="AN333" s="24">
        <v>22.19</v>
      </c>
      <c r="AO333" s="24">
        <v>22.19</v>
      </c>
      <c r="AP333" s="24">
        <v>22.19</v>
      </c>
      <c r="AQ333" s="24">
        <v>22.19</v>
      </c>
      <c r="AR333" s="24">
        <v>19.78</v>
      </c>
      <c r="AS333" s="24">
        <v>19.78</v>
      </c>
      <c r="AT333" s="24">
        <v>19.78</v>
      </c>
      <c r="AU333" s="24">
        <v>19.78</v>
      </c>
      <c r="AV333" s="24">
        <v>19.78</v>
      </c>
      <c r="AW333" s="24">
        <v>17.37</v>
      </c>
      <c r="AX333" s="24">
        <v>17.37</v>
      </c>
      <c r="AY333" s="24">
        <v>17.37</v>
      </c>
      <c r="AZ333" s="24">
        <v>17.37</v>
      </c>
      <c r="BA333" s="24">
        <v>17.37</v>
      </c>
      <c r="BB333" s="24">
        <v>17.37</v>
      </c>
      <c r="BC333" s="24">
        <v>17.37</v>
      </c>
      <c r="BD333" s="24">
        <v>17.37</v>
      </c>
      <c r="BE333" s="24">
        <v>17.37</v>
      </c>
      <c r="BF333" s="24">
        <v>17.37</v>
      </c>
      <c r="BG333" s="24">
        <v>17.37</v>
      </c>
      <c r="BH333" s="24">
        <v>17.37</v>
      </c>
      <c r="BI333" s="24">
        <v>17.37</v>
      </c>
      <c r="BJ333" s="24">
        <v>17.37</v>
      </c>
      <c r="BK333" s="24">
        <v>17.37</v>
      </c>
      <c r="BL333" s="24">
        <v>17.37</v>
      </c>
      <c r="BM333" s="24">
        <v>17.37</v>
      </c>
      <c r="BN333" s="24">
        <v>17.37</v>
      </c>
      <c r="BO333" s="24">
        <v>17.37</v>
      </c>
      <c r="BP333" s="24">
        <v>17.37</v>
      </c>
      <c r="BQ333" s="24">
        <v>17.37</v>
      </c>
    </row>
    <row r="334" spans="1:69" s="17" customFormat="1" hidden="1" x14ac:dyDescent="0.25">
      <c r="A334" s="23">
        <v>34</v>
      </c>
      <c r="B334" s="23" t="s">
        <v>76</v>
      </c>
      <c r="C334" s="24" t="s">
        <v>77</v>
      </c>
      <c r="D334" s="24">
        <v>3</v>
      </c>
      <c r="E334" s="24" t="s">
        <v>492</v>
      </c>
      <c r="F334" s="24"/>
      <c r="G334" s="24" t="s">
        <v>500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4">
        <v>0</v>
      </c>
      <c r="AN334" s="24">
        <v>0</v>
      </c>
      <c r="AO334" s="24">
        <v>0</v>
      </c>
      <c r="AP334" s="24">
        <v>0</v>
      </c>
      <c r="AQ334" s="24">
        <v>0</v>
      </c>
      <c r="AR334" s="24">
        <v>0</v>
      </c>
      <c r="AS334" s="24">
        <v>0</v>
      </c>
      <c r="AT334" s="24">
        <v>0</v>
      </c>
      <c r="AU334" s="24">
        <v>0</v>
      </c>
      <c r="AV334" s="24">
        <v>0</v>
      </c>
      <c r="AW334" s="24">
        <v>0</v>
      </c>
      <c r="AX334" s="24">
        <v>0</v>
      </c>
      <c r="AY334" s="24">
        <v>0</v>
      </c>
      <c r="AZ334" s="24">
        <v>0</v>
      </c>
      <c r="BA334" s="24">
        <v>0</v>
      </c>
      <c r="BB334" s="24">
        <v>0</v>
      </c>
      <c r="BC334" s="24">
        <v>0</v>
      </c>
      <c r="BD334" s="24">
        <v>0</v>
      </c>
      <c r="BE334" s="24">
        <v>0</v>
      </c>
      <c r="BF334" s="24">
        <v>0</v>
      </c>
      <c r="BG334" s="24">
        <v>0</v>
      </c>
      <c r="BH334" s="24">
        <v>0</v>
      </c>
      <c r="BI334" s="24">
        <v>0</v>
      </c>
      <c r="BJ334" s="24">
        <v>0</v>
      </c>
      <c r="BK334" s="24">
        <v>0</v>
      </c>
      <c r="BL334" s="24">
        <v>0</v>
      </c>
      <c r="BM334" s="24">
        <v>0</v>
      </c>
      <c r="BN334" s="24">
        <v>0</v>
      </c>
      <c r="BO334" s="24">
        <v>0</v>
      </c>
      <c r="BP334" s="24">
        <v>0</v>
      </c>
      <c r="BQ334" s="24">
        <v>0</v>
      </c>
    </row>
    <row r="335" spans="1:69" s="17" customFormat="1" hidden="1" x14ac:dyDescent="0.25">
      <c r="A335" s="23">
        <v>34</v>
      </c>
      <c r="B335" s="23" t="s">
        <v>76</v>
      </c>
      <c r="C335" s="24" t="s">
        <v>77</v>
      </c>
      <c r="D335" s="24">
        <v>4</v>
      </c>
      <c r="E335" s="24" t="s">
        <v>493</v>
      </c>
      <c r="F335" s="24"/>
      <c r="G335" s="24" t="s">
        <v>490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4">
        <v>0</v>
      </c>
      <c r="AN335" s="24">
        <v>0</v>
      </c>
      <c r="AO335" s="24">
        <v>0</v>
      </c>
      <c r="AP335" s="24">
        <v>0</v>
      </c>
      <c r="AQ335" s="24">
        <v>0</v>
      </c>
      <c r="AR335" s="24">
        <v>0</v>
      </c>
      <c r="AS335" s="24">
        <v>0</v>
      </c>
      <c r="AT335" s="24">
        <v>0</v>
      </c>
      <c r="AU335" s="24">
        <v>0</v>
      </c>
      <c r="AV335" s="24">
        <v>0</v>
      </c>
      <c r="AW335" s="24">
        <v>0</v>
      </c>
      <c r="AX335" s="24">
        <v>0</v>
      </c>
      <c r="AY335" s="24">
        <v>0</v>
      </c>
      <c r="AZ335" s="24">
        <v>0</v>
      </c>
      <c r="BA335" s="24">
        <v>0</v>
      </c>
      <c r="BB335" s="24">
        <v>0</v>
      </c>
      <c r="BC335" s="24">
        <v>0</v>
      </c>
      <c r="BD335" s="24">
        <v>0</v>
      </c>
      <c r="BE335" s="24">
        <v>0</v>
      </c>
      <c r="BF335" s="24">
        <v>0</v>
      </c>
      <c r="BG335" s="24">
        <v>0</v>
      </c>
      <c r="BH335" s="24">
        <v>0</v>
      </c>
      <c r="BI335" s="24">
        <v>0</v>
      </c>
      <c r="BJ335" s="24">
        <v>0</v>
      </c>
      <c r="BK335" s="24">
        <v>0</v>
      </c>
      <c r="BL335" s="24">
        <v>0</v>
      </c>
      <c r="BM335" s="24">
        <v>0</v>
      </c>
      <c r="BN335" s="24">
        <v>0</v>
      </c>
      <c r="BO335" s="24">
        <v>0</v>
      </c>
      <c r="BP335" s="24">
        <v>0</v>
      </c>
      <c r="BQ335" s="24">
        <v>0</v>
      </c>
    </row>
    <row r="336" spans="1:69" s="17" customFormat="1" hidden="1" x14ac:dyDescent="0.25">
      <c r="A336" s="23">
        <v>34</v>
      </c>
      <c r="B336" s="23" t="s">
        <v>76</v>
      </c>
      <c r="C336" s="24" t="s">
        <v>77</v>
      </c>
      <c r="D336" s="24">
        <v>5</v>
      </c>
      <c r="E336" s="24" t="s">
        <v>494</v>
      </c>
      <c r="F336" s="24"/>
      <c r="G336" s="24" t="s">
        <v>500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4">
        <v>0</v>
      </c>
      <c r="AN336" s="24">
        <v>0</v>
      </c>
      <c r="AO336" s="24"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0</v>
      </c>
      <c r="AU336" s="24">
        <v>0</v>
      </c>
      <c r="AV336" s="24">
        <v>0</v>
      </c>
      <c r="AW336" s="24">
        <v>0</v>
      </c>
      <c r="AX336" s="24">
        <v>0</v>
      </c>
      <c r="AY336" s="24">
        <v>0</v>
      </c>
      <c r="AZ336" s="24">
        <v>0</v>
      </c>
      <c r="BA336" s="24">
        <v>0</v>
      </c>
      <c r="BB336" s="24">
        <v>0</v>
      </c>
      <c r="BC336" s="24">
        <v>0</v>
      </c>
      <c r="BD336" s="24">
        <v>0</v>
      </c>
      <c r="BE336" s="24">
        <v>0</v>
      </c>
      <c r="BF336" s="24">
        <v>0</v>
      </c>
      <c r="BG336" s="24">
        <v>0</v>
      </c>
      <c r="BH336" s="24">
        <v>0</v>
      </c>
      <c r="BI336" s="24">
        <v>0</v>
      </c>
      <c r="BJ336" s="24">
        <v>0</v>
      </c>
      <c r="BK336" s="24">
        <v>0</v>
      </c>
      <c r="BL336" s="24">
        <v>0</v>
      </c>
      <c r="BM336" s="24">
        <v>0</v>
      </c>
      <c r="BN336" s="24">
        <v>0</v>
      </c>
      <c r="BO336" s="24">
        <v>0</v>
      </c>
      <c r="BP336" s="24">
        <v>0</v>
      </c>
      <c r="BQ336" s="24">
        <v>0</v>
      </c>
    </row>
    <row r="337" spans="1:69" s="17" customFormat="1" hidden="1" x14ac:dyDescent="0.25">
      <c r="A337" s="23">
        <v>34</v>
      </c>
      <c r="B337" s="23" t="s">
        <v>76</v>
      </c>
      <c r="C337" s="24" t="s">
        <v>77</v>
      </c>
      <c r="D337" s="24">
        <v>6</v>
      </c>
      <c r="E337" s="24" t="s">
        <v>495</v>
      </c>
      <c r="F337" s="24"/>
      <c r="G337" s="24" t="s">
        <v>490</v>
      </c>
      <c r="H337" s="24">
        <v>0</v>
      </c>
      <c r="I337" s="24">
        <f>+Q317/Q318</f>
        <v>1.01</v>
      </c>
      <c r="J337" s="24"/>
      <c r="K337" s="24"/>
      <c r="L337" s="24"/>
      <c r="M337" s="24"/>
      <c r="N337" s="24"/>
      <c r="O337" s="24"/>
      <c r="P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</row>
    <row r="338" spans="1:69" s="17" customFormat="1" hidden="1" x14ac:dyDescent="0.25">
      <c r="A338" s="23">
        <v>34</v>
      </c>
      <c r="B338" s="23" t="s">
        <v>76</v>
      </c>
      <c r="C338" s="24" t="s">
        <v>77</v>
      </c>
      <c r="D338" s="24">
        <v>7</v>
      </c>
      <c r="E338" s="24" t="s">
        <v>496</v>
      </c>
      <c r="F338" s="24"/>
      <c r="G338" s="25" t="s">
        <v>500</v>
      </c>
      <c r="H338" s="26">
        <v>0</v>
      </c>
      <c r="I338" s="24">
        <v>0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4">
        <v>0</v>
      </c>
      <c r="AN338" s="24">
        <v>0</v>
      </c>
      <c r="AO338" s="24">
        <v>0</v>
      </c>
      <c r="AP338" s="24">
        <v>0</v>
      </c>
      <c r="AQ338" s="24">
        <v>0</v>
      </c>
      <c r="AR338" s="24">
        <v>0</v>
      </c>
      <c r="AS338" s="24">
        <v>0</v>
      </c>
      <c r="AT338" s="24">
        <v>0</v>
      </c>
      <c r="AU338" s="24">
        <v>0</v>
      </c>
      <c r="AV338" s="24">
        <v>0</v>
      </c>
      <c r="AW338" s="24">
        <v>0</v>
      </c>
      <c r="AX338" s="24">
        <v>0</v>
      </c>
      <c r="AY338" s="24">
        <v>0</v>
      </c>
      <c r="AZ338" s="24">
        <v>0</v>
      </c>
      <c r="BA338" s="24">
        <v>0</v>
      </c>
      <c r="BB338" s="24">
        <v>0</v>
      </c>
      <c r="BC338" s="24">
        <v>0</v>
      </c>
      <c r="BD338" s="24">
        <v>0</v>
      </c>
      <c r="BE338" s="24">
        <v>0</v>
      </c>
      <c r="BF338" s="24">
        <v>0</v>
      </c>
      <c r="BG338" s="24">
        <v>0</v>
      </c>
      <c r="BH338" s="24">
        <v>0</v>
      </c>
      <c r="BI338" s="24">
        <v>0</v>
      </c>
      <c r="BJ338" s="24">
        <v>0</v>
      </c>
      <c r="BK338" s="24">
        <v>0</v>
      </c>
      <c r="BL338" s="24">
        <v>0</v>
      </c>
      <c r="BM338" s="24">
        <v>0</v>
      </c>
      <c r="BN338" s="24">
        <v>0</v>
      </c>
      <c r="BO338" s="24">
        <v>0</v>
      </c>
      <c r="BP338" s="24">
        <v>0</v>
      </c>
      <c r="BQ338" s="24">
        <v>0</v>
      </c>
    </row>
    <row r="339" spans="1:69" s="17" customFormat="1" hidden="1" x14ac:dyDescent="0.25">
      <c r="A339" s="23">
        <v>34</v>
      </c>
      <c r="B339" s="23" t="s">
        <v>76</v>
      </c>
      <c r="C339" s="24" t="s">
        <v>77</v>
      </c>
      <c r="D339" s="24">
        <v>8</v>
      </c>
      <c r="E339" s="24" t="s">
        <v>497</v>
      </c>
      <c r="F339" s="24"/>
      <c r="G339" s="24" t="s">
        <v>490</v>
      </c>
      <c r="H339" s="24">
        <v>0</v>
      </c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</row>
    <row r="340" spans="1:69" s="17" customFormat="1" hidden="1" x14ac:dyDescent="0.25">
      <c r="A340" s="23">
        <v>34</v>
      </c>
      <c r="B340" s="23" t="s">
        <v>76</v>
      </c>
      <c r="C340" s="24" t="s">
        <v>77</v>
      </c>
      <c r="D340" s="24">
        <v>9</v>
      </c>
      <c r="E340" s="24" t="s">
        <v>498</v>
      </c>
      <c r="F340" s="24"/>
      <c r="G340" s="24" t="s">
        <v>500</v>
      </c>
      <c r="H340" s="24">
        <v>0</v>
      </c>
      <c r="I340" s="24">
        <v>0.53669999999999995</v>
      </c>
      <c r="J340" s="24">
        <v>0.53669999999999995</v>
      </c>
      <c r="K340" s="24">
        <v>0.53669999999999995</v>
      </c>
      <c r="L340" s="24">
        <v>0.53669999999999995</v>
      </c>
      <c r="M340" s="24">
        <v>0.53669999999999995</v>
      </c>
      <c r="N340" s="24">
        <v>0.53669999999999995</v>
      </c>
      <c r="O340" s="24">
        <v>0.53669999999999995</v>
      </c>
      <c r="P340" s="24">
        <v>0.53669999999999995</v>
      </c>
      <c r="Q340" s="24">
        <v>0.53669999999999995</v>
      </c>
      <c r="R340" s="24">
        <v>0.58250000000000002</v>
      </c>
      <c r="S340" s="24">
        <v>0.52170000000000005</v>
      </c>
      <c r="T340" s="24">
        <v>0.52170000000000005</v>
      </c>
      <c r="U340" s="24">
        <v>0.52170000000000005</v>
      </c>
      <c r="V340" s="24">
        <v>0.52170000000000005</v>
      </c>
      <c r="W340" s="24">
        <v>0.52170000000000005</v>
      </c>
      <c r="X340" s="24">
        <v>0.52170000000000005</v>
      </c>
      <c r="Y340" s="24">
        <v>0.52170000000000005</v>
      </c>
      <c r="Z340" s="24">
        <v>0.52170000000000005</v>
      </c>
      <c r="AA340" s="24">
        <v>0.52170000000000005</v>
      </c>
      <c r="AB340" s="24">
        <v>0.52170000000000005</v>
      </c>
      <c r="AC340" s="24">
        <v>0.52170000000000005</v>
      </c>
      <c r="AD340" s="24">
        <v>0.52170000000000005</v>
      </c>
      <c r="AE340" s="24">
        <v>0.52170000000000005</v>
      </c>
      <c r="AF340" s="24">
        <v>0.52170000000000005</v>
      </c>
      <c r="AG340" s="24">
        <v>0.52170000000000005</v>
      </c>
      <c r="AH340" s="24">
        <v>0.52170000000000005</v>
      </c>
      <c r="AI340" s="24">
        <v>0.52170000000000005</v>
      </c>
      <c r="AJ340" s="24">
        <v>0.52170000000000005</v>
      </c>
      <c r="AK340" s="24">
        <v>0.52170000000000005</v>
      </c>
      <c r="AL340" s="24">
        <v>0.52170000000000005</v>
      </c>
      <c r="AM340" s="24">
        <v>0.52170000000000005</v>
      </c>
      <c r="AN340" s="24">
        <v>0.52170000000000005</v>
      </c>
      <c r="AO340" s="24">
        <v>0.52170000000000005</v>
      </c>
      <c r="AP340" s="24">
        <v>0.52170000000000005</v>
      </c>
      <c r="AQ340" s="24">
        <v>0.52170000000000005</v>
      </c>
      <c r="AR340" s="24">
        <v>0.52170000000000005</v>
      </c>
      <c r="AS340" s="24">
        <v>0.52170000000000005</v>
      </c>
      <c r="AT340" s="24">
        <v>0.52170000000000005</v>
      </c>
      <c r="AU340" s="24">
        <v>0.52170000000000005</v>
      </c>
      <c r="AV340" s="24">
        <v>0.52170000000000005</v>
      </c>
      <c r="AW340" s="24">
        <v>0.52170000000000005</v>
      </c>
      <c r="AX340" s="24">
        <v>0.52170000000000005</v>
      </c>
      <c r="AY340" s="24">
        <v>0.52170000000000005</v>
      </c>
      <c r="AZ340" s="24">
        <v>0.52170000000000005</v>
      </c>
      <c r="BA340" s="24">
        <v>0.52170000000000005</v>
      </c>
      <c r="BB340" s="24">
        <v>0.52170000000000005</v>
      </c>
      <c r="BC340" s="24">
        <v>0.52170000000000005</v>
      </c>
      <c r="BD340" s="24">
        <v>0.52170000000000005</v>
      </c>
      <c r="BE340" s="24">
        <v>0.52170000000000005</v>
      </c>
      <c r="BF340" s="24">
        <v>0.52170000000000005</v>
      </c>
      <c r="BG340" s="24">
        <v>0.52170000000000005</v>
      </c>
      <c r="BH340" s="24">
        <v>0.52170000000000005</v>
      </c>
      <c r="BI340" s="24">
        <v>0.52170000000000005</v>
      </c>
      <c r="BJ340" s="24">
        <v>0.52170000000000005</v>
      </c>
      <c r="BK340" s="24">
        <v>0.52170000000000005</v>
      </c>
      <c r="BL340" s="24">
        <v>0.52170000000000005</v>
      </c>
      <c r="BM340" s="24">
        <v>0.52170000000000005</v>
      </c>
      <c r="BN340" s="24">
        <v>0.52170000000000005</v>
      </c>
      <c r="BO340" s="24">
        <v>0.52170000000000005</v>
      </c>
      <c r="BP340" s="24">
        <v>0.52170000000000005</v>
      </c>
      <c r="BQ340" s="24">
        <v>0.52170000000000005</v>
      </c>
    </row>
    <row r="341" spans="1:69" s="17" customFormat="1" hidden="1" x14ac:dyDescent="0.25">
      <c r="A341" s="23">
        <v>34</v>
      </c>
      <c r="B341" s="23" t="s">
        <v>76</v>
      </c>
      <c r="C341" s="24" t="s">
        <v>77</v>
      </c>
      <c r="D341" s="24">
        <v>10</v>
      </c>
      <c r="E341" s="24" t="s">
        <v>499</v>
      </c>
      <c r="F341" s="24"/>
      <c r="G341" s="24" t="s">
        <v>501</v>
      </c>
      <c r="H341" s="24">
        <v>0</v>
      </c>
      <c r="I341" s="24">
        <v>0.95</v>
      </c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</row>
    <row r="342" spans="1:69" hidden="1" x14ac:dyDescent="0.25">
      <c r="A342" s="20">
        <v>35</v>
      </c>
      <c r="B342" s="20" t="s">
        <v>78</v>
      </c>
      <c r="C342" s="3" t="s">
        <v>79</v>
      </c>
      <c r="D342" s="3">
        <v>1</v>
      </c>
      <c r="E342" s="3" t="s">
        <v>489</v>
      </c>
      <c r="F342" s="3"/>
      <c r="G342" s="3" t="s">
        <v>500</v>
      </c>
      <c r="H342" s="3">
        <v>0</v>
      </c>
      <c r="I342" s="3">
        <v>1216.67</v>
      </c>
      <c r="J342" s="3">
        <v>1216.67</v>
      </c>
      <c r="K342" s="3">
        <v>1216.67</v>
      </c>
      <c r="L342" s="3">
        <v>1216.67</v>
      </c>
      <c r="M342" s="3">
        <v>1216.67</v>
      </c>
      <c r="N342" s="3">
        <v>1216.67</v>
      </c>
      <c r="O342" s="3">
        <v>1216.67</v>
      </c>
      <c r="P342" s="3">
        <v>1216.67</v>
      </c>
      <c r="Q342" s="3">
        <v>1216.67</v>
      </c>
      <c r="R342" s="3">
        <v>1174.44</v>
      </c>
      <c r="S342" s="3">
        <v>1132.22</v>
      </c>
      <c r="T342" s="3">
        <v>1090</v>
      </c>
      <c r="U342" s="3">
        <v>1047.78</v>
      </c>
      <c r="V342" s="3">
        <v>1005.56</v>
      </c>
      <c r="W342" s="3">
        <v>963.33</v>
      </c>
      <c r="X342" s="3">
        <v>921.11</v>
      </c>
      <c r="Y342" s="3">
        <v>878.89</v>
      </c>
      <c r="Z342" s="3">
        <v>836.67</v>
      </c>
      <c r="AA342" s="3">
        <v>794.44</v>
      </c>
      <c r="AB342" s="3">
        <v>752.22</v>
      </c>
      <c r="AC342" s="3">
        <v>710</v>
      </c>
      <c r="AD342" s="3">
        <v>700</v>
      </c>
      <c r="AE342" s="3">
        <v>690</v>
      </c>
      <c r="AF342" s="3">
        <v>680</v>
      </c>
      <c r="AG342" s="3">
        <v>670</v>
      </c>
      <c r="AH342" s="3">
        <v>660</v>
      </c>
      <c r="AI342" s="3">
        <v>650</v>
      </c>
      <c r="AJ342" s="3">
        <v>640</v>
      </c>
      <c r="AK342" s="3">
        <v>630</v>
      </c>
      <c r="AL342" s="3">
        <v>620</v>
      </c>
      <c r="AM342" s="3">
        <v>610</v>
      </c>
      <c r="AN342" s="3">
        <v>600</v>
      </c>
      <c r="AO342" s="3">
        <v>590</v>
      </c>
      <c r="AP342" s="3">
        <v>580</v>
      </c>
      <c r="AQ342" s="3">
        <v>570</v>
      </c>
      <c r="AR342" s="3">
        <v>560</v>
      </c>
      <c r="AS342" s="3">
        <v>550</v>
      </c>
      <c r="AT342" s="3">
        <v>540</v>
      </c>
      <c r="AU342" s="3">
        <v>530</v>
      </c>
      <c r="AV342" s="3">
        <v>520</v>
      </c>
      <c r="AW342" s="3">
        <v>510</v>
      </c>
      <c r="AX342" s="3">
        <v>510</v>
      </c>
      <c r="AY342" s="3">
        <v>510</v>
      </c>
      <c r="AZ342" s="3">
        <v>510</v>
      </c>
      <c r="BA342" s="3">
        <v>510</v>
      </c>
      <c r="BB342" s="3">
        <v>510</v>
      </c>
      <c r="BC342" s="3">
        <v>510</v>
      </c>
      <c r="BD342" s="3">
        <v>510</v>
      </c>
      <c r="BE342" s="3">
        <v>510</v>
      </c>
      <c r="BF342" s="3">
        <v>510</v>
      </c>
      <c r="BG342" s="3">
        <v>510</v>
      </c>
      <c r="BH342" s="3">
        <v>510</v>
      </c>
      <c r="BI342" s="3">
        <v>510</v>
      </c>
      <c r="BJ342" s="3">
        <v>510</v>
      </c>
      <c r="BK342" s="3">
        <v>510</v>
      </c>
      <c r="BL342" s="3">
        <v>510</v>
      </c>
      <c r="BM342" s="3">
        <v>510</v>
      </c>
      <c r="BN342" s="3">
        <v>510</v>
      </c>
      <c r="BO342" s="3">
        <v>510</v>
      </c>
      <c r="BP342" s="3">
        <v>510</v>
      </c>
      <c r="BQ342" s="3">
        <v>510</v>
      </c>
    </row>
    <row r="343" spans="1:69" hidden="1" x14ac:dyDescent="0.25">
      <c r="A343" s="20">
        <v>35</v>
      </c>
      <c r="B343" s="20" t="s">
        <v>78</v>
      </c>
      <c r="C343" s="3" t="s">
        <v>79</v>
      </c>
      <c r="D343" s="3">
        <v>2</v>
      </c>
      <c r="E343" s="3" t="s">
        <v>491</v>
      </c>
      <c r="F343" s="3"/>
      <c r="G343" s="3" t="s">
        <v>500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</row>
    <row r="344" spans="1:69" hidden="1" x14ac:dyDescent="0.25">
      <c r="A344" s="20">
        <v>35</v>
      </c>
      <c r="B344" s="20" t="s">
        <v>78</v>
      </c>
      <c r="C344" s="3" t="s">
        <v>79</v>
      </c>
      <c r="D344" s="3">
        <v>3</v>
      </c>
      <c r="E344" s="3" t="s">
        <v>492</v>
      </c>
      <c r="F344" s="3"/>
      <c r="G344" s="3" t="s">
        <v>500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</row>
    <row r="345" spans="1:69" hidden="1" x14ac:dyDescent="0.25">
      <c r="A345" s="20">
        <v>35</v>
      </c>
      <c r="B345" s="20" t="s">
        <v>78</v>
      </c>
      <c r="C345" s="3" t="s">
        <v>79</v>
      </c>
      <c r="D345" s="3">
        <v>4</v>
      </c>
      <c r="E345" s="3" t="s">
        <v>493</v>
      </c>
      <c r="F345" s="3"/>
      <c r="G345" s="3" t="s">
        <v>490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</row>
    <row r="346" spans="1:69" hidden="1" x14ac:dyDescent="0.25">
      <c r="A346" s="20">
        <v>35</v>
      </c>
      <c r="B346" s="20" t="s">
        <v>78</v>
      </c>
      <c r="C346" s="3" t="s">
        <v>79</v>
      </c>
      <c r="D346" s="3">
        <v>5</v>
      </c>
      <c r="E346" s="3" t="s">
        <v>494</v>
      </c>
      <c r="F346" s="3"/>
      <c r="G346" s="3" t="s">
        <v>500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</row>
    <row r="347" spans="1:69" hidden="1" x14ac:dyDescent="0.25">
      <c r="A347" s="20">
        <v>35</v>
      </c>
      <c r="B347" s="20" t="s">
        <v>78</v>
      </c>
      <c r="C347" s="3" t="s">
        <v>79</v>
      </c>
      <c r="D347" s="3">
        <v>6</v>
      </c>
      <c r="E347" s="3" t="s">
        <v>495</v>
      </c>
      <c r="F347" s="3"/>
      <c r="G347" s="3" t="s">
        <v>490</v>
      </c>
      <c r="H347" s="3">
        <v>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hidden="1" x14ac:dyDescent="0.25">
      <c r="A348" s="20">
        <v>35</v>
      </c>
      <c r="B348" s="20" t="s">
        <v>78</v>
      </c>
      <c r="C348" s="3" t="s">
        <v>79</v>
      </c>
      <c r="D348" s="3">
        <v>7</v>
      </c>
      <c r="E348" s="3" t="s">
        <v>496</v>
      </c>
      <c r="F348" s="3"/>
      <c r="G348" s="21" t="s">
        <v>500</v>
      </c>
      <c r="H348" s="22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</row>
    <row r="349" spans="1:69" hidden="1" x14ac:dyDescent="0.25">
      <c r="A349" s="20">
        <v>35</v>
      </c>
      <c r="B349" s="20" t="s">
        <v>78</v>
      </c>
      <c r="C349" s="3" t="s">
        <v>79</v>
      </c>
      <c r="D349" s="3">
        <v>8</v>
      </c>
      <c r="E349" s="3" t="s">
        <v>497</v>
      </c>
      <c r="F349" s="3"/>
      <c r="G349" s="3" t="s">
        <v>490</v>
      </c>
      <c r="H349" s="3">
        <v>0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hidden="1" x14ac:dyDescent="0.25">
      <c r="A350" s="20">
        <v>35</v>
      </c>
      <c r="B350" s="20" t="s">
        <v>78</v>
      </c>
      <c r="C350" s="3" t="s">
        <v>79</v>
      </c>
      <c r="D350" s="3">
        <v>9</v>
      </c>
      <c r="E350" s="3" t="s">
        <v>498</v>
      </c>
      <c r="F350" s="3"/>
      <c r="G350" s="3" t="s">
        <v>500</v>
      </c>
      <c r="H350" s="3">
        <v>0</v>
      </c>
      <c r="I350" s="3">
        <v>0.17080000000000001</v>
      </c>
      <c r="J350" s="3">
        <v>0.17080000000000001</v>
      </c>
      <c r="K350" s="3">
        <v>0.17080000000000001</v>
      </c>
      <c r="L350" s="3">
        <v>0.17080000000000001</v>
      </c>
      <c r="M350" s="3">
        <v>0.17080000000000001</v>
      </c>
      <c r="N350" s="3">
        <v>0.17080000000000001</v>
      </c>
      <c r="O350" s="3">
        <v>0.17080000000000001</v>
      </c>
      <c r="P350" s="3">
        <v>0.17080000000000001</v>
      </c>
      <c r="Q350" s="3">
        <v>0.17080000000000001</v>
      </c>
      <c r="R350" s="3">
        <v>0.1628</v>
      </c>
      <c r="S350" s="3">
        <v>0.16619999999999999</v>
      </c>
      <c r="T350" s="3">
        <v>0.16619999999999999</v>
      </c>
      <c r="U350" s="3">
        <v>0.16619999999999999</v>
      </c>
      <c r="V350" s="3">
        <v>0.16619999999999999</v>
      </c>
      <c r="W350" s="3">
        <v>0.16619999999999999</v>
      </c>
      <c r="X350" s="3">
        <v>0.16619999999999999</v>
      </c>
      <c r="Y350" s="3">
        <v>0.16619999999999999</v>
      </c>
      <c r="Z350" s="3">
        <v>0.16619999999999999</v>
      </c>
      <c r="AA350" s="3">
        <v>0.16619999999999999</v>
      </c>
      <c r="AB350" s="3">
        <v>0.16619999999999999</v>
      </c>
      <c r="AC350" s="3">
        <v>0.16619999999999999</v>
      </c>
      <c r="AD350" s="3">
        <v>0.16619999999999999</v>
      </c>
      <c r="AE350" s="3">
        <v>0.16619999999999999</v>
      </c>
      <c r="AF350" s="3">
        <v>0.16619999999999999</v>
      </c>
      <c r="AG350" s="3">
        <v>0.16619999999999999</v>
      </c>
      <c r="AH350" s="3">
        <v>0.16619999999999999</v>
      </c>
      <c r="AI350" s="3">
        <v>0.16619999999999999</v>
      </c>
      <c r="AJ350" s="3">
        <v>0.16619999999999999</v>
      </c>
      <c r="AK350" s="3">
        <v>0.16619999999999999</v>
      </c>
      <c r="AL350" s="3">
        <v>0.16619999999999999</v>
      </c>
      <c r="AM350" s="3">
        <v>0.16619999999999999</v>
      </c>
      <c r="AN350" s="3">
        <v>0.16619999999999999</v>
      </c>
      <c r="AO350" s="3">
        <v>0.16619999999999999</v>
      </c>
      <c r="AP350" s="3">
        <v>0.16619999999999999</v>
      </c>
      <c r="AQ350" s="3">
        <v>0.16619999999999999</v>
      </c>
      <c r="AR350" s="3">
        <v>0.16619999999999999</v>
      </c>
      <c r="AS350" s="3">
        <v>0.16619999999999999</v>
      </c>
      <c r="AT350" s="3">
        <v>0.16619999999999999</v>
      </c>
      <c r="AU350" s="3">
        <v>0.16619999999999999</v>
      </c>
      <c r="AV350" s="3">
        <v>0.16619999999999999</v>
      </c>
      <c r="AW350" s="3">
        <v>0.16619999999999999</v>
      </c>
      <c r="AX350" s="3">
        <v>0.16619999999999999</v>
      </c>
      <c r="AY350" s="3">
        <v>0.16619999999999999</v>
      </c>
      <c r="AZ350" s="3">
        <v>0.16619999999999999</v>
      </c>
      <c r="BA350" s="3">
        <v>0.16619999999999999</v>
      </c>
      <c r="BB350" s="3">
        <v>0.16619999999999999</v>
      </c>
      <c r="BC350" s="3">
        <v>0.16619999999999999</v>
      </c>
      <c r="BD350" s="3">
        <v>0.16619999999999999</v>
      </c>
      <c r="BE350" s="3">
        <v>0.16619999999999999</v>
      </c>
      <c r="BF350" s="3">
        <v>0.16619999999999999</v>
      </c>
      <c r="BG350" s="3">
        <v>0.16619999999999999</v>
      </c>
      <c r="BH350" s="3">
        <v>0.16619999999999999</v>
      </c>
      <c r="BI350" s="3">
        <v>0.16619999999999999</v>
      </c>
      <c r="BJ350" s="3">
        <v>0.16619999999999999</v>
      </c>
      <c r="BK350" s="3">
        <v>0.16619999999999999</v>
      </c>
      <c r="BL350" s="3">
        <v>0.16619999999999999</v>
      </c>
      <c r="BM350" s="3">
        <v>0.16619999999999999</v>
      </c>
      <c r="BN350" s="3">
        <v>0.16619999999999999</v>
      </c>
      <c r="BO350" s="3">
        <v>0.16619999999999999</v>
      </c>
      <c r="BP350" s="3">
        <v>0.16619999999999999</v>
      </c>
      <c r="BQ350" s="3">
        <v>0.16619999999999999</v>
      </c>
    </row>
    <row r="351" spans="1:69" hidden="1" x14ac:dyDescent="0.25">
      <c r="A351" s="20">
        <v>35</v>
      </c>
      <c r="B351" s="20" t="s">
        <v>78</v>
      </c>
      <c r="C351" s="3" t="s">
        <v>79</v>
      </c>
      <c r="D351" s="3">
        <v>10</v>
      </c>
      <c r="E351" s="3" t="s">
        <v>499</v>
      </c>
      <c r="F351" s="3"/>
      <c r="G351" s="3" t="s">
        <v>501</v>
      </c>
      <c r="H351" s="3">
        <v>0</v>
      </c>
      <c r="I351" s="3">
        <v>0.95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s="17" customFormat="1" hidden="1" x14ac:dyDescent="0.25">
      <c r="A352" s="23">
        <v>36</v>
      </c>
      <c r="B352" s="23" t="s">
        <v>80</v>
      </c>
      <c r="C352" s="24" t="s">
        <v>81</v>
      </c>
      <c r="D352" s="24">
        <v>1</v>
      </c>
      <c r="E352" s="24" t="s">
        <v>489</v>
      </c>
      <c r="F352" s="24"/>
      <c r="G352" s="24" t="s">
        <v>500</v>
      </c>
      <c r="H352" s="24">
        <v>0</v>
      </c>
      <c r="I352" s="24">
        <v>1216.67</v>
      </c>
      <c r="J352" s="24">
        <v>1216.67</v>
      </c>
      <c r="K352" s="24">
        <v>1216.67</v>
      </c>
      <c r="L352" s="24">
        <v>1216.67</v>
      </c>
      <c r="M352" s="24">
        <v>1216.67</v>
      </c>
      <c r="N352" s="24">
        <v>1216.67</v>
      </c>
      <c r="O352" s="24">
        <v>1216.67</v>
      </c>
      <c r="P352" s="24">
        <v>1216.67</v>
      </c>
      <c r="Q352" s="24">
        <v>1216.67</v>
      </c>
      <c r="R352" s="24">
        <v>1174.44</v>
      </c>
      <c r="S352" s="24">
        <v>1132.22</v>
      </c>
      <c r="T352" s="24">
        <v>1090</v>
      </c>
      <c r="U352" s="24">
        <v>1047.78</v>
      </c>
      <c r="V352" s="24">
        <v>1005.56</v>
      </c>
      <c r="W352" s="24">
        <v>963.33</v>
      </c>
      <c r="X352" s="24">
        <v>921.11</v>
      </c>
      <c r="Y352" s="24">
        <v>878.89</v>
      </c>
      <c r="Z352" s="24">
        <v>836.67</v>
      </c>
      <c r="AA352" s="24">
        <v>794.44</v>
      </c>
      <c r="AB352" s="24">
        <v>752.22</v>
      </c>
      <c r="AC352" s="24">
        <v>710</v>
      </c>
      <c r="AD352" s="24">
        <v>700</v>
      </c>
      <c r="AE352" s="24">
        <v>690</v>
      </c>
      <c r="AF352" s="24">
        <v>680</v>
      </c>
      <c r="AG352" s="24">
        <v>670</v>
      </c>
      <c r="AH352" s="24">
        <v>660</v>
      </c>
      <c r="AI352" s="24">
        <v>650</v>
      </c>
      <c r="AJ352" s="24">
        <v>640</v>
      </c>
      <c r="AK352" s="24">
        <v>630</v>
      </c>
      <c r="AL352" s="24">
        <v>620</v>
      </c>
      <c r="AM352" s="24">
        <v>610</v>
      </c>
      <c r="AN352" s="24">
        <v>600</v>
      </c>
      <c r="AO352" s="24">
        <v>590</v>
      </c>
      <c r="AP352" s="24">
        <v>580</v>
      </c>
      <c r="AQ352" s="24">
        <v>570</v>
      </c>
      <c r="AR352" s="24">
        <v>560</v>
      </c>
      <c r="AS352" s="24">
        <v>550</v>
      </c>
      <c r="AT352" s="24">
        <v>540</v>
      </c>
      <c r="AU352" s="24">
        <v>530</v>
      </c>
      <c r="AV352" s="24">
        <v>520</v>
      </c>
      <c r="AW352" s="24">
        <v>510</v>
      </c>
      <c r="AX352" s="24">
        <v>510</v>
      </c>
      <c r="AY352" s="24">
        <v>510</v>
      </c>
      <c r="AZ352" s="24">
        <v>510</v>
      </c>
      <c r="BA352" s="24">
        <v>510</v>
      </c>
      <c r="BB352" s="24">
        <v>510</v>
      </c>
      <c r="BC352" s="24">
        <v>510</v>
      </c>
      <c r="BD352" s="24">
        <v>510</v>
      </c>
      <c r="BE352" s="24">
        <v>510</v>
      </c>
      <c r="BF352" s="24">
        <v>510</v>
      </c>
      <c r="BG352" s="24">
        <v>510</v>
      </c>
      <c r="BH352" s="24">
        <v>510</v>
      </c>
      <c r="BI352" s="24">
        <v>510</v>
      </c>
      <c r="BJ352" s="24">
        <v>510</v>
      </c>
      <c r="BK352" s="24">
        <v>510</v>
      </c>
      <c r="BL352" s="24">
        <v>510</v>
      </c>
      <c r="BM352" s="24">
        <v>510</v>
      </c>
      <c r="BN352" s="24">
        <v>510</v>
      </c>
      <c r="BO352" s="24">
        <v>510</v>
      </c>
      <c r="BP352" s="24">
        <v>510</v>
      </c>
      <c r="BQ352" s="24">
        <v>510</v>
      </c>
    </row>
    <row r="353" spans="1:69" s="17" customFormat="1" hidden="1" x14ac:dyDescent="0.25">
      <c r="A353" s="23">
        <v>36</v>
      </c>
      <c r="B353" s="23" t="s">
        <v>80</v>
      </c>
      <c r="C353" s="24" t="s">
        <v>81</v>
      </c>
      <c r="D353" s="24">
        <v>2</v>
      </c>
      <c r="E353" s="24" t="s">
        <v>491</v>
      </c>
      <c r="F353" s="24"/>
      <c r="G353" s="24" t="s">
        <v>500</v>
      </c>
      <c r="H353" s="24">
        <v>0</v>
      </c>
      <c r="I353" s="24">
        <v>19.8</v>
      </c>
      <c r="J353" s="24">
        <v>19.8</v>
      </c>
      <c r="K353" s="24">
        <v>19.8</v>
      </c>
      <c r="L353" s="24">
        <v>19.8</v>
      </c>
      <c r="M353" s="24">
        <v>19.8</v>
      </c>
      <c r="N353" s="24">
        <v>19.8</v>
      </c>
      <c r="O353" s="24">
        <v>19.8</v>
      </c>
      <c r="P353" s="24">
        <v>19.8</v>
      </c>
      <c r="Q353" s="24">
        <v>19.8</v>
      </c>
      <c r="R353" s="24">
        <v>19.8</v>
      </c>
      <c r="S353" s="24">
        <v>13.6</v>
      </c>
      <c r="T353" s="24">
        <v>13.6</v>
      </c>
      <c r="U353" s="24">
        <v>13.6</v>
      </c>
      <c r="V353" s="24">
        <v>13.6</v>
      </c>
      <c r="W353" s="24">
        <v>13.6</v>
      </c>
      <c r="X353" s="24">
        <v>12.2</v>
      </c>
      <c r="Y353" s="24">
        <v>12.2</v>
      </c>
      <c r="Z353" s="24">
        <v>12.2</v>
      </c>
      <c r="AA353" s="24">
        <v>12.2</v>
      </c>
      <c r="AB353" s="24">
        <v>12.2</v>
      </c>
      <c r="AC353" s="24">
        <v>10.8</v>
      </c>
      <c r="AD353" s="24">
        <v>10.8</v>
      </c>
      <c r="AE353" s="24">
        <v>10.8</v>
      </c>
      <c r="AF353" s="24">
        <v>10.8</v>
      </c>
      <c r="AG353" s="24">
        <v>10.8</v>
      </c>
      <c r="AH353" s="24">
        <v>10.5</v>
      </c>
      <c r="AI353" s="24">
        <v>10.5</v>
      </c>
      <c r="AJ353" s="24">
        <v>10.5</v>
      </c>
      <c r="AK353" s="24">
        <v>10.5</v>
      </c>
      <c r="AL353" s="24">
        <v>10.5</v>
      </c>
      <c r="AM353" s="24">
        <v>10.199999999999999</v>
      </c>
      <c r="AN353" s="24">
        <v>10.199999999999999</v>
      </c>
      <c r="AO353" s="24">
        <v>10.199999999999999</v>
      </c>
      <c r="AP353" s="24">
        <v>10.199999999999999</v>
      </c>
      <c r="AQ353" s="24">
        <v>10.199999999999999</v>
      </c>
      <c r="AR353" s="24">
        <v>9.9</v>
      </c>
      <c r="AS353" s="24">
        <v>9.9</v>
      </c>
      <c r="AT353" s="24">
        <v>9.9</v>
      </c>
      <c r="AU353" s="24">
        <v>9.9</v>
      </c>
      <c r="AV353" s="24">
        <v>9.9</v>
      </c>
      <c r="AW353" s="24">
        <v>9.6</v>
      </c>
      <c r="AX353" s="24">
        <v>9.6</v>
      </c>
      <c r="AY353" s="24">
        <v>9.6</v>
      </c>
      <c r="AZ353" s="24">
        <v>9.6</v>
      </c>
      <c r="BA353" s="24">
        <v>9.6</v>
      </c>
      <c r="BB353" s="24">
        <v>9.6</v>
      </c>
      <c r="BC353" s="24">
        <v>9.6</v>
      </c>
      <c r="BD353" s="24">
        <v>9.6</v>
      </c>
      <c r="BE353" s="24">
        <v>9.6</v>
      </c>
      <c r="BF353" s="24">
        <v>9.6</v>
      </c>
      <c r="BG353" s="24">
        <v>9.6</v>
      </c>
      <c r="BH353" s="24">
        <v>9.6</v>
      </c>
      <c r="BI353" s="24">
        <v>9.6</v>
      </c>
      <c r="BJ353" s="24">
        <v>9.6</v>
      </c>
      <c r="BK353" s="24">
        <v>9.6</v>
      </c>
      <c r="BL353" s="24">
        <v>9.6</v>
      </c>
      <c r="BM353" s="24">
        <v>9.6</v>
      </c>
      <c r="BN353" s="24">
        <v>9.6</v>
      </c>
      <c r="BO353" s="24">
        <v>9.6</v>
      </c>
      <c r="BP353" s="24">
        <v>9.6</v>
      </c>
      <c r="BQ353" s="24">
        <v>9.6</v>
      </c>
    </row>
    <row r="354" spans="1:69" s="17" customFormat="1" hidden="1" x14ac:dyDescent="0.25">
      <c r="A354" s="23">
        <v>36</v>
      </c>
      <c r="B354" s="23" t="s">
        <v>80</v>
      </c>
      <c r="C354" s="24" t="s">
        <v>81</v>
      </c>
      <c r="D354" s="24">
        <v>3</v>
      </c>
      <c r="E354" s="24" t="s">
        <v>492</v>
      </c>
      <c r="F354" s="24"/>
      <c r="G354" s="24" t="s">
        <v>500</v>
      </c>
      <c r="H354" s="24">
        <v>0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0</v>
      </c>
      <c r="AM354" s="24">
        <v>0</v>
      </c>
      <c r="AN354" s="24">
        <v>0</v>
      </c>
      <c r="AO354" s="24">
        <v>0</v>
      </c>
      <c r="AP354" s="24">
        <v>0</v>
      </c>
      <c r="AQ354" s="24">
        <v>0</v>
      </c>
      <c r="AR354" s="24">
        <v>0</v>
      </c>
      <c r="AS354" s="24">
        <v>0</v>
      </c>
      <c r="AT354" s="24">
        <v>0</v>
      </c>
      <c r="AU354" s="24">
        <v>0</v>
      </c>
      <c r="AV354" s="24">
        <v>0</v>
      </c>
      <c r="AW354" s="24">
        <v>0</v>
      </c>
      <c r="AX354" s="24">
        <v>0</v>
      </c>
      <c r="AY354" s="24">
        <v>0</v>
      </c>
      <c r="AZ354" s="24">
        <v>0</v>
      </c>
      <c r="BA354" s="24">
        <v>0</v>
      </c>
      <c r="BB354" s="24">
        <v>0</v>
      </c>
      <c r="BC354" s="24">
        <v>0</v>
      </c>
      <c r="BD354" s="24">
        <v>0</v>
      </c>
      <c r="BE354" s="24">
        <v>0</v>
      </c>
      <c r="BF354" s="24">
        <v>0</v>
      </c>
      <c r="BG354" s="24">
        <v>0</v>
      </c>
      <c r="BH354" s="24">
        <v>0</v>
      </c>
      <c r="BI354" s="24">
        <v>0</v>
      </c>
      <c r="BJ354" s="24">
        <v>0</v>
      </c>
      <c r="BK354" s="24">
        <v>0</v>
      </c>
      <c r="BL354" s="24">
        <v>0</v>
      </c>
      <c r="BM354" s="24">
        <v>0</v>
      </c>
      <c r="BN354" s="24">
        <v>0</v>
      </c>
      <c r="BO354" s="24">
        <v>0</v>
      </c>
      <c r="BP354" s="24">
        <v>0</v>
      </c>
      <c r="BQ354" s="24">
        <v>0</v>
      </c>
    </row>
    <row r="355" spans="1:69" s="17" customFormat="1" hidden="1" x14ac:dyDescent="0.25">
      <c r="A355" s="23">
        <v>36</v>
      </c>
      <c r="B355" s="23" t="s">
        <v>80</v>
      </c>
      <c r="C355" s="24" t="s">
        <v>81</v>
      </c>
      <c r="D355" s="24">
        <v>4</v>
      </c>
      <c r="E355" s="24" t="s">
        <v>493</v>
      </c>
      <c r="F355" s="24"/>
      <c r="G355" s="24" t="s">
        <v>490</v>
      </c>
      <c r="H355" s="24">
        <v>0</v>
      </c>
      <c r="I355" s="24">
        <v>0</v>
      </c>
      <c r="J355" s="24">
        <v>0</v>
      </c>
      <c r="K355" s="24">
        <v>0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  <c r="X355" s="24">
        <v>0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0</v>
      </c>
      <c r="AM355" s="24">
        <v>0</v>
      </c>
      <c r="AN355" s="24">
        <v>0</v>
      </c>
      <c r="AO355" s="24">
        <v>0</v>
      </c>
      <c r="AP355" s="24">
        <v>0</v>
      </c>
      <c r="AQ355" s="24">
        <v>0</v>
      </c>
      <c r="AR355" s="24">
        <v>0</v>
      </c>
      <c r="AS355" s="24">
        <v>0</v>
      </c>
      <c r="AT355" s="24">
        <v>0</v>
      </c>
      <c r="AU355" s="24">
        <v>0</v>
      </c>
      <c r="AV355" s="24">
        <v>0</v>
      </c>
      <c r="AW355" s="24">
        <v>0</v>
      </c>
      <c r="AX355" s="24">
        <v>0</v>
      </c>
      <c r="AY355" s="24">
        <v>0</v>
      </c>
      <c r="AZ355" s="24">
        <v>0</v>
      </c>
      <c r="BA355" s="24">
        <v>0</v>
      </c>
      <c r="BB355" s="24">
        <v>0</v>
      </c>
      <c r="BC355" s="24">
        <v>0</v>
      </c>
      <c r="BD355" s="24">
        <v>0</v>
      </c>
      <c r="BE355" s="24">
        <v>0</v>
      </c>
      <c r="BF355" s="24">
        <v>0</v>
      </c>
      <c r="BG355" s="24">
        <v>0</v>
      </c>
      <c r="BH355" s="24">
        <v>0</v>
      </c>
      <c r="BI355" s="24">
        <v>0</v>
      </c>
      <c r="BJ355" s="24">
        <v>0</v>
      </c>
      <c r="BK355" s="24">
        <v>0</v>
      </c>
      <c r="BL355" s="24">
        <v>0</v>
      </c>
      <c r="BM355" s="24">
        <v>0</v>
      </c>
      <c r="BN355" s="24">
        <v>0</v>
      </c>
      <c r="BO355" s="24">
        <v>0</v>
      </c>
      <c r="BP355" s="24">
        <v>0</v>
      </c>
      <c r="BQ355" s="24">
        <v>0</v>
      </c>
    </row>
    <row r="356" spans="1:69" s="17" customFormat="1" hidden="1" x14ac:dyDescent="0.25">
      <c r="A356" s="23">
        <v>36</v>
      </c>
      <c r="B356" s="23" t="s">
        <v>80</v>
      </c>
      <c r="C356" s="24" t="s">
        <v>81</v>
      </c>
      <c r="D356" s="24">
        <v>5</v>
      </c>
      <c r="E356" s="24" t="s">
        <v>494</v>
      </c>
      <c r="F356" s="24"/>
      <c r="G356" s="24" t="s">
        <v>500</v>
      </c>
      <c r="H356" s="24">
        <v>0</v>
      </c>
      <c r="I356" s="24">
        <v>0</v>
      </c>
      <c r="J356" s="24">
        <v>0</v>
      </c>
      <c r="K356" s="24">
        <v>0</v>
      </c>
      <c r="L356" s="24">
        <v>0</v>
      </c>
      <c r="M356" s="24">
        <v>0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4">
        <v>0</v>
      </c>
      <c r="AG356" s="24">
        <v>0</v>
      </c>
      <c r="AH356" s="24">
        <v>0</v>
      </c>
      <c r="AI356" s="24">
        <v>0</v>
      </c>
      <c r="AJ356" s="24">
        <v>0</v>
      </c>
      <c r="AK356" s="24">
        <v>0</v>
      </c>
      <c r="AL356" s="24">
        <v>0</v>
      </c>
      <c r="AM356" s="24">
        <v>0</v>
      </c>
      <c r="AN356" s="24">
        <v>0</v>
      </c>
      <c r="AO356" s="24">
        <v>0</v>
      </c>
      <c r="AP356" s="24">
        <v>0</v>
      </c>
      <c r="AQ356" s="24">
        <v>0</v>
      </c>
      <c r="AR356" s="24">
        <v>0</v>
      </c>
      <c r="AS356" s="24">
        <v>0</v>
      </c>
      <c r="AT356" s="24">
        <v>0</v>
      </c>
      <c r="AU356" s="24">
        <v>0</v>
      </c>
      <c r="AV356" s="24">
        <v>0</v>
      </c>
      <c r="AW356" s="24">
        <v>0</v>
      </c>
      <c r="AX356" s="24">
        <v>0</v>
      </c>
      <c r="AY356" s="24">
        <v>0</v>
      </c>
      <c r="AZ356" s="24">
        <v>0</v>
      </c>
      <c r="BA356" s="24">
        <v>0</v>
      </c>
      <c r="BB356" s="24">
        <v>0</v>
      </c>
      <c r="BC356" s="24">
        <v>0</v>
      </c>
      <c r="BD356" s="24">
        <v>0</v>
      </c>
      <c r="BE356" s="24">
        <v>0</v>
      </c>
      <c r="BF356" s="24">
        <v>0</v>
      </c>
      <c r="BG356" s="24">
        <v>0</v>
      </c>
      <c r="BH356" s="24">
        <v>0</v>
      </c>
      <c r="BI356" s="24">
        <v>0</v>
      </c>
      <c r="BJ356" s="24">
        <v>0</v>
      </c>
      <c r="BK356" s="24">
        <v>0</v>
      </c>
      <c r="BL356" s="24">
        <v>0</v>
      </c>
      <c r="BM356" s="24">
        <v>0</v>
      </c>
      <c r="BN356" s="24">
        <v>0</v>
      </c>
      <c r="BO356" s="24">
        <v>0</v>
      </c>
      <c r="BP356" s="24">
        <v>0</v>
      </c>
      <c r="BQ356" s="24">
        <v>0</v>
      </c>
    </row>
    <row r="357" spans="1:69" s="17" customFormat="1" hidden="1" x14ac:dyDescent="0.25">
      <c r="A357" s="23">
        <v>36</v>
      </c>
      <c r="B357" s="23" t="s">
        <v>80</v>
      </c>
      <c r="C357" s="24" t="s">
        <v>81</v>
      </c>
      <c r="D357" s="24">
        <v>6</v>
      </c>
      <c r="E357" s="24" t="s">
        <v>495</v>
      </c>
      <c r="F357" s="24"/>
      <c r="G357" s="24" t="s">
        <v>490</v>
      </c>
      <c r="H357" s="24">
        <v>0</v>
      </c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</row>
    <row r="358" spans="1:69" s="17" customFormat="1" hidden="1" x14ac:dyDescent="0.25">
      <c r="A358" s="23">
        <v>36</v>
      </c>
      <c r="B358" s="23" t="s">
        <v>80</v>
      </c>
      <c r="C358" s="24" t="s">
        <v>81</v>
      </c>
      <c r="D358" s="24">
        <v>7</v>
      </c>
      <c r="E358" s="24" t="s">
        <v>496</v>
      </c>
      <c r="F358" s="24"/>
      <c r="G358" s="25" t="s">
        <v>500</v>
      </c>
      <c r="H358" s="26">
        <v>0</v>
      </c>
      <c r="I358" s="24">
        <v>0</v>
      </c>
      <c r="J358" s="24">
        <v>0</v>
      </c>
      <c r="K358" s="24">
        <v>0</v>
      </c>
      <c r="L358" s="24">
        <v>0</v>
      </c>
      <c r="M358" s="24">
        <v>0</v>
      </c>
      <c r="N358" s="24">
        <v>0</v>
      </c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  <c r="AI358" s="24">
        <v>0</v>
      </c>
      <c r="AJ358" s="24">
        <v>0</v>
      </c>
      <c r="AK358" s="24">
        <v>0</v>
      </c>
      <c r="AL358" s="24">
        <v>0</v>
      </c>
      <c r="AM358" s="24">
        <v>0</v>
      </c>
      <c r="AN358" s="24">
        <v>0</v>
      </c>
      <c r="AO358" s="24">
        <v>0</v>
      </c>
      <c r="AP358" s="24">
        <v>0</v>
      </c>
      <c r="AQ358" s="24">
        <v>0</v>
      </c>
      <c r="AR358" s="24">
        <v>0</v>
      </c>
      <c r="AS358" s="24">
        <v>0</v>
      </c>
      <c r="AT358" s="24">
        <v>0</v>
      </c>
      <c r="AU358" s="24">
        <v>0</v>
      </c>
      <c r="AV358" s="24">
        <v>0</v>
      </c>
      <c r="AW358" s="24">
        <v>0</v>
      </c>
      <c r="AX358" s="24">
        <v>0</v>
      </c>
      <c r="AY358" s="24">
        <v>0</v>
      </c>
      <c r="AZ358" s="24">
        <v>0</v>
      </c>
      <c r="BA358" s="24">
        <v>0</v>
      </c>
      <c r="BB358" s="24">
        <v>0</v>
      </c>
      <c r="BC358" s="24">
        <v>0</v>
      </c>
      <c r="BD358" s="24">
        <v>0</v>
      </c>
      <c r="BE358" s="24">
        <v>0</v>
      </c>
      <c r="BF358" s="24">
        <v>0</v>
      </c>
      <c r="BG358" s="24">
        <v>0</v>
      </c>
      <c r="BH358" s="24">
        <v>0</v>
      </c>
      <c r="BI358" s="24">
        <v>0</v>
      </c>
      <c r="BJ358" s="24">
        <v>0</v>
      </c>
      <c r="BK358" s="24">
        <v>0</v>
      </c>
      <c r="BL358" s="24">
        <v>0</v>
      </c>
      <c r="BM358" s="24">
        <v>0</v>
      </c>
      <c r="BN358" s="24">
        <v>0</v>
      </c>
      <c r="BO358" s="24">
        <v>0</v>
      </c>
      <c r="BP358" s="24">
        <v>0</v>
      </c>
      <c r="BQ358" s="24">
        <v>0</v>
      </c>
    </row>
    <row r="359" spans="1:69" s="17" customFormat="1" hidden="1" x14ac:dyDescent="0.25">
      <c r="A359" s="23">
        <v>36</v>
      </c>
      <c r="B359" s="23" t="s">
        <v>80</v>
      </c>
      <c r="C359" s="24" t="s">
        <v>81</v>
      </c>
      <c r="D359" s="24">
        <v>8</v>
      </c>
      <c r="E359" s="24" t="s">
        <v>497</v>
      </c>
      <c r="F359" s="24"/>
      <c r="G359" s="24" t="s">
        <v>490</v>
      </c>
      <c r="H359" s="24">
        <v>0</v>
      </c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</row>
    <row r="360" spans="1:69" s="17" customFormat="1" hidden="1" x14ac:dyDescent="0.25">
      <c r="A360" s="23">
        <v>36</v>
      </c>
      <c r="B360" s="23" t="s">
        <v>80</v>
      </c>
      <c r="C360" s="24" t="s">
        <v>81</v>
      </c>
      <c r="D360" s="24">
        <v>9</v>
      </c>
      <c r="E360" s="24" t="s">
        <v>498</v>
      </c>
      <c r="F360" s="24"/>
      <c r="G360" s="24" t="s">
        <v>500</v>
      </c>
      <c r="H360" s="24">
        <v>0</v>
      </c>
      <c r="I360" s="24">
        <v>0.17080000000000001</v>
      </c>
      <c r="J360" s="24">
        <v>0.17080000000000001</v>
      </c>
      <c r="K360" s="24">
        <v>0.17080000000000001</v>
      </c>
      <c r="L360" s="24">
        <v>0.17080000000000001</v>
      </c>
      <c r="M360" s="24">
        <v>0.17080000000000001</v>
      </c>
      <c r="N360" s="24">
        <v>0.17080000000000001</v>
      </c>
      <c r="O360" s="24">
        <v>0.17080000000000001</v>
      </c>
      <c r="P360" s="24">
        <v>0.17080000000000001</v>
      </c>
      <c r="Q360" s="24">
        <v>0.17080000000000001</v>
      </c>
      <c r="R360" s="24">
        <v>0.1628</v>
      </c>
      <c r="S360" s="24">
        <v>0.16619999999999999</v>
      </c>
      <c r="T360" s="24">
        <v>0.16619999999999999</v>
      </c>
      <c r="U360" s="24">
        <v>0.16619999999999999</v>
      </c>
      <c r="V360" s="24">
        <v>0.16619999999999999</v>
      </c>
      <c r="W360" s="24">
        <v>0.16619999999999999</v>
      </c>
      <c r="X360" s="24">
        <v>0.16619999999999999</v>
      </c>
      <c r="Y360" s="24">
        <v>0.16619999999999999</v>
      </c>
      <c r="Z360" s="24">
        <v>0.16619999999999999</v>
      </c>
      <c r="AA360" s="24">
        <v>0.16619999999999999</v>
      </c>
      <c r="AB360" s="24">
        <v>0.16619999999999999</v>
      </c>
      <c r="AC360" s="24">
        <v>0.16619999999999999</v>
      </c>
      <c r="AD360" s="24">
        <v>0.16619999999999999</v>
      </c>
      <c r="AE360" s="24">
        <v>0.16619999999999999</v>
      </c>
      <c r="AF360" s="24">
        <v>0.16619999999999999</v>
      </c>
      <c r="AG360" s="24">
        <v>0.16619999999999999</v>
      </c>
      <c r="AH360" s="24">
        <v>0.16619999999999999</v>
      </c>
      <c r="AI360" s="24">
        <v>0.16619999999999999</v>
      </c>
      <c r="AJ360" s="24">
        <v>0.16619999999999999</v>
      </c>
      <c r="AK360" s="24">
        <v>0.16619999999999999</v>
      </c>
      <c r="AL360" s="24">
        <v>0.16619999999999999</v>
      </c>
      <c r="AM360" s="24">
        <v>0.16619999999999999</v>
      </c>
      <c r="AN360" s="24">
        <v>0.16619999999999999</v>
      </c>
      <c r="AO360" s="24">
        <v>0.16619999999999999</v>
      </c>
      <c r="AP360" s="24">
        <v>0.16619999999999999</v>
      </c>
      <c r="AQ360" s="24">
        <v>0.16619999999999999</v>
      </c>
      <c r="AR360" s="24">
        <v>0.16619999999999999</v>
      </c>
      <c r="AS360" s="24">
        <v>0.16619999999999999</v>
      </c>
      <c r="AT360" s="24">
        <v>0.16619999999999999</v>
      </c>
      <c r="AU360" s="24">
        <v>0.16619999999999999</v>
      </c>
      <c r="AV360" s="24">
        <v>0.16619999999999999</v>
      </c>
      <c r="AW360" s="24">
        <v>0.16619999999999999</v>
      </c>
      <c r="AX360" s="24">
        <v>0.16619999999999999</v>
      </c>
      <c r="AY360" s="24">
        <v>0.16619999999999999</v>
      </c>
      <c r="AZ360" s="24">
        <v>0.16619999999999999</v>
      </c>
      <c r="BA360" s="24">
        <v>0.16619999999999999</v>
      </c>
      <c r="BB360" s="24">
        <v>0.16619999999999999</v>
      </c>
      <c r="BC360" s="24">
        <v>0.16619999999999999</v>
      </c>
      <c r="BD360" s="24">
        <v>0.16619999999999999</v>
      </c>
      <c r="BE360" s="24">
        <v>0.16619999999999999</v>
      </c>
      <c r="BF360" s="24">
        <v>0.16619999999999999</v>
      </c>
      <c r="BG360" s="24">
        <v>0.16619999999999999</v>
      </c>
      <c r="BH360" s="24">
        <v>0.16619999999999999</v>
      </c>
      <c r="BI360" s="24">
        <v>0.16619999999999999</v>
      </c>
      <c r="BJ360" s="24">
        <v>0.16619999999999999</v>
      </c>
      <c r="BK360" s="24">
        <v>0.16619999999999999</v>
      </c>
      <c r="BL360" s="24">
        <v>0.16619999999999999</v>
      </c>
      <c r="BM360" s="24">
        <v>0.16619999999999999</v>
      </c>
      <c r="BN360" s="24">
        <v>0.16619999999999999</v>
      </c>
      <c r="BO360" s="24">
        <v>0.16619999999999999</v>
      </c>
      <c r="BP360" s="24">
        <v>0.16619999999999999</v>
      </c>
      <c r="BQ360" s="24">
        <v>0.16619999999999999</v>
      </c>
    </row>
    <row r="361" spans="1:69" s="17" customFormat="1" hidden="1" x14ac:dyDescent="0.25">
      <c r="A361" s="23">
        <v>36</v>
      </c>
      <c r="B361" s="23" t="s">
        <v>80</v>
      </c>
      <c r="C361" s="24" t="s">
        <v>81</v>
      </c>
      <c r="D361" s="24">
        <v>10</v>
      </c>
      <c r="E361" s="24" t="s">
        <v>499</v>
      </c>
      <c r="F361" s="24"/>
      <c r="G361" s="24" t="s">
        <v>501</v>
      </c>
      <c r="H361" s="24">
        <v>0</v>
      </c>
      <c r="I361" s="24">
        <v>0.95</v>
      </c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</row>
    <row r="362" spans="1:69" hidden="1" x14ac:dyDescent="0.25">
      <c r="A362" s="20">
        <v>37</v>
      </c>
      <c r="B362" s="20" t="s">
        <v>82</v>
      </c>
      <c r="C362" s="3" t="s">
        <v>83</v>
      </c>
      <c r="D362" s="3">
        <v>1</v>
      </c>
      <c r="E362" s="3" t="s">
        <v>489</v>
      </c>
      <c r="F362" s="3"/>
      <c r="G362" s="3" t="s">
        <v>500</v>
      </c>
      <c r="H362" s="3">
        <v>0</v>
      </c>
      <c r="I362" s="3">
        <v>1643.89</v>
      </c>
      <c r="J362" s="3">
        <v>1643.89</v>
      </c>
      <c r="K362" s="3">
        <v>1643.89</v>
      </c>
      <c r="L362" s="3">
        <v>1643.89</v>
      </c>
      <c r="M362" s="3">
        <v>1643.89</v>
      </c>
      <c r="N362" s="3">
        <v>1643.89</v>
      </c>
      <c r="O362" s="3">
        <v>1643.89</v>
      </c>
      <c r="P362" s="3">
        <v>1643.89</v>
      </c>
      <c r="Q362" s="3">
        <v>1643.89</v>
      </c>
      <c r="R362" s="3">
        <v>1628.7</v>
      </c>
      <c r="S362" s="3">
        <v>1613.52</v>
      </c>
      <c r="T362" s="3">
        <v>1598.34</v>
      </c>
      <c r="U362" s="3">
        <v>1583.15</v>
      </c>
      <c r="V362" s="3">
        <v>1567.97</v>
      </c>
      <c r="W362" s="3">
        <v>1552.78</v>
      </c>
      <c r="X362" s="3">
        <v>1537.6</v>
      </c>
      <c r="Y362" s="3">
        <v>1522.42</v>
      </c>
      <c r="Z362" s="3">
        <v>1507.23</v>
      </c>
      <c r="AA362" s="3">
        <v>1492.05</v>
      </c>
      <c r="AB362" s="3">
        <v>1476.86</v>
      </c>
      <c r="AC362" s="3">
        <v>1461.68</v>
      </c>
      <c r="AD362" s="3">
        <v>1446.5</v>
      </c>
      <c r="AE362" s="3">
        <v>1431.31</v>
      </c>
      <c r="AF362" s="3">
        <v>1416.13</v>
      </c>
      <c r="AG362" s="3">
        <v>1400.94</v>
      </c>
      <c r="AH362" s="3">
        <v>1385.76</v>
      </c>
      <c r="AI362" s="3">
        <v>1370.58</v>
      </c>
      <c r="AJ362" s="3">
        <v>1355.39</v>
      </c>
      <c r="AK362" s="3">
        <v>1340.21</v>
      </c>
      <c r="AL362" s="3">
        <v>1325.02</v>
      </c>
      <c r="AM362" s="3">
        <v>1309.8399999999999</v>
      </c>
      <c r="AN362" s="3">
        <v>1294.6600000000001</v>
      </c>
      <c r="AO362" s="3">
        <v>1279.47</v>
      </c>
      <c r="AP362" s="3">
        <v>1264.29</v>
      </c>
      <c r="AQ362" s="3">
        <v>1249.0999999999999</v>
      </c>
      <c r="AR362" s="3">
        <v>1233.92</v>
      </c>
      <c r="AS362" s="3">
        <v>1218.74</v>
      </c>
      <c r="AT362" s="3">
        <v>1203.55</v>
      </c>
      <c r="AU362" s="3">
        <v>1188.3699999999999</v>
      </c>
      <c r="AV362" s="3">
        <v>1173.18</v>
      </c>
      <c r="AW362" s="3">
        <v>1158</v>
      </c>
      <c r="AX362" s="3">
        <v>1158</v>
      </c>
      <c r="AY362" s="3">
        <v>1158</v>
      </c>
      <c r="AZ362" s="3">
        <v>1158</v>
      </c>
      <c r="BA362" s="3">
        <v>1158</v>
      </c>
      <c r="BB362" s="3">
        <v>1158</v>
      </c>
      <c r="BC362" s="3">
        <v>1158</v>
      </c>
      <c r="BD362" s="3">
        <v>1158</v>
      </c>
      <c r="BE362" s="3">
        <v>1158</v>
      </c>
      <c r="BF362" s="3">
        <v>1158</v>
      </c>
      <c r="BG362" s="3">
        <v>1158</v>
      </c>
      <c r="BH362" s="3">
        <v>1158</v>
      </c>
      <c r="BI362" s="3">
        <v>1158</v>
      </c>
      <c r="BJ362" s="3">
        <v>1158</v>
      </c>
      <c r="BK362" s="3">
        <v>1158</v>
      </c>
      <c r="BL362" s="3">
        <v>1158</v>
      </c>
      <c r="BM362" s="3">
        <v>1158</v>
      </c>
      <c r="BN362" s="3">
        <v>1158</v>
      </c>
      <c r="BO362" s="3">
        <v>1158</v>
      </c>
      <c r="BP362" s="3">
        <v>1158</v>
      </c>
      <c r="BQ362" s="3">
        <v>1158</v>
      </c>
    </row>
    <row r="363" spans="1:69" hidden="1" x14ac:dyDescent="0.25">
      <c r="A363" s="20">
        <v>37</v>
      </c>
      <c r="B363" s="20" t="s">
        <v>82</v>
      </c>
      <c r="C363" s="3" t="s">
        <v>83</v>
      </c>
      <c r="D363" s="3">
        <v>2</v>
      </c>
      <c r="E363" s="3" t="s">
        <v>491</v>
      </c>
      <c r="F363" s="3"/>
      <c r="G363" s="3" t="s">
        <v>500</v>
      </c>
      <c r="H363" s="3">
        <v>0</v>
      </c>
      <c r="I363" s="3">
        <v>37.950000000000003</v>
      </c>
      <c r="J363" s="3">
        <v>37.950000000000003</v>
      </c>
      <c r="K363" s="3">
        <v>37.950000000000003</v>
      </c>
      <c r="L363" s="3">
        <v>37.950000000000003</v>
      </c>
      <c r="M363" s="3">
        <v>37.950000000000003</v>
      </c>
      <c r="N363" s="3">
        <v>37.950000000000003</v>
      </c>
      <c r="O363" s="3">
        <v>37.950000000000003</v>
      </c>
      <c r="P363" s="3">
        <v>37.950000000000003</v>
      </c>
      <c r="Q363" s="3">
        <v>37.950000000000003</v>
      </c>
      <c r="R363" s="3">
        <v>37.950000000000003</v>
      </c>
      <c r="S363" s="3">
        <v>34.29</v>
      </c>
      <c r="T363" s="3">
        <v>34.29</v>
      </c>
      <c r="U363" s="3">
        <v>34.29</v>
      </c>
      <c r="V363" s="3">
        <v>34.29</v>
      </c>
      <c r="W363" s="3">
        <v>34.29</v>
      </c>
      <c r="X363" s="3">
        <v>30.65</v>
      </c>
      <c r="Y363" s="3">
        <v>30.65</v>
      </c>
      <c r="Z363" s="3">
        <v>30.65</v>
      </c>
      <c r="AA363" s="3">
        <v>30.65</v>
      </c>
      <c r="AB363" s="3">
        <v>30.65</v>
      </c>
      <c r="AC363" s="3">
        <v>27</v>
      </c>
      <c r="AD363" s="3">
        <v>27</v>
      </c>
      <c r="AE363" s="3">
        <v>27</v>
      </c>
      <c r="AF363" s="3">
        <v>27</v>
      </c>
      <c r="AG363" s="3">
        <v>27</v>
      </c>
      <c r="AH363" s="3">
        <v>24.59</v>
      </c>
      <c r="AI363" s="3">
        <v>24.59</v>
      </c>
      <c r="AJ363" s="3">
        <v>24.59</v>
      </c>
      <c r="AK363" s="3">
        <v>24.59</v>
      </c>
      <c r="AL363" s="3">
        <v>24.59</v>
      </c>
      <c r="AM363" s="3">
        <v>22.19</v>
      </c>
      <c r="AN363" s="3">
        <v>22.19</v>
      </c>
      <c r="AO363" s="3">
        <v>22.19</v>
      </c>
      <c r="AP363" s="3">
        <v>22.19</v>
      </c>
      <c r="AQ363" s="3">
        <v>22.19</v>
      </c>
      <c r="AR363" s="3">
        <v>19.78</v>
      </c>
      <c r="AS363" s="3">
        <v>19.78</v>
      </c>
      <c r="AT363" s="3">
        <v>19.78</v>
      </c>
      <c r="AU363" s="3">
        <v>19.78</v>
      </c>
      <c r="AV363" s="3">
        <v>19.78</v>
      </c>
      <c r="AW363" s="3">
        <v>17.37</v>
      </c>
      <c r="AX363" s="3">
        <v>17.37</v>
      </c>
      <c r="AY363" s="3">
        <v>17.37</v>
      </c>
      <c r="AZ363" s="3">
        <v>17.37</v>
      </c>
      <c r="BA363" s="3">
        <v>17.37</v>
      </c>
      <c r="BB363" s="3">
        <v>17.37</v>
      </c>
      <c r="BC363" s="3">
        <v>17.37</v>
      </c>
      <c r="BD363" s="3">
        <v>17.37</v>
      </c>
      <c r="BE363" s="3">
        <v>17.37</v>
      </c>
      <c r="BF363" s="3">
        <v>17.37</v>
      </c>
      <c r="BG363" s="3">
        <v>17.37</v>
      </c>
      <c r="BH363" s="3">
        <v>17.37</v>
      </c>
      <c r="BI363" s="3">
        <v>17.37</v>
      </c>
      <c r="BJ363" s="3">
        <v>17.37</v>
      </c>
      <c r="BK363" s="3">
        <v>17.37</v>
      </c>
      <c r="BL363" s="3">
        <v>17.37</v>
      </c>
      <c r="BM363" s="3">
        <v>17.37</v>
      </c>
      <c r="BN363" s="3">
        <v>17.37</v>
      </c>
      <c r="BO363" s="3">
        <v>17.37</v>
      </c>
      <c r="BP363" s="3">
        <v>17.37</v>
      </c>
      <c r="BQ363" s="3">
        <v>17.37</v>
      </c>
    </row>
    <row r="364" spans="1:69" hidden="1" x14ac:dyDescent="0.25">
      <c r="A364" s="20">
        <v>37</v>
      </c>
      <c r="B364" s="20" t="s">
        <v>82</v>
      </c>
      <c r="C364" s="3" t="s">
        <v>83</v>
      </c>
      <c r="D364" s="3">
        <v>3</v>
      </c>
      <c r="E364" s="3" t="s">
        <v>492</v>
      </c>
      <c r="F364" s="3"/>
      <c r="G364" s="3" t="s">
        <v>500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</row>
    <row r="365" spans="1:69" hidden="1" x14ac:dyDescent="0.25">
      <c r="A365" s="20">
        <v>37</v>
      </c>
      <c r="B365" s="20" t="s">
        <v>82</v>
      </c>
      <c r="C365" s="3" t="s">
        <v>83</v>
      </c>
      <c r="D365" s="3">
        <v>4</v>
      </c>
      <c r="E365" s="3" t="s">
        <v>493</v>
      </c>
      <c r="F365" s="3"/>
      <c r="G365" s="3" t="s">
        <v>490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</row>
    <row r="366" spans="1:69" hidden="1" x14ac:dyDescent="0.25">
      <c r="A366" s="20">
        <v>37</v>
      </c>
      <c r="B366" s="20" t="s">
        <v>82</v>
      </c>
      <c r="C366" s="3" t="s">
        <v>83</v>
      </c>
      <c r="D366" s="3">
        <v>5</v>
      </c>
      <c r="E366" s="3" t="s">
        <v>494</v>
      </c>
      <c r="F366" s="3"/>
      <c r="G366" s="3" t="s">
        <v>500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</row>
    <row r="367" spans="1:69" hidden="1" x14ac:dyDescent="0.25">
      <c r="A367" s="20">
        <v>37</v>
      </c>
      <c r="B367" s="20" t="s">
        <v>82</v>
      </c>
      <c r="C367" s="3" t="s">
        <v>83</v>
      </c>
      <c r="D367" s="3">
        <v>6</v>
      </c>
      <c r="E367" s="3" t="s">
        <v>495</v>
      </c>
      <c r="F367" s="3"/>
      <c r="G367" s="3" t="s">
        <v>490</v>
      </c>
      <c r="H367" s="3">
        <v>0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hidden="1" x14ac:dyDescent="0.25">
      <c r="A368" s="20">
        <v>37</v>
      </c>
      <c r="B368" s="20" t="s">
        <v>82</v>
      </c>
      <c r="C368" s="3" t="s">
        <v>83</v>
      </c>
      <c r="D368" s="3">
        <v>7</v>
      </c>
      <c r="E368" s="3" t="s">
        <v>496</v>
      </c>
      <c r="F368" s="3"/>
      <c r="G368" s="21" t="s">
        <v>500</v>
      </c>
      <c r="H368" s="22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</row>
    <row r="369" spans="1:69" hidden="1" x14ac:dyDescent="0.25">
      <c r="A369" s="20">
        <v>37</v>
      </c>
      <c r="B369" s="20" t="s">
        <v>82</v>
      </c>
      <c r="C369" s="3" t="s">
        <v>83</v>
      </c>
      <c r="D369" s="3">
        <v>8</v>
      </c>
      <c r="E369" s="3" t="s">
        <v>497</v>
      </c>
      <c r="F369" s="3"/>
      <c r="G369" s="3" t="s">
        <v>490</v>
      </c>
      <c r="H369" s="3">
        <v>0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hidden="1" x14ac:dyDescent="0.25">
      <c r="A370" s="20">
        <v>37</v>
      </c>
      <c r="B370" s="20" t="s">
        <v>82</v>
      </c>
      <c r="C370" s="3" t="s">
        <v>83</v>
      </c>
      <c r="D370" s="3">
        <v>9</v>
      </c>
      <c r="E370" s="3" t="s">
        <v>498</v>
      </c>
      <c r="F370" s="3"/>
      <c r="G370" s="3" t="s">
        <v>500</v>
      </c>
      <c r="H370" s="3">
        <v>0</v>
      </c>
      <c r="I370" s="3">
        <v>0.53669999999999995</v>
      </c>
      <c r="J370" s="3">
        <v>0.53669999999999995</v>
      </c>
      <c r="K370" s="3">
        <v>0.53669999999999995</v>
      </c>
      <c r="L370" s="3">
        <v>0.53669999999999995</v>
      </c>
      <c r="M370" s="3">
        <v>0.53669999999999995</v>
      </c>
      <c r="N370" s="3">
        <v>0.53669999999999995</v>
      </c>
      <c r="O370" s="3">
        <v>0.53669999999999995</v>
      </c>
      <c r="P370" s="3">
        <v>0.53669999999999995</v>
      </c>
      <c r="Q370" s="3">
        <v>0.53669999999999995</v>
      </c>
      <c r="R370" s="3">
        <v>0.58250000000000002</v>
      </c>
      <c r="S370" s="3">
        <v>0.52170000000000005</v>
      </c>
      <c r="T370" s="3">
        <v>0.52170000000000005</v>
      </c>
      <c r="U370" s="3">
        <v>0.52170000000000005</v>
      </c>
      <c r="V370" s="3">
        <v>0.52170000000000005</v>
      </c>
      <c r="W370" s="3">
        <v>0.52170000000000005</v>
      </c>
      <c r="X370" s="3">
        <v>0.52170000000000005</v>
      </c>
      <c r="Y370" s="3">
        <v>0.52170000000000005</v>
      </c>
      <c r="Z370" s="3">
        <v>0.52170000000000005</v>
      </c>
      <c r="AA370" s="3">
        <v>0.52170000000000005</v>
      </c>
      <c r="AB370" s="3">
        <v>0.52170000000000005</v>
      </c>
      <c r="AC370" s="3">
        <v>0.52170000000000005</v>
      </c>
      <c r="AD370" s="3">
        <v>0.52170000000000005</v>
      </c>
      <c r="AE370" s="3">
        <v>0.52170000000000005</v>
      </c>
      <c r="AF370" s="3">
        <v>0.52170000000000005</v>
      </c>
      <c r="AG370" s="3">
        <v>0.52170000000000005</v>
      </c>
      <c r="AH370" s="3">
        <v>0.52170000000000005</v>
      </c>
      <c r="AI370" s="3">
        <v>0.52170000000000005</v>
      </c>
      <c r="AJ370" s="3">
        <v>0.52170000000000005</v>
      </c>
      <c r="AK370" s="3">
        <v>0.52170000000000005</v>
      </c>
      <c r="AL370" s="3">
        <v>0.52170000000000005</v>
      </c>
      <c r="AM370" s="3">
        <v>0.52170000000000005</v>
      </c>
      <c r="AN370" s="3">
        <v>0.52170000000000005</v>
      </c>
      <c r="AO370" s="3">
        <v>0.52170000000000005</v>
      </c>
      <c r="AP370" s="3">
        <v>0.52170000000000005</v>
      </c>
      <c r="AQ370" s="3">
        <v>0.52170000000000005</v>
      </c>
      <c r="AR370" s="3">
        <v>0.52170000000000005</v>
      </c>
      <c r="AS370" s="3">
        <v>0.52170000000000005</v>
      </c>
      <c r="AT370" s="3">
        <v>0.52170000000000005</v>
      </c>
      <c r="AU370" s="3">
        <v>0.52170000000000005</v>
      </c>
      <c r="AV370" s="3">
        <v>0.52170000000000005</v>
      </c>
      <c r="AW370" s="3">
        <v>0.52170000000000005</v>
      </c>
      <c r="AX370" s="3">
        <v>0.52170000000000005</v>
      </c>
      <c r="AY370" s="3">
        <v>0.52170000000000005</v>
      </c>
      <c r="AZ370" s="3">
        <v>0.52170000000000005</v>
      </c>
      <c r="BA370" s="3">
        <v>0.52170000000000005</v>
      </c>
      <c r="BB370" s="3">
        <v>0.52170000000000005</v>
      </c>
      <c r="BC370" s="3">
        <v>0.52170000000000005</v>
      </c>
      <c r="BD370" s="3">
        <v>0.52170000000000005</v>
      </c>
      <c r="BE370" s="3">
        <v>0.52170000000000005</v>
      </c>
      <c r="BF370" s="3">
        <v>0.52170000000000005</v>
      </c>
      <c r="BG370" s="3">
        <v>0.52170000000000005</v>
      </c>
      <c r="BH370" s="3">
        <v>0.52170000000000005</v>
      </c>
      <c r="BI370" s="3">
        <v>0.52170000000000005</v>
      </c>
      <c r="BJ370" s="3">
        <v>0.52170000000000005</v>
      </c>
      <c r="BK370" s="3">
        <v>0.52170000000000005</v>
      </c>
      <c r="BL370" s="3">
        <v>0.52170000000000005</v>
      </c>
      <c r="BM370" s="3">
        <v>0.52170000000000005</v>
      </c>
      <c r="BN370" s="3">
        <v>0.52170000000000005</v>
      </c>
      <c r="BO370" s="3">
        <v>0.52170000000000005</v>
      </c>
      <c r="BP370" s="3">
        <v>0.52170000000000005</v>
      </c>
      <c r="BQ370" s="3">
        <v>0.52170000000000005</v>
      </c>
    </row>
    <row r="371" spans="1:69" hidden="1" x14ac:dyDescent="0.25">
      <c r="A371" s="20">
        <v>37</v>
      </c>
      <c r="B371" s="20" t="s">
        <v>82</v>
      </c>
      <c r="C371" s="3" t="s">
        <v>83</v>
      </c>
      <c r="D371" s="3">
        <v>10</v>
      </c>
      <c r="E371" s="3" t="s">
        <v>499</v>
      </c>
      <c r="F371" s="3"/>
      <c r="G371" s="3" t="s">
        <v>501</v>
      </c>
      <c r="H371" s="3">
        <v>0</v>
      </c>
      <c r="I371" s="3">
        <v>0.95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s="17" customFormat="1" hidden="1" x14ac:dyDescent="0.25">
      <c r="A372" s="23">
        <v>38</v>
      </c>
      <c r="B372" s="23" t="s">
        <v>84</v>
      </c>
      <c r="C372" s="24" t="s">
        <v>85</v>
      </c>
      <c r="D372" s="24">
        <v>1</v>
      </c>
      <c r="E372" s="24" t="s">
        <v>489</v>
      </c>
      <c r="F372" s="24"/>
      <c r="G372" s="24" t="s">
        <v>500</v>
      </c>
      <c r="H372" s="24">
        <v>0</v>
      </c>
      <c r="I372" s="24">
        <v>1643.89</v>
      </c>
      <c r="J372" s="24">
        <v>1643.89</v>
      </c>
      <c r="K372" s="24">
        <v>1643.89</v>
      </c>
      <c r="L372" s="24">
        <v>1643.89</v>
      </c>
      <c r="M372" s="24">
        <v>1643.89</v>
      </c>
      <c r="N372" s="24">
        <v>1643.89</v>
      </c>
      <c r="O372" s="24">
        <v>1643.89</v>
      </c>
      <c r="P372" s="24">
        <v>1643.89</v>
      </c>
      <c r="Q372" s="24">
        <v>1643.89</v>
      </c>
      <c r="R372" s="24">
        <v>1628.7</v>
      </c>
      <c r="S372" s="24">
        <v>1613.52</v>
      </c>
      <c r="T372" s="24">
        <v>1598.34</v>
      </c>
      <c r="U372" s="24">
        <v>1583.15</v>
      </c>
      <c r="V372" s="24">
        <v>1567.97</v>
      </c>
      <c r="W372" s="24">
        <v>1552.78</v>
      </c>
      <c r="X372" s="24">
        <v>1537.6</v>
      </c>
      <c r="Y372" s="24">
        <v>1522.42</v>
      </c>
      <c r="Z372" s="24">
        <v>1507.23</v>
      </c>
      <c r="AA372" s="24">
        <v>1492.05</v>
      </c>
      <c r="AB372" s="24">
        <v>1476.86</v>
      </c>
      <c r="AC372" s="24">
        <v>1461.68</v>
      </c>
      <c r="AD372" s="24">
        <v>1446.5</v>
      </c>
      <c r="AE372" s="24">
        <v>1431.31</v>
      </c>
      <c r="AF372" s="24">
        <v>1416.13</v>
      </c>
      <c r="AG372" s="24">
        <v>1400.94</v>
      </c>
      <c r="AH372" s="24">
        <v>1385.76</v>
      </c>
      <c r="AI372" s="24">
        <v>1370.58</v>
      </c>
      <c r="AJ372" s="24">
        <v>1355.39</v>
      </c>
      <c r="AK372" s="24">
        <v>1340.21</v>
      </c>
      <c r="AL372" s="24">
        <v>1325.02</v>
      </c>
      <c r="AM372" s="24">
        <v>1309.8399999999999</v>
      </c>
      <c r="AN372" s="24">
        <v>1294.6600000000001</v>
      </c>
      <c r="AO372" s="24">
        <v>1279.47</v>
      </c>
      <c r="AP372" s="24">
        <v>1264.29</v>
      </c>
      <c r="AQ372" s="24">
        <v>1249.0999999999999</v>
      </c>
      <c r="AR372" s="24">
        <v>1233.92</v>
      </c>
      <c r="AS372" s="24">
        <v>1218.74</v>
      </c>
      <c r="AT372" s="24">
        <v>1203.55</v>
      </c>
      <c r="AU372" s="24">
        <v>1188.3699999999999</v>
      </c>
      <c r="AV372" s="24">
        <v>1173.18</v>
      </c>
      <c r="AW372" s="24">
        <v>1158</v>
      </c>
      <c r="AX372" s="24">
        <v>1158</v>
      </c>
      <c r="AY372" s="24">
        <v>1158</v>
      </c>
      <c r="AZ372" s="24">
        <v>1158</v>
      </c>
      <c r="BA372" s="24">
        <v>1158</v>
      </c>
      <c r="BB372" s="24">
        <v>1158</v>
      </c>
      <c r="BC372" s="24">
        <v>1158</v>
      </c>
      <c r="BD372" s="24">
        <v>1158</v>
      </c>
      <c r="BE372" s="24">
        <v>1158</v>
      </c>
      <c r="BF372" s="24">
        <v>1158</v>
      </c>
      <c r="BG372" s="24">
        <v>1158</v>
      </c>
      <c r="BH372" s="24">
        <v>1158</v>
      </c>
      <c r="BI372" s="24">
        <v>1158</v>
      </c>
      <c r="BJ372" s="24">
        <v>1158</v>
      </c>
      <c r="BK372" s="24">
        <v>1158</v>
      </c>
      <c r="BL372" s="24">
        <v>1158</v>
      </c>
      <c r="BM372" s="24">
        <v>1158</v>
      </c>
      <c r="BN372" s="24">
        <v>1158</v>
      </c>
      <c r="BO372" s="24">
        <v>1158</v>
      </c>
      <c r="BP372" s="24">
        <v>1158</v>
      </c>
      <c r="BQ372" s="24">
        <v>1158</v>
      </c>
    </row>
    <row r="373" spans="1:69" s="17" customFormat="1" hidden="1" x14ac:dyDescent="0.25">
      <c r="A373" s="23">
        <v>38</v>
      </c>
      <c r="B373" s="23" t="s">
        <v>84</v>
      </c>
      <c r="C373" s="24" t="s">
        <v>85</v>
      </c>
      <c r="D373" s="24">
        <v>2</v>
      </c>
      <c r="E373" s="24" t="s">
        <v>491</v>
      </c>
      <c r="F373" s="24"/>
      <c r="G373" s="24" t="s">
        <v>500</v>
      </c>
      <c r="H373" s="24">
        <v>0</v>
      </c>
      <c r="I373" s="24">
        <v>37.950000000000003</v>
      </c>
      <c r="J373" s="24">
        <v>37.950000000000003</v>
      </c>
      <c r="K373" s="24">
        <v>37.950000000000003</v>
      </c>
      <c r="L373" s="24">
        <v>37.950000000000003</v>
      </c>
      <c r="M373" s="24">
        <v>37.950000000000003</v>
      </c>
      <c r="N373" s="24">
        <v>37.950000000000003</v>
      </c>
      <c r="O373" s="24">
        <v>37.950000000000003</v>
      </c>
      <c r="P373" s="24">
        <v>37.950000000000003</v>
      </c>
      <c r="Q373" s="24">
        <v>37.950000000000003</v>
      </c>
      <c r="R373" s="24">
        <v>37.950000000000003</v>
      </c>
      <c r="S373" s="24">
        <v>34.29</v>
      </c>
      <c r="T373" s="24">
        <v>34.29</v>
      </c>
      <c r="U373" s="24">
        <v>34.29</v>
      </c>
      <c r="V373" s="24">
        <v>34.29</v>
      </c>
      <c r="W373" s="24">
        <v>34.29</v>
      </c>
      <c r="X373" s="24">
        <v>30.65</v>
      </c>
      <c r="Y373" s="24">
        <v>30.65</v>
      </c>
      <c r="Z373" s="24">
        <v>30.65</v>
      </c>
      <c r="AA373" s="24">
        <v>30.65</v>
      </c>
      <c r="AB373" s="24">
        <v>30.65</v>
      </c>
      <c r="AC373" s="24">
        <v>27</v>
      </c>
      <c r="AD373" s="24">
        <v>27</v>
      </c>
      <c r="AE373" s="24">
        <v>27</v>
      </c>
      <c r="AF373" s="24">
        <v>27</v>
      </c>
      <c r="AG373" s="24">
        <v>27</v>
      </c>
      <c r="AH373" s="24">
        <v>24.59</v>
      </c>
      <c r="AI373" s="24">
        <v>24.59</v>
      </c>
      <c r="AJ373" s="24">
        <v>24.59</v>
      </c>
      <c r="AK373" s="24">
        <v>24.59</v>
      </c>
      <c r="AL373" s="24">
        <v>24.59</v>
      </c>
      <c r="AM373" s="24">
        <v>22.19</v>
      </c>
      <c r="AN373" s="24">
        <v>22.19</v>
      </c>
      <c r="AO373" s="24">
        <v>22.19</v>
      </c>
      <c r="AP373" s="24">
        <v>22.19</v>
      </c>
      <c r="AQ373" s="24">
        <v>22.19</v>
      </c>
      <c r="AR373" s="24">
        <v>19.78</v>
      </c>
      <c r="AS373" s="24">
        <v>19.78</v>
      </c>
      <c r="AT373" s="24">
        <v>19.78</v>
      </c>
      <c r="AU373" s="24">
        <v>19.78</v>
      </c>
      <c r="AV373" s="24">
        <v>19.78</v>
      </c>
      <c r="AW373" s="24">
        <v>17.37</v>
      </c>
      <c r="AX373" s="24">
        <v>17.37</v>
      </c>
      <c r="AY373" s="24">
        <v>17.37</v>
      </c>
      <c r="AZ373" s="24">
        <v>17.37</v>
      </c>
      <c r="BA373" s="24">
        <v>17.37</v>
      </c>
      <c r="BB373" s="24">
        <v>17.37</v>
      </c>
      <c r="BC373" s="24">
        <v>17.37</v>
      </c>
      <c r="BD373" s="24">
        <v>17.37</v>
      </c>
      <c r="BE373" s="24">
        <v>17.37</v>
      </c>
      <c r="BF373" s="24">
        <v>17.37</v>
      </c>
      <c r="BG373" s="24">
        <v>17.37</v>
      </c>
      <c r="BH373" s="24">
        <v>17.37</v>
      </c>
      <c r="BI373" s="24">
        <v>17.37</v>
      </c>
      <c r="BJ373" s="24">
        <v>17.37</v>
      </c>
      <c r="BK373" s="24">
        <v>17.37</v>
      </c>
      <c r="BL373" s="24">
        <v>17.37</v>
      </c>
      <c r="BM373" s="24">
        <v>17.37</v>
      </c>
      <c r="BN373" s="24">
        <v>17.37</v>
      </c>
      <c r="BO373" s="24">
        <v>17.37</v>
      </c>
      <c r="BP373" s="24">
        <v>17.37</v>
      </c>
      <c r="BQ373" s="24">
        <v>17.37</v>
      </c>
    </row>
    <row r="374" spans="1:69" s="17" customFormat="1" hidden="1" x14ac:dyDescent="0.25">
      <c r="A374" s="23">
        <v>38</v>
      </c>
      <c r="B374" s="23" t="s">
        <v>84</v>
      </c>
      <c r="C374" s="24" t="s">
        <v>85</v>
      </c>
      <c r="D374" s="24">
        <v>3</v>
      </c>
      <c r="E374" s="24" t="s">
        <v>492</v>
      </c>
      <c r="F374" s="24"/>
      <c r="G374" s="24" t="s">
        <v>500</v>
      </c>
      <c r="H374" s="24">
        <v>0</v>
      </c>
      <c r="I374" s="24">
        <v>0</v>
      </c>
      <c r="J374" s="24">
        <v>0</v>
      </c>
      <c r="K374" s="24">
        <v>0</v>
      </c>
      <c r="L374" s="24">
        <v>0</v>
      </c>
      <c r="M374" s="24">
        <v>0</v>
      </c>
      <c r="N374" s="24">
        <v>0</v>
      </c>
      <c r="O374" s="24">
        <v>0</v>
      </c>
      <c r="P374" s="24">
        <v>0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4">
        <v>0</v>
      </c>
      <c r="AG374" s="24">
        <v>0</v>
      </c>
      <c r="AH374" s="24">
        <v>0</v>
      </c>
      <c r="AI374" s="24">
        <v>0</v>
      </c>
      <c r="AJ374" s="24">
        <v>0</v>
      </c>
      <c r="AK374" s="24">
        <v>0</v>
      </c>
      <c r="AL374" s="24">
        <v>0</v>
      </c>
      <c r="AM374" s="24">
        <v>0</v>
      </c>
      <c r="AN374" s="24">
        <v>0</v>
      </c>
      <c r="AO374" s="24">
        <v>0</v>
      </c>
      <c r="AP374" s="24">
        <v>0</v>
      </c>
      <c r="AQ374" s="24">
        <v>0</v>
      </c>
      <c r="AR374" s="24">
        <v>0</v>
      </c>
      <c r="AS374" s="24">
        <v>0</v>
      </c>
      <c r="AT374" s="24">
        <v>0</v>
      </c>
      <c r="AU374" s="24">
        <v>0</v>
      </c>
      <c r="AV374" s="24">
        <v>0</v>
      </c>
      <c r="AW374" s="24">
        <v>0</v>
      </c>
      <c r="AX374" s="24">
        <v>0</v>
      </c>
      <c r="AY374" s="24">
        <v>0</v>
      </c>
      <c r="AZ374" s="24">
        <v>0</v>
      </c>
      <c r="BA374" s="24">
        <v>0</v>
      </c>
      <c r="BB374" s="24">
        <v>0</v>
      </c>
      <c r="BC374" s="24">
        <v>0</v>
      </c>
      <c r="BD374" s="24">
        <v>0</v>
      </c>
      <c r="BE374" s="24">
        <v>0</v>
      </c>
      <c r="BF374" s="24">
        <v>0</v>
      </c>
      <c r="BG374" s="24">
        <v>0</v>
      </c>
      <c r="BH374" s="24">
        <v>0</v>
      </c>
      <c r="BI374" s="24">
        <v>0</v>
      </c>
      <c r="BJ374" s="24">
        <v>0</v>
      </c>
      <c r="BK374" s="24">
        <v>0</v>
      </c>
      <c r="BL374" s="24">
        <v>0</v>
      </c>
      <c r="BM374" s="24">
        <v>0</v>
      </c>
      <c r="BN374" s="24">
        <v>0</v>
      </c>
      <c r="BO374" s="24">
        <v>0</v>
      </c>
      <c r="BP374" s="24">
        <v>0</v>
      </c>
      <c r="BQ374" s="24">
        <v>0</v>
      </c>
    </row>
    <row r="375" spans="1:69" s="17" customFormat="1" hidden="1" x14ac:dyDescent="0.25">
      <c r="A375" s="23">
        <v>38</v>
      </c>
      <c r="B375" s="23" t="s">
        <v>84</v>
      </c>
      <c r="C375" s="24" t="s">
        <v>85</v>
      </c>
      <c r="D375" s="24">
        <v>4</v>
      </c>
      <c r="E375" s="24" t="s">
        <v>493</v>
      </c>
      <c r="F375" s="24"/>
      <c r="G375" s="24" t="s">
        <v>490</v>
      </c>
      <c r="H375" s="24">
        <v>0</v>
      </c>
      <c r="I375" s="24">
        <v>0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4">
        <v>0</v>
      </c>
      <c r="AN375" s="24">
        <v>0</v>
      </c>
      <c r="AO375" s="24">
        <v>0</v>
      </c>
      <c r="AP375" s="24">
        <v>0</v>
      </c>
      <c r="AQ375" s="24">
        <v>0</v>
      </c>
      <c r="AR375" s="24">
        <v>0</v>
      </c>
      <c r="AS375" s="24">
        <v>0</v>
      </c>
      <c r="AT375" s="24">
        <v>0</v>
      </c>
      <c r="AU375" s="24">
        <v>0</v>
      </c>
      <c r="AV375" s="24">
        <v>0</v>
      </c>
      <c r="AW375" s="24">
        <v>0</v>
      </c>
      <c r="AX375" s="24">
        <v>0</v>
      </c>
      <c r="AY375" s="24">
        <v>0</v>
      </c>
      <c r="AZ375" s="24">
        <v>0</v>
      </c>
      <c r="BA375" s="24">
        <v>0</v>
      </c>
      <c r="BB375" s="24">
        <v>0</v>
      </c>
      <c r="BC375" s="24">
        <v>0</v>
      </c>
      <c r="BD375" s="24">
        <v>0</v>
      </c>
      <c r="BE375" s="24">
        <v>0</v>
      </c>
      <c r="BF375" s="24">
        <v>0</v>
      </c>
      <c r="BG375" s="24">
        <v>0</v>
      </c>
      <c r="BH375" s="24">
        <v>0</v>
      </c>
      <c r="BI375" s="24">
        <v>0</v>
      </c>
      <c r="BJ375" s="24">
        <v>0</v>
      </c>
      <c r="BK375" s="24">
        <v>0</v>
      </c>
      <c r="BL375" s="24">
        <v>0</v>
      </c>
      <c r="BM375" s="24">
        <v>0</v>
      </c>
      <c r="BN375" s="24">
        <v>0</v>
      </c>
      <c r="BO375" s="24">
        <v>0</v>
      </c>
      <c r="BP375" s="24">
        <v>0</v>
      </c>
      <c r="BQ375" s="24">
        <v>0</v>
      </c>
    </row>
    <row r="376" spans="1:69" s="17" customFormat="1" hidden="1" x14ac:dyDescent="0.25">
      <c r="A376" s="23">
        <v>38</v>
      </c>
      <c r="B376" s="23" t="s">
        <v>84</v>
      </c>
      <c r="C376" s="24" t="s">
        <v>85</v>
      </c>
      <c r="D376" s="24">
        <v>5</v>
      </c>
      <c r="E376" s="24" t="s">
        <v>494</v>
      </c>
      <c r="F376" s="24"/>
      <c r="G376" s="24" t="s">
        <v>500</v>
      </c>
      <c r="H376" s="24">
        <v>0</v>
      </c>
      <c r="I376" s="24">
        <v>0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  <c r="AI376" s="24">
        <v>0</v>
      </c>
      <c r="AJ376" s="24">
        <v>0</v>
      </c>
      <c r="AK376" s="24">
        <v>0</v>
      </c>
      <c r="AL376" s="24">
        <v>0</v>
      </c>
      <c r="AM376" s="24">
        <v>0</v>
      </c>
      <c r="AN376" s="24">
        <v>0</v>
      </c>
      <c r="AO376" s="24">
        <v>0</v>
      </c>
      <c r="AP376" s="24">
        <v>0</v>
      </c>
      <c r="AQ376" s="24">
        <v>0</v>
      </c>
      <c r="AR376" s="24">
        <v>0</v>
      </c>
      <c r="AS376" s="24">
        <v>0</v>
      </c>
      <c r="AT376" s="24">
        <v>0</v>
      </c>
      <c r="AU376" s="24">
        <v>0</v>
      </c>
      <c r="AV376" s="24">
        <v>0</v>
      </c>
      <c r="AW376" s="24">
        <v>0</v>
      </c>
      <c r="AX376" s="24">
        <v>0</v>
      </c>
      <c r="AY376" s="24">
        <v>0</v>
      </c>
      <c r="AZ376" s="24">
        <v>0</v>
      </c>
      <c r="BA376" s="24">
        <v>0</v>
      </c>
      <c r="BB376" s="24">
        <v>0</v>
      </c>
      <c r="BC376" s="24">
        <v>0</v>
      </c>
      <c r="BD376" s="24">
        <v>0</v>
      </c>
      <c r="BE376" s="24">
        <v>0</v>
      </c>
      <c r="BF376" s="24">
        <v>0</v>
      </c>
      <c r="BG376" s="24">
        <v>0</v>
      </c>
      <c r="BH376" s="24">
        <v>0</v>
      </c>
      <c r="BI376" s="24">
        <v>0</v>
      </c>
      <c r="BJ376" s="24">
        <v>0</v>
      </c>
      <c r="BK376" s="24">
        <v>0</v>
      </c>
      <c r="BL376" s="24">
        <v>0</v>
      </c>
      <c r="BM376" s="24">
        <v>0</v>
      </c>
      <c r="BN376" s="24">
        <v>0</v>
      </c>
      <c r="BO376" s="24">
        <v>0</v>
      </c>
      <c r="BP376" s="24">
        <v>0</v>
      </c>
      <c r="BQ376" s="24">
        <v>0</v>
      </c>
    </row>
    <row r="377" spans="1:69" s="17" customFormat="1" hidden="1" x14ac:dyDescent="0.25">
      <c r="A377" s="23">
        <v>38</v>
      </c>
      <c r="B377" s="23" t="s">
        <v>84</v>
      </c>
      <c r="C377" s="24" t="s">
        <v>85</v>
      </c>
      <c r="D377" s="24">
        <v>6</v>
      </c>
      <c r="E377" s="24" t="s">
        <v>495</v>
      </c>
      <c r="F377" s="24"/>
      <c r="G377" s="24" t="s">
        <v>490</v>
      </c>
      <c r="H377" s="24">
        <v>0</v>
      </c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</row>
    <row r="378" spans="1:69" s="17" customFormat="1" hidden="1" x14ac:dyDescent="0.25">
      <c r="A378" s="23">
        <v>38</v>
      </c>
      <c r="B378" s="23" t="s">
        <v>84</v>
      </c>
      <c r="C378" s="24" t="s">
        <v>85</v>
      </c>
      <c r="D378" s="24">
        <v>7</v>
      </c>
      <c r="E378" s="24" t="s">
        <v>496</v>
      </c>
      <c r="F378" s="24"/>
      <c r="G378" s="25" t="s">
        <v>500</v>
      </c>
      <c r="H378" s="26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  <c r="AI378" s="24">
        <v>0</v>
      </c>
      <c r="AJ378" s="24">
        <v>0</v>
      </c>
      <c r="AK378" s="24">
        <v>0</v>
      </c>
      <c r="AL378" s="24">
        <v>0</v>
      </c>
      <c r="AM378" s="24">
        <v>0</v>
      </c>
      <c r="AN378" s="24">
        <v>0</v>
      </c>
      <c r="AO378" s="24">
        <v>0</v>
      </c>
      <c r="AP378" s="24">
        <v>0</v>
      </c>
      <c r="AQ378" s="24">
        <v>0</v>
      </c>
      <c r="AR378" s="24">
        <v>0</v>
      </c>
      <c r="AS378" s="24">
        <v>0</v>
      </c>
      <c r="AT378" s="24">
        <v>0</v>
      </c>
      <c r="AU378" s="24">
        <v>0</v>
      </c>
      <c r="AV378" s="24">
        <v>0</v>
      </c>
      <c r="AW378" s="24">
        <v>0</v>
      </c>
      <c r="AX378" s="24">
        <v>0</v>
      </c>
      <c r="AY378" s="24">
        <v>0</v>
      </c>
      <c r="AZ378" s="24">
        <v>0</v>
      </c>
      <c r="BA378" s="24">
        <v>0</v>
      </c>
      <c r="BB378" s="24">
        <v>0</v>
      </c>
      <c r="BC378" s="24">
        <v>0</v>
      </c>
      <c r="BD378" s="24">
        <v>0</v>
      </c>
      <c r="BE378" s="24">
        <v>0</v>
      </c>
      <c r="BF378" s="24">
        <v>0</v>
      </c>
      <c r="BG378" s="24">
        <v>0</v>
      </c>
      <c r="BH378" s="24">
        <v>0</v>
      </c>
      <c r="BI378" s="24">
        <v>0</v>
      </c>
      <c r="BJ378" s="24">
        <v>0</v>
      </c>
      <c r="BK378" s="24">
        <v>0</v>
      </c>
      <c r="BL378" s="24">
        <v>0</v>
      </c>
      <c r="BM378" s="24">
        <v>0</v>
      </c>
      <c r="BN378" s="24">
        <v>0</v>
      </c>
      <c r="BO378" s="24">
        <v>0</v>
      </c>
      <c r="BP378" s="24">
        <v>0</v>
      </c>
      <c r="BQ378" s="24">
        <v>0</v>
      </c>
    </row>
    <row r="379" spans="1:69" s="17" customFormat="1" hidden="1" x14ac:dyDescent="0.25">
      <c r="A379" s="23">
        <v>38</v>
      </c>
      <c r="B379" s="23" t="s">
        <v>84</v>
      </c>
      <c r="C379" s="24" t="s">
        <v>85</v>
      </c>
      <c r="D379" s="24">
        <v>8</v>
      </c>
      <c r="E379" s="24" t="s">
        <v>497</v>
      </c>
      <c r="F379" s="24"/>
      <c r="G379" s="24" t="s">
        <v>490</v>
      </c>
      <c r="H379" s="24">
        <v>0</v>
      </c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</row>
    <row r="380" spans="1:69" s="17" customFormat="1" hidden="1" x14ac:dyDescent="0.25">
      <c r="A380" s="23">
        <v>38</v>
      </c>
      <c r="B380" s="23" t="s">
        <v>84</v>
      </c>
      <c r="C380" s="24" t="s">
        <v>85</v>
      </c>
      <c r="D380" s="24">
        <v>9</v>
      </c>
      <c r="E380" s="24" t="s">
        <v>498</v>
      </c>
      <c r="F380" s="24"/>
      <c r="G380" s="24" t="s">
        <v>500</v>
      </c>
      <c r="H380" s="24">
        <v>0</v>
      </c>
      <c r="I380" s="24">
        <v>0.53669999999999995</v>
      </c>
      <c r="J380" s="24">
        <v>0.53669999999999995</v>
      </c>
      <c r="K380" s="24">
        <v>0.53669999999999995</v>
      </c>
      <c r="L380" s="24">
        <v>0.53669999999999995</v>
      </c>
      <c r="M380" s="24">
        <v>0.53669999999999995</v>
      </c>
      <c r="N380" s="24">
        <v>0.53669999999999995</v>
      </c>
      <c r="O380" s="24">
        <v>0.53669999999999995</v>
      </c>
      <c r="P380" s="24">
        <v>0.53669999999999995</v>
      </c>
      <c r="Q380" s="24">
        <v>0.53669999999999995</v>
      </c>
      <c r="R380" s="24">
        <v>0.58250000000000002</v>
      </c>
      <c r="S380" s="24">
        <v>0.52170000000000005</v>
      </c>
      <c r="T380" s="24">
        <v>0.52170000000000005</v>
      </c>
      <c r="U380" s="24">
        <v>0.52170000000000005</v>
      </c>
      <c r="V380" s="24">
        <v>0.52170000000000005</v>
      </c>
      <c r="W380" s="24">
        <v>0.52170000000000005</v>
      </c>
      <c r="X380" s="24">
        <v>0.52170000000000005</v>
      </c>
      <c r="Y380" s="24">
        <v>0.52170000000000005</v>
      </c>
      <c r="Z380" s="24">
        <v>0.52170000000000005</v>
      </c>
      <c r="AA380" s="24">
        <v>0.52170000000000005</v>
      </c>
      <c r="AB380" s="24">
        <v>0.52170000000000005</v>
      </c>
      <c r="AC380" s="24">
        <v>0.52170000000000005</v>
      </c>
      <c r="AD380" s="24">
        <v>0.52170000000000005</v>
      </c>
      <c r="AE380" s="24">
        <v>0.52170000000000005</v>
      </c>
      <c r="AF380" s="24">
        <v>0.52170000000000005</v>
      </c>
      <c r="AG380" s="24">
        <v>0.52170000000000005</v>
      </c>
      <c r="AH380" s="24">
        <v>0.52170000000000005</v>
      </c>
      <c r="AI380" s="24">
        <v>0.52170000000000005</v>
      </c>
      <c r="AJ380" s="24">
        <v>0.52170000000000005</v>
      </c>
      <c r="AK380" s="24">
        <v>0.52170000000000005</v>
      </c>
      <c r="AL380" s="24">
        <v>0.52170000000000005</v>
      </c>
      <c r="AM380" s="24">
        <v>0.52170000000000005</v>
      </c>
      <c r="AN380" s="24">
        <v>0.52170000000000005</v>
      </c>
      <c r="AO380" s="24">
        <v>0.52170000000000005</v>
      </c>
      <c r="AP380" s="24">
        <v>0.52170000000000005</v>
      </c>
      <c r="AQ380" s="24">
        <v>0.52170000000000005</v>
      </c>
      <c r="AR380" s="24">
        <v>0.52170000000000005</v>
      </c>
      <c r="AS380" s="24">
        <v>0.52170000000000005</v>
      </c>
      <c r="AT380" s="24">
        <v>0.52170000000000005</v>
      </c>
      <c r="AU380" s="24">
        <v>0.52170000000000005</v>
      </c>
      <c r="AV380" s="24">
        <v>0.52170000000000005</v>
      </c>
      <c r="AW380" s="24">
        <v>0.52170000000000005</v>
      </c>
      <c r="AX380" s="24">
        <v>0.52170000000000005</v>
      </c>
      <c r="AY380" s="24">
        <v>0.52170000000000005</v>
      </c>
      <c r="AZ380" s="24">
        <v>0.52170000000000005</v>
      </c>
      <c r="BA380" s="24">
        <v>0.52170000000000005</v>
      </c>
      <c r="BB380" s="24">
        <v>0.52170000000000005</v>
      </c>
      <c r="BC380" s="24">
        <v>0.52170000000000005</v>
      </c>
      <c r="BD380" s="24">
        <v>0.52170000000000005</v>
      </c>
      <c r="BE380" s="24">
        <v>0.52170000000000005</v>
      </c>
      <c r="BF380" s="24">
        <v>0.52170000000000005</v>
      </c>
      <c r="BG380" s="24">
        <v>0.52170000000000005</v>
      </c>
      <c r="BH380" s="24">
        <v>0.52170000000000005</v>
      </c>
      <c r="BI380" s="24">
        <v>0.52170000000000005</v>
      </c>
      <c r="BJ380" s="24">
        <v>0.52170000000000005</v>
      </c>
      <c r="BK380" s="24">
        <v>0.52170000000000005</v>
      </c>
      <c r="BL380" s="24">
        <v>0.52170000000000005</v>
      </c>
      <c r="BM380" s="24">
        <v>0.52170000000000005</v>
      </c>
      <c r="BN380" s="24">
        <v>0.52170000000000005</v>
      </c>
      <c r="BO380" s="24">
        <v>0.52170000000000005</v>
      </c>
      <c r="BP380" s="24">
        <v>0.52170000000000005</v>
      </c>
      <c r="BQ380" s="24">
        <v>0.52170000000000005</v>
      </c>
    </row>
    <row r="381" spans="1:69" s="17" customFormat="1" hidden="1" x14ac:dyDescent="0.25">
      <c r="A381" s="23">
        <v>38</v>
      </c>
      <c r="B381" s="23" t="s">
        <v>84</v>
      </c>
      <c r="C381" s="24" t="s">
        <v>85</v>
      </c>
      <c r="D381" s="24">
        <v>10</v>
      </c>
      <c r="E381" s="24" t="s">
        <v>499</v>
      </c>
      <c r="F381" s="24"/>
      <c r="G381" s="24" t="s">
        <v>501</v>
      </c>
      <c r="H381" s="24">
        <v>0</v>
      </c>
      <c r="I381" s="24">
        <v>0.95</v>
      </c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</row>
    <row r="382" spans="1:69" hidden="1" x14ac:dyDescent="0.25">
      <c r="A382" s="20">
        <v>39</v>
      </c>
      <c r="B382" s="20" t="s">
        <v>86</v>
      </c>
      <c r="C382" s="3" t="s">
        <v>87</v>
      </c>
      <c r="D382" s="3">
        <v>1</v>
      </c>
      <c r="E382" s="3" t="s">
        <v>489</v>
      </c>
      <c r="F382" s="3"/>
      <c r="G382" s="3" t="s">
        <v>500</v>
      </c>
      <c r="H382" s="3">
        <v>0</v>
      </c>
      <c r="I382" s="3">
        <v>3080.6</v>
      </c>
      <c r="J382" s="3">
        <v>3080.6</v>
      </c>
      <c r="K382" s="3">
        <v>3080.6</v>
      </c>
      <c r="L382" s="3">
        <v>3080.6</v>
      </c>
      <c r="M382" s="3">
        <v>3080.6</v>
      </c>
      <c r="N382" s="3">
        <v>3080.6</v>
      </c>
      <c r="O382" s="3">
        <v>3080.6</v>
      </c>
      <c r="P382" s="3">
        <v>3080.6</v>
      </c>
      <c r="Q382" s="3">
        <v>3080.6</v>
      </c>
      <c r="R382" s="3">
        <v>3080.6</v>
      </c>
      <c r="S382" s="3">
        <v>3080.6</v>
      </c>
      <c r="T382" s="3">
        <v>3080.6</v>
      </c>
      <c r="U382" s="3">
        <v>3080.6</v>
      </c>
      <c r="V382" s="3">
        <v>3080.6</v>
      </c>
      <c r="W382" s="3">
        <v>3080.6</v>
      </c>
      <c r="X382" s="3">
        <v>3080.6</v>
      </c>
      <c r="Y382" s="3">
        <v>3080.6</v>
      </c>
      <c r="Z382" s="3">
        <v>3080.6</v>
      </c>
      <c r="AA382" s="3">
        <v>3080.6</v>
      </c>
      <c r="AB382" s="3">
        <v>3080.6</v>
      </c>
      <c r="AC382" s="3">
        <v>3080.6</v>
      </c>
      <c r="AD382" s="3">
        <v>3080.6</v>
      </c>
      <c r="AE382" s="3">
        <v>3080.6</v>
      </c>
      <c r="AF382" s="3">
        <v>3080.6</v>
      </c>
      <c r="AG382" s="3">
        <v>3080.6</v>
      </c>
      <c r="AH382" s="3">
        <v>3080.6</v>
      </c>
      <c r="AI382" s="3">
        <v>3080.6</v>
      </c>
      <c r="AJ382" s="3">
        <v>3080.6</v>
      </c>
      <c r="AK382" s="3">
        <v>3080.6</v>
      </c>
      <c r="AL382" s="3">
        <v>3080.6</v>
      </c>
      <c r="AM382" s="3">
        <v>3080.6</v>
      </c>
      <c r="AN382" s="3">
        <v>3080.6</v>
      </c>
      <c r="AO382" s="3">
        <v>3080.6</v>
      </c>
      <c r="AP382" s="3">
        <v>3080.6</v>
      </c>
      <c r="AQ382" s="3">
        <v>3080.6</v>
      </c>
      <c r="AR382" s="3">
        <v>3080.6</v>
      </c>
      <c r="AS382" s="3">
        <v>3080.6</v>
      </c>
      <c r="AT382" s="3">
        <v>3080.6</v>
      </c>
      <c r="AU382" s="3">
        <v>3080.6</v>
      </c>
      <c r="AV382" s="3">
        <v>3080.6</v>
      </c>
      <c r="AW382" s="3">
        <v>3080.6</v>
      </c>
      <c r="AX382" s="3">
        <v>3080.6</v>
      </c>
      <c r="AY382" s="3">
        <v>3080.6</v>
      </c>
      <c r="AZ382" s="3">
        <v>3080.6</v>
      </c>
      <c r="BA382" s="3">
        <v>3080.6</v>
      </c>
      <c r="BB382" s="3">
        <v>3080.6</v>
      </c>
      <c r="BC382" s="3">
        <v>3080.6</v>
      </c>
      <c r="BD382" s="3">
        <v>3080.6</v>
      </c>
      <c r="BE382" s="3">
        <v>3080.6</v>
      </c>
      <c r="BF382" s="3">
        <v>3080.6</v>
      </c>
      <c r="BG382" s="3">
        <v>3080.6</v>
      </c>
      <c r="BH382" s="3">
        <v>3080.6</v>
      </c>
      <c r="BI382" s="3">
        <v>3080.6</v>
      </c>
      <c r="BJ382" s="3">
        <v>3080.6</v>
      </c>
      <c r="BK382" s="3">
        <v>3080.6</v>
      </c>
      <c r="BL382" s="3">
        <v>3080.6</v>
      </c>
      <c r="BM382" s="3">
        <v>3080.6</v>
      </c>
      <c r="BN382" s="3">
        <v>3080.6</v>
      </c>
      <c r="BO382" s="3">
        <v>3080.6</v>
      </c>
      <c r="BP382" s="3">
        <v>3080.6</v>
      </c>
      <c r="BQ382" s="3">
        <v>3080.6</v>
      </c>
    </row>
    <row r="383" spans="1:69" hidden="1" x14ac:dyDescent="0.25">
      <c r="A383" s="20">
        <v>39</v>
      </c>
      <c r="B383" s="20" t="s">
        <v>86</v>
      </c>
      <c r="C383" s="3" t="s">
        <v>87</v>
      </c>
      <c r="D383" s="3">
        <v>2</v>
      </c>
      <c r="E383" s="3" t="s">
        <v>491</v>
      </c>
      <c r="F383" s="3"/>
      <c r="G383" s="3" t="s">
        <v>500</v>
      </c>
      <c r="H383" s="3">
        <v>0</v>
      </c>
      <c r="I383" s="3">
        <v>50</v>
      </c>
      <c r="J383" s="3">
        <v>50</v>
      </c>
      <c r="K383" s="3">
        <v>50</v>
      </c>
      <c r="L383" s="3">
        <v>50</v>
      </c>
      <c r="M383" s="3">
        <v>50</v>
      </c>
      <c r="N383" s="3">
        <v>50</v>
      </c>
      <c r="O383" s="3">
        <v>50</v>
      </c>
      <c r="P383" s="3">
        <v>50</v>
      </c>
      <c r="Q383" s="3">
        <v>50</v>
      </c>
      <c r="R383" s="3">
        <v>50</v>
      </c>
      <c r="S383" s="3">
        <v>50</v>
      </c>
      <c r="T383" s="3">
        <v>50</v>
      </c>
      <c r="U383" s="3">
        <v>50</v>
      </c>
      <c r="V383" s="3">
        <v>50</v>
      </c>
      <c r="W383" s="3">
        <v>50</v>
      </c>
      <c r="X383" s="3">
        <v>50</v>
      </c>
      <c r="Y383" s="3">
        <v>50</v>
      </c>
      <c r="Z383" s="3">
        <v>50</v>
      </c>
      <c r="AA383" s="3">
        <v>50</v>
      </c>
      <c r="AB383" s="3">
        <v>50</v>
      </c>
      <c r="AC383" s="3">
        <v>50</v>
      </c>
      <c r="AD383" s="3">
        <v>50</v>
      </c>
      <c r="AE383" s="3">
        <v>50</v>
      </c>
      <c r="AF383" s="3">
        <v>50</v>
      </c>
      <c r="AG383" s="3">
        <v>50</v>
      </c>
      <c r="AH383" s="3">
        <v>50</v>
      </c>
      <c r="AI383" s="3">
        <v>50</v>
      </c>
      <c r="AJ383" s="3">
        <v>50</v>
      </c>
      <c r="AK383" s="3">
        <v>50</v>
      </c>
      <c r="AL383" s="3">
        <v>50</v>
      </c>
      <c r="AM383" s="3">
        <v>50</v>
      </c>
      <c r="AN383" s="3">
        <v>50</v>
      </c>
      <c r="AO383" s="3">
        <v>50</v>
      </c>
      <c r="AP383" s="3">
        <v>50</v>
      </c>
      <c r="AQ383" s="3">
        <v>50</v>
      </c>
      <c r="AR383" s="3">
        <v>50</v>
      </c>
      <c r="AS383" s="3">
        <v>50</v>
      </c>
      <c r="AT383" s="3">
        <v>50</v>
      </c>
      <c r="AU383" s="3">
        <v>50</v>
      </c>
      <c r="AV383" s="3">
        <v>50</v>
      </c>
      <c r="AW383" s="3">
        <v>50</v>
      </c>
      <c r="AX383" s="3">
        <v>50</v>
      </c>
      <c r="AY383" s="3">
        <v>50</v>
      </c>
      <c r="AZ383" s="3">
        <v>50</v>
      </c>
      <c r="BA383" s="3">
        <v>50</v>
      </c>
      <c r="BB383" s="3">
        <v>50</v>
      </c>
      <c r="BC383" s="3">
        <v>50</v>
      </c>
      <c r="BD383" s="3">
        <v>50</v>
      </c>
      <c r="BE383" s="3">
        <v>50</v>
      </c>
      <c r="BF383" s="3">
        <v>50</v>
      </c>
      <c r="BG383" s="3">
        <v>50</v>
      </c>
      <c r="BH383" s="3">
        <v>50</v>
      </c>
      <c r="BI383" s="3">
        <v>50</v>
      </c>
      <c r="BJ383" s="3">
        <v>50</v>
      </c>
      <c r="BK383" s="3">
        <v>50</v>
      </c>
      <c r="BL383" s="3">
        <v>50</v>
      </c>
      <c r="BM383" s="3">
        <v>50</v>
      </c>
      <c r="BN383" s="3">
        <v>50</v>
      </c>
      <c r="BO383" s="3">
        <v>50</v>
      </c>
      <c r="BP383" s="3">
        <v>50</v>
      </c>
      <c r="BQ383" s="3">
        <v>50</v>
      </c>
    </row>
    <row r="384" spans="1:69" hidden="1" x14ac:dyDescent="0.25">
      <c r="A384" s="20">
        <v>39</v>
      </c>
      <c r="B384" s="20" t="s">
        <v>86</v>
      </c>
      <c r="C384" s="3" t="s">
        <v>87</v>
      </c>
      <c r="D384" s="3">
        <v>3</v>
      </c>
      <c r="E384" s="3" t="s">
        <v>492</v>
      </c>
      <c r="F384" s="3"/>
      <c r="G384" s="3" t="s">
        <v>500</v>
      </c>
      <c r="H384" s="3">
        <v>0</v>
      </c>
      <c r="I384" s="3">
        <v>0.63</v>
      </c>
      <c r="J384" s="3">
        <v>0.63</v>
      </c>
      <c r="K384" s="3">
        <v>0.63</v>
      </c>
      <c r="L384" s="3">
        <v>0.63</v>
      </c>
      <c r="M384" s="3">
        <v>0.63</v>
      </c>
      <c r="N384" s="3">
        <v>0.63</v>
      </c>
      <c r="O384" s="3">
        <v>0.63</v>
      </c>
      <c r="P384" s="3">
        <v>0.63</v>
      </c>
      <c r="Q384" s="3">
        <v>0.63</v>
      </c>
      <c r="R384" s="3">
        <v>0.63</v>
      </c>
      <c r="S384" s="3">
        <v>0.63</v>
      </c>
      <c r="T384" s="3">
        <v>0.63</v>
      </c>
      <c r="U384" s="3">
        <v>0.63</v>
      </c>
      <c r="V384" s="3">
        <v>0.63</v>
      </c>
      <c r="W384" s="3">
        <v>0.63</v>
      </c>
      <c r="X384" s="3">
        <v>0.63</v>
      </c>
      <c r="Y384" s="3">
        <v>0.63</v>
      </c>
      <c r="Z384" s="3">
        <v>0.63</v>
      </c>
      <c r="AA384" s="3">
        <v>0.63</v>
      </c>
      <c r="AB384" s="3">
        <v>0.63</v>
      </c>
      <c r="AC384" s="3">
        <v>0.63</v>
      </c>
      <c r="AD384" s="3">
        <v>0.63</v>
      </c>
      <c r="AE384" s="3">
        <v>0.63</v>
      </c>
      <c r="AF384" s="3">
        <v>0.63</v>
      </c>
      <c r="AG384" s="3">
        <v>0.63</v>
      </c>
      <c r="AH384" s="3">
        <v>0.63</v>
      </c>
      <c r="AI384" s="3">
        <v>0.63</v>
      </c>
      <c r="AJ384" s="3">
        <v>0.63</v>
      </c>
      <c r="AK384" s="3">
        <v>0.63</v>
      </c>
      <c r="AL384" s="3">
        <v>0.63</v>
      </c>
      <c r="AM384" s="3">
        <v>0.63</v>
      </c>
      <c r="AN384" s="3">
        <v>0.63</v>
      </c>
      <c r="AO384" s="3">
        <v>0.63</v>
      </c>
      <c r="AP384" s="3">
        <v>0.63</v>
      </c>
      <c r="AQ384" s="3">
        <v>0.63</v>
      </c>
      <c r="AR384" s="3">
        <v>0.63</v>
      </c>
      <c r="AS384" s="3">
        <v>0.63</v>
      </c>
      <c r="AT384" s="3">
        <v>0.63</v>
      </c>
      <c r="AU384" s="3">
        <v>0.63</v>
      </c>
      <c r="AV384" s="3">
        <v>0.63</v>
      </c>
      <c r="AW384" s="3">
        <v>0.63</v>
      </c>
      <c r="AX384" s="3">
        <v>0.63</v>
      </c>
      <c r="AY384" s="3">
        <v>0.63</v>
      </c>
      <c r="AZ384" s="3">
        <v>0.63</v>
      </c>
      <c r="BA384" s="3">
        <v>0.63</v>
      </c>
      <c r="BB384" s="3">
        <v>0.63</v>
      </c>
      <c r="BC384" s="3">
        <v>0.63</v>
      </c>
      <c r="BD384" s="3">
        <v>0.63</v>
      </c>
      <c r="BE384" s="3">
        <v>0.63</v>
      </c>
      <c r="BF384" s="3">
        <v>0.63</v>
      </c>
      <c r="BG384" s="3">
        <v>0.63</v>
      </c>
      <c r="BH384" s="3">
        <v>0.63</v>
      </c>
      <c r="BI384" s="3">
        <v>0.63</v>
      </c>
      <c r="BJ384" s="3">
        <v>0.63</v>
      </c>
      <c r="BK384" s="3">
        <v>0.63</v>
      </c>
      <c r="BL384" s="3">
        <v>0.63</v>
      </c>
      <c r="BM384" s="3">
        <v>0.63</v>
      </c>
      <c r="BN384" s="3">
        <v>0.63</v>
      </c>
      <c r="BO384" s="3">
        <v>0.63</v>
      </c>
      <c r="BP384" s="3">
        <v>0.63</v>
      </c>
      <c r="BQ384" s="3">
        <v>0.63</v>
      </c>
    </row>
    <row r="385" spans="1:69" hidden="1" x14ac:dyDescent="0.25">
      <c r="A385" s="20">
        <v>39</v>
      </c>
      <c r="B385" s="20" t="s">
        <v>86</v>
      </c>
      <c r="C385" s="3" t="s">
        <v>87</v>
      </c>
      <c r="D385" s="3">
        <v>4</v>
      </c>
      <c r="E385" s="3" t="s">
        <v>493</v>
      </c>
      <c r="F385" s="3"/>
      <c r="G385" s="3" t="s">
        <v>500</v>
      </c>
      <c r="H385" s="3">
        <v>0</v>
      </c>
      <c r="I385" s="3">
        <v>5.6239893600000003E-4</v>
      </c>
      <c r="J385" s="3">
        <v>5.6039002799999991E-4</v>
      </c>
      <c r="K385" s="3">
        <v>5.6778361200000003E-4</v>
      </c>
      <c r="L385" s="3">
        <v>5.6799930000000012E-4</v>
      </c>
      <c r="M385" s="3">
        <v>5.6382097200000005E-4</v>
      </c>
      <c r="N385" s="3">
        <v>6.0382858800000019E-4</v>
      </c>
      <c r="O385" s="3">
        <v>1.115147088E-3</v>
      </c>
      <c r="P385" s="3">
        <v>1.1326027680000001E-3</v>
      </c>
      <c r="Q385" s="3">
        <v>1.1600000000000002E-3</v>
      </c>
      <c r="R385" s="3">
        <v>1.1600000000000002E-3</v>
      </c>
      <c r="S385" s="3">
        <v>1.1600000000000002E-3</v>
      </c>
      <c r="T385" s="3">
        <v>1.1600000000000002E-3</v>
      </c>
      <c r="U385" s="3">
        <v>1.1600000000000002E-3</v>
      </c>
      <c r="V385" s="3">
        <v>1.1600000000000002E-3</v>
      </c>
      <c r="W385" s="3">
        <v>1.1600000000000002E-3</v>
      </c>
      <c r="X385" s="3">
        <v>1.1600000000000002E-3</v>
      </c>
      <c r="Y385" s="3">
        <v>1.1600000000000002E-3</v>
      </c>
      <c r="Z385" s="3">
        <v>1.1600000000000002E-3</v>
      </c>
      <c r="AA385" s="3">
        <v>1.1600000000000002E-3</v>
      </c>
      <c r="AB385" s="3">
        <v>1.1600000000000002E-3</v>
      </c>
      <c r="AC385" s="3">
        <v>1.1600000000000002E-3</v>
      </c>
      <c r="AD385" s="3">
        <v>1.1600000000000002E-3</v>
      </c>
      <c r="AE385" s="3">
        <v>1.1600000000000002E-3</v>
      </c>
      <c r="AF385" s="3">
        <v>1.1600000000000002E-3</v>
      </c>
      <c r="AG385" s="3">
        <v>1.1600000000000002E-3</v>
      </c>
      <c r="AH385" s="3">
        <v>1.1600000000000002E-3</v>
      </c>
      <c r="AI385" s="3">
        <v>1.1600000000000002E-3</v>
      </c>
      <c r="AJ385" s="3">
        <v>1.1600000000000002E-3</v>
      </c>
      <c r="AK385" s="3">
        <v>1.1600000000000002E-3</v>
      </c>
      <c r="AL385" s="3">
        <v>1.1600000000000002E-3</v>
      </c>
      <c r="AM385" s="3">
        <v>1.1600000000000002E-3</v>
      </c>
      <c r="AN385" s="3">
        <v>1.1600000000000002E-3</v>
      </c>
      <c r="AO385" s="3">
        <v>1.1600000000000002E-3</v>
      </c>
      <c r="AP385" s="3">
        <v>1.1600000000000002E-3</v>
      </c>
      <c r="AQ385" s="3">
        <v>1.1600000000000002E-3</v>
      </c>
      <c r="AR385" s="3">
        <v>1.1600000000000002E-3</v>
      </c>
      <c r="AS385" s="3">
        <v>1.1600000000000002E-3</v>
      </c>
      <c r="AT385" s="3">
        <v>1.1600000000000002E-3</v>
      </c>
      <c r="AU385" s="3">
        <v>1.1600000000000002E-3</v>
      </c>
      <c r="AV385" s="3">
        <v>1.1600000000000002E-3</v>
      </c>
      <c r="AW385" s="3">
        <v>1.1600000000000002E-3</v>
      </c>
      <c r="AX385" s="3">
        <v>1.1600000000000002E-3</v>
      </c>
      <c r="AY385" s="3">
        <v>1.1600000000000002E-3</v>
      </c>
      <c r="AZ385" s="3">
        <v>1.1600000000000002E-3</v>
      </c>
      <c r="BA385" s="3">
        <v>1.1600000000000002E-3</v>
      </c>
      <c r="BB385" s="3">
        <v>1.1600000000000002E-3</v>
      </c>
      <c r="BC385" s="3">
        <v>1.1600000000000002E-3</v>
      </c>
      <c r="BD385" s="3">
        <v>1.1600000000000002E-3</v>
      </c>
      <c r="BE385" s="3">
        <v>1.1600000000000002E-3</v>
      </c>
      <c r="BF385" s="3">
        <v>1.1600000000000002E-3</v>
      </c>
      <c r="BG385" s="3">
        <v>1.1600000000000002E-3</v>
      </c>
      <c r="BH385" s="3">
        <v>1.1600000000000002E-3</v>
      </c>
      <c r="BI385" s="3">
        <v>1.1600000000000002E-3</v>
      </c>
      <c r="BJ385" s="3">
        <v>1.1600000000000002E-3</v>
      </c>
      <c r="BK385" s="3">
        <v>1.1600000000000002E-3</v>
      </c>
      <c r="BL385" s="3">
        <v>1.1600000000000002E-3</v>
      </c>
      <c r="BM385" s="3">
        <v>1.1600000000000002E-3</v>
      </c>
      <c r="BN385" s="3">
        <v>1.1600000000000002E-3</v>
      </c>
      <c r="BO385" s="3">
        <v>1.1600000000000002E-3</v>
      </c>
      <c r="BP385" s="3">
        <v>1.1600000000000002E-3</v>
      </c>
      <c r="BQ385" s="3">
        <v>1.1600000000000002E-3</v>
      </c>
    </row>
    <row r="386" spans="1:69" hidden="1" x14ac:dyDescent="0.25">
      <c r="A386" s="20">
        <v>39</v>
      </c>
      <c r="B386" s="20" t="s">
        <v>86</v>
      </c>
      <c r="C386" s="3" t="s">
        <v>87</v>
      </c>
      <c r="D386" s="3">
        <v>5</v>
      </c>
      <c r="E386" s="3" t="s">
        <v>494</v>
      </c>
      <c r="F386" s="3"/>
      <c r="G386" s="3" t="s">
        <v>500</v>
      </c>
      <c r="H386" s="3">
        <v>0</v>
      </c>
      <c r="I386" s="3">
        <v>5.6239893600000003E-4</v>
      </c>
      <c r="J386" s="3">
        <v>5.6039002799999991E-4</v>
      </c>
      <c r="K386" s="3">
        <v>5.6778361200000003E-4</v>
      </c>
      <c r="L386" s="3">
        <v>5.6799930000000012E-4</v>
      </c>
      <c r="M386" s="3">
        <v>5.6382097200000005E-4</v>
      </c>
      <c r="N386" s="3">
        <v>6.0382858800000019E-4</v>
      </c>
      <c r="O386" s="3">
        <v>1.115147088E-3</v>
      </c>
      <c r="P386" s="3">
        <v>1.1326027680000001E-3</v>
      </c>
      <c r="Q386" s="3">
        <v>1.1600000000000002E-3</v>
      </c>
      <c r="R386" s="3">
        <v>1.1600000000000002E-3</v>
      </c>
      <c r="S386" s="3">
        <v>1.1600000000000002E-3</v>
      </c>
      <c r="T386" s="3">
        <v>1.1600000000000002E-3</v>
      </c>
      <c r="U386" s="3">
        <v>99999</v>
      </c>
      <c r="V386" s="3">
        <v>99999</v>
      </c>
      <c r="W386" s="3">
        <v>99999</v>
      </c>
      <c r="X386" s="3">
        <v>99999</v>
      </c>
      <c r="Y386" s="3">
        <v>99999</v>
      </c>
      <c r="Z386" s="3">
        <v>99999</v>
      </c>
      <c r="AA386" s="3">
        <v>99999</v>
      </c>
      <c r="AB386" s="3">
        <v>99999</v>
      </c>
      <c r="AC386" s="3">
        <v>99999</v>
      </c>
      <c r="AD386" s="3">
        <v>99999</v>
      </c>
      <c r="AE386" s="3">
        <v>99999</v>
      </c>
      <c r="AF386" s="3">
        <v>99999</v>
      </c>
      <c r="AG386" s="3">
        <v>99999</v>
      </c>
      <c r="AH386" s="3">
        <v>99999</v>
      </c>
      <c r="AI386" s="3">
        <v>99999</v>
      </c>
      <c r="AJ386" s="3">
        <v>99999</v>
      </c>
      <c r="AK386" s="3">
        <v>99999</v>
      </c>
      <c r="AL386" s="3">
        <v>99999</v>
      </c>
      <c r="AM386" s="3">
        <v>99999</v>
      </c>
      <c r="AN386" s="3">
        <v>99999</v>
      </c>
      <c r="AO386" s="3">
        <v>99999</v>
      </c>
      <c r="AP386" s="3">
        <v>99999</v>
      </c>
      <c r="AQ386" s="3">
        <v>99999</v>
      </c>
      <c r="AR386" s="3">
        <v>99999</v>
      </c>
      <c r="AS386" s="3">
        <v>99999</v>
      </c>
      <c r="AT386" s="3">
        <v>99999</v>
      </c>
      <c r="AU386" s="3">
        <v>99999</v>
      </c>
      <c r="AV386" s="3">
        <v>99999</v>
      </c>
      <c r="AW386" s="3">
        <v>99999</v>
      </c>
      <c r="AX386" s="3">
        <v>99999</v>
      </c>
      <c r="AY386" s="3">
        <v>99999</v>
      </c>
      <c r="AZ386" s="3">
        <v>99999</v>
      </c>
      <c r="BA386" s="3">
        <v>99999</v>
      </c>
      <c r="BB386" s="3">
        <v>99999</v>
      </c>
      <c r="BC386" s="3">
        <v>99999</v>
      </c>
      <c r="BD386" s="3">
        <v>99999</v>
      </c>
      <c r="BE386" s="3">
        <v>99999</v>
      </c>
      <c r="BF386" s="3">
        <v>99999</v>
      </c>
      <c r="BG386" s="3">
        <v>99999</v>
      </c>
      <c r="BH386" s="3">
        <v>99999</v>
      </c>
      <c r="BI386" s="3">
        <v>99999</v>
      </c>
      <c r="BJ386" s="3">
        <v>99999</v>
      </c>
      <c r="BK386" s="3">
        <v>99999</v>
      </c>
      <c r="BL386" s="3">
        <v>99999</v>
      </c>
      <c r="BM386" s="3">
        <v>99999</v>
      </c>
      <c r="BN386" s="3">
        <v>99999</v>
      </c>
      <c r="BO386" s="3">
        <v>99999</v>
      </c>
      <c r="BP386" s="3">
        <v>99999</v>
      </c>
      <c r="BQ386" s="3">
        <v>99999</v>
      </c>
    </row>
    <row r="387" spans="1:69" hidden="1" x14ac:dyDescent="0.25">
      <c r="A387" s="20">
        <v>39</v>
      </c>
      <c r="B387" s="20" t="s">
        <v>86</v>
      </c>
      <c r="C387" s="3" t="s">
        <v>87</v>
      </c>
      <c r="D387" s="3">
        <v>6</v>
      </c>
      <c r="E387" s="3" t="s">
        <v>495</v>
      </c>
      <c r="F387" s="3"/>
      <c r="G387" s="3" t="s">
        <v>500</v>
      </c>
      <c r="H387" s="3">
        <v>0</v>
      </c>
      <c r="I387" s="3">
        <v>6.3943548023608866E-3</v>
      </c>
      <c r="J387" s="3">
        <v>8.2432088947063144E-3</v>
      </c>
      <c r="K387" s="3">
        <v>9.0613842139060357E-3</v>
      </c>
      <c r="L387" s="3">
        <v>8.1736084603128544E-3</v>
      </c>
      <c r="M387" s="3">
        <v>8.4838486944709378E-3</v>
      </c>
      <c r="N387" s="3">
        <v>9.6966732852846425E-3</v>
      </c>
      <c r="O387" s="3">
        <v>1.1723971044532454E-2</v>
      </c>
      <c r="P387" s="3">
        <v>1.4874501346066217E-2</v>
      </c>
      <c r="Q387" s="3">
        <v>1.7170000000000001E-2</v>
      </c>
      <c r="R387" s="3">
        <v>2.0301E-2</v>
      </c>
      <c r="S387" s="3">
        <v>1.7573999999999999E-2</v>
      </c>
      <c r="T387" s="3">
        <v>1.2928E-2</v>
      </c>
      <c r="U387" s="3">
        <v>2.0281968305109515E-2</v>
      </c>
      <c r="V387" s="3">
        <v>2.0619512025212876E-2</v>
      </c>
      <c r="W387" s="3">
        <v>2.0962793457741023E-2</v>
      </c>
      <c r="X387" s="3">
        <v>2.1307337326691298E-2</v>
      </c>
      <c r="Y387" s="3">
        <v>2.1656873319750653E-2</v>
      </c>
      <c r="Z387" s="3">
        <v>2.2008881802400251E-2</v>
      </c>
      <c r="AA387" s="3">
        <v>2.2365410959872652E-2</v>
      </c>
      <c r="AB387" s="3">
        <v>2.2724613409409067E-2</v>
      </c>
      <c r="AC387" s="3">
        <v>2.3089097837060198E-2</v>
      </c>
      <c r="AD387" s="3">
        <v>2.3454668344178232E-2</v>
      </c>
      <c r="AE387" s="3">
        <v>2.3822908651143334E-2</v>
      </c>
      <c r="AF387" s="3">
        <v>2.4194758164311121E-2</v>
      </c>
      <c r="AG387" s="3">
        <v>2.4568975400561084E-2</v>
      </c>
      <c r="AH387" s="3">
        <v>2.4944748419455737E-2</v>
      </c>
      <c r="AI387" s="3">
        <v>2.5322599307426932E-2</v>
      </c>
      <c r="AJ387" s="3">
        <v>2.5701120701049709E-2</v>
      </c>
      <c r="AK387" s="3">
        <v>2.6081430109743394E-2</v>
      </c>
      <c r="AL387" s="3">
        <v>2.646390120072006E-2</v>
      </c>
      <c r="AM387" s="3">
        <v>2.6845619718947146E-2</v>
      </c>
      <c r="AN387" s="3">
        <v>2.7229346261912073E-2</v>
      </c>
      <c r="AO387" s="3">
        <v>2.7610472849368625E-2</v>
      </c>
      <c r="AP387" s="3">
        <v>2.7991620390126794E-2</v>
      </c>
      <c r="AQ387" s="3">
        <v>2.8368255986604477E-2</v>
      </c>
      <c r="AR387" s="3">
        <v>2.8740735844929109E-2</v>
      </c>
      <c r="AS387" s="3">
        <v>2.9108541370885758E-2</v>
      </c>
      <c r="AT387" s="3">
        <v>2.947042758913699E-2</v>
      </c>
      <c r="AU387" s="3">
        <v>2.9826216396619108E-2</v>
      </c>
      <c r="AV387" s="3">
        <v>3.0177245312418326E-2</v>
      </c>
      <c r="AW387" s="3">
        <v>3.052183458018877E-2</v>
      </c>
      <c r="AX387" s="3">
        <v>3.0920657903852313E-2</v>
      </c>
      <c r="AY387" s="3">
        <v>3.1291318051366687E-2</v>
      </c>
      <c r="AZ387" s="3">
        <v>3.1661978198881058E-2</v>
      </c>
      <c r="BA387" s="3">
        <v>3.2032638346395435E-2</v>
      </c>
      <c r="BB387" s="3">
        <v>3.2403298493909723E-2</v>
      </c>
      <c r="BC387" s="3">
        <v>3.2773958641424093E-2</v>
      </c>
      <c r="BD387" s="3">
        <v>3.3144618788938471E-2</v>
      </c>
      <c r="BE387" s="3">
        <v>3.3515278936452744E-2</v>
      </c>
      <c r="BF387" s="3">
        <v>3.3885939083967122E-2</v>
      </c>
      <c r="BG387" s="3">
        <v>3.4256599231481499E-2</v>
      </c>
      <c r="BH387" s="3">
        <v>3.462725937899587E-2</v>
      </c>
      <c r="BI387" s="3">
        <v>3.4997919526510157E-2</v>
      </c>
      <c r="BJ387" s="3">
        <v>3.5368579674024528E-2</v>
      </c>
      <c r="BK387" s="3">
        <v>3.5739239821538905E-2</v>
      </c>
      <c r="BL387" s="3">
        <v>3.6109899969053283E-2</v>
      </c>
      <c r="BM387" s="3">
        <v>3.6480560116567556E-2</v>
      </c>
      <c r="BN387" s="3">
        <v>3.6851220264081934E-2</v>
      </c>
      <c r="BO387" s="3">
        <v>3.7221880411596311E-2</v>
      </c>
      <c r="BP387" s="3">
        <v>3.7592540559110682E-2</v>
      </c>
      <c r="BQ387" s="3">
        <v>3.7963200706624969E-2</v>
      </c>
    </row>
    <row r="388" spans="1:69" hidden="1" x14ac:dyDescent="0.25">
      <c r="A388" s="20">
        <v>39</v>
      </c>
      <c r="B388" s="20" t="s">
        <v>86</v>
      </c>
      <c r="C388" s="3" t="s">
        <v>87</v>
      </c>
      <c r="D388" s="3">
        <v>7</v>
      </c>
      <c r="E388" s="3" t="s">
        <v>496</v>
      </c>
      <c r="F388" s="3"/>
      <c r="G388" s="21" t="s">
        <v>500</v>
      </c>
      <c r="H388" s="22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1.7000000000000001E-2</v>
      </c>
      <c r="R388" s="3">
        <v>2.01E-2</v>
      </c>
      <c r="S388" s="3">
        <v>1.7399999999999999E-2</v>
      </c>
      <c r="T388" s="3">
        <v>1.2800000000000001E-2</v>
      </c>
      <c r="U388" s="3">
        <v>2.0081156737732194E-2</v>
      </c>
      <c r="V388" s="3">
        <v>2.0415358440804828E-2</v>
      </c>
      <c r="W388" s="3">
        <v>2.0755241047268339E-2</v>
      </c>
      <c r="X388" s="3">
        <v>2.1096373590783462E-2</v>
      </c>
      <c r="Y388" s="3">
        <v>2.1442448831436291E-2</v>
      </c>
      <c r="Z388" s="3">
        <v>2.1790972081584408E-2</v>
      </c>
      <c r="AA388" s="3">
        <v>2.2143971247398666E-2</v>
      </c>
      <c r="AB388" s="3">
        <v>2.249961723703868E-2</v>
      </c>
      <c r="AC388" s="3">
        <v>2.2860492907980395E-2</v>
      </c>
      <c r="AD388" s="3">
        <v>2.3222443905126962E-2</v>
      </c>
      <c r="AE388" s="3">
        <v>2.3587038268458746E-2</v>
      </c>
      <c r="AF388" s="3">
        <v>2.3955206103278337E-2</v>
      </c>
      <c r="AG388" s="3">
        <v>2.4325718218377312E-2</v>
      </c>
      <c r="AH388" s="3">
        <v>2.4697770712332413E-2</v>
      </c>
      <c r="AI388" s="3">
        <v>2.5071880502402902E-2</v>
      </c>
      <c r="AJ388" s="3">
        <v>2.5446654159455157E-2</v>
      </c>
      <c r="AK388" s="3">
        <v>2.5823198128458805E-2</v>
      </c>
      <c r="AL388" s="3">
        <v>2.6201882376950553E-2</v>
      </c>
      <c r="AM388" s="3">
        <v>2.6579821503908065E-2</v>
      </c>
      <c r="AN388" s="3">
        <v>2.6959748774170369E-2</v>
      </c>
      <c r="AO388" s="3">
        <v>2.7337101831058044E-2</v>
      </c>
      <c r="AP388" s="3">
        <v>2.7714475633788906E-2</v>
      </c>
      <c r="AQ388" s="3">
        <v>2.8087382164954929E-2</v>
      </c>
      <c r="AR388" s="3">
        <v>2.8456174103890206E-2</v>
      </c>
      <c r="AS388" s="3">
        <v>2.8820337990975997E-2</v>
      </c>
      <c r="AT388" s="3">
        <v>2.9178641177363355E-2</v>
      </c>
      <c r="AU388" s="3">
        <v>2.9530907323385255E-2</v>
      </c>
      <c r="AV388" s="3">
        <v>2.9878460705364679E-2</v>
      </c>
      <c r="AW388" s="3">
        <v>3.0219638198206701E-2</v>
      </c>
      <c r="AX388" s="3">
        <v>3.0614512776091399E-2</v>
      </c>
      <c r="AY388" s="3">
        <v>3.0981503021155134E-2</v>
      </c>
      <c r="AZ388" s="3">
        <v>3.1348493266218871E-2</v>
      </c>
      <c r="BA388" s="3">
        <v>3.1715483511282609E-2</v>
      </c>
      <c r="BB388" s="3">
        <v>3.2082473756346257E-2</v>
      </c>
      <c r="BC388" s="3">
        <v>3.2449464001409994E-2</v>
      </c>
      <c r="BD388" s="3">
        <v>3.2816454246473732E-2</v>
      </c>
      <c r="BE388" s="3">
        <v>3.3183444491537373E-2</v>
      </c>
      <c r="BF388" s="3">
        <v>3.355043473660111E-2</v>
      </c>
      <c r="BG388" s="3">
        <v>3.3917424981664848E-2</v>
      </c>
      <c r="BH388" s="3">
        <v>3.4284415226728586E-2</v>
      </c>
      <c r="BI388" s="3">
        <v>3.4651405471792233E-2</v>
      </c>
      <c r="BJ388" s="3">
        <v>3.5018395716855971E-2</v>
      </c>
      <c r="BK388" s="3">
        <v>3.5385385961919709E-2</v>
      </c>
      <c r="BL388" s="3">
        <v>3.5752376206983447E-2</v>
      </c>
      <c r="BM388" s="3">
        <v>3.6119366452047087E-2</v>
      </c>
      <c r="BN388" s="3">
        <v>3.6486356697110825E-2</v>
      </c>
      <c r="BO388" s="3">
        <v>3.6853346942174563E-2</v>
      </c>
      <c r="BP388" s="3">
        <v>3.72203371872383E-2</v>
      </c>
      <c r="BQ388" s="3">
        <v>3.7587327432301948E-2</v>
      </c>
    </row>
    <row r="389" spans="1:69" hidden="1" x14ac:dyDescent="0.25">
      <c r="A389" s="20">
        <v>39</v>
      </c>
      <c r="B389" s="20" t="s">
        <v>86</v>
      </c>
      <c r="C389" s="3" t="s">
        <v>87</v>
      </c>
      <c r="D389" s="3">
        <v>8</v>
      </c>
      <c r="E389" s="3" t="s">
        <v>497</v>
      </c>
      <c r="F389" s="3"/>
      <c r="G389" s="3" t="s">
        <v>490</v>
      </c>
      <c r="H389" s="3">
        <v>0</v>
      </c>
      <c r="L389" s="32"/>
      <c r="M389" s="32"/>
      <c r="N389" s="32"/>
      <c r="O389" s="32"/>
      <c r="P389" s="32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hidden="1" x14ac:dyDescent="0.25">
      <c r="A390" s="20">
        <v>39</v>
      </c>
      <c r="B390" s="20" t="s">
        <v>86</v>
      </c>
      <c r="C390" s="3" t="s">
        <v>87</v>
      </c>
      <c r="D390" s="3">
        <v>9</v>
      </c>
      <c r="E390" s="3" t="s">
        <v>498</v>
      </c>
      <c r="F390" s="3"/>
      <c r="G390" s="3" t="s">
        <v>500</v>
      </c>
      <c r="H390" s="3">
        <v>0</v>
      </c>
      <c r="I390" s="3">
        <v>0.37219999999999998</v>
      </c>
      <c r="J390" s="3">
        <v>0.48149999999999998</v>
      </c>
      <c r="K390" s="3">
        <v>0.52239999999999998</v>
      </c>
      <c r="L390" s="3">
        <v>0.47099999999999997</v>
      </c>
      <c r="M390" s="3">
        <v>0.49249999999999999</v>
      </c>
      <c r="N390" s="3">
        <v>0.52569999999999995</v>
      </c>
      <c r="O390" s="3">
        <v>0.34410000000000002</v>
      </c>
      <c r="P390" s="3">
        <v>0.4299</v>
      </c>
      <c r="Q390" s="3">
        <v>0.49480000000000002</v>
      </c>
      <c r="R390" s="3">
        <v>0.58289999999999997</v>
      </c>
      <c r="S390" s="3">
        <v>0.505</v>
      </c>
      <c r="T390" s="3">
        <v>0.37169999999999997</v>
      </c>
      <c r="U390" s="3">
        <v>0.49</v>
      </c>
      <c r="V390" s="3">
        <v>0.49</v>
      </c>
      <c r="W390" s="3">
        <v>0.49</v>
      </c>
      <c r="X390" s="3">
        <v>0.49</v>
      </c>
      <c r="Y390" s="3">
        <v>0.49</v>
      </c>
      <c r="Z390" s="3">
        <v>0.49</v>
      </c>
      <c r="AA390" s="3">
        <v>0.49</v>
      </c>
      <c r="AB390" s="3">
        <v>0.49</v>
      </c>
      <c r="AC390" s="3">
        <v>0.49</v>
      </c>
      <c r="AD390" s="3">
        <v>0.49</v>
      </c>
      <c r="AE390" s="3">
        <v>0.49</v>
      </c>
      <c r="AF390" s="3">
        <v>0.49</v>
      </c>
      <c r="AG390" s="3">
        <v>0.49</v>
      </c>
      <c r="AH390" s="3">
        <v>0.49</v>
      </c>
      <c r="AI390" s="3">
        <v>0.49</v>
      </c>
      <c r="AJ390" s="3">
        <v>0.49</v>
      </c>
      <c r="AK390" s="3">
        <v>0.49</v>
      </c>
      <c r="AL390" s="3">
        <v>0.49</v>
      </c>
      <c r="AM390" s="3">
        <v>0.49</v>
      </c>
      <c r="AN390" s="3">
        <v>0.49</v>
      </c>
      <c r="AO390" s="3">
        <v>0.49</v>
      </c>
      <c r="AP390" s="3">
        <v>0.49</v>
      </c>
      <c r="AQ390" s="3">
        <v>0.49</v>
      </c>
      <c r="AR390" s="3">
        <v>0.49</v>
      </c>
      <c r="AS390" s="3">
        <v>0.49</v>
      </c>
      <c r="AT390" s="3">
        <v>0.49</v>
      </c>
      <c r="AU390" s="3">
        <v>0.49</v>
      </c>
      <c r="AV390" s="3">
        <v>0.49</v>
      </c>
      <c r="AW390" s="3">
        <v>0.49</v>
      </c>
      <c r="AX390" s="3">
        <v>0.49</v>
      </c>
      <c r="AY390" s="3">
        <v>0.49</v>
      </c>
      <c r="AZ390" s="3">
        <v>0.49</v>
      </c>
      <c r="BA390" s="3">
        <v>0.49</v>
      </c>
      <c r="BB390" s="3">
        <v>0.49</v>
      </c>
      <c r="BC390" s="3">
        <v>0.49</v>
      </c>
      <c r="BD390" s="3">
        <v>0.49</v>
      </c>
      <c r="BE390" s="3">
        <v>0.49</v>
      </c>
      <c r="BF390" s="3">
        <v>0.49</v>
      </c>
      <c r="BG390" s="3">
        <v>0.49</v>
      </c>
      <c r="BH390" s="3">
        <v>0.49</v>
      </c>
      <c r="BI390" s="3">
        <v>0.49</v>
      </c>
      <c r="BJ390" s="3">
        <v>0.49</v>
      </c>
      <c r="BK390" s="3">
        <v>0.49</v>
      </c>
      <c r="BL390" s="3">
        <v>0.49</v>
      </c>
      <c r="BM390" s="3">
        <v>0.49</v>
      </c>
      <c r="BN390" s="3">
        <v>0.49</v>
      </c>
      <c r="BO390" s="3">
        <v>0.49</v>
      </c>
      <c r="BP390" s="3">
        <v>0.49</v>
      </c>
      <c r="BQ390" s="3">
        <v>0.49</v>
      </c>
    </row>
    <row r="391" spans="1:69" hidden="1" x14ac:dyDescent="0.25">
      <c r="A391" s="20">
        <v>39</v>
      </c>
      <c r="B391" s="20" t="s">
        <v>86</v>
      </c>
      <c r="C391" s="3" t="s">
        <v>87</v>
      </c>
      <c r="D391" s="3">
        <v>10</v>
      </c>
      <c r="E391" s="3" t="s">
        <v>499</v>
      </c>
      <c r="F391" s="3"/>
      <c r="G391" s="3" t="s">
        <v>501</v>
      </c>
      <c r="H391" s="3">
        <v>0</v>
      </c>
      <c r="I391" s="3">
        <v>0.95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s="17" customFormat="1" hidden="1" x14ac:dyDescent="0.25">
      <c r="A392" s="23">
        <v>40</v>
      </c>
      <c r="B392" s="23" t="s">
        <v>88</v>
      </c>
      <c r="C392" s="24" t="s">
        <v>89</v>
      </c>
      <c r="D392" s="24">
        <v>1</v>
      </c>
      <c r="E392" s="24" t="s">
        <v>489</v>
      </c>
      <c r="F392" s="24"/>
      <c r="G392" s="24" t="s">
        <v>500</v>
      </c>
      <c r="H392" s="24">
        <v>0</v>
      </c>
      <c r="I392" s="24">
        <v>3080.6</v>
      </c>
      <c r="J392" s="24">
        <v>3080.6</v>
      </c>
      <c r="K392" s="24">
        <v>3080.6</v>
      </c>
      <c r="L392" s="24">
        <v>3080.6</v>
      </c>
      <c r="M392" s="24">
        <v>3080.6</v>
      </c>
      <c r="N392" s="24">
        <v>3080.6</v>
      </c>
      <c r="O392" s="24">
        <v>3080.6</v>
      </c>
      <c r="P392" s="24">
        <v>3080.6</v>
      </c>
      <c r="Q392" s="24">
        <v>3080.6</v>
      </c>
      <c r="R392" s="24">
        <v>3080.6</v>
      </c>
      <c r="S392" s="24">
        <v>3080.6</v>
      </c>
      <c r="T392" s="24">
        <v>3080.6</v>
      </c>
      <c r="U392" s="24">
        <v>3080.6</v>
      </c>
      <c r="V392" s="24">
        <v>3080.6</v>
      </c>
      <c r="W392" s="24">
        <v>3080.6</v>
      </c>
      <c r="X392" s="24">
        <v>3080.6</v>
      </c>
      <c r="Y392" s="24">
        <v>3080.6</v>
      </c>
      <c r="Z392" s="24">
        <v>3080.6</v>
      </c>
      <c r="AA392" s="24">
        <v>3080.6</v>
      </c>
      <c r="AB392" s="24">
        <v>3080.6</v>
      </c>
      <c r="AC392" s="24">
        <v>3080.6</v>
      </c>
      <c r="AD392" s="24">
        <v>3080.6</v>
      </c>
      <c r="AE392" s="24">
        <v>3080.6</v>
      </c>
      <c r="AF392" s="24">
        <v>3080.6</v>
      </c>
      <c r="AG392" s="24">
        <v>3080.6</v>
      </c>
      <c r="AH392" s="24">
        <v>3080.6</v>
      </c>
      <c r="AI392" s="24">
        <v>3080.6</v>
      </c>
      <c r="AJ392" s="24">
        <v>3080.6</v>
      </c>
      <c r="AK392" s="24">
        <v>3080.6</v>
      </c>
      <c r="AL392" s="24">
        <v>3080.6</v>
      </c>
      <c r="AM392" s="24">
        <v>3080.6</v>
      </c>
      <c r="AN392" s="24">
        <v>3080.6</v>
      </c>
      <c r="AO392" s="24">
        <v>3080.6</v>
      </c>
      <c r="AP392" s="24">
        <v>3080.6</v>
      </c>
      <c r="AQ392" s="24">
        <v>3080.6</v>
      </c>
      <c r="AR392" s="24">
        <v>3080.6</v>
      </c>
      <c r="AS392" s="24">
        <v>3080.6</v>
      </c>
      <c r="AT392" s="24">
        <v>3080.6</v>
      </c>
      <c r="AU392" s="24">
        <v>3080.6</v>
      </c>
      <c r="AV392" s="24">
        <v>3080.6</v>
      </c>
      <c r="AW392" s="24">
        <v>3080.6</v>
      </c>
      <c r="AX392" s="24">
        <v>3080.6</v>
      </c>
      <c r="AY392" s="24">
        <v>3080.6</v>
      </c>
      <c r="AZ392" s="24">
        <v>3080.6</v>
      </c>
      <c r="BA392" s="24">
        <v>3080.6</v>
      </c>
      <c r="BB392" s="24">
        <v>3080.6</v>
      </c>
      <c r="BC392" s="24">
        <v>3080.6</v>
      </c>
      <c r="BD392" s="24">
        <v>3080.6</v>
      </c>
      <c r="BE392" s="24">
        <v>3080.6</v>
      </c>
      <c r="BF392" s="24">
        <v>3080.6</v>
      </c>
      <c r="BG392" s="24">
        <v>3080.6</v>
      </c>
      <c r="BH392" s="24">
        <v>3080.6</v>
      </c>
      <c r="BI392" s="24">
        <v>3080.6</v>
      </c>
      <c r="BJ392" s="24">
        <v>3080.6</v>
      </c>
      <c r="BK392" s="24">
        <v>3080.6</v>
      </c>
      <c r="BL392" s="24">
        <v>3080.6</v>
      </c>
      <c r="BM392" s="24">
        <v>3080.6</v>
      </c>
      <c r="BN392" s="24">
        <v>3080.6</v>
      </c>
      <c r="BO392" s="24">
        <v>3080.6</v>
      </c>
      <c r="BP392" s="24">
        <v>3080.6</v>
      </c>
      <c r="BQ392" s="24">
        <v>3080.6</v>
      </c>
    </row>
    <row r="393" spans="1:69" s="17" customFormat="1" hidden="1" x14ac:dyDescent="0.25">
      <c r="A393" s="23">
        <v>40</v>
      </c>
      <c r="B393" s="23" t="s">
        <v>88</v>
      </c>
      <c r="C393" s="24" t="s">
        <v>89</v>
      </c>
      <c r="D393" s="24">
        <v>2</v>
      </c>
      <c r="E393" s="24" t="s">
        <v>491</v>
      </c>
      <c r="F393" s="24"/>
      <c r="G393" s="24" t="s">
        <v>500</v>
      </c>
      <c r="H393" s="24">
        <v>0</v>
      </c>
      <c r="I393" s="24">
        <v>50</v>
      </c>
      <c r="J393" s="24">
        <v>50</v>
      </c>
      <c r="K393" s="24">
        <v>50</v>
      </c>
      <c r="L393" s="24">
        <v>50</v>
      </c>
      <c r="M393" s="24">
        <v>50</v>
      </c>
      <c r="N393" s="24">
        <v>50</v>
      </c>
      <c r="O393" s="24">
        <v>50</v>
      </c>
      <c r="P393" s="24">
        <v>50</v>
      </c>
      <c r="Q393" s="24">
        <v>50</v>
      </c>
      <c r="R393" s="24">
        <v>50</v>
      </c>
      <c r="S393" s="24">
        <v>50</v>
      </c>
      <c r="T393" s="24">
        <v>50</v>
      </c>
      <c r="U393" s="24">
        <v>50</v>
      </c>
      <c r="V393" s="24">
        <v>50</v>
      </c>
      <c r="W393" s="24">
        <v>50</v>
      </c>
      <c r="X393" s="24">
        <v>50</v>
      </c>
      <c r="Y393" s="24">
        <v>50</v>
      </c>
      <c r="Z393" s="24">
        <v>50</v>
      </c>
      <c r="AA393" s="24">
        <v>50</v>
      </c>
      <c r="AB393" s="24">
        <v>50</v>
      </c>
      <c r="AC393" s="24">
        <v>50</v>
      </c>
      <c r="AD393" s="24">
        <v>50</v>
      </c>
      <c r="AE393" s="24">
        <v>50</v>
      </c>
      <c r="AF393" s="24">
        <v>50</v>
      </c>
      <c r="AG393" s="24">
        <v>50</v>
      </c>
      <c r="AH393" s="24">
        <v>50</v>
      </c>
      <c r="AI393" s="24">
        <v>50</v>
      </c>
      <c r="AJ393" s="24">
        <v>50</v>
      </c>
      <c r="AK393" s="24">
        <v>50</v>
      </c>
      <c r="AL393" s="24">
        <v>50</v>
      </c>
      <c r="AM393" s="24">
        <v>50</v>
      </c>
      <c r="AN393" s="24">
        <v>50</v>
      </c>
      <c r="AO393" s="24">
        <v>50</v>
      </c>
      <c r="AP393" s="24">
        <v>50</v>
      </c>
      <c r="AQ393" s="24">
        <v>50</v>
      </c>
      <c r="AR393" s="24">
        <v>50</v>
      </c>
      <c r="AS393" s="24">
        <v>50</v>
      </c>
      <c r="AT393" s="24">
        <v>50</v>
      </c>
      <c r="AU393" s="24">
        <v>50</v>
      </c>
      <c r="AV393" s="24">
        <v>50</v>
      </c>
      <c r="AW393" s="24">
        <v>50</v>
      </c>
      <c r="AX393" s="24">
        <v>50</v>
      </c>
      <c r="AY393" s="24">
        <v>50</v>
      </c>
      <c r="AZ393" s="24">
        <v>50</v>
      </c>
      <c r="BA393" s="24">
        <v>50</v>
      </c>
      <c r="BB393" s="24">
        <v>50</v>
      </c>
      <c r="BC393" s="24">
        <v>50</v>
      </c>
      <c r="BD393" s="24">
        <v>50</v>
      </c>
      <c r="BE393" s="24">
        <v>50</v>
      </c>
      <c r="BF393" s="24">
        <v>50</v>
      </c>
      <c r="BG393" s="24">
        <v>50</v>
      </c>
      <c r="BH393" s="24">
        <v>50</v>
      </c>
      <c r="BI393" s="24">
        <v>50</v>
      </c>
      <c r="BJ393" s="24">
        <v>50</v>
      </c>
      <c r="BK393" s="24">
        <v>50</v>
      </c>
      <c r="BL393" s="24">
        <v>50</v>
      </c>
      <c r="BM393" s="24">
        <v>50</v>
      </c>
      <c r="BN393" s="24">
        <v>50</v>
      </c>
      <c r="BO393" s="24">
        <v>50</v>
      </c>
      <c r="BP393" s="24">
        <v>50</v>
      </c>
      <c r="BQ393" s="24">
        <v>50</v>
      </c>
    </row>
    <row r="394" spans="1:69" s="17" customFormat="1" hidden="1" x14ac:dyDescent="0.25">
      <c r="A394" s="23">
        <v>40</v>
      </c>
      <c r="B394" s="23" t="s">
        <v>88</v>
      </c>
      <c r="C394" s="24" t="s">
        <v>89</v>
      </c>
      <c r="D394" s="24">
        <v>3</v>
      </c>
      <c r="E394" s="24" t="s">
        <v>492</v>
      </c>
      <c r="F394" s="24"/>
      <c r="G394" s="24" t="s">
        <v>500</v>
      </c>
      <c r="H394" s="24">
        <v>0</v>
      </c>
      <c r="I394" s="24">
        <v>0.63</v>
      </c>
      <c r="J394" s="24">
        <v>0.63</v>
      </c>
      <c r="K394" s="24">
        <v>0.63</v>
      </c>
      <c r="L394" s="24">
        <v>0.63</v>
      </c>
      <c r="M394" s="24">
        <v>0.63</v>
      </c>
      <c r="N394" s="24">
        <v>0.63</v>
      </c>
      <c r="O394" s="24">
        <v>0.63</v>
      </c>
      <c r="P394" s="24">
        <v>0.63</v>
      </c>
      <c r="Q394" s="24">
        <v>0.63</v>
      </c>
      <c r="R394" s="24">
        <v>0.63</v>
      </c>
      <c r="S394" s="24">
        <v>0.63</v>
      </c>
      <c r="T394" s="24">
        <v>0.63</v>
      </c>
      <c r="U394" s="24">
        <v>0.63</v>
      </c>
      <c r="V394" s="24">
        <v>0.63</v>
      </c>
      <c r="W394" s="24">
        <v>0.63</v>
      </c>
      <c r="X394" s="24">
        <v>0.63</v>
      </c>
      <c r="Y394" s="24">
        <v>0.63</v>
      </c>
      <c r="Z394" s="24">
        <v>0.63</v>
      </c>
      <c r="AA394" s="24">
        <v>0.63</v>
      </c>
      <c r="AB394" s="24">
        <v>0.63</v>
      </c>
      <c r="AC394" s="24">
        <v>0.63</v>
      </c>
      <c r="AD394" s="24">
        <v>0.63</v>
      </c>
      <c r="AE394" s="24">
        <v>0.63</v>
      </c>
      <c r="AF394" s="24">
        <v>0.63</v>
      </c>
      <c r="AG394" s="24">
        <v>0.63</v>
      </c>
      <c r="AH394" s="24">
        <v>0.63</v>
      </c>
      <c r="AI394" s="24">
        <v>0.63</v>
      </c>
      <c r="AJ394" s="24">
        <v>0.63</v>
      </c>
      <c r="AK394" s="24">
        <v>0.63</v>
      </c>
      <c r="AL394" s="24">
        <v>0.63</v>
      </c>
      <c r="AM394" s="24">
        <v>0.63</v>
      </c>
      <c r="AN394" s="24">
        <v>0.63</v>
      </c>
      <c r="AO394" s="24">
        <v>0.63</v>
      </c>
      <c r="AP394" s="24">
        <v>0.63</v>
      </c>
      <c r="AQ394" s="24">
        <v>0.63</v>
      </c>
      <c r="AR394" s="24">
        <v>0.63</v>
      </c>
      <c r="AS394" s="24">
        <v>0.63</v>
      </c>
      <c r="AT394" s="24">
        <v>0.63</v>
      </c>
      <c r="AU394" s="24">
        <v>0.63</v>
      </c>
      <c r="AV394" s="24">
        <v>0.63</v>
      </c>
      <c r="AW394" s="24">
        <v>0.63</v>
      </c>
      <c r="AX394" s="24">
        <v>0.63</v>
      </c>
      <c r="AY394" s="24">
        <v>0.63</v>
      </c>
      <c r="AZ394" s="24">
        <v>0.63</v>
      </c>
      <c r="BA394" s="24">
        <v>0.63</v>
      </c>
      <c r="BB394" s="24">
        <v>0.63</v>
      </c>
      <c r="BC394" s="24">
        <v>0.63</v>
      </c>
      <c r="BD394" s="24">
        <v>0.63</v>
      </c>
      <c r="BE394" s="24">
        <v>0.63</v>
      </c>
      <c r="BF394" s="24">
        <v>0.63</v>
      </c>
      <c r="BG394" s="24">
        <v>0.63</v>
      </c>
      <c r="BH394" s="24">
        <v>0.63</v>
      </c>
      <c r="BI394" s="24">
        <v>0.63</v>
      </c>
      <c r="BJ394" s="24">
        <v>0.63</v>
      </c>
      <c r="BK394" s="24">
        <v>0.63</v>
      </c>
      <c r="BL394" s="24">
        <v>0.63</v>
      </c>
      <c r="BM394" s="24">
        <v>0.63</v>
      </c>
      <c r="BN394" s="24">
        <v>0.63</v>
      </c>
      <c r="BO394" s="24">
        <v>0.63</v>
      </c>
      <c r="BP394" s="24">
        <v>0.63</v>
      </c>
      <c r="BQ394" s="24">
        <v>0.63</v>
      </c>
    </row>
    <row r="395" spans="1:69" s="17" customFormat="1" hidden="1" x14ac:dyDescent="0.25">
      <c r="A395" s="23">
        <v>40</v>
      </c>
      <c r="B395" s="23" t="s">
        <v>88</v>
      </c>
      <c r="C395" s="24" t="s">
        <v>89</v>
      </c>
      <c r="D395" s="24">
        <v>4</v>
      </c>
      <c r="E395" s="24" t="s">
        <v>493</v>
      </c>
      <c r="F395" s="24"/>
      <c r="G395" s="24" t="s">
        <v>500</v>
      </c>
      <c r="H395" s="24">
        <v>0</v>
      </c>
      <c r="I395" s="24">
        <v>1.4207973120000002E-3</v>
      </c>
      <c r="J395" s="24">
        <v>1.4157221759999998E-3</v>
      </c>
      <c r="K395" s="24">
        <v>1.434400704E-3</v>
      </c>
      <c r="L395" s="24">
        <v>1.4349456E-3</v>
      </c>
      <c r="M395" s="24">
        <v>1.424389824E-3</v>
      </c>
      <c r="N395" s="24">
        <v>1.5254616960000003E-3</v>
      </c>
      <c r="O395" s="24">
        <v>2.8172136960000001E-3</v>
      </c>
      <c r="P395" s="24">
        <v>2.8613122560000002E-3</v>
      </c>
      <c r="Q395" s="24">
        <v>2.8999999999999998E-3</v>
      </c>
      <c r="R395" s="24">
        <v>2.8999999999999998E-3</v>
      </c>
      <c r="S395" s="24">
        <v>2.8999999999999998E-3</v>
      </c>
      <c r="T395" s="24">
        <v>2.8999999999999998E-3</v>
      </c>
      <c r="U395" s="24">
        <v>2.8999999999999998E-3</v>
      </c>
      <c r="V395" s="24">
        <v>2.8999999999999998E-3</v>
      </c>
      <c r="W395" s="24">
        <v>2.8999999999999998E-3</v>
      </c>
      <c r="X395" s="24">
        <v>2.8999999999999998E-3</v>
      </c>
      <c r="Y395" s="24">
        <v>2.8999999999999998E-3</v>
      </c>
      <c r="Z395" s="24">
        <v>2.8999999999999998E-3</v>
      </c>
      <c r="AA395" s="24">
        <v>2.8999999999999998E-3</v>
      </c>
      <c r="AB395" s="24">
        <v>2.8999999999999998E-3</v>
      </c>
      <c r="AC395" s="24">
        <v>2.8999999999999998E-3</v>
      </c>
      <c r="AD395" s="24">
        <v>2.8999999999999998E-3</v>
      </c>
      <c r="AE395" s="24">
        <v>2.8999999999999998E-3</v>
      </c>
      <c r="AF395" s="24">
        <v>2.8999999999999998E-3</v>
      </c>
      <c r="AG395" s="24">
        <v>2.8999999999999998E-3</v>
      </c>
      <c r="AH395" s="24">
        <v>2.8999999999999998E-3</v>
      </c>
      <c r="AI395" s="24">
        <v>2.8999999999999998E-3</v>
      </c>
      <c r="AJ395" s="24">
        <v>2.8999999999999998E-3</v>
      </c>
      <c r="AK395" s="24">
        <v>2.8999999999999998E-3</v>
      </c>
      <c r="AL395" s="24">
        <v>2.8999999999999998E-3</v>
      </c>
      <c r="AM395" s="24">
        <v>2.8999999999999998E-3</v>
      </c>
      <c r="AN395" s="24">
        <v>2.8999999999999998E-3</v>
      </c>
      <c r="AO395" s="24">
        <v>2.8999999999999998E-3</v>
      </c>
      <c r="AP395" s="24">
        <v>2.8999999999999998E-3</v>
      </c>
      <c r="AQ395" s="24">
        <v>2.8999999999999998E-3</v>
      </c>
      <c r="AR395" s="24">
        <v>2.8999999999999998E-3</v>
      </c>
      <c r="AS395" s="24">
        <v>2.8999999999999998E-3</v>
      </c>
      <c r="AT395" s="24">
        <v>2.8999999999999998E-3</v>
      </c>
      <c r="AU395" s="24">
        <v>2.8999999999999998E-3</v>
      </c>
      <c r="AV395" s="24">
        <v>2.8999999999999998E-3</v>
      </c>
      <c r="AW395" s="24">
        <v>2.8999999999999998E-3</v>
      </c>
      <c r="AX395" s="24">
        <v>2.8999999999999998E-3</v>
      </c>
      <c r="AY395" s="24">
        <v>2.8999999999999998E-3</v>
      </c>
      <c r="AZ395" s="24">
        <v>2.8999999999999998E-3</v>
      </c>
      <c r="BA395" s="24">
        <v>2.8999999999999998E-3</v>
      </c>
      <c r="BB395" s="24">
        <v>2.8999999999999998E-3</v>
      </c>
      <c r="BC395" s="24">
        <v>2.8999999999999998E-3</v>
      </c>
      <c r="BD395" s="24">
        <v>2.8999999999999998E-3</v>
      </c>
      <c r="BE395" s="24">
        <v>2.8999999999999998E-3</v>
      </c>
      <c r="BF395" s="24">
        <v>2.8999999999999998E-3</v>
      </c>
      <c r="BG395" s="24">
        <v>2.8999999999999998E-3</v>
      </c>
      <c r="BH395" s="24">
        <v>2.8999999999999998E-3</v>
      </c>
      <c r="BI395" s="24">
        <v>2.8999999999999998E-3</v>
      </c>
      <c r="BJ395" s="24">
        <v>2.8999999999999998E-3</v>
      </c>
      <c r="BK395" s="24">
        <v>2.8999999999999998E-3</v>
      </c>
      <c r="BL395" s="24">
        <v>2.8999999999999998E-3</v>
      </c>
      <c r="BM395" s="24">
        <v>2.8999999999999998E-3</v>
      </c>
      <c r="BN395" s="24">
        <v>2.8999999999999998E-3</v>
      </c>
      <c r="BO395" s="24">
        <v>2.8999999999999998E-3</v>
      </c>
      <c r="BP395" s="24">
        <v>2.8999999999999998E-3</v>
      </c>
      <c r="BQ395" s="24">
        <v>2.8999999999999998E-3</v>
      </c>
    </row>
    <row r="396" spans="1:69" s="17" customFormat="1" hidden="1" x14ac:dyDescent="0.25">
      <c r="A396" s="23">
        <v>40</v>
      </c>
      <c r="B396" s="23" t="s">
        <v>88</v>
      </c>
      <c r="C396" s="24" t="s">
        <v>89</v>
      </c>
      <c r="D396" s="24">
        <v>5</v>
      </c>
      <c r="E396" s="24" t="s">
        <v>494</v>
      </c>
      <c r="F396" s="24"/>
      <c r="G396" s="24" t="s">
        <v>500</v>
      </c>
      <c r="H396" s="24">
        <v>0</v>
      </c>
      <c r="I396" s="24">
        <v>1.4207973120000002E-3</v>
      </c>
      <c r="J396" s="24">
        <v>1.4157221759999998E-3</v>
      </c>
      <c r="K396" s="24">
        <v>1.434400704E-3</v>
      </c>
      <c r="L396" s="24">
        <v>1.4349456E-3</v>
      </c>
      <c r="M396" s="24">
        <v>1.424389824E-3</v>
      </c>
      <c r="N396" s="24">
        <v>1.5254616960000003E-3</v>
      </c>
      <c r="O396" s="24">
        <v>2.8172136960000001E-3</v>
      </c>
      <c r="P396" s="24">
        <v>2.8613122560000002E-3</v>
      </c>
      <c r="Q396" s="24">
        <v>2.8999999999999998E-3</v>
      </c>
      <c r="R396" s="24">
        <v>2.8999999999999998E-3</v>
      </c>
      <c r="S396" s="24">
        <v>2.8999999999999998E-3</v>
      </c>
      <c r="T396" s="24">
        <v>2.8999999999999998E-3</v>
      </c>
      <c r="U396" s="24">
        <v>99999</v>
      </c>
      <c r="V396" s="24">
        <v>99999</v>
      </c>
      <c r="W396" s="24">
        <v>99999</v>
      </c>
      <c r="X396" s="24">
        <v>99999</v>
      </c>
      <c r="Y396" s="24">
        <v>99999</v>
      </c>
      <c r="Z396" s="24">
        <v>99999</v>
      </c>
      <c r="AA396" s="24">
        <v>99999</v>
      </c>
      <c r="AB396" s="24">
        <v>99999</v>
      </c>
      <c r="AC396" s="24">
        <v>99999</v>
      </c>
      <c r="AD396" s="24">
        <v>99999</v>
      </c>
      <c r="AE396" s="24">
        <v>99999</v>
      </c>
      <c r="AF396" s="24">
        <v>99999</v>
      </c>
      <c r="AG396" s="24">
        <v>99999</v>
      </c>
      <c r="AH396" s="24">
        <v>99999</v>
      </c>
      <c r="AI396" s="24">
        <v>99999</v>
      </c>
      <c r="AJ396" s="24">
        <v>99999</v>
      </c>
      <c r="AK396" s="24">
        <v>99999</v>
      </c>
      <c r="AL396" s="24">
        <v>99999</v>
      </c>
      <c r="AM396" s="24">
        <v>99999</v>
      </c>
      <c r="AN396" s="24">
        <v>99999</v>
      </c>
      <c r="AO396" s="24">
        <v>99999</v>
      </c>
      <c r="AP396" s="24">
        <v>99999</v>
      </c>
      <c r="AQ396" s="24">
        <v>99999</v>
      </c>
      <c r="AR396" s="24">
        <v>99999</v>
      </c>
      <c r="AS396" s="24">
        <v>99999</v>
      </c>
      <c r="AT396" s="24">
        <v>99999</v>
      </c>
      <c r="AU396" s="24">
        <v>99999</v>
      </c>
      <c r="AV396" s="24">
        <v>99999</v>
      </c>
      <c r="AW396" s="24">
        <v>99999</v>
      </c>
      <c r="AX396" s="24">
        <v>99999</v>
      </c>
      <c r="AY396" s="24">
        <v>99999</v>
      </c>
      <c r="AZ396" s="24">
        <v>99999</v>
      </c>
      <c r="BA396" s="24">
        <v>99999</v>
      </c>
      <c r="BB396" s="24">
        <v>99999</v>
      </c>
      <c r="BC396" s="24">
        <v>99999</v>
      </c>
      <c r="BD396" s="24">
        <v>99999</v>
      </c>
      <c r="BE396" s="24">
        <v>99999</v>
      </c>
      <c r="BF396" s="24">
        <v>99999</v>
      </c>
      <c r="BG396" s="24">
        <v>99999</v>
      </c>
      <c r="BH396" s="24">
        <v>99999</v>
      </c>
      <c r="BI396" s="24">
        <v>99999</v>
      </c>
      <c r="BJ396" s="24">
        <v>99999</v>
      </c>
      <c r="BK396" s="24">
        <v>99999</v>
      </c>
      <c r="BL396" s="24">
        <v>99999</v>
      </c>
      <c r="BM396" s="24">
        <v>99999</v>
      </c>
      <c r="BN396" s="24">
        <v>99999</v>
      </c>
      <c r="BO396" s="24">
        <v>99999</v>
      </c>
      <c r="BP396" s="24">
        <v>99999</v>
      </c>
      <c r="BQ396" s="24">
        <v>99999</v>
      </c>
    </row>
    <row r="397" spans="1:69" s="17" customFormat="1" hidden="1" x14ac:dyDescent="0.25">
      <c r="A397" s="23">
        <v>40</v>
      </c>
      <c r="B397" s="23" t="s">
        <v>88</v>
      </c>
      <c r="C397" s="24" t="s">
        <v>89</v>
      </c>
      <c r="D397" s="24">
        <v>6</v>
      </c>
      <c r="E397" s="24" t="s">
        <v>495</v>
      </c>
      <c r="F397" s="24"/>
      <c r="G397" s="24" t="s">
        <v>500</v>
      </c>
      <c r="H397" s="24">
        <v>0</v>
      </c>
      <c r="I397" s="24">
        <v>1.9982358757377767E-2</v>
      </c>
      <c r="J397" s="24">
        <v>2.5760027795957235E-2</v>
      </c>
      <c r="K397" s="24">
        <v>2.8316825668456364E-2</v>
      </c>
      <c r="L397" s="24">
        <v>2.5542526438477674E-2</v>
      </c>
      <c r="M397" s="24">
        <v>2.6512027170221684E-2</v>
      </c>
      <c r="N397" s="24">
        <v>3.0302104016514501E-2</v>
      </c>
      <c r="O397" s="24">
        <v>3.6637409514163916E-2</v>
      </c>
      <c r="P397" s="24">
        <f t="shared" ref="P397" si="4">+P398*1.01</f>
        <v>0</v>
      </c>
      <c r="Q397" s="24">
        <v>3.6864999999999995E-2</v>
      </c>
      <c r="R397" s="24">
        <v>4.1410000000000002E-2</v>
      </c>
      <c r="S397" s="24">
        <v>5.5448999999999998E-2</v>
      </c>
      <c r="T397" s="24">
        <v>5.4843000000000003E-2</v>
      </c>
      <c r="U397" s="24">
        <v>5.0646917690775443E-2</v>
      </c>
      <c r="V397" s="24">
        <v>5.14898116718693E-2</v>
      </c>
      <c r="W397" s="24">
        <v>5.2347033525117367E-2</v>
      </c>
      <c r="X397" s="24">
        <v>5.320740785906157E-2</v>
      </c>
      <c r="Y397" s="24">
        <v>5.4080248226629879E-2</v>
      </c>
      <c r="Z397" s="24">
        <v>5.4959262747262837E-2</v>
      </c>
      <c r="AA397" s="24">
        <v>5.5849566026571158E-2</v>
      </c>
      <c r="AB397" s="24">
        <v>5.6746544890866724E-2</v>
      </c>
      <c r="AC397" s="24">
        <v>5.7656713594866009E-2</v>
      </c>
      <c r="AD397" s="24">
        <v>5.8569594391525058E-2</v>
      </c>
      <c r="AE397" s="24">
        <v>5.9489142052616156E-2</v>
      </c>
      <c r="AF397" s="24">
        <v>6.0417702407481712E-2</v>
      </c>
      <c r="AG397" s="24">
        <v>6.1352175298756584E-2</v>
      </c>
      <c r="AH397" s="24">
        <v>6.2290533197362372E-2</v>
      </c>
      <c r="AI397" s="24">
        <v>6.3234079826297918E-2</v>
      </c>
      <c r="AJ397" s="24">
        <v>6.4179300801827238E-2</v>
      </c>
      <c r="AK397" s="24">
        <v>6.5128986701606717E-2</v>
      </c>
      <c r="AL397" s="24">
        <v>6.6084070625040112E-2</v>
      </c>
      <c r="AM397" s="24">
        <v>6.7037275268833074E-2</v>
      </c>
      <c r="AN397" s="24">
        <v>6.7995494231852291E-2</v>
      </c>
      <c r="AO397" s="24">
        <v>6.8947220741542942E-2</v>
      </c>
      <c r="AP397" s="24">
        <v>6.9898999574564621E-2</v>
      </c>
      <c r="AQ397" s="24">
        <v>7.0839511450298917E-2</v>
      </c>
      <c r="AR397" s="24">
        <v>7.1769645865373738E-2</v>
      </c>
      <c r="AS397" s="24">
        <v>7.2688107817345401E-2</v>
      </c>
      <c r="AT397" s="24">
        <v>7.3591788428293767E-2</v>
      </c>
      <c r="AU397" s="24">
        <v>7.4480242949904782E-2</v>
      </c>
      <c r="AV397" s="24">
        <v>7.5356811354810829E-2</v>
      </c>
      <c r="AW397" s="24">
        <v>7.6217299055972326E-2</v>
      </c>
      <c r="AX397" s="24">
        <v>7.7213216796444259E-2</v>
      </c>
      <c r="AY397" s="24">
        <v>7.8138807138565136E-2</v>
      </c>
      <c r="AZ397" s="24">
        <v>7.9064397480685888E-2</v>
      </c>
      <c r="BA397" s="24">
        <v>7.9989987822806738E-2</v>
      </c>
      <c r="BB397" s="24">
        <v>8.0915578164927601E-2</v>
      </c>
      <c r="BC397" s="24">
        <v>8.1841168507048354E-2</v>
      </c>
      <c r="BD397" s="24">
        <v>8.2766758849169231E-2</v>
      </c>
      <c r="BE397" s="24">
        <v>8.3692349191289983E-2</v>
      </c>
      <c r="BF397" s="24">
        <v>8.4617939533410846E-2</v>
      </c>
      <c r="BG397" s="24">
        <v>8.5543529875531696E-2</v>
      </c>
      <c r="BH397" s="24">
        <v>8.6469120217652462E-2</v>
      </c>
      <c r="BI397" s="24">
        <v>8.7394710559773325E-2</v>
      </c>
      <c r="BJ397" s="24">
        <v>8.8320300901894161E-2</v>
      </c>
      <c r="BK397" s="24">
        <v>8.9245891244014927E-2</v>
      </c>
      <c r="BL397" s="24">
        <v>9.017148158613579E-2</v>
      </c>
      <c r="BM397" s="24">
        <v>9.1097071928256543E-2</v>
      </c>
      <c r="BN397" s="24">
        <v>9.2022662270377406E-2</v>
      </c>
      <c r="BO397" s="24">
        <v>9.2948252612498256E-2</v>
      </c>
      <c r="BP397" s="24">
        <v>9.3873842954619022E-2</v>
      </c>
      <c r="BQ397" s="24">
        <v>9.4799433296739885E-2</v>
      </c>
    </row>
    <row r="398" spans="1:69" s="17" customFormat="1" hidden="1" x14ac:dyDescent="0.25">
      <c r="A398" s="23">
        <v>40</v>
      </c>
      <c r="B398" s="23" t="s">
        <v>88</v>
      </c>
      <c r="C398" s="24" t="s">
        <v>89</v>
      </c>
      <c r="D398" s="24">
        <v>7</v>
      </c>
      <c r="E398" s="24" t="s">
        <v>496</v>
      </c>
      <c r="F398" s="24"/>
      <c r="G398" s="25" t="s">
        <v>500</v>
      </c>
      <c r="H398" s="26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24">
        <v>3.6499999999999998E-2</v>
      </c>
      <c r="R398" s="24">
        <v>4.1000000000000002E-2</v>
      </c>
      <c r="S398" s="24">
        <v>5.4899999999999997E-2</v>
      </c>
      <c r="T398" s="24">
        <v>5.4300000000000001E-2</v>
      </c>
      <c r="U398" s="24">
        <v>5.0145463060173708E-2</v>
      </c>
      <c r="V398" s="24">
        <v>5.0980011556306236E-2</v>
      </c>
      <c r="W398" s="24">
        <v>5.1828746064472637E-2</v>
      </c>
      <c r="X398" s="24">
        <v>5.2680601840655018E-2</v>
      </c>
      <c r="Y398" s="24">
        <v>5.354480022438602E-2</v>
      </c>
      <c r="Z398" s="24">
        <v>5.4415111630953306E-2</v>
      </c>
      <c r="AA398" s="24">
        <v>5.5296600026308075E-2</v>
      </c>
      <c r="AB398" s="24">
        <v>5.618469791174923E-2</v>
      </c>
      <c r="AC398" s="24">
        <v>5.708585504442179E-2</v>
      </c>
      <c r="AD398" s="24">
        <v>5.7989697417351542E-2</v>
      </c>
      <c r="AE398" s="24">
        <v>5.8900140646154613E-2</v>
      </c>
      <c r="AF398" s="24">
        <v>5.9819507334140307E-2</v>
      </c>
      <c r="AG398" s="24">
        <v>6.0744728018570872E-2</v>
      </c>
      <c r="AH398" s="24">
        <v>6.1673795244913239E-2</v>
      </c>
      <c r="AI398" s="24">
        <v>6.2607999828017735E-2</v>
      </c>
      <c r="AJ398" s="24">
        <v>6.3543862180026972E-2</v>
      </c>
      <c r="AK398" s="24">
        <v>6.4484145249115554E-2</v>
      </c>
      <c r="AL398" s="24">
        <v>6.5429772896079319E-2</v>
      </c>
      <c r="AM398" s="24">
        <v>6.6373539870131754E-2</v>
      </c>
      <c r="AN398" s="24">
        <v>6.7322271516685434E-2</v>
      </c>
      <c r="AO398" s="24">
        <v>6.8264574991626678E-2</v>
      </c>
      <c r="AP398" s="24">
        <v>6.9206930271846157E-2</v>
      </c>
      <c r="AQ398" s="24">
        <v>7.0138130148810804E-2</v>
      </c>
      <c r="AR398" s="24">
        <v>7.1059055312251221E-2</v>
      </c>
      <c r="AS398" s="24">
        <v>7.1968423581530105E-2</v>
      </c>
      <c r="AT398" s="24">
        <v>7.2863156859696798E-2</v>
      </c>
      <c r="AU398" s="24">
        <v>7.3742814801885923E-2</v>
      </c>
      <c r="AV398" s="24">
        <v>7.4610704311693893E-2</v>
      </c>
      <c r="AW398" s="24">
        <v>7.5462672332645864E-2</v>
      </c>
      <c r="AX398" s="24">
        <v>7.644872950142996E-2</v>
      </c>
      <c r="AY398" s="24">
        <v>7.7365155582737752E-2</v>
      </c>
      <c r="AZ398" s="24">
        <v>7.8281581664045433E-2</v>
      </c>
      <c r="BA398" s="24">
        <v>7.9198007745353211E-2</v>
      </c>
      <c r="BB398" s="24">
        <v>8.0114433826660988E-2</v>
      </c>
      <c r="BC398" s="24">
        <v>8.1030859907968669E-2</v>
      </c>
      <c r="BD398" s="24">
        <v>8.1947285989276461E-2</v>
      </c>
      <c r="BE398" s="24">
        <v>8.2863712070584142E-2</v>
      </c>
      <c r="BF398" s="24">
        <v>8.378013815189192E-2</v>
      </c>
      <c r="BG398" s="24">
        <v>8.4696564233199698E-2</v>
      </c>
      <c r="BH398" s="24">
        <v>8.5612990314507392E-2</v>
      </c>
      <c r="BI398" s="24">
        <v>8.652941639581517E-2</v>
      </c>
      <c r="BJ398" s="24">
        <v>8.7445842477122934E-2</v>
      </c>
      <c r="BK398" s="24">
        <v>8.8362268558430615E-2</v>
      </c>
      <c r="BL398" s="24">
        <v>8.9278694639738407E-2</v>
      </c>
      <c r="BM398" s="24">
        <v>9.0195120721046088E-2</v>
      </c>
      <c r="BN398" s="24">
        <v>9.1111546802353865E-2</v>
      </c>
      <c r="BO398" s="24">
        <v>9.2027972883661643E-2</v>
      </c>
      <c r="BP398" s="24">
        <v>9.2944398964969324E-2</v>
      </c>
      <c r="BQ398" s="24">
        <v>9.3860825046277116E-2</v>
      </c>
    </row>
    <row r="399" spans="1:69" s="17" customFormat="1" hidden="1" x14ac:dyDescent="0.25">
      <c r="A399" s="23">
        <v>40</v>
      </c>
      <c r="B399" s="23" t="s">
        <v>88</v>
      </c>
      <c r="C399" s="24" t="s">
        <v>89</v>
      </c>
      <c r="D399" s="24">
        <v>8</v>
      </c>
      <c r="E399" s="24" t="s">
        <v>497</v>
      </c>
      <c r="F399" s="24"/>
      <c r="G399" s="24" t="s">
        <v>490</v>
      </c>
      <c r="H399" s="24">
        <v>0</v>
      </c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</row>
    <row r="400" spans="1:69" s="17" customFormat="1" hidden="1" x14ac:dyDescent="0.25">
      <c r="A400" s="23">
        <v>40</v>
      </c>
      <c r="B400" s="23" t="s">
        <v>88</v>
      </c>
      <c r="C400" s="24" t="s">
        <v>89</v>
      </c>
      <c r="D400" s="24">
        <v>9</v>
      </c>
      <c r="E400" s="24" t="s">
        <v>498</v>
      </c>
      <c r="F400" s="24"/>
      <c r="G400" s="24" t="s">
        <v>500</v>
      </c>
      <c r="H400" s="24">
        <v>0</v>
      </c>
      <c r="I400" s="24">
        <v>0.46039999999999998</v>
      </c>
      <c r="J400" s="24">
        <v>0.59560000000000002</v>
      </c>
      <c r="K400" s="24">
        <v>0.6462</v>
      </c>
      <c r="L400" s="24">
        <v>0.5827</v>
      </c>
      <c r="M400" s="24">
        <v>0.60929999999999995</v>
      </c>
      <c r="N400" s="24">
        <v>0.6502</v>
      </c>
      <c r="O400" s="24">
        <v>0.42570000000000002</v>
      </c>
      <c r="P400" s="24">
        <v>0.53180000000000005</v>
      </c>
      <c r="Q400" s="24">
        <v>0.42459999999999998</v>
      </c>
      <c r="R400" s="24">
        <v>0.47670000000000001</v>
      </c>
      <c r="S400" s="24">
        <v>0.6381</v>
      </c>
      <c r="T400" s="24">
        <v>0.63149999999999995</v>
      </c>
      <c r="U400" s="24">
        <v>0.42</v>
      </c>
      <c r="V400" s="24">
        <v>0.42</v>
      </c>
      <c r="W400" s="24">
        <v>0.42</v>
      </c>
      <c r="X400" s="24">
        <v>0.42</v>
      </c>
      <c r="Y400" s="24">
        <v>0.42</v>
      </c>
      <c r="Z400" s="24">
        <v>0.42</v>
      </c>
      <c r="AA400" s="24">
        <v>0.42</v>
      </c>
      <c r="AB400" s="24">
        <v>0.42</v>
      </c>
      <c r="AC400" s="24">
        <v>0.42</v>
      </c>
      <c r="AD400" s="24">
        <v>0.42</v>
      </c>
      <c r="AE400" s="24">
        <v>0.42</v>
      </c>
      <c r="AF400" s="24">
        <v>0.42</v>
      </c>
      <c r="AG400" s="24">
        <v>0.42</v>
      </c>
      <c r="AH400" s="24">
        <v>0.42</v>
      </c>
      <c r="AI400" s="24">
        <v>0.42</v>
      </c>
      <c r="AJ400" s="24">
        <v>0.42</v>
      </c>
      <c r="AK400" s="24">
        <v>0.42</v>
      </c>
      <c r="AL400" s="24">
        <v>0.42</v>
      </c>
      <c r="AM400" s="24">
        <v>0.42</v>
      </c>
      <c r="AN400" s="24">
        <v>0.42</v>
      </c>
      <c r="AO400" s="24">
        <v>0.42</v>
      </c>
      <c r="AP400" s="24">
        <v>0.42</v>
      </c>
      <c r="AQ400" s="24">
        <v>0.42</v>
      </c>
      <c r="AR400" s="24">
        <v>0.42</v>
      </c>
      <c r="AS400" s="24">
        <v>0.42</v>
      </c>
      <c r="AT400" s="24">
        <v>0.42</v>
      </c>
      <c r="AU400" s="24">
        <v>0.42</v>
      </c>
      <c r="AV400" s="24">
        <v>0.42</v>
      </c>
      <c r="AW400" s="24">
        <v>0.42</v>
      </c>
      <c r="AX400" s="24">
        <v>0.42</v>
      </c>
      <c r="AY400" s="24">
        <v>0.42</v>
      </c>
      <c r="AZ400" s="24">
        <v>0.42</v>
      </c>
      <c r="BA400" s="24">
        <v>0.42</v>
      </c>
      <c r="BB400" s="24">
        <v>0.42</v>
      </c>
      <c r="BC400" s="24">
        <v>0.42</v>
      </c>
      <c r="BD400" s="24">
        <v>0.42</v>
      </c>
      <c r="BE400" s="24">
        <v>0.42</v>
      </c>
      <c r="BF400" s="24">
        <v>0.42</v>
      </c>
      <c r="BG400" s="24">
        <v>0.42</v>
      </c>
      <c r="BH400" s="24">
        <v>0.42</v>
      </c>
      <c r="BI400" s="24">
        <v>0.42</v>
      </c>
      <c r="BJ400" s="24">
        <v>0.42</v>
      </c>
      <c r="BK400" s="24">
        <v>0.42</v>
      </c>
      <c r="BL400" s="24">
        <v>0.42</v>
      </c>
      <c r="BM400" s="24">
        <v>0.42</v>
      </c>
      <c r="BN400" s="24">
        <v>0.42</v>
      </c>
      <c r="BO400" s="24">
        <v>0.42</v>
      </c>
      <c r="BP400" s="24">
        <v>0.42</v>
      </c>
      <c r="BQ400" s="24">
        <v>0.42</v>
      </c>
    </row>
    <row r="401" spans="1:69" s="17" customFormat="1" hidden="1" x14ac:dyDescent="0.25">
      <c r="A401" s="23">
        <v>40</v>
      </c>
      <c r="B401" s="23" t="s">
        <v>88</v>
      </c>
      <c r="C401" s="24" t="s">
        <v>89</v>
      </c>
      <c r="D401" s="24">
        <v>10</v>
      </c>
      <c r="E401" s="24" t="s">
        <v>499</v>
      </c>
      <c r="F401" s="24"/>
      <c r="G401" s="24" t="s">
        <v>501</v>
      </c>
      <c r="H401" s="24">
        <v>0</v>
      </c>
      <c r="I401" s="24">
        <v>0.95</v>
      </c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</row>
    <row r="402" spans="1:69" hidden="1" x14ac:dyDescent="0.25">
      <c r="A402" s="20">
        <v>41</v>
      </c>
      <c r="B402" s="20" t="s">
        <v>90</v>
      </c>
      <c r="C402" s="3" t="s">
        <v>91</v>
      </c>
      <c r="D402" s="3">
        <v>1</v>
      </c>
      <c r="E402" s="3" t="s">
        <v>489</v>
      </c>
      <c r="F402" s="3"/>
      <c r="G402" s="3" t="s">
        <v>500</v>
      </c>
      <c r="H402" s="3">
        <v>0</v>
      </c>
      <c r="I402" s="3">
        <v>1216.67</v>
      </c>
      <c r="J402" s="3">
        <v>1216.67</v>
      </c>
      <c r="K402" s="3">
        <v>1216.67</v>
      </c>
      <c r="L402" s="3">
        <v>1216.67</v>
      </c>
      <c r="M402" s="3">
        <v>1216.67</v>
      </c>
      <c r="N402" s="3">
        <v>1216.67</v>
      </c>
      <c r="O402" s="3">
        <v>1216.67</v>
      </c>
      <c r="P402" s="3">
        <v>1216.67</v>
      </c>
      <c r="Q402" s="3">
        <v>1216.67</v>
      </c>
      <c r="R402" s="3">
        <v>1174.44</v>
      </c>
      <c r="S402" s="3">
        <v>1132.22</v>
      </c>
      <c r="T402" s="3">
        <v>1090</v>
      </c>
      <c r="U402" s="3">
        <v>1047.78</v>
      </c>
      <c r="V402" s="3">
        <v>1005.56</v>
      </c>
      <c r="W402" s="3">
        <v>963.33</v>
      </c>
      <c r="X402" s="3">
        <v>921.11</v>
      </c>
      <c r="Y402" s="3">
        <v>878.89</v>
      </c>
      <c r="Z402" s="3">
        <v>836.67</v>
      </c>
      <c r="AA402" s="3">
        <v>794.44</v>
      </c>
      <c r="AB402" s="3">
        <v>752.22</v>
      </c>
      <c r="AC402" s="3">
        <v>710</v>
      </c>
      <c r="AD402" s="3">
        <v>700</v>
      </c>
      <c r="AE402" s="3">
        <v>690</v>
      </c>
      <c r="AF402" s="3">
        <v>680</v>
      </c>
      <c r="AG402" s="3">
        <v>670</v>
      </c>
      <c r="AH402" s="3">
        <v>660</v>
      </c>
      <c r="AI402" s="3">
        <v>650</v>
      </c>
      <c r="AJ402" s="3">
        <v>640</v>
      </c>
      <c r="AK402" s="3">
        <v>630</v>
      </c>
      <c r="AL402" s="3">
        <v>620</v>
      </c>
      <c r="AM402" s="3">
        <v>610</v>
      </c>
      <c r="AN402" s="3">
        <v>600</v>
      </c>
      <c r="AO402" s="3">
        <v>590</v>
      </c>
      <c r="AP402" s="3">
        <v>580</v>
      </c>
      <c r="AQ402" s="3">
        <v>570</v>
      </c>
      <c r="AR402" s="3">
        <v>560</v>
      </c>
      <c r="AS402" s="3">
        <v>550</v>
      </c>
      <c r="AT402" s="3">
        <v>540</v>
      </c>
      <c r="AU402" s="3">
        <v>530</v>
      </c>
      <c r="AV402" s="3">
        <v>520</v>
      </c>
      <c r="AW402" s="3">
        <v>510</v>
      </c>
      <c r="AX402" s="3">
        <v>510</v>
      </c>
      <c r="AY402" s="3">
        <v>510</v>
      </c>
      <c r="AZ402" s="3">
        <v>510</v>
      </c>
      <c r="BA402" s="3">
        <v>510</v>
      </c>
      <c r="BB402" s="3">
        <v>510</v>
      </c>
      <c r="BC402" s="3">
        <v>510</v>
      </c>
      <c r="BD402" s="3">
        <v>510</v>
      </c>
      <c r="BE402" s="3">
        <v>510</v>
      </c>
      <c r="BF402" s="3">
        <v>510</v>
      </c>
      <c r="BG402" s="3">
        <v>510</v>
      </c>
      <c r="BH402" s="3">
        <v>510</v>
      </c>
      <c r="BI402" s="3">
        <v>510</v>
      </c>
      <c r="BJ402" s="3">
        <v>510</v>
      </c>
      <c r="BK402" s="3">
        <v>510</v>
      </c>
      <c r="BL402" s="3">
        <v>510</v>
      </c>
      <c r="BM402" s="3">
        <v>510</v>
      </c>
      <c r="BN402" s="3">
        <v>510</v>
      </c>
      <c r="BO402" s="3">
        <v>510</v>
      </c>
      <c r="BP402" s="3">
        <v>510</v>
      </c>
      <c r="BQ402" s="3">
        <v>510</v>
      </c>
    </row>
    <row r="403" spans="1:69" hidden="1" x14ac:dyDescent="0.25">
      <c r="A403" s="20">
        <v>41</v>
      </c>
      <c r="B403" s="20" t="s">
        <v>90</v>
      </c>
      <c r="C403" s="3" t="s">
        <v>91</v>
      </c>
      <c r="D403" s="3">
        <v>2</v>
      </c>
      <c r="E403" s="3" t="s">
        <v>491</v>
      </c>
      <c r="F403" s="3"/>
      <c r="G403" s="3" t="s">
        <v>500</v>
      </c>
      <c r="H403" s="3">
        <v>0</v>
      </c>
      <c r="I403" s="3">
        <v>19.8</v>
      </c>
      <c r="J403" s="3">
        <v>19.8</v>
      </c>
      <c r="K403" s="3">
        <v>19.8</v>
      </c>
      <c r="L403" s="3">
        <v>19.8</v>
      </c>
      <c r="M403" s="3">
        <v>19.8</v>
      </c>
      <c r="N403" s="3">
        <v>19.8</v>
      </c>
      <c r="O403" s="3">
        <v>19.8</v>
      </c>
      <c r="P403" s="3">
        <v>19.8</v>
      </c>
      <c r="Q403" s="3">
        <v>19.8</v>
      </c>
      <c r="R403" s="3">
        <v>19.8</v>
      </c>
      <c r="S403" s="3">
        <v>13.6</v>
      </c>
      <c r="T403" s="3">
        <v>13.6</v>
      </c>
      <c r="U403" s="3">
        <v>13.6</v>
      </c>
      <c r="V403" s="3">
        <v>13.6</v>
      </c>
      <c r="W403" s="3">
        <v>13.6</v>
      </c>
      <c r="X403" s="3">
        <v>12.2</v>
      </c>
      <c r="Y403" s="3">
        <v>12.2</v>
      </c>
      <c r="Z403" s="3">
        <v>12.2</v>
      </c>
      <c r="AA403" s="3">
        <v>12.2</v>
      </c>
      <c r="AB403" s="3">
        <v>12.2</v>
      </c>
      <c r="AC403" s="3">
        <v>10.8</v>
      </c>
      <c r="AD403" s="3">
        <v>10.8</v>
      </c>
      <c r="AE403" s="3">
        <v>10.8</v>
      </c>
      <c r="AF403" s="3">
        <v>10.8</v>
      </c>
      <c r="AG403" s="3">
        <v>10.8</v>
      </c>
      <c r="AH403" s="3">
        <v>10.5</v>
      </c>
      <c r="AI403" s="3">
        <v>10.5</v>
      </c>
      <c r="AJ403" s="3">
        <v>10.5</v>
      </c>
      <c r="AK403" s="3">
        <v>10.5</v>
      </c>
      <c r="AL403" s="3">
        <v>10.5</v>
      </c>
      <c r="AM403" s="3">
        <v>10.199999999999999</v>
      </c>
      <c r="AN403" s="3">
        <v>10.199999999999999</v>
      </c>
      <c r="AO403" s="3">
        <v>10.199999999999999</v>
      </c>
      <c r="AP403" s="3">
        <v>10.199999999999999</v>
      </c>
      <c r="AQ403" s="3">
        <v>10.199999999999999</v>
      </c>
      <c r="AR403" s="3">
        <v>9.9</v>
      </c>
      <c r="AS403" s="3">
        <v>9.9</v>
      </c>
      <c r="AT403" s="3">
        <v>9.9</v>
      </c>
      <c r="AU403" s="3">
        <v>9.9</v>
      </c>
      <c r="AV403" s="3">
        <v>9.9</v>
      </c>
      <c r="AW403" s="3">
        <v>9.6</v>
      </c>
      <c r="AX403" s="3">
        <v>9.6</v>
      </c>
      <c r="AY403" s="3">
        <v>9.6</v>
      </c>
      <c r="AZ403" s="3">
        <v>9.6</v>
      </c>
      <c r="BA403" s="3">
        <v>9.6</v>
      </c>
      <c r="BB403" s="3">
        <v>9.6</v>
      </c>
      <c r="BC403" s="3">
        <v>9.6</v>
      </c>
      <c r="BD403" s="3">
        <v>9.6</v>
      </c>
      <c r="BE403" s="3">
        <v>9.6</v>
      </c>
      <c r="BF403" s="3">
        <v>9.6</v>
      </c>
      <c r="BG403" s="3">
        <v>9.6</v>
      </c>
      <c r="BH403" s="3">
        <v>9.6</v>
      </c>
      <c r="BI403" s="3">
        <v>9.6</v>
      </c>
      <c r="BJ403" s="3">
        <v>9.6</v>
      </c>
      <c r="BK403" s="3">
        <v>9.6</v>
      </c>
      <c r="BL403" s="3">
        <v>9.6</v>
      </c>
      <c r="BM403" s="3">
        <v>9.6</v>
      </c>
      <c r="BN403" s="3">
        <v>9.6</v>
      </c>
      <c r="BO403" s="3">
        <v>9.6</v>
      </c>
      <c r="BP403" s="3">
        <v>9.6</v>
      </c>
      <c r="BQ403" s="3">
        <v>9.6</v>
      </c>
    </row>
    <row r="404" spans="1:69" hidden="1" x14ac:dyDescent="0.25">
      <c r="A404" s="20">
        <v>41</v>
      </c>
      <c r="B404" s="20" t="s">
        <v>90</v>
      </c>
      <c r="C404" s="3" t="s">
        <v>91</v>
      </c>
      <c r="D404" s="3">
        <v>3</v>
      </c>
      <c r="E404" s="3" t="s">
        <v>492</v>
      </c>
      <c r="F404" s="3"/>
      <c r="G404" s="3" t="s">
        <v>500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</row>
    <row r="405" spans="1:69" hidden="1" x14ac:dyDescent="0.25">
      <c r="A405" s="20">
        <v>41</v>
      </c>
      <c r="B405" s="20" t="s">
        <v>90</v>
      </c>
      <c r="C405" s="3" t="s">
        <v>91</v>
      </c>
      <c r="D405" s="3">
        <v>4</v>
      </c>
      <c r="E405" s="3" t="s">
        <v>493</v>
      </c>
      <c r="F405" s="3"/>
      <c r="G405" s="3" t="s">
        <v>500</v>
      </c>
      <c r="H405" s="3">
        <v>0</v>
      </c>
      <c r="I405" s="3">
        <v>5.1839999999999998E-5</v>
      </c>
      <c r="J405" s="3">
        <v>5.1839999999999998E-5</v>
      </c>
      <c r="K405" s="3">
        <v>5.1839999999999998E-5</v>
      </c>
      <c r="L405" s="3">
        <v>4.2249599999999996E-4</v>
      </c>
      <c r="M405" s="3">
        <v>5.70456E-4</v>
      </c>
      <c r="N405" s="3">
        <v>5.5166399999999989E-4</v>
      </c>
      <c r="O405" s="3">
        <v>5.7196799999999996E-4</v>
      </c>
      <c r="P405" s="3">
        <v>5.7196799999999996E-4</v>
      </c>
      <c r="Q405" s="3">
        <v>5.7260000000000004E-4</v>
      </c>
      <c r="R405" s="3">
        <v>5.7260000000000004E-4</v>
      </c>
      <c r="S405" s="3">
        <v>5.7260000000000004E-4</v>
      </c>
      <c r="T405" s="3">
        <v>5.7260000000000004E-4</v>
      </c>
      <c r="U405" s="3">
        <v>5.7260000000000004E-4</v>
      </c>
      <c r="V405" s="3">
        <v>5.7260000000000004E-4</v>
      </c>
      <c r="W405" s="3">
        <v>5.7260000000000004E-4</v>
      </c>
      <c r="X405" s="3">
        <v>5.7260000000000004E-4</v>
      </c>
      <c r="Y405" s="3">
        <v>5.7260000000000004E-4</v>
      </c>
      <c r="Z405" s="3">
        <v>5.7260000000000004E-4</v>
      </c>
      <c r="AA405" s="3">
        <v>5.7260000000000004E-4</v>
      </c>
      <c r="AB405" s="3">
        <v>5.7260000000000004E-4</v>
      </c>
      <c r="AC405" s="3">
        <v>5.7260000000000004E-4</v>
      </c>
      <c r="AD405" s="3">
        <v>5.7260000000000004E-4</v>
      </c>
      <c r="AE405" s="3">
        <v>5.7260000000000004E-4</v>
      </c>
      <c r="AF405" s="3">
        <v>5.7260000000000004E-4</v>
      </c>
      <c r="AG405" s="3">
        <v>5.7260000000000004E-4</v>
      </c>
      <c r="AH405" s="3">
        <v>5.7260000000000004E-4</v>
      </c>
      <c r="AI405" s="3">
        <v>5.7260000000000004E-4</v>
      </c>
      <c r="AJ405" s="3">
        <v>5.7260000000000004E-4</v>
      </c>
      <c r="AK405" s="3">
        <v>5.7260000000000004E-4</v>
      </c>
      <c r="AL405" s="3">
        <v>5.7260000000000004E-4</v>
      </c>
      <c r="AM405" s="3">
        <v>5.7260000000000004E-4</v>
      </c>
      <c r="AN405" s="3">
        <v>5.7260000000000004E-4</v>
      </c>
      <c r="AO405" s="3">
        <v>5.7260000000000004E-4</v>
      </c>
      <c r="AP405" s="3">
        <v>5.7260000000000004E-4</v>
      </c>
      <c r="AQ405" s="3">
        <v>5.7260000000000004E-4</v>
      </c>
      <c r="AR405" s="3">
        <v>5.7260000000000004E-4</v>
      </c>
      <c r="AS405" s="3">
        <v>5.7260000000000004E-4</v>
      </c>
      <c r="AT405" s="3">
        <v>5.7260000000000004E-4</v>
      </c>
      <c r="AU405" s="3">
        <v>5.7260000000000004E-4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</row>
    <row r="406" spans="1:69" hidden="1" x14ac:dyDescent="0.25">
      <c r="A406" s="20">
        <v>41</v>
      </c>
      <c r="B406" s="20" t="s">
        <v>90</v>
      </c>
      <c r="C406" s="3" t="s">
        <v>91</v>
      </c>
      <c r="D406" s="3">
        <v>5</v>
      </c>
      <c r="E406" s="3" t="s">
        <v>494</v>
      </c>
      <c r="F406" s="3"/>
      <c r="G406" s="3" t="s">
        <v>500</v>
      </c>
      <c r="H406" s="3">
        <v>0</v>
      </c>
      <c r="I406" s="3">
        <v>5.1839999999999998E-5</v>
      </c>
      <c r="J406" s="3">
        <v>5.1839999999999998E-5</v>
      </c>
      <c r="K406" s="3">
        <v>5.1839999999999998E-5</v>
      </c>
      <c r="L406" s="3">
        <v>4.2249599999999996E-4</v>
      </c>
      <c r="M406" s="3">
        <v>5.70456E-4</v>
      </c>
      <c r="N406" s="3">
        <v>5.5166399999999989E-4</v>
      </c>
      <c r="O406" s="3">
        <v>5.7196799999999996E-4</v>
      </c>
      <c r="P406" s="3">
        <v>5.7196799999999996E-4</v>
      </c>
      <c r="Q406" s="3">
        <v>5.7260000000000004E-4</v>
      </c>
      <c r="R406" s="3">
        <v>5.7260000000000004E-4</v>
      </c>
      <c r="S406" s="3">
        <v>5.7260000000000004E-4</v>
      </c>
      <c r="T406" s="3">
        <v>5.7260000000000004E-4</v>
      </c>
      <c r="U406" s="3">
        <v>99999</v>
      </c>
      <c r="V406" s="3">
        <v>99999</v>
      </c>
      <c r="W406" s="3">
        <v>99999</v>
      </c>
      <c r="X406" s="3">
        <v>99999</v>
      </c>
      <c r="Y406" s="3">
        <v>99999</v>
      </c>
      <c r="Z406" s="3">
        <v>99999</v>
      </c>
      <c r="AA406" s="3">
        <v>99999</v>
      </c>
      <c r="AB406" s="3">
        <v>99999</v>
      </c>
      <c r="AC406" s="3">
        <v>99999</v>
      </c>
      <c r="AD406" s="3">
        <v>99999</v>
      </c>
      <c r="AE406" s="3">
        <v>99999</v>
      </c>
      <c r="AF406" s="3">
        <v>99999</v>
      </c>
      <c r="AG406" s="3">
        <v>99999</v>
      </c>
      <c r="AH406" s="3">
        <v>99999</v>
      </c>
      <c r="AI406" s="3">
        <v>99999</v>
      </c>
      <c r="AJ406" s="3">
        <v>99999</v>
      </c>
      <c r="AK406" s="3">
        <v>99999</v>
      </c>
      <c r="AL406" s="3">
        <v>99999</v>
      </c>
      <c r="AM406" s="3">
        <v>99999</v>
      </c>
      <c r="AN406" s="3">
        <v>99999</v>
      </c>
      <c r="AO406" s="3">
        <v>99999</v>
      </c>
      <c r="AP406" s="3">
        <v>99999</v>
      </c>
      <c r="AQ406" s="3">
        <v>99999</v>
      </c>
      <c r="AR406" s="3">
        <v>99999</v>
      </c>
      <c r="AS406" s="3">
        <v>99999</v>
      </c>
      <c r="AT406" s="3">
        <v>99999</v>
      </c>
      <c r="AU406" s="3">
        <v>99999</v>
      </c>
      <c r="AV406" s="3">
        <v>99999</v>
      </c>
      <c r="AW406" s="3">
        <v>99999</v>
      </c>
      <c r="AX406" s="3">
        <v>99999</v>
      </c>
      <c r="AY406" s="3">
        <v>99999</v>
      </c>
      <c r="AZ406" s="3">
        <v>99999</v>
      </c>
      <c r="BA406" s="3">
        <v>99999</v>
      </c>
      <c r="BB406" s="3">
        <v>99999</v>
      </c>
      <c r="BC406" s="3">
        <v>99999</v>
      </c>
      <c r="BD406" s="3">
        <v>99999</v>
      </c>
      <c r="BE406" s="3">
        <v>99999</v>
      </c>
      <c r="BF406" s="3">
        <v>99999</v>
      </c>
      <c r="BG406" s="3">
        <v>99999</v>
      </c>
      <c r="BH406" s="3">
        <v>99999</v>
      </c>
      <c r="BI406" s="3">
        <v>99999</v>
      </c>
      <c r="BJ406" s="3">
        <v>99999</v>
      </c>
      <c r="BK406" s="3">
        <v>99999</v>
      </c>
      <c r="BL406" s="3">
        <v>99999</v>
      </c>
      <c r="BM406" s="3">
        <v>99999</v>
      </c>
      <c r="BN406" s="3">
        <v>99999</v>
      </c>
      <c r="BO406" s="3">
        <v>99999</v>
      </c>
      <c r="BP406" s="3">
        <v>99999</v>
      </c>
      <c r="BQ406" s="3">
        <v>99999</v>
      </c>
    </row>
    <row r="407" spans="1:69" hidden="1" x14ac:dyDescent="0.25">
      <c r="A407" s="20">
        <v>41</v>
      </c>
      <c r="B407" s="20" t="s">
        <v>90</v>
      </c>
      <c r="C407" s="3" t="s">
        <v>91</v>
      </c>
      <c r="D407" s="3">
        <v>6</v>
      </c>
      <c r="E407" s="3" t="s">
        <v>495</v>
      </c>
      <c r="F407" s="3"/>
      <c r="G407" s="3" t="s">
        <v>500</v>
      </c>
      <c r="H407" s="3">
        <v>0</v>
      </c>
      <c r="I407" s="51">
        <v>1.212E-3</v>
      </c>
      <c r="J407" s="51">
        <v>1.212E-3</v>
      </c>
      <c r="K407" s="51">
        <v>1.212E-3</v>
      </c>
      <c r="L407" s="3">
        <f>+L408*1.01</f>
        <v>0</v>
      </c>
      <c r="M407" s="3">
        <f>+M408*1.01</f>
        <v>0</v>
      </c>
      <c r="N407" s="3">
        <f>+N408*1.01</f>
        <v>0</v>
      </c>
      <c r="O407" s="3">
        <f>+O408*1.01</f>
        <v>0</v>
      </c>
      <c r="P407" s="3">
        <f>+P408*1.01</f>
        <v>0</v>
      </c>
      <c r="Q407" s="3">
        <v>9.1910000000000013E-3</v>
      </c>
      <c r="R407" s="3">
        <v>1.3534000000000001E-2</v>
      </c>
      <c r="S407" s="3">
        <v>1.1514E-2</v>
      </c>
      <c r="T407" s="3">
        <v>9.6959999999999998E-3</v>
      </c>
      <c r="U407" s="3">
        <v>1.1418999759708448E-2</v>
      </c>
      <c r="V407" s="3">
        <v>1.1609041061458256E-2</v>
      </c>
      <c r="W407" s="3">
        <v>1.1802312766481273E-2</v>
      </c>
      <c r="X407" s="3">
        <v>1.1996295238870851E-2</v>
      </c>
      <c r="Y407" s="3">
        <v>1.2193088339062649E-2</v>
      </c>
      <c r="Z407" s="3">
        <v>1.2391273481565726E-2</v>
      </c>
      <c r="AA407" s="3">
        <v>1.2592003820074379E-2</v>
      </c>
      <c r="AB407" s="3">
        <v>1.2794239255178067E-2</v>
      </c>
      <c r="AC407" s="3">
        <v>1.2999448509484871E-2</v>
      </c>
      <c r="AD407" s="3">
        <v>1.3205269240004681E-2</v>
      </c>
      <c r="AE407" s="3">
        <v>1.3412593100958064E-2</v>
      </c>
      <c r="AF407" s="3">
        <v>1.3621948989776856E-2</v>
      </c>
      <c r="AG407" s="3">
        <v>1.3832637936063222E-2</v>
      </c>
      <c r="AH407" s="3">
        <v>1.4044202807278508E-2</v>
      </c>
      <c r="AI407" s="3">
        <v>1.4256937544560476E-2</v>
      </c>
      <c r="AJ407" s="3">
        <v>1.4470049784842114E-2</v>
      </c>
      <c r="AK407" s="3">
        <v>1.4684168699789533E-2</v>
      </c>
      <c r="AL407" s="3">
        <v>1.4899504668678591E-2</v>
      </c>
      <c r="AM407" s="3">
        <v>1.5114416929773753E-2</v>
      </c>
      <c r="AN407" s="3">
        <v>1.533045973370646E-2</v>
      </c>
      <c r="AO407" s="3">
        <v>1.5545038730434724E-2</v>
      </c>
      <c r="AP407" s="3">
        <v>1.5759629524131732E-2</v>
      </c>
      <c r="AQ407" s="3">
        <v>1.59716800372268E-2</v>
      </c>
      <c r="AR407" s="3">
        <v>1.6181390818188514E-2</v>
      </c>
      <c r="AS407" s="3">
        <v>1.6388469892040541E-2</v>
      </c>
      <c r="AT407" s="3">
        <v>1.6592216322223637E-2</v>
      </c>
      <c r="AU407" s="3">
        <v>1.6792529834503491E-2</v>
      </c>
      <c r="AV407" s="3">
        <v>1.6990163468717991E-2</v>
      </c>
      <c r="AW407" s="3">
        <v>1.7184171501206508E-2</v>
      </c>
      <c r="AX407" s="3">
        <v>1.7408713979952653E-2</v>
      </c>
      <c r="AY407" s="3">
        <v>1.761740024115406E-2</v>
      </c>
      <c r="AZ407" s="3">
        <v>1.7826086502355572E-2</v>
      </c>
      <c r="BA407" s="3">
        <v>1.8034772763556979E-2</v>
      </c>
      <c r="BB407" s="3">
        <v>1.8243459024758487E-2</v>
      </c>
      <c r="BC407" s="3">
        <v>1.8452145285959995E-2</v>
      </c>
      <c r="BD407" s="3">
        <v>1.8660831547161406E-2</v>
      </c>
      <c r="BE407" s="3">
        <v>1.8869517808362914E-2</v>
      </c>
      <c r="BF407" s="3">
        <v>1.9078204069564321E-2</v>
      </c>
      <c r="BG407" s="3">
        <v>1.9286890330765829E-2</v>
      </c>
      <c r="BH407" s="3">
        <v>1.9495576591967236E-2</v>
      </c>
      <c r="BI407" s="3">
        <v>1.9704262853168748E-2</v>
      </c>
      <c r="BJ407" s="3">
        <v>1.9912949114370155E-2</v>
      </c>
      <c r="BK407" s="3">
        <v>2.0121635375571663E-2</v>
      </c>
      <c r="BL407" s="3">
        <v>2.0330321636773074E-2</v>
      </c>
      <c r="BM407" s="3">
        <v>2.0539007897974582E-2</v>
      </c>
      <c r="BN407" s="3">
        <v>2.0747694159175989E-2</v>
      </c>
      <c r="BO407" s="3">
        <v>2.09563804203775E-2</v>
      </c>
      <c r="BP407" s="3">
        <v>2.1165066681579008E-2</v>
      </c>
      <c r="BQ407" s="3">
        <v>2.1373752942780416E-2</v>
      </c>
    </row>
    <row r="408" spans="1:69" hidden="1" x14ac:dyDescent="0.25">
      <c r="A408" s="20">
        <v>41</v>
      </c>
      <c r="B408" s="20" t="s">
        <v>90</v>
      </c>
      <c r="C408" s="3" t="s">
        <v>91</v>
      </c>
      <c r="D408" s="3">
        <v>7</v>
      </c>
      <c r="E408" s="3" t="s">
        <v>496</v>
      </c>
      <c r="F408" s="3"/>
      <c r="G408" s="21" t="s">
        <v>500</v>
      </c>
      <c r="H408" s="22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9.1000000000000004E-3</v>
      </c>
      <c r="R408" s="3">
        <v>1.34E-2</v>
      </c>
      <c r="S408" s="3">
        <v>1.14E-2</v>
      </c>
      <c r="T408" s="3">
        <v>9.5999999999999992E-3</v>
      </c>
      <c r="U408" s="3">
        <v>1.1305940356146979E-2</v>
      </c>
      <c r="V408" s="3">
        <v>1.1494100060849758E-2</v>
      </c>
      <c r="W408" s="3">
        <v>1.1685458184634923E-2</v>
      </c>
      <c r="X408" s="3">
        <v>1.1877520038485991E-2</v>
      </c>
      <c r="Y408" s="3">
        <v>1.2072364692141237E-2</v>
      </c>
      <c r="Z408" s="3">
        <v>1.226858760551062E-2</v>
      </c>
      <c r="AA408" s="3">
        <v>1.2467330514925127E-2</v>
      </c>
      <c r="AB408" s="3">
        <v>1.2667563618988185E-2</v>
      </c>
      <c r="AC408" s="3">
        <v>1.2870741098499873E-2</v>
      </c>
      <c r="AD408" s="3">
        <v>1.3074524000004636E-2</v>
      </c>
      <c r="AE408" s="3">
        <v>1.327979514946343E-2</v>
      </c>
      <c r="AF408" s="3">
        <v>1.3487078207699857E-2</v>
      </c>
      <c r="AG408" s="3">
        <v>1.3695681124815071E-2</v>
      </c>
      <c r="AH408" s="3">
        <v>1.3905151294335156E-2</v>
      </c>
      <c r="AI408" s="3">
        <v>1.411577974708958E-2</v>
      </c>
      <c r="AJ408" s="3">
        <v>1.4326781965190211E-2</v>
      </c>
      <c r="AK408" s="3">
        <v>1.4538780890880726E-2</v>
      </c>
      <c r="AL408" s="3">
        <v>1.4751984820473853E-2</v>
      </c>
      <c r="AM408" s="3">
        <v>1.4964769237399755E-2</v>
      </c>
      <c r="AN408" s="3">
        <v>1.5178673003669763E-2</v>
      </c>
      <c r="AO408" s="3">
        <v>1.5391127455875965E-2</v>
      </c>
      <c r="AP408" s="3">
        <v>1.5603593588249238E-2</v>
      </c>
      <c r="AQ408" s="3">
        <v>1.5813544591313664E-2</v>
      </c>
      <c r="AR408" s="3">
        <v>1.6021179027909418E-2</v>
      </c>
      <c r="AS408" s="3">
        <v>1.6226207813901525E-2</v>
      </c>
      <c r="AT408" s="3">
        <v>1.6427936952696669E-2</v>
      </c>
      <c r="AU408" s="3">
        <v>1.6626267162874745E-2</v>
      </c>
      <c r="AV408" s="3">
        <v>1.6821944028433653E-2</v>
      </c>
      <c r="AW408" s="3">
        <v>1.7014031189313373E-2</v>
      </c>
      <c r="AX408" s="3">
        <v>1.7236350475200647E-2</v>
      </c>
      <c r="AY408" s="3">
        <v>1.7442970535796101E-2</v>
      </c>
      <c r="AZ408" s="3">
        <v>1.7649590596391655E-2</v>
      </c>
      <c r="BA408" s="3">
        <v>1.7856210656987108E-2</v>
      </c>
      <c r="BB408" s="3">
        <v>1.8062830717582662E-2</v>
      </c>
      <c r="BC408" s="3">
        <v>1.8269450778178212E-2</v>
      </c>
      <c r="BD408" s="3">
        <v>1.8476070838773669E-2</v>
      </c>
      <c r="BE408" s="3">
        <v>1.868269089936922E-2</v>
      </c>
      <c r="BF408" s="3">
        <v>1.8889310959964673E-2</v>
      </c>
      <c r="BG408" s="3">
        <v>1.9095931020560227E-2</v>
      </c>
      <c r="BH408" s="3">
        <v>1.9302551081155681E-2</v>
      </c>
      <c r="BI408" s="3">
        <v>1.9509171141751235E-2</v>
      </c>
      <c r="BJ408" s="3">
        <v>1.9715791202346688E-2</v>
      </c>
      <c r="BK408" s="3">
        <v>1.9922411262942242E-2</v>
      </c>
      <c r="BL408" s="3">
        <v>2.0129031323537695E-2</v>
      </c>
      <c r="BM408" s="3">
        <v>2.0335651384133249E-2</v>
      </c>
      <c r="BN408" s="3">
        <v>2.0542271444728703E-2</v>
      </c>
      <c r="BO408" s="3">
        <v>2.0748891505324257E-2</v>
      </c>
      <c r="BP408" s="3">
        <v>2.0955511565919811E-2</v>
      </c>
      <c r="BQ408" s="3">
        <v>2.1162131626515264E-2</v>
      </c>
    </row>
    <row r="409" spans="1:69" hidden="1" x14ac:dyDescent="0.25">
      <c r="A409" s="20">
        <v>41</v>
      </c>
      <c r="B409" s="20" t="s">
        <v>90</v>
      </c>
      <c r="C409" s="3" t="s">
        <v>91</v>
      </c>
      <c r="D409" s="3">
        <v>8</v>
      </c>
      <c r="E409" s="3" t="s">
        <v>497</v>
      </c>
      <c r="F409" s="3"/>
      <c r="G409" s="3" t="s">
        <v>490</v>
      </c>
      <c r="H409" s="3">
        <v>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hidden="1" x14ac:dyDescent="0.25">
      <c r="A410" s="20">
        <v>41</v>
      </c>
      <c r="B410" s="20" t="s">
        <v>90</v>
      </c>
      <c r="C410" s="3" t="s">
        <v>91</v>
      </c>
      <c r="D410" s="3">
        <v>9</v>
      </c>
      <c r="E410" s="3" t="s">
        <v>498</v>
      </c>
      <c r="F410" s="3"/>
      <c r="G410" s="3" t="s">
        <v>500</v>
      </c>
      <c r="H410" s="3">
        <v>0</v>
      </c>
      <c r="I410" s="51">
        <v>0.27279999999999999</v>
      </c>
      <c r="J410" s="51">
        <v>0.27279999999999999</v>
      </c>
      <c r="K410" s="51">
        <v>0.27279999999999999</v>
      </c>
      <c r="L410" s="51">
        <v>0.27279999999999999</v>
      </c>
      <c r="M410" s="51">
        <v>0.27279999999999999</v>
      </c>
      <c r="N410" s="3">
        <v>0.63480000000000003</v>
      </c>
      <c r="O410" s="3">
        <v>0.6633</v>
      </c>
      <c r="P410" s="3">
        <v>0.62919999999999998</v>
      </c>
      <c r="Q410" s="3">
        <v>0.53620000000000001</v>
      </c>
      <c r="R410" s="3">
        <v>0.79</v>
      </c>
      <c r="S410" s="3">
        <v>0.67300000000000004</v>
      </c>
      <c r="T410" s="3">
        <v>0.56330000000000002</v>
      </c>
      <c r="U410" s="3">
        <v>0.54</v>
      </c>
      <c r="V410" s="3">
        <v>0.54</v>
      </c>
      <c r="W410" s="3">
        <v>0.54</v>
      </c>
      <c r="X410" s="3">
        <v>0.54</v>
      </c>
      <c r="Y410" s="3">
        <v>0.54</v>
      </c>
      <c r="Z410" s="3">
        <v>0.54</v>
      </c>
      <c r="AA410" s="3">
        <v>0.54</v>
      </c>
      <c r="AB410" s="3">
        <v>0.54</v>
      </c>
      <c r="AC410" s="3">
        <v>0.54</v>
      </c>
      <c r="AD410" s="3">
        <v>0.54</v>
      </c>
      <c r="AE410" s="3">
        <v>0.54</v>
      </c>
      <c r="AF410" s="3">
        <v>0.54</v>
      </c>
      <c r="AG410" s="3">
        <v>0.54</v>
      </c>
      <c r="AH410" s="3">
        <v>0.54</v>
      </c>
      <c r="AI410" s="3">
        <v>0.54</v>
      </c>
      <c r="AJ410" s="3">
        <v>0.54</v>
      </c>
      <c r="AK410" s="3">
        <v>0.54</v>
      </c>
      <c r="AL410" s="3">
        <v>0.54</v>
      </c>
      <c r="AM410" s="3">
        <v>0.54</v>
      </c>
      <c r="AN410" s="3">
        <v>0.54</v>
      </c>
      <c r="AO410" s="3">
        <v>0.54</v>
      </c>
      <c r="AP410" s="3">
        <v>0.54</v>
      </c>
      <c r="AQ410" s="3">
        <v>0.54</v>
      </c>
      <c r="AR410" s="3">
        <v>0.54</v>
      </c>
      <c r="AS410" s="3">
        <v>0.54</v>
      </c>
      <c r="AT410" s="3">
        <v>0.54</v>
      </c>
      <c r="AU410" s="3">
        <v>0.54</v>
      </c>
      <c r="AV410" s="3">
        <v>0.54</v>
      </c>
      <c r="AW410" s="3">
        <v>0.54</v>
      </c>
      <c r="AX410" s="3">
        <v>0.54</v>
      </c>
      <c r="AY410" s="3">
        <v>0.54</v>
      </c>
      <c r="AZ410" s="3">
        <v>0.54</v>
      </c>
      <c r="BA410" s="3">
        <v>0.54</v>
      </c>
      <c r="BB410" s="3">
        <v>0.54</v>
      </c>
      <c r="BC410" s="3">
        <v>0.54</v>
      </c>
      <c r="BD410" s="3">
        <v>0.54</v>
      </c>
      <c r="BE410" s="3">
        <v>0.54</v>
      </c>
      <c r="BF410" s="3">
        <v>0.54</v>
      </c>
      <c r="BG410" s="3">
        <v>0.54</v>
      </c>
      <c r="BH410" s="3">
        <v>0.54</v>
      </c>
      <c r="BI410" s="3">
        <v>0.54</v>
      </c>
      <c r="BJ410" s="3">
        <v>0.54</v>
      </c>
      <c r="BK410" s="3">
        <v>0.54</v>
      </c>
      <c r="BL410" s="3">
        <v>0.54</v>
      </c>
      <c r="BM410" s="3">
        <v>0.54</v>
      </c>
      <c r="BN410" s="3">
        <v>0.54</v>
      </c>
      <c r="BO410" s="3">
        <v>0.54</v>
      </c>
      <c r="BP410" s="3">
        <v>0.54</v>
      </c>
      <c r="BQ410" s="3">
        <v>0.54</v>
      </c>
    </row>
    <row r="411" spans="1:69" hidden="1" x14ac:dyDescent="0.25">
      <c r="A411" s="20">
        <v>41</v>
      </c>
      <c r="B411" s="20" t="s">
        <v>90</v>
      </c>
      <c r="C411" s="3" t="s">
        <v>91</v>
      </c>
      <c r="D411" s="3">
        <v>10</v>
      </c>
      <c r="E411" s="3" t="s">
        <v>499</v>
      </c>
      <c r="F411" s="3"/>
      <c r="G411" s="3" t="s">
        <v>501</v>
      </c>
      <c r="H411" s="3">
        <v>0</v>
      </c>
      <c r="I411" s="3">
        <v>0.95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s="17" customFormat="1" hidden="1" x14ac:dyDescent="0.25">
      <c r="A412" s="23">
        <v>42</v>
      </c>
      <c r="B412" s="23" t="s">
        <v>92</v>
      </c>
      <c r="C412" s="24" t="s">
        <v>93</v>
      </c>
      <c r="D412" s="24">
        <v>1</v>
      </c>
      <c r="E412" s="24" t="s">
        <v>489</v>
      </c>
      <c r="F412" s="24"/>
      <c r="G412" s="24" t="s">
        <v>500</v>
      </c>
      <c r="H412" s="24">
        <v>0</v>
      </c>
      <c r="I412" s="24">
        <v>2156.6999999999998</v>
      </c>
      <c r="J412" s="24">
        <v>2156.6999999999998</v>
      </c>
      <c r="K412" s="24">
        <v>2156.6999999999998</v>
      </c>
      <c r="L412" s="24">
        <v>2156.6999999999998</v>
      </c>
      <c r="M412" s="24">
        <v>2156.6999999999998</v>
      </c>
      <c r="N412" s="24">
        <v>2156.6999999999998</v>
      </c>
      <c r="O412" s="24">
        <v>2156.6999999999998</v>
      </c>
      <c r="P412" s="24">
        <v>2156.6999999999998</v>
      </c>
      <c r="Q412" s="24">
        <v>2156.6999999999998</v>
      </c>
      <c r="R412" s="24">
        <v>2113.6</v>
      </c>
      <c r="S412" s="24">
        <v>2070.5</v>
      </c>
      <c r="T412" s="24">
        <v>2027.4</v>
      </c>
      <c r="U412" s="24">
        <v>1984.3</v>
      </c>
      <c r="V412" s="24">
        <v>1941.2</v>
      </c>
      <c r="W412" s="24">
        <v>1898.1</v>
      </c>
      <c r="X412" s="24">
        <v>1855</v>
      </c>
      <c r="Y412" s="24">
        <v>1811.9</v>
      </c>
      <c r="Z412" s="24">
        <v>1768.8</v>
      </c>
      <c r="AA412" s="24">
        <v>1725.7</v>
      </c>
      <c r="AB412" s="24">
        <v>1682.6</v>
      </c>
      <c r="AC412" s="24">
        <v>1639.5</v>
      </c>
      <c r="AD412" s="24">
        <v>1615.425</v>
      </c>
      <c r="AE412" s="24">
        <v>1591.35</v>
      </c>
      <c r="AF412" s="24">
        <v>1567.2750000000001</v>
      </c>
      <c r="AG412" s="24">
        <v>1543.2</v>
      </c>
      <c r="AH412" s="24">
        <v>1519.125</v>
      </c>
      <c r="AI412" s="24">
        <v>1495.05</v>
      </c>
      <c r="AJ412" s="24">
        <v>1470.9749999999999</v>
      </c>
      <c r="AK412" s="24">
        <v>1446.9</v>
      </c>
      <c r="AL412" s="24">
        <v>1422.825</v>
      </c>
      <c r="AM412" s="24">
        <v>1398.75</v>
      </c>
      <c r="AN412" s="24">
        <v>1374.675</v>
      </c>
      <c r="AO412" s="24">
        <v>1350.6</v>
      </c>
      <c r="AP412" s="24">
        <v>1326.5250000000001</v>
      </c>
      <c r="AQ412" s="24">
        <v>1302.45</v>
      </c>
      <c r="AR412" s="24">
        <v>1278.375</v>
      </c>
      <c r="AS412" s="24">
        <v>1254.3</v>
      </c>
      <c r="AT412" s="24">
        <v>1230.2249999999999</v>
      </c>
      <c r="AU412" s="24">
        <v>1206.1500000000001</v>
      </c>
      <c r="AV412" s="24">
        <v>1182.075</v>
      </c>
      <c r="AW412" s="24">
        <v>1158</v>
      </c>
      <c r="AX412" s="24">
        <v>1158</v>
      </c>
      <c r="AY412" s="24">
        <v>1158</v>
      </c>
      <c r="AZ412" s="24">
        <v>1158</v>
      </c>
      <c r="BA412" s="24">
        <v>1158</v>
      </c>
      <c r="BB412" s="24">
        <v>1158</v>
      </c>
      <c r="BC412" s="24">
        <v>1158</v>
      </c>
      <c r="BD412" s="24">
        <v>1158</v>
      </c>
      <c r="BE412" s="24">
        <v>1158</v>
      </c>
      <c r="BF412" s="24">
        <v>1158</v>
      </c>
      <c r="BG412" s="24">
        <v>1158</v>
      </c>
      <c r="BH412" s="24">
        <v>1158</v>
      </c>
      <c r="BI412" s="24">
        <v>1158</v>
      </c>
      <c r="BJ412" s="24">
        <v>1158</v>
      </c>
      <c r="BK412" s="24">
        <v>1158</v>
      </c>
      <c r="BL412" s="24">
        <v>1158</v>
      </c>
      <c r="BM412" s="24">
        <v>1158</v>
      </c>
      <c r="BN412" s="24">
        <v>1158</v>
      </c>
      <c r="BO412" s="24">
        <v>1158</v>
      </c>
      <c r="BP412" s="24">
        <v>1158</v>
      </c>
      <c r="BQ412" s="24">
        <v>1158</v>
      </c>
    </row>
    <row r="413" spans="1:69" s="17" customFormat="1" hidden="1" x14ac:dyDescent="0.25">
      <c r="A413" s="23">
        <v>42</v>
      </c>
      <c r="B413" s="23" t="s">
        <v>92</v>
      </c>
      <c r="C413" s="24" t="s">
        <v>93</v>
      </c>
      <c r="D413" s="24">
        <v>2</v>
      </c>
      <c r="E413" s="24" t="s">
        <v>491</v>
      </c>
      <c r="F413" s="24"/>
      <c r="G413" s="24" t="s">
        <v>500</v>
      </c>
      <c r="H413" s="24">
        <v>0</v>
      </c>
      <c r="I413" s="24">
        <v>37.950000000000003</v>
      </c>
      <c r="J413" s="24">
        <v>37.950000000000003</v>
      </c>
      <c r="K413" s="24">
        <v>37.950000000000003</v>
      </c>
      <c r="L413" s="24">
        <v>37.950000000000003</v>
      </c>
      <c r="M413" s="24">
        <v>37.950000000000003</v>
      </c>
      <c r="N413" s="24">
        <v>37.950000000000003</v>
      </c>
      <c r="O413" s="24">
        <v>37.950000000000003</v>
      </c>
      <c r="P413" s="24">
        <v>37.950000000000003</v>
      </c>
      <c r="Q413" s="24">
        <v>37.950000000000003</v>
      </c>
      <c r="R413" s="24">
        <v>37.950000000000003</v>
      </c>
      <c r="S413" s="24">
        <v>34.29</v>
      </c>
      <c r="T413" s="24">
        <v>34.29</v>
      </c>
      <c r="U413" s="24">
        <v>34.29</v>
      </c>
      <c r="V413" s="24">
        <v>34.29</v>
      </c>
      <c r="W413" s="24">
        <v>34.29</v>
      </c>
      <c r="X413" s="24">
        <v>30.65</v>
      </c>
      <c r="Y413" s="24">
        <v>30.65</v>
      </c>
      <c r="Z413" s="24">
        <v>30.65</v>
      </c>
      <c r="AA413" s="24">
        <v>30.65</v>
      </c>
      <c r="AB413" s="24">
        <v>30.65</v>
      </c>
      <c r="AC413" s="24">
        <v>27</v>
      </c>
      <c r="AD413" s="24">
        <v>27</v>
      </c>
      <c r="AE413" s="24">
        <v>27</v>
      </c>
      <c r="AF413" s="24">
        <v>27</v>
      </c>
      <c r="AG413" s="24">
        <v>27</v>
      </c>
      <c r="AH413" s="24">
        <v>24.59</v>
      </c>
      <c r="AI413" s="24">
        <v>24.59</v>
      </c>
      <c r="AJ413" s="24">
        <v>24.59</v>
      </c>
      <c r="AK413" s="24">
        <v>24.59</v>
      </c>
      <c r="AL413" s="24">
        <v>24.59</v>
      </c>
      <c r="AM413" s="24">
        <v>22.19</v>
      </c>
      <c r="AN413" s="24">
        <v>22.19</v>
      </c>
      <c r="AO413" s="24">
        <v>22.19</v>
      </c>
      <c r="AP413" s="24">
        <v>22.19</v>
      </c>
      <c r="AQ413" s="24">
        <v>22.19</v>
      </c>
      <c r="AR413" s="24">
        <v>19.78</v>
      </c>
      <c r="AS413" s="24">
        <v>19.78</v>
      </c>
      <c r="AT413" s="24">
        <v>19.78</v>
      </c>
      <c r="AU413" s="24">
        <v>19.78</v>
      </c>
      <c r="AV413" s="24">
        <v>19.78</v>
      </c>
      <c r="AW413" s="24">
        <v>17.37</v>
      </c>
      <c r="AX413" s="24">
        <v>17.37</v>
      </c>
      <c r="AY413" s="24">
        <v>17.37</v>
      </c>
      <c r="AZ413" s="24">
        <v>17.37</v>
      </c>
      <c r="BA413" s="24">
        <v>17.37</v>
      </c>
      <c r="BB413" s="24">
        <v>17.37</v>
      </c>
      <c r="BC413" s="24">
        <v>17.37</v>
      </c>
      <c r="BD413" s="24">
        <v>17.37</v>
      </c>
      <c r="BE413" s="24">
        <v>17.37</v>
      </c>
      <c r="BF413" s="24">
        <v>17.37</v>
      </c>
      <c r="BG413" s="24">
        <v>17.37</v>
      </c>
      <c r="BH413" s="24">
        <v>17.37</v>
      </c>
      <c r="BI413" s="24">
        <v>17.37</v>
      </c>
      <c r="BJ413" s="24">
        <v>17.37</v>
      </c>
      <c r="BK413" s="24">
        <v>17.37</v>
      </c>
      <c r="BL413" s="24">
        <v>17.37</v>
      </c>
      <c r="BM413" s="24">
        <v>17.37</v>
      </c>
      <c r="BN413" s="24">
        <v>17.37</v>
      </c>
      <c r="BO413" s="24">
        <v>17.37</v>
      </c>
      <c r="BP413" s="24">
        <v>17.37</v>
      </c>
      <c r="BQ413" s="24">
        <v>17.37</v>
      </c>
    </row>
    <row r="414" spans="1:69" s="17" customFormat="1" hidden="1" x14ac:dyDescent="0.25">
      <c r="A414" s="23">
        <v>42</v>
      </c>
      <c r="B414" s="23" t="s">
        <v>92</v>
      </c>
      <c r="C414" s="24" t="s">
        <v>93</v>
      </c>
      <c r="D414" s="24">
        <v>3</v>
      </c>
      <c r="E414" s="24" t="s">
        <v>492</v>
      </c>
      <c r="F414" s="24"/>
      <c r="G414" s="24" t="s">
        <v>500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4">
        <v>0</v>
      </c>
      <c r="AN414" s="24">
        <v>0</v>
      </c>
      <c r="AO414" s="24">
        <v>0</v>
      </c>
      <c r="AP414" s="24">
        <v>0</v>
      </c>
      <c r="AQ414" s="24">
        <v>0</v>
      </c>
      <c r="AR414" s="24">
        <v>0</v>
      </c>
      <c r="AS414" s="24">
        <v>0</v>
      </c>
      <c r="AT414" s="24">
        <v>0</v>
      </c>
      <c r="AU414" s="24">
        <v>0</v>
      </c>
      <c r="AV414" s="24">
        <v>0</v>
      </c>
      <c r="AW414" s="24">
        <v>0</v>
      </c>
      <c r="AX414" s="24">
        <v>0</v>
      </c>
      <c r="AY414" s="24">
        <v>0</v>
      </c>
      <c r="AZ414" s="24">
        <v>0</v>
      </c>
      <c r="BA414" s="24">
        <v>0</v>
      </c>
      <c r="BB414" s="24">
        <v>0</v>
      </c>
      <c r="BC414" s="24">
        <v>0</v>
      </c>
      <c r="BD414" s="24">
        <v>0</v>
      </c>
      <c r="BE414" s="24">
        <v>0</v>
      </c>
      <c r="BF414" s="24">
        <v>0</v>
      </c>
      <c r="BG414" s="24">
        <v>0</v>
      </c>
      <c r="BH414" s="24">
        <v>0</v>
      </c>
      <c r="BI414" s="24">
        <v>0</v>
      </c>
      <c r="BJ414" s="24">
        <v>0</v>
      </c>
      <c r="BK414" s="24">
        <v>0</v>
      </c>
      <c r="BL414" s="24">
        <v>0</v>
      </c>
      <c r="BM414" s="24">
        <v>0</v>
      </c>
      <c r="BN414" s="24">
        <v>0</v>
      </c>
      <c r="BO414" s="24">
        <v>0</v>
      </c>
      <c r="BP414" s="24">
        <v>0</v>
      </c>
      <c r="BQ414" s="24">
        <v>0</v>
      </c>
    </row>
    <row r="415" spans="1:69" s="17" customFormat="1" hidden="1" x14ac:dyDescent="0.25">
      <c r="A415" s="23">
        <v>42</v>
      </c>
      <c r="B415" s="23" t="s">
        <v>92</v>
      </c>
      <c r="C415" s="24" t="s">
        <v>93</v>
      </c>
      <c r="D415" s="24">
        <v>4</v>
      </c>
      <c r="E415" s="24" t="s">
        <v>493</v>
      </c>
      <c r="F415" s="24"/>
      <c r="G415" s="24" t="s">
        <v>500</v>
      </c>
      <c r="H415" s="24">
        <v>0</v>
      </c>
      <c r="I415" s="24">
        <v>5.2800000000000004E-4</v>
      </c>
      <c r="J415" s="24">
        <v>5.2800000000000004E-4</v>
      </c>
      <c r="K415" s="24">
        <v>5.2800000000000004E-4</v>
      </c>
      <c r="L415" s="24">
        <v>4.3031999999999992E-3</v>
      </c>
      <c r="M415" s="24">
        <v>4.6529999999999992E-3</v>
      </c>
      <c r="N415" s="24">
        <v>4.6529999999999992E-3</v>
      </c>
      <c r="O415" s="24">
        <v>4.6529999999999992E-3</v>
      </c>
      <c r="P415" s="24">
        <v>4.6529999999999992E-3</v>
      </c>
      <c r="Q415" s="24">
        <v>4.6500000000000005E-3</v>
      </c>
      <c r="R415" s="24">
        <v>4.6500000000000005E-3</v>
      </c>
      <c r="S415" s="24">
        <v>4.6500000000000005E-3</v>
      </c>
      <c r="T415" s="24">
        <v>4.6500000000000005E-3</v>
      </c>
      <c r="U415" s="24">
        <v>4.6500000000000005E-3</v>
      </c>
      <c r="V415" s="24">
        <v>4.6500000000000005E-3</v>
      </c>
      <c r="W415" s="24">
        <v>4.6500000000000005E-3</v>
      </c>
      <c r="X415" s="24">
        <v>4.6500000000000005E-3</v>
      </c>
      <c r="Y415" s="24">
        <v>4.6500000000000005E-3</v>
      </c>
      <c r="Z415" s="24">
        <v>4.6500000000000005E-3</v>
      </c>
      <c r="AA415" s="24">
        <v>4.6500000000000005E-3</v>
      </c>
      <c r="AB415" s="24">
        <v>4.6500000000000005E-3</v>
      </c>
      <c r="AC415" s="24">
        <v>4.6500000000000005E-3</v>
      </c>
      <c r="AD415" s="24">
        <v>4.6500000000000005E-3</v>
      </c>
      <c r="AE415" s="24">
        <v>4.6500000000000005E-3</v>
      </c>
      <c r="AF415" s="24">
        <v>4.6500000000000005E-3</v>
      </c>
      <c r="AG415" s="24">
        <v>4.6500000000000005E-3</v>
      </c>
      <c r="AH415" s="24">
        <v>4.6500000000000005E-3</v>
      </c>
      <c r="AI415" s="24">
        <v>4.6500000000000005E-3</v>
      </c>
      <c r="AJ415" s="24">
        <v>4.6500000000000005E-3</v>
      </c>
      <c r="AK415" s="24">
        <v>4.6500000000000005E-3</v>
      </c>
      <c r="AL415" s="24">
        <v>4.6500000000000005E-3</v>
      </c>
      <c r="AM415" s="24">
        <v>4.6500000000000005E-3</v>
      </c>
      <c r="AN415" s="24">
        <v>4.6500000000000005E-3</v>
      </c>
      <c r="AO415" s="24">
        <v>4.6500000000000005E-3</v>
      </c>
      <c r="AP415" s="24">
        <v>4.6500000000000005E-3</v>
      </c>
      <c r="AQ415" s="24">
        <v>4.6500000000000005E-3</v>
      </c>
      <c r="AR415" s="24">
        <v>4.6500000000000005E-3</v>
      </c>
      <c r="AS415" s="24">
        <v>4.6500000000000005E-3</v>
      </c>
      <c r="AT415" s="24">
        <v>4.6500000000000005E-3</v>
      </c>
      <c r="AU415" s="24">
        <v>4.6500000000000005E-3</v>
      </c>
      <c r="AV415" s="24">
        <v>4.6500000000000005E-3</v>
      </c>
      <c r="AW415" s="24">
        <v>4.6500000000000005E-3</v>
      </c>
      <c r="AX415" s="24">
        <v>4.6500000000000005E-3</v>
      </c>
      <c r="AY415" s="24">
        <v>4.6500000000000005E-3</v>
      </c>
      <c r="AZ415" s="24">
        <v>4.6500000000000005E-3</v>
      </c>
      <c r="BA415" s="24">
        <v>4.6500000000000005E-3</v>
      </c>
      <c r="BB415" s="24">
        <v>4.6500000000000005E-3</v>
      </c>
      <c r="BC415" s="24">
        <v>4.6500000000000005E-3</v>
      </c>
      <c r="BD415" s="24">
        <v>4.6500000000000005E-3</v>
      </c>
      <c r="BE415" s="24">
        <v>4.6500000000000005E-3</v>
      </c>
      <c r="BF415" s="24">
        <v>4.6500000000000005E-3</v>
      </c>
      <c r="BG415" s="24">
        <v>4.6500000000000005E-3</v>
      </c>
      <c r="BH415" s="24">
        <v>4.6500000000000005E-3</v>
      </c>
      <c r="BI415" s="24">
        <v>4.6500000000000005E-3</v>
      </c>
      <c r="BJ415" s="24">
        <v>4.6500000000000005E-3</v>
      </c>
      <c r="BK415" s="24">
        <v>4.6500000000000005E-3</v>
      </c>
      <c r="BL415" s="24">
        <v>4.6500000000000005E-3</v>
      </c>
      <c r="BM415" s="24">
        <v>4.6500000000000005E-3</v>
      </c>
      <c r="BN415" s="24">
        <v>4.6500000000000005E-3</v>
      </c>
      <c r="BO415" s="24">
        <v>4.6500000000000005E-3</v>
      </c>
      <c r="BP415" s="24">
        <v>4.6500000000000005E-3</v>
      </c>
      <c r="BQ415" s="24">
        <v>4.6500000000000005E-3</v>
      </c>
    </row>
    <row r="416" spans="1:69" s="17" customFormat="1" hidden="1" x14ac:dyDescent="0.25">
      <c r="A416" s="23">
        <v>42</v>
      </c>
      <c r="B416" s="23" t="s">
        <v>92</v>
      </c>
      <c r="C416" s="24" t="s">
        <v>93</v>
      </c>
      <c r="D416" s="24">
        <v>5</v>
      </c>
      <c r="E416" s="24" t="s">
        <v>494</v>
      </c>
      <c r="F416" s="24"/>
      <c r="G416" s="24" t="s">
        <v>500</v>
      </c>
      <c r="H416" s="24">
        <v>0</v>
      </c>
      <c r="I416" s="24">
        <v>5.2800000000000004E-4</v>
      </c>
      <c r="J416" s="24">
        <v>5.2800000000000004E-4</v>
      </c>
      <c r="K416" s="24">
        <v>5.2800000000000004E-4</v>
      </c>
      <c r="L416" s="24">
        <v>4.3031999999999992E-3</v>
      </c>
      <c r="M416" s="24">
        <v>4.6529999999999992E-3</v>
      </c>
      <c r="N416" s="24">
        <v>4.6529999999999992E-3</v>
      </c>
      <c r="O416" s="24">
        <v>4.6529999999999992E-3</v>
      </c>
      <c r="P416" s="24">
        <v>4.6529999999999992E-3</v>
      </c>
      <c r="Q416" s="24">
        <v>4.6500000000000005E-3</v>
      </c>
      <c r="R416" s="24">
        <v>4.6500000000000005E-3</v>
      </c>
      <c r="S416" s="24">
        <v>4.6500000000000005E-3</v>
      </c>
      <c r="T416" s="24">
        <v>4.6500000000000005E-3</v>
      </c>
      <c r="U416" s="24">
        <v>99999</v>
      </c>
      <c r="V416" s="24">
        <v>99999</v>
      </c>
      <c r="W416" s="24">
        <v>99999</v>
      </c>
      <c r="X416" s="24">
        <v>99999</v>
      </c>
      <c r="Y416" s="24">
        <v>99999</v>
      </c>
      <c r="Z416" s="24">
        <v>99999</v>
      </c>
      <c r="AA416" s="24">
        <v>99999</v>
      </c>
      <c r="AB416" s="24">
        <v>99999</v>
      </c>
      <c r="AC416" s="24">
        <v>99999</v>
      </c>
      <c r="AD416" s="24">
        <v>99999</v>
      </c>
      <c r="AE416" s="24">
        <v>99999</v>
      </c>
      <c r="AF416" s="24">
        <v>99999</v>
      </c>
      <c r="AG416" s="24">
        <v>99999</v>
      </c>
      <c r="AH416" s="24">
        <v>99999</v>
      </c>
      <c r="AI416" s="24">
        <v>99999</v>
      </c>
      <c r="AJ416" s="24">
        <v>99999</v>
      </c>
      <c r="AK416" s="24">
        <v>99999</v>
      </c>
      <c r="AL416" s="24">
        <v>99999</v>
      </c>
      <c r="AM416" s="24">
        <v>99999</v>
      </c>
      <c r="AN416" s="24">
        <v>99999</v>
      </c>
      <c r="AO416" s="24">
        <v>99999</v>
      </c>
      <c r="AP416" s="24">
        <v>99999</v>
      </c>
      <c r="AQ416" s="24">
        <v>99999</v>
      </c>
      <c r="AR416" s="24">
        <v>99999</v>
      </c>
      <c r="AS416" s="24">
        <v>99999</v>
      </c>
      <c r="AT416" s="24">
        <v>99999</v>
      </c>
      <c r="AU416" s="24">
        <v>99999</v>
      </c>
      <c r="AV416" s="24">
        <v>99999</v>
      </c>
      <c r="AW416" s="24">
        <v>99999</v>
      </c>
      <c r="AX416" s="24">
        <v>99999</v>
      </c>
      <c r="AY416" s="24">
        <v>99999</v>
      </c>
      <c r="AZ416" s="24">
        <v>99999</v>
      </c>
      <c r="BA416" s="24">
        <v>99999</v>
      </c>
      <c r="BB416" s="24">
        <v>99999</v>
      </c>
      <c r="BC416" s="24">
        <v>99999</v>
      </c>
      <c r="BD416" s="24">
        <v>99999</v>
      </c>
      <c r="BE416" s="24">
        <v>99999</v>
      </c>
      <c r="BF416" s="24">
        <v>99999</v>
      </c>
      <c r="BG416" s="24">
        <v>99999</v>
      </c>
      <c r="BH416" s="24">
        <v>99999</v>
      </c>
      <c r="BI416" s="24">
        <v>99999</v>
      </c>
      <c r="BJ416" s="24">
        <v>99999</v>
      </c>
      <c r="BK416" s="24">
        <v>99999</v>
      </c>
      <c r="BL416" s="24">
        <v>99999</v>
      </c>
      <c r="BM416" s="24">
        <v>99999</v>
      </c>
      <c r="BN416" s="24">
        <v>99999</v>
      </c>
      <c r="BO416" s="24">
        <v>99999</v>
      </c>
      <c r="BP416" s="24">
        <v>99999</v>
      </c>
      <c r="BQ416" s="24">
        <v>99999</v>
      </c>
    </row>
    <row r="417" spans="1:69" s="17" customFormat="1" hidden="1" x14ac:dyDescent="0.25">
      <c r="A417" s="23">
        <v>42</v>
      </c>
      <c r="B417" s="23" t="s">
        <v>92</v>
      </c>
      <c r="C417" s="24" t="s">
        <v>93</v>
      </c>
      <c r="D417" s="24">
        <v>6</v>
      </c>
      <c r="E417" s="24" t="s">
        <v>495</v>
      </c>
      <c r="F417" s="24"/>
      <c r="G417" s="24" t="s">
        <v>500</v>
      </c>
      <c r="H417" s="24">
        <v>0</v>
      </c>
      <c r="I417" s="24">
        <v>7.7040961789396072E-4</v>
      </c>
      <c r="J417" s="24">
        <v>7.7040961789396072E-4</v>
      </c>
      <c r="K417" s="24">
        <v>5.1360641192930729E-4</v>
      </c>
      <c r="L417" s="24">
        <v>1.4637782739985256E-2</v>
      </c>
      <c r="M417" s="24">
        <v>2.0544256477172288E-2</v>
      </c>
      <c r="N417" s="24">
        <v>2.5423517390500704E-2</v>
      </c>
      <c r="O417" s="24">
        <v>2.1571469301030904E-2</v>
      </c>
      <c r="P417" s="24">
        <v>1.874663403541971E-2</v>
      </c>
      <c r="Q417" s="24">
        <v>2.3533000000000002E-2</v>
      </c>
      <c r="R417" s="24">
        <v>1.9896999999999998E-2</v>
      </c>
      <c r="S417" s="24">
        <v>1.9695000000000001E-2</v>
      </c>
      <c r="T417" s="24">
        <v>7.0699999999999999E-3</v>
      </c>
      <c r="U417" s="24">
        <v>2.5541263644169948E-2</v>
      </c>
      <c r="V417" s="24">
        <v>2.6177253784786286E-2</v>
      </c>
      <c r="W417" s="24">
        <v>2.6813243925402609E-2</v>
      </c>
      <c r="X417" s="24">
        <v>2.7449234066018957E-2</v>
      </c>
      <c r="Y417" s="24">
        <v>2.8085224206635302E-2</v>
      </c>
      <c r="Z417" s="24">
        <v>2.8721214347251639E-2</v>
      </c>
      <c r="AA417" s="24">
        <v>2.9357204487867977E-2</v>
      </c>
      <c r="AB417" s="24">
        <v>2.9993194628484311E-2</v>
      </c>
      <c r="AC417" s="24">
        <v>3.0629184769100648E-2</v>
      </c>
      <c r="AD417" s="24">
        <v>3.0871155956295183E-2</v>
      </c>
      <c r="AE417" s="24">
        <v>3.1113127143489717E-2</v>
      </c>
      <c r="AF417" s="24">
        <v>3.1355098330684263E-2</v>
      </c>
      <c r="AG417" s="24">
        <v>3.1597069517878794E-2</v>
      </c>
      <c r="AH417" s="24">
        <v>3.1839040705073332E-2</v>
      </c>
      <c r="AI417" s="24">
        <v>3.2081011892267863E-2</v>
      </c>
      <c r="AJ417" s="24">
        <v>3.2322983079462388E-2</v>
      </c>
      <c r="AK417" s="24">
        <v>3.2564954266656947E-2</v>
      </c>
      <c r="AL417" s="24">
        <v>3.2806925453851471E-2</v>
      </c>
      <c r="AM417" s="24">
        <v>3.3048896641045995E-2</v>
      </c>
      <c r="AN417" s="24">
        <v>3.3081945956032796E-2</v>
      </c>
      <c r="AO417" s="24">
        <v>3.3114995271019604E-2</v>
      </c>
      <c r="AP417" s="24">
        <v>3.3148044586006419E-2</v>
      </c>
      <c r="AQ417" s="24">
        <v>3.3181093900993219E-2</v>
      </c>
      <c r="AR417" s="24">
        <v>3.3214143215980034E-2</v>
      </c>
      <c r="AS417" s="24">
        <v>3.3247192530966828E-2</v>
      </c>
      <c r="AT417" s="24">
        <v>3.3280241845953649E-2</v>
      </c>
      <c r="AU417" s="24">
        <v>3.331329116094045E-2</v>
      </c>
      <c r="AV417" s="24">
        <v>3.3346340475927258E-2</v>
      </c>
      <c r="AW417" s="24">
        <v>3.3379389790914045E-2</v>
      </c>
      <c r="AX417" s="24">
        <v>3.5114065634003426E-2</v>
      </c>
      <c r="AY417" s="24">
        <v>3.5375293091026189E-2</v>
      </c>
      <c r="AZ417" s="24">
        <v>3.5636520548049049E-2</v>
      </c>
      <c r="BA417" s="24">
        <v>3.5897748005071908E-2</v>
      </c>
      <c r="BB417" s="24">
        <v>3.6158975462094775E-2</v>
      </c>
      <c r="BC417" s="24">
        <v>3.6420202919117635E-2</v>
      </c>
      <c r="BD417" s="24">
        <v>3.6681430376140488E-2</v>
      </c>
      <c r="BE417" s="24">
        <v>3.6942657833163361E-2</v>
      </c>
      <c r="BF417" s="24">
        <v>3.7203885290186221E-2</v>
      </c>
      <c r="BG417" s="24">
        <v>3.7465112747209081E-2</v>
      </c>
      <c r="BH417" s="24">
        <v>3.7726340204231948E-2</v>
      </c>
      <c r="BI417" s="24">
        <v>3.7987567661254801E-2</v>
      </c>
      <c r="BJ417" s="24">
        <v>3.824879511827757E-2</v>
      </c>
      <c r="BK417" s="24">
        <v>3.851002257530043E-2</v>
      </c>
      <c r="BL417" s="24">
        <v>3.877125003232329E-2</v>
      </c>
      <c r="BM417" s="24">
        <v>3.9032477489346157E-2</v>
      </c>
      <c r="BN417" s="24">
        <v>3.929370494636901E-2</v>
      </c>
      <c r="BO417" s="24">
        <v>3.9554932403391883E-2</v>
      </c>
      <c r="BP417" s="24">
        <v>3.9816159860414736E-2</v>
      </c>
      <c r="BQ417" s="24">
        <v>4.0077387317437596E-2</v>
      </c>
    </row>
    <row r="418" spans="1:69" s="17" customFormat="1" hidden="1" x14ac:dyDescent="0.25">
      <c r="A418" s="23">
        <v>42</v>
      </c>
      <c r="B418" s="23" t="s">
        <v>92</v>
      </c>
      <c r="C418" s="24" t="s">
        <v>93</v>
      </c>
      <c r="D418" s="24">
        <v>7</v>
      </c>
      <c r="E418" s="24" t="s">
        <v>496</v>
      </c>
      <c r="F418" s="24"/>
      <c r="G418" s="25" t="s">
        <v>500</v>
      </c>
      <c r="H418" s="26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24">
        <v>2.3300000000000001E-2</v>
      </c>
      <c r="R418" s="24">
        <v>1.9699999999999999E-2</v>
      </c>
      <c r="S418" s="24">
        <v>1.95E-2</v>
      </c>
      <c r="T418" s="24">
        <v>7.0000000000000001E-3</v>
      </c>
      <c r="U418" s="24">
        <v>2.5288379845712819E-2</v>
      </c>
      <c r="V418" s="24">
        <v>2.5918073054243845E-2</v>
      </c>
      <c r="W418" s="24">
        <v>2.6547766262774861E-2</v>
      </c>
      <c r="X418" s="24">
        <v>2.7177459471305898E-2</v>
      </c>
      <c r="Y418" s="24">
        <v>2.7807152679836931E-2</v>
      </c>
      <c r="Z418" s="24">
        <v>2.8436845888367958E-2</v>
      </c>
      <c r="AA418" s="24">
        <v>2.9066539096898988E-2</v>
      </c>
      <c r="AB418" s="24">
        <v>2.9696232305430011E-2</v>
      </c>
      <c r="AC418" s="24">
        <v>3.0325925513961037E-2</v>
      </c>
      <c r="AD418" s="24">
        <v>3.0565500946826914E-2</v>
      </c>
      <c r="AE418" s="24">
        <v>3.0805076379692788E-2</v>
      </c>
      <c r="AF418" s="24">
        <v>3.1044651812558673E-2</v>
      </c>
      <c r="AG418" s="24">
        <v>3.1284227245424547E-2</v>
      </c>
      <c r="AH418" s="24">
        <v>3.1523802678290427E-2</v>
      </c>
      <c r="AI418" s="24">
        <v>3.1763378111156301E-2</v>
      </c>
      <c r="AJ418" s="24">
        <v>3.2002953544022168E-2</v>
      </c>
      <c r="AK418" s="24">
        <v>3.2242528976888063E-2</v>
      </c>
      <c r="AL418" s="24">
        <v>3.248210440975393E-2</v>
      </c>
      <c r="AM418" s="24">
        <v>3.2721679842619797E-2</v>
      </c>
      <c r="AN418" s="24">
        <v>3.2754401936666136E-2</v>
      </c>
      <c r="AO418" s="24">
        <v>3.2787124030712482E-2</v>
      </c>
      <c r="AP418" s="24">
        <v>3.2819846124758828E-2</v>
      </c>
      <c r="AQ418" s="24">
        <v>3.2852568218805167E-2</v>
      </c>
      <c r="AR418" s="24">
        <v>3.288529031285152E-2</v>
      </c>
      <c r="AS418" s="24">
        <v>3.2918012406897852E-2</v>
      </c>
      <c r="AT418" s="24">
        <v>3.2950734500944205E-2</v>
      </c>
      <c r="AU418" s="24">
        <v>3.2983456594990544E-2</v>
      </c>
      <c r="AV418" s="24">
        <v>3.301617868903689E-2</v>
      </c>
      <c r="AW418" s="24">
        <v>3.3048900783083215E-2</v>
      </c>
      <c r="AX418" s="24">
        <v>3.4766401617825175E-2</v>
      </c>
      <c r="AY418" s="24">
        <v>3.5025042664382368E-2</v>
      </c>
      <c r="AZ418" s="24">
        <v>3.5283683710939651E-2</v>
      </c>
      <c r="BA418" s="24">
        <v>3.554232475749694E-2</v>
      </c>
      <c r="BB418" s="24">
        <v>3.580096580405423E-2</v>
      </c>
      <c r="BC418" s="24">
        <v>3.605960685061152E-2</v>
      </c>
      <c r="BD418" s="24">
        <v>3.6318247897168802E-2</v>
      </c>
      <c r="BE418" s="24">
        <v>3.6576888943726099E-2</v>
      </c>
      <c r="BF418" s="24">
        <v>3.6835529990283389E-2</v>
      </c>
      <c r="BG418" s="24">
        <v>3.7094171036840672E-2</v>
      </c>
      <c r="BH418" s="24">
        <v>3.7352812083397968E-2</v>
      </c>
      <c r="BI418" s="24">
        <v>3.7611453129955251E-2</v>
      </c>
      <c r="BJ418" s="24">
        <v>3.7870094176512444E-2</v>
      </c>
      <c r="BK418" s="24">
        <v>3.8128735223069733E-2</v>
      </c>
      <c r="BL418" s="24">
        <v>3.8387376269627023E-2</v>
      </c>
      <c r="BM418" s="24">
        <v>3.8646017316184313E-2</v>
      </c>
      <c r="BN418" s="24">
        <v>3.8904658362741595E-2</v>
      </c>
      <c r="BO418" s="24">
        <v>3.9163299409298892E-2</v>
      </c>
      <c r="BP418" s="24">
        <v>3.9421940455856175E-2</v>
      </c>
      <c r="BQ418" s="24">
        <v>3.9680581502413464E-2</v>
      </c>
    </row>
    <row r="419" spans="1:69" s="17" customFormat="1" hidden="1" x14ac:dyDescent="0.25">
      <c r="A419" s="23">
        <v>42</v>
      </c>
      <c r="B419" s="23" t="s">
        <v>92</v>
      </c>
      <c r="C419" s="24" t="s">
        <v>93</v>
      </c>
      <c r="D419" s="24">
        <v>8</v>
      </c>
      <c r="E419" s="24" t="s">
        <v>497</v>
      </c>
      <c r="F419" s="24"/>
      <c r="G419" s="24" t="s">
        <v>490</v>
      </c>
      <c r="H419" s="24">
        <v>0</v>
      </c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</row>
    <row r="420" spans="1:69" s="17" customFormat="1" hidden="1" x14ac:dyDescent="0.25">
      <c r="A420" s="23">
        <v>42</v>
      </c>
      <c r="B420" s="23" t="s">
        <v>92</v>
      </c>
      <c r="C420" s="24" t="s">
        <v>93</v>
      </c>
      <c r="D420" s="24">
        <v>9</v>
      </c>
      <c r="E420" s="24" t="s">
        <v>498</v>
      </c>
      <c r="F420" s="24"/>
      <c r="G420" s="24" t="s">
        <v>500</v>
      </c>
      <c r="H420" s="24">
        <v>0</v>
      </c>
      <c r="I420" s="24">
        <v>4.7800000000000002E-2</v>
      </c>
      <c r="J420" s="24">
        <v>4.7800000000000002E-2</v>
      </c>
      <c r="K420" s="24">
        <v>3.1800000000000002E-2</v>
      </c>
      <c r="L420" s="24">
        <v>0.1113</v>
      </c>
      <c r="M420" s="24">
        <v>0.14449999999999999</v>
      </c>
      <c r="N420" s="24">
        <v>0.1789</v>
      </c>
      <c r="O420" s="24">
        <v>0.15179999999999999</v>
      </c>
      <c r="P420" s="24">
        <v>0.13189999999999999</v>
      </c>
      <c r="Q420" s="24">
        <v>0.16930000000000001</v>
      </c>
      <c r="R420" s="24">
        <v>0.14319999999999999</v>
      </c>
      <c r="S420" s="24">
        <v>0.1411</v>
      </c>
      <c r="T420" s="24">
        <v>5.04E-2</v>
      </c>
      <c r="U420" s="24">
        <v>0.17</v>
      </c>
      <c r="V420" s="24">
        <v>0.17</v>
      </c>
      <c r="W420" s="24">
        <v>0.17</v>
      </c>
      <c r="X420" s="24">
        <v>0.17</v>
      </c>
      <c r="Y420" s="24">
        <v>0.17</v>
      </c>
      <c r="Z420" s="24">
        <v>0.17</v>
      </c>
      <c r="AA420" s="24">
        <v>0.17</v>
      </c>
      <c r="AB420" s="24">
        <v>0.17</v>
      </c>
      <c r="AC420" s="24">
        <v>0.17</v>
      </c>
      <c r="AD420" s="24">
        <v>0.17</v>
      </c>
      <c r="AE420" s="24">
        <v>0.17</v>
      </c>
      <c r="AF420" s="24">
        <v>0.17</v>
      </c>
      <c r="AG420" s="24">
        <v>0.17</v>
      </c>
      <c r="AH420" s="24">
        <v>0.17</v>
      </c>
      <c r="AI420" s="24">
        <v>0.17</v>
      </c>
      <c r="AJ420" s="24">
        <v>0.17</v>
      </c>
      <c r="AK420" s="24">
        <v>0.17</v>
      </c>
      <c r="AL420" s="24">
        <v>0.17</v>
      </c>
      <c r="AM420" s="24">
        <v>0.17</v>
      </c>
      <c r="AN420" s="24">
        <v>0.17</v>
      </c>
      <c r="AO420" s="24">
        <v>0.17</v>
      </c>
      <c r="AP420" s="24">
        <v>0.17</v>
      </c>
      <c r="AQ420" s="24">
        <v>0.17</v>
      </c>
      <c r="AR420" s="24">
        <v>0.17</v>
      </c>
      <c r="AS420" s="24">
        <v>0.17</v>
      </c>
      <c r="AT420" s="24">
        <v>0.17</v>
      </c>
      <c r="AU420" s="24">
        <v>0.17</v>
      </c>
      <c r="AV420" s="24">
        <v>0.17</v>
      </c>
      <c r="AW420" s="24">
        <v>0.17</v>
      </c>
      <c r="AX420" s="24">
        <v>0.17</v>
      </c>
      <c r="AY420" s="24">
        <v>0.17</v>
      </c>
      <c r="AZ420" s="24">
        <v>0.17</v>
      </c>
      <c r="BA420" s="24">
        <v>0.17</v>
      </c>
      <c r="BB420" s="24">
        <v>0.17</v>
      </c>
      <c r="BC420" s="24">
        <v>0.17</v>
      </c>
      <c r="BD420" s="24">
        <v>0.17</v>
      </c>
      <c r="BE420" s="24">
        <v>0.17</v>
      </c>
      <c r="BF420" s="24">
        <v>0.17</v>
      </c>
      <c r="BG420" s="24">
        <v>0.17</v>
      </c>
      <c r="BH420" s="24">
        <v>0.17</v>
      </c>
      <c r="BI420" s="24">
        <v>0.17</v>
      </c>
      <c r="BJ420" s="24">
        <v>0.17</v>
      </c>
      <c r="BK420" s="24">
        <v>0.17</v>
      </c>
      <c r="BL420" s="24">
        <v>0.17</v>
      </c>
      <c r="BM420" s="24">
        <v>0.17</v>
      </c>
      <c r="BN420" s="24">
        <v>0.17</v>
      </c>
      <c r="BO420" s="24">
        <v>0.17</v>
      </c>
      <c r="BP420" s="24">
        <v>0.17</v>
      </c>
      <c r="BQ420" s="24">
        <v>0.17</v>
      </c>
    </row>
    <row r="421" spans="1:69" s="17" customFormat="1" hidden="1" x14ac:dyDescent="0.25">
      <c r="A421" s="23">
        <v>42</v>
      </c>
      <c r="B421" s="23" t="s">
        <v>92</v>
      </c>
      <c r="C421" s="24" t="s">
        <v>93</v>
      </c>
      <c r="D421" s="24">
        <v>10</v>
      </c>
      <c r="E421" s="24" t="s">
        <v>499</v>
      </c>
      <c r="F421" s="24"/>
      <c r="G421" s="24" t="s">
        <v>501</v>
      </c>
      <c r="H421" s="24">
        <v>0</v>
      </c>
      <c r="I421" s="24">
        <v>0.95</v>
      </c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</row>
    <row r="422" spans="1:69" hidden="1" x14ac:dyDescent="0.25">
      <c r="A422" s="20">
        <v>43</v>
      </c>
      <c r="B422" s="20" t="s">
        <v>94</v>
      </c>
      <c r="C422" s="3" t="s">
        <v>95</v>
      </c>
      <c r="D422" s="3">
        <v>1</v>
      </c>
      <c r="E422" s="3" t="s">
        <v>489</v>
      </c>
      <c r="F422" s="3"/>
      <c r="G422" s="3" t="s">
        <v>500</v>
      </c>
      <c r="H422" s="3">
        <v>0</v>
      </c>
      <c r="I422" s="3">
        <v>1800</v>
      </c>
      <c r="J422" s="3">
        <v>1800</v>
      </c>
      <c r="K422" s="3">
        <v>1800</v>
      </c>
      <c r="L422" s="3">
        <v>1800</v>
      </c>
      <c r="M422" s="3">
        <v>1800</v>
      </c>
      <c r="N422" s="3">
        <v>1800</v>
      </c>
      <c r="O422" s="3">
        <v>1800</v>
      </c>
      <c r="P422" s="3">
        <v>1800</v>
      </c>
      <c r="Q422" s="3">
        <v>1800</v>
      </c>
      <c r="R422" s="3">
        <v>1740</v>
      </c>
      <c r="S422" s="3">
        <v>1680</v>
      </c>
      <c r="T422" s="3">
        <v>1620</v>
      </c>
      <c r="U422" s="3">
        <v>1560</v>
      </c>
      <c r="V422" s="3">
        <v>1500</v>
      </c>
      <c r="W422" s="3">
        <v>1440</v>
      </c>
      <c r="X422" s="3">
        <v>1380</v>
      </c>
      <c r="Y422" s="3">
        <v>1320</v>
      </c>
      <c r="Z422" s="3">
        <v>1260</v>
      </c>
      <c r="AA422" s="3">
        <v>1200</v>
      </c>
      <c r="AB422" s="3">
        <v>1140</v>
      </c>
      <c r="AC422" s="3">
        <v>1080</v>
      </c>
      <c r="AD422" s="3">
        <v>1074</v>
      </c>
      <c r="AE422" s="3">
        <v>1068</v>
      </c>
      <c r="AF422" s="3">
        <v>1062</v>
      </c>
      <c r="AG422" s="3">
        <v>1056</v>
      </c>
      <c r="AH422" s="3">
        <v>1050</v>
      </c>
      <c r="AI422" s="3">
        <v>1044</v>
      </c>
      <c r="AJ422" s="3">
        <v>1038</v>
      </c>
      <c r="AK422" s="3">
        <v>1032</v>
      </c>
      <c r="AL422" s="3">
        <v>1026</v>
      </c>
      <c r="AM422" s="3">
        <v>1020</v>
      </c>
      <c r="AN422" s="3">
        <v>1014</v>
      </c>
      <c r="AO422" s="3">
        <v>1008</v>
      </c>
      <c r="AP422" s="3">
        <v>1002</v>
      </c>
      <c r="AQ422" s="3">
        <v>996</v>
      </c>
      <c r="AR422" s="3">
        <v>990</v>
      </c>
      <c r="AS422" s="3">
        <v>984</v>
      </c>
      <c r="AT422" s="3">
        <v>978</v>
      </c>
      <c r="AU422" s="3">
        <v>972</v>
      </c>
      <c r="AV422" s="3">
        <v>966</v>
      </c>
      <c r="AW422" s="3">
        <v>960</v>
      </c>
      <c r="AX422" s="3">
        <v>960</v>
      </c>
      <c r="AY422" s="3">
        <v>960</v>
      </c>
      <c r="AZ422" s="3">
        <v>960</v>
      </c>
      <c r="BA422" s="3">
        <v>960</v>
      </c>
      <c r="BB422" s="3">
        <v>960</v>
      </c>
      <c r="BC422" s="3">
        <v>960</v>
      </c>
      <c r="BD422" s="3">
        <v>960</v>
      </c>
      <c r="BE422" s="3">
        <v>960</v>
      </c>
      <c r="BF422" s="3">
        <v>960</v>
      </c>
      <c r="BG422" s="3">
        <v>960</v>
      </c>
      <c r="BH422" s="3">
        <v>960</v>
      </c>
      <c r="BI422" s="3">
        <v>960</v>
      </c>
      <c r="BJ422" s="3">
        <v>960</v>
      </c>
      <c r="BK422" s="3">
        <v>960</v>
      </c>
      <c r="BL422" s="3">
        <v>960</v>
      </c>
      <c r="BM422" s="3">
        <v>960</v>
      </c>
      <c r="BN422" s="3">
        <v>960</v>
      </c>
      <c r="BO422" s="3">
        <v>960</v>
      </c>
      <c r="BP422" s="3">
        <v>960</v>
      </c>
      <c r="BQ422" s="3">
        <v>960</v>
      </c>
    </row>
    <row r="423" spans="1:69" hidden="1" x14ac:dyDescent="0.25">
      <c r="A423" s="20">
        <v>43</v>
      </c>
      <c r="B423" s="20" t="s">
        <v>94</v>
      </c>
      <c r="C423" s="3" t="s">
        <v>95</v>
      </c>
      <c r="D423" s="3">
        <v>2</v>
      </c>
      <c r="E423" s="3" t="s">
        <v>491</v>
      </c>
      <c r="F423" s="3"/>
      <c r="G423" s="3" t="s">
        <v>500</v>
      </c>
      <c r="H423" s="3">
        <v>0</v>
      </c>
      <c r="I423" s="3">
        <v>19.8</v>
      </c>
      <c r="J423" s="3">
        <v>19.8</v>
      </c>
      <c r="K423" s="3">
        <v>19.8</v>
      </c>
      <c r="L423" s="3">
        <v>19.8</v>
      </c>
      <c r="M423" s="3">
        <v>19.8</v>
      </c>
      <c r="N423" s="3">
        <v>19.8</v>
      </c>
      <c r="O423" s="3">
        <v>19.8</v>
      </c>
      <c r="P423" s="3">
        <v>19.8</v>
      </c>
      <c r="Q423" s="3">
        <v>19.8</v>
      </c>
      <c r="R423" s="3">
        <v>19.8</v>
      </c>
      <c r="S423" s="3">
        <v>13.6</v>
      </c>
      <c r="T423" s="3">
        <v>13.6</v>
      </c>
      <c r="U423" s="3">
        <v>13.6</v>
      </c>
      <c r="V423" s="3">
        <v>13.6</v>
      </c>
      <c r="W423" s="3">
        <v>13.6</v>
      </c>
      <c r="X423" s="3">
        <v>12.2</v>
      </c>
      <c r="Y423" s="3">
        <v>12.2</v>
      </c>
      <c r="Z423" s="3">
        <v>12.2</v>
      </c>
      <c r="AA423" s="3">
        <v>12.2</v>
      </c>
      <c r="AB423" s="3">
        <v>12.2</v>
      </c>
      <c r="AC423" s="3">
        <v>10.8</v>
      </c>
      <c r="AD423" s="3">
        <v>10.8</v>
      </c>
      <c r="AE423" s="3">
        <v>10.8</v>
      </c>
      <c r="AF423" s="3">
        <v>10.8</v>
      </c>
      <c r="AG423" s="3">
        <v>10.8</v>
      </c>
      <c r="AH423" s="3">
        <v>10.5</v>
      </c>
      <c r="AI423" s="3">
        <v>10.5</v>
      </c>
      <c r="AJ423" s="3">
        <v>10.5</v>
      </c>
      <c r="AK423" s="3">
        <v>10.5</v>
      </c>
      <c r="AL423" s="3">
        <v>10.5</v>
      </c>
      <c r="AM423" s="3">
        <v>10.199999999999999</v>
      </c>
      <c r="AN423" s="3">
        <v>10.199999999999999</v>
      </c>
      <c r="AO423" s="3">
        <v>10.199999999999999</v>
      </c>
      <c r="AP423" s="3">
        <v>10.199999999999999</v>
      </c>
      <c r="AQ423" s="3">
        <v>10.199999999999999</v>
      </c>
      <c r="AR423" s="3">
        <v>9.9</v>
      </c>
      <c r="AS423" s="3">
        <v>9.9</v>
      </c>
      <c r="AT423" s="3">
        <v>9.9</v>
      </c>
      <c r="AU423" s="3">
        <v>9.9</v>
      </c>
      <c r="AV423" s="3">
        <v>9.9</v>
      </c>
      <c r="AW423" s="3">
        <v>9.6</v>
      </c>
      <c r="AX423" s="3">
        <v>9.6</v>
      </c>
      <c r="AY423" s="3">
        <v>9.6</v>
      </c>
      <c r="AZ423" s="3">
        <v>9.6</v>
      </c>
      <c r="BA423" s="3">
        <v>9.6</v>
      </c>
      <c r="BB423" s="3">
        <v>9.6</v>
      </c>
      <c r="BC423" s="3">
        <v>9.6</v>
      </c>
      <c r="BD423" s="3">
        <v>9.6</v>
      </c>
      <c r="BE423" s="3">
        <v>9.6</v>
      </c>
      <c r="BF423" s="3">
        <v>9.6</v>
      </c>
      <c r="BG423" s="3">
        <v>9.6</v>
      </c>
      <c r="BH423" s="3">
        <v>9.6</v>
      </c>
      <c r="BI423" s="3">
        <v>9.6</v>
      </c>
      <c r="BJ423" s="3">
        <v>9.6</v>
      </c>
      <c r="BK423" s="3">
        <v>9.6</v>
      </c>
      <c r="BL423" s="3">
        <v>9.6</v>
      </c>
      <c r="BM423" s="3">
        <v>9.6</v>
      </c>
      <c r="BN423" s="3">
        <v>9.6</v>
      </c>
      <c r="BO423" s="3">
        <v>9.6</v>
      </c>
      <c r="BP423" s="3">
        <v>9.6</v>
      </c>
      <c r="BQ423" s="3">
        <v>9.6</v>
      </c>
    </row>
    <row r="424" spans="1:69" hidden="1" x14ac:dyDescent="0.25">
      <c r="A424" s="20">
        <v>43</v>
      </c>
      <c r="B424" s="20" t="s">
        <v>94</v>
      </c>
      <c r="C424" s="3" t="s">
        <v>95</v>
      </c>
      <c r="D424" s="3">
        <v>3</v>
      </c>
      <c r="E424" s="3" t="s">
        <v>492</v>
      </c>
      <c r="F424" s="3"/>
      <c r="G424" s="3" t="s">
        <v>500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</row>
    <row r="425" spans="1:69" hidden="1" x14ac:dyDescent="0.25">
      <c r="A425" s="20">
        <v>43</v>
      </c>
      <c r="B425" s="20" t="s">
        <v>94</v>
      </c>
      <c r="C425" s="3" t="s">
        <v>95</v>
      </c>
      <c r="D425" s="3">
        <v>4</v>
      </c>
      <c r="E425" s="3" t="s">
        <v>493</v>
      </c>
      <c r="F425" s="3"/>
      <c r="G425" s="3" t="s">
        <v>500</v>
      </c>
      <c r="H425" s="3">
        <v>0</v>
      </c>
      <c r="I425" s="3">
        <v>2.3615999999999999E-4</v>
      </c>
      <c r="J425" s="3">
        <v>2.3615999999999999E-4</v>
      </c>
      <c r="K425" s="3">
        <v>2.3615999999999999E-4</v>
      </c>
      <c r="L425" s="3">
        <v>1.9247039999999997E-3</v>
      </c>
      <c r="M425" s="3">
        <v>2.5987440000000001E-3</v>
      </c>
      <c r="N425" s="3">
        <v>2.513136E-3</v>
      </c>
      <c r="O425" s="3">
        <v>2.6056320000000001E-3</v>
      </c>
      <c r="P425" s="3">
        <v>2.6056320000000001E-3</v>
      </c>
      <c r="Q425" s="3">
        <v>2.5964199999999999E-3</v>
      </c>
      <c r="R425" s="3">
        <v>2.5964199999999999E-3</v>
      </c>
      <c r="S425" s="3">
        <v>2.5964199999999999E-3</v>
      </c>
      <c r="T425" s="3">
        <v>2.5964199999999999E-3</v>
      </c>
      <c r="U425" s="3">
        <v>2.5964199999999999E-3</v>
      </c>
      <c r="V425" s="3">
        <v>2.5964199999999999E-3</v>
      </c>
      <c r="W425" s="3">
        <v>2.5964199999999999E-3</v>
      </c>
      <c r="X425" s="3">
        <v>2.5964199999999999E-3</v>
      </c>
      <c r="Y425" s="3">
        <v>2.5964199999999999E-3</v>
      </c>
      <c r="Z425" s="3">
        <v>2.5964199999999999E-3</v>
      </c>
      <c r="AA425" s="3">
        <v>2.5964199999999999E-3</v>
      </c>
      <c r="AB425" s="3">
        <v>2.5964199999999999E-3</v>
      </c>
      <c r="AC425" s="3">
        <v>2.5964199999999999E-3</v>
      </c>
      <c r="AD425" s="3">
        <v>2.5964199999999999E-3</v>
      </c>
      <c r="AE425" s="3">
        <v>2.5964199999999999E-3</v>
      </c>
      <c r="AF425" s="3">
        <v>2.5964199999999999E-3</v>
      </c>
      <c r="AG425" s="3">
        <v>2.5964199999999999E-3</v>
      </c>
      <c r="AH425" s="3">
        <v>2.5964199999999999E-3</v>
      </c>
      <c r="AI425" s="3">
        <v>2.5964199999999999E-3</v>
      </c>
      <c r="AJ425" s="3">
        <v>2.5964199999999999E-3</v>
      </c>
      <c r="AK425" s="3">
        <v>2.5964199999999999E-3</v>
      </c>
      <c r="AL425" s="3">
        <v>2.5964199999999999E-3</v>
      </c>
      <c r="AM425" s="3">
        <v>2.5964199999999999E-3</v>
      </c>
      <c r="AN425" s="3">
        <v>2.5964199999999999E-3</v>
      </c>
      <c r="AO425" s="3">
        <v>2.5964199999999999E-3</v>
      </c>
      <c r="AP425" s="3">
        <v>2.5964199999999999E-3</v>
      </c>
      <c r="AQ425" s="3">
        <v>2.5964199999999999E-3</v>
      </c>
      <c r="AR425" s="3">
        <v>2.5964199999999999E-3</v>
      </c>
      <c r="AS425" s="3">
        <v>2.5964199999999999E-3</v>
      </c>
      <c r="AT425" s="3">
        <v>2.5964199999999999E-3</v>
      </c>
      <c r="AU425" s="3">
        <v>2.5964199999999999E-3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</row>
    <row r="426" spans="1:69" hidden="1" x14ac:dyDescent="0.25">
      <c r="A426" s="20">
        <v>43</v>
      </c>
      <c r="B426" s="20" t="s">
        <v>94</v>
      </c>
      <c r="C426" s="3" t="s">
        <v>95</v>
      </c>
      <c r="D426" s="3">
        <v>5</v>
      </c>
      <c r="E426" s="3" t="s">
        <v>494</v>
      </c>
      <c r="F426" s="3"/>
      <c r="G426" s="3" t="s">
        <v>500</v>
      </c>
      <c r="H426" s="3">
        <v>0</v>
      </c>
      <c r="I426" s="3">
        <v>2.3615999999999999E-4</v>
      </c>
      <c r="J426" s="3">
        <v>2.3615999999999999E-4</v>
      </c>
      <c r="K426" s="3">
        <v>2.3615999999999999E-4</v>
      </c>
      <c r="L426" s="3">
        <v>1.9247039999999997E-3</v>
      </c>
      <c r="M426" s="3">
        <v>2.5987440000000001E-3</v>
      </c>
      <c r="N426" s="3">
        <v>2.513136E-3</v>
      </c>
      <c r="O426" s="3">
        <v>2.6056320000000001E-3</v>
      </c>
      <c r="P426" s="3">
        <v>2.6056320000000001E-3</v>
      </c>
      <c r="Q426" s="3">
        <v>2.5964199999999999E-3</v>
      </c>
      <c r="R426" s="3">
        <v>2.5964199999999999E-3</v>
      </c>
      <c r="S426" s="3">
        <v>2.5964199999999999E-3</v>
      </c>
      <c r="T426" s="3">
        <v>2.6197600000000001E-3</v>
      </c>
      <c r="U426" s="3">
        <v>99999</v>
      </c>
      <c r="V426" s="3">
        <v>99999</v>
      </c>
      <c r="W426" s="3">
        <v>99999</v>
      </c>
      <c r="X426" s="3">
        <v>99999</v>
      </c>
      <c r="Y426" s="3">
        <v>99999</v>
      </c>
      <c r="Z426" s="3">
        <v>99999</v>
      </c>
      <c r="AA426" s="3">
        <v>99999</v>
      </c>
      <c r="AB426" s="3">
        <v>99999</v>
      </c>
      <c r="AC426" s="3">
        <v>99999</v>
      </c>
      <c r="AD426" s="3">
        <v>99999</v>
      </c>
      <c r="AE426" s="3">
        <v>99999</v>
      </c>
      <c r="AF426" s="3">
        <v>99999</v>
      </c>
      <c r="AG426" s="3">
        <v>99999</v>
      </c>
      <c r="AH426" s="3">
        <v>99999</v>
      </c>
      <c r="AI426" s="3">
        <v>99999</v>
      </c>
      <c r="AJ426" s="3">
        <v>99999</v>
      </c>
      <c r="AK426" s="3">
        <v>99999</v>
      </c>
      <c r="AL426" s="3">
        <v>99999</v>
      </c>
      <c r="AM426" s="3">
        <v>99999</v>
      </c>
      <c r="AN426" s="3">
        <v>99999</v>
      </c>
      <c r="AO426" s="3">
        <v>99999</v>
      </c>
      <c r="AP426" s="3">
        <v>99999</v>
      </c>
      <c r="AQ426" s="3">
        <v>99999</v>
      </c>
      <c r="AR426" s="3">
        <v>99999</v>
      </c>
      <c r="AS426" s="3">
        <v>99999</v>
      </c>
      <c r="AT426" s="3">
        <v>99999</v>
      </c>
      <c r="AU426" s="3">
        <v>99999</v>
      </c>
      <c r="AV426" s="3">
        <v>99999</v>
      </c>
      <c r="AW426" s="3">
        <v>99999</v>
      </c>
      <c r="AX426" s="3">
        <v>99999</v>
      </c>
      <c r="AY426" s="3">
        <v>99999</v>
      </c>
      <c r="AZ426" s="3">
        <v>99999</v>
      </c>
      <c r="BA426" s="3">
        <v>99999</v>
      </c>
      <c r="BB426" s="3">
        <v>99999</v>
      </c>
      <c r="BC426" s="3">
        <v>99999</v>
      </c>
      <c r="BD426" s="3">
        <v>99999</v>
      </c>
      <c r="BE426" s="3">
        <v>99999</v>
      </c>
      <c r="BF426" s="3">
        <v>99999</v>
      </c>
      <c r="BG426" s="3">
        <v>99999</v>
      </c>
      <c r="BH426" s="3">
        <v>99999</v>
      </c>
      <c r="BI426" s="3">
        <v>99999</v>
      </c>
      <c r="BJ426" s="3">
        <v>99999</v>
      </c>
      <c r="BK426" s="3">
        <v>99999</v>
      </c>
      <c r="BL426" s="3">
        <v>99999</v>
      </c>
      <c r="BM426" s="3">
        <v>99999</v>
      </c>
      <c r="BN426" s="3">
        <v>99999</v>
      </c>
      <c r="BO426" s="3">
        <v>99999</v>
      </c>
      <c r="BP426" s="3">
        <v>99999</v>
      </c>
      <c r="BQ426" s="3">
        <v>99999</v>
      </c>
    </row>
    <row r="427" spans="1:69" hidden="1" x14ac:dyDescent="0.25">
      <c r="A427" s="20">
        <v>43</v>
      </c>
      <c r="B427" s="20" t="s">
        <v>94</v>
      </c>
      <c r="C427" s="3" t="s">
        <v>95</v>
      </c>
      <c r="D427" s="3">
        <v>6</v>
      </c>
      <c r="E427" s="3" t="s">
        <v>495</v>
      </c>
      <c r="F427" s="3"/>
      <c r="G427" s="3" t="s">
        <v>500</v>
      </c>
      <c r="H427" s="3">
        <v>0</v>
      </c>
      <c r="I427" s="51">
        <v>3.0299999999999999E-4</v>
      </c>
      <c r="J427" s="51">
        <v>3.0299999999999999E-4</v>
      </c>
      <c r="K427" s="51">
        <v>3.0299999999999999E-4</v>
      </c>
      <c r="L427" s="3">
        <v>2.7340102759843015E-4</v>
      </c>
      <c r="M427" s="3">
        <v>1.0936041103937206E-3</v>
      </c>
      <c r="N427" s="3">
        <v>2.4606092483858708E-3</v>
      </c>
      <c r="O427" s="3">
        <v>2.6656600190846937E-3</v>
      </c>
      <c r="P427" s="3">
        <v>2.5289595052854783E-3</v>
      </c>
      <c r="Q427" s="48">
        <v>2.7270000000000003E-3</v>
      </c>
      <c r="R427" s="3">
        <v>2.6259999999999999E-3</v>
      </c>
      <c r="S427" s="3">
        <v>2.6259999999999999E-3</v>
      </c>
      <c r="T427" s="3">
        <v>2.6259999999999999E-3</v>
      </c>
      <c r="U427" s="3">
        <v>2.5157413100104463E-3</v>
      </c>
      <c r="V427" s="3">
        <v>2.5783845171672348E-3</v>
      </c>
      <c r="W427" s="3">
        <v>2.6410277243240229E-3</v>
      </c>
      <c r="X427" s="3">
        <v>2.7036709314808105E-3</v>
      </c>
      <c r="Y427" s="3">
        <v>2.766314138637599E-3</v>
      </c>
      <c r="Z427" s="3">
        <v>2.8289573457943866E-3</v>
      </c>
      <c r="AA427" s="3">
        <v>2.8916005529511751E-3</v>
      </c>
      <c r="AB427" s="3">
        <v>2.9542437601079636E-3</v>
      </c>
      <c r="AC427" s="3">
        <v>3.0168869672647499E-3</v>
      </c>
      <c r="AD427" s="3">
        <v>3.0407204361149309E-3</v>
      </c>
      <c r="AE427" s="3">
        <v>3.0645539049651113E-3</v>
      </c>
      <c r="AF427" s="3">
        <v>3.0883873738152905E-3</v>
      </c>
      <c r="AG427" s="3">
        <v>3.1122208426654706E-3</v>
      </c>
      <c r="AH427" s="3">
        <v>3.1360543115156519E-3</v>
      </c>
      <c r="AI427" s="3">
        <v>3.1598877803658315E-3</v>
      </c>
      <c r="AJ427" s="3">
        <v>3.1837212492160116E-3</v>
      </c>
      <c r="AK427" s="3">
        <v>3.2075547180661921E-3</v>
      </c>
      <c r="AL427" s="3">
        <v>3.2313881869163725E-3</v>
      </c>
      <c r="AM427" s="3">
        <v>3.2552216557665509E-3</v>
      </c>
      <c r="AN427" s="3">
        <v>3.2584769186281767E-3</v>
      </c>
      <c r="AO427" s="3">
        <v>3.2617321814898026E-3</v>
      </c>
      <c r="AP427" s="3">
        <v>3.2649874443514285E-3</v>
      </c>
      <c r="AQ427" s="3">
        <v>3.2682427072130535E-3</v>
      </c>
      <c r="AR427" s="3">
        <v>3.2714979700746807E-3</v>
      </c>
      <c r="AS427" s="3">
        <v>3.2747532329363053E-3</v>
      </c>
      <c r="AT427" s="3">
        <v>3.2780084957979311E-3</v>
      </c>
      <c r="AU427" s="3">
        <v>3.2812637586595575E-3</v>
      </c>
      <c r="AV427" s="3">
        <v>3.2845190215211829E-3</v>
      </c>
      <c r="AW427" s="3">
        <v>3.2877742843828071E-3</v>
      </c>
      <c r="AX427" s="3">
        <v>3.4586348862204602E-3</v>
      </c>
      <c r="AY427" s="3">
        <v>3.4843650424921662E-3</v>
      </c>
      <c r="AZ427" s="3">
        <v>3.5100951987638712E-3</v>
      </c>
      <c r="BA427" s="3">
        <v>3.5358253550355771E-3</v>
      </c>
      <c r="BB427" s="3">
        <v>3.5615555113072922E-3</v>
      </c>
      <c r="BC427" s="3">
        <v>3.5872856675789981E-3</v>
      </c>
      <c r="BD427" s="3">
        <v>3.6130158238507032E-3</v>
      </c>
      <c r="BE427" s="3">
        <v>3.6387459801224087E-3</v>
      </c>
      <c r="BF427" s="3">
        <v>3.6644761363941142E-3</v>
      </c>
      <c r="BG427" s="3">
        <v>3.6902062926658197E-3</v>
      </c>
      <c r="BH427" s="3">
        <v>3.7159364489375256E-3</v>
      </c>
      <c r="BI427" s="3">
        <v>3.7416666052092306E-3</v>
      </c>
      <c r="BJ427" s="3">
        <v>3.7673967614809466E-3</v>
      </c>
      <c r="BK427" s="3">
        <v>3.793126917752652E-3</v>
      </c>
      <c r="BL427" s="3">
        <v>3.8188570740243575E-3</v>
      </c>
      <c r="BM427" s="3">
        <v>3.844587230296063E-3</v>
      </c>
      <c r="BN427" s="3">
        <v>3.8703173865677685E-3</v>
      </c>
      <c r="BO427" s="3">
        <v>3.8960475428394745E-3</v>
      </c>
      <c r="BP427" s="3">
        <v>3.9217776991111895E-3</v>
      </c>
      <c r="BQ427" s="3">
        <v>3.947507855382895E-3</v>
      </c>
    </row>
    <row r="428" spans="1:69" hidden="1" x14ac:dyDescent="0.25">
      <c r="A428" s="20">
        <v>43</v>
      </c>
      <c r="B428" s="20" t="s">
        <v>94</v>
      </c>
      <c r="C428" s="3" t="s">
        <v>95</v>
      </c>
      <c r="D428" s="3">
        <v>7</v>
      </c>
      <c r="E428" s="3" t="s">
        <v>496</v>
      </c>
      <c r="F428" s="3"/>
      <c r="G428" s="21" t="s">
        <v>500</v>
      </c>
      <c r="H428" s="22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48">
        <v>2.7000000000000001E-3</v>
      </c>
      <c r="R428" s="3">
        <v>2.5999999999999999E-3</v>
      </c>
      <c r="S428" s="3">
        <v>2.5999999999999999E-3</v>
      </c>
      <c r="T428" s="3">
        <v>2.5999999999999999E-3</v>
      </c>
      <c r="U428" s="3">
        <v>2.4908329802083625E-3</v>
      </c>
      <c r="V428" s="3">
        <v>2.5528559575913215E-3</v>
      </c>
      <c r="W428" s="3">
        <v>2.61487893497428E-3</v>
      </c>
      <c r="X428" s="3">
        <v>2.6769019123572381E-3</v>
      </c>
      <c r="Y428" s="3">
        <v>2.7389248897401971E-3</v>
      </c>
      <c r="Z428" s="3">
        <v>2.8009478671231552E-3</v>
      </c>
      <c r="AA428" s="3">
        <v>2.8629708445061137E-3</v>
      </c>
      <c r="AB428" s="3">
        <v>2.9249938218890727E-3</v>
      </c>
      <c r="AC428" s="3">
        <v>2.9870167992720295E-3</v>
      </c>
      <c r="AD428" s="3">
        <v>3.0106142931830998E-3</v>
      </c>
      <c r="AE428" s="3">
        <v>3.0342117870941696E-3</v>
      </c>
      <c r="AF428" s="3">
        <v>3.0578092810052381E-3</v>
      </c>
      <c r="AG428" s="3">
        <v>3.0814067749163074E-3</v>
      </c>
      <c r="AH428" s="3">
        <v>3.1050042688273781E-3</v>
      </c>
      <c r="AI428" s="3">
        <v>3.128601762738447E-3</v>
      </c>
      <c r="AJ428" s="3">
        <v>3.1521992566495164E-3</v>
      </c>
      <c r="AK428" s="3">
        <v>3.1757967505605862E-3</v>
      </c>
      <c r="AL428" s="3">
        <v>3.199394244471656E-3</v>
      </c>
      <c r="AM428" s="3">
        <v>3.2229917383827236E-3</v>
      </c>
      <c r="AN428" s="3">
        <v>3.2262147709189869E-3</v>
      </c>
      <c r="AO428" s="3">
        <v>3.2294378034552502E-3</v>
      </c>
      <c r="AP428" s="3">
        <v>3.2326608359915135E-3</v>
      </c>
      <c r="AQ428" s="3">
        <v>3.2358838685277759E-3</v>
      </c>
      <c r="AR428" s="3">
        <v>3.2391069010640401E-3</v>
      </c>
      <c r="AS428" s="3">
        <v>3.2423299336003021E-3</v>
      </c>
      <c r="AT428" s="3">
        <v>3.2455529661365654E-3</v>
      </c>
      <c r="AU428" s="3">
        <v>3.2487759986728291E-3</v>
      </c>
      <c r="AV428" s="3">
        <v>3.2519990312090919E-3</v>
      </c>
      <c r="AW428" s="3">
        <v>3.2552220637453535E-3</v>
      </c>
      <c r="AX428" s="3">
        <v>3.4243909764559012E-3</v>
      </c>
      <c r="AY428" s="3">
        <v>3.4498663787051148E-3</v>
      </c>
      <c r="AZ428" s="3">
        <v>3.475341780954328E-3</v>
      </c>
      <c r="BA428" s="3">
        <v>3.5008171832035416E-3</v>
      </c>
      <c r="BB428" s="3">
        <v>3.5262925854527647E-3</v>
      </c>
      <c r="BC428" s="3">
        <v>3.5517679877019783E-3</v>
      </c>
      <c r="BD428" s="3">
        <v>3.577243389951191E-3</v>
      </c>
      <c r="BE428" s="3">
        <v>3.6027187922004046E-3</v>
      </c>
      <c r="BF428" s="3">
        <v>3.6281941944496178E-3</v>
      </c>
      <c r="BG428" s="3">
        <v>3.6536695966988314E-3</v>
      </c>
      <c r="BH428" s="3">
        <v>3.679144998948045E-3</v>
      </c>
      <c r="BI428" s="3">
        <v>3.7046204011972582E-3</v>
      </c>
      <c r="BJ428" s="3">
        <v>3.7300958034464818E-3</v>
      </c>
      <c r="BK428" s="3">
        <v>3.7555712056956949E-3</v>
      </c>
      <c r="BL428" s="3">
        <v>3.7810466079449085E-3</v>
      </c>
      <c r="BM428" s="3">
        <v>3.8065220101941217E-3</v>
      </c>
      <c r="BN428" s="3">
        <v>3.8319974124433353E-3</v>
      </c>
      <c r="BO428" s="3">
        <v>3.8574728146925489E-3</v>
      </c>
      <c r="BP428" s="3">
        <v>3.8829482169417721E-3</v>
      </c>
      <c r="BQ428" s="3">
        <v>3.9084236191909852E-3</v>
      </c>
    </row>
    <row r="429" spans="1:69" hidden="1" x14ac:dyDescent="0.25">
      <c r="A429" s="20">
        <v>43</v>
      </c>
      <c r="B429" s="20" t="s">
        <v>94</v>
      </c>
      <c r="C429" s="3" t="s">
        <v>95</v>
      </c>
      <c r="D429" s="3">
        <v>8</v>
      </c>
      <c r="E429" s="3" t="s">
        <v>497</v>
      </c>
      <c r="F429" s="3"/>
      <c r="G429" s="3" t="s">
        <v>490</v>
      </c>
      <c r="H429" s="3">
        <v>0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hidden="1" x14ac:dyDescent="0.25">
      <c r="A430" s="20">
        <v>43</v>
      </c>
      <c r="B430" s="20" t="s">
        <v>94</v>
      </c>
      <c r="C430" s="3" t="s">
        <v>95</v>
      </c>
      <c r="D430" s="3">
        <v>9</v>
      </c>
      <c r="E430" s="3" t="s">
        <v>498</v>
      </c>
      <c r="F430" s="3"/>
      <c r="G430" s="3" t="s">
        <v>500</v>
      </c>
      <c r="H430" s="3">
        <v>0</v>
      </c>
      <c r="I430" s="52">
        <v>1.4E-2</v>
      </c>
      <c r="J430" s="52">
        <v>1.4E-2</v>
      </c>
      <c r="K430" s="52">
        <v>1.4E-2</v>
      </c>
      <c r="L430" s="52">
        <v>1.4E-2</v>
      </c>
      <c r="M430" s="52">
        <v>1.4E-2</v>
      </c>
      <c r="N430" s="3">
        <v>3.27E-2</v>
      </c>
      <c r="O430" s="3">
        <v>3.4200000000000001E-2</v>
      </c>
      <c r="P430" s="3">
        <v>3.2399999999999998E-2</v>
      </c>
      <c r="Q430" s="3">
        <v>3.49E-2</v>
      </c>
      <c r="R430" s="3">
        <v>3.3500000000000002E-2</v>
      </c>
      <c r="S430" s="3">
        <v>3.4200000000000001E-2</v>
      </c>
      <c r="T430" s="3">
        <v>3.39E-2</v>
      </c>
      <c r="U430" s="3">
        <v>0.03</v>
      </c>
      <c r="V430" s="3">
        <v>0.03</v>
      </c>
      <c r="W430" s="3">
        <v>0.03</v>
      </c>
      <c r="X430" s="3">
        <v>0.03</v>
      </c>
      <c r="Y430" s="3">
        <v>0.03</v>
      </c>
      <c r="Z430" s="3">
        <v>0.03</v>
      </c>
      <c r="AA430" s="3">
        <v>0.03</v>
      </c>
      <c r="AB430" s="3">
        <v>0.03</v>
      </c>
      <c r="AC430" s="3">
        <v>0.03</v>
      </c>
      <c r="AD430" s="3">
        <v>0.03</v>
      </c>
      <c r="AE430" s="3">
        <v>0.03</v>
      </c>
      <c r="AF430" s="3">
        <v>0.03</v>
      </c>
      <c r="AG430" s="3">
        <v>0.03</v>
      </c>
      <c r="AH430" s="3">
        <v>0.03</v>
      </c>
      <c r="AI430" s="3">
        <v>0.03</v>
      </c>
      <c r="AJ430" s="3">
        <v>0.03</v>
      </c>
      <c r="AK430" s="3">
        <v>0.03</v>
      </c>
      <c r="AL430" s="3">
        <v>0.03</v>
      </c>
      <c r="AM430" s="3">
        <v>0.03</v>
      </c>
      <c r="AN430" s="3">
        <v>0.03</v>
      </c>
      <c r="AO430" s="3">
        <v>0.03</v>
      </c>
      <c r="AP430" s="3">
        <v>0.03</v>
      </c>
      <c r="AQ430" s="3">
        <v>0.03</v>
      </c>
      <c r="AR430" s="3">
        <v>0.03</v>
      </c>
      <c r="AS430" s="3">
        <v>0.03</v>
      </c>
      <c r="AT430" s="3">
        <v>0.03</v>
      </c>
      <c r="AU430" s="3">
        <v>0.03</v>
      </c>
      <c r="AV430" s="3">
        <v>0.03</v>
      </c>
      <c r="AW430" s="3">
        <v>0.03</v>
      </c>
      <c r="AX430" s="3">
        <v>0.03</v>
      </c>
      <c r="AY430" s="3">
        <v>0.03</v>
      </c>
      <c r="AZ430" s="3">
        <v>0.03</v>
      </c>
      <c r="BA430" s="3">
        <v>0.03</v>
      </c>
      <c r="BB430" s="3">
        <v>0.03</v>
      </c>
      <c r="BC430" s="3">
        <v>0.03</v>
      </c>
      <c r="BD430" s="3">
        <v>0.03</v>
      </c>
      <c r="BE430" s="3">
        <v>0.03</v>
      </c>
      <c r="BF430" s="3">
        <v>0.03</v>
      </c>
      <c r="BG430" s="3">
        <v>0.03</v>
      </c>
      <c r="BH430" s="3">
        <v>0.03</v>
      </c>
      <c r="BI430" s="3">
        <v>0.03</v>
      </c>
      <c r="BJ430" s="3">
        <v>0.03</v>
      </c>
      <c r="BK430" s="3">
        <v>0.03</v>
      </c>
      <c r="BL430" s="3">
        <v>0.03</v>
      </c>
      <c r="BM430" s="3">
        <v>0.03</v>
      </c>
      <c r="BN430" s="3">
        <v>0.03</v>
      </c>
      <c r="BO430" s="3">
        <v>0.03</v>
      </c>
      <c r="BP430" s="3">
        <v>0.03</v>
      </c>
      <c r="BQ430" s="3">
        <v>0.03</v>
      </c>
    </row>
    <row r="431" spans="1:69" hidden="1" x14ac:dyDescent="0.25">
      <c r="A431" s="20">
        <v>43</v>
      </c>
      <c r="B431" s="20" t="s">
        <v>94</v>
      </c>
      <c r="C431" s="3" t="s">
        <v>95</v>
      </c>
      <c r="D431" s="3">
        <v>10</v>
      </c>
      <c r="E431" s="3" t="s">
        <v>499</v>
      </c>
      <c r="F431" s="3"/>
      <c r="G431" s="3" t="s">
        <v>501</v>
      </c>
      <c r="H431" s="3">
        <v>0</v>
      </c>
      <c r="I431" s="3">
        <v>0.95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s="17" customFormat="1" hidden="1" x14ac:dyDescent="0.25">
      <c r="A432" s="23">
        <v>44</v>
      </c>
      <c r="B432" s="23" t="s">
        <v>96</v>
      </c>
      <c r="C432" s="24" t="s">
        <v>97</v>
      </c>
      <c r="D432" s="24">
        <v>1</v>
      </c>
      <c r="E432" s="24" t="s">
        <v>489</v>
      </c>
      <c r="F432" s="24"/>
      <c r="G432" s="24" t="s">
        <v>500</v>
      </c>
      <c r="H432" s="24">
        <v>0</v>
      </c>
      <c r="I432" s="24">
        <v>3080.6</v>
      </c>
      <c r="J432" s="24">
        <v>3080.6</v>
      </c>
      <c r="K432" s="24">
        <v>3080.6</v>
      </c>
      <c r="L432" s="24">
        <v>3080.6</v>
      </c>
      <c r="M432" s="24">
        <v>3080.6</v>
      </c>
      <c r="N432" s="24">
        <v>3080.6</v>
      </c>
      <c r="O432" s="24">
        <v>3080.6</v>
      </c>
      <c r="P432" s="24">
        <v>3080.6</v>
      </c>
      <c r="Q432" s="24">
        <v>3080.6</v>
      </c>
      <c r="R432" s="24">
        <v>3080.6</v>
      </c>
      <c r="S432" s="24">
        <v>3080.6</v>
      </c>
      <c r="T432" s="24">
        <v>3080.6</v>
      </c>
      <c r="U432" s="24">
        <v>3080.6</v>
      </c>
      <c r="V432" s="24">
        <v>3080.6</v>
      </c>
      <c r="W432" s="24">
        <v>3080.6</v>
      </c>
      <c r="X432" s="24">
        <v>3080.6</v>
      </c>
      <c r="Y432" s="24">
        <v>3080.6</v>
      </c>
      <c r="Z432" s="24">
        <v>3080.6</v>
      </c>
      <c r="AA432" s="24">
        <v>3080.6</v>
      </c>
      <c r="AB432" s="24">
        <v>3080.6</v>
      </c>
      <c r="AC432" s="24">
        <v>3080.6</v>
      </c>
      <c r="AD432" s="24">
        <v>3080.6</v>
      </c>
      <c r="AE432" s="24">
        <v>3080.6</v>
      </c>
      <c r="AF432" s="24">
        <v>3080.6</v>
      </c>
      <c r="AG432" s="24">
        <v>3080.6</v>
      </c>
      <c r="AH432" s="24">
        <v>3080.6</v>
      </c>
      <c r="AI432" s="24">
        <v>3080.6</v>
      </c>
      <c r="AJ432" s="24">
        <v>3080.6</v>
      </c>
      <c r="AK432" s="24">
        <v>3080.6</v>
      </c>
      <c r="AL432" s="24">
        <v>3080.6</v>
      </c>
      <c r="AM432" s="24">
        <v>3080.6</v>
      </c>
      <c r="AN432" s="24">
        <v>3080.6</v>
      </c>
      <c r="AO432" s="24">
        <v>3080.6</v>
      </c>
      <c r="AP432" s="24">
        <v>3080.6</v>
      </c>
      <c r="AQ432" s="24">
        <v>3080.6</v>
      </c>
      <c r="AR432" s="24">
        <v>3080.6</v>
      </c>
      <c r="AS432" s="24">
        <v>3080.6</v>
      </c>
      <c r="AT432" s="24">
        <v>3080.6</v>
      </c>
      <c r="AU432" s="24">
        <v>3080.6</v>
      </c>
      <c r="AV432" s="24">
        <v>3080.6</v>
      </c>
      <c r="AW432" s="24">
        <v>3080.6</v>
      </c>
      <c r="AX432" s="24">
        <v>3080.6</v>
      </c>
      <c r="AY432" s="24">
        <v>3080.6</v>
      </c>
      <c r="AZ432" s="24">
        <v>3080.6</v>
      </c>
      <c r="BA432" s="24">
        <v>3080.6</v>
      </c>
      <c r="BB432" s="24">
        <v>3080.6</v>
      </c>
      <c r="BC432" s="24">
        <v>3080.6</v>
      </c>
      <c r="BD432" s="24">
        <v>3080.6</v>
      </c>
      <c r="BE432" s="24">
        <v>3080.6</v>
      </c>
      <c r="BF432" s="24">
        <v>3080.6</v>
      </c>
      <c r="BG432" s="24">
        <v>3080.6</v>
      </c>
      <c r="BH432" s="24">
        <v>3080.6</v>
      </c>
      <c r="BI432" s="24">
        <v>3080.6</v>
      </c>
      <c r="BJ432" s="24">
        <v>3080.6</v>
      </c>
      <c r="BK432" s="24">
        <v>3080.6</v>
      </c>
      <c r="BL432" s="24">
        <v>3080.6</v>
      </c>
      <c r="BM432" s="24">
        <v>3080.6</v>
      </c>
      <c r="BN432" s="24">
        <v>3080.6</v>
      </c>
      <c r="BO432" s="24">
        <v>3080.6</v>
      </c>
      <c r="BP432" s="24">
        <v>3080.6</v>
      </c>
      <c r="BQ432" s="24">
        <v>3080.6</v>
      </c>
    </row>
    <row r="433" spans="1:69" s="17" customFormat="1" hidden="1" x14ac:dyDescent="0.25">
      <c r="A433" s="23">
        <v>44</v>
      </c>
      <c r="B433" s="23" t="s">
        <v>96</v>
      </c>
      <c r="C433" s="24" t="s">
        <v>97</v>
      </c>
      <c r="D433" s="24">
        <v>2</v>
      </c>
      <c r="E433" s="24" t="s">
        <v>491</v>
      </c>
      <c r="F433" s="24"/>
      <c r="G433" s="24" t="s">
        <v>500</v>
      </c>
      <c r="H433" s="24">
        <v>0</v>
      </c>
      <c r="I433" s="24">
        <v>50</v>
      </c>
      <c r="J433" s="24">
        <v>50</v>
      </c>
      <c r="K433" s="24">
        <v>50</v>
      </c>
      <c r="L433" s="24">
        <v>50</v>
      </c>
      <c r="M433" s="24">
        <v>50</v>
      </c>
      <c r="N433" s="24">
        <v>50</v>
      </c>
      <c r="O433" s="24">
        <v>50</v>
      </c>
      <c r="P433" s="24">
        <v>50</v>
      </c>
      <c r="Q433" s="24">
        <v>50</v>
      </c>
      <c r="R433" s="24">
        <v>50</v>
      </c>
      <c r="S433" s="24">
        <v>50</v>
      </c>
      <c r="T433" s="24">
        <v>50</v>
      </c>
      <c r="U433" s="24">
        <v>50</v>
      </c>
      <c r="V433" s="24">
        <v>50</v>
      </c>
      <c r="W433" s="24">
        <v>50</v>
      </c>
      <c r="X433" s="24">
        <v>50</v>
      </c>
      <c r="Y433" s="24">
        <v>50</v>
      </c>
      <c r="Z433" s="24">
        <v>50</v>
      </c>
      <c r="AA433" s="24">
        <v>50</v>
      </c>
      <c r="AB433" s="24">
        <v>50</v>
      </c>
      <c r="AC433" s="24">
        <v>50</v>
      </c>
      <c r="AD433" s="24">
        <v>50</v>
      </c>
      <c r="AE433" s="24">
        <v>50</v>
      </c>
      <c r="AF433" s="24">
        <v>50</v>
      </c>
      <c r="AG433" s="24">
        <v>50</v>
      </c>
      <c r="AH433" s="24">
        <v>50</v>
      </c>
      <c r="AI433" s="24">
        <v>50</v>
      </c>
      <c r="AJ433" s="24">
        <v>50</v>
      </c>
      <c r="AK433" s="24">
        <v>50</v>
      </c>
      <c r="AL433" s="24">
        <v>50</v>
      </c>
      <c r="AM433" s="24">
        <v>50</v>
      </c>
      <c r="AN433" s="24">
        <v>50</v>
      </c>
      <c r="AO433" s="24">
        <v>50</v>
      </c>
      <c r="AP433" s="24">
        <v>50</v>
      </c>
      <c r="AQ433" s="24">
        <v>50</v>
      </c>
      <c r="AR433" s="24">
        <v>50</v>
      </c>
      <c r="AS433" s="24">
        <v>50</v>
      </c>
      <c r="AT433" s="24">
        <v>50</v>
      </c>
      <c r="AU433" s="24">
        <v>50</v>
      </c>
      <c r="AV433" s="24">
        <v>50</v>
      </c>
      <c r="AW433" s="24">
        <v>50</v>
      </c>
      <c r="AX433" s="24">
        <v>50</v>
      </c>
      <c r="AY433" s="24">
        <v>50</v>
      </c>
      <c r="AZ433" s="24">
        <v>50</v>
      </c>
      <c r="BA433" s="24">
        <v>50</v>
      </c>
      <c r="BB433" s="24">
        <v>50</v>
      </c>
      <c r="BC433" s="24">
        <v>50</v>
      </c>
      <c r="BD433" s="24">
        <v>50</v>
      </c>
      <c r="BE433" s="24">
        <v>50</v>
      </c>
      <c r="BF433" s="24">
        <v>50</v>
      </c>
      <c r="BG433" s="24">
        <v>50</v>
      </c>
      <c r="BH433" s="24">
        <v>50</v>
      </c>
      <c r="BI433" s="24">
        <v>50</v>
      </c>
      <c r="BJ433" s="24">
        <v>50</v>
      </c>
      <c r="BK433" s="24">
        <v>50</v>
      </c>
      <c r="BL433" s="24">
        <v>50</v>
      </c>
      <c r="BM433" s="24">
        <v>50</v>
      </c>
      <c r="BN433" s="24">
        <v>50</v>
      </c>
      <c r="BO433" s="24">
        <v>50</v>
      </c>
      <c r="BP433" s="24">
        <v>50</v>
      </c>
      <c r="BQ433" s="24">
        <v>50</v>
      </c>
    </row>
    <row r="434" spans="1:69" s="17" customFormat="1" hidden="1" x14ac:dyDescent="0.25">
      <c r="A434" s="23">
        <v>44</v>
      </c>
      <c r="B434" s="23" t="s">
        <v>96</v>
      </c>
      <c r="C434" s="24" t="s">
        <v>97</v>
      </c>
      <c r="D434" s="24">
        <v>3</v>
      </c>
      <c r="E434" s="24" t="s">
        <v>492</v>
      </c>
      <c r="F434" s="24"/>
      <c r="G434" s="24" t="s">
        <v>500</v>
      </c>
      <c r="H434" s="24">
        <v>0</v>
      </c>
      <c r="I434" s="24">
        <v>0.63</v>
      </c>
      <c r="J434" s="24">
        <v>0.63</v>
      </c>
      <c r="K434" s="24">
        <v>0.63</v>
      </c>
      <c r="L434" s="24">
        <v>0.63</v>
      </c>
      <c r="M434" s="24">
        <v>0.63</v>
      </c>
      <c r="N434" s="24">
        <v>0.63</v>
      </c>
      <c r="O434" s="24">
        <v>0.63</v>
      </c>
      <c r="P434" s="24">
        <v>0.63</v>
      </c>
      <c r="Q434" s="24">
        <v>0.63</v>
      </c>
      <c r="R434" s="24">
        <v>0.63</v>
      </c>
      <c r="S434" s="24">
        <v>0.63</v>
      </c>
      <c r="T434" s="24">
        <v>0.63</v>
      </c>
      <c r="U434" s="24">
        <v>0.63</v>
      </c>
      <c r="V434" s="24">
        <v>0.63</v>
      </c>
      <c r="W434" s="24">
        <v>0.63</v>
      </c>
      <c r="X434" s="24">
        <v>0.63</v>
      </c>
      <c r="Y434" s="24">
        <v>0.63</v>
      </c>
      <c r="Z434" s="24">
        <v>0.63</v>
      </c>
      <c r="AA434" s="24">
        <v>0.63</v>
      </c>
      <c r="AB434" s="24">
        <v>0.63</v>
      </c>
      <c r="AC434" s="24">
        <v>0.63</v>
      </c>
      <c r="AD434" s="24">
        <v>0.63</v>
      </c>
      <c r="AE434" s="24">
        <v>0.63</v>
      </c>
      <c r="AF434" s="24">
        <v>0.63</v>
      </c>
      <c r="AG434" s="24">
        <v>0.63</v>
      </c>
      <c r="AH434" s="24">
        <v>0.63</v>
      </c>
      <c r="AI434" s="24">
        <v>0.63</v>
      </c>
      <c r="AJ434" s="24">
        <v>0.63</v>
      </c>
      <c r="AK434" s="24">
        <v>0.63</v>
      </c>
      <c r="AL434" s="24">
        <v>0.63</v>
      </c>
      <c r="AM434" s="24">
        <v>0.63</v>
      </c>
      <c r="AN434" s="24">
        <v>0.63</v>
      </c>
      <c r="AO434" s="24">
        <v>0.63</v>
      </c>
      <c r="AP434" s="24">
        <v>0.63</v>
      </c>
      <c r="AQ434" s="24">
        <v>0.63</v>
      </c>
      <c r="AR434" s="24">
        <v>0.63</v>
      </c>
      <c r="AS434" s="24">
        <v>0.63</v>
      </c>
      <c r="AT434" s="24">
        <v>0.63</v>
      </c>
      <c r="AU434" s="24">
        <v>0.63</v>
      </c>
      <c r="AV434" s="24">
        <v>0.63</v>
      </c>
      <c r="AW434" s="24">
        <v>0.63</v>
      </c>
      <c r="AX434" s="24">
        <v>0.63</v>
      </c>
      <c r="AY434" s="24">
        <v>0.63</v>
      </c>
      <c r="AZ434" s="24">
        <v>0.63</v>
      </c>
      <c r="BA434" s="24">
        <v>0.63</v>
      </c>
      <c r="BB434" s="24">
        <v>0.63</v>
      </c>
      <c r="BC434" s="24">
        <v>0.63</v>
      </c>
      <c r="BD434" s="24">
        <v>0.63</v>
      </c>
      <c r="BE434" s="24">
        <v>0.63</v>
      </c>
      <c r="BF434" s="24">
        <v>0.63</v>
      </c>
      <c r="BG434" s="24">
        <v>0.63</v>
      </c>
      <c r="BH434" s="24">
        <v>0.63</v>
      </c>
      <c r="BI434" s="24">
        <v>0.63</v>
      </c>
      <c r="BJ434" s="24">
        <v>0.63</v>
      </c>
      <c r="BK434" s="24">
        <v>0.63</v>
      </c>
      <c r="BL434" s="24">
        <v>0.63</v>
      </c>
      <c r="BM434" s="24">
        <v>0.63</v>
      </c>
      <c r="BN434" s="24">
        <v>0.63</v>
      </c>
      <c r="BO434" s="24">
        <v>0.63</v>
      </c>
      <c r="BP434" s="24">
        <v>0.63</v>
      </c>
      <c r="BQ434" s="24">
        <v>0.63</v>
      </c>
    </row>
    <row r="435" spans="1:69" s="17" customFormat="1" hidden="1" x14ac:dyDescent="0.25">
      <c r="A435" s="23">
        <v>44</v>
      </c>
      <c r="B435" s="23" t="s">
        <v>96</v>
      </c>
      <c r="C435" s="24" t="s">
        <v>97</v>
      </c>
      <c r="D435" s="24">
        <v>4</v>
      </c>
      <c r="E435" s="24" t="s">
        <v>493</v>
      </c>
      <c r="F435" s="24"/>
      <c r="G435" s="24" t="s">
        <v>500</v>
      </c>
      <c r="H435" s="24">
        <v>0</v>
      </c>
      <c r="I435" s="24">
        <v>9.7679815200000012E-4</v>
      </c>
      <c r="J435" s="24">
        <v>9.7330899600000002E-4</v>
      </c>
      <c r="K435" s="24">
        <v>9.8615048400000011E-4</v>
      </c>
      <c r="L435" s="24">
        <v>9.8652510000000007E-4</v>
      </c>
      <c r="M435" s="24">
        <v>9.7926800400000014E-4</v>
      </c>
      <c r="N435" s="24">
        <v>1.0487549160000003E-3</v>
      </c>
      <c r="O435" s="24">
        <v>1.9368344160000002E-3</v>
      </c>
      <c r="P435" s="24">
        <v>1.967152176E-3</v>
      </c>
      <c r="Q435" s="47">
        <v>2E-3</v>
      </c>
      <c r="R435" s="24">
        <v>2E-3</v>
      </c>
      <c r="S435" s="24">
        <v>2E-3</v>
      </c>
      <c r="T435" s="24">
        <v>2E-3</v>
      </c>
      <c r="U435" s="24">
        <v>2E-3</v>
      </c>
      <c r="V435" s="24">
        <v>2E-3</v>
      </c>
      <c r="W435" s="24">
        <v>2E-3</v>
      </c>
      <c r="X435" s="24">
        <v>2E-3</v>
      </c>
      <c r="Y435" s="24">
        <v>2E-3</v>
      </c>
      <c r="Z435" s="24">
        <v>2E-3</v>
      </c>
      <c r="AA435" s="24">
        <v>2E-3</v>
      </c>
      <c r="AB435" s="24">
        <v>2E-3</v>
      </c>
      <c r="AC435" s="24">
        <v>2E-3</v>
      </c>
      <c r="AD435" s="24">
        <v>2E-3</v>
      </c>
      <c r="AE435" s="24">
        <v>2E-3</v>
      </c>
      <c r="AF435" s="24">
        <v>2E-3</v>
      </c>
      <c r="AG435" s="24">
        <v>2E-3</v>
      </c>
      <c r="AH435" s="24">
        <v>2E-3</v>
      </c>
      <c r="AI435" s="24">
        <v>2E-3</v>
      </c>
      <c r="AJ435" s="24">
        <v>2E-3</v>
      </c>
      <c r="AK435" s="24">
        <v>2E-3</v>
      </c>
      <c r="AL435" s="24">
        <v>2E-3</v>
      </c>
      <c r="AM435" s="24">
        <v>2E-3</v>
      </c>
      <c r="AN435" s="24">
        <v>2E-3</v>
      </c>
      <c r="AO435" s="24">
        <v>2E-3</v>
      </c>
      <c r="AP435" s="24">
        <v>2E-3</v>
      </c>
      <c r="AQ435" s="24">
        <v>2E-3</v>
      </c>
      <c r="AR435" s="24">
        <v>2E-3</v>
      </c>
      <c r="AS435" s="24">
        <v>2E-3</v>
      </c>
      <c r="AT435" s="24">
        <v>2E-3</v>
      </c>
      <c r="AU435" s="24">
        <v>2E-3</v>
      </c>
      <c r="AV435" s="24">
        <v>2E-3</v>
      </c>
      <c r="AW435" s="24">
        <v>2E-3</v>
      </c>
      <c r="AX435" s="24">
        <v>2E-3</v>
      </c>
      <c r="AY435" s="24">
        <v>2E-3</v>
      </c>
      <c r="AZ435" s="24">
        <v>2E-3</v>
      </c>
      <c r="BA435" s="24">
        <v>2E-3</v>
      </c>
      <c r="BB435" s="24">
        <v>2E-3</v>
      </c>
      <c r="BC435" s="24">
        <v>2E-3</v>
      </c>
      <c r="BD435" s="24">
        <v>2E-3</v>
      </c>
      <c r="BE435" s="24">
        <v>2E-3</v>
      </c>
      <c r="BF435" s="24">
        <v>2E-3</v>
      </c>
      <c r="BG435" s="24">
        <v>2E-3</v>
      </c>
      <c r="BH435" s="24">
        <v>2E-3</v>
      </c>
      <c r="BI435" s="24">
        <v>2E-3</v>
      </c>
      <c r="BJ435" s="24">
        <v>2E-3</v>
      </c>
      <c r="BK435" s="24">
        <v>2E-3</v>
      </c>
      <c r="BL435" s="24">
        <v>2E-3</v>
      </c>
      <c r="BM435" s="24">
        <v>2E-3</v>
      </c>
      <c r="BN435" s="24">
        <v>2E-3</v>
      </c>
      <c r="BO435" s="24">
        <v>2E-3</v>
      </c>
      <c r="BP435" s="24">
        <v>2E-3</v>
      </c>
      <c r="BQ435" s="24">
        <v>2E-3</v>
      </c>
    </row>
    <row r="436" spans="1:69" s="17" customFormat="1" hidden="1" x14ac:dyDescent="0.25">
      <c r="A436" s="23">
        <v>44</v>
      </c>
      <c r="B436" s="23" t="s">
        <v>96</v>
      </c>
      <c r="C436" s="24" t="s">
        <v>97</v>
      </c>
      <c r="D436" s="24">
        <v>5</v>
      </c>
      <c r="E436" s="24" t="s">
        <v>494</v>
      </c>
      <c r="F436" s="24"/>
      <c r="G436" s="24" t="s">
        <v>500</v>
      </c>
      <c r="H436" s="24">
        <v>0</v>
      </c>
      <c r="I436" s="24">
        <v>9.7679815200000012E-4</v>
      </c>
      <c r="J436" s="24">
        <v>9.7330899600000002E-4</v>
      </c>
      <c r="K436" s="24">
        <v>9.8615048400000011E-4</v>
      </c>
      <c r="L436" s="24">
        <v>9.8652510000000007E-4</v>
      </c>
      <c r="M436" s="24">
        <v>9.7926800400000014E-4</v>
      </c>
      <c r="N436" s="24">
        <v>1.0487549160000003E-3</v>
      </c>
      <c r="O436" s="24">
        <v>1.9368344160000002E-3</v>
      </c>
      <c r="P436" s="24">
        <v>1.967152176E-3</v>
      </c>
      <c r="Q436" s="47">
        <v>2E-3</v>
      </c>
      <c r="R436" s="24">
        <v>2E-3</v>
      </c>
      <c r="S436" s="24">
        <v>2E-3</v>
      </c>
      <c r="T436" s="24">
        <v>2E-3</v>
      </c>
      <c r="U436" s="24">
        <v>99999</v>
      </c>
      <c r="V436" s="24">
        <v>99999</v>
      </c>
      <c r="W436" s="24">
        <v>99999</v>
      </c>
      <c r="X436" s="24">
        <v>99999</v>
      </c>
      <c r="Y436" s="24">
        <v>99999</v>
      </c>
      <c r="Z436" s="24">
        <v>99999</v>
      </c>
      <c r="AA436" s="24">
        <v>99999</v>
      </c>
      <c r="AB436" s="24">
        <v>99999</v>
      </c>
      <c r="AC436" s="24">
        <v>99999</v>
      </c>
      <c r="AD436" s="24">
        <v>99999</v>
      </c>
      <c r="AE436" s="24">
        <v>99999</v>
      </c>
      <c r="AF436" s="24">
        <v>99999</v>
      </c>
      <c r="AG436" s="24">
        <v>99999</v>
      </c>
      <c r="AH436" s="24">
        <v>99999</v>
      </c>
      <c r="AI436" s="24">
        <v>99999</v>
      </c>
      <c r="AJ436" s="24">
        <v>99999</v>
      </c>
      <c r="AK436" s="24">
        <v>99999</v>
      </c>
      <c r="AL436" s="24">
        <v>99999</v>
      </c>
      <c r="AM436" s="24">
        <v>99999</v>
      </c>
      <c r="AN436" s="24">
        <v>99999</v>
      </c>
      <c r="AO436" s="24">
        <v>99999</v>
      </c>
      <c r="AP436" s="24">
        <v>99999</v>
      </c>
      <c r="AQ436" s="24">
        <v>99999</v>
      </c>
      <c r="AR436" s="24">
        <v>99999</v>
      </c>
      <c r="AS436" s="24">
        <v>99999</v>
      </c>
      <c r="AT436" s="24">
        <v>99999</v>
      </c>
      <c r="AU436" s="24">
        <v>99999</v>
      </c>
      <c r="AV436" s="24">
        <v>99999</v>
      </c>
      <c r="AW436" s="24">
        <v>99999</v>
      </c>
      <c r="AX436" s="24">
        <v>99999</v>
      </c>
      <c r="AY436" s="24">
        <v>99999</v>
      </c>
      <c r="AZ436" s="24">
        <v>99999</v>
      </c>
      <c r="BA436" s="24">
        <v>99999</v>
      </c>
      <c r="BB436" s="24">
        <v>99999</v>
      </c>
      <c r="BC436" s="24">
        <v>99999</v>
      </c>
      <c r="BD436" s="24">
        <v>99999</v>
      </c>
      <c r="BE436" s="24">
        <v>99999</v>
      </c>
      <c r="BF436" s="24">
        <v>99999</v>
      </c>
      <c r="BG436" s="24">
        <v>99999</v>
      </c>
      <c r="BH436" s="24">
        <v>99999</v>
      </c>
      <c r="BI436" s="24">
        <v>99999</v>
      </c>
      <c r="BJ436" s="24">
        <v>99999</v>
      </c>
      <c r="BK436" s="24">
        <v>99999</v>
      </c>
      <c r="BL436" s="24">
        <v>99999</v>
      </c>
      <c r="BM436" s="24">
        <v>99999</v>
      </c>
      <c r="BN436" s="24">
        <v>99999</v>
      </c>
      <c r="BO436" s="24">
        <v>99999</v>
      </c>
      <c r="BP436" s="24">
        <v>99999</v>
      </c>
      <c r="BQ436" s="24">
        <v>99999</v>
      </c>
    </row>
    <row r="437" spans="1:69" s="17" customFormat="1" hidden="1" x14ac:dyDescent="0.25">
      <c r="A437" s="23">
        <v>44</v>
      </c>
      <c r="B437" s="23" t="s">
        <v>96</v>
      </c>
      <c r="C437" s="24" t="s">
        <v>97</v>
      </c>
      <c r="D437" s="24">
        <v>6</v>
      </c>
      <c r="E437" s="24" t="s">
        <v>495</v>
      </c>
      <c r="F437" s="24"/>
      <c r="G437" s="24" t="s">
        <v>500</v>
      </c>
      <c r="H437" s="24">
        <v>0</v>
      </c>
      <c r="I437" s="50">
        <v>3.1040557293014005E-4</v>
      </c>
      <c r="J437" s="50">
        <v>4.0015577158768526E-4</v>
      </c>
      <c r="K437" s="50">
        <v>4.3987302009252597E-4</v>
      </c>
      <c r="L437" s="50">
        <v>3.9677710972392505E-4</v>
      </c>
      <c r="M437" s="50">
        <v>4.1183731526557951E-4</v>
      </c>
      <c r="N437" s="50">
        <v>4.70712295402167E-4</v>
      </c>
      <c r="O437" s="50">
        <v>5.6912480798701232E-4</v>
      </c>
      <c r="P437" s="50">
        <v>7.2206317213913671E-4</v>
      </c>
      <c r="Q437" s="46">
        <v>4.9490000000000003E-3</v>
      </c>
      <c r="R437" s="24">
        <v>1.5453E-2</v>
      </c>
      <c r="S437" s="24">
        <v>4.0400000000000001E-4</v>
      </c>
      <c r="T437" s="24">
        <v>9.0899999999999998E-4</v>
      </c>
      <c r="U437" s="24">
        <v>4.2499470263787539E-4</v>
      </c>
      <c r="V437" s="24">
        <v>4.2499470263787539E-4</v>
      </c>
      <c r="W437" s="24">
        <v>4.2499470263787539E-4</v>
      </c>
      <c r="X437" s="24">
        <v>4.2499470263787539E-4</v>
      </c>
      <c r="Y437" s="24">
        <v>4.2499470263787539E-4</v>
      </c>
      <c r="Z437" s="24">
        <v>4.2499470263787539E-4</v>
      </c>
      <c r="AA437" s="24">
        <v>4.2499470263787539E-4</v>
      </c>
      <c r="AB437" s="24">
        <v>4.2499470263787539E-4</v>
      </c>
      <c r="AC437" s="24">
        <v>4.2499470263787539E-4</v>
      </c>
      <c r="AD437" s="24">
        <v>4.2499470263787539E-4</v>
      </c>
      <c r="AE437" s="24">
        <v>4.2499470263787539E-4</v>
      </c>
      <c r="AF437" s="24">
        <v>4.2499470263787539E-4</v>
      </c>
      <c r="AG437" s="24">
        <v>4.2499470263787539E-4</v>
      </c>
      <c r="AH437" s="24">
        <v>4.2499470263787539E-4</v>
      </c>
      <c r="AI437" s="24">
        <v>4.2499470263787539E-4</v>
      </c>
      <c r="AJ437" s="24">
        <v>4.2499470263787539E-4</v>
      </c>
      <c r="AK437" s="24">
        <v>4.2499470263787539E-4</v>
      </c>
      <c r="AL437" s="24">
        <v>4.2499470263787539E-4</v>
      </c>
      <c r="AM437" s="24">
        <v>4.2499470263787539E-4</v>
      </c>
      <c r="AN437" s="24">
        <v>4.2499470263787539E-4</v>
      </c>
      <c r="AO437" s="24">
        <v>4.2499470263787539E-4</v>
      </c>
      <c r="AP437" s="24">
        <v>4.2499470263787539E-4</v>
      </c>
      <c r="AQ437" s="24">
        <v>4.2499470263787539E-4</v>
      </c>
      <c r="AR437" s="24">
        <v>4.2499470263787539E-4</v>
      </c>
      <c r="AS437" s="24">
        <v>4.2499470263787539E-4</v>
      </c>
      <c r="AT437" s="24">
        <v>4.2499470263787539E-4</v>
      </c>
      <c r="AU437" s="24">
        <v>4.2499470263787539E-4</v>
      </c>
      <c r="AV437" s="24">
        <v>4.2499470263787539E-4</v>
      </c>
      <c r="AW437" s="24">
        <v>4.2499470263787539E-4</v>
      </c>
      <c r="AX437" s="24">
        <v>4.2499470263787539E-4</v>
      </c>
      <c r="AY437" s="24">
        <v>4.2499470263787539E-4</v>
      </c>
      <c r="AZ437" s="24">
        <v>4.2499470263787539E-4</v>
      </c>
      <c r="BA437" s="24">
        <v>4.2499470263787539E-4</v>
      </c>
      <c r="BB437" s="24">
        <v>4.2499470263787539E-4</v>
      </c>
      <c r="BC437" s="24">
        <v>4.2499470263787539E-4</v>
      </c>
      <c r="BD437" s="24">
        <v>4.2499470263787539E-4</v>
      </c>
      <c r="BE437" s="24">
        <v>4.2499470263787539E-4</v>
      </c>
      <c r="BF437" s="24">
        <v>4.2499470263787539E-4</v>
      </c>
      <c r="BG437" s="24">
        <v>4.2499470263787539E-4</v>
      </c>
      <c r="BH437" s="24">
        <v>4.2499470263787539E-4</v>
      </c>
      <c r="BI437" s="24">
        <v>4.2499470263787539E-4</v>
      </c>
      <c r="BJ437" s="24">
        <v>4.2499470263787539E-4</v>
      </c>
      <c r="BK437" s="24">
        <v>4.2499470263787539E-4</v>
      </c>
      <c r="BL437" s="24">
        <v>4.2499470263787539E-4</v>
      </c>
      <c r="BM437" s="24">
        <v>4.2499470263787539E-4</v>
      </c>
      <c r="BN437" s="24">
        <v>4.2499470263787539E-4</v>
      </c>
      <c r="BO437" s="24">
        <v>4.2499470263787539E-4</v>
      </c>
      <c r="BP437" s="24">
        <v>4.2499470263787539E-4</v>
      </c>
      <c r="BQ437" s="24">
        <v>4.2499470263787539E-4</v>
      </c>
    </row>
    <row r="438" spans="1:69" s="17" customFormat="1" hidden="1" x14ac:dyDescent="0.25">
      <c r="A438" s="23">
        <v>44</v>
      </c>
      <c r="B438" s="23" t="s">
        <v>96</v>
      </c>
      <c r="C438" s="24" t="s">
        <v>97</v>
      </c>
      <c r="D438" s="24">
        <v>7</v>
      </c>
      <c r="E438" s="24" t="s">
        <v>496</v>
      </c>
      <c r="F438" s="24"/>
      <c r="G438" s="25" t="s">
        <v>500</v>
      </c>
      <c r="H438" s="26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46">
        <v>4.8999999999999998E-3</v>
      </c>
      <c r="R438" s="24">
        <v>1.5299999999999999E-2</v>
      </c>
      <c r="S438" s="24">
        <v>4.0000000000000002E-4</v>
      </c>
      <c r="T438" s="24">
        <v>8.9999999999999998E-4</v>
      </c>
      <c r="U438" s="24">
        <v>4.2078683429492615E-4</v>
      </c>
      <c r="V438" s="24">
        <v>4.2078683429492615E-4</v>
      </c>
      <c r="W438" s="24">
        <v>4.2078683429492615E-4</v>
      </c>
      <c r="X438" s="24">
        <v>4.2078683429492615E-4</v>
      </c>
      <c r="Y438" s="24">
        <v>4.2078683429492615E-4</v>
      </c>
      <c r="Z438" s="24">
        <v>4.2078683429492615E-4</v>
      </c>
      <c r="AA438" s="24">
        <v>4.2078683429492615E-4</v>
      </c>
      <c r="AB438" s="24">
        <v>4.2078683429492615E-4</v>
      </c>
      <c r="AC438" s="24">
        <v>4.2078683429492615E-4</v>
      </c>
      <c r="AD438" s="24">
        <v>4.2078683429492615E-4</v>
      </c>
      <c r="AE438" s="24">
        <v>4.2078683429492615E-4</v>
      </c>
      <c r="AF438" s="24">
        <v>4.2078683429492615E-4</v>
      </c>
      <c r="AG438" s="24">
        <v>4.2078683429492615E-4</v>
      </c>
      <c r="AH438" s="24">
        <v>4.2078683429492615E-4</v>
      </c>
      <c r="AI438" s="24">
        <v>4.2078683429492615E-4</v>
      </c>
      <c r="AJ438" s="24">
        <v>4.2078683429492615E-4</v>
      </c>
      <c r="AK438" s="24">
        <v>4.2078683429492615E-4</v>
      </c>
      <c r="AL438" s="24">
        <v>4.2078683429492615E-4</v>
      </c>
      <c r="AM438" s="24">
        <v>4.2078683429492615E-4</v>
      </c>
      <c r="AN438" s="24">
        <v>4.2078683429492615E-4</v>
      </c>
      <c r="AO438" s="24">
        <v>4.2078683429492615E-4</v>
      </c>
      <c r="AP438" s="24">
        <v>4.2078683429492615E-4</v>
      </c>
      <c r="AQ438" s="24">
        <v>4.2078683429492615E-4</v>
      </c>
      <c r="AR438" s="24">
        <v>4.2078683429492615E-4</v>
      </c>
      <c r="AS438" s="24">
        <v>4.2078683429492615E-4</v>
      </c>
      <c r="AT438" s="24">
        <v>4.2078683429492615E-4</v>
      </c>
      <c r="AU438" s="24">
        <v>4.2078683429492615E-4</v>
      </c>
      <c r="AV438" s="24">
        <v>4.2078683429492615E-4</v>
      </c>
      <c r="AW438" s="24">
        <v>4.2078683429492615E-4</v>
      </c>
      <c r="AX438" s="24">
        <v>4.2078683429492615E-4</v>
      </c>
      <c r="AY438" s="24">
        <v>4.2078683429492615E-4</v>
      </c>
      <c r="AZ438" s="24">
        <v>4.2078683429492615E-4</v>
      </c>
      <c r="BA438" s="24">
        <v>4.2078683429492615E-4</v>
      </c>
      <c r="BB438" s="24">
        <v>4.2078683429492615E-4</v>
      </c>
      <c r="BC438" s="24">
        <v>4.2078683429492615E-4</v>
      </c>
      <c r="BD438" s="24">
        <v>4.2078683429492615E-4</v>
      </c>
      <c r="BE438" s="24">
        <v>4.2078683429492615E-4</v>
      </c>
      <c r="BF438" s="24">
        <v>4.2078683429492615E-4</v>
      </c>
      <c r="BG438" s="24">
        <v>4.2078683429492615E-4</v>
      </c>
      <c r="BH438" s="24">
        <v>4.2078683429492615E-4</v>
      </c>
      <c r="BI438" s="24">
        <v>4.2078683429492615E-4</v>
      </c>
      <c r="BJ438" s="24">
        <v>4.2078683429492615E-4</v>
      </c>
      <c r="BK438" s="24">
        <v>4.2078683429492615E-4</v>
      </c>
      <c r="BL438" s="24">
        <v>4.2078683429492615E-4</v>
      </c>
      <c r="BM438" s="24">
        <v>4.2078683429492615E-4</v>
      </c>
      <c r="BN438" s="24">
        <v>4.2078683429492615E-4</v>
      </c>
      <c r="BO438" s="24">
        <v>4.2078683429492615E-4</v>
      </c>
      <c r="BP438" s="24">
        <v>4.2078683429492615E-4</v>
      </c>
      <c r="BQ438" s="24">
        <v>4.2078683429492615E-4</v>
      </c>
    </row>
    <row r="439" spans="1:69" s="17" customFormat="1" hidden="1" x14ac:dyDescent="0.25">
      <c r="A439" s="23">
        <v>44</v>
      </c>
      <c r="B439" s="23" t="s">
        <v>96</v>
      </c>
      <c r="C439" s="24" t="s">
        <v>97</v>
      </c>
      <c r="D439" s="24">
        <v>8</v>
      </c>
      <c r="E439" s="24" t="s">
        <v>497</v>
      </c>
      <c r="F439" s="24"/>
      <c r="G439" s="24" t="s">
        <v>490</v>
      </c>
      <c r="H439" s="24">
        <v>0</v>
      </c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</row>
    <row r="440" spans="1:69" s="17" customFormat="1" hidden="1" x14ac:dyDescent="0.25">
      <c r="A440" s="23">
        <v>44</v>
      </c>
      <c r="B440" s="23" t="s">
        <v>96</v>
      </c>
      <c r="C440" s="24" t="s">
        <v>97</v>
      </c>
      <c r="D440" s="24">
        <v>9</v>
      </c>
      <c r="E440" s="24" t="s">
        <v>498</v>
      </c>
      <c r="F440" s="24"/>
      <c r="G440" s="24" t="s">
        <v>500</v>
      </c>
      <c r="H440" s="24">
        <v>0</v>
      </c>
      <c r="I440" s="24">
        <v>8.8999999999999999E-3</v>
      </c>
      <c r="J440" s="24">
        <v>1.1599999999999999E-2</v>
      </c>
      <c r="K440" s="24">
        <v>1.2500000000000001E-2</v>
      </c>
      <c r="L440" s="24">
        <v>1.1299999999999999E-2</v>
      </c>
      <c r="M440" s="24">
        <v>1.18E-2</v>
      </c>
      <c r="N440" s="24">
        <v>1.26E-2</v>
      </c>
      <c r="O440" s="24">
        <v>8.3000000000000001E-3</v>
      </c>
      <c r="P440" s="24">
        <v>1.03E-2</v>
      </c>
      <c r="Q440" s="24">
        <v>8.2900000000000001E-2</v>
      </c>
      <c r="R440" s="24">
        <v>0.2581</v>
      </c>
      <c r="S440" s="24">
        <v>7.1000000000000004E-3</v>
      </c>
      <c r="T440" s="24">
        <v>0.02</v>
      </c>
      <c r="U440" s="24">
        <v>0.08</v>
      </c>
      <c r="V440" s="24">
        <v>0.08</v>
      </c>
      <c r="W440" s="24">
        <v>0.08</v>
      </c>
      <c r="X440" s="24">
        <v>0.08</v>
      </c>
      <c r="Y440" s="24">
        <v>0.08</v>
      </c>
      <c r="Z440" s="24">
        <v>0.08</v>
      </c>
      <c r="AA440" s="24">
        <v>0.08</v>
      </c>
      <c r="AB440" s="24">
        <v>0.08</v>
      </c>
      <c r="AC440" s="24">
        <v>0.08</v>
      </c>
      <c r="AD440" s="24">
        <v>0.08</v>
      </c>
      <c r="AE440" s="24">
        <v>0.08</v>
      </c>
      <c r="AF440" s="24">
        <v>0.08</v>
      </c>
      <c r="AG440" s="24">
        <v>0.08</v>
      </c>
      <c r="AH440" s="24">
        <v>0.08</v>
      </c>
      <c r="AI440" s="24">
        <v>0.08</v>
      </c>
      <c r="AJ440" s="24">
        <v>0.08</v>
      </c>
      <c r="AK440" s="24">
        <v>0.08</v>
      </c>
      <c r="AL440" s="24">
        <v>0.08</v>
      </c>
      <c r="AM440" s="24">
        <v>0.08</v>
      </c>
      <c r="AN440" s="24">
        <v>0.08</v>
      </c>
      <c r="AO440" s="24">
        <v>0.08</v>
      </c>
      <c r="AP440" s="24">
        <v>0.08</v>
      </c>
      <c r="AQ440" s="24">
        <v>0.08</v>
      </c>
      <c r="AR440" s="24">
        <v>0.08</v>
      </c>
      <c r="AS440" s="24">
        <v>0.08</v>
      </c>
      <c r="AT440" s="24">
        <v>0.08</v>
      </c>
      <c r="AU440" s="24">
        <v>0.08</v>
      </c>
      <c r="AV440" s="24">
        <v>0.08</v>
      </c>
      <c r="AW440" s="24">
        <v>0.08</v>
      </c>
      <c r="AX440" s="24">
        <v>0.08</v>
      </c>
      <c r="AY440" s="24">
        <v>0.08</v>
      </c>
      <c r="AZ440" s="24">
        <v>0.08</v>
      </c>
      <c r="BA440" s="24">
        <v>0.08</v>
      </c>
      <c r="BB440" s="24">
        <v>0.08</v>
      </c>
      <c r="BC440" s="24">
        <v>0.08</v>
      </c>
      <c r="BD440" s="24">
        <v>0.08</v>
      </c>
      <c r="BE440" s="24">
        <v>0.08</v>
      </c>
      <c r="BF440" s="24">
        <v>0.08</v>
      </c>
      <c r="BG440" s="24">
        <v>0.08</v>
      </c>
      <c r="BH440" s="24">
        <v>0.08</v>
      </c>
      <c r="BI440" s="24">
        <v>0.08</v>
      </c>
      <c r="BJ440" s="24">
        <v>0.08</v>
      </c>
      <c r="BK440" s="24">
        <v>0.08</v>
      </c>
      <c r="BL440" s="24">
        <v>0.08</v>
      </c>
      <c r="BM440" s="24">
        <v>0.08</v>
      </c>
      <c r="BN440" s="24">
        <v>0.08</v>
      </c>
      <c r="BO440" s="24">
        <v>0.08</v>
      </c>
      <c r="BP440" s="24">
        <v>0.08</v>
      </c>
      <c r="BQ440" s="24">
        <v>0.08</v>
      </c>
    </row>
    <row r="441" spans="1:69" s="17" customFormat="1" hidden="1" x14ac:dyDescent="0.25">
      <c r="A441" s="23">
        <v>44</v>
      </c>
      <c r="B441" s="23" t="s">
        <v>96</v>
      </c>
      <c r="C441" s="24" t="s">
        <v>97</v>
      </c>
      <c r="D441" s="24">
        <v>10</v>
      </c>
      <c r="E441" s="24" t="s">
        <v>499</v>
      </c>
      <c r="F441" s="24"/>
      <c r="G441" s="24" t="s">
        <v>501</v>
      </c>
      <c r="H441" s="24">
        <v>0</v>
      </c>
      <c r="I441" s="24">
        <v>0.95</v>
      </c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</row>
    <row r="442" spans="1:69" hidden="1" x14ac:dyDescent="0.25">
      <c r="A442" s="20">
        <v>45</v>
      </c>
      <c r="B442" s="20" t="s">
        <v>98</v>
      </c>
      <c r="C442" s="3" t="s">
        <v>99</v>
      </c>
      <c r="D442" s="3">
        <v>1</v>
      </c>
      <c r="E442" s="3" t="s">
        <v>489</v>
      </c>
      <c r="F442" s="3"/>
      <c r="G442" s="3" t="s">
        <v>500</v>
      </c>
      <c r="H442" s="3">
        <v>0</v>
      </c>
      <c r="I442" s="3">
        <v>3080.6</v>
      </c>
      <c r="J442" s="3">
        <v>3080.6</v>
      </c>
      <c r="K442" s="3">
        <v>3080.6</v>
      </c>
      <c r="L442" s="3">
        <v>3080.6</v>
      </c>
      <c r="M442" s="3">
        <v>3080.6</v>
      </c>
      <c r="N442" s="3">
        <v>3080.6</v>
      </c>
      <c r="O442" s="3">
        <v>3080.6</v>
      </c>
      <c r="P442" s="3">
        <v>3080.6</v>
      </c>
      <c r="Q442" s="3">
        <v>3080.6</v>
      </c>
      <c r="R442" s="3">
        <v>3080.6</v>
      </c>
      <c r="S442" s="3">
        <v>3080.6</v>
      </c>
      <c r="T442" s="3">
        <v>3080.6</v>
      </c>
      <c r="U442" s="3">
        <v>3080.6</v>
      </c>
      <c r="V442" s="3">
        <v>3080.6</v>
      </c>
      <c r="W442" s="3">
        <v>3080.6</v>
      </c>
      <c r="X442" s="3">
        <v>3080.6</v>
      </c>
      <c r="Y442" s="3">
        <v>3080.6</v>
      </c>
      <c r="Z442" s="3">
        <v>3080.6</v>
      </c>
      <c r="AA442" s="3">
        <v>3080.6</v>
      </c>
      <c r="AB442" s="3">
        <v>3080.6</v>
      </c>
      <c r="AC442" s="3">
        <v>3080.6</v>
      </c>
      <c r="AD442" s="3">
        <v>3080.6</v>
      </c>
      <c r="AE442" s="3">
        <v>3080.6</v>
      </c>
      <c r="AF442" s="3">
        <v>3080.6</v>
      </c>
      <c r="AG442" s="3">
        <v>3080.6</v>
      </c>
      <c r="AH442" s="3">
        <v>3080.6</v>
      </c>
      <c r="AI442" s="3">
        <v>3080.6</v>
      </c>
      <c r="AJ442" s="3">
        <v>3080.6</v>
      </c>
      <c r="AK442" s="3">
        <v>3080.6</v>
      </c>
      <c r="AL442" s="3">
        <v>3080.6</v>
      </c>
      <c r="AM442" s="3">
        <v>3080.6</v>
      </c>
      <c r="AN442" s="3">
        <v>3080.6</v>
      </c>
      <c r="AO442" s="3">
        <v>3080.6</v>
      </c>
      <c r="AP442" s="3">
        <v>3080.6</v>
      </c>
      <c r="AQ442" s="3">
        <v>3080.6</v>
      </c>
      <c r="AR442" s="3">
        <v>3080.6</v>
      </c>
      <c r="AS442" s="3">
        <v>3080.6</v>
      </c>
      <c r="AT442" s="3">
        <v>3080.6</v>
      </c>
      <c r="AU442" s="3">
        <v>3080.6</v>
      </c>
      <c r="AV442" s="3">
        <v>3080.6</v>
      </c>
      <c r="AW442" s="3">
        <v>3080.6</v>
      </c>
      <c r="AX442" s="3">
        <v>3080.6</v>
      </c>
      <c r="AY442" s="3">
        <v>3080.6</v>
      </c>
      <c r="AZ442" s="3">
        <v>3080.6</v>
      </c>
      <c r="BA442" s="3">
        <v>3080.6</v>
      </c>
      <c r="BB442" s="3">
        <v>3080.6</v>
      </c>
      <c r="BC442" s="3">
        <v>3080.6</v>
      </c>
      <c r="BD442" s="3">
        <v>3080.6</v>
      </c>
      <c r="BE442" s="3">
        <v>3080.6</v>
      </c>
      <c r="BF442" s="3">
        <v>3080.6</v>
      </c>
      <c r="BG442" s="3">
        <v>3080.6</v>
      </c>
      <c r="BH442" s="3">
        <v>3080.6</v>
      </c>
      <c r="BI442" s="3">
        <v>3080.6</v>
      </c>
      <c r="BJ442" s="3">
        <v>3080.6</v>
      </c>
      <c r="BK442" s="3">
        <v>3080.6</v>
      </c>
      <c r="BL442" s="3">
        <v>3080.6</v>
      </c>
      <c r="BM442" s="3">
        <v>3080.6</v>
      </c>
      <c r="BN442" s="3">
        <v>3080.6</v>
      </c>
      <c r="BO442" s="3">
        <v>3080.6</v>
      </c>
      <c r="BP442" s="3">
        <v>3080.6</v>
      </c>
      <c r="BQ442" s="3">
        <v>3080.6</v>
      </c>
    </row>
    <row r="443" spans="1:69" hidden="1" x14ac:dyDescent="0.25">
      <c r="A443" s="20">
        <v>45</v>
      </c>
      <c r="B443" s="20" t="s">
        <v>98</v>
      </c>
      <c r="C443" s="3" t="s">
        <v>99</v>
      </c>
      <c r="D443" s="3">
        <v>2</v>
      </c>
      <c r="E443" s="3" t="s">
        <v>491</v>
      </c>
      <c r="F443" s="3"/>
      <c r="G443" s="3" t="s">
        <v>500</v>
      </c>
      <c r="H443" s="3">
        <v>0</v>
      </c>
      <c r="I443" s="3">
        <v>50</v>
      </c>
      <c r="J443" s="3">
        <v>50</v>
      </c>
      <c r="K443" s="3">
        <v>50</v>
      </c>
      <c r="L443" s="3">
        <v>50</v>
      </c>
      <c r="M443" s="3">
        <v>50</v>
      </c>
      <c r="N443" s="3">
        <v>50</v>
      </c>
      <c r="O443" s="3">
        <v>50</v>
      </c>
      <c r="P443" s="3">
        <v>50</v>
      </c>
      <c r="Q443" s="3">
        <v>50</v>
      </c>
      <c r="R443" s="3">
        <v>50</v>
      </c>
      <c r="S443" s="3">
        <v>50</v>
      </c>
      <c r="T443" s="3">
        <v>50</v>
      </c>
      <c r="U443" s="3">
        <v>50</v>
      </c>
      <c r="V443" s="3">
        <v>50</v>
      </c>
      <c r="W443" s="3">
        <v>50</v>
      </c>
      <c r="X443" s="3">
        <v>50</v>
      </c>
      <c r="Y443" s="3">
        <v>50</v>
      </c>
      <c r="Z443" s="3">
        <v>50</v>
      </c>
      <c r="AA443" s="3">
        <v>50</v>
      </c>
      <c r="AB443" s="3">
        <v>50</v>
      </c>
      <c r="AC443" s="3">
        <v>50</v>
      </c>
      <c r="AD443" s="3">
        <v>50</v>
      </c>
      <c r="AE443" s="3">
        <v>50</v>
      </c>
      <c r="AF443" s="3">
        <v>50</v>
      </c>
      <c r="AG443" s="3">
        <v>50</v>
      </c>
      <c r="AH443" s="3">
        <v>50</v>
      </c>
      <c r="AI443" s="3">
        <v>50</v>
      </c>
      <c r="AJ443" s="3">
        <v>50</v>
      </c>
      <c r="AK443" s="3">
        <v>50</v>
      </c>
      <c r="AL443" s="3">
        <v>50</v>
      </c>
      <c r="AM443" s="3">
        <v>50</v>
      </c>
      <c r="AN443" s="3">
        <v>50</v>
      </c>
      <c r="AO443" s="3">
        <v>50</v>
      </c>
      <c r="AP443" s="3">
        <v>50</v>
      </c>
      <c r="AQ443" s="3">
        <v>50</v>
      </c>
      <c r="AR443" s="3">
        <v>50</v>
      </c>
      <c r="AS443" s="3">
        <v>50</v>
      </c>
      <c r="AT443" s="3">
        <v>50</v>
      </c>
      <c r="AU443" s="3">
        <v>50</v>
      </c>
      <c r="AV443" s="3">
        <v>50</v>
      </c>
      <c r="AW443" s="3">
        <v>50</v>
      </c>
      <c r="AX443" s="3">
        <v>50</v>
      </c>
      <c r="AY443" s="3">
        <v>50</v>
      </c>
      <c r="AZ443" s="3">
        <v>50</v>
      </c>
      <c r="BA443" s="3">
        <v>50</v>
      </c>
      <c r="BB443" s="3">
        <v>50</v>
      </c>
      <c r="BC443" s="3">
        <v>50</v>
      </c>
      <c r="BD443" s="3">
        <v>50</v>
      </c>
      <c r="BE443" s="3">
        <v>50</v>
      </c>
      <c r="BF443" s="3">
        <v>50</v>
      </c>
      <c r="BG443" s="3">
        <v>50</v>
      </c>
      <c r="BH443" s="3">
        <v>50</v>
      </c>
      <c r="BI443" s="3">
        <v>50</v>
      </c>
      <c r="BJ443" s="3">
        <v>50</v>
      </c>
      <c r="BK443" s="3">
        <v>50</v>
      </c>
      <c r="BL443" s="3">
        <v>50</v>
      </c>
      <c r="BM443" s="3">
        <v>50</v>
      </c>
      <c r="BN443" s="3">
        <v>50</v>
      </c>
      <c r="BO443" s="3">
        <v>50</v>
      </c>
      <c r="BP443" s="3">
        <v>50</v>
      </c>
      <c r="BQ443" s="3">
        <v>50</v>
      </c>
    </row>
    <row r="444" spans="1:69" hidden="1" x14ac:dyDescent="0.25">
      <c r="A444" s="20">
        <v>45</v>
      </c>
      <c r="B444" s="20" t="s">
        <v>98</v>
      </c>
      <c r="C444" s="3" t="s">
        <v>99</v>
      </c>
      <c r="D444" s="3">
        <v>3</v>
      </c>
      <c r="E444" s="3" t="s">
        <v>492</v>
      </c>
      <c r="F444" s="3"/>
      <c r="G444" s="3" t="s">
        <v>500</v>
      </c>
      <c r="H444" s="3">
        <v>0</v>
      </c>
      <c r="I444" s="3">
        <v>0.63</v>
      </c>
      <c r="J444" s="3">
        <v>0.63</v>
      </c>
      <c r="K444" s="3">
        <v>0.63</v>
      </c>
      <c r="L444" s="3">
        <v>0.63</v>
      </c>
      <c r="M444" s="3">
        <v>0.63</v>
      </c>
      <c r="N444" s="3">
        <v>0.63</v>
      </c>
      <c r="O444" s="3">
        <v>0.63</v>
      </c>
      <c r="P444" s="3">
        <v>0.63</v>
      </c>
      <c r="Q444" s="3">
        <v>0.63</v>
      </c>
      <c r="R444" s="3">
        <v>0.63</v>
      </c>
      <c r="S444" s="3">
        <v>0.63</v>
      </c>
      <c r="T444" s="3">
        <v>0.63</v>
      </c>
      <c r="U444" s="3">
        <v>0.63</v>
      </c>
      <c r="V444" s="3">
        <v>0.63</v>
      </c>
      <c r="W444" s="3">
        <v>0.63</v>
      </c>
      <c r="X444" s="3">
        <v>0.63</v>
      </c>
      <c r="Y444" s="3">
        <v>0.63</v>
      </c>
      <c r="Z444" s="3">
        <v>0.63</v>
      </c>
      <c r="AA444" s="3">
        <v>0.63</v>
      </c>
      <c r="AB444" s="3">
        <v>0.63</v>
      </c>
      <c r="AC444" s="3">
        <v>0.63</v>
      </c>
      <c r="AD444" s="3">
        <v>0.63</v>
      </c>
      <c r="AE444" s="3">
        <v>0.63</v>
      </c>
      <c r="AF444" s="3">
        <v>0.63</v>
      </c>
      <c r="AG444" s="3">
        <v>0.63</v>
      </c>
      <c r="AH444" s="3">
        <v>0.63</v>
      </c>
      <c r="AI444" s="3">
        <v>0.63</v>
      </c>
      <c r="AJ444" s="3">
        <v>0.63</v>
      </c>
      <c r="AK444" s="3">
        <v>0.63</v>
      </c>
      <c r="AL444" s="3">
        <v>0.63</v>
      </c>
      <c r="AM444" s="3">
        <v>0.63</v>
      </c>
      <c r="AN444" s="3">
        <v>0.63</v>
      </c>
      <c r="AO444" s="3">
        <v>0.63</v>
      </c>
      <c r="AP444" s="3">
        <v>0.63</v>
      </c>
      <c r="AQ444" s="3">
        <v>0.63</v>
      </c>
      <c r="AR444" s="3">
        <v>0.63</v>
      </c>
      <c r="AS444" s="3">
        <v>0.63</v>
      </c>
      <c r="AT444" s="3">
        <v>0.63</v>
      </c>
      <c r="AU444" s="3">
        <v>0.63</v>
      </c>
      <c r="AV444" s="3">
        <v>0.63</v>
      </c>
      <c r="AW444" s="3">
        <v>0.63</v>
      </c>
      <c r="AX444" s="3">
        <v>0.63</v>
      </c>
      <c r="AY444" s="3">
        <v>0.63</v>
      </c>
      <c r="AZ444" s="3">
        <v>0.63</v>
      </c>
      <c r="BA444" s="3">
        <v>0.63</v>
      </c>
      <c r="BB444" s="3">
        <v>0.63</v>
      </c>
      <c r="BC444" s="3">
        <v>0.63</v>
      </c>
      <c r="BD444" s="3">
        <v>0.63</v>
      </c>
      <c r="BE444" s="3">
        <v>0.63</v>
      </c>
      <c r="BF444" s="3">
        <v>0.63</v>
      </c>
      <c r="BG444" s="3">
        <v>0.63</v>
      </c>
      <c r="BH444" s="3">
        <v>0.63</v>
      </c>
      <c r="BI444" s="3">
        <v>0.63</v>
      </c>
      <c r="BJ444" s="3">
        <v>0.63</v>
      </c>
      <c r="BK444" s="3">
        <v>0.63</v>
      </c>
      <c r="BL444" s="3">
        <v>0.63</v>
      </c>
      <c r="BM444" s="3">
        <v>0.63</v>
      </c>
      <c r="BN444" s="3">
        <v>0.63</v>
      </c>
      <c r="BO444" s="3">
        <v>0.63</v>
      </c>
      <c r="BP444" s="3">
        <v>0.63</v>
      </c>
      <c r="BQ444" s="3">
        <v>0.63</v>
      </c>
    </row>
    <row r="445" spans="1:69" hidden="1" x14ac:dyDescent="0.25">
      <c r="A445" s="20">
        <v>45</v>
      </c>
      <c r="B445" s="20" t="s">
        <v>98</v>
      </c>
      <c r="C445" s="3" t="s">
        <v>99</v>
      </c>
      <c r="D445" s="3">
        <v>4</v>
      </c>
      <c r="E445" s="3" t="s">
        <v>493</v>
      </c>
      <c r="F445" s="3"/>
      <c r="G445" s="3" t="s">
        <v>490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</row>
    <row r="446" spans="1:69" hidden="1" x14ac:dyDescent="0.25">
      <c r="A446" s="20">
        <v>45</v>
      </c>
      <c r="B446" s="20" t="s">
        <v>98</v>
      </c>
      <c r="C446" s="3" t="s">
        <v>99</v>
      </c>
      <c r="D446" s="3">
        <v>5</v>
      </c>
      <c r="E446" s="3" t="s">
        <v>494</v>
      </c>
      <c r="F446" s="3"/>
      <c r="G446" s="3" t="s">
        <v>500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</row>
    <row r="447" spans="1:69" hidden="1" x14ac:dyDescent="0.25">
      <c r="A447" s="20">
        <v>45</v>
      </c>
      <c r="B447" s="20" t="s">
        <v>98</v>
      </c>
      <c r="C447" s="3" t="s">
        <v>99</v>
      </c>
      <c r="D447" s="3">
        <v>6</v>
      </c>
      <c r="E447" s="3" t="s">
        <v>495</v>
      </c>
      <c r="F447" s="3"/>
      <c r="G447" s="3" t="s">
        <v>490</v>
      </c>
      <c r="H447" s="3">
        <v>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hidden="1" x14ac:dyDescent="0.25">
      <c r="A448" s="20">
        <v>45</v>
      </c>
      <c r="B448" s="20" t="s">
        <v>98</v>
      </c>
      <c r="C448" s="3" t="s">
        <v>99</v>
      </c>
      <c r="D448" s="3">
        <v>7</v>
      </c>
      <c r="E448" s="3" t="s">
        <v>496</v>
      </c>
      <c r="F448" s="3"/>
      <c r="G448" s="21" t="s">
        <v>500</v>
      </c>
      <c r="H448" s="22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</row>
    <row r="449" spans="1:69" hidden="1" x14ac:dyDescent="0.25">
      <c r="A449" s="20">
        <v>45</v>
      </c>
      <c r="B449" s="20" t="s">
        <v>98</v>
      </c>
      <c r="C449" s="3" t="s">
        <v>99</v>
      </c>
      <c r="D449" s="3">
        <v>8</v>
      </c>
      <c r="E449" s="3" t="s">
        <v>497</v>
      </c>
      <c r="F449" s="3"/>
      <c r="G449" s="3" t="s">
        <v>490</v>
      </c>
      <c r="H449" s="3">
        <v>0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hidden="1" x14ac:dyDescent="0.25">
      <c r="A450" s="20">
        <v>45</v>
      </c>
      <c r="B450" s="20" t="s">
        <v>98</v>
      </c>
      <c r="C450" s="3" t="s">
        <v>99</v>
      </c>
      <c r="D450" s="3">
        <v>9</v>
      </c>
      <c r="E450" s="3" t="s">
        <v>498</v>
      </c>
      <c r="F450" s="3"/>
      <c r="G450" s="3" t="s">
        <v>500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7.1000000000000004E-3</v>
      </c>
      <c r="V450" s="3">
        <v>7.1000000000000004E-3</v>
      </c>
      <c r="W450" s="3">
        <v>7.1000000000000004E-3</v>
      </c>
      <c r="X450" s="3">
        <v>7.1000000000000004E-3</v>
      </c>
      <c r="Y450" s="3">
        <v>7.1000000000000004E-3</v>
      </c>
      <c r="Z450" s="3">
        <v>7.1000000000000004E-3</v>
      </c>
      <c r="AA450" s="3">
        <v>7.1000000000000004E-3</v>
      </c>
      <c r="AB450" s="3">
        <v>7.1000000000000004E-3</v>
      </c>
      <c r="AC450" s="3">
        <v>7.1000000000000004E-3</v>
      </c>
      <c r="AD450" s="3">
        <v>7.1000000000000004E-3</v>
      </c>
      <c r="AE450" s="3">
        <v>7.1000000000000004E-3</v>
      </c>
      <c r="AF450" s="3">
        <v>7.1000000000000004E-3</v>
      </c>
      <c r="AG450" s="3">
        <v>7.1000000000000004E-3</v>
      </c>
      <c r="AH450" s="3">
        <v>7.1000000000000004E-3</v>
      </c>
      <c r="AI450" s="3">
        <v>7.1000000000000004E-3</v>
      </c>
      <c r="AJ450" s="3">
        <v>7.1000000000000004E-3</v>
      </c>
      <c r="AK450" s="3">
        <v>7.1000000000000004E-3</v>
      </c>
      <c r="AL450" s="3">
        <v>7.1000000000000004E-3</v>
      </c>
      <c r="AM450" s="3">
        <v>7.1000000000000004E-3</v>
      </c>
      <c r="AN450" s="3">
        <v>7.1000000000000004E-3</v>
      </c>
      <c r="AO450" s="3">
        <v>7.1000000000000004E-3</v>
      </c>
      <c r="AP450" s="3">
        <v>7.1000000000000004E-3</v>
      </c>
      <c r="AQ450" s="3">
        <v>7.1000000000000004E-3</v>
      </c>
      <c r="AR450" s="3">
        <v>7.1000000000000004E-3</v>
      </c>
      <c r="AS450" s="3">
        <v>7.1000000000000004E-3</v>
      </c>
      <c r="AT450" s="3">
        <v>7.1000000000000004E-3</v>
      </c>
      <c r="AU450" s="3">
        <v>7.1000000000000004E-3</v>
      </c>
      <c r="AV450" s="3">
        <v>7.1000000000000004E-3</v>
      </c>
      <c r="AW450" s="3">
        <v>7.1000000000000004E-3</v>
      </c>
      <c r="AX450" s="3">
        <v>7.1000000000000004E-3</v>
      </c>
      <c r="AY450" s="3">
        <v>7.1000000000000004E-3</v>
      </c>
      <c r="AZ450" s="3">
        <v>7.1000000000000004E-3</v>
      </c>
      <c r="BA450" s="3">
        <v>7.1000000000000004E-3</v>
      </c>
      <c r="BB450" s="3">
        <v>7.1000000000000004E-3</v>
      </c>
      <c r="BC450" s="3">
        <v>7.1000000000000004E-3</v>
      </c>
      <c r="BD450" s="3">
        <v>7.1000000000000004E-3</v>
      </c>
      <c r="BE450" s="3">
        <v>7.1000000000000004E-3</v>
      </c>
      <c r="BF450" s="3">
        <v>7.1000000000000004E-3</v>
      </c>
      <c r="BG450" s="3">
        <v>7.1000000000000004E-3</v>
      </c>
      <c r="BH450" s="3">
        <v>7.1000000000000004E-3</v>
      </c>
      <c r="BI450" s="3">
        <v>7.1000000000000004E-3</v>
      </c>
      <c r="BJ450" s="3">
        <v>7.1000000000000004E-3</v>
      </c>
      <c r="BK450" s="3">
        <v>7.1000000000000004E-3</v>
      </c>
      <c r="BL450" s="3">
        <v>7.1000000000000004E-3</v>
      </c>
      <c r="BM450" s="3">
        <v>7.1000000000000004E-3</v>
      </c>
      <c r="BN450" s="3">
        <v>7.1000000000000004E-3</v>
      </c>
      <c r="BO450" s="3">
        <v>7.1000000000000004E-3</v>
      </c>
      <c r="BP450" s="3">
        <v>7.1000000000000004E-3</v>
      </c>
      <c r="BQ450" s="3">
        <v>7.1000000000000004E-3</v>
      </c>
    </row>
    <row r="451" spans="1:69" hidden="1" x14ac:dyDescent="0.25">
      <c r="A451" s="20">
        <v>45</v>
      </c>
      <c r="B451" s="20" t="s">
        <v>98</v>
      </c>
      <c r="C451" s="3" t="s">
        <v>99</v>
      </c>
      <c r="D451" s="3">
        <v>10</v>
      </c>
      <c r="E451" s="3" t="s">
        <v>499</v>
      </c>
      <c r="F451" s="3"/>
      <c r="G451" s="3" t="s">
        <v>501</v>
      </c>
      <c r="H451" s="3">
        <v>0</v>
      </c>
      <c r="I451" s="3">
        <v>0.95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3" spans="1:69" x14ac:dyDescent="0.25">
      <c r="Q453"/>
      <c r="R453"/>
    </row>
    <row r="454" spans="1:69" x14ac:dyDescent="0.25">
      <c r="Q454"/>
      <c r="R454"/>
    </row>
    <row r="455" spans="1:69" x14ac:dyDescent="0.25">
      <c r="Q455"/>
      <c r="R455"/>
    </row>
    <row r="456" spans="1:69" x14ac:dyDescent="0.25">
      <c r="Q456"/>
      <c r="R456"/>
    </row>
    <row r="457" spans="1:69" x14ac:dyDescent="0.25">
      <c r="Q457"/>
      <c r="R457"/>
    </row>
  </sheetData>
  <autoFilter ref="A1:BQ451" xr:uid="{00000000-0001-0000-0100-000000000000}">
    <filterColumn colId="1">
      <filters>
        <filter val="PP_WND_US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Q525"/>
  <sheetViews>
    <sheetView zoomScale="70" zoomScaleNormal="85" workbookViewId="0">
      <selection activeCell="U525" sqref="U525"/>
    </sheetView>
  </sheetViews>
  <sheetFormatPr baseColWidth="10" defaultColWidth="8.85546875" defaultRowHeight="15" x14ac:dyDescent="0.25"/>
  <cols>
    <col min="1" max="1" width="12.7109375" style="32" bestFit="1" customWidth="1"/>
    <col min="2" max="2" width="20.28515625" style="18" customWidth="1"/>
    <col min="3" max="3" width="69.28515625" customWidth="1"/>
    <col min="4" max="4" width="11.85546875" style="32" customWidth="1"/>
    <col min="5" max="5" width="46.28515625" customWidth="1"/>
    <col min="6" max="6" width="12.85546875" style="30" bestFit="1" customWidth="1"/>
    <col min="7" max="7" width="15.140625" style="30" customWidth="1"/>
    <col min="8" max="16" width="19.140625" style="32" customWidth="1"/>
    <col min="17" max="18" width="11.85546875" style="30" customWidth="1"/>
    <col min="19" max="19" width="12.5703125" style="30" customWidth="1"/>
    <col min="20" max="67" width="11.85546875" style="30" customWidth="1"/>
    <col min="68" max="69" width="11.85546875" style="30" bestFit="1" customWidth="1"/>
    <col min="70" max="16384" width="8.85546875" style="30"/>
  </cols>
  <sheetData>
    <row r="1" spans="1:69" x14ac:dyDescent="0.25">
      <c r="A1" s="2" t="s">
        <v>1</v>
      </c>
      <c r="B1" s="31" t="s">
        <v>2</v>
      </c>
      <c r="C1" s="35" t="s">
        <v>3</v>
      </c>
      <c r="D1" s="2" t="s">
        <v>5</v>
      </c>
      <c r="E1" s="35" t="s">
        <v>6</v>
      </c>
      <c r="F1" s="2" t="s">
        <v>7</v>
      </c>
      <c r="G1" s="2" t="s">
        <v>487</v>
      </c>
      <c r="H1" s="2" t="s">
        <v>488</v>
      </c>
      <c r="I1" s="2">
        <v>2010</v>
      </c>
      <c r="J1" s="2">
        <v>2011</v>
      </c>
      <c r="K1" s="2">
        <v>2012</v>
      </c>
      <c r="L1" s="2">
        <v>2013</v>
      </c>
      <c r="M1" s="2">
        <v>2014</v>
      </c>
      <c r="N1" s="2">
        <v>2015</v>
      </c>
      <c r="O1" s="2">
        <v>2016</v>
      </c>
      <c r="P1" s="2">
        <v>2017</v>
      </c>
      <c r="Q1" s="2">
        <v>2018</v>
      </c>
      <c r="R1" s="2">
        <v>2019</v>
      </c>
      <c r="S1" s="2">
        <v>2020</v>
      </c>
      <c r="T1" s="2">
        <v>2021</v>
      </c>
      <c r="U1" s="2">
        <v>2022</v>
      </c>
      <c r="V1" s="2">
        <v>2023</v>
      </c>
      <c r="W1" s="2">
        <v>2024</v>
      </c>
      <c r="X1" s="2">
        <v>2025</v>
      </c>
      <c r="Y1" s="2">
        <v>2026</v>
      </c>
      <c r="Z1" s="2">
        <v>2027</v>
      </c>
      <c r="AA1" s="2">
        <v>2028</v>
      </c>
      <c r="AB1" s="2">
        <v>2029</v>
      </c>
      <c r="AC1" s="2">
        <v>2030</v>
      </c>
      <c r="AD1" s="2">
        <v>2031</v>
      </c>
      <c r="AE1" s="2">
        <v>2032</v>
      </c>
      <c r="AF1" s="2">
        <v>2033</v>
      </c>
      <c r="AG1" s="2">
        <v>2034</v>
      </c>
      <c r="AH1" s="2">
        <v>2035</v>
      </c>
      <c r="AI1" s="2">
        <v>2036</v>
      </c>
      <c r="AJ1" s="2">
        <v>2037</v>
      </c>
      <c r="AK1" s="2">
        <v>2038</v>
      </c>
      <c r="AL1" s="2">
        <v>2039</v>
      </c>
      <c r="AM1" s="2">
        <v>2040</v>
      </c>
      <c r="AN1" s="2">
        <v>2041</v>
      </c>
      <c r="AO1" s="2">
        <v>2042</v>
      </c>
      <c r="AP1" s="2">
        <v>2043</v>
      </c>
      <c r="AQ1" s="2">
        <v>2044</v>
      </c>
      <c r="AR1" s="2">
        <v>2045</v>
      </c>
      <c r="AS1" s="2">
        <v>2046</v>
      </c>
      <c r="AT1" s="2">
        <v>2047</v>
      </c>
      <c r="AU1" s="2">
        <v>2048</v>
      </c>
      <c r="AV1" s="2">
        <v>2049</v>
      </c>
      <c r="AW1" s="2">
        <v>2050</v>
      </c>
      <c r="AX1" s="2">
        <v>2051</v>
      </c>
      <c r="AY1" s="2">
        <v>2052</v>
      </c>
      <c r="AZ1" s="2">
        <v>2053</v>
      </c>
      <c r="BA1" s="2">
        <v>2054</v>
      </c>
      <c r="BB1" s="2">
        <v>2055</v>
      </c>
      <c r="BC1" s="2">
        <v>2056</v>
      </c>
      <c r="BD1" s="2">
        <v>2057</v>
      </c>
      <c r="BE1" s="2">
        <v>2058</v>
      </c>
      <c r="BF1" s="2">
        <v>2059</v>
      </c>
      <c r="BG1" s="2">
        <v>2060</v>
      </c>
      <c r="BH1" s="2">
        <v>2061</v>
      </c>
      <c r="BI1" s="2">
        <v>2062</v>
      </c>
      <c r="BJ1" s="2">
        <v>2063</v>
      </c>
      <c r="BK1" s="2">
        <v>2064</v>
      </c>
      <c r="BL1" s="2">
        <v>2065</v>
      </c>
      <c r="BM1" s="2">
        <v>2066</v>
      </c>
      <c r="BN1" s="2">
        <v>2067</v>
      </c>
      <c r="BO1" s="2">
        <v>2068</v>
      </c>
      <c r="BP1" s="2">
        <v>2069</v>
      </c>
      <c r="BQ1" s="2">
        <v>2070</v>
      </c>
    </row>
    <row r="2" spans="1:69" s="44" customFormat="1" hidden="1" x14ac:dyDescent="0.25">
      <c r="A2" s="43">
        <v>1</v>
      </c>
      <c r="B2" s="43" t="s">
        <v>34</v>
      </c>
      <c r="C2" s="20" t="s">
        <v>25</v>
      </c>
      <c r="D2" s="43">
        <v>1</v>
      </c>
      <c r="E2" s="20" t="s">
        <v>489</v>
      </c>
      <c r="F2" s="43"/>
      <c r="G2" s="43" t="s">
        <v>501</v>
      </c>
      <c r="H2" s="43">
        <v>0</v>
      </c>
      <c r="I2" s="43">
        <v>1.02</v>
      </c>
      <c r="J2" s="43"/>
      <c r="K2" s="43"/>
      <c r="L2" s="43"/>
      <c r="M2" s="43"/>
      <c r="N2" s="43"/>
      <c r="O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</row>
    <row r="3" spans="1:69" s="44" customFormat="1" hidden="1" x14ac:dyDescent="0.25">
      <c r="A3" s="43">
        <v>1</v>
      </c>
      <c r="B3" s="43" t="s">
        <v>34</v>
      </c>
      <c r="C3" s="20" t="s">
        <v>25</v>
      </c>
      <c r="D3" s="43">
        <v>2</v>
      </c>
      <c r="E3" s="20" t="s">
        <v>491</v>
      </c>
      <c r="F3" s="43"/>
      <c r="G3" s="43" t="s">
        <v>501</v>
      </c>
      <c r="H3" s="43">
        <v>0</v>
      </c>
      <c r="I3" s="43">
        <v>0.5</v>
      </c>
      <c r="J3" s="43"/>
      <c r="K3" s="43"/>
      <c r="L3" s="43"/>
      <c r="M3" s="43"/>
      <c r="N3" s="43"/>
      <c r="O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</row>
    <row r="4" spans="1:69" s="44" customFormat="1" hidden="1" x14ac:dyDescent="0.25">
      <c r="A4" s="43">
        <v>1</v>
      </c>
      <c r="B4" s="43" t="s">
        <v>34</v>
      </c>
      <c r="C4" s="20" t="s">
        <v>25</v>
      </c>
      <c r="D4" s="43">
        <v>3</v>
      </c>
      <c r="E4" s="20" t="s">
        <v>492</v>
      </c>
      <c r="F4" s="43"/>
      <c r="G4" s="43" t="s">
        <v>500</v>
      </c>
      <c r="H4" s="43">
        <v>0</v>
      </c>
      <c r="I4" s="45">
        <v>2.04</v>
      </c>
      <c r="J4" s="45">
        <v>2.04</v>
      </c>
      <c r="K4" s="45">
        <v>2.04</v>
      </c>
      <c r="L4" s="45">
        <v>2.04</v>
      </c>
      <c r="M4" s="45">
        <v>2.04</v>
      </c>
      <c r="N4" s="45">
        <v>2.04</v>
      </c>
      <c r="O4" s="45">
        <v>2.04</v>
      </c>
      <c r="P4" s="45">
        <v>2.04</v>
      </c>
      <c r="Q4" s="45">
        <v>2.04</v>
      </c>
      <c r="R4" s="45">
        <v>2.04</v>
      </c>
      <c r="S4" s="45">
        <v>2.04</v>
      </c>
      <c r="T4" s="45">
        <v>2.04</v>
      </c>
      <c r="U4" s="45">
        <v>2.04</v>
      </c>
      <c r="V4" s="45">
        <v>2.04</v>
      </c>
      <c r="W4" s="45">
        <v>2.04</v>
      </c>
      <c r="X4" s="45">
        <v>2.04</v>
      </c>
      <c r="Y4" s="45">
        <v>2.04</v>
      </c>
      <c r="Z4" s="45">
        <v>2.04</v>
      </c>
      <c r="AA4" s="45">
        <v>2.04</v>
      </c>
      <c r="AB4" s="45">
        <v>2.04</v>
      </c>
      <c r="AC4" s="45">
        <v>2.04</v>
      </c>
      <c r="AD4" s="45">
        <v>2.04</v>
      </c>
      <c r="AE4" s="45">
        <v>2.04</v>
      </c>
      <c r="AF4" s="45">
        <v>2.04</v>
      </c>
      <c r="AG4" s="45">
        <v>2.04</v>
      </c>
      <c r="AH4" s="45">
        <v>2.04</v>
      </c>
      <c r="AI4" s="45">
        <v>2.04</v>
      </c>
      <c r="AJ4" s="45">
        <v>2.04</v>
      </c>
      <c r="AK4" s="45">
        <v>2.04</v>
      </c>
      <c r="AL4" s="45">
        <v>2.04</v>
      </c>
      <c r="AM4" s="45">
        <v>2.04</v>
      </c>
      <c r="AN4" s="45">
        <v>2.04</v>
      </c>
      <c r="AO4" s="45">
        <v>2.04</v>
      </c>
      <c r="AP4" s="45">
        <v>2.04</v>
      </c>
      <c r="AQ4" s="45">
        <v>2.04</v>
      </c>
      <c r="AR4" s="45">
        <v>2.04</v>
      </c>
      <c r="AS4" s="45">
        <v>2.04</v>
      </c>
      <c r="AT4" s="45">
        <v>2.04</v>
      </c>
      <c r="AU4" s="45">
        <v>2.04</v>
      </c>
      <c r="AV4" s="45">
        <v>2.04</v>
      </c>
      <c r="AW4" s="45">
        <v>2.04</v>
      </c>
      <c r="AX4" s="45">
        <v>2.04</v>
      </c>
      <c r="AY4" s="45">
        <v>2.04</v>
      </c>
      <c r="AZ4" s="45">
        <v>2.04</v>
      </c>
      <c r="BA4" s="45">
        <v>2.04</v>
      </c>
      <c r="BB4" s="45">
        <v>2.04</v>
      </c>
      <c r="BC4" s="45">
        <v>2.04</v>
      </c>
      <c r="BD4" s="45">
        <v>2.04</v>
      </c>
      <c r="BE4" s="45">
        <v>2.04</v>
      </c>
      <c r="BF4" s="45">
        <v>2.04</v>
      </c>
      <c r="BG4" s="45">
        <v>2.04</v>
      </c>
      <c r="BH4" s="45">
        <v>2.04</v>
      </c>
      <c r="BI4" s="45">
        <v>2.04</v>
      </c>
      <c r="BJ4" s="45">
        <v>2.04</v>
      </c>
      <c r="BK4" s="45">
        <v>2.04</v>
      </c>
      <c r="BL4" s="45">
        <v>2.04</v>
      </c>
      <c r="BM4" s="45">
        <v>2.04</v>
      </c>
      <c r="BN4" s="45">
        <v>2.04</v>
      </c>
      <c r="BO4" s="45">
        <v>2.04</v>
      </c>
      <c r="BP4" s="45">
        <v>2.04</v>
      </c>
      <c r="BQ4" s="45">
        <v>2.04</v>
      </c>
    </row>
    <row r="5" spans="1:69" s="44" customFormat="1" hidden="1" x14ac:dyDescent="0.25">
      <c r="A5" s="43">
        <v>1</v>
      </c>
      <c r="B5" s="43" t="s">
        <v>34</v>
      </c>
      <c r="C5" s="20" t="s">
        <v>25</v>
      </c>
      <c r="D5" s="43">
        <v>4</v>
      </c>
      <c r="E5" s="20" t="s">
        <v>493</v>
      </c>
      <c r="F5" s="43"/>
      <c r="G5" s="43" t="s">
        <v>501</v>
      </c>
      <c r="H5" s="43">
        <v>0</v>
      </c>
      <c r="I5" s="43">
        <v>26</v>
      </c>
      <c r="J5" s="43"/>
      <c r="K5" s="43"/>
      <c r="L5" s="43"/>
      <c r="M5" s="43"/>
      <c r="N5" s="43"/>
      <c r="O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</row>
    <row r="6" spans="1:69" s="44" customFormat="1" hidden="1" x14ac:dyDescent="0.25">
      <c r="A6" s="43">
        <v>1</v>
      </c>
      <c r="B6" s="43" t="s">
        <v>34</v>
      </c>
      <c r="C6" s="20" t="s">
        <v>25</v>
      </c>
      <c r="D6" s="43">
        <v>5</v>
      </c>
      <c r="E6" s="20" t="s">
        <v>494</v>
      </c>
      <c r="F6" s="43"/>
      <c r="G6" s="43" t="s">
        <v>490</v>
      </c>
      <c r="H6" s="43">
        <v>0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</row>
    <row r="7" spans="1:69" s="44" customFormat="1" hidden="1" x14ac:dyDescent="0.25">
      <c r="A7" s="43">
        <v>1</v>
      </c>
      <c r="B7" s="43" t="s">
        <v>34</v>
      </c>
      <c r="C7" s="20" t="s">
        <v>25</v>
      </c>
      <c r="D7" s="43">
        <v>6</v>
      </c>
      <c r="E7" s="20" t="s">
        <v>495</v>
      </c>
      <c r="F7" s="43"/>
      <c r="G7" s="43" t="s">
        <v>500</v>
      </c>
      <c r="H7" s="43">
        <v>0</v>
      </c>
      <c r="I7" s="43">
        <v>99999</v>
      </c>
      <c r="J7" s="43">
        <v>99999</v>
      </c>
      <c r="K7" s="43">
        <v>99999</v>
      </c>
      <c r="L7" s="43">
        <v>99999</v>
      </c>
      <c r="M7" s="43">
        <v>99999</v>
      </c>
      <c r="N7" s="43">
        <v>99999</v>
      </c>
      <c r="O7" s="43">
        <v>99999</v>
      </c>
      <c r="P7" s="43">
        <v>99999</v>
      </c>
      <c r="Q7" s="43">
        <v>99999</v>
      </c>
      <c r="R7" s="43">
        <v>99999</v>
      </c>
      <c r="S7" s="43">
        <v>99999</v>
      </c>
      <c r="T7" s="43">
        <v>99999</v>
      </c>
      <c r="U7" s="43">
        <v>99999</v>
      </c>
      <c r="V7" s="43">
        <v>99999</v>
      </c>
      <c r="W7" s="43">
        <v>99999</v>
      </c>
      <c r="X7" s="43">
        <v>99999</v>
      </c>
      <c r="Y7" s="43">
        <v>99999</v>
      </c>
      <c r="Z7" s="43">
        <v>99999</v>
      </c>
      <c r="AA7" s="43">
        <v>99999</v>
      </c>
      <c r="AB7" s="43">
        <v>99999</v>
      </c>
      <c r="AC7" s="43">
        <v>99999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3">
        <v>0</v>
      </c>
      <c r="BM7" s="43">
        <v>0</v>
      </c>
      <c r="BN7" s="43">
        <v>0</v>
      </c>
      <c r="BO7" s="43">
        <v>0</v>
      </c>
      <c r="BP7" s="43">
        <v>0</v>
      </c>
      <c r="BQ7" s="43">
        <v>0</v>
      </c>
    </row>
    <row r="8" spans="1:69" s="44" customFormat="1" hidden="1" x14ac:dyDescent="0.25">
      <c r="A8" s="43">
        <v>1</v>
      </c>
      <c r="B8" s="43" t="s">
        <v>34</v>
      </c>
      <c r="C8" s="20" t="s">
        <v>25</v>
      </c>
      <c r="D8" s="43">
        <v>7</v>
      </c>
      <c r="E8" s="20" t="s">
        <v>496</v>
      </c>
      <c r="F8" s="43"/>
      <c r="G8" s="43" t="s">
        <v>490</v>
      </c>
      <c r="H8" s="43">
        <v>0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</row>
    <row r="9" spans="1:69" s="44" customFormat="1" hidden="1" x14ac:dyDescent="0.25">
      <c r="A9" s="43">
        <v>1</v>
      </c>
      <c r="B9" s="43" t="s">
        <v>34</v>
      </c>
      <c r="C9" s="20" t="s">
        <v>25</v>
      </c>
      <c r="D9" s="43">
        <v>8</v>
      </c>
      <c r="E9" s="20" t="s">
        <v>497</v>
      </c>
      <c r="F9" s="43"/>
      <c r="G9" s="43" t="s">
        <v>490</v>
      </c>
      <c r="H9" s="43">
        <v>0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</row>
    <row r="10" spans="1:69" s="44" customFormat="1" hidden="1" x14ac:dyDescent="0.25">
      <c r="A10" s="43">
        <v>1</v>
      </c>
      <c r="B10" s="43" t="s">
        <v>34</v>
      </c>
      <c r="C10" s="20" t="s">
        <v>25</v>
      </c>
      <c r="D10" s="43">
        <v>9</v>
      </c>
      <c r="E10" s="20" t="s">
        <v>498</v>
      </c>
      <c r="F10" s="43"/>
      <c r="G10" s="43" t="s">
        <v>490</v>
      </c>
      <c r="H10" s="43">
        <v>0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</row>
    <row r="11" spans="1:69" s="44" customFormat="1" hidden="1" x14ac:dyDescent="0.25">
      <c r="A11" s="43">
        <v>1</v>
      </c>
      <c r="B11" s="43" t="s">
        <v>34</v>
      </c>
      <c r="C11" s="20" t="s">
        <v>25</v>
      </c>
      <c r="D11" s="43">
        <v>10</v>
      </c>
      <c r="E11" s="20" t="s">
        <v>499</v>
      </c>
      <c r="F11" s="43"/>
      <c r="G11" s="43" t="s">
        <v>490</v>
      </c>
      <c r="H11" s="43">
        <v>0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</row>
    <row r="12" spans="1:69" s="34" customFormat="1" hidden="1" x14ac:dyDescent="0.25">
      <c r="A12" s="33">
        <v>2</v>
      </c>
      <c r="B12" s="33" t="s">
        <v>24</v>
      </c>
      <c r="C12" s="36" t="s">
        <v>25</v>
      </c>
      <c r="D12" s="33">
        <v>1</v>
      </c>
      <c r="E12" s="36" t="s">
        <v>489</v>
      </c>
      <c r="F12" s="33"/>
      <c r="G12" s="33" t="s">
        <v>490</v>
      </c>
      <c r="H12" s="33">
        <v>0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</row>
    <row r="13" spans="1:69" s="34" customFormat="1" hidden="1" x14ac:dyDescent="0.25">
      <c r="A13" s="33">
        <v>2</v>
      </c>
      <c r="B13" s="33" t="s">
        <v>24</v>
      </c>
      <c r="C13" s="36" t="s">
        <v>25</v>
      </c>
      <c r="D13" s="33">
        <v>2</v>
      </c>
      <c r="E13" s="36" t="s">
        <v>491</v>
      </c>
      <c r="F13" s="33"/>
      <c r="G13" s="33" t="s">
        <v>500</v>
      </c>
      <c r="H13" s="33">
        <v>0</v>
      </c>
      <c r="I13" s="33">
        <v>3.63</v>
      </c>
      <c r="J13" s="33">
        <v>3.63</v>
      </c>
      <c r="K13" s="33">
        <v>3.63</v>
      </c>
      <c r="L13" s="33">
        <v>3.63</v>
      </c>
      <c r="M13" s="33">
        <v>3.63</v>
      </c>
      <c r="N13" s="33">
        <v>3.63</v>
      </c>
      <c r="O13" s="33">
        <v>3.63</v>
      </c>
      <c r="P13" s="33">
        <v>3.63</v>
      </c>
      <c r="Q13" s="33">
        <v>3.63</v>
      </c>
      <c r="R13" s="33">
        <v>3.63</v>
      </c>
      <c r="S13" s="33">
        <v>3.63</v>
      </c>
      <c r="T13" s="33">
        <v>3.63</v>
      </c>
      <c r="U13" s="33">
        <v>3.63</v>
      </c>
      <c r="V13" s="33">
        <v>3.63</v>
      </c>
      <c r="W13" s="33">
        <v>3.63</v>
      </c>
      <c r="X13" s="33">
        <v>3.63</v>
      </c>
      <c r="Y13" s="33">
        <v>3.63</v>
      </c>
      <c r="Z13" s="33">
        <v>3.63</v>
      </c>
      <c r="AA13" s="33">
        <v>3.63</v>
      </c>
      <c r="AB13" s="33">
        <v>3.63</v>
      </c>
      <c r="AC13" s="33">
        <v>3.63</v>
      </c>
      <c r="AD13" s="33">
        <v>3.63</v>
      </c>
      <c r="AE13" s="33">
        <v>3.63</v>
      </c>
      <c r="AF13" s="33">
        <v>3.63</v>
      </c>
      <c r="AG13" s="33">
        <v>3.63</v>
      </c>
      <c r="AH13" s="33">
        <v>3.63</v>
      </c>
      <c r="AI13" s="33">
        <v>3.63</v>
      </c>
      <c r="AJ13" s="33">
        <v>3.63</v>
      </c>
      <c r="AK13" s="33">
        <v>3.63</v>
      </c>
      <c r="AL13" s="33">
        <v>3.63</v>
      </c>
      <c r="AM13" s="33">
        <v>3.63</v>
      </c>
      <c r="AN13" s="33">
        <v>3.63</v>
      </c>
      <c r="AO13" s="33">
        <v>3.63</v>
      </c>
      <c r="AP13" s="33">
        <v>3.63</v>
      </c>
      <c r="AQ13" s="33">
        <v>3.63</v>
      </c>
      <c r="AR13" s="33">
        <v>3.63</v>
      </c>
      <c r="AS13" s="33">
        <v>3.63</v>
      </c>
      <c r="AT13" s="33">
        <v>3.63</v>
      </c>
      <c r="AU13" s="33">
        <v>3.63</v>
      </c>
      <c r="AV13" s="33">
        <v>3.63</v>
      </c>
      <c r="AW13" s="33">
        <v>3.63</v>
      </c>
      <c r="AX13" s="33">
        <v>3.63</v>
      </c>
      <c r="AY13" s="33">
        <v>3.63</v>
      </c>
      <c r="AZ13" s="33">
        <v>3.63</v>
      </c>
      <c r="BA13" s="33">
        <v>3.63</v>
      </c>
      <c r="BB13" s="33">
        <v>3.63</v>
      </c>
      <c r="BC13" s="33">
        <v>3.63</v>
      </c>
      <c r="BD13" s="33">
        <v>3.63</v>
      </c>
      <c r="BE13" s="33">
        <v>3.63</v>
      </c>
      <c r="BF13" s="33">
        <v>3.63</v>
      </c>
      <c r="BG13" s="33">
        <v>3.63</v>
      </c>
      <c r="BH13" s="33">
        <v>3.63</v>
      </c>
      <c r="BI13" s="33">
        <v>3.63</v>
      </c>
      <c r="BJ13" s="33">
        <v>3.63</v>
      </c>
      <c r="BK13" s="33">
        <v>3.63</v>
      </c>
      <c r="BL13" s="33">
        <v>3.63</v>
      </c>
      <c r="BM13" s="33">
        <v>3.63</v>
      </c>
      <c r="BN13" s="33">
        <v>3.63</v>
      </c>
      <c r="BO13" s="33">
        <v>3.63</v>
      </c>
      <c r="BP13" s="33">
        <v>3.63</v>
      </c>
      <c r="BQ13" s="33">
        <v>3.63</v>
      </c>
    </row>
    <row r="14" spans="1:69" s="34" customFormat="1" hidden="1" x14ac:dyDescent="0.25">
      <c r="A14" s="33">
        <v>2</v>
      </c>
      <c r="B14" s="33" t="s">
        <v>24</v>
      </c>
      <c r="C14" s="36" t="s">
        <v>25</v>
      </c>
      <c r="D14" s="33">
        <v>3</v>
      </c>
      <c r="E14" s="36" t="s">
        <v>492</v>
      </c>
      <c r="F14" s="33"/>
      <c r="G14" s="33" t="s">
        <v>500</v>
      </c>
      <c r="H14" s="33">
        <v>0</v>
      </c>
      <c r="I14" s="33">
        <v>2.4</v>
      </c>
      <c r="J14" s="33">
        <v>2.4</v>
      </c>
      <c r="K14" s="33">
        <v>2.4</v>
      </c>
      <c r="L14" s="33">
        <v>2.4</v>
      </c>
      <c r="M14" s="33">
        <v>2.4</v>
      </c>
      <c r="N14" s="33">
        <v>2.4</v>
      </c>
      <c r="O14" s="33">
        <v>2.4</v>
      </c>
      <c r="P14" s="33">
        <v>2.4</v>
      </c>
      <c r="Q14" s="33">
        <v>2.4</v>
      </c>
      <c r="R14" s="33">
        <v>2.4</v>
      </c>
      <c r="S14" s="33">
        <v>2.4</v>
      </c>
      <c r="T14" s="33">
        <v>2.4</v>
      </c>
      <c r="U14" s="33">
        <v>2.4</v>
      </c>
      <c r="V14" s="33">
        <v>2.4</v>
      </c>
      <c r="W14" s="33">
        <v>2.4</v>
      </c>
      <c r="X14" s="33">
        <v>2.4</v>
      </c>
      <c r="Y14" s="33">
        <v>2.4</v>
      </c>
      <c r="Z14" s="33">
        <v>2.4</v>
      </c>
      <c r="AA14" s="33">
        <v>2.4</v>
      </c>
      <c r="AB14" s="33">
        <v>2.4</v>
      </c>
      <c r="AC14" s="33">
        <v>2.4</v>
      </c>
      <c r="AD14" s="33">
        <v>2.4</v>
      </c>
      <c r="AE14" s="33">
        <v>2.4</v>
      </c>
      <c r="AF14" s="33">
        <v>2.4</v>
      </c>
      <c r="AG14" s="33">
        <v>2.4</v>
      </c>
      <c r="AH14" s="33">
        <v>2.4</v>
      </c>
      <c r="AI14" s="33">
        <v>2.4</v>
      </c>
      <c r="AJ14" s="33">
        <v>2.4</v>
      </c>
      <c r="AK14" s="33">
        <v>2.4</v>
      </c>
      <c r="AL14" s="33">
        <v>2.4</v>
      </c>
      <c r="AM14" s="33">
        <v>2.4</v>
      </c>
      <c r="AN14" s="33">
        <v>2.4</v>
      </c>
      <c r="AO14" s="33">
        <v>2.4</v>
      </c>
      <c r="AP14" s="33">
        <v>2.4</v>
      </c>
      <c r="AQ14" s="33">
        <v>2.4</v>
      </c>
      <c r="AR14" s="33">
        <v>2.4</v>
      </c>
      <c r="AS14" s="33">
        <v>2.4</v>
      </c>
      <c r="AT14" s="33">
        <v>2.4</v>
      </c>
      <c r="AU14" s="33">
        <v>2.4</v>
      </c>
      <c r="AV14" s="33">
        <v>2.4</v>
      </c>
      <c r="AW14" s="33">
        <v>2.4</v>
      </c>
      <c r="AX14" s="33">
        <v>2.4</v>
      </c>
      <c r="AY14" s="33">
        <v>2.4</v>
      </c>
      <c r="AZ14" s="33">
        <v>2.4</v>
      </c>
      <c r="BA14" s="33">
        <v>2.4</v>
      </c>
      <c r="BB14" s="33">
        <v>2.4</v>
      </c>
      <c r="BC14" s="33">
        <v>2.4</v>
      </c>
      <c r="BD14" s="33">
        <v>2.4</v>
      </c>
      <c r="BE14" s="33">
        <v>2.4</v>
      </c>
      <c r="BF14" s="33">
        <v>2.4</v>
      </c>
      <c r="BG14" s="33">
        <v>2.4</v>
      </c>
      <c r="BH14" s="33">
        <v>2.4</v>
      </c>
      <c r="BI14" s="33">
        <v>2.4</v>
      </c>
      <c r="BJ14" s="33">
        <v>2.4</v>
      </c>
      <c r="BK14" s="33">
        <v>2.4</v>
      </c>
      <c r="BL14" s="33">
        <v>2.4</v>
      </c>
      <c r="BM14" s="33">
        <v>2.4</v>
      </c>
      <c r="BN14" s="33">
        <v>2.4</v>
      </c>
      <c r="BO14" s="33">
        <v>2.4</v>
      </c>
      <c r="BP14" s="33">
        <v>2.4</v>
      </c>
      <c r="BQ14" s="33">
        <v>2.4</v>
      </c>
    </row>
    <row r="15" spans="1:69" s="34" customFormat="1" hidden="1" x14ac:dyDescent="0.25">
      <c r="A15" s="33">
        <v>2</v>
      </c>
      <c r="B15" s="33" t="s">
        <v>24</v>
      </c>
      <c r="C15" s="36" t="s">
        <v>25</v>
      </c>
      <c r="D15" s="33">
        <v>4</v>
      </c>
      <c r="E15" s="36" t="s">
        <v>493</v>
      </c>
      <c r="F15" s="33"/>
      <c r="G15" s="33" t="s">
        <v>490</v>
      </c>
      <c r="H15" s="33">
        <v>0</v>
      </c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</row>
    <row r="16" spans="1:69" s="34" customFormat="1" hidden="1" x14ac:dyDescent="0.25">
      <c r="A16" s="33">
        <v>2</v>
      </c>
      <c r="B16" s="33" t="s">
        <v>24</v>
      </c>
      <c r="C16" s="36" t="s">
        <v>25</v>
      </c>
      <c r="D16" s="33">
        <v>5</v>
      </c>
      <c r="E16" s="36" t="s">
        <v>494</v>
      </c>
      <c r="F16" s="33"/>
      <c r="G16" s="33" t="s">
        <v>490</v>
      </c>
      <c r="H16" s="33">
        <v>0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</row>
    <row r="17" spans="1:69" s="34" customFormat="1" hidden="1" x14ac:dyDescent="0.25">
      <c r="A17" s="33">
        <v>2</v>
      </c>
      <c r="B17" s="33" t="s">
        <v>24</v>
      </c>
      <c r="C17" s="36" t="s">
        <v>25</v>
      </c>
      <c r="D17" s="33">
        <v>6</v>
      </c>
      <c r="E17" s="36" t="s">
        <v>495</v>
      </c>
      <c r="F17" s="33"/>
      <c r="G17" s="33" t="s">
        <v>500</v>
      </c>
      <c r="H17" s="33">
        <v>0</v>
      </c>
      <c r="I17" s="33">
        <v>99999</v>
      </c>
      <c r="J17" s="33">
        <v>99999</v>
      </c>
      <c r="K17" s="33">
        <v>99999</v>
      </c>
      <c r="L17" s="33">
        <v>99999</v>
      </c>
      <c r="M17" s="33">
        <v>99999</v>
      </c>
      <c r="N17" s="33">
        <v>99999</v>
      </c>
      <c r="O17" s="33">
        <v>99999</v>
      </c>
      <c r="P17" s="33">
        <v>99999</v>
      </c>
      <c r="Q17" s="33">
        <v>99999</v>
      </c>
      <c r="R17" s="33">
        <v>99999</v>
      </c>
      <c r="S17" s="33">
        <v>99999</v>
      </c>
      <c r="T17" s="33">
        <v>99999</v>
      </c>
      <c r="U17" s="33">
        <v>99999</v>
      </c>
      <c r="V17" s="33">
        <v>99999</v>
      </c>
      <c r="W17" s="33">
        <v>99999</v>
      </c>
      <c r="X17" s="33">
        <v>99999</v>
      </c>
      <c r="Y17" s="33">
        <v>99999</v>
      </c>
      <c r="Z17" s="33">
        <v>99999</v>
      </c>
      <c r="AA17" s="33">
        <v>99999</v>
      </c>
      <c r="AB17" s="33">
        <v>99999</v>
      </c>
      <c r="AC17" s="33">
        <v>99999</v>
      </c>
      <c r="AD17" s="33">
        <v>99999</v>
      </c>
      <c r="AE17" s="33">
        <v>99999</v>
      </c>
      <c r="AF17" s="33">
        <v>99999</v>
      </c>
      <c r="AG17" s="33">
        <v>99999</v>
      </c>
      <c r="AH17" s="33">
        <v>99999</v>
      </c>
      <c r="AI17" s="33">
        <v>99999</v>
      </c>
      <c r="AJ17" s="33">
        <v>99999</v>
      </c>
      <c r="AK17" s="33">
        <v>99999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  <c r="BJ17" s="33">
        <v>0</v>
      </c>
      <c r="BK17" s="33">
        <v>0</v>
      </c>
      <c r="BL17" s="33">
        <v>0</v>
      </c>
      <c r="BM17" s="33">
        <v>0</v>
      </c>
      <c r="BN17" s="33">
        <v>0</v>
      </c>
      <c r="BO17" s="33">
        <v>0</v>
      </c>
      <c r="BP17" s="33">
        <v>0</v>
      </c>
      <c r="BQ17" s="33">
        <v>0</v>
      </c>
    </row>
    <row r="18" spans="1:69" s="34" customFormat="1" hidden="1" x14ac:dyDescent="0.25">
      <c r="A18" s="33">
        <v>2</v>
      </c>
      <c r="B18" s="33" t="s">
        <v>24</v>
      </c>
      <c r="C18" s="36" t="s">
        <v>25</v>
      </c>
      <c r="D18" s="33">
        <v>7</v>
      </c>
      <c r="E18" s="36" t="s">
        <v>496</v>
      </c>
      <c r="F18" s="33"/>
      <c r="G18" s="33" t="s">
        <v>490</v>
      </c>
      <c r="H18" s="33">
        <v>0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</row>
    <row r="19" spans="1:69" s="34" customFormat="1" hidden="1" x14ac:dyDescent="0.25">
      <c r="A19" s="33">
        <v>2</v>
      </c>
      <c r="B19" s="33" t="s">
        <v>24</v>
      </c>
      <c r="C19" s="36" t="s">
        <v>25</v>
      </c>
      <c r="D19" s="33">
        <v>8</v>
      </c>
      <c r="E19" s="36" t="s">
        <v>497</v>
      </c>
      <c r="F19" s="33"/>
      <c r="G19" s="33" t="s">
        <v>490</v>
      </c>
      <c r="H19" s="33">
        <v>0</v>
      </c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</row>
    <row r="20" spans="1:69" s="34" customFormat="1" hidden="1" x14ac:dyDescent="0.25">
      <c r="A20" s="33">
        <v>2</v>
      </c>
      <c r="B20" s="33" t="s">
        <v>24</v>
      </c>
      <c r="C20" s="36" t="s">
        <v>25</v>
      </c>
      <c r="D20" s="33">
        <v>9</v>
      </c>
      <c r="E20" s="36" t="s">
        <v>498</v>
      </c>
      <c r="F20" s="33"/>
      <c r="G20" s="33" t="s">
        <v>490</v>
      </c>
      <c r="H20" s="33">
        <v>0</v>
      </c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</row>
    <row r="21" spans="1:69" s="34" customFormat="1" hidden="1" x14ac:dyDescent="0.25">
      <c r="A21" s="33">
        <v>2</v>
      </c>
      <c r="B21" s="33" t="s">
        <v>24</v>
      </c>
      <c r="C21" s="36" t="s">
        <v>25</v>
      </c>
      <c r="D21" s="33">
        <v>10</v>
      </c>
      <c r="E21" s="36" t="s">
        <v>499</v>
      </c>
      <c r="F21" s="33"/>
      <c r="G21" s="33" t="s">
        <v>490</v>
      </c>
      <c r="H21" s="33">
        <v>0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</row>
    <row r="22" spans="1:69" s="44" customFormat="1" hidden="1" x14ac:dyDescent="0.25">
      <c r="A22" s="43">
        <v>3</v>
      </c>
      <c r="B22" s="43" t="s">
        <v>101</v>
      </c>
      <c r="C22" s="20" t="s">
        <v>102</v>
      </c>
      <c r="D22" s="43">
        <v>1</v>
      </c>
      <c r="E22" s="20" t="s">
        <v>489</v>
      </c>
      <c r="F22" s="43"/>
      <c r="G22" s="43" t="s">
        <v>501</v>
      </c>
      <c r="H22" s="43">
        <v>0</v>
      </c>
      <c r="I22" s="43">
        <v>746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</row>
    <row r="23" spans="1:69" s="44" customFormat="1" hidden="1" x14ac:dyDescent="0.25">
      <c r="A23" s="43">
        <v>3</v>
      </c>
      <c r="B23" s="43" t="s">
        <v>101</v>
      </c>
      <c r="C23" s="20" t="s">
        <v>102</v>
      </c>
      <c r="D23" s="43">
        <v>2</v>
      </c>
      <c r="E23" s="20" t="s">
        <v>491</v>
      </c>
      <c r="F23" s="43"/>
      <c r="G23" s="43" t="s">
        <v>490</v>
      </c>
      <c r="H23" s="43">
        <v>0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</row>
    <row r="24" spans="1:69" s="44" customFormat="1" hidden="1" x14ac:dyDescent="0.25">
      <c r="A24" s="43">
        <v>3</v>
      </c>
      <c r="B24" s="43" t="s">
        <v>101</v>
      </c>
      <c r="C24" s="20" t="s">
        <v>102</v>
      </c>
      <c r="D24" s="43">
        <v>3</v>
      </c>
      <c r="E24" s="20" t="s">
        <v>492</v>
      </c>
      <c r="F24" s="43"/>
      <c r="G24" s="43" t="s">
        <v>490</v>
      </c>
      <c r="H24" s="43">
        <v>0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</row>
    <row r="25" spans="1:69" s="44" customFormat="1" hidden="1" x14ac:dyDescent="0.25">
      <c r="A25" s="43">
        <v>3</v>
      </c>
      <c r="B25" s="43" t="s">
        <v>101</v>
      </c>
      <c r="C25" s="20" t="s">
        <v>102</v>
      </c>
      <c r="D25" s="43">
        <v>4</v>
      </c>
      <c r="E25" s="20" t="s">
        <v>493</v>
      </c>
      <c r="F25" s="43"/>
      <c r="G25" s="43" t="s">
        <v>500</v>
      </c>
      <c r="H25" s="43">
        <v>0</v>
      </c>
      <c r="I25" s="43">
        <v>3</v>
      </c>
      <c r="J25" s="43">
        <v>3</v>
      </c>
      <c r="K25" s="43">
        <v>3</v>
      </c>
      <c r="L25" s="43">
        <v>3</v>
      </c>
      <c r="M25" s="43">
        <v>3</v>
      </c>
      <c r="N25" s="43">
        <v>3</v>
      </c>
      <c r="O25" s="43">
        <v>3</v>
      </c>
      <c r="P25" s="43">
        <v>3</v>
      </c>
      <c r="Q25" s="43">
        <v>3</v>
      </c>
      <c r="R25" s="43">
        <v>3</v>
      </c>
      <c r="S25" s="43">
        <v>3</v>
      </c>
      <c r="T25" s="43">
        <v>3</v>
      </c>
      <c r="U25" s="43">
        <v>3</v>
      </c>
      <c r="V25" s="43">
        <v>3</v>
      </c>
      <c r="W25" s="43">
        <v>3</v>
      </c>
      <c r="X25" s="43">
        <v>3</v>
      </c>
      <c r="Y25" s="43">
        <v>3</v>
      </c>
      <c r="Z25" s="43">
        <v>3</v>
      </c>
      <c r="AA25" s="43">
        <v>3</v>
      </c>
      <c r="AB25" s="43">
        <v>3</v>
      </c>
      <c r="AC25" s="43">
        <v>3</v>
      </c>
      <c r="AD25" s="43">
        <v>3</v>
      </c>
      <c r="AE25" s="43">
        <v>3</v>
      </c>
      <c r="AF25" s="43">
        <v>3</v>
      </c>
      <c r="AG25" s="43">
        <v>3</v>
      </c>
      <c r="AH25" s="43">
        <v>3</v>
      </c>
      <c r="AI25" s="43">
        <v>3</v>
      </c>
      <c r="AJ25" s="43">
        <v>3</v>
      </c>
      <c r="AK25" s="43">
        <v>3</v>
      </c>
      <c r="AL25" s="43">
        <v>3</v>
      </c>
      <c r="AM25" s="43">
        <v>3</v>
      </c>
      <c r="AN25" s="43">
        <v>3</v>
      </c>
      <c r="AO25" s="43">
        <v>3</v>
      </c>
      <c r="AP25" s="43">
        <v>3</v>
      </c>
      <c r="AQ25" s="43">
        <v>3</v>
      </c>
      <c r="AR25" s="43">
        <v>3</v>
      </c>
      <c r="AS25" s="43">
        <v>3</v>
      </c>
      <c r="AT25" s="43">
        <v>3</v>
      </c>
      <c r="AU25" s="43">
        <v>3</v>
      </c>
      <c r="AV25" s="43">
        <v>3</v>
      </c>
      <c r="AW25" s="43">
        <v>3</v>
      </c>
      <c r="AX25" s="43">
        <v>3</v>
      </c>
      <c r="AY25" s="43">
        <v>3</v>
      </c>
      <c r="AZ25" s="43">
        <v>3</v>
      </c>
      <c r="BA25" s="43">
        <v>3</v>
      </c>
      <c r="BB25" s="43">
        <v>3</v>
      </c>
      <c r="BC25" s="43">
        <v>3</v>
      </c>
      <c r="BD25" s="43">
        <v>3</v>
      </c>
      <c r="BE25" s="43">
        <v>3</v>
      </c>
      <c r="BF25" s="43">
        <v>3</v>
      </c>
      <c r="BG25" s="43">
        <v>3</v>
      </c>
      <c r="BH25" s="43">
        <v>3</v>
      </c>
      <c r="BI25" s="43">
        <v>3</v>
      </c>
      <c r="BJ25" s="43">
        <v>3</v>
      </c>
      <c r="BK25" s="43">
        <v>3</v>
      </c>
      <c r="BL25" s="43">
        <v>3</v>
      </c>
      <c r="BM25" s="43">
        <v>3</v>
      </c>
      <c r="BN25" s="43">
        <v>3</v>
      </c>
      <c r="BO25" s="43">
        <v>3</v>
      </c>
      <c r="BP25" s="43">
        <v>3</v>
      </c>
      <c r="BQ25" s="43">
        <v>3</v>
      </c>
    </row>
    <row r="26" spans="1:69" s="44" customFormat="1" hidden="1" x14ac:dyDescent="0.25">
      <c r="A26" s="43">
        <v>3</v>
      </c>
      <c r="B26" s="43" t="s">
        <v>101</v>
      </c>
      <c r="C26" s="20" t="s">
        <v>102</v>
      </c>
      <c r="D26" s="43">
        <v>5</v>
      </c>
      <c r="E26" s="20" t="s">
        <v>494</v>
      </c>
      <c r="F26" s="43"/>
      <c r="G26" s="43" t="s">
        <v>490</v>
      </c>
      <c r="H26" s="43">
        <v>0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</row>
    <row r="27" spans="1:69" s="44" customFormat="1" hidden="1" x14ac:dyDescent="0.25">
      <c r="A27" s="43">
        <v>3</v>
      </c>
      <c r="B27" s="43" t="s">
        <v>101</v>
      </c>
      <c r="C27" s="20" t="s">
        <v>102</v>
      </c>
      <c r="D27" s="43">
        <v>6</v>
      </c>
      <c r="E27" s="20" t="s">
        <v>495</v>
      </c>
      <c r="F27" s="43"/>
      <c r="G27" s="43" t="s">
        <v>490</v>
      </c>
      <c r="H27" s="43">
        <v>0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</row>
    <row r="28" spans="1:69" s="44" customFormat="1" hidden="1" x14ac:dyDescent="0.25">
      <c r="A28" s="43">
        <v>3</v>
      </c>
      <c r="B28" s="43" t="s">
        <v>101</v>
      </c>
      <c r="C28" s="20" t="s">
        <v>102</v>
      </c>
      <c r="D28" s="43">
        <v>7</v>
      </c>
      <c r="E28" s="20" t="s">
        <v>496</v>
      </c>
      <c r="F28" s="43"/>
      <c r="G28" s="43" t="s">
        <v>490</v>
      </c>
      <c r="H28" s="43">
        <v>0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</row>
    <row r="29" spans="1:69" s="44" customFormat="1" hidden="1" x14ac:dyDescent="0.25">
      <c r="A29" s="43">
        <v>3</v>
      </c>
      <c r="B29" s="43" t="s">
        <v>101</v>
      </c>
      <c r="C29" s="20" t="s">
        <v>102</v>
      </c>
      <c r="D29" s="43">
        <v>8</v>
      </c>
      <c r="E29" s="20" t="s">
        <v>497</v>
      </c>
      <c r="F29" s="43"/>
      <c r="G29" s="43" t="s">
        <v>490</v>
      </c>
      <c r="H29" s="43"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</row>
    <row r="30" spans="1:69" s="44" customFormat="1" hidden="1" x14ac:dyDescent="0.25">
      <c r="A30" s="43">
        <v>3</v>
      </c>
      <c r="B30" s="43" t="s">
        <v>101</v>
      </c>
      <c r="C30" s="20" t="s">
        <v>102</v>
      </c>
      <c r="D30" s="43">
        <v>9</v>
      </c>
      <c r="E30" s="20" t="s">
        <v>498</v>
      </c>
      <c r="F30" s="43"/>
      <c r="G30" s="43" t="s">
        <v>490</v>
      </c>
      <c r="H30" s="43"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</row>
    <row r="31" spans="1:69" s="44" customFormat="1" hidden="1" x14ac:dyDescent="0.25">
      <c r="A31" s="43">
        <v>3</v>
      </c>
      <c r="B31" s="43" t="s">
        <v>101</v>
      </c>
      <c r="C31" s="20" t="s">
        <v>102</v>
      </c>
      <c r="D31" s="43">
        <v>10</v>
      </c>
      <c r="E31" s="20" t="s">
        <v>499</v>
      </c>
      <c r="F31" s="43"/>
      <c r="G31" s="43" t="s">
        <v>490</v>
      </c>
      <c r="H31" s="43"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</row>
    <row r="32" spans="1:69" s="34" customFormat="1" hidden="1" x14ac:dyDescent="0.25">
      <c r="A32" s="33">
        <v>4</v>
      </c>
      <c r="B32" s="33" t="s">
        <v>103</v>
      </c>
      <c r="C32" s="36" t="s">
        <v>104</v>
      </c>
      <c r="D32" s="33">
        <v>1</v>
      </c>
      <c r="E32" s="36" t="s">
        <v>489</v>
      </c>
      <c r="F32" s="33"/>
      <c r="G32" s="33" t="s">
        <v>501</v>
      </c>
      <c r="H32" s="33">
        <v>0</v>
      </c>
      <c r="I32" s="33">
        <v>1491</v>
      </c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spans="1:69" s="34" customFormat="1" hidden="1" x14ac:dyDescent="0.25">
      <c r="A33" s="33">
        <v>4</v>
      </c>
      <c r="B33" s="33" t="s">
        <v>103</v>
      </c>
      <c r="C33" s="36" t="s">
        <v>104</v>
      </c>
      <c r="D33" s="33">
        <v>2</v>
      </c>
      <c r="E33" s="36" t="s">
        <v>491</v>
      </c>
      <c r="F33" s="33"/>
      <c r="G33" s="33" t="s">
        <v>490</v>
      </c>
      <c r="H33" s="33">
        <v>0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</row>
    <row r="34" spans="1:69" s="34" customFormat="1" hidden="1" x14ac:dyDescent="0.25">
      <c r="A34" s="33">
        <v>4</v>
      </c>
      <c r="B34" s="33" t="s">
        <v>103</v>
      </c>
      <c r="C34" s="36" t="s">
        <v>104</v>
      </c>
      <c r="D34" s="33">
        <v>3</v>
      </c>
      <c r="E34" s="36" t="s">
        <v>492</v>
      </c>
      <c r="F34" s="33"/>
      <c r="G34" s="33" t="s">
        <v>490</v>
      </c>
      <c r="H34" s="33">
        <v>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</row>
    <row r="35" spans="1:69" s="34" customFormat="1" hidden="1" x14ac:dyDescent="0.25">
      <c r="A35" s="33">
        <v>4</v>
      </c>
      <c r="B35" s="33" t="s">
        <v>103</v>
      </c>
      <c r="C35" s="36" t="s">
        <v>104</v>
      </c>
      <c r="D35" s="33">
        <v>4</v>
      </c>
      <c r="E35" s="36" t="s">
        <v>493</v>
      </c>
      <c r="F35" s="33"/>
      <c r="G35" s="33" t="s">
        <v>500</v>
      </c>
      <c r="H35" s="33">
        <v>0</v>
      </c>
      <c r="I35" s="33">
        <v>3</v>
      </c>
      <c r="J35" s="33">
        <v>3</v>
      </c>
      <c r="K35" s="33">
        <v>3</v>
      </c>
      <c r="L35" s="33">
        <v>3</v>
      </c>
      <c r="M35" s="33">
        <v>3</v>
      </c>
      <c r="N35" s="33">
        <v>3</v>
      </c>
      <c r="O35" s="33">
        <v>3</v>
      </c>
      <c r="P35" s="33">
        <v>3</v>
      </c>
      <c r="Q35" s="33">
        <v>3</v>
      </c>
      <c r="R35" s="33">
        <v>3</v>
      </c>
      <c r="S35" s="33">
        <v>3</v>
      </c>
      <c r="T35" s="33">
        <v>3</v>
      </c>
      <c r="U35" s="33">
        <v>3</v>
      </c>
      <c r="V35" s="33">
        <v>3</v>
      </c>
      <c r="W35" s="33">
        <v>3</v>
      </c>
      <c r="X35" s="33">
        <v>3</v>
      </c>
      <c r="Y35" s="33">
        <v>3</v>
      </c>
      <c r="Z35" s="33">
        <v>3</v>
      </c>
      <c r="AA35" s="33">
        <v>3</v>
      </c>
      <c r="AB35" s="33">
        <v>3</v>
      </c>
      <c r="AC35" s="33">
        <v>3</v>
      </c>
      <c r="AD35" s="33">
        <v>3</v>
      </c>
      <c r="AE35" s="33">
        <v>3</v>
      </c>
      <c r="AF35" s="33">
        <v>3</v>
      </c>
      <c r="AG35" s="33">
        <v>3</v>
      </c>
      <c r="AH35" s="33">
        <v>3</v>
      </c>
      <c r="AI35" s="33">
        <v>3</v>
      </c>
      <c r="AJ35" s="33">
        <v>3</v>
      </c>
      <c r="AK35" s="33">
        <v>3</v>
      </c>
      <c r="AL35" s="33">
        <v>3</v>
      </c>
      <c r="AM35" s="33">
        <v>3</v>
      </c>
      <c r="AN35" s="33">
        <v>3</v>
      </c>
      <c r="AO35" s="33">
        <v>3</v>
      </c>
      <c r="AP35" s="33">
        <v>3</v>
      </c>
      <c r="AQ35" s="33">
        <v>3</v>
      </c>
      <c r="AR35" s="33">
        <v>3</v>
      </c>
      <c r="AS35" s="33">
        <v>3</v>
      </c>
      <c r="AT35" s="33">
        <v>3</v>
      </c>
      <c r="AU35" s="33">
        <v>3</v>
      </c>
      <c r="AV35" s="33">
        <v>3</v>
      </c>
      <c r="AW35" s="33">
        <v>3</v>
      </c>
      <c r="AX35" s="33">
        <v>3</v>
      </c>
      <c r="AY35" s="33">
        <v>3</v>
      </c>
      <c r="AZ35" s="33">
        <v>3</v>
      </c>
      <c r="BA35" s="33">
        <v>3</v>
      </c>
      <c r="BB35" s="33">
        <v>3</v>
      </c>
      <c r="BC35" s="33">
        <v>3</v>
      </c>
      <c r="BD35" s="33">
        <v>3</v>
      </c>
      <c r="BE35" s="33">
        <v>3</v>
      </c>
      <c r="BF35" s="33">
        <v>3</v>
      </c>
      <c r="BG35" s="33">
        <v>3</v>
      </c>
      <c r="BH35" s="33">
        <v>3</v>
      </c>
      <c r="BI35" s="33">
        <v>3</v>
      </c>
      <c r="BJ35" s="33">
        <v>3</v>
      </c>
      <c r="BK35" s="33">
        <v>3</v>
      </c>
      <c r="BL35" s="33">
        <v>3</v>
      </c>
      <c r="BM35" s="33">
        <v>3</v>
      </c>
      <c r="BN35" s="33">
        <v>3</v>
      </c>
      <c r="BO35" s="33">
        <v>3</v>
      </c>
      <c r="BP35" s="33">
        <v>3</v>
      </c>
      <c r="BQ35" s="33">
        <v>3</v>
      </c>
    </row>
    <row r="36" spans="1:69" s="34" customFormat="1" hidden="1" x14ac:dyDescent="0.25">
      <c r="A36" s="33">
        <v>4</v>
      </c>
      <c r="B36" s="33" t="s">
        <v>103</v>
      </c>
      <c r="C36" s="36" t="s">
        <v>104</v>
      </c>
      <c r="D36" s="33">
        <v>5</v>
      </c>
      <c r="E36" s="36" t="s">
        <v>494</v>
      </c>
      <c r="F36" s="33"/>
      <c r="G36" s="33" t="s">
        <v>490</v>
      </c>
      <c r="H36" s="33">
        <v>0</v>
      </c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</row>
    <row r="37" spans="1:69" s="34" customFormat="1" hidden="1" x14ac:dyDescent="0.25">
      <c r="A37" s="33">
        <v>4</v>
      </c>
      <c r="B37" s="33" t="s">
        <v>103</v>
      </c>
      <c r="C37" s="36" t="s">
        <v>104</v>
      </c>
      <c r="D37" s="33">
        <v>6</v>
      </c>
      <c r="E37" s="36" t="s">
        <v>495</v>
      </c>
      <c r="F37" s="33"/>
      <c r="G37" s="33" t="s">
        <v>490</v>
      </c>
      <c r="H37" s="33">
        <v>0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</row>
    <row r="38" spans="1:69" s="34" customFormat="1" hidden="1" x14ac:dyDescent="0.25">
      <c r="A38" s="33">
        <v>4</v>
      </c>
      <c r="B38" s="33" t="s">
        <v>103</v>
      </c>
      <c r="C38" s="36" t="s">
        <v>104</v>
      </c>
      <c r="D38" s="33">
        <v>7</v>
      </c>
      <c r="E38" s="36" t="s">
        <v>496</v>
      </c>
      <c r="F38" s="33"/>
      <c r="G38" s="33" t="s">
        <v>490</v>
      </c>
      <c r="H38" s="33">
        <v>0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</row>
    <row r="39" spans="1:69" s="34" customFormat="1" hidden="1" x14ac:dyDescent="0.25">
      <c r="A39" s="33">
        <v>4</v>
      </c>
      <c r="B39" s="33" t="s">
        <v>103</v>
      </c>
      <c r="C39" s="36" t="s">
        <v>104</v>
      </c>
      <c r="D39" s="33">
        <v>8</v>
      </c>
      <c r="E39" s="36" t="s">
        <v>497</v>
      </c>
      <c r="F39" s="33"/>
      <c r="G39" s="33" t="s">
        <v>490</v>
      </c>
      <c r="H39" s="33">
        <v>0</v>
      </c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</row>
    <row r="40" spans="1:69" s="34" customFormat="1" hidden="1" x14ac:dyDescent="0.25">
      <c r="A40" s="33">
        <v>4</v>
      </c>
      <c r="B40" s="33" t="s">
        <v>103</v>
      </c>
      <c r="C40" s="36" t="s">
        <v>104</v>
      </c>
      <c r="D40" s="33">
        <v>9</v>
      </c>
      <c r="E40" s="36" t="s">
        <v>498</v>
      </c>
      <c r="F40" s="33"/>
      <c r="G40" s="33" t="s">
        <v>490</v>
      </c>
      <c r="H40" s="33">
        <v>0</v>
      </c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</row>
    <row r="41" spans="1:69" s="34" customFormat="1" hidden="1" x14ac:dyDescent="0.25">
      <c r="A41" s="33">
        <v>4</v>
      </c>
      <c r="B41" s="33" t="s">
        <v>103</v>
      </c>
      <c r="C41" s="36" t="s">
        <v>104</v>
      </c>
      <c r="D41" s="33">
        <v>10</v>
      </c>
      <c r="E41" s="36" t="s">
        <v>499</v>
      </c>
      <c r="F41" s="33"/>
      <c r="G41" s="33" t="s">
        <v>490</v>
      </c>
      <c r="H41" s="33">
        <v>0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</row>
    <row r="42" spans="1:69" s="44" customFormat="1" hidden="1" x14ac:dyDescent="0.25">
      <c r="A42" s="43">
        <v>5</v>
      </c>
      <c r="B42" s="43" t="s">
        <v>552</v>
      </c>
      <c r="C42" s="20" t="s">
        <v>551</v>
      </c>
      <c r="D42" s="43">
        <v>1</v>
      </c>
      <c r="E42" s="20" t="s">
        <v>489</v>
      </c>
      <c r="F42" s="43"/>
      <c r="G42" s="43" t="s">
        <v>490</v>
      </c>
      <c r="H42" s="43">
        <v>0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</row>
    <row r="43" spans="1:69" s="44" customFormat="1" hidden="1" x14ac:dyDescent="0.25">
      <c r="A43" s="43">
        <v>5</v>
      </c>
      <c r="B43" s="43" t="s">
        <v>552</v>
      </c>
      <c r="C43" s="20" t="s">
        <v>551</v>
      </c>
      <c r="D43" s="43">
        <v>2</v>
      </c>
      <c r="E43" s="20" t="s">
        <v>491</v>
      </c>
      <c r="F43" s="43"/>
      <c r="G43" s="43" t="s">
        <v>490</v>
      </c>
      <c r="H43" s="43">
        <v>0</v>
      </c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</row>
    <row r="44" spans="1:69" s="44" customFormat="1" hidden="1" x14ac:dyDescent="0.25">
      <c r="A44" s="43">
        <v>5</v>
      </c>
      <c r="B44" s="43" t="s">
        <v>552</v>
      </c>
      <c r="C44" s="20" t="s">
        <v>551</v>
      </c>
      <c r="D44" s="43">
        <v>3</v>
      </c>
      <c r="E44" s="20" t="s">
        <v>492</v>
      </c>
      <c r="F44" s="43"/>
      <c r="G44" s="43" t="s">
        <v>490</v>
      </c>
      <c r="H44" s="43">
        <v>0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</row>
    <row r="45" spans="1:69" s="44" customFormat="1" hidden="1" x14ac:dyDescent="0.25">
      <c r="A45" s="43">
        <v>5</v>
      </c>
      <c r="B45" s="43" t="s">
        <v>552</v>
      </c>
      <c r="C45" s="20" t="s">
        <v>551</v>
      </c>
      <c r="D45" s="43">
        <v>4</v>
      </c>
      <c r="E45" s="20" t="s">
        <v>493</v>
      </c>
      <c r="F45" s="43"/>
      <c r="G45" s="43" t="s">
        <v>490</v>
      </c>
      <c r="H45" s="43">
        <v>0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</row>
    <row r="46" spans="1:69" s="44" customFormat="1" hidden="1" x14ac:dyDescent="0.25">
      <c r="A46" s="43">
        <v>5</v>
      </c>
      <c r="B46" s="43" t="s">
        <v>552</v>
      </c>
      <c r="C46" s="20" t="s">
        <v>551</v>
      </c>
      <c r="D46" s="43">
        <v>5</v>
      </c>
      <c r="E46" s="20" t="s">
        <v>494</v>
      </c>
      <c r="F46" s="43"/>
      <c r="G46" s="43" t="s">
        <v>490</v>
      </c>
      <c r="H46" s="43">
        <v>0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</row>
    <row r="47" spans="1:69" s="44" customFormat="1" hidden="1" x14ac:dyDescent="0.25">
      <c r="A47" s="43">
        <v>5</v>
      </c>
      <c r="B47" s="43" t="s">
        <v>552</v>
      </c>
      <c r="C47" s="20" t="s">
        <v>551</v>
      </c>
      <c r="D47" s="43">
        <v>6</v>
      </c>
      <c r="E47" s="20" t="s">
        <v>495</v>
      </c>
      <c r="F47" s="43"/>
      <c r="G47" s="43" t="s">
        <v>490</v>
      </c>
      <c r="H47" s="43">
        <v>0</v>
      </c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</row>
    <row r="48" spans="1:69" s="44" customFormat="1" hidden="1" x14ac:dyDescent="0.25">
      <c r="A48" s="43">
        <v>5</v>
      </c>
      <c r="B48" s="43" t="s">
        <v>552</v>
      </c>
      <c r="C48" s="20" t="s">
        <v>551</v>
      </c>
      <c r="D48" s="43">
        <v>7</v>
      </c>
      <c r="E48" s="20" t="s">
        <v>496</v>
      </c>
      <c r="F48" s="43"/>
      <c r="G48" s="43" t="s">
        <v>490</v>
      </c>
      <c r="H48" s="43">
        <v>0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</row>
    <row r="49" spans="1:69" s="44" customFormat="1" hidden="1" x14ac:dyDescent="0.25">
      <c r="A49" s="43">
        <v>5</v>
      </c>
      <c r="B49" s="43" t="s">
        <v>552</v>
      </c>
      <c r="C49" s="20" t="s">
        <v>551</v>
      </c>
      <c r="D49" s="43">
        <v>8</v>
      </c>
      <c r="E49" s="20" t="s">
        <v>497</v>
      </c>
      <c r="F49" s="43"/>
      <c r="G49" s="43" t="s">
        <v>490</v>
      </c>
      <c r="H49" s="43">
        <v>0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</row>
    <row r="50" spans="1:69" s="44" customFormat="1" hidden="1" x14ac:dyDescent="0.25">
      <c r="A50" s="43">
        <v>5</v>
      </c>
      <c r="B50" s="43" t="s">
        <v>552</v>
      </c>
      <c r="C50" s="20" t="s">
        <v>551</v>
      </c>
      <c r="D50" s="43">
        <v>9</v>
      </c>
      <c r="E50" s="20" t="s">
        <v>498</v>
      </c>
      <c r="F50" s="43"/>
      <c r="G50" s="43" t="s">
        <v>490</v>
      </c>
      <c r="H50" s="43">
        <v>0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</row>
    <row r="51" spans="1:69" s="44" customFormat="1" hidden="1" x14ac:dyDescent="0.25">
      <c r="A51" s="43">
        <v>5</v>
      </c>
      <c r="B51" s="43" t="s">
        <v>552</v>
      </c>
      <c r="C51" s="20" t="s">
        <v>551</v>
      </c>
      <c r="D51" s="43">
        <v>10</v>
      </c>
      <c r="E51" s="20" t="s">
        <v>499</v>
      </c>
      <c r="F51" s="43"/>
      <c r="G51" s="43" t="s">
        <v>490</v>
      </c>
      <c r="H51" s="43">
        <v>0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</row>
    <row r="52" spans="1:69" s="34" customFormat="1" hidden="1" x14ac:dyDescent="0.25">
      <c r="A52" s="33">
        <v>6</v>
      </c>
      <c r="B52" s="33" t="s">
        <v>105</v>
      </c>
      <c r="C52" s="36" t="s">
        <v>106</v>
      </c>
      <c r="D52" s="33">
        <v>1</v>
      </c>
      <c r="E52" s="36" t="s">
        <v>489</v>
      </c>
      <c r="F52" s="33"/>
      <c r="G52" s="33" t="s">
        <v>500</v>
      </c>
      <c r="H52" s="33">
        <v>0</v>
      </c>
      <c r="I52" s="33">
        <v>2.68</v>
      </c>
      <c r="J52" s="33">
        <v>2.68</v>
      </c>
      <c r="K52" s="33">
        <v>2.68</v>
      </c>
      <c r="L52" s="33">
        <v>2.68</v>
      </c>
      <c r="M52" s="33">
        <v>2.68</v>
      </c>
      <c r="N52" s="33">
        <v>2.68</v>
      </c>
      <c r="O52" s="33">
        <v>2.68</v>
      </c>
      <c r="P52" s="33">
        <v>2.68</v>
      </c>
      <c r="Q52" s="33">
        <v>2.68</v>
      </c>
      <c r="R52" s="33">
        <v>2.68</v>
      </c>
      <c r="S52" s="33">
        <v>2.68</v>
      </c>
      <c r="T52" s="33">
        <v>2.68</v>
      </c>
      <c r="U52" s="33">
        <v>2.68</v>
      </c>
      <c r="V52" s="33">
        <v>2.68</v>
      </c>
      <c r="W52" s="33">
        <v>2.68</v>
      </c>
      <c r="X52" s="33">
        <v>2.68</v>
      </c>
      <c r="Y52" s="33">
        <v>2.68</v>
      </c>
      <c r="Z52" s="33">
        <v>2.68</v>
      </c>
      <c r="AA52" s="33">
        <v>2.68</v>
      </c>
      <c r="AB52" s="33">
        <v>2.68</v>
      </c>
      <c r="AC52" s="33">
        <v>2.68</v>
      </c>
      <c r="AD52" s="33">
        <v>2.68</v>
      </c>
      <c r="AE52" s="33">
        <v>2.68</v>
      </c>
      <c r="AF52" s="33">
        <v>2.68</v>
      </c>
      <c r="AG52" s="33">
        <v>2.68</v>
      </c>
      <c r="AH52" s="33">
        <v>2.68</v>
      </c>
      <c r="AI52" s="33">
        <v>2.68</v>
      </c>
      <c r="AJ52" s="33">
        <v>2.68</v>
      </c>
      <c r="AK52" s="33">
        <v>2.68</v>
      </c>
      <c r="AL52" s="33">
        <v>2.68</v>
      </c>
      <c r="AM52" s="33">
        <v>2.68</v>
      </c>
      <c r="AN52" s="33">
        <v>2.68</v>
      </c>
      <c r="AO52" s="33">
        <v>2.68</v>
      </c>
      <c r="AP52" s="33">
        <v>2.68</v>
      </c>
      <c r="AQ52" s="33">
        <v>2.68</v>
      </c>
      <c r="AR52" s="33">
        <v>2.68</v>
      </c>
      <c r="AS52" s="33">
        <v>2.68</v>
      </c>
      <c r="AT52" s="33">
        <v>2.68</v>
      </c>
      <c r="AU52" s="33">
        <v>2.68</v>
      </c>
      <c r="AV52" s="33">
        <v>2.68</v>
      </c>
      <c r="AW52" s="33">
        <v>2.68</v>
      </c>
      <c r="AX52" s="33">
        <v>2.68</v>
      </c>
      <c r="AY52" s="33">
        <v>2.68</v>
      </c>
      <c r="AZ52" s="33">
        <v>2.68</v>
      </c>
      <c r="BA52" s="33">
        <v>2.68</v>
      </c>
      <c r="BB52" s="33">
        <v>2.68</v>
      </c>
      <c r="BC52" s="33">
        <v>2.68</v>
      </c>
      <c r="BD52" s="33">
        <v>2.68</v>
      </c>
      <c r="BE52" s="33">
        <v>2.68</v>
      </c>
      <c r="BF52" s="33">
        <v>2.68</v>
      </c>
      <c r="BG52" s="33">
        <v>2.68</v>
      </c>
      <c r="BH52" s="33">
        <v>2.68</v>
      </c>
      <c r="BI52" s="33">
        <v>2.68</v>
      </c>
      <c r="BJ52" s="33">
        <v>2.68</v>
      </c>
      <c r="BK52" s="33">
        <v>2.68</v>
      </c>
      <c r="BL52" s="33">
        <v>2.68</v>
      </c>
      <c r="BM52" s="33">
        <v>2.68</v>
      </c>
      <c r="BN52" s="33">
        <v>2.68</v>
      </c>
      <c r="BO52" s="33">
        <v>2.68</v>
      </c>
      <c r="BP52" s="33">
        <v>2.68</v>
      </c>
      <c r="BQ52" s="33">
        <v>2.68</v>
      </c>
    </row>
    <row r="53" spans="1:69" s="34" customFormat="1" hidden="1" x14ac:dyDescent="0.25">
      <c r="A53" s="33">
        <v>6</v>
      </c>
      <c r="B53" s="33" t="s">
        <v>105</v>
      </c>
      <c r="C53" s="36" t="s">
        <v>106</v>
      </c>
      <c r="D53" s="33">
        <v>2</v>
      </c>
      <c r="E53" s="36" t="s">
        <v>491</v>
      </c>
      <c r="F53" s="33"/>
      <c r="G53" s="33" t="s">
        <v>501</v>
      </c>
      <c r="H53" s="33">
        <v>0</v>
      </c>
      <c r="I53" s="33">
        <v>0.20080000000000001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</row>
    <row r="54" spans="1:69" s="34" customFormat="1" hidden="1" x14ac:dyDescent="0.25">
      <c r="A54" s="33">
        <v>6</v>
      </c>
      <c r="B54" s="33" t="s">
        <v>105</v>
      </c>
      <c r="C54" s="36" t="s">
        <v>106</v>
      </c>
      <c r="D54" s="33">
        <v>3</v>
      </c>
      <c r="E54" s="36" t="s">
        <v>492</v>
      </c>
      <c r="F54" s="33"/>
      <c r="G54" s="33" t="s">
        <v>500</v>
      </c>
      <c r="H54" s="33">
        <v>0</v>
      </c>
      <c r="I54" s="33">
        <v>12.063902130000001</v>
      </c>
      <c r="J54" s="33">
        <v>12.063902130000001</v>
      </c>
      <c r="K54" s="33">
        <v>12.063902130000001</v>
      </c>
      <c r="L54" s="33">
        <v>12.063902130000001</v>
      </c>
      <c r="M54" s="33">
        <v>12.063902130000001</v>
      </c>
      <c r="N54" s="33">
        <v>12.063902130000001</v>
      </c>
      <c r="O54" s="33">
        <v>12.063902130000001</v>
      </c>
      <c r="P54" s="33">
        <v>12.063902130000001</v>
      </c>
      <c r="Q54" s="33">
        <v>12.063902130000001</v>
      </c>
      <c r="R54" s="33">
        <v>13.0199</v>
      </c>
      <c r="S54" s="33">
        <v>10.093</v>
      </c>
      <c r="T54" s="33">
        <v>11.72560071</v>
      </c>
      <c r="U54" s="33">
        <v>11.612833569999999</v>
      </c>
      <c r="V54" s="33">
        <v>11.143811426666666</v>
      </c>
      <c r="W54" s="33">
        <v>11.494081902222222</v>
      </c>
      <c r="X54" s="33">
        <v>11.416908966296296</v>
      </c>
      <c r="Y54" s="33">
        <v>11.351600765061727</v>
      </c>
      <c r="Z54" s="33">
        <v>11.42086387786008</v>
      </c>
      <c r="AA54" s="33">
        <v>11.396457869739367</v>
      </c>
      <c r="AB54" s="33">
        <v>11.389640837553726</v>
      </c>
      <c r="AC54" s="33">
        <v>11.402320861717724</v>
      </c>
      <c r="AD54" s="33">
        <v>11.396139856336939</v>
      </c>
      <c r="AE54" s="33">
        <v>11.396033851869463</v>
      </c>
      <c r="AF54" s="33">
        <v>11.398164856641374</v>
      </c>
      <c r="AG54" s="33">
        <v>11.396779521615926</v>
      </c>
      <c r="AH54" s="33">
        <v>11.396992743375586</v>
      </c>
      <c r="AI54" s="33">
        <v>11.397312373877627</v>
      </c>
      <c r="AJ54" s="33">
        <v>11.397028212956378</v>
      </c>
      <c r="AK54" s="33">
        <v>11.397111110069863</v>
      </c>
      <c r="AL54" s="33">
        <v>11.397150565634623</v>
      </c>
      <c r="AM54" s="33">
        <v>11.397096629553623</v>
      </c>
      <c r="AN54" s="33">
        <v>11.397119435086035</v>
      </c>
      <c r="AO54" s="33">
        <v>11.397122210091426</v>
      </c>
      <c r="AP54" s="33">
        <v>11.397112758243694</v>
      </c>
      <c r="AQ54" s="33">
        <v>11.39711813447372</v>
      </c>
      <c r="AR54" s="33">
        <v>11.397117700936279</v>
      </c>
      <c r="AS54" s="33">
        <v>11.397116197884564</v>
      </c>
      <c r="AT54" s="33">
        <v>11.397117344431521</v>
      </c>
      <c r="AU54" s="33">
        <v>11.39711708108412</v>
      </c>
      <c r="AV54" s="33">
        <v>11.397116874466734</v>
      </c>
      <c r="AW54" s="33">
        <v>11.397117099994125</v>
      </c>
      <c r="AX54" s="33">
        <v>11.397117099994125</v>
      </c>
      <c r="AY54" s="33">
        <v>11.397117099994125</v>
      </c>
      <c r="AZ54" s="33">
        <v>11.397117099994125</v>
      </c>
      <c r="BA54" s="33">
        <v>11.397117099994125</v>
      </c>
      <c r="BB54" s="33">
        <v>11.397117099994125</v>
      </c>
      <c r="BC54" s="33">
        <v>11.397117099994125</v>
      </c>
      <c r="BD54" s="33">
        <v>11.397117099994125</v>
      </c>
      <c r="BE54" s="33">
        <v>11.397117099994125</v>
      </c>
      <c r="BF54" s="33">
        <v>11.397117099994125</v>
      </c>
      <c r="BG54" s="33">
        <v>11.397117099994125</v>
      </c>
      <c r="BH54" s="33">
        <v>11.397117099994125</v>
      </c>
      <c r="BI54" s="33">
        <v>11.397117099994125</v>
      </c>
      <c r="BJ54" s="33">
        <v>11.397117099994125</v>
      </c>
      <c r="BK54" s="33">
        <v>11.397117099994125</v>
      </c>
      <c r="BL54" s="33">
        <v>11.397117099994125</v>
      </c>
      <c r="BM54" s="33">
        <v>11.397117099994125</v>
      </c>
      <c r="BN54" s="33">
        <v>11.397117099994125</v>
      </c>
      <c r="BO54" s="33">
        <v>11.397117099994125</v>
      </c>
      <c r="BP54" s="33">
        <v>11.397117099994125</v>
      </c>
      <c r="BQ54" s="33">
        <v>11.397117099994125</v>
      </c>
    </row>
    <row r="55" spans="1:69" s="34" customFormat="1" hidden="1" x14ac:dyDescent="0.25">
      <c r="A55" s="33">
        <v>6</v>
      </c>
      <c r="B55" s="33" t="s">
        <v>105</v>
      </c>
      <c r="C55" s="36" t="s">
        <v>106</v>
      </c>
      <c r="D55" s="33">
        <v>4</v>
      </c>
      <c r="E55" s="36" t="s">
        <v>493</v>
      </c>
      <c r="F55" s="33"/>
      <c r="G55" s="33" t="s">
        <v>501</v>
      </c>
      <c r="H55" s="33">
        <v>0</v>
      </c>
      <c r="I55" s="33">
        <v>80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</row>
    <row r="56" spans="1:69" s="34" customFormat="1" hidden="1" x14ac:dyDescent="0.25">
      <c r="A56" s="33">
        <v>6</v>
      </c>
      <c r="B56" s="33" t="s">
        <v>105</v>
      </c>
      <c r="C56" s="36" t="s">
        <v>106</v>
      </c>
      <c r="D56" s="33">
        <v>5</v>
      </c>
      <c r="E56" s="36" t="s">
        <v>494</v>
      </c>
      <c r="F56" s="33"/>
      <c r="G56" s="33" t="s">
        <v>490</v>
      </c>
      <c r="H56" s="33">
        <v>0</v>
      </c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</row>
    <row r="57" spans="1:69" s="34" customFormat="1" hidden="1" x14ac:dyDescent="0.25">
      <c r="A57" s="33">
        <v>6</v>
      </c>
      <c r="B57" s="33" t="s">
        <v>105</v>
      </c>
      <c r="C57" s="36" t="s">
        <v>106</v>
      </c>
      <c r="D57" s="33">
        <v>6</v>
      </c>
      <c r="E57" s="36" t="s">
        <v>495</v>
      </c>
      <c r="F57" s="33"/>
      <c r="G57" s="33" t="s">
        <v>500</v>
      </c>
      <c r="H57" s="33">
        <v>0</v>
      </c>
      <c r="I57" s="33">
        <v>99999</v>
      </c>
      <c r="J57" s="33">
        <v>99999</v>
      </c>
      <c r="K57" s="33">
        <v>99999</v>
      </c>
      <c r="L57" s="33">
        <v>99999</v>
      </c>
      <c r="M57" s="33">
        <v>99999</v>
      </c>
      <c r="N57" s="33">
        <v>99999</v>
      </c>
      <c r="O57" s="33">
        <v>99999</v>
      </c>
      <c r="P57" s="33">
        <v>99999</v>
      </c>
      <c r="Q57" s="33">
        <v>99999</v>
      </c>
      <c r="R57" s="33">
        <v>99999</v>
      </c>
      <c r="S57" s="33">
        <v>99999</v>
      </c>
      <c r="T57" s="33">
        <v>99999</v>
      </c>
      <c r="U57" s="33">
        <v>79.264597999999992</v>
      </c>
      <c r="V57" s="33">
        <v>79.264597999999992</v>
      </c>
      <c r="W57" s="33">
        <v>79.264597999999992</v>
      </c>
      <c r="X57" s="33">
        <v>79.264597999999992</v>
      </c>
      <c r="Y57" s="33">
        <v>79.264597999999992</v>
      </c>
      <c r="Z57" s="33">
        <v>79.264597999999992</v>
      </c>
      <c r="AA57" s="33">
        <v>79.264597999999992</v>
      </c>
      <c r="AB57" s="33">
        <v>79.264597999999992</v>
      </c>
      <c r="AC57" s="33">
        <v>79.264597999999992</v>
      </c>
      <c r="AD57" s="33">
        <v>79.264597999999992</v>
      </c>
      <c r="AE57" s="33">
        <v>79.264597999999992</v>
      </c>
      <c r="AF57" s="33">
        <v>79.264597999999992</v>
      </c>
      <c r="AG57" s="33">
        <v>79.264597999999992</v>
      </c>
      <c r="AH57" s="33">
        <v>79.264597999999992</v>
      </c>
      <c r="AI57" s="33">
        <v>79.264597999999992</v>
      </c>
      <c r="AJ57" s="33">
        <v>79.264597999999992</v>
      </c>
      <c r="AK57" s="33">
        <v>79.264597999999992</v>
      </c>
      <c r="AL57" s="33">
        <v>79.264597999999992</v>
      </c>
      <c r="AM57" s="33">
        <v>79.264597999999992</v>
      </c>
      <c r="AN57" s="33">
        <v>79.264597999999992</v>
      </c>
      <c r="AO57" s="33">
        <v>79.264597999999992</v>
      </c>
      <c r="AP57" s="33">
        <v>79.264597999999992</v>
      </c>
      <c r="AQ57" s="33">
        <v>79.264597999999992</v>
      </c>
      <c r="AR57" s="33">
        <v>79.264597999999992</v>
      </c>
      <c r="AS57" s="33">
        <v>79.264597999999992</v>
      </c>
      <c r="AT57" s="33">
        <v>79.264597999999992</v>
      </c>
      <c r="AU57" s="33">
        <v>79.264597999999992</v>
      </c>
      <c r="AV57" s="33">
        <v>79.264597999999992</v>
      </c>
      <c r="AW57" s="33">
        <v>79.264597999999992</v>
      </c>
      <c r="AX57" s="33">
        <v>79.264597999999992</v>
      </c>
      <c r="AY57" s="33">
        <v>79.264597999999992</v>
      </c>
      <c r="AZ57" s="33">
        <v>79.264597999999992</v>
      </c>
      <c r="BA57" s="33">
        <v>79.264597999999992</v>
      </c>
      <c r="BB57" s="33">
        <v>79.264597999999992</v>
      </c>
      <c r="BC57" s="33">
        <v>79.264597999999992</v>
      </c>
      <c r="BD57" s="33">
        <v>79.264597999999992</v>
      </c>
      <c r="BE57" s="33">
        <v>79.264597999999992</v>
      </c>
      <c r="BF57" s="33">
        <v>79.264597999999992</v>
      </c>
      <c r="BG57" s="33">
        <v>79.264597999999992</v>
      </c>
      <c r="BH57" s="33">
        <v>79.264597999999992</v>
      </c>
      <c r="BI57" s="33">
        <v>79.264597999999992</v>
      </c>
      <c r="BJ57" s="33">
        <v>79.264597999999992</v>
      </c>
      <c r="BK57" s="33">
        <v>79.264597999999992</v>
      </c>
      <c r="BL57" s="33">
        <v>79.264597999999992</v>
      </c>
      <c r="BM57" s="33">
        <v>79.264597999999992</v>
      </c>
      <c r="BN57" s="33">
        <v>79.264597999999992</v>
      </c>
      <c r="BO57" s="33">
        <v>79.264597999999992</v>
      </c>
      <c r="BP57" s="33">
        <v>79.264597999999992</v>
      </c>
      <c r="BQ57" s="33">
        <v>79.264597999999992</v>
      </c>
    </row>
    <row r="58" spans="1:69" s="34" customFormat="1" hidden="1" x14ac:dyDescent="0.25">
      <c r="A58" s="33">
        <v>6</v>
      </c>
      <c r="B58" s="33" t="s">
        <v>105</v>
      </c>
      <c r="C58" s="36" t="s">
        <v>106</v>
      </c>
      <c r="D58" s="33">
        <v>7</v>
      </c>
      <c r="E58" s="36" t="s">
        <v>496</v>
      </c>
      <c r="F58" s="33"/>
      <c r="G58" s="33" t="s">
        <v>500</v>
      </c>
      <c r="H58" s="33">
        <v>0</v>
      </c>
      <c r="I58" s="33">
        <v>70.281036669979343</v>
      </c>
      <c r="J58" s="33">
        <v>80.978976244887861</v>
      </c>
      <c r="K58" s="33">
        <v>75.949047643036735</v>
      </c>
      <c r="L58" s="33">
        <v>68.010383186857979</v>
      </c>
      <c r="M58" s="33">
        <v>63.124166830774023</v>
      </c>
      <c r="N58" s="33">
        <v>62.158420539218611</v>
      </c>
      <c r="O58" s="33">
        <v>81.122688490655023</v>
      </c>
      <c r="P58" s="33">
        <v>80.915742856750313</v>
      </c>
      <c r="Q58" s="33">
        <v>78.479838042735665</v>
      </c>
      <c r="R58" s="33">
        <v>75.076616114750649</v>
      </c>
      <c r="S58" s="33">
        <v>56.489906062720166</v>
      </c>
      <c r="T58" s="33">
        <v>72.2</v>
      </c>
      <c r="U58" s="33">
        <v>78.479799999999997</v>
      </c>
      <c r="V58" s="33">
        <v>78.479799999999997</v>
      </c>
      <c r="W58" s="33">
        <v>78.479799999999997</v>
      </c>
      <c r="X58" s="33">
        <v>78.479799999999997</v>
      </c>
      <c r="Y58" s="33">
        <v>78.479799999999997</v>
      </c>
      <c r="Z58" s="33">
        <v>78.479799999999997</v>
      </c>
      <c r="AA58" s="33">
        <v>78.479799999999997</v>
      </c>
      <c r="AB58" s="33">
        <v>78.479799999999997</v>
      </c>
      <c r="AC58" s="33">
        <v>78.479799999999997</v>
      </c>
      <c r="AD58" s="33">
        <v>78.479799999999997</v>
      </c>
      <c r="AE58" s="33">
        <v>78.479799999999997</v>
      </c>
      <c r="AF58" s="33">
        <v>78.479799999999997</v>
      </c>
      <c r="AG58" s="33">
        <v>78.479799999999997</v>
      </c>
      <c r="AH58" s="33">
        <v>78.479799999999997</v>
      </c>
      <c r="AI58" s="33">
        <v>78.479799999999997</v>
      </c>
      <c r="AJ58" s="33">
        <v>78.479799999999997</v>
      </c>
      <c r="AK58" s="33">
        <v>78.479799999999997</v>
      </c>
      <c r="AL58" s="33">
        <v>78.479799999999997</v>
      </c>
      <c r="AM58" s="33">
        <v>78.479799999999997</v>
      </c>
      <c r="AN58" s="33">
        <v>78.479799999999997</v>
      </c>
      <c r="AO58" s="33">
        <v>78.479799999999997</v>
      </c>
      <c r="AP58" s="33">
        <v>78.479799999999997</v>
      </c>
      <c r="AQ58" s="33">
        <v>78.479799999999997</v>
      </c>
      <c r="AR58" s="33">
        <v>78.479799999999997</v>
      </c>
      <c r="AS58" s="33">
        <v>78.479799999999997</v>
      </c>
      <c r="AT58" s="33">
        <v>78.479799999999997</v>
      </c>
      <c r="AU58" s="33">
        <v>78.479799999999997</v>
      </c>
      <c r="AV58" s="33">
        <v>78.479799999999997</v>
      </c>
      <c r="AW58" s="33">
        <v>78.479799999999997</v>
      </c>
      <c r="AX58" s="33">
        <v>78.479799999999997</v>
      </c>
      <c r="AY58" s="33">
        <v>78.479799999999997</v>
      </c>
      <c r="AZ58" s="33">
        <v>78.479799999999997</v>
      </c>
      <c r="BA58" s="33">
        <v>78.479799999999997</v>
      </c>
      <c r="BB58" s="33">
        <v>78.479799999999997</v>
      </c>
      <c r="BC58" s="33">
        <v>78.479799999999997</v>
      </c>
      <c r="BD58" s="33">
        <v>78.479799999999997</v>
      </c>
      <c r="BE58" s="33">
        <v>78.479799999999997</v>
      </c>
      <c r="BF58" s="33">
        <v>78.479799999999997</v>
      </c>
      <c r="BG58" s="33">
        <v>78.479799999999997</v>
      </c>
      <c r="BH58" s="33">
        <v>78.479799999999997</v>
      </c>
      <c r="BI58" s="33">
        <v>78.479799999999997</v>
      </c>
      <c r="BJ58" s="33">
        <v>78.479799999999997</v>
      </c>
      <c r="BK58" s="33">
        <v>78.479799999999997</v>
      </c>
      <c r="BL58" s="33">
        <v>78.479799999999997</v>
      </c>
      <c r="BM58" s="33">
        <v>78.479799999999997</v>
      </c>
      <c r="BN58" s="33">
        <v>78.479799999999997</v>
      </c>
      <c r="BO58" s="33">
        <v>78.479799999999997</v>
      </c>
      <c r="BP58" s="33">
        <v>78.479799999999997</v>
      </c>
      <c r="BQ58" s="33">
        <v>78.479799999999997</v>
      </c>
    </row>
    <row r="59" spans="1:69" s="34" customFormat="1" hidden="1" x14ac:dyDescent="0.25">
      <c r="A59" s="33">
        <v>6</v>
      </c>
      <c r="B59" s="33" t="s">
        <v>105</v>
      </c>
      <c r="C59" s="36" t="s">
        <v>106</v>
      </c>
      <c r="D59" s="33">
        <v>8</v>
      </c>
      <c r="E59" s="36" t="s">
        <v>497</v>
      </c>
      <c r="F59" s="33"/>
      <c r="G59" s="33" t="s">
        <v>490</v>
      </c>
      <c r="H59" s="33">
        <v>0</v>
      </c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</row>
    <row r="60" spans="1:69" s="34" customFormat="1" hidden="1" x14ac:dyDescent="0.25">
      <c r="A60" s="33">
        <v>6</v>
      </c>
      <c r="B60" s="33" t="s">
        <v>105</v>
      </c>
      <c r="C60" s="36" t="s">
        <v>106</v>
      </c>
      <c r="D60" s="33">
        <v>9</v>
      </c>
      <c r="E60" s="36" t="s">
        <v>498</v>
      </c>
      <c r="F60" s="33"/>
      <c r="G60" s="33" t="s">
        <v>490</v>
      </c>
      <c r="H60" s="33">
        <v>0</v>
      </c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</row>
    <row r="61" spans="1:69" s="34" customFormat="1" hidden="1" x14ac:dyDescent="0.25">
      <c r="A61" s="33">
        <v>6</v>
      </c>
      <c r="B61" s="33" t="s">
        <v>105</v>
      </c>
      <c r="C61" s="36" t="s">
        <v>106</v>
      </c>
      <c r="D61" s="33">
        <v>10</v>
      </c>
      <c r="E61" s="36" t="s">
        <v>499</v>
      </c>
      <c r="F61" s="33"/>
      <c r="G61" s="33" t="s">
        <v>490</v>
      </c>
      <c r="H61" s="33">
        <v>0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</row>
    <row r="62" spans="1:69" s="44" customFormat="1" hidden="1" x14ac:dyDescent="0.25">
      <c r="A62" s="43">
        <v>7</v>
      </c>
      <c r="B62" s="43" t="s">
        <v>107</v>
      </c>
      <c r="C62" s="20" t="s">
        <v>108</v>
      </c>
      <c r="D62" s="43">
        <v>1</v>
      </c>
      <c r="E62" s="20" t="s">
        <v>489</v>
      </c>
      <c r="F62" s="43"/>
      <c r="G62" s="43" t="s">
        <v>500</v>
      </c>
      <c r="H62" s="43">
        <v>0</v>
      </c>
      <c r="I62" s="43">
        <v>2.8</v>
      </c>
      <c r="J62" s="43">
        <v>2.8</v>
      </c>
      <c r="K62" s="43">
        <v>2.8</v>
      </c>
      <c r="L62" s="43">
        <v>2.8</v>
      </c>
      <c r="M62" s="43">
        <v>2.8</v>
      </c>
      <c r="N62" s="43">
        <v>2.8</v>
      </c>
      <c r="O62" s="43">
        <v>2.8</v>
      </c>
      <c r="P62" s="43">
        <v>2.8</v>
      </c>
      <c r="Q62" s="43">
        <v>2.8</v>
      </c>
      <c r="R62" s="43">
        <v>2.8</v>
      </c>
      <c r="S62" s="43">
        <v>2.8</v>
      </c>
      <c r="T62" s="43">
        <v>2.8</v>
      </c>
      <c r="U62" s="43">
        <v>2.8</v>
      </c>
      <c r="V62" s="43">
        <v>2.8</v>
      </c>
      <c r="W62" s="43">
        <v>2.8</v>
      </c>
      <c r="X62" s="43">
        <v>2.8</v>
      </c>
      <c r="Y62" s="43">
        <v>2.8</v>
      </c>
      <c r="Z62" s="43">
        <v>2.8</v>
      </c>
      <c r="AA62" s="43">
        <v>2.8</v>
      </c>
      <c r="AB62" s="43">
        <v>2.8</v>
      </c>
      <c r="AC62" s="43">
        <v>2.8</v>
      </c>
      <c r="AD62" s="43">
        <v>2.8</v>
      </c>
      <c r="AE62" s="43">
        <v>2.8</v>
      </c>
      <c r="AF62" s="43">
        <v>2.8</v>
      </c>
      <c r="AG62" s="43">
        <v>2.8</v>
      </c>
      <c r="AH62" s="43">
        <v>2.8</v>
      </c>
      <c r="AI62" s="43">
        <v>2.8</v>
      </c>
      <c r="AJ62" s="43">
        <v>2.8</v>
      </c>
      <c r="AK62" s="43">
        <v>2.8</v>
      </c>
      <c r="AL62" s="43">
        <v>2.8</v>
      </c>
      <c r="AM62" s="43">
        <v>2.8</v>
      </c>
      <c r="AN62" s="43">
        <v>2.8</v>
      </c>
      <c r="AO62" s="43">
        <v>2.8</v>
      </c>
      <c r="AP62" s="43">
        <v>2.8</v>
      </c>
      <c r="AQ62" s="43">
        <v>2.8</v>
      </c>
      <c r="AR62" s="43">
        <v>2.8</v>
      </c>
      <c r="AS62" s="43">
        <v>2.8</v>
      </c>
      <c r="AT62" s="43">
        <v>2.8</v>
      </c>
      <c r="AU62" s="43">
        <v>2.8</v>
      </c>
      <c r="AV62" s="43">
        <v>2.8</v>
      </c>
      <c r="AW62" s="43">
        <v>2.8</v>
      </c>
      <c r="AX62" s="43">
        <v>2.8</v>
      </c>
      <c r="AY62" s="43">
        <v>2.8</v>
      </c>
      <c r="AZ62" s="43">
        <v>2.8</v>
      </c>
      <c r="BA62" s="43">
        <v>2.8</v>
      </c>
      <c r="BB62" s="43">
        <v>2.8</v>
      </c>
      <c r="BC62" s="43">
        <v>2.8</v>
      </c>
      <c r="BD62" s="43">
        <v>2.8</v>
      </c>
      <c r="BE62" s="43">
        <v>2.8</v>
      </c>
      <c r="BF62" s="43">
        <v>2.8</v>
      </c>
      <c r="BG62" s="43">
        <v>2.8</v>
      </c>
      <c r="BH62" s="43">
        <v>2.8</v>
      </c>
      <c r="BI62" s="43">
        <v>2.8</v>
      </c>
      <c r="BJ62" s="43">
        <v>2.8</v>
      </c>
      <c r="BK62" s="43">
        <v>2.8</v>
      </c>
      <c r="BL62" s="43">
        <v>2.8</v>
      </c>
      <c r="BM62" s="43">
        <v>2.8</v>
      </c>
      <c r="BN62" s="43">
        <v>2.8</v>
      </c>
      <c r="BO62" s="43">
        <v>2.8</v>
      </c>
      <c r="BP62" s="43">
        <v>2.8</v>
      </c>
      <c r="BQ62" s="43">
        <v>2.8</v>
      </c>
    </row>
    <row r="63" spans="1:69" s="44" customFormat="1" hidden="1" x14ac:dyDescent="0.25">
      <c r="A63" s="43">
        <v>7</v>
      </c>
      <c r="B63" s="43" t="s">
        <v>107</v>
      </c>
      <c r="C63" s="20" t="s">
        <v>108</v>
      </c>
      <c r="D63" s="43">
        <v>2</v>
      </c>
      <c r="E63" s="20" t="s">
        <v>491</v>
      </c>
      <c r="F63" s="43"/>
      <c r="G63" s="43" t="s">
        <v>501</v>
      </c>
      <c r="H63" s="43">
        <v>0</v>
      </c>
      <c r="I63" s="43">
        <v>0.2097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</row>
    <row r="64" spans="1:69" s="44" customFormat="1" hidden="1" x14ac:dyDescent="0.25">
      <c r="A64" s="43">
        <v>7</v>
      </c>
      <c r="B64" s="43" t="s">
        <v>107</v>
      </c>
      <c r="C64" s="20" t="s">
        <v>108</v>
      </c>
      <c r="D64" s="43">
        <v>3</v>
      </c>
      <c r="E64" s="20" t="s">
        <v>492</v>
      </c>
      <c r="F64" s="43"/>
      <c r="G64" s="43" t="s">
        <v>500</v>
      </c>
      <c r="H64" s="43">
        <v>0</v>
      </c>
      <c r="I64" s="45">
        <v>10.98401215</v>
      </c>
      <c r="J64" s="45">
        <v>10.98401215</v>
      </c>
      <c r="K64" s="45">
        <v>10.98401215</v>
      </c>
      <c r="L64" s="45">
        <v>10.98401215</v>
      </c>
      <c r="M64" s="45">
        <v>10.98401215</v>
      </c>
      <c r="N64" s="45">
        <v>10.98401215</v>
      </c>
      <c r="O64" s="45">
        <v>10.98401215</v>
      </c>
      <c r="P64" s="45">
        <v>10.98401215</v>
      </c>
      <c r="Q64" s="45">
        <v>10.98401215</v>
      </c>
      <c r="R64" s="45">
        <v>13.8933</v>
      </c>
      <c r="S64" s="45">
        <v>13.0825</v>
      </c>
      <c r="T64" s="45">
        <v>12.653270716666668</v>
      </c>
      <c r="U64" s="45">
        <v>13.209690238888889</v>
      </c>
      <c r="V64" s="45">
        <v>12.981820318518521</v>
      </c>
      <c r="W64" s="45">
        <v>12.948260424691361</v>
      </c>
      <c r="X64" s="45">
        <v>13.046590327366259</v>
      </c>
      <c r="Y64" s="45">
        <v>12.992223690192047</v>
      </c>
      <c r="Z64" s="45">
        <v>12.995691480749889</v>
      </c>
      <c r="AA64" s="45">
        <v>13.011501832769397</v>
      </c>
      <c r="AB64" s="45">
        <v>12.999805667903777</v>
      </c>
      <c r="AC64" s="45">
        <v>13.002332993807689</v>
      </c>
      <c r="AD64" s="45">
        <v>13.004546831493622</v>
      </c>
      <c r="AE64" s="45">
        <v>13.002228497735031</v>
      </c>
      <c r="AF64" s="45">
        <v>13.003036107678781</v>
      </c>
      <c r="AG64" s="45">
        <v>13.003270478969144</v>
      </c>
      <c r="AH64" s="45">
        <v>13.002845028127652</v>
      </c>
      <c r="AI64" s="45">
        <v>13.003050538258526</v>
      </c>
      <c r="AJ64" s="45">
        <v>13.003055348451774</v>
      </c>
      <c r="AK64" s="45">
        <v>13.002983638279318</v>
      </c>
      <c r="AL64" s="45">
        <v>13.003029841663206</v>
      </c>
      <c r="AM64" s="45">
        <v>13.003022942798099</v>
      </c>
      <c r="AN64" s="45">
        <v>13.00301214091354</v>
      </c>
      <c r="AO64" s="45">
        <v>13.003021641791614</v>
      </c>
      <c r="AP64" s="45">
        <v>13.003018908501083</v>
      </c>
      <c r="AQ64" s="45">
        <v>13.003017563735412</v>
      </c>
      <c r="AR64" s="45">
        <v>13.003019371342702</v>
      </c>
      <c r="AS64" s="45">
        <v>13.003018614526399</v>
      </c>
      <c r="AT64" s="45">
        <v>13.003018516534837</v>
      </c>
      <c r="AU64" s="45">
        <v>13.003018834134645</v>
      </c>
      <c r="AV64" s="45">
        <v>13.003018655065292</v>
      </c>
      <c r="AW64" s="45">
        <v>13.003018668578257</v>
      </c>
      <c r="AX64" s="45">
        <v>13.003018668578257</v>
      </c>
      <c r="AY64" s="45">
        <v>13.003018668578257</v>
      </c>
      <c r="AZ64" s="45">
        <v>13.003018668578257</v>
      </c>
      <c r="BA64" s="45">
        <v>13.003018668578257</v>
      </c>
      <c r="BB64" s="45">
        <v>13.003018668578257</v>
      </c>
      <c r="BC64" s="45">
        <v>13.003018668578257</v>
      </c>
      <c r="BD64" s="45">
        <v>13.003018668578257</v>
      </c>
      <c r="BE64" s="45">
        <v>13.003018668578257</v>
      </c>
      <c r="BF64" s="45">
        <v>13.003018668578257</v>
      </c>
      <c r="BG64" s="45">
        <v>13.003018668578257</v>
      </c>
      <c r="BH64" s="45">
        <v>13.003018668578257</v>
      </c>
      <c r="BI64" s="45">
        <v>13.003018668578257</v>
      </c>
      <c r="BJ64" s="45">
        <v>13.003018668578257</v>
      </c>
      <c r="BK64" s="45">
        <v>13.003018668578257</v>
      </c>
      <c r="BL64" s="45">
        <v>13.003018668578257</v>
      </c>
      <c r="BM64" s="45">
        <v>13.003018668578257</v>
      </c>
      <c r="BN64" s="45">
        <v>13.003018668578257</v>
      </c>
      <c r="BO64" s="45">
        <v>13.003018668578257</v>
      </c>
      <c r="BP64" s="45">
        <v>13.003018668578257</v>
      </c>
      <c r="BQ64" s="45">
        <v>13.003018668578257</v>
      </c>
    </row>
    <row r="65" spans="1:69" s="44" customFormat="1" hidden="1" x14ac:dyDescent="0.25">
      <c r="A65" s="43">
        <v>7</v>
      </c>
      <c r="B65" s="43" t="s">
        <v>107</v>
      </c>
      <c r="C65" s="20" t="s">
        <v>108</v>
      </c>
      <c r="D65" s="43">
        <v>4</v>
      </c>
      <c r="E65" s="20" t="s">
        <v>493</v>
      </c>
      <c r="F65" s="43"/>
      <c r="G65" s="43" t="s">
        <v>501</v>
      </c>
      <c r="H65" s="43">
        <v>0</v>
      </c>
      <c r="I65" s="43">
        <v>66</v>
      </c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</row>
    <row r="66" spans="1:69" s="44" customFormat="1" hidden="1" x14ac:dyDescent="0.25">
      <c r="A66" s="43">
        <v>7</v>
      </c>
      <c r="B66" s="43" t="s">
        <v>107</v>
      </c>
      <c r="C66" s="20" t="s">
        <v>108</v>
      </c>
      <c r="D66" s="43">
        <v>5</v>
      </c>
      <c r="E66" s="20" t="s">
        <v>494</v>
      </c>
      <c r="F66" s="43"/>
      <c r="G66" s="43" t="s">
        <v>490</v>
      </c>
      <c r="H66" s="43">
        <v>0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</row>
    <row r="67" spans="1:69" s="44" customFormat="1" hidden="1" x14ac:dyDescent="0.25">
      <c r="A67" s="43">
        <v>7</v>
      </c>
      <c r="B67" s="43" t="s">
        <v>107</v>
      </c>
      <c r="C67" s="20" t="s">
        <v>108</v>
      </c>
      <c r="D67" s="43">
        <v>6</v>
      </c>
      <c r="E67" s="20" t="s">
        <v>495</v>
      </c>
      <c r="F67" s="43"/>
      <c r="G67" s="43" t="s">
        <v>500</v>
      </c>
      <c r="H67" s="43">
        <v>0</v>
      </c>
      <c r="I67" s="43">
        <v>99999</v>
      </c>
      <c r="J67" s="43">
        <v>99999</v>
      </c>
      <c r="K67" s="43">
        <v>99999</v>
      </c>
      <c r="L67" s="43">
        <v>99999</v>
      </c>
      <c r="M67" s="43">
        <v>99999</v>
      </c>
      <c r="N67" s="43">
        <v>99999</v>
      </c>
      <c r="O67" s="43">
        <v>99999</v>
      </c>
      <c r="P67" s="43">
        <v>99999</v>
      </c>
      <c r="Q67" s="43">
        <v>99999</v>
      </c>
      <c r="R67" s="43">
        <v>99999</v>
      </c>
      <c r="S67" s="43">
        <v>99999</v>
      </c>
      <c r="T67" s="43">
        <v>99999</v>
      </c>
      <c r="U67" s="43">
        <v>65.998853999999994</v>
      </c>
      <c r="V67" s="43">
        <v>65.998853999999994</v>
      </c>
      <c r="W67" s="43">
        <v>65.998853999999994</v>
      </c>
      <c r="X67" s="43">
        <v>65.998853999999994</v>
      </c>
      <c r="Y67" s="43">
        <v>65.998853999999994</v>
      </c>
      <c r="Z67" s="43">
        <v>65.998853999999994</v>
      </c>
      <c r="AA67" s="43">
        <v>65.998853999999994</v>
      </c>
      <c r="AB67" s="43">
        <v>65.998853999999994</v>
      </c>
      <c r="AC67" s="43">
        <v>65.998853999999994</v>
      </c>
      <c r="AD67" s="43">
        <v>65.998853999999994</v>
      </c>
      <c r="AE67" s="43">
        <v>65.998853999999994</v>
      </c>
      <c r="AF67" s="43">
        <v>65.998853999999994</v>
      </c>
      <c r="AG67" s="43">
        <v>65.998853999999994</v>
      </c>
      <c r="AH67" s="43">
        <v>65.998853999999994</v>
      </c>
      <c r="AI67" s="43">
        <v>65.998853999999994</v>
      </c>
      <c r="AJ67" s="43">
        <v>65.998853999999994</v>
      </c>
      <c r="AK67" s="43">
        <v>65.998853999999994</v>
      </c>
      <c r="AL67" s="43">
        <v>65.998853999999994</v>
      </c>
      <c r="AM67" s="43">
        <v>65.998853999999994</v>
      </c>
      <c r="AN67" s="43">
        <v>65.998853999999994</v>
      </c>
      <c r="AO67" s="43">
        <v>65.998853999999994</v>
      </c>
      <c r="AP67" s="43">
        <v>65.998853999999994</v>
      </c>
      <c r="AQ67" s="43">
        <v>65.998853999999994</v>
      </c>
      <c r="AR67" s="43">
        <v>65.998853999999994</v>
      </c>
      <c r="AS67" s="43">
        <v>65.998853999999994</v>
      </c>
      <c r="AT67" s="43">
        <v>65.998853999999994</v>
      </c>
      <c r="AU67" s="43">
        <v>65.998853999999994</v>
      </c>
      <c r="AV67" s="43">
        <v>65.998853999999994</v>
      </c>
      <c r="AW67" s="43">
        <v>65.998853999999994</v>
      </c>
      <c r="AX67" s="43">
        <v>65.998853999999994</v>
      </c>
      <c r="AY67" s="43">
        <v>65.998853999999994</v>
      </c>
      <c r="AZ67" s="43">
        <v>65.998853999999994</v>
      </c>
      <c r="BA67" s="43">
        <v>65.998853999999994</v>
      </c>
      <c r="BB67" s="43">
        <v>65.998853999999994</v>
      </c>
      <c r="BC67" s="43">
        <v>65.998853999999994</v>
      </c>
      <c r="BD67" s="43">
        <v>65.998853999999994</v>
      </c>
      <c r="BE67" s="43">
        <v>65.998853999999994</v>
      </c>
      <c r="BF67" s="43">
        <v>65.998853999999994</v>
      </c>
      <c r="BG67" s="43">
        <v>65.998853999999994</v>
      </c>
      <c r="BH67" s="43">
        <v>65.998853999999994</v>
      </c>
      <c r="BI67" s="43">
        <v>65.998853999999994</v>
      </c>
      <c r="BJ67" s="43">
        <v>65.998853999999994</v>
      </c>
      <c r="BK67" s="43">
        <v>65.998853999999994</v>
      </c>
      <c r="BL67" s="43">
        <v>65.998853999999994</v>
      </c>
      <c r="BM67" s="43">
        <v>65.998853999999994</v>
      </c>
      <c r="BN67" s="43">
        <v>65.998853999999994</v>
      </c>
      <c r="BO67" s="43">
        <v>65.998853999999994</v>
      </c>
      <c r="BP67" s="43">
        <v>65.998853999999994</v>
      </c>
      <c r="BQ67" s="43">
        <v>65.998853999999994</v>
      </c>
    </row>
    <row r="68" spans="1:69" s="44" customFormat="1" hidden="1" x14ac:dyDescent="0.25">
      <c r="A68" s="43">
        <v>7</v>
      </c>
      <c r="B68" s="43" t="s">
        <v>107</v>
      </c>
      <c r="C68" s="20" t="s">
        <v>108</v>
      </c>
      <c r="D68" s="43">
        <v>7</v>
      </c>
      <c r="E68" s="20" t="s">
        <v>496</v>
      </c>
      <c r="F68" s="43"/>
      <c r="G68" s="43" t="s">
        <v>500</v>
      </c>
      <c r="H68" s="43">
        <v>0</v>
      </c>
      <c r="I68" s="43">
        <v>49.184078991358028</v>
      </c>
      <c r="J68" s="43">
        <v>61.250159145970052</v>
      </c>
      <c r="K68" s="43">
        <v>60.382137181536322</v>
      </c>
      <c r="L68" s="43">
        <v>53.35173411860611</v>
      </c>
      <c r="M68" s="43">
        <v>41.624814864004613</v>
      </c>
      <c r="N68" s="43">
        <v>39.923261874121259</v>
      </c>
      <c r="O68" s="43">
        <v>65.50979011050913</v>
      </c>
      <c r="P68" s="43">
        <v>61.802014169716003</v>
      </c>
      <c r="Q68" s="43">
        <v>65.34536076174129</v>
      </c>
      <c r="R68" s="43">
        <v>60.206725319519393</v>
      </c>
      <c r="S68" s="43">
        <v>46.159875620186313</v>
      </c>
      <c r="T68" s="43">
        <v>53.309575538574322</v>
      </c>
      <c r="U68" s="43">
        <v>65.345399999999998</v>
      </c>
      <c r="V68" s="43">
        <v>65.345399999999998</v>
      </c>
      <c r="W68" s="43">
        <v>65.345399999999998</v>
      </c>
      <c r="X68" s="43">
        <v>65.345399999999998</v>
      </c>
      <c r="Y68" s="43">
        <v>65.345399999999998</v>
      </c>
      <c r="Z68" s="43">
        <v>65.345399999999998</v>
      </c>
      <c r="AA68" s="43">
        <v>65.345399999999998</v>
      </c>
      <c r="AB68" s="43">
        <v>65.345399999999998</v>
      </c>
      <c r="AC68" s="43">
        <v>65.345399999999998</v>
      </c>
      <c r="AD68" s="43">
        <v>65.345399999999998</v>
      </c>
      <c r="AE68" s="43">
        <v>65.345399999999998</v>
      </c>
      <c r="AF68" s="43">
        <v>65.345399999999998</v>
      </c>
      <c r="AG68" s="43">
        <v>65.345399999999998</v>
      </c>
      <c r="AH68" s="43">
        <v>65.345399999999998</v>
      </c>
      <c r="AI68" s="43">
        <v>65.345399999999998</v>
      </c>
      <c r="AJ68" s="43">
        <v>65.345399999999998</v>
      </c>
      <c r="AK68" s="43">
        <v>65.345399999999998</v>
      </c>
      <c r="AL68" s="43">
        <v>65.345399999999998</v>
      </c>
      <c r="AM68" s="43">
        <v>65.345399999999998</v>
      </c>
      <c r="AN68" s="43">
        <v>65.345399999999998</v>
      </c>
      <c r="AO68" s="43">
        <v>65.345399999999998</v>
      </c>
      <c r="AP68" s="43">
        <v>65.345399999999998</v>
      </c>
      <c r="AQ68" s="43">
        <v>65.345399999999998</v>
      </c>
      <c r="AR68" s="43">
        <v>65.345399999999998</v>
      </c>
      <c r="AS68" s="43">
        <v>65.345399999999998</v>
      </c>
      <c r="AT68" s="43">
        <v>65.345399999999998</v>
      </c>
      <c r="AU68" s="43">
        <v>65.345399999999998</v>
      </c>
      <c r="AV68" s="43">
        <v>65.345399999999998</v>
      </c>
      <c r="AW68" s="43">
        <v>65.345399999999998</v>
      </c>
      <c r="AX68" s="43">
        <v>65.345399999999998</v>
      </c>
      <c r="AY68" s="43">
        <v>65.345399999999998</v>
      </c>
      <c r="AZ68" s="43">
        <v>65.345399999999998</v>
      </c>
      <c r="BA68" s="43">
        <v>65.345399999999998</v>
      </c>
      <c r="BB68" s="43">
        <v>65.345399999999998</v>
      </c>
      <c r="BC68" s="43">
        <v>65.345399999999998</v>
      </c>
      <c r="BD68" s="43">
        <v>65.345399999999998</v>
      </c>
      <c r="BE68" s="43">
        <v>65.345399999999998</v>
      </c>
      <c r="BF68" s="43">
        <v>65.345399999999998</v>
      </c>
      <c r="BG68" s="43">
        <v>65.345399999999998</v>
      </c>
      <c r="BH68" s="43">
        <v>65.345399999999998</v>
      </c>
      <c r="BI68" s="43">
        <v>65.345399999999998</v>
      </c>
      <c r="BJ68" s="43">
        <v>65.345399999999998</v>
      </c>
      <c r="BK68" s="43">
        <v>65.345399999999998</v>
      </c>
      <c r="BL68" s="43">
        <v>65.345399999999998</v>
      </c>
      <c r="BM68" s="43">
        <v>65.345399999999998</v>
      </c>
      <c r="BN68" s="43">
        <v>65.345399999999998</v>
      </c>
      <c r="BO68" s="43">
        <v>65.345399999999998</v>
      </c>
      <c r="BP68" s="43">
        <v>65.345399999999998</v>
      </c>
      <c r="BQ68" s="43">
        <v>65.345399999999998</v>
      </c>
    </row>
    <row r="69" spans="1:69" s="44" customFormat="1" hidden="1" x14ac:dyDescent="0.25">
      <c r="A69" s="43">
        <v>7</v>
      </c>
      <c r="B69" s="43" t="s">
        <v>107</v>
      </c>
      <c r="C69" s="20" t="s">
        <v>108</v>
      </c>
      <c r="D69" s="43">
        <v>8</v>
      </c>
      <c r="E69" s="20" t="s">
        <v>497</v>
      </c>
      <c r="F69" s="43"/>
      <c r="G69" s="43" t="s">
        <v>490</v>
      </c>
      <c r="H69" s="43">
        <v>0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</row>
    <row r="70" spans="1:69" s="44" customFormat="1" hidden="1" x14ac:dyDescent="0.25">
      <c r="A70" s="43">
        <v>7</v>
      </c>
      <c r="B70" s="43" t="s">
        <v>107</v>
      </c>
      <c r="C70" s="20" t="s">
        <v>108</v>
      </c>
      <c r="D70" s="43">
        <v>9</v>
      </c>
      <c r="E70" s="20" t="s">
        <v>498</v>
      </c>
      <c r="F70" s="43"/>
      <c r="G70" s="43" t="s">
        <v>490</v>
      </c>
      <c r="H70" s="43">
        <v>0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</row>
    <row r="71" spans="1:69" s="44" customFormat="1" hidden="1" x14ac:dyDescent="0.25">
      <c r="A71" s="43">
        <v>7</v>
      </c>
      <c r="B71" s="43" t="s">
        <v>107</v>
      </c>
      <c r="C71" s="20" t="s">
        <v>108</v>
      </c>
      <c r="D71" s="43">
        <v>10</v>
      </c>
      <c r="E71" s="20" t="s">
        <v>499</v>
      </c>
      <c r="F71" s="43"/>
      <c r="G71" s="43" t="s">
        <v>490</v>
      </c>
      <c r="H71" s="43">
        <v>0</v>
      </c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</row>
    <row r="72" spans="1:69" s="34" customFormat="1" hidden="1" x14ac:dyDescent="0.25">
      <c r="A72" s="33">
        <v>8</v>
      </c>
      <c r="B72" s="33" t="s">
        <v>109</v>
      </c>
      <c r="C72" s="36" t="s">
        <v>110</v>
      </c>
      <c r="D72" s="33">
        <v>1</v>
      </c>
      <c r="E72" s="36" t="s">
        <v>489</v>
      </c>
      <c r="F72" s="33"/>
      <c r="G72" s="33" t="s">
        <v>500</v>
      </c>
      <c r="H72" s="33">
        <v>0</v>
      </c>
      <c r="I72" s="33">
        <v>0.19</v>
      </c>
      <c r="J72" s="33">
        <v>0.19</v>
      </c>
      <c r="K72" s="33">
        <v>0.19</v>
      </c>
      <c r="L72" s="33">
        <v>0.19</v>
      </c>
      <c r="M72" s="33">
        <v>0.19</v>
      </c>
      <c r="N72" s="33">
        <v>0.19</v>
      </c>
      <c r="O72" s="33">
        <v>0.19</v>
      </c>
      <c r="P72" s="33">
        <v>0.19</v>
      </c>
      <c r="Q72" s="33">
        <v>0.19</v>
      </c>
      <c r="R72" s="33">
        <v>0.19</v>
      </c>
      <c r="S72" s="33">
        <v>0.19</v>
      </c>
      <c r="T72" s="33">
        <v>0.19</v>
      </c>
      <c r="U72" s="33">
        <v>0.19</v>
      </c>
      <c r="V72" s="33">
        <v>0.19</v>
      </c>
      <c r="W72" s="33">
        <v>0.19</v>
      </c>
      <c r="X72" s="33">
        <v>0.19</v>
      </c>
      <c r="Y72" s="33">
        <v>0.19</v>
      </c>
      <c r="Z72" s="33">
        <v>0.19</v>
      </c>
      <c r="AA72" s="33">
        <v>0.19</v>
      </c>
      <c r="AB72" s="33">
        <v>0.19</v>
      </c>
      <c r="AC72" s="33">
        <v>0.19</v>
      </c>
      <c r="AD72" s="33">
        <v>0.19</v>
      </c>
      <c r="AE72" s="33">
        <v>0.19</v>
      </c>
      <c r="AF72" s="33">
        <v>0.19</v>
      </c>
      <c r="AG72" s="33">
        <v>0.19</v>
      </c>
      <c r="AH72" s="33">
        <v>0.19</v>
      </c>
      <c r="AI72" s="33">
        <v>0.19</v>
      </c>
      <c r="AJ72" s="33">
        <v>0.19</v>
      </c>
      <c r="AK72" s="33">
        <v>0.19</v>
      </c>
      <c r="AL72" s="33">
        <v>0.19</v>
      </c>
      <c r="AM72" s="33">
        <v>0.19</v>
      </c>
      <c r="AN72" s="33">
        <v>0.19</v>
      </c>
      <c r="AO72" s="33">
        <v>0.19</v>
      </c>
      <c r="AP72" s="33">
        <v>0.19</v>
      </c>
      <c r="AQ72" s="33">
        <v>0.19</v>
      </c>
      <c r="AR72" s="33">
        <v>0.19</v>
      </c>
      <c r="AS72" s="33">
        <v>0.19</v>
      </c>
      <c r="AT72" s="33">
        <v>0.19</v>
      </c>
      <c r="AU72" s="33">
        <v>0.19</v>
      </c>
      <c r="AV72" s="33">
        <v>0.19</v>
      </c>
      <c r="AW72" s="33">
        <v>0.19</v>
      </c>
      <c r="AX72" s="33">
        <v>0.19</v>
      </c>
      <c r="AY72" s="33">
        <v>0.19</v>
      </c>
      <c r="AZ72" s="33">
        <v>0.19</v>
      </c>
      <c r="BA72" s="33">
        <v>0.19</v>
      </c>
      <c r="BB72" s="33">
        <v>0.19</v>
      </c>
      <c r="BC72" s="33">
        <v>0.19</v>
      </c>
      <c r="BD72" s="33">
        <v>0.19</v>
      </c>
      <c r="BE72" s="33">
        <v>0.19</v>
      </c>
      <c r="BF72" s="33">
        <v>0.19</v>
      </c>
      <c r="BG72" s="33">
        <v>0.19</v>
      </c>
      <c r="BH72" s="33">
        <v>0.19</v>
      </c>
      <c r="BI72" s="33">
        <v>0.19</v>
      </c>
      <c r="BJ72" s="33">
        <v>0.19</v>
      </c>
      <c r="BK72" s="33">
        <v>0.19</v>
      </c>
      <c r="BL72" s="33">
        <v>0.19</v>
      </c>
      <c r="BM72" s="33">
        <v>0.19</v>
      </c>
      <c r="BN72" s="33">
        <v>0.19</v>
      </c>
      <c r="BO72" s="33">
        <v>0.19</v>
      </c>
      <c r="BP72" s="33">
        <v>0.19</v>
      </c>
      <c r="BQ72" s="33">
        <v>0.19</v>
      </c>
    </row>
    <row r="73" spans="1:69" s="34" customFormat="1" hidden="1" x14ac:dyDescent="0.25">
      <c r="A73" s="33">
        <v>8</v>
      </c>
      <c r="B73" s="33" t="s">
        <v>109</v>
      </c>
      <c r="C73" s="36" t="s">
        <v>110</v>
      </c>
      <c r="D73" s="33">
        <v>2</v>
      </c>
      <c r="E73" s="36" t="s">
        <v>491</v>
      </c>
      <c r="F73" s="33"/>
      <c r="G73" s="33" t="s">
        <v>501</v>
      </c>
      <c r="H73" s="33">
        <v>0</v>
      </c>
      <c r="I73" s="33">
        <v>1.3899999999999999E-2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</row>
    <row r="74" spans="1:69" s="34" customFormat="1" hidden="1" x14ac:dyDescent="0.25">
      <c r="A74" s="33">
        <v>8</v>
      </c>
      <c r="B74" s="33" t="s">
        <v>109</v>
      </c>
      <c r="C74" s="36" t="s">
        <v>110</v>
      </c>
      <c r="D74" s="33">
        <v>3</v>
      </c>
      <c r="E74" s="36" t="s">
        <v>492</v>
      </c>
      <c r="F74" s="33"/>
      <c r="G74" s="33" t="s">
        <v>500</v>
      </c>
      <c r="H74" s="33">
        <v>0</v>
      </c>
      <c r="I74" s="33">
        <v>3.4628884389999999</v>
      </c>
      <c r="J74" s="33">
        <v>3.4628884389999999</v>
      </c>
      <c r="K74" s="33">
        <v>3.4628884389999999</v>
      </c>
      <c r="L74" s="33">
        <v>3.4628884389999999</v>
      </c>
      <c r="M74" s="33">
        <v>3.4628884389999999</v>
      </c>
      <c r="N74" s="33">
        <v>3.4628884389999999</v>
      </c>
      <c r="O74" s="33">
        <v>3.4628884389999999</v>
      </c>
      <c r="P74" s="33">
        <v>3.4628884389999999</v>
      </c>
      <c r="Q74" s="33">
        <v>3.4628884389999999</v>
      </c>
      <c r="R74" s="33">
        <v>3.3956900000000001</v>
      </c>
      <c r="S74" s="33">
        <v>3.0583999999999998</v>
      </c>
      <c r="T74" s="33">
        <v>3.3056594796666672</v>
      </c>
      <c r="U74" s="33">
        <v>3.2532498265555554</v>
      </c>
      <c r="V74" s="33">
        <v>3.2057697687407405</v>
      </c>
      <c r="W74" s="33">
        <v>3.2548930249876542</v>
      </c>
      <c r="X74" s="33">
        <v>3.2379708734279831</v>
      </c>
      <c r="Y74" s="33">
        <v>3.2328778890521259</v>
      </c>
      <c r="Z74" s="33">
        <v>3.2419139291559209</v>
      </c>
      <c r="AA74" s="33">
        <v>3.2375875638786766</v>
      </c>
      <c r="AB74" s="33">
        <v>3.2374597940289078</v>
      </c>
      <c r="AC74" s="33">
        <v>3.2389870956878348</v>
      </c>
      <c r="AD74" s="33">
        <v>3.2380114845318064</v>
      </c>
      <c r="AE74" s="33">
        <v>3.2381527914161832</v>
      </c>
      <c r="AF74" s="33">
        <v>3.2383837905452748</v>
      </c>
      <c r="AG74" s="33">
        <v>3.2381826888310883</v>
      </c>
      <c r="AH74" s="33">
        <v>3.2382397569308488</v>
      </c>
      <c r="AI74" s="33">
        <v>3.2382687454357373</v>
      </c>
      <c r="AJ74" s="33">
        <v>3.2382303970658914</v>
      </c>
      <c r="AK74" s="33">
        <v>3.2382462998108257</v>
      </c>
      <c r="AL74" s="33">
        <v>3.2382484807708178</v>
      </c>
      <c r="AM74" s="33">
        <v>3.2382417258825118</v>
      </c>
      <c r="AN74" s="33">
        <v>3.2382455021547187</v>
      </c>
      <c r="AO74" s="33">
        <v>3.2382452362693495</v>
      </c>
      <c r="AP74" s="33">
        <v>3.2382441547688603</v>
      </c>
      <c r="AQ74" s="33">
        <v>3.238244964397643</v>
      </c>
      <c r="AR74" s="33">
        <v>3.2382447851452842</v>
      </c>
      <c r="AS74" s="33">
        <v>3.2382446347705955</v>
      </c>
      <c r="AT74" s="33">
        <v>3.2382447947711746</v>
      </c>
      <c r="AU74" s="33">
        <v>3.2382447382290178</v>
      </c>
      <c r="AV74" s="33">
        <v>3.2382447225902626</v>
      </c>
      <c r="AW74" s="33">
        <v>3.2382447518634851</v>
      </c>
      <c r="AX74" s="33">
        <v>3.2382447518634851</v>
      </c>
      <c r="AY74" s="33">
        <v>3.2382447518634851</v>
      </c>
      <c r="AZ74" s="33">
        <v>3.2382447518634851</v>
      </c>
      <c r="BA74" s="33">
        <v>3.2382447518634851</v>
      </c>
      <c r="BB74" s="33">
        <v>3.2382447518634851</v>
      </c>
      <c r="BC74" s="33">
        <v>3.2382447518634851</v>
      </c>
      <c r="BD74" s="33">
        <v>3.2382447518634851</v>
      </c>
      <c r="BE74" s="33">
        <v>3.2382447518634851</v>
      </c>
      <c r="BF74" s="33">
        <v>3.2382447518634851</v>
      </c>
      <c r="BG74" s="33">
        <v>3.2382447518634851</v>
      </c>
      <c r="BH74" s="33">
        <v>3.2382447518634851</v>
      </c>
      <c r="BI74" s="33">
        <v>3.2382447518634851</v>
      </c>
      <c r="BJ74" s="33">
        <v>3.2382447518634851</v>
      </c>
      <c r="BK74" s="33">
        <v>3.2382447518634851</v>
      </c>
      <c r="BL74" s="33">
        <v>3.2382447518634851</v>
      </c>
      <c r="BM74" s="33">
        <v>3.2382447518634851</v>
      </c>
      <c r="BN74" s="33">
        <v>3.2382447518634851</v>
      </c>
      <c r="BO74" s="33">
        <v>3.2382447518634851</v>
      </c>
      <c r="BP74" s="33">
        <v>3.2382447518634851</v>
      </c>
      <c r="BQ74" s="33">
        <v>3.2382447518634851</v>
      </c>
    </row>
    <row r="75" spans="1:69" s="34" customFormat="1" hidden="1" x14ac:dyDescent="0.25">
      <c r="A75" s="33">
        <v>8</v>
      </c>
      <c r="B75" s="33" t="s">
        <v>109</v>
      </c>
      <c r="C75" s="36" t="s">
        <v>110</v>
      </c>
      <c r="D75" s="33">
        <v>4</v>
      </c>
      <c r="E75" s="36" t="s">
        <v>493</v>
      </c>
      <c r="F75" s="33"/>
      <c r="G75" s="33" t="s">
        <v>501</v>
      </c>
      <c r="H75" s="33">
        <v>0</v>
      </c>
      <c r="I75" s="33">
        <v>7</v>
      </c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</row>
    <row r="76" spans="1:69" s="34" customFormat="1" hidden="1" x14ac:dyDescent="0.25">
      <c r="A76" s="33">
        <v>8</v>
      </c>
      <c r="B76" s="33" t="s">
        <v>109</v>
      </c>
      <c r="C76" s="36" t="s">
        <v>110</v>
      </c>
      <c r="D76" s="33">
        <v>5</v>
      </c>
      <c r="E76" s="36" t="s">
        <v>494</v>
      </c>
      <c r="F76" s="33"/>
      <c r="G76" s="33" t="s">
        <v>490</v>
      </c>
      <c r="H76" s="33">
        <v>0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</row>
    <row r="77" spans="1:69" s="34" customFormat="1" hidden="1" x14ac:dyDescent="0.25">
      <c r="A77" s="33">
        <v>8</v>
      </c>
      <c r="B77" s="33" t="s">
        <v>109</v>
      </c>
      <c r="C77" s="36" t="s">
        <v>110</v>
      </c>
      <c r="D77" s="33">
        <v>6</v>
      </c>
      <c r="E77" s="36" t="s">
        <v>495</v>
      </c>
      <c r="F77" s="33"/>
      <c r="G77" s="33" t="s">
        <v>500</v>
      </c>
      <c r="H77" s="33">
        <v>0</v>
      </c>
      <c r="I77" s="33">
        <v>99999</v>
      </c>
      <c r="J77" s="33">
        <v>99999</v>
      </c>
      <c r="K77" s="33">
        <v>99999</v>
      </c>
      <c r="L77" s="33">
        <v>99999</v>
      </c>
      <c r="M77" s="33">
        <v>99999</v>
      </c>
      <c r="N77" s="33">
        <v>99999</v>
      </c>
      <c r="O77" s="33">
        <v>99999</v>
      </c>
      <c r="P77" s="33">
        <v>99999</v>
      </c>
      <c r="Q77" s="33">
        <v>99999</v>
      </c>
      <c r="R77" s="33">
        <v>99999</v>
      </c>
      <c r="S77" s="33">
        <v>99999</v>
      </c>
      <c r="T77" s="33">
        <v>99999</v>
      </c>
      <c r="U77" s="33">
        <v>6.5794430000000004</v>
      </c>
      <c r="V77" s="33">
        <v>6.5794430000000004</v>
      </c>
      <c r="W77" s="33">
        <v>6.5794430000000004</v>
      </c>
      <c r="X77" s="33">
        <v>6.5794430000000004</v>
      </c>
      <c r="Y77" s="33">
        <v>6.5794430000000004</v>
      </c>
      <c r="Z77" s="33">
        <v>6.5794430000000004</v>
      </c>
      <c r="AA77" s="33">
        <v>6.5794430000000004</v>
      </c>
      <c r="AB77" s="33">
        <v>6.5794430000000004</v>
      </c>
      <c r="AC77" s="33">
        <v>6.5794430000000004</v>
      </c>
      <c r="AD77" s="33">
        <v>6.5794430000000004</v>
      </c>
      <c r="AE77" s="33">
        <v>6.5794430000000004</v>
      </c>
      <c r="AF77" s="33">
        <v>6.5794430000000004</v>
      </c>
      <c r="AG77" s="33">
        <v>6.5794430000000004</v>
      </c>
      <c r="AH77" s="33">
        <v>6.5794430000000004</v>
      </c>
      <c r="AI77" s="33">
        <v>6.5794430000000004</v>
      </c>
      <c r="AJ77" s="33">
        <v>6.5794430000000004</v>
      </c>
      <c r="AK77" s="33">
        <v>6.5794430000000004</v>
      </c>
      <c r="AL77" s="33">
        <v>6.5794430000000004</v>
      </c>
      <c r="AM77" s="33">
        <v>6.5794430000000004</v>
      </c>
      <c r="AN77" s="33">
        <v>6.5794430000000004</v>
      </c>
      <c r="AO77" s="33">
        <v>6.5794430000000004</v>
      </c>
      <c r="AP77" s="33">
        <v>6.5794430000000004</v>
      </c>
      <c r="AQ77" s="33">
        <v>6.5794430000000004</v>
      </c>
      <c r="AR77" s="33">
        <v>6.5794430000000004</v>
      </c>
      <c r="AS77" s="33">
        <v>6.5794430000000004</v>
      </c>
      <c r="AT77" s="33">
        <v>6.5794430000000004</v>
      </c>
      <c r="AU77" s="33">
        <v>6.5794430000000004</v>
      </c>
      <c r="AV77" s="33">
        <v>6.5794430000000004</v>
      </c>
      <c r="AW77" s="33">
        <v>6.5794430000000004</v>
      </c>
      <c r="AX77" s="33">
        <v>6.5794430000000004</v>
      </c>
      <c r="AY77" s="33">
        <v>6.5794430000000004</v>
      </c>
      <c r="AZ77" s="33">
        <v>6.5794430000000004</v>
      </c>
      <c r="BA77" s="33">
        <v>6.5794430000000004</v>
      </c>
      <c r="BB77" s="33">
        <v>6.5794430000000004</v>
      </c>
      <c r="BC77" s="33">
        <v>6.5794430000000004</v>
      </c>
      <c r="BD77" s="33">
        <v>6.5794430000000004</v>
      </c>
      <c r="BE77" s="33">
        <v>6.5794430000000004</v>
      </c>
      <c r="BF77" s="33">
        <v>6.5794430000000004</v>
      </c>
      <c r="BG77" s="33">
        <v>6.5794430000000004</v>
      </c>
      <c r="BH77" s="33">
        <v>6.5794430000000004</v>
      </c>
      <c r="BI77" s="33">
        <v>6.5794430000000004</v>
      </c>
      <c r="BJ77" s="33">
        <v>6.5794430000000004</v>
      </c>
      <c r="BK77" s="33">
        <v>6.5794430000000004</v>
      </c>
      <c r="BL77" s="33">
        <v>6.5794430000000004</v>
      </c>
      <c r="BM77" s="33">
        <v>6.5794430000000004</v>
      </c>
      <c r="BN77" s="33">
        <v>6.5794430000000004</v>
      </c>
      <c r="BO77" s="33">
        <v>6.5794430000000004</v>
      </c>
      <c r="BP77" s="33">
        <v>6.5794430000000004</v>
      </c>
      <c r="BQ77" s="33">
        <v>6.5794430000000004</v>
      </c>
    </row>
    <row r="78" spans="1:69" s="34" customFormat="1" hidden="1" x14ac:dyDescent="0.25">
      <c r="A78" s="33">
        <v>8</v>
      </c>
      <c r="B78" s="33" t="s">
        <v>109</v>
      </c>
      <c r="C78" s="36" t="s">
        <v>110</v>
      </c>
      <c r="D78" s="33">
        <v>7</v>
      </c>
      <c r="E78" s="36" t="s">
        <v>496</v>
      </c>
      <c r="F78" s="33"/>
      <c r="G78" s="33" t="s">
        <v>500</v>
      </c>
      <c r="H78" s="33">
        <v>0</v>
      </c>
      <c r="I78" s="33">
        <v>5.8749566069621206</v>
      </c>
      <c r="J78" s="33">
        <v>7.8466886188877645</v>
      </c>
      <c r="K78" s="33">
        <v>8.1398616002528019</v>
      </c>
      <c r="L78" s="33">
        <v>6.449805590030822</v>
      </c>
      <c r="M78" s="33">
        <v>4.3631037814914384</v>
      </c>
      <c r="N78" s="33">
        <v>2.0867018085393836</v>
      </c>
      <c r="O78" s="33">
        <v>7.2488456764963152</v>
      </c>
      <c r="P78" s="33">
        <v>7.7087248629512759</v>
      </c>
      <c r="Q78" s="33">
        <v>6.5143172504566227</v>
      </c>
      <c r="R78" s="33">
        <v>3.9446888573215406</v>
      </c>
      <c r="S78" s="33">
        <v>4.4790352542992284</v>
      </c>
      <c r="T78" s="33">
        <v>4.5856525394351069</v>
      </c>
      <c r="U78" s="33">
        <v>6.5143000000000004</v>
      </c>
      <c r="V78" s="33">
        <v>6.5143000000000004</v>
      </c>
      <c r="W78" s="33">
        <v>6.5143000000000004</v>
      </c>
      <c r="X78" s="33">
        <v>6.5143000000000004</v>
      </c>
      <c r="Y78" s="33">
        <v>6.5143000000000004</v>
      </c>
      <c r="Z78" s="33">
        <v>6.5143000000000004</v>
      </c>
      <c r="AA78" s="33">
        <v>6.5143000000000004</v>
      </c>
      <c r="AB78" s="33">
        <v>6.5143000000000004</v>
      </c>
      <c r="AC78" s="33">
        <v>6.5143000000000004</v>
      </c>
      <c r="AD78" s="33">
        <v>6.5143000000000004</v>
      </c>
      <c r="AE78" s="33">
        <v>6.5143000000000004</v>
      </c>
      <c r="AF78" s="33">
        <v>6.5143000000000004</v>
      </c>
      <c r="AG78" s="33">
        <v>6.5143000000000004</v>
      </c>
      <c r="AH78" s="33">
        <v>6.5143000000000004</v>
      </c>
      <c r="AI78" s="33">
        <v>6.5143000000000004</v>
      </c>
      <c r="AJ78" s="33">
        <v>6.5143000000000004</v>
      </c>
      <c r="AK78" s="33">
        <v>6.5143000000000004</v>
      </c>
      <c r="AL78" s="33">
        <v>6.5143000000000004</v>
      </c>
      <c r="AM78" s="33">
        <v>6.5143000000000004</v>
      </c>
      <c r="AN78" s="33">
        <v>6.5143000000000004</v>
      </c>
      <c r="AO78" s="33">
        <v>6.5143000000000004</v>
      </c>
      <c r="AP78" s="33">
        <v>6.5143000000000004</v>
      </c>
      <c r="AQ78" s="33">
        <v>6.5143000000000004</v>
      </c>
      <c r="AR78" s="33">
        <v>6.5143000000000004</v>
      </c>
      <c r="AS78" s="33">
        <v>6.5143000000000004</v>
      </c>
      <c r="AT78" s="33">
        <v>6.5143000000000004</v>
      </c>
      <c r="AU78" s="33">
        <v>6.5143000000000004</v>
      </c>
      <c r="AV78" s="33">
        <v>6.5143000000000004</v>
      </c>
      <c r="AW78" s="33">
        <v>6.5143000000000004</v>
      </c>
      <c r="AX78" s="33">
        <v>6.5143000000000004</v>
      </c>
      <c r="AY78" s="33">
        <v>6.5143000000000004</v>
      </c>
      <c r="AZ78" s="33">
        <v>6.5143000000000004</v>
      </c>
      <c r="BA78" s="33">
        <v>6.5143000000000004</v>
      </c>
      <c r="BB78" s="33">
        <v>6.5143000000000004</v>
      </c>
      <c r="BC78" s="33">
        <v>6.5143000000000004</v>
      </c>
      <c r="BD78" s="33">
        <v>6.5143000000000004</v>
      </c>
      <c r="BE78" s="33">
        <v>6.5143000000000004</v>
      </c>
      <c r="BF78" s="33">
        <v>6.5143000000000004</v>
      </c>
      <c r="BG78" s="33">
        <v>6.5143000000000004</v>
      </c>
      <c r="BH78" s="33">
        <v>6.5143000000000004</v>
      </c>
      <c r="BI78" s="33">
        <v>6.5143000000000004</v>
      </c>
      <c r="BJ78" s="33">
        <v>6.5143000000000004</v>
      </c>
      <c r="BK78" s="33">
        <v>6.5143000000000004</v>
      </c>
      <c r="BL78" s="33">
        <v>6.5143000000000004</v>
      </c>
      <c r="BM78" s="33">
        <v>6.5143000000000004</v>
      </c>
      <c r="BN78" s="33">
        <v>6.5143000000000004</v>
      </c>
      <c r="BO78" s="33">
        <v>6.5143000000000004</v>
      </c>
      <c r="BP78" s="33">
        <v>6.5143000000000004</v>
      </c>
      <c r="BQ78" s="33">
        <v>6.5143000000000004</v>
      </c>
    </row>
    <row r="79" spans="1:69" s="34" customFormat="1" hidden="1" x14ac:dyDescent="0.25">
      <c r="A79" s="33">
        <v>8</v>
      </c>
      <c r="B79" s="33" t="s">
        <v>109</v>
      </c>
      <c r="C79" s="36" t="s">
        <v>110</v>
      </c>
      <c r="D79" s="33">
        <v>8</v>
      </c>
      <c r="E79" s="36" t="s">
        <v>497</v>
      </c>
      <c r="F79" s="33"/>
      <c r="G79" s="33" t="s">
        <v>490</v>
      </c>
      <c r="H79" s="33">
        <v>0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</row>
    <row r="80" spans="1:69" s="34" customFormat="1" hidden="1" x14ac:dyDescent="0.25">
      <c r="A80" s="33">
        <v>8</v>
      </c>
      <c r="B80" s="33" t="s">
        <v>109</v>
      </c>
      <c r="C80" s="36" t="s">
        <v>110</v>
      </c>
      <c r="D80" s="33">
        <v>9</v>
      </c>
      <c r="E80" s="36" t="s">
        <v>498</v>
      </c>
      <c r="F80" s="33"/>
      <c r="G80" s="33" t="s">
        <v>490</v>
      </c>
      <c r="H80" s="33">
        <v>0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</row>
    <row r="81" spans="1:69" s="34" customFormat="1" hidden="1" x14ac:dyDescent="0.25">
      <c r="A81" s="33">
        <v>8</v>
      </c>
      <c r="B81" s="33" t="s">
        <v>109</v>
      </c>
      <c r="C81" s="36" t="s">
        <v>110</v>
      </c>
      <c r="D81" s="33">
        <v>10</v>
      </c>
      <c r="E81" s="36" t="s">
        <v>499</v>
      </c>
      <c r="F81" s="33"/>
      <c r="G81" s="33" t="s">
        <v>490</v>
      </c>
      <c r="H81" s="33">
        <v>0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</row>
    <row r="82" spans="1:69" s="44" customFormat="1" hidden="1" x14ac:dyDescent="0.25">
      <c r="A82" s="43">
        <v>9</v>
      </c>
      <c r="B82" s="43" t="s">
        <v>111</v>
      </c>
      <c r="C82" s="20" t="s">
        <v>112</v>
      </c>
      <c r="D82" s="43">
        <v>1</v>
      </c>
      <c r="E82" s="20" t="s">
        <v>489</v>
      </c>
      <c r="F82" s="43"/>
      <c r="G82" s="43" t="s">
        <v>500</v>
      </c>
      <c r="H82" s="43">
        <v>0</v>
      </c>
      <c r="I82" s="43">
        <v>5.88</v>
      </c>
      <c r="J82" s="43">
        <v>5.88</v>
      </c>
      <c r="K82" s="43">
        <v>5.88</v>
      </c>
      <c r="L82" s="43">
        <v>5.88</v>
      </c>
      <c r="M82" s="43">
        <v>5.88</v>
      </c>
      <c r="N82" s="43">
        <v>5.88</v>
      </c>
      <c r="O82" s="43">
        <v>5.88</v>
      </c>
      <c r="P82" s="43">
        <v>5.88</v>
      </c>
      <c r="Q82" s="43">
        <v>5.88</v>
      </c>
      <c r="R82" s="43">
        <v>5.88</v>
      </c>
      <c r="S82" s="43">
        <v>5.88</v>
      </c>
      <c r="T82" s="43">
        <v>5.88</v>
      </c>
      <c r="U82" s="43">
        <v>5.88</v>
      </c>
      <c r="V82" s="43">
        <v>5.88</v>
      </c>
      <c r="W82" s="43">
        <v>5.88</v>
      </c>
      <c r="X82" s="43">
        <v>5.88</v>
      </c>
      <c r="Y82" s="43">
        <v>5.88</v>
      </c>
      <c r="Z82" s="43">
        <v>5.88</v>
      </c>
      <c r="AA82" s="43">
        <v>5.88</v>
      </c>
      <c r="AB82" s="43">
        <v>5.88</v>
      </c>
      <c r="AC82" s="43">
        <v>5.88</v>
      </c>
      <c r="AD82" s="43">
        <v>5.88</v>
      </c>
      <c r="AE82" s="43">
        <v>5.88</v>
      </c>
      <c r="AF82" s="43">
        <v>5.88</v>
      </c>
      <c r="AG82" s="43">
        <v>5.88</v>
      </c>
      <c r="AH82" s="43">
        <v>5.88</v>
      </c>
      <c r="AI82" s="43">
        <v>5.88</v>
      </c>
      <c r="AJ82" s="43">
        <v>5.88</v>
      </c>
      <c r="AK82" s="43">
        <v>5.88</v>
      </c>
      <c r="AL82" s="43">
        <v>5.88</v>
      </c>
      <c r="AM82" s="43">
        <v>5.88</v>
      </c>
      <c r="AN82" s="43">
        <v>5.88</v>
      </c>
      <c r="AO82" s="43">
        <v>5.88</v>
      </c>
      <c r="AP82" s="43">
        <v>5.88</v>
      </c>
      <c r="AQ82" s="43">
        <v>5.88</v>
      </c>
      <c r="AR82" s="43">
        <v>5.88</v>
      </c>
      <c r="AS82" s="43">
        <v>5.88</v>
      </c>
      <c r="AT82" s="43">
        <v>5.88</v>
      </c>
      <c r="AU82" s="43">
        <v>5.88</v>
      </c>
      <c r="AV82" s="43">
        <v>5.88</v>
      </c>
      <c r="AW82" s="43">
        <v>5.88</v>
      </c>
      <c r="AX82" s="43">
        <v>5.88</v>
      </c>
      <c r="AY82" s="43">
        <v>5.88</v>
      </c>
      <c r="AZ82" s="43">
        <v>5.88</v>
      </c>
      <c r="BA82" s="43">
        <v>5.88</v>
      </c>
      <c r="BB82" s="43">
        <v>5.88</v>
      </c>
      <c r="BC82" s="43">
        <v>5.88</v>
      </c>
      <c r="BD82" s="43">
        <v>5.88</v>
      </c>
      <c r="BE82" s="43">
        <v>5.88</v>
      </c>
      <c r="BF82" s="43">
        <v>5.88</v>
      </c>
      <c r="BG82" s="43">
        <v>5.88</v>
      </c>
      <c r="BH82" s="43">
        <v>5.88</v>
      </c>
      <c r="BI82" s="43">
        <v>5.88</v>
      </c>
      <c r="BJ82" s="43">
        <v>5.88</v>
      </c>
      <c r="BK82" s="43">
        <v>5.88</v>
      </c>
      <c r="BL82" s="43">
        <v>5.88</v>
      </c>
      <c r="BM82" s="43">
        <v>5.88</v>
      </c>
      <c r="BN82" s="43">
        <v>5.88</v>
      </c>
      <c r="BO82" s="43">
        <v>5.88</v>
      </c>
      <c r="BP82" s="43">
        <v>5.88</v>
      </c>
      <c r="BQ82" s="43">
        <v>5.88</v>
      </c>
    </row>
    <row r="83" spans="1:69" s="44" customFormat="1" hidden="1" x14ac:dyDescent="0.25">
      <c r="A83" s="43">
        <v>9</v>
      </c>
      <c r="B83" s="43" t="s">
        <v>111</v>
      </c>
      <c r="C83" s="20" t="s">
        <v>112</v>
      </c>
      <c r="D83" s="43">
        <v>2</v>
      </c>
      <c r="E83" s="20" t="s">
        <v>491</v>
      </c>
      <c r="F83" s="43"/>
      <c r="G83" s="43" t="s">
        <v>501</v>
      </c>
      <c r="H83" s="43">
        <v>0</v>
      </c>
      <c r="I83" s="43">
        <v>0.441</v>
      </c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</row>
    <row r="84" spans="1:69" s="44" customFormat="1" hidden="1" x14ac:dyDescent="0.25">
      <c r="A84" s="43">
        <v>9</v>
      </c>
      <c r="B84" s="43" t="s">
        <v>111</v>
      </c>
      <c r="C84" s="20" t="s">
        <v>112</v>
      </c>
      <c r="D84" s="43">
        <v>3</v>
      </c>
      <c r="E84" s="20" t="s">
        <v>492</v>
      </c>
      <c r="F84" s="43"/>
      <c r="G84" s="43" t="s">
        <v>500</v>
      </c>
      <c r="H84" s="43">
        <v>0</v>
      </c>
      <c r="I84" s="45">
        <v>0.80418051499999998</v>
      </c>
      <c r="J84" s="45">
        <v>0.80418051499999998</v>
      </c>
      <c r="K84" s="45">
        <v>0.80418051499999998</v>
      </c>
      <c r="L84" s="45">
        <v>0.80418051499999998</v>
      </c>
      <c r="M84" s="45">
        <v>0.80418051499999998</v>
      </c>
      <c r="N84" s="45">
        <v>0.80418051499999998</v>
      </c>
      <c r="O84" s="45">
        <v>0.80418051499999998</v>
      </c>
      <c r="P84" s="45">
        <v>0.80418051499999998</v>
      </c>
      <c r="Q84" s="45">
        <v>0.80418051499999998</v>
      </c>
      <c r="R84" s="45">
        <v>0.78913</v>
      </c>
      <c r="S84" s="45">
        <v>0.55557000000000001</v>
      </c>
      <c r="T84" s="45">
        <v>0.716293505</v>
      </c>
      <c r="U84" s="45">
        <v>0.686997835</v>
      </c>
      <c r="V84" s="45">
        <v>0.65295377999999993</v>
      </c>
      <c r="W84" s="45">
        <v>0.68541503999999998</v>
      </c>
      <c r="X84" s="45">
        <v>0.6751222183333333</v>
      </c>
      <c r="Y84" s="45">
        <v>0.67116367944444433</v>
      </c>
      <c r="Z84" s="45">
        <v>0.67723364592592583</v>
      </c>
      <c r="AA84" s="45">
        <v>0.67450651456790123</v>
      </c>
      <c r="AB84" s="45">
        <v>0.6743012799794238</v>
      </c>
      <c r="AC84" s="45">
        <v>0.67534714682441699</v>
      </c>
      <c r="AD84" s="45">
        <v>0.67471831379058067</v>
      </c>
      <c r="AE84" s="45">
        <v>0.67478891353147386</v>
      </c>
      <c r="AF84" s="45">
        <v>0.67495145804882384</v>
      </c>
      <c r="AG84" s="45">
        <v>0.67481956179029279</v>
      </c>
      <c r="AH84" s="45">
        <v>0.6748533111235302</v>
      </c>
      <c r="AI84" s="45">
        <v>0.67487477698754894</v>
      </c>
      <c r="AJ84" s="45">
        <v>0.67484921663379061</v>
      </c>
      <c r="AK84" s="45">
        <v>0.67485910158162321</v>
      </c>
      <c r="AL84" s="45">
        <v>0.67486103173432088</v>
      </c>
      <c r="AM84" s="45">
        <v>0.6748564499832449</v>
      </c>
      <c r="AN84" s="45">
        <v>0.6748588610997297</v>
      </c>
      <c r="AO84" s="45">
        <v>0.67485878093909857</v>
      </c>
      <c r="AP84" s="45">
        <v>0.6748580306740245</v>
      </c>
      <c r="AQ84" s="45">
        <v>0.67485855757095103</v>
      </c>
      <c r="AR84" s="45">
        <v>0.67485845639469133</v>
      </c>
      <c r="AS84" s="45">
        <v>0.67485834821322221</v>
      </c>
      <c r="AT84" s="45">
        <v>0.67485845405962153</v>
      </c>
      <c r="AU84" s="45">
        <v>0.67485841955584502</v>
      </c>
      <c r="AV84" s="45">
        <v>0.67485840727622959</v>
      </c>
      <c r="AW84" s="45">
        <v>0.67485842696389875</v>
      </c>
      <c r="AX84" s="45">
        <v>0.67485842696389875</v>
      </c>
      <c r="AY84" s="45">
        <v>0.67485842696389875</v>
      </c>
      <c r="AZ84" s="45">
        <v>0.67485842696389875</v>
      </c>
      <c r="BA84" s="45">
        <v>0.67485842696389875</v>
      </c>
      <c r="BB84" s="45">
        <v>0.67485842696389875</v>
      </c>
      <c r="BC84" s="45">
        <v>0.67485842696389875</v>
      </c>
      <c r="BD84" s="45">
        <v>0.67485842696389875</v>
      </c>
      <c r="BE84" s="45">
        <v>0.67485842696389875</v>
      </c>
      <c r="BF84" s="45">
        <v>0.67485842696389875</v>
      </c>
      <c r="BG84" s="45">
        <v>0.67485842696389875</v>
      </c>
      <c r="BH84" s="45">
        <v>0.67485842696389875</v>
      </c>
      <c r="BI84" s="45">
        <v>0.67485842696389875</v>
      </c>
      <c r="BJ84" s="45">
        <v>0.67485842696389875</v>
      </c>
      <c r="BK84" s="45">
        <v>0.67485842696389875</v>
      </c>
      <c r="BL84" s="45">
        <v>0.67485842696389875</v>
      </c>
      <c r="BM84" s="45">
        <v>0.67485842696389875</v>
      </c>
      <c r="BN84" s="45">
        <v>0.67485842696389875</v>
      </c>
      <c r="BO84" s="45">
        <v>0.67485842696389875</v>
      </c>
      <c r="BP84" s="45">
        <v>0.67485842696389875</v>
      </c>
      <c r="BQ84" s="45">
        <v>0.67485842696389875</v>
      </c>
    </row>
    <row r="85" spans="1:69" s="44" customFormat="1" hidden="1" x14ac:dyDescent="0.25">
      <c r="A85" s="43">
        <v>9</v>
      </c>
      <c r="B85" s="43" t="s">
        <v>111</v>
      </c>
      <c r="C85" s="20" t="s">
        <v>112</v>
      </c>
      <c r="D85" s="43">
        <v>4</v>
      </c>
      <c r="E85" s="20" t="s">
        <v>493</v>
      </c>
      <c r="F85" s="43"/>
      <c r="G85" s="43" t="s">
        <v>501</v>
      </c>
      <c r="H85" s="43">
        <v>0</v>
      </c>
      <c r="I85" s="43">
        <v>137</v>
      </c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</row>
    <row r="86" spans="1:69" s="44" customFormat="1" hidden="1" x14ac:dyDescent="0.25">
      <c r="A86" s="43">
        <v>9</v>
      </c>
      <c r="B86" s="43" t="s">
        <v>111</v>
      </c>
      <c r="C86" s="20" t="s">
        <v>112</v>
      </c>
      <c r="D86" s="43">
        <v>5</v>
      </c>
      <c r="E86" s="20" t="s">
        <v>494</v>
      </c>
      <c r="F86" s="43"/>
      <c r="G86" s="43" t="s">
        <v>490</v>
      </c>
      <c r="H86" s="43">
        <v>0</v>
      </c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</row>
    <row r="87" spans="1:69" s="44" customFormat="1" hidden="1" x14ac:dyDescent="0.25">
      <c r="A87" s="43">
        <v>9</v>
      </c>
      <c r="B87" s="43" t="s">
        <v>111</v>
      </c>
      <c r="C87" s="20" t="s">
        <v>112</v>
      </c>
      <c r="D87" s="43">
        <v>6</v>
      </c>
      <c r="E87" s="20" t="s">
        <v>495</v>
      </c>
      <c r="F87" s="43"/>
      <c r="G87" s="43" t="s">
        <v>500</v>
      </c>
      <c r="H87" s="43">
        <v>0</v>
      </c>
      <c r="I87" s="43">
        <v>99999</v>
      </c>
      <c r="J87" s="43">
        <v>99999</v>
      </c>
      <c r="K87" s="43">
        <v>99999</v>
      </c>
      <c r="L87" s="43">
        <v>99999</v>
      </c>
      <c r="M87" s="43">
        <v>99999</v>
      </c>
      <c r="N87" s="43">
        <v>99999</v>
      </c>
      <c r="O87" s="43">
        <v>99999</v>
      </c>
      <c r="P87" s="43">
        <v>99999</v>
      </c>
      <c r="Q87" s="43">
        <v>99999</v>
      </c>
      <c r="R87" s="43">
        <v>99999</v>
      </c>
      <c r="S87" s="43">
        <v>99999</v>
      </c>
      <c r="T87" s="43">
        <v>99999</v>
      </c>
      <c r="U87" s="43">
        <v>137.71511599999999</v>
      </c>
      <c r="V87" s="43">
        <v>137.71511599999999</v>
      </c>
      <c r="W87" s="43">
        <v>137.71511599999999</v>
      </c>
      <c r="X87" s="43">
        <v>137.71511599999999</v>
      </c>
      <c r="Y87" s="43">
        <v>137.71511599999999</v>
      </c>
      <c r="Z87" s="43">
        <v>137.71511599999999</v>
      </c>
      <c r="AA87" s="43">
        <v>137.71511599999999</v>
      </c>
      <c r="AB87" s="43">
        <v>137.71511599999999</v>
      </c>
      <c r="AC87" s="43">
        <v>137.71511599999999</v>
      </c>
      <c r="AD87" s="43">
        <v>137.71511599999999</v>
      </c>
      <c r="AE87" s="43">
        <v>137.71511599999999</v>
      </c>
      <c r="AF87" s="43">
        <v>137.71511599999999</v>
      </c>
      <c r="AG87" s="43">
        <v>137.71511599999999</v>
      </c>
      <c r="AH87" s="43">
        <v>137.71511599999999</v>
      </c>
      <c r="AI87" s="43">
        <v>137.71511599999999</v>
      </c>
      <c r="AJ87" s="43">
        <v>137.71511599999999</v>
      </c>
      <c r="AK87" s="43">
        <v>137.71511599999999</v>
      </c>
      <c r="AL87" s="43">
        <v>137.71511599999999</v>
      </c>
      <c r="AM87" s="43">
        <v>137.71511599999999</v>
      </c>
      <c r="AN87" s="43">
        <v>137.71511599999999</v>
      </c>
      <c r="AO87" s="43">
        <v>137.71511599999999</v>
      </c>
      <c r="AP87" s="43">
        <v>137.71511599999999</v>
      </c>
      <c r="AQ87" s="43">
        <v>137.71511599999999</v>
      </c>
      <c r="AR87" s="43">
        <v>137.71511599999999</v>
      </c>
      <c r="AS87" s="43">
        <v>137.71511599999999</v>
      </c>
      <c r="AT87" s="43">
        <v>137.71511599999999</v>
      </c>
      <c r="AU87" s="43">
        <v>137.71511599999999</v>
      </c>
      <c r="AV87" s="43">
        <v>137.71511599999999</v>
      </c>
      <c r="AW87" s="43">
        <v>137.71511599999999</v>
      </c>
      <c r="AX87" s="43">
        <v>137.71511599999999</v>
      </c>
      <c r="AY87" s="43">
        <v>137.71511599999999</v>
      </c>
      <c r="AZ87" s="43">
        <v>137.71511599999999</v>
      </c>
      <c r="BA87" s="43">
        <v>137.71511599999999</v>
      </c>
      <c r="BB87" s="43">
        <v>137.71511599999999</v>
      </c>
      <c r="BC87" s="43">
        <v>137.71511599999999</v>
      </c>
      <c r="BD87" s="43">
        <v>137.71511599999999</v>
      </c>
      <c r="BE87" s="43">
        <v>137.71511599999999</v>
      </c>
      <c r="BF87" s="43">
        <v>137.71511599999999</v>
      </c>
      <c r="BG87" s="43">
        <v>137.71511599999999</v>
      </c>
      <c r="BH87" s="43">
        <v>137.71511599999999</v>
      </c>
      <c r="BI87" s="43">
        <v>137.71511599999999</v>
      </c>
      <c r="BJ87" s="43">
        <v>137.71511599999999</v>
      </c>
      <c r="BK87" s="43">
        <v>137.71511599999999</v>
      </c>
      <c r="BL87" s="43">
        <v>137.71511599999999</v>
      </c>
      <c r="BM87" s="43">
        <v>137.71511599999999</v>
      </c>
      <c r="BN87" s="43">
        <v>137.71511599999999</v>
      </c>
      <c r="BO87" s="43">
        <v>137.71511599999999</v>
      </c>
      <c r="BP87" s="43">
        <v>137.71511599999999</v>
      </c>
      <c r="BQ87" s="43">
        <v>137.71511599999999</v>
      </c>
    </row>
    <row r="88" spans="1:69" s="44" customFormat="1" hidden="1" x14ac:dyDescent="0.25">
      <c r="A88" s="43">
        <v>9</v>
      </c>
      <c r="B88" s="43" t="s">
        <v>111</v>
      </c>
      <c r="C88" s="20" t="s">
        <v>112</v>
      </c>
      <c r="D88" s="43">
        <v>7</v>
      </c>
      <c r="E88" s="20" t="s">
        <v>496</v>
      </c>
      <c r="F88" s="43"/>
      <c r="G88" s="43" t="s">
        <v>500</v>
      </c>
      <c r="H88" s="43">
        <v>0</v>
      </c>
      <c r="I88" s="43">
        <v>110.38250172885191</v>
      </c>
      <c r="J88" s="43">
        <v>126.17360329374911</v>
      </c>
      <c r="K88" s="43">
        <v>119.28116398675539</v>
      </c>
      <c r="L88" s="43">
        <v>109.95711348138107</v>
      </c>
      <c r="M88" s="43">
        <v>96.356186541975603</v>
      </c>
      <c r="N88" s="43">
        <v>97.488639038620946</v>
      </c>
      <c r="O88" s="43">
        <v>114.85482681712639</v>
      </c>
      <c r="P88" s="43">
        <v>118.63733312571847</v>
      </c>
      <c r="Q88" s="43">
        <v>136.35156500204295</v>
      </c>
      <c r="R88" s="43">
        <v>105.72248178561163</v>
      </c>
      <c r="S88" s="43">
        <v>99.533428002971704</v>
      </c>
      <c r="T88" s="43">
        <v>129.0444709376539</v>
      </c>
      <c r="U88" s="43">
        <v>136.35159999999999</v>
      </c>
      <c r="V88" s="43">
        <v>136.35159999999999</v>
      </c>
      <c r="W88" s="43">
        <v>136.35159999999999</v>
      </c>
      <c r="X88" s="43">
        <v>136.35159999999999</v>
      </c>
      <c r="Y88" s="43">
        <v>136.35159999999999</v>
      </c>
      <c r="Z88" s="43">
        <v>136.35159999999999</v>
      </c>
      <c r="AA88" s="43">
        <v>136.35159999999999</v>
      </c>
      <c r="AB88" s="43">
        <v>136.35159999999999</v>
      </c>
      <c r="AC88" s="43">
        <v>136.35159999999999</v>
      </c>
      <c r="AD88" s="43">
        <v>136.35159999999999</v>
      </c>
      <c r="AE88" s="43">
        <v>136.35159999999999</v>
      </c>
      <c r="AF88" s="43">
        <v>136.35159999999999</v>
      </c>
      <c r="AG88" s="43">
        <v>136.35159999999999</v>
      </c>
      <c r="AH88" s="43">
        <v>136.35159999999999</v>
      </c>
      <c r="AI88" s="43">
        <v>136.35159999999999</v>
      </c>
      <c r="AJ88" s="43">
        <v>136.35159999999999</v>
      </c>
      <c r="AK88" s="43">
        <v>136.35159999999999</v>
      </c>
      <c r="AL88" s="43">
        <v>136.35159999999999</v>
      </c>
      <c r="AM88" s="43">
        <v>136.35159999999999</v>
      </c>
      <c r="AN88" s="43">
        <v>136.35159999999999</v>
      </c>
      <c r="AO88" s="43">
        <v>136.35159999999999</v>
      </c>
      <c r="AP88" s="43">
        <v>136.35159999999999</v>
      </c>
      <c r="AQ88" s="43">
        <v>136.35159999999999</v>
      </c>
      <c r="AR88" s="43">
        <v>136.35159999999999</v>
      </c>
      <c r="AS88" s="43">
        <v>136.35159999999999</v>
      </c>
      <c r="AT88" s="43">
        <v>136.35159999999999</v>
      </c>
      <c r="AU88" s="43">
        <v>136.35159999999999</v>
      </c>
      <c r="AV88" s="43">
        <v>136.35159999999999</v>
      </c>
      <c r="AW88" s="43">
        <v>136.35159999999999</v>
      </c>
      <c r="AX88" s="43">
        <v>136.35159999999999</v>
      </c>
      <c r="AY88" s="43">
        <v>136.35159999999999</v>
      </c>
      <c r="AZ88" s="43">
        <v>136.35159999999999</v>
      </c>
      <c r="BA88" s="43">
        <v>136.35159999999999</v>
      </c>
      <c r="BB88" s="43">
        <v>136.35159999999999</v>
      </c>
      <c r="BC88" s="43">
        <v>136.35159999999999</v>
      </c>
      <c r="BD88" s="43">
        <v>136.35159999999999</v>
      </c>
      <c r="BE88" s="43">
        <v>136.35159999999999</v>
      </c>
      <c r="BF88" s="43">
        <v>136.35159999999999</v>
      </c>
      <c r="BG88" s="43">
        <v>136.35159999999999</v>
      </c>
      <c r="BH88" s="43">
        <v>136.35159999999999</v>
      </c>
      <c r="BI88" s="43">
        <v>136.35159999999999</v>
      </c>
      <c r="BJ88" s="43">
        <v>136.35159999999999</v>
      </c>
      <c r="BK88" s="43">
        <v>136.35159999999999</v>
      </c>
      <c r="BL88" s="43">
        <v>136.35159999999999</v>
      </c>
      <c r="BM88" s="43">
        <v>136.35159999999999</v>
      </c>
      <c r="BN88" s="43">
        <v>136.35159999999999</v>
      </c>
      <c r="BO88" s="43">
        <v>136.35159999999999</v>
      </c>
      <c r="BP88" s="43">
        <v>136.35159999999999</v>
      </c>
      <c r="BQ88" s="43">
        <v>136.35159999999999</v>
      </c>
    </row>
    <row r="89" spans="1:69" s="44" customFormat="1" hidden="1" x14ac:dyDescent="0.25">
      <c r="A89" s="43">
        <v>9</v>
      </c>
      <c r="B89" s="43" t="s">
        <v>111</v>
      </c>
      <c r="C89" s="20" t="s">
        <v>112</v>
      </c>
      <c r="D89" s="43">
        <v>8</v>
      </c>
      <c r="E89" s="20" t="s">
        <v>497</v>
      </c>
      <c r="F89" s="43"/>
      <c r="G89" s="43" t="s">
        <v>490</v>
      </c>
      <c r="H89" s="43">
        <v>0</v>
      </c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</row>
    <row r="90" spans="1:69" s="44" customFormat="1" hidden="1" x14ac:dyDescent="0.25">
      <c r="A90" s="43">
        <v>9</v>
      </c>
      <c r="B90" s="43" t="s">
        <v>111</v>
      </c>
      <c r="C90" s="20" t="s">
        <v>112</v>
      </c>
      <c r="D90" s="43">
        <v>9</v>
      </c>
      <c r="E90" s="20" t="s">
        <v>498</v>
      </c>
      <c r="F90" s="43"/>
      <c r="G90" s="43" t="s">
        <v>490</v>
      </c>
      <c r="H90" s="43">
        <v>0</v>
      </c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</row>
    <row r="91" spans="1:69" s="44" customFormat="1" hidden="1" x14ac:dyDescent="0.25">
      <c r="A91" s="43">
        <v>9</v>
      </c>
      <c r="B91" s="43" t="s">
        <v>111</v>
      </c>
      <c r="C91" s="20" t="s">
        <v>112</v>
      </c>
      <c r="D91" s="43">
        <v>10</v>
      </c>
      <c r="E91" s="20" t="s">
        <v>499</v>
      </c>
      <c r="F91" s="43"/>
      <c r="G91" s="43" t="s">
        <v>490</v>
      </c>
      <c r="H91" s="43">
        <v>0</v>
      </c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</row>
    <row r="92" spans="1:69" s="34" customFormat="1" hidden="1" x14ac:dyDescent="0.25">
      <c r="A92" s="33">
        <v>10</v>
      </c>
      <c r="B92" s="33" t="s">
        <v>113</v>
      </c>
      <c r="C92" s="36" t="s">
        <v>114</v>
      </c>
      <c r="D92" s="33">
        <v>1</v>
      </c>
      <c r="E92" s="36" t="s">
        <v>489</v>
      </c>
      <c r="F92" s="33"/>
      <c r="G92" s="33" t="s">
        <v>500</v>
      </c>
      <c r="H92" s="33">
        <v>0</v>
      </c>
      <c r="I92" s="33">
        <v>0.65</v>
      </c>
      <c r="J92" s="33">
        <v>0.65</v>
      </c>
      <c r="K92" s="33">
        <v>0.65</v>
      </c>
      <c r="L92" s="33">
        <v>0.65</v>
      </c>
      <c r="M92" s="33">
        <v>0.65</v>
      </c>
      <c r="N92" s="33">
        <v>0.65</v>
      </c>
      <c r="O92" s="33">
        <v>0.65</v>
      </c>
      <c r="P92" s="33">
        <v>0.65</v>
      </c>
      <c r="Q92" s="33">
        <v>0.65</v>
      </c>
      <c r="R92" s="33">
        <v>0.65</v>
      </c>
      <c r="S92" s="33">
        <v>0.65</v>
      </c>
      <c r="T92" s="33">
        <v>0.65</v>
      </c>
      <c r="U92" s="33">
        <v>0.65</v>
      </c>
      <c r="V92" s="33">
        <v>0.65</v>
      </c>
      <c r="W92" s="33">
        <v>0.65</v>
      </c>
      <c r="X92" s="33">
        <v>0.65</v>
      </c>
      <c r="Y92" s="33">
        <v>0.65</v>
      </c>
      <c r="Z92" s="33">
        <v>0.65</v>
      </c>
      <c r="AA92" s="33">
        <v>0.65</v>
      </c>
      <c r="AB92" s="33">
        <v>0.65</v>
      </c>
      <c r="AC92" s="33">
        <v>0.65</v>
      </c>
      <c r="AD92" s="33">
        <v>0.65</v>
      </c>
      <c r="AE92" s="33">
        <v>0.65</v>
      </c>
      <c r="AF92" s="33">
        <v>0.65</v>
      </c>
      <c r="AG92" s="33">
        <v>0.65</v>
      </c>
      <c r="AH92" s="33">
        <v>0.65</v>
      </c>
      <c r="AI92" s="33">
        <v>0.65</v>
      </c>
      <c r="AJ92" s="33">
        <v>0.65</v>
      </c>
      <c r="AK92" s="33">
        <v>0.65</v>
      </c>
      <c r="AL92" s="33">
        <v>0.65</v>
      </c>
      <c r="AM92" s="33">
        <v>0.65</v>
      </c>
      <c r="AN92" s="33">
        <v>0.65</v>
      </c>
      <c r="AO92" s="33">
        <v>0.65</v>
      </c>
      <c r="AP92" s="33">
        <v>0.65</v>
      </c>
      <c r="AQ92" s="33">
        <v>0.65</v>
      </c>
      <c r="AR92" s="33">
        <v>0.65</v>
      </c>
      <c r="AS92" s="33">
        <v>0.65</v>
      </c>
      <c r="AT92" s="33">
        <v>0.65</v>
      </c>
      <c r="AU92" s="33">
        <v>0.65</v>
      </c>
      <c r="AV92" s="33">
        <v>0.65</v>
      </c>
      <c r="AW92" s="33">
        <v>0.65</v>
      </c>
      <c r="AX92" s="33">
        <v>0.65</v>
      </c>
      <c r="AY92" s="33">
        <v>0.65</v>
      </c>
      <c r="AZ92" s="33">
        <v>0.65</v>
      </c>
      <c r="BA92" s="33">
        <v>0.65</v>
      </c>
      <c r="BB92" s="33">
        <v>0.65</v>
      </c>
      <c r="BC92" s="33">
        <v>0.65</v>
      </c>
      <c r="BD92" s="33">
        <v>0.65</v>
      </c>
      <c r="BE92" s="33">
        <v>0.65</v>
      </c>
      <c r="BF92" s="33">
        <v>0.65</v>
      </c>
      <c r="BG92" s="33">
        <v>0.65</v>
      </c>
      <c r="BH92" s="33">
        <v>0.65</v>
      </c>
      <c r="BI92" s="33">
        <v>0.65</v>
      </c>
      <c r="BJ92" s="33">
        <v>0.65</v>
      </c>
      <c r="BK92" s="33">
        <v>0.65</v>
      </c>
      <c r="BL92" s="33">
        <v>0.65</v>
      </c>
      <c r="BM92" s="33">
        <v>0.65</v>
      </c>
      <c r="BN92" s="33">
        <v>0.65</v>
      </c>
      <c r="BO92" s="33">
        <v>0.65</v>
      </c>
      <c r="BP92" s="33">
        <v>0.65</v>
      </c>
      <c r="BQ92" s="33">
        <v>0.65</v>
      </c>
    </row>
    <row r="93" spans="1:69" s="34" customFormat="1" hidden="1" x14ac:dyDescent="0.25">
      <c r="A93" s="33">
        <v>10</v>
      </c>
      <c r="B93" s="33" t="s">
        <v>113</v>
      </c>
      <c r="C93" s="36" t="s">
        <v>114</v>
      </c>
      <c r="D93" s="33">
        <v>2</v>
      </c>
      <c r="E93" s="36" t="s">
        <v>491</v>
      </c>
      <c r="F93" s="33"/>
      <c r="G93" s="33" t="s">
        <v>501</v>
      </c>
      <c r="H93" s="33">
        <v>0</v>
      </c>
      <c r="I93" s="33">
        <v>4.8899999999999999E-2</v>
      </c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</row>
    <row r="94" spans="1:69" s="34" customFormat="1" hidden="1" x14ac:dyDescent="0.25">
      <c r="A94" s="33">
        <v>10</v>
      </c>
      <c r="B94" s="33" t="s">
        <v>113</v>
      </c>
      <c r="C94" s="36" t="s">
        <v>114</v>
      </c>
      <c r="D94" s="33">
        <v>3</v>
      </c>
      <c r="E94" s="36" t="s">
        <v>492</v>
      </c>
      <c r="F94" s="33"/>
      <c r="G94" s="33" t="s">
        <v>500</v>
      </c>
      <c r="H94" s="33">
        <v>0</v>
      </c>
      <c r="I94" s="33">
        <v>16.109515869999999</v>
      </c>
      <c r="J94" s="33">
        <v>16.109515869999999</v>
      </c>
      <c r="K94" s="33">
        <v>16.109515869999999</v>
      </c>
      <c r="L94" s="33">
        <v>16.109515869999999</v>
      </c>
      <c r="M94" s="33">
        <v>16.109515869999999</v>
      </c>
      <c r="N94" s="33">
        <v>16.109515869999999</v>
      </c>
      <c r="O94" s="33">
        <v>16.109515869999999</v>
      </c>
      <c r="P94" s="33">
        <v>16.109515869999999</v>
      </c>
      <c r="Q94" s="33">
        <v>16.109515869999999</v>
      </c>
      <c r="R94" s="33">
        <v>16.086500000000001</v>
      </c>
      <c r="S94" s="33">
        <v>12.6517</v>
      </c>
      <c r="T94" s="33">
        <v>14.949238623333331</v>
      </c>
      <c r="U94" s="33">
        <v>14.562479541111109</v>
      </c>
      <c r="V94" s="33">
        <v>14.05447272148148</v>
      </c>
      <c r="W94" s="33">
        <v>14.522063628641973</v>
      </c>
      <c r="X94" s="33">
        <v>14.379671963744855</v>
      </c>
      <c r="Y94" s="33">
        <v>14.31873610462277</v>
      </c>
      <c r="Z94" s="33">
        <v>14.4068238990032</v>
      </c>
      <c r="AA94" s="33">
        <v>14.368410655790276</v>
      </c>
      <c r="AB94" s="33">
        <v>14.364656886472083</v>
      </c>
      <c r="AC94" s="33">
        <v>14.379963813755188</v>
      </c>
      <c r="AD94" s="33">
        <v>14.37101045200585</v>
      </c>
      <c r="AE94" s="33">
        <v>14.371877050744374</v>
      </c>
      <c r="AF94" s="33">
        <v>14.37428377216847</v>
      </c>
      <c r="AG94" s="33">
        <v>14.372390424972897</v>
      </c>
      <c r="AH94" s="33">
        <v>14.372850415961913</v>
      </c>
      <c r="AI94" s="33">
        <v>14.373174871034427</v>
      </c>
      <c r="AJ94" s="33">
        <v>14.37280523732308</v>
      </c>
      <c r="AK94" s="33">
        <v>14.372943508106474</v>
      </c>
      <c r="AL94" s="33">
        <v>14.372974538821326</v>
      </c>
      <c r="AM94" s="33">
        <v>14.372907761416959</v>
      </c>
      <c r="AN94" s="33">
        <v>14.37294193611492</v>
      </c>
      <c r="AO94" s="33">
        <v>14.372941412117735</v>
      </c>
      <c r="AP94" s="33">
        <v>14.372930369883205</v>
      </c>
      <c r="AQ94" s="33">
        <v>14.37293790603862</v>
      </c>
      <c r="AR94" s="33">
        <v>14.372936562679854</v>
      </c>
      <c r="AS94" s="33">
        <v>14.372934946200559</v>
      </c>
      <c r="AT94" s="33">
        <v>14.372936471639678</v>
      </c>
      <c r="AU94" s="33">
        <v>14.372935993506696</v>
      </c>
      <c r="AV94" s="33">
        <v>14.37293580378231</v>
      </c>
      <c r="AW94" s="33">
        <v>14.372936089642893</v>
      </c>
      <c r="AX94" s="33">
        <v>14.372936089642893</v>
      </c>
      <c r="AY94" s="33">
        <v>14.372936089642893</v>
      </c>
      <c r="AZ94" s="33">
        <v>14.372936089642893</v>
      </c>
      <c r="BA94" s="33">
        <v>14.372936089642893</v>
      </c>
      <c r="BB94" s="33">
        <v>14.372936089642893</v>
      </c>
      <c r="BC94" s="33">
        <v>14.372936089642893</v>
      </c>
      <c r="BD94" s="33">
        <v>14.372936089642893</v>
      </c>
      <c r="BE94" s="33">
        <v>14.372936089642893</v>
      </c>
      <c r="BF94" s="33">
        <v>14.372936089642893</v>
      </c>
      <c r="BG94" s="33">
        <v>14.372936089642893</v>
      </c>
      <c r="BH94" s="33">
        <v>14.372936089642893</v>
      </c>
      <c r="BI94" s="33">
        <v>14.372936089642893</v>
      </c>
      <c r="BJ94" s="33">
        <v>14.372936089642893</v>
      </c>
      <c r="BK94" s="33">
        <v>14.372936089642893</v>
      </c>
      <c r="BL94" s="33">
        <v>14.372936089642893</v>
      </c>
      <c r="BM94" s="33">
        <v>14.372936089642893</v>
      </c>
      <c r="BN94" s="33">
        <v>14.372936089642893</v>
      </c>
      <c r="BO94" s="33">
        <v>14.372936089642893</v>
      </c>
      <c r="BP94" s="33">
        <v>14.372936089642893</v>
      </c>
      <c r="BQ94" s="33">
        <v>14.372936089642893</v>
      </c>
    </row>
    <row r="95" spans="1:69" s="34" customFormat="1" hidden="1" x14ac:dyDescent="0.25">
      <c r="A95" s="33">
        <v>10</v>
      </c>
      <c r="B95" s="33" t="s">
        <v>113</v>
      </c>
      <c r="C95" s="36" t="s">
        <v>114</v>
      </c>
      <c r="D95" s="33">
        <v>4</v>
      </c>
      <c r="E95" s="36" t="s">
        <v>493</v>
      </c>
      <c r="F95" s="33"/>
      <c r="G95" s="33" t="s">
        <v>501</v>
      </c>
      <c r="H95" s="33">
        <v>0</v>
      </c>
      <c r="I95" s="33">
        <v>17</v>
      </c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</row>
    <row r="96" spans="1:69" s="34" customFormat="1" hidden="1" x14ac:dyDescent="0.25">
      <c r="A96" s="33">
        <v>10</v>
      </c>
      <c r="B96" s="33" t="s">
        <v>113</v>
      </c>
      <c r="C96" s="36" t="s">
        <v>114</v>
      </c>
      <c r="D96" s="33">
        <v>5</v>
      </c>
      <c r="E96" s="36" t="s">
        <v>494</v>
      </c>
      <c r="F96" s="33"/>
      <c r="G96" s="33" t="s">
        <v>490</v>
      </c>
      <c r="H96" s="33">
        <v>0</v>
      </c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</row>
    <row r="97" spans="1:69" s="34" customFormat="1" hidden="1" x14ac:dyDescent="0.25">
      <c r="A97" s="33">
        <v>10</v>
      </c>
      <c r="B97" s="33" t="s">
        <v>113</v>
      </c>
      <c r="C97" s="36" t="s">
        <v>114</v>
      </c>
      <c r="D97" s="33">
        <v>6</v>
      </c>
      <c r="E97" s="36" t="s">
        <v>495</v>
      </c>
      <c r="F97" s="33"/>
      <c r="G97" s="33" t="s">
        <v>500</v>
      </c>
      <c r="H97" s="33">
        <v>0</v>
      </c>
      <c r="I97" s="33">
        <v>99999</v>
      </c>
      <c r="J97" s="33">
        <v>99999</v>
      </c>
      <c r="K97" s="33">
        <v>99999</v>
      </c>
      <c r="L97" s="33">
        <v>99999</v>
      </c>
      <c r="M97" s="33">
        <v>99999</v>
      </c>
      <c r="N97" s="33">
        <v>99999</v>
      </c>
      <c r="O97" s="33">
        <v>99999</v>
      </c>
      <c r="P97" s="33">
        <v>99999</v>
      </c>
      <c r="Q97" s="33">
        <v>99999</v>
      </c>
      <c r="R97" s="33">
        <v>99999</v>
      </c>
      <c r="S97" s="33">
        <v>99999</v>
      </c>
      <c r="T97" s="33">
        <v>99999</v>
      </c>
      <c r="U97" s="33">
        <v>16.502592000000003</v>
      </c>
      <c r="V97" s="33">
        <v>16.502592000000003</v>
      </c>
      <c r="W97" s="33">
        <v>16.502592000000003</v>
      </c>
      <c r="X97" s="33">
        <v>16.502592000000003</v>
      </c>
      <c r="Y97" s="33">
        <v>16.502592000000003</v>
      </c>
      <c r="Z97" s="33">
        <v>16.502592000000003</v>
      </c>
      <c r="AA97" s="33">
        <v>16.502592000000003</v>
      </c>
      <c r="AB97" s="33">
        <v>16.502592000000003</v>
      </c>
      <c r="AC97" s="33">
        <v>16.502592000000003</v>
      </c>
      <c r="AD97" s="33">
        <v>16.502592000000003</v>
      </c>
      <c r="AE97" s="33">
        <v>16.502592000000003</v>
      </c>
      <c r="AF97" s="33">
        <v>16.502592000000003</v>
      </c>
      <c r="AG97" s="33">
        <v>16.502592000000003</v>
      </c>
      <c r="AH97" s="33">
        <v>16.502592000000003</v>
      </c>
      <c r="AI97" s="33">
        <v>16.502592000000003</v>
      </c>
      <c r="AJ97" s="33">
        <v>16.502592000000003</v>
      </c>
      <c r="AK97" s="33">
        <v>16.502592000000003</v>
      </c>
      <c r="AL97" s="33">
        <v>16.502592000000003</v>
      </c>
      <c r="AM97" s="33">
        <v>16.502592000000003</v>
      </c>
      <c r="AN97" s="33">
        <v>16.502592000000003</v>
      </c>
      <c r="AO97" s="33">
        <v>16.502592000000003</v>
      </c>
      <c r="AP97" s="33">
        <v>16.502592000000003</v>
      </c>
      <c r="AQ97" s="33">
        <v>16.502592000000003</v>
      </c>
      <c r="AR97" s="33">
        <v>16.502592000000003</v>
      </c>
      <c r="AS97" s="33">
        <v>16.502592000000003</v>
      </c>
      <c r="AT97" s="33">
        <v>16.502592000000003</v>
      </c>
      <c r="AU97" s="33">
        <v>16.502592000000003</v>
      </c>
      <c r="AV97" s="33">
        <v>16.502592000000003</v>
      </c>
      <c r="AW97" s="33">
        <v>16.502592000000003</v>
      </c>
      <c r="AX97" s="33">
        <v>16.502592000000003</v>
      </c>
      <c r="AY97" s="33">
        <v>16.502592000000003</v>
      </c>
      <c r="AZ97" s="33">
        <v>16.502592000000003</v>
      </c>
      <c r="BA97" s="33">
        <v>16.502592000000003</v>
      </c>
      <c r="BB97" s="33">
        <v>16.502592000000003</v>
      </c>
      <c r="BC97" s="33">
        <v>16.502592000000003</v>
      </c>
      <c r="BD97" s="33">
        <v>16.502592000000003</v>
      </c>
      <c r="BE97" s="33">
        <v>16.502592000000003</v>
      </c>
      <c r="BF97" s="33">
        <v>16.502592000000003</v>
      </c>
      <c r="BG97" s="33">
        <v>16.502592000000003</v>
      </c>
      <c r="BH97" s="33">
        <v>16.502592000000003</v>
      </c>
      <c r="BI97" s="33">
        <v>16.502592000000003</v>
      </c>
      <c r="BJ97" s="33">
        <v>16.502592000000003</v>
      </c>
      <c r="BK97" s="33">
        <v>16.502592000000003</v>
      </c>
      <c r="BL97" s="33">
        <v>16.502592000000003</v>
      </c>
      <c r="BM97" s="33">
        <v>16.502592000000003</v>
      </c>
      <c r="BN97" s="33">
        <v>16.502592000000003</v>
      </c>
      <c r="BO97" s="33">
        <v>16.502592000000003</v>
      </c>
      <c r="BP97" s="33">
        <v>16.502592000000003</v>
      </c>
      <c r="BQ97" s="33">
        <v>16.502592000000003</v>
      </c>
    </row>
    <row r="98" spans="1:69" s="34" customFormat="1" hidden="1" x14ac:dyDescent="0.25">
      <c r="A98" s="33">
        <v>10</v>
      </c>
      <c r="B98" s="33" t="s">
        <v>113</v>
      </c>
      <c r="C98" s="36" t="s">
        <v>114</v>
      </c>
      <c r="D98" s="33">
        <v>7</v>
      </c>
      <c r="E98" s="36" t="s">
        <v>496</v>
      </c>
      <c r="F98" s="33"/>
      <c r="G98" s="33" t="s">
        <v>500</v>
      </c>
      <c r="H98" s="33">
        <v>0</v>
      </c>
      <c r="I98" s="33">
        <v>15.009306947923776</v>
      </c>
      <c r="J98" s="33">
        <v>15.434695195394614</v>
      </c>
      <c r="K98" s="33">
        <v>15.440443685225299</v>
      </c>
      <c r="L98" s="33">
        <v>16.411938466611403</v>
      </c>
      <c r="M98" s="33">
        <v>15.302479929288813</v>
      </c>
      <c r="N98" s="33">
        <v>15.23349805132057</v>
      </c>
      <c r="O98" s="33">
        <v>14.905834130971408</v>
      </c>
      <c r="P98" s="33">
        <v>17.159242144600718</v>
      </c>
      <c r="Q98" s="33">
        <v>16.339176434294693</v>
      </c>
      <c r="R98" s="33">
        <v>16.118280283628796</v>
      </c>
      <c r="S98" s="33">
        <v>8.5974998306934047</v>
      </c>
      <c r="T98" s="33">
        <v>12.384293684267032</v>
      </c>
      <c r="U98" s="33">
        <v>16.339200000000002</v>
      </c>
      <c r="V98" s="33">
        <v>16.339200000000002</v>
      </c>
      <c r="W98" s="33">
        <v>16.339200000000002</v>
      </c>
      <c r="X98" s="33">
        <v>16.339200000000002</v>
      </c>
      <c r="Y98" s="33">
        <v>16.339200000000002</v>
      </c>
      <c r="Z98" s="33">
        <v>16.339200000000002</v>
      </c>
      <c r="AA98" s="33">
        <v>16.339200000000002</v>
      </c>
      <c r="AB98" s="33">
        <v>16.339200000000002</v>
      </c>
      <c r="AC98" s="33">
        <v>16.339200000000002</v>
      </c>
      <c r="AD98" s="33">
        <v>16.339200000000002</v>
      </c>
      <c r="AE98" s="33">
        <v>16.339200000000002</v>
      </c>
      <c r="AF98" s="33">
        <v>16.339200000000002</v>
      </c>
      <c r="AG98" s="33">
        <v>16.339200000000002</v>
      </c>
      <c r="AH98" s="33">
        <v>16.339200000000002</v>
      </c>
      <c r="AI98" s="33">
        <v>16.339200000000002</v>
      </c>
      <c r="AJ98" s="33">
        <v>16.339200000000002</v>
      </c>
      <c r="AK98" s="33">
        <v>16.339200000000002</v>
      </c>
      <c r="AL98" s="33">
        <v>16.339200000000002</v>
      </c>
      <c r="AM98" s="33">
        <v>16.339200000000002</v>
      </c>
      <c r="AN98" s="33">
        <v>16.339200000000002</v>
      </c>
      <c r="AO98" s="33">
        <v>16.339200000000002</v>
      </c>
      <c r="AP98" s="33">
        <v>16.339200000000002</v>
      </c>
      <c r="AQ98" s="33">
        <v>16.339200000000002</v>
      </c>
      <c r="AR98" s="33">
        <v>16.339200000000002</v>
      </c>
      <c r="AS98" s="33">
        <v>16.339200000000002</v>
      </c>
      <c r="AT98" s="33">
        <v>16.339200000000002</v>
      </c>
      <c r="AU98" s="33">
        <v>16.339200000000002</v>
      </c>
      <c r="AV98" s="33">
        <v>16.339200000000002</v>
      </c>
      <c r="AW98" s="33">
        <v>16.339200000000002</v>
      </c>
      <c r="AX98" s="33">
        <v>16.339200000000002</v>
      </c>
      <c r="AY98" s="33">
        <v>16.339200000000002</v>
      </c>
      <c r="AZ98" s="33">
        <v>16.339200000000002</v>
      </c>
      <c r="BA98" s="33">
        <v>16.339200000000002</v>
      </c>
      <c r="BB98" s="33">
        <v>16.339200000000002</v>
      </c>
      <c r="BC98" s="33">
        <v>16.339200000000002</v>
      </c>
      <c r="BD98" s="33">
        <v>16.339200000000002</v>
      </c>
      <c r="BE98" s="33">
        <v>16.339200000000002</v>
      </c>
      <c r="BF98" s="33">
        <v>16.339200000000002</v>
      </c>
      <c r="BG98" s="33">
        <v>16.339200000000002</v>
      </c>
      <c r="BH98" s="33">
        <v>16.339200000000002</v>
      </c>
      <c r="BI98" s="33">
        <v>16.339200000000002</v>
      </c>
      <c r="BJ98" s="33">
        <v>16.339200000000002</v>
      </c>
      <c r="BK98" s="33">
        <v>16.339200000000002</v>
      </c>
      <c r="BL98" s="33">
        <v>16.339200000000002</v>
      </c>
      <c r="BM98" s="33">
        <v>16.339200000000002</v>
      </c>
      <c r="BN98" s="33">
        <v>16.339200000000002</v>
      </c>
      <c r="BO98" s="33">
        <v>16.339200000000002</v>
      </c>
      <c r="BP98" s="33">
        <v>16.339200000000002</v>
      </c>
      <c r="BQ98" s="33">
        <v>16.339200000000002</v>
      </c>
    </row>
    <row r="99" spans="1:69" s="34" customFormat="1" hidden="1" x14ac:dyDescent="0.25">
      <c r="A99" s="33">
        <v>10</v>
      </c>
      <c r="B99" s="33" t="s">
        <v>113</v>
      </c>
      <c r="C99" s="36" t="s">
        <v>114</v>
      </c>
      <c r="D99" s="33">
        <v>8</v>
      </c>
      <c r="E99" s="36" t="s">
        <v>497</v>
      </c>
      <c r="F99" s="33"/>
      <c r="G99" s="33" t="s">
        <v>490</v>
      </c>
      <c r="H99" s="33">
        <v>0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</row>
    <row r="100" spans="1:69" s="34" customFormat="1" hidden="1" x14ac:dyDescent="0.25">
      <c r="A100" s="33">
        <v>10</v>
      </c>
      <c r="B100" s="33" t="s">
        <v>113</v>
      </c>
      <c r="C100" s="36" t="s">
        <v>114</v>
      </c>
      <c r="D100" s="33">
        <v>9</v>
      </c>
      <c r="E100" s="36" t="s">
        <v>498</v>
      </c>
      <c r="F100" s="33"/>
      <c r="G100" s="33" t="s">
        <v>490</v>
      </c>
      <c r="H100" s="33">
        <v>0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</row>
    <row r="101" spans="1:69" s="34" customFormat="1" hidden="1" x14ac:dyDescent="0.25">
      <c r="A101" s="33">
        <v>10</v>
      </c>
      <c r="B101" s="33" t="s">
        <v>113</v>
      </c>
      <c r="C101" s="36" t="s">
        <v>114</v>
      </c>
      <c r="D101" s="33">
        <v>10</v>
      </c>
      <c r="E101" s="36" t="s">
        <v>499</v>
      </c>
      <c r="F101" s="33"/>
      <c r="G101" s="33" t="s">
        <v>490</v>
      </c>
      <c r="H101" s="33">
        <v>0</v>
      </c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</row>
    <row r="102" spans="1:69" s="44" customFormat="1" hidden="1" x14ac:dyDescent="0.25">
      <c r="A102" s="43">
        <v>11</v>
      </c>
      <c r="B102" s="43" t="s">
        <v>115</v>
      </c>
      <c r="C102" s="20" t="s">
        <v>116</v>
      </c>
      <c r="D102" s="43">
        <v>1</v>
      </c>
      <c r="E102" s="20" t="s">
        <v>489</v>
      </c>
      <c r="F102" s="43"/>
      <c r="G102" s="43" t="s">
        <v>490</v>
      </c>
      <c r="H102" s="43">
        <v>0</v>
      </c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</row>
    <row r="103" spans="1:69" s="44" customFormat="1" hidden="1" x14ac:dyDescent="0.25">
      <c r="A103" s="43">
        <v>11</v>
      </c>
      <c r="B103" s="43" t="s">
        <v>115</v>
      </c>
      <c r="C103" s="20" t="s">
        <v>116</v>
      </c>
      <c r="D103" s="43">
        <v>2</v>
      </c>
      <c r="E103" s="20" t="s">
        <v>491</v>
      </c>
      <c r="F103" s="43"/>
      <c r="G103" s="43" t="s">
        <v>490</v>
      </c>
      <c r="H103" s="43">
        <v>0</v>
      </c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</row>
    <row r="104" spans="1:69" s="44" customFormat="1" hidden="1" x14ac:dyDescent="0.25">
      <c r="A104" s="43">
        <v>11</v>
      </c>
      <c r="B104" s="43" t="s">
        <v>115</v>
      </c>
      <c r="C104" s="20" t="s">
        <v>116</v>
      </c>
      <c r="D104" s="43">
        <v>3</v>
      </c>
      <c r="E104" s="20" t="s">
        <v>492</v>
      </c>
      <c r="F104" s="43"/>
      <c r="G104" s="43" t="s">
        <v>490</v>
      </c>
      <c r="H104" s="43">
        <v>0</v>
      </c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</row>
    <row r="105" spans="1:69" s="44" customFormat="1" hidden="1" x14ac:dyDescent="0.25">
      <c r="A105" s="43">
        <v>11</v>
      </c>
      <c r="B105" s="43" t="s">
        <v>115</v>
      </c>
      <c r="C105" s="20" t="s">
        <v>116</v>
      </c>
      <c r="D105" s="43">
        <v>4</v>
      </c>
      <c r="E105" s="20" t="s">
        <v>493</v>
      </c>
      <c r="F105" s="43"/>
      <c r="G105" s="43" t="s">
        <v>490</v>
      </c>
      <c r="H105" s="43">
        <v>0</v>
      </c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</row>
    <row r="106" spans="1:69" s="44" customFormat="1" hidden="1" x14ac:dyDescent="0.25">
      <c r="A106" s="43">
        <v>11</v>
      </c>
      <c r="B106" s="43" t="s">
        <v>115</v>
      </c>
      <c r="C106" s="20" t="s">
        <v>116</v>
      </c>
      <c r="D106" s="43">
        <v>5</v>
      </c>
      <c r="E106" s="20" t="s">
        <v>494</v>
      </c>
      <c r="F106" s="43"/>
      <c r="G106" s="43" t="s">
        <v>490</v>
      </c>
      <c r="H106" s="43">
        <v>0</v>
      </c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</row>
    <row r="107" spans="1:69" s="44" customFormat="1" hidden="1" x14ac:dyDescent="0.25">
      <c r="A107" s="43">
        <v>11</v>
      </c>
      <c r="B107" s="43" t="s">
        <v>115</v>
      </c>
      <c r="C107" s="20" t="s">
        <v>116</v>
      </c>
      <c r="D107" s="43">
        <v>6</v>
      </c>
      <c r="E107" s="20" t="s">
        <v>495</v>
      </c>
      <c r="F107" s="43"/>
      <c r="G107" s="43" t="s">
        <v>490</v>
      </c>
      <c r="H107" s="43">
        <v>0</v>
      </c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</row>
    <row r="108" spans="1:69" s="44" customFormat="1" hidden="1" x14ac:dyDescent="0.25">
      <c r="A108" s="43">
        <v>11</v>
      </c>
      <c r="B108" s="43" t="s">
        <v>115</v>
      </c>
      <c r="C108" s="20" t="s">
        <v>116</v>
      </c>
      <c r="D108" s="43">
        <v>7</v>
      </c>
      <c r="E108" s="20" t="s">
        <v>496</v>
      </c>
      <c r="F108" s="43"/>
      <c r="G108" s="43" t="s">
        <v>490</v>
      </c>
      <c r="H108" s="43">
        <v>0</v>
      </c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</row>
    <row r="109" spans="1:69" s="44" customFormat="1" hidden="1" x14ac:dyDescent="0.25">
      <c r="A109" s="43">
        <v>11</v>
      </c>
      <c r="B109" s="43" t="s">
        <v>115</v>
      </c>
      <c r="C109" s="20" t="s">
        <v>116</v>
      </c>
      <c r="D109" s="43">
        <v>8</v>
      </c>
      <c r="E109" s="20" t="s">
        <v>497</v>
      </c>
      <c r="F109" s="43"/>
      <c r="G109" s="43" t="s">
        <v>490</v>
      </c>
      <c r="H109" s="43">
        <v>0</v>
      </c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</row>
    <row r="110" spans="1:69" s="44" customFormat="1" hidden="1" x14ac:dyDescent="0.25">
      <c r="A110" s="43">
        <v>11</v>
      </c>
      <c r="B110" s="43" t="s">
        <v>115</v>
      </c>
      <c r="C110" s="20" t="s">
        <v>116</v>
      </c>
      <c r="D110" s="43">
        <v>9</v>
      </c>
      <c r="E110" s="20" t="s">
        <v>498</v>
      </c>
      <c r="F110" s="43"/>
      <c r="G110" s="43" t="s">
        <v>490</v>
      </c>
      <c r="H110" s="43">
        <v>0</v>
      </c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</row>
    <row r="111" spans="1:69" s="44" customFormat="1" hidden="1" x14ac:dyDescent="0.25">
      <c r="A111" s="43">
        <v>11</v>
      </c>
      <c r="B111" s="43" t="s">
        <v>115</v>
      </c>
      <c r="C111" s="20" t="s">
        <v>116</v>
      </c>
      <c r="D111" s="43">
        <v>10</v>
      </c>
      <c r="E111" s="20" t="s">
        <v>499</v>
      </c>
      <c r="F111" s="43"/>
      <c r="G111" s="43" t="s">
        <v>490</v>
      </c>
      <c r="H111" s="43">
        <v>0</v>
      </c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</row>
    <row r="112" spans="1:69" s="34" customFormat="1" hidden="1" x14ac:dyDescent="0.25">
      <c r="A112" s="33">
        <v>12</v>
      </c>
      <c r="B112" s="33" t="s">
        <v>117</v>
      </c>
      <c r="C112" s="36" t="s">
        <v>118</v>
      </c>
      <c r="D112" s="33">
        <v>1</v>
      </c>
      <c r="E112" s="36" t="s">
        <v>489</v>
      </c>
      <c r="F112" s="33"/>
      <c r="G112" s="33" t="s">
        <v>490</v>
      </c>
      <c r="H112" s="33">
        <v>0</v>
      </c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</row>
    <row r="113" spans="1:69" s="34" customFormat="1" hidden="1" x14ac:dyDescent="0.25">
      <c r="A113" s="33">
        <v>12</v>
      </c>
      <c r="B113" s="33" t="s">
        <v>117</v>
      </c>
      <c r="C113" s="36" t="s">
        <v>118</v>
      </c>
      <c r="D113" s="33">
        <v>2</v>
      </c>
      <c r="E113" s="36" t="s">
        <v>491</v>
      </c>
      <c r="F113" s="33"/>
      <c r="G113" s="33" t="s">
        <v>490</v>
      </c>
      <c r="H113" s="33">
        <v>0</v>
      </c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</row>
    <row r="114" spans="1:69" s="34" customFormat="1" hidden="1" x14ac:dyDescent="0.25">
      <c r="A114" s="33">
        <v>12</v>
      </c>
      <c r="B114" s="33" t="s">
        <v>117</v>
      </c>
      <c r="C114" s="36" t="s">
        <v>118</v>
      </c>
      <c r="D114" s="33">
        <v>3</v>
      </c>
      <c r="E114" s="36" t="s">
        <v>492</v>
      </c>
      <c r="F114" s="33"/>
      <c r="G114" s="33" t="s">
        <v>490</v>
      </c>
      <c r="H114" s="33">
        <v>0</v>
      </c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</row>
    <row r="115" spans="1:69" s="34" customFormat="1" hidden="1" x14ac:dyDescent="0.25">
      <c r="A115" s="33">
        <v>12</v>
      </c>
      <c r="B115" s="33" t="s">
        <v>117</v>
      </c>
      <c r="C115" s="36" t="s">
        <v>118</v>
      </c>
      <c r="D115" s="33">
        <v>4</v>
      </c>
      <c r="E115" s="36" t="s">
        <v>493</v>
      </c>
      <c r="F115" s="33"/>
      <c r="G115" s="33" t="s">
        <v>490</v>
      </c>
      <c r="H115" s="33">
        <v>0</v>
      </c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</row>
    <row r="116" spans="1:69" s="34" customFormat="1" hidden="1" x14ac:dyDescent="0.25">
      <c r="A116" s="33">
        <v>12</v>
      </c>
      <c r="B116" s="33" t="s">
        <v>117</v>
      </c>
      <c r="C116" s="36" t="s">
        <v>118</v>
      </c>
      <c r="D116" s="33">
        <v>5</v>
      </c>
      <c r="E116" s="36" t="s">
        <v>494</v>
      </c>
      <c r="F116" s="33"/>
      <c r="G116" s="33" t="s">
        <v>490</v>
      </c>
      <c r="H116" s="33">
        <v>0</v>
      </c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</row>
    <row r="117" spans="1:69" s="34" customFormat="1" hidden="1" x14ac:dyDescent="0.25">
      <c r="A117" s="33">
        <v>12</v>
      </c>
      <c r="B117" s="33" t="s">
        <v>117</v>
      </c>
      <c r="C117" s="36" t="s">
        <v>118</v>
      </c>
      <c r="D117" s="33">
        <v>6</v>
      </c>
      <c r="E117" s="36" t="s">
        <v>495</v>
      </c>
      <c r="F117" s="33"/>
      <c r="G117" s="33" t="s">
        <v>500</v>
      </c>
      <c r="H117" s="33">
        <v>0</v>
      </c>
      <c r="I117" s="33">
        <v>10</v>
      </c>
      <c r="J117" s="33">
        <v>10</v>
      </c>
      <c r="K117" s="33">
        <v>10</v>
      </c>
      <c r="L117" s="33">
        <v>10</v>
      </c>
      <c r="M117" s="33">
        <v>10</v>
      </c>
      <c r="N117" s="33">
        <v>10</v>
      </c>
      <c r="O117" s="33">
        <v>10</v>
      </c>
      <c r="P117" s="33">
        <v>10</v>
      </c>
      <c r="Q117" s="33">
        <v>10</v>
      </c>
      <c r="R117" s="33">
        <v>10</v>
      </c>
      <c r="S117" s="33">
        <v>10</v>
      </c>
      <c r="T117" s="33">
        <v>10</v>
      </c>
      <c r="U117" s="33">
        <v>10</v>
      </c>
      <c r="V117" s="33">
        <v>10</v>
      </c>
      <c r="W117" s="33">
        <v>10</v>
      </c>
      <c r="X117" s="33">
        <v>10</v>
      </c>
      <c r="Y117" s="33">
        <v>10</v>
      </c>
      <c r="Z117" s="33">
        <v>10</v>
      </c>
      <c r="AA117" s="33">
        <v>10</v>
      </c>
      <c r="AB117" s="33">
        <v>10</v>
      </c>
      <c r="AC117" s="33">
        <v>10</v>
      </c>
      <c r="AD117" s="33">
        <v>10</v>
      </c>
      <c r="AE117" s="33">
        <v>10</v>
      </c>
      <c r="AF117" s="33">
        <v>10</v>
      </c>
      <c r="AG117" s="33">
        <v>10</v>
      </c>
      <c r="AH117" s="33">
        <v>10</v>
      </c>
      <c r="AI117" s="33">
        <v>10</v>
      </c>
      <c r="AJ117" s="33">
        <v>10</v>
      </c>
      <c r="AK117" s="33">
        <v>10</v>
      </c>
      <c r="AL117" s="33">
        <v>10</v>
      </c>
      <c r="AM117" s="33">
        <v>10</v>
      </c>
      <c r="AN117" s="33">
        <v>10</v>
      </c>
      <c r="AO117" s="33">
        <v>10</v>
      </c>
      <c r="AP117" s="33">
        <v>10</v>
      </c>
      <c r="AQ117" s="33">
        <v>10</v>
      </c>
      <c r="AR117" s="33">
        <v>10</v>
      </c>
      <c r="AS117" s="33">
        <v>10</v>
      </c>
      <c r="AT117" s="33">
        <v>10</v>
      </c>
      <c r="AU117" s="33">
        <v>10</v>
      </c>
      <c r="AV117" s="33">
        <v>10</v>
      </c>
      <c r="AW117" s="33">
        <v>10</v>
      </c>
      <c r="AX117" s="33">
        <v>10</v>
      </c>
      <c r="AY117" s="33">
        <v>10</v>
      </c>
      <c r="AZ117" s="33">
        <v>10</v>
      </c>
      <c r="BA117" s="33">
        <v>10</v>
      </c>
      <c r="BB117" s="33">
        <v>10</v>
      </c>
      <c r="BC117" s="33">
        <v>10</v>
      </c>
      <c r="BD117" s="33">
        <v>10</v>
      </c>
      <c r="BE117" s="33">
        <v>10</v>
      </c>
      <c r="BF117" s="33">
        <v>10</v>
      </c>
      <c r="BG117" s="33">
        <v>10</v>
      </c>
      <c r="BH117" s="33">
        <v>10</v>
      </c>
      <c r="BI117" s="33">
        <v>10</v>
      </c>
      <c r="BJ117" s="33">
        <v>10</v>
      </c>
      <c r="BK117" s="33">
        <v>10</v>
      </c>
      <c r="BL117" s="33">
        <v>10</v>
      </c>
      <c r="BM117" s="33">
        <v>10</v>
      </c>
      <c r="BN117" s="33">
        <v>10</v>
      </c>
      <c r="BO117" s="33">
        <v>10</v>
      </c>
      <c r="BP117" s="33">
        <v>10</v>
      </c>
      <c r="BQ117" s="33">
        <v>10</v>
      </c>
    </row>
    <row r="118" spans="1:69" s="34" customFormat="1" hidden="1" x14ac:dyDescent="0.25">
      <c r="A118" s="33">
        <v>12</v>
      </c>
      <c r="B118" s="33" t="s">
        <v>117</v>
      </c>
      <c r="C118" s="36" t="s">
        <v>118</v>
      </c>
      <c r="D118" s="33">
        <v>7</v>
      </c>
      <c r="E118" s="36" t="s">
        <v>496</v>
      </c>
      <c r="F118" s="33"/>
      <c r="G118" s="33" t="s">
        <v>490</v>
      </c>
      <c r="H118" s="33">
        <v>0</v>
      </c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</row>
    <row r="119" spans="1:69" s="34" customFormat="1" hidden="1" x14ac:dyDescent="0.25">
      <c r="A119" s="33">
        <v>12</v>
      </c>
      <c r="B119" s="33" t="s">
        <v>117</v>
      </c>
      <c r="C119" s="36" t="s">
        <v>118</v>
      </c>
      <c r="D119" s="33">
        <v>8</v>
      </c>
      <c r="E119" s="36" t="s">
        <v>497</v>
      </c>
      <c r="F119" s="33"/>
      <c r="G119" s="33" t="s">
        <v>490</v>
      </c>
      <c r="H119" s="33">
        <v>0</v>
      </c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</row>
    <row r="120" spans="1:69" s="34" customFormat="1" hidden="1" x14ac:dyDescent="0.25">
      <c r="A120" s="33">
        <v>12</v>
      </c>
      <c r="B120" s="33" t="s">
        <v>117</v>
      </c>
      <c r="C120" s="36" t="s">
        <v>118</v>
      </c>
      <c r="D120" s="33">
        <v>9</v>
      </c>
      <c r="E120" s="36" t="s">
        <v>498</v>
      </c>
      <c r="F120" s="33"/>
      <c r="G120" s="33" t="s">
        <v>490</v>
      </c>
      <c r="H120" s="33">
        <v>0</v>
      </c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</row>
    <row r="121" spans="1:69" s="34" customFormat="1" hidden="1" x14ac:dyDescent="0.25">
      <c r="A121" s="33">
        <v>12</v>
      </c>
      <c r="B121" s="33" t="s">
        <v>117</v>
      </c>
      <c r="C121" s="36" t="s">
        <v>118</v>
      </c>
      <c r="D121" s="33">
        <v>10</v>
      </c>
      <c r="E121" s="36" t="s">
        <v>499</v>
      </c>
      <c r="F121" s="33"/>
      <c r="G121" s="33" t="s">
        <v>490</v>
      </c>
      <c r="H121" s="33">
        <v>0</v>
      </c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</row>
    <row r="122" spans="1:69" s="44" customFormat="1" hidden="1" x14ac:dyDescent="0.25">
      <c r="A122" s="43">
        <v>13</v>
      </c>
      <c r="B122" s="43" t="s">
        <v>119</v>
      </c>
      <c r="C122" s="20" t="s">
        <v>120</v>
      </c>
      <c r="D122" s="43">
        <v>1</v>
      </c>
      <c r="E122" s="20" t="s">
        <v>489</v>
      </c>
      <c r="F122" s="43"/>
      <c r="G122" s="43" t="s">
        <v>490</v>
      </c>
      <c r="H122" s="43">
        <v>0</v>
      </c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</row>
    <row r="123" spans="1:69" s="44" customFormat="1" hidden="1" x14ac:dyDescent="0.25">
      <c r="A123" s="43">
        <v>13</v>
      </c>
      <c r="B123" s="43" t="s">
        <v>119</v>
      </c>
      <c r="C123" s="20" t="s">
        <v>120</v>
      </c>
      <c r="D123" s="43">
        <v>2</v>
      </c>
      <c r="E123" s="20" t="s">
        <v>491</v>
      </c>
      <c r="F123" s="43"/>
      <c r="G123" s="43" t="s">
        <v>490</v>
      </c>
      <c r="H123" s="43">
        <v>0</v>
      </c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</row>
    <row r="124" spans="1:69" s="44" customFormat="1" hidden="1" x14ac:dyDescent="0.25">
      <c r="A124" s="43">
        <v>13</v>
      </c>
      <c r="B124" s="43" t="s">
        <v>119</v>
      </c>
      <c r="C124" s="20" t="s">
        <v>120</v>
      </c>
      <c r="D124" s="43">
        <v>3</v>
      </c>
      <c r="E124" s="20" t="s">
        <v>492</v>
      </c>
      <c r="F124" s="43"/>
      <c r="G124" s="43" t="s">
        <v>490</v>
      </c>
      <c r="H124" s="43">
        <v>0</v>
      </c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</row>
    <row r="125" spans="1:69" s="44" customFormat="1" hidden="1" x14ac:dyDescent="0.25">
      <c r="A125" s="43">
        <v>13</v>
      </c>
      <c r="B125" s="43" t="s">
        <v>119</v>
      </c>
      <c r="C125" s="20" t="s">
        <v>120</v>
      </c>
      <c r="D125" s="43">
        <v>4</v>
      </c>
      <c r="E125" s="20" t="s">
        <v>493</v>
      </c>
      <c r="F125" s="43"/>
      <c r="G125" s="43" t="s">
        <v>490</v>
      </c>
      <c r="H125" s="43">
        <v>0</v>
      </c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</row>
    <row r="126" spans="1:69" s="44" customFormat="1" hidden="1" x14ac:dyDescent="0.25">
      <c r="A126" s="43">
        <v>13</v>
      </c>
      <c r="B126" s="43" t="s">
        <v>119</v>
      </c>
      <c r="C126" s="20" t="s">
        <v>120</v>
      </c>
      <c r="D126" s="43">
        <v>5</v>
      </c>
      <c r="E126" s="20" t="s">
        <v>494</v>
      </c>
      <c r="F126" s="43"/>
      <c r="G126" s="43" t="s">
        <v>490</v>
      </c>
      <c r="H126" s="43">
        <v>0</v>
      </c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</row>
    <row r="127" spans="1:69" s="44" customFormat="1" hidden="1" x14ac:dyDescent="0.25">
      <c r="A127" s="43">
        <v>13</v>
      </c>
      <c r="B127" s="43" t="s">
        <v>119</v>
      </c>
      <c r="C127" s="20" t="s">
        <v>120</v>
      </c>
      <c r="D127" s="43">
        <v>6</v>
      </c>
      <c r="E127" s="20" t="s">
        <v>495</v>
      </c>
      <c r="F127" s="43"/>
      <c r="G127" s="43" t="s">
        <v>490</v>
      </c>
      <c r="H127" s="43">
        <v>0</v>
      </c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</row>
    <row r="128" spans="1:69" s="44" customFormat="1" hidden="1" x14ac:dyDescent="0.25">
      <c r="A128" s="43">
        <v>13</v>
      </c>
      <c r="B128" s="43" t="s">
        <v>119</v>
      </c>
      <c r="C128" s="20" t="s">
        <v>120</v>
      </c>
      <c r="D128" s="43">
        <v>7</v>
      </c>
      <c r="E128" s="20" t="s">
        <v>496</v>
      </c>
      <c r="F128" s="43"/>
      <c r="G128" s="43" t="s">
        <v>490</v>
      </c>
      <c r="H128" s="43">
        <v>0</v>
      </c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</row>
    <row r="129" spans="1:69" s="44" customFormat="1" hidden="1" x14ac:dyDescent="0.25">
      <c r="A129" s="43">
        <v>13</v>
      </c>
      <c r="B129" s="43" t="s">
        <v>119</v>
      </c>
      <c r="C129" s="20" t="s">
        <v>120</v>
      </c>
      <c r="D129" s="43">
        <v>8</v>
      </c>
      <c r="E129" s="20" t="s">
        <v>497</v>
      </c>
      <c r="F129" s="43"/>
      <c r="G129" s="43" t="s">
        <v>490</v>
      </c>
      <c r="H129" s="43">
        <v>0</v>
      </c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</row>
    <row r="130" spans="1:69" s="44" customFormat="1" hidden="1" x14ac:dyDescent="0.25">
      <c r="A130" s="43">
        <v>13</v>
      </c>
      <c r="B130" s="43" t="s">
        <v>119</v>
      </c>
      <c r="C130" s="20" t="s">
        <v>120</v>
      </c>
      <c r="D130" s="43">
        <v>9</v>
      </c>
      <c r="E130" s="20" t="s">
        <v>498</v>
      </c>
      <c r="F130" s="43"/>
      <c r="G130" s="43" t="s">
        <v>490</v>
      </c>
      <c r="H130" s="43">
        <v>0</v>
      </c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</row>
    <row r="131" spans="1:69" s="44" customFormat="1" hidden="1" x14ac:dyDescent="0.25">
      <c r="A131" s="43">
        <v>13</v>
      </c>
      <c r="B131" s="43" t="s">
        <v>119</v>
      </c>
      <c r="C131" s="20" t="s">
        <v>120</v>
      </c>
      <c r="D131" s="43">
        <v>10</v>
      </c>
      <c r="E131" s="20" t="s">
        <v>499</v>
      </c>
      <c r="F131" s="43"/>
      <c r="G131" s="43" t="s">
        <v>490</v>
      </c>
      <c r="H131" s="43">
        <v>0</v>
      </c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</row>
    <row r="132" spans="1:69" s="34" customFormat="1" hidden="1" x14ac:dyDescent="0.25">
      <c r="A132" s="33">
        <v>14</v>
      </c>
      <c r="B132" s="33" t="s">
        <v>529</v>
      </c>
      <c r="C132" s="36" t="s">
        <v>121</v>
      </c>
      <c r="D132" s="33">
        <v>1</v>
      </c>
      <c r="E132" s="36" t="s">
        <v>489</v>
      </c>
      <c r="F132" s="33"/>
      <c r="G132" s="33" t="s">
        <v>490</v>
      </c>
      <c r="H132" s="33">
        <v>0</v>
      </c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</row>
    <row r="133" spans="1:69" s="34" customFormat="1" hidden="1" x14ac:dyDescent="0.25">
      <c r="A133" s="33">
        <v>14</v>
      </c>
      <c r="B133" s="33" t="s">
        <v>529</v>
      </c>
      <c r="C133" s="36" t="s">
        <v>121</v>
      </c>
      <c r="D133" s="33">
        <v>2</v>
      </c>
      <c r="E133" s="36" t="s">
        <v>491</v>
      </c>
      <c r="F133" s="33"/>
      <c r="G133" s="33" t="s">
        <v>501</v>
      </c>
      <c r="H133" s="33">
        <v>0</v>
      </c>
      <c r="I133" s="33">
        <v>5.0000000000000001E-4</v>
      </c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</row>
    <row r="134" spans="1:69" s="34" customFormat="1" hidden="1" x14ac:dyDescent="0.25">
      <c r="A134" s="33">
        <v>14</v>
      </c>
      <c r="B134" s="33" t="s">
        <v>529</v>
      </c>
      <c r="C134" s="36" t="s">
        <v>121</v>
      </c>
      <c r="D134" s="33">
        <v>3</v>
      </c>
      <c r="E134" s="36" t="s">
        <v>492</v>
      </c>
      <c r="F134" s="33"/>
      <c r="G134" s="33" t="s">
        <v>490</v>
      </c>
      <c r="H134" s="33">
        <v>0</v>
      </c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</row>
    <row r="135" spans="1:69" s="34" customFormat="1" hidden="1" x14ac:dyDescent="0.25">
      <c r="A135" s="33">
        <v>14</v>
      </c>
      <c r="B135" s="33" t="s">
        <v>529</v>
      </c>
      <c r="C135" s="36" t="s">
        <v>121</v>
      </c>
      <c r="D135" s="33">
        <v>4</v>
      </c>
      <c r="E135" s="36" t="s">
        <v>493</v>
      </c>
      <c r="F135" s="33"/>
      <c r="G135" s="33" t="s">
        <v>490</v>
      </c>
      <c r="H135" s="33">
        <v>0</v>
      </c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</row>
    <row r="136" spans="1:69" s="34" customFormat="1" hidden="1" x14ac:dyDescent="0.25">
      <c r="A136" s="33">
        <v>14</v>
      </c>
      <c r="B136" s="33" t="s">
        <v>529</v>
      </c>
      <c r="C136" s="36" t="s">
        <v>121</v>
      </c>
      <c r="D136" s="33">
        <v>5</v>
      </c>
      <c r="E136" s="36" t="s">
        <v>494</v>
      </c>
      <c r="F136" s="33"/>
      <c r="G136" s="33" t="s">
        <v>490</v>
      </c>
      <c r="H136" s="33">
        <v>0</v>
      </c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</row>
    <row r="137" spans="1:69" s="34" customFormat="1" hidden="1" x14ac:dyDescent="0.25">
      <c r="A137" s="33">
        <v>14</v>
      </c>
      <c r="B137" s="33" t="s">
        <v>529</v>
      </c>
      <c r="C137" s="36" t="s">
        <v>121</v>
      </c>
      <c r="D137" s="33">
        <v>6</v>
      </c>
      <c r="E137" s="36" t="s">
        <v>495</v>
      </c>
      <c r="F137" s="33"/>
      <c r="G137" s="33" t="s">
        <v>490</v>
      </c>
      <c r="H137" s="33">
        <v>0</v>
      </c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</row>
    <row r="138" spans="1:69" s="34" customFormat="1" hidden="1" x14ac:dyDescent="0.25">
      <c r="A138" s="33">
        <v>14</v>
      </c>
      <c r="B138" s="33" t="s">
        <v>529</v>
      </c>
      <c r="C138" s="36" t="s">
        <v>121</v>
      </c>
      <c r="D138" s="33">
        <v>7</v>
      </c>
      <c r="E138" s="36" t="s">
        <v>496</v>
      </c>
      <c r="F138" s="33"/>
      <c r="G138" s="33" t="s">
        <v>490</v>
      </c>
      <c r="H138" s="33">
        <v>0</v>
      </c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</row>
    <row r="139" spans="1:69" s="34" customFormat="1" hidden="1" x14ac:dyDescent="0.25">
      <c r="A139" s="33">
        <v>14</v>
      </c>
      <c r="B139" s="33" t="s">
        <v>529</v>
      </c>
      <c r="C139" s="36" t="s">
        <v>121</v>
      </c>
      <c r="D139" s="33">
        <v>8</v>
      </c>
      <c r="E139" s="36" t="s">
        <v>497</v>
      </c>
      <c r="F139" s="33"/>
      <c r="G139" s="33" t="s">
        <v>490</v>
      </c>
      <c r="H139" s="33">
        <v>0</v>
      </c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</row>
    <row r="140" spans="1:69" s="34" customFormat="1" hidden="1" x14ac:dyDescent="0.25">
      <c r="A140" s="33">
        <v>14</v>
      </c>
      <c r="B140" s="33" t="s">
        <v>529</v>
      </c>
      <c r="C140" s="36" t="s">
        <v>121</v>
      </c>
      <c r="D140" s="33">
        <v>9</v>
      </c>
      <c r="E140" s="36" t="s">
        <v>498</v>
      </c>
      <c r="F140" s="33"/>
      <c r="G140" s="33" t="s">
        <v>490</v>
      </c>
      <c r="H140" s="33">
        <v>0</v>
      </c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</row>
    <row r="141" spans="1:69" s="34" customFormat="1" hidden="1" x14ac:dyDescent="0.25">
      <c r="A141" s="33">
        <v>14</v>
      </c>
      <c r="B141" s="33" t="s">
        <v>529</v>
      </c>
      <c r="C141" s="36" t="s">
        <v>121</v>
      </c>
      <c r="D141" s="33">
        <v>10</v>
      </c>
      <c r="E141" s="36" t="s">
        <v>499</v>
      </c>
      <c r="F141" s="33"/>
      <c r="G141" s="33" t="s">
        <v>490</v>
      </c>
      <c r="H141" s="33">
        <v>0</v>
      </c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</row>
    <row r="142" spans="1:69" s="44" customFormat="1" hidden="1" x14ac:dyDescent="0.25">
      <c r="A142" s="43">
        <v>15</v>
      </c>
      <c r="B142" s="43" t="s">
        <v>530</v>
      </c>
      <c r="C142" s="20" t="s">
        <v>121</v>
      </c>
      <c r="D142" s="43">
        <v>1</v>
      </c>
      <c r="E142" s="20" t="s">
        <v>489</v>
      </c>
      <c r="F142" s="43"/>
      <c r="G142" s="43" t="s">
        <v>490</v>
      </c>
      <c r="H142" s="43">
        <v>0</v>
      </c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</row>
    <row r="143" spans="1:69" s="44" customFormat="1" hidden="1" x14ac:dyDescent="0.25">
      <c r="A143" s="43">
        <v>15</v>
      </c>
      <c r="B143" s="43" t="s">
        <v>530</v>
      </c>
      <c r="C143" s="20" t="s">
        <v>121</v>
      </c>
      <c r="D143" s="43">
        <v>2</v>
      </c>
      <c r="E143" s="20" t="s">
        <v>491</v>
      </c>
      <c r="F143" s="43"/>
      <c r="G143" s="43" t="s">
        <v>501</v>
      </c>
      <c r="H143" s="43">
        <v>0</v>
      </c>
      <c r="I143" s="43">
        <v>5.0000000000000001E-4</v>
      </c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</row>
    <row r="144" spans="1:69" s="44" customFormat="1" hidden="1" x14ac:dyDescent="0.25">
      <c r="A144" s="43">
        <v>15</v>
      </c>
      <c r="B144" s="43" t="s">
        <v>530</v>
      </c>
      <c r="C144" s="20" t="s">
        <v>121</v>
      </c>
      <c r="D144" s="43">
        <v>3</v>
      </c>
      <c r="E144" s="20" t="s">
        <v>492</v>
      </c>
      <c r="F144" s="43"/>
      <c r="G144" s="43" t="s">
        <v>490</v>
      </c>
      <c r="H144" s="43">
        <v>0</v>
      </c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</row>
    <row r="145" spans="1:69" s="44" customFormat="1" hidden="1" x14ac:dyDescent="0.25">
      <c r="A145" s="43">
        <v>15</v>
      </c>
      <c r="B145" s="43" t="s">
        <v>530</v>
      </c>
      <c r="C145" s="20" t="s">
        <v>121</v>
      </c>
      <c r="D145" s="43">
        <v>4</v>
      </c>
      <c r="E145" s="20" t="s">
        <v>493</v>
      </c>
      <c r="F145" s="43"/>
      <c r="G145" s="43" t="s">
        <v>490</v>
      </c>
      <c r="H145" s="43">
        <v>0</v>
      </c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</row>
    <row r="146" spans="1:69" s="44" customFormat="1" hidden="1" x14ac:dyDescent="0.25">
      <c r="A146" s="43">
        <v>15</v>
      </c>
      <c r="B146" s="43" t="s">
        <v>530</v>
      </c>
      <c r="C146" s="20" t="s">
        <v>121</v>
      </c>
      <c r="D146" s="43">
        <v>5</v>
      </c>
      <c r="E146" s="20" t="s">
        <v>494</v>
      </c>
      <c r="F146" s="43"/>
      <c r="G146" s="43" t="s">
        <v>490</v>
      </c>
      <c r="H146" s="43">
        <v>0</v>
      </c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</row>
    <row r="147" spans="1:69" s="44" customFormat="1" hidden="1" x14ac:dyDescent="0.25">
      <c r="A147" s="43">
        <v>15</v>
      </c>
      <c r="B147" s="43" t="s">
        <v>530</v>
      </c>
      <c r="C147" s="20" t="s">
        <v>121</v>
      </c>
      <c r="D147" s="43">
        <v>6</v>
      </c>
      <c r="E147" s="20" t="s">
        <v>495</v>
      </c>
      <c r="F147" s="43"/>
      <c r="G147" s="43" t="s">
        <v>500</v>
      </c>
      <c r="H147" s="43">
        <v>0</v>
      </c>
      <c r="I147" s="43">
        <v>3.1529595738010552</v>
      </c>
      <c r="J147" s="43">
        <v>3.3794152337978161</v>
      </c>
      <c r="K147" s="43">
        <v>3.5768381168719152</v>
      </c>
      <c r="L147" s="43">
        <v>4.5871787537805409</v>
      </c>
      <c r="M147" s="43">
        <v>4.3491099830147153</v>
      </c>
      <c r="N147" s="43">
        <v>4.5465328660888149</v>
      </c>
      <c r="O147" s="43">
        <v>4.6045984199341374</v>
      </c>
      <c r="P147" s="43">
        <v>4.7091164168557196</v>
      </c>
      <c r="Q147" s="43">
        <v>4.5212344768406005</v>
      </c>
      <c r="R147" s="43">
        <v>4.1318381792662402</v>
      </c>
      <c r="S147" s="43">
        <v>3.5638522628699238</v>
      </c>
      <c r="T147" s="43">
        <v>4.3019085521329501</v>
      </c>
      <c r="U147" s="43">
        <v>4.3019085521329501</v>
      </c>
      <c r="V147" s="43">
        <v>4.3019085521329501</v>
      </c>
      <c r="W147" s="43">
        <v>4.3019085521329501</v>
      </c>
      <c r="X147" s="43">
        <v>4.3019085521329501</v>
      </c>
      <c r="Y147" s="43">
        <v>4.3019085521329501</v>
      </c>
      <c r="Z147" s="43">
        <v>4.3019085521329501</v>
      </c>
      <c r="AA147" s="43">
        <v>4.3019085521329501</v>
      </c>
      <c r="AB147" s="43">
        <v>4.3019085521329501</v>
      </c>
      <c r="AC147" s="43">
        <v>4.3019085521329501</v>
      </c>
      <c r="AD147" s="43">
        <v>4.3019085521329501</v>
      </c>
      <c r="AE147" s="43">
        <v>4.3019085521329501</v>
      </c>
      <c r="AF147" s="43">
        <v>4.3019085521329501</v>
      </c>
      <c r="AG147" s="43">
        <v>4.3019085521329501</v>
      </c>
      <c r="AH147" s="43">
        <v>4.3019085521329501</v>
      </c>
      <c r="AI147" s="43">
        <v>4.3019085521329501</v>
      </c>
      <c r="AJ147" s="43">
        <v>4.3019085521329501</v>
      </c>
      <c r="AK147" s="43">
        <v>4.3019085521329501</v>
      </c>
      <c r="AL147" s="43">
        <v>4.3019085521329501</v>
      </c>
      <c r="AM147" s="43">
        <v>4.3019085521329501</v>
      </c>
      <c r="AN147" s="43">
        <v>4.3019085521329501</v>
      </c>
      <c r="AO147" s="43">
        <v>4.3019085521329501</v>
      </c>
      <c r="AP147" s="43">
        <v>4.3019085521329501</v>
      </c>
      <c r="AQ147" s="43">
        <v>4.3019085521329501</v>
      </c>
      <c r="AR147" s="43">
        <v>4.3019085521329501</v>
      </c>
      <c r="AS147" s="43">
        <v>4.3019085521329501</v>
      </c>
      <c r="AT147" s="43">
        <v>4.3019085521329501</v>
      </c>
      <c r="AU147" s="43">
        <v>4.3019085521329501</v>
      </c>
      <c r="AV147" s="43">
        <v>4.3019085521329501</v>
      </c>
      <c r="AW147" s="43">
        <v>4.3019085521329501</v>
      </c>
      <c r="AX147" s="43">
        <v>4.3019085521329501</v>
      </c>
      <c r="AY147" s="43">
        <v>4.3019085521329501</v>
      </c>
      <c r="AZ147" s="43">
        <v>4.3019085521329501</v>
      </c>
      <c r="BA147" s="43">
        <v>4.3019085521329501</v>
      </c>
      <c r="BB147" s="43">
        <v>4.3019085521329501</v>
      </c>
      <c r="BC147" s="43">
        <v>4.3019085521329501</v>
      </c>
      <c r="BD147" s="43">
        <v>4.3019085521329501</v>
      </c>
      <c r="BE147" s="43">
        <v>4.3019085521329501</v>
      </c>
      <c r="BF147" s="43">
        <v>4.3019085521329501</v>
      </c>
      <c r="BG147" s="43">
        <v>4.3019085521329501</v>
      </c>
      <c r="BH147" s="43">
        <v>4.3019085521329501</v>
      </c>
      <c r="BI147" s="43">
        <v>4.3019085521329501</v>
      </c>
      <c r="BJ147" s="43">
        <v>4.3019085521329501</v>
      </c>
      <c r="BK147" s="43">
        <v>4.3019085521329501</v>
      </c>
      <c r="BL147" s="43">
        <v>4.3019085521329501</v>
      </c>
      <c r="BM147" s="43">
        <v>4.3019085521329501</v>
      </c>
      <c r="BN147" s="43">
        <v>4.3019085521329501</v>
      </c>
      <c r="BO147" s="43">
        <v>4.3019085521329501</v>
      </c>
      <c r="BP147" s="43">
        <v>4.3019085521329501</v>
      </c>
      <c r="BQ147" s="43">
        <v>4.3019085521329501</v>
      </c>
    </row>
    <row r="148" spans="1:69" s="44" customFormat="1" hidden="1" x14ac:dyDescent="0.25">
      <c r="A148" s="43">
        <v>15</v>
      </c>
      <c r="B148" s="43" t="s">
        <v>530</v>
      </c>
      <c r="C148" s="20" t="s">
        <v>121</v>
      </c>
      <c r="D148" s="43">
        <v>7</v>
      </c>
      <c r="E148" s="20" t="s">
        <v>496</v>
      </c>
      <c r="F148" s="43"/>
      <c r="G148" s="43" t="s">
        <v>490</v>
      </c>
      <c r="H148" s="43">
        <v>0</v>
      </c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</row>
    <row r="149" spans="1:69" s="44" customFormat="1" hidden="1" x14ac:dyDescent="0.25">
      <c r="A149" s="43">
        <v>15</v>
      </c>
      <c r="B149" s="43" t="s">
        <v>530</v>
      </c>
      <c r="C149" s="20" t="s">
        <v>121</v>
      </c>
      <c r="D149" s="43">
        <v>8</v>
      </c>
      <c r="E149" s="20" t="s">
        <v>497</v>
      </c>
      <c r="F149" s="43"/>
      <c r="G149" s="43" t="s">
        <v>490</v>
      </c>
      <c r="H149" s="43">
        <v>0</v>
      </c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</row>
    <row r="150" spans="1:69" s="44" customFormat="1" hidden="1" x14ac:dyDescent="0.25">
      <c r="A150" s="43">
        <v>15</v>
      </c>
      <c r="B150" s="43" t="s">
        <v>530</v>
      </c>
      <c r="C150" s="20" t="s">
        <v>121</v>
      </c>
      <c r="D150" s="43">
        <v>9</v>
      </c>
      <c r="E150" s="20" t="s">
        <v>498</v>
      </c>
      <c r="F150" s="43"/>
      <c r="G150" s="43" t="s">
        <v>490</v>
      </c>
      <c r="H150" s="43">
        <v>0</v>
      </c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</row>
    <row r="151" spans="1:69" s="44" customFormat="1" hidden="1" x14ac:dyDescent="0.25">
      <c r="A151" s="43">
        <v>15</v>
      </c>
      <c r="B151" s="43" t="s">
        <v>530</v>
      </c>
      <c r="C151" s="20" t="s">
        <v>121</v>
      </c>
      <c r="D151" s="43">
        <v>10</v>
      </c>
      <c r="E151" s="20" t="s">
        <v>499</v>
      </c>
      <c r="F151" s="43"/>
      <c r="G151" s="43" t="s">
        <v>490</v>
      </c>
      <c r="H151" s="43">
        <v>0</v>
      </c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</row>
    <row r="152" spans="1:69" s="34" customFormat="1" hidden="1" x14ac:dyDescent="0.25">
      <c r="A152" s="33">
        <v>16</v>
      </c>
      <c r="B152" s="33" t="s">
        <v>531</v>
      </c>
      <c r="C152" s="36" t="s">
        <v>121</v>
      </c>
      <c r="D152" s="33">
        <v>1</v>
      </c>
      <c r="E152" s="36" t="s">
        <v>489</v>
      </c>
      <c r="F152" s="33"/>
      <c r="G152" s="33" t="s">
        <v>490</v>
      </c>
      <c r="H152" s="33">
        <v>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</row>
    <row r="153" spans="1:69" s="34" customFormat="1" hidden="1" x14ac:dyDescent="0.25">
      <c r="A153" s="33">
        <v>16</v>
      </c>
      <c r="B153" s="33" t="s">
        <v>531</v>
      </c>
      <c r="C153" s="36" t="s">
        <v>121</v>
      </c>
      <c r="D153" s="33">
        <v>2</v>
      </c>
      <c r="E153" s="36" t="s">
        <v>491</v>
      </c>
      <c r="F153" s="33"/>
      <c r="G153" s="33" t="s">
        <v>501</v>
      </c>
      <c r="H153" s="33">
        <v>0</v>
      </c>
      <c r="I153" s="33">
        <v>5.0000000000000001E-4</v>
      </c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</row>
    <row r="154" spans="1:69" s="34" customFormat="1" hidden="1" x14ac:dyDescent="0.25">
      <c r="A154" s="33">
        <v>16</v>
      </c>
      <c r="B154" s="33" t="s">
        <v>531</v>
      </c>
      <c r="C154" s="36" t="s">
        <v>121</v>
      </c>
      <c r="D154" s="33">
        <v>3</v>
      </c>
      <c r="E154" s="36" t="s">
        <v>492</v>
      </c>
      <c r="F154" s="33"/>
      <c r="G154" s="33" t="s">
        <v>490</v>
      </c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</row>
    <row r="155" spans="1:69" s="34" customFormat="1" hidden="1" x14ac:dyDescent="0.25">
      <c r="A155" s="33">
        <v>16</v>
      </c>
      <c r="B155" s="33" t="s">
        <v>531</v>
      </c>
      <c r="C155" s="36" t="s">
        <v>121</v>
      </c>
      <c r="D155" s="33">
        <v>4</v>
      </c>
      <c r="E155" s="36" t="s">
        <v>493</v>
      </c>
      <c r="F155" s="33"/>
      <c r="G155" s="33" t="s">
        <v>490</v>
      </c>
      <c r="H155" s="33">
        <v>0</v>
      </c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</row>
    <row r="156" spans="1:69" s="34" customFormat="1" hidden="1" x14ac:dyDescent="0.25">
      <c r="A156" s="33">
        <v>16</v>
      </c>
      <c r="B156" s="33" t="s">
        <v>531</v>
      </c>
      <c r="C156" s="36" t="s">
        <v>121</v>
      </c>
      <c r="D156" s="33">
        <v>5</v>
      </c>
      <c r="E156" s="36" t="s">
        <v>494</v>
      </c>
      <c r="F156" s="33"/>
      <c r="G156" s="33" t="s">
        <v>490</v>
      </c>
      <c r="H156" s="33">
        <v>0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</row>
    <row r="157" spans="1:69" s="34" customFormat="1" hidden="1" x14ac:dyDescent="0.25">
      <c r="A157" s="33">
        <v>16</v>
      </c>
      <c r="B157" s="33" t="s">
        <v>531</v>
      </c>
      <c r="C157" s="36" t="s">
        <v>121</v>
      </c>
      <c r="D157" s="33">
        <v>6</v>
      </c>
      <c r="E157" s="36" t="s">
        <v>495</v>
      </c>
      <c r="F157" s="33"/>
      <c r="G157" s="33" t="s">
        <v>500</v>
      </c>
      <c r="H157" s="33">
        <v>0</v>
      </c>
      <c r="I157" s="33">
        <v>2.0845533830471066</v>
      </c>
      <c r="J157" s="33">
        <v>1.9510026092028629</v>
      </c>
      <c r="K157" s="33">
        <v>1.9800353861255247</v>
      </c>
      <c r="L157" s="33">
        <v>2.6884351430384688</v>
      </c>
      <c r="M157" s="33">
        <v>2.5781105907323547</v>
      </c>
      <c r="N157" s="33">
        <v>2.8684383599589709</v>
      </c>
      <c r="O157" s="33">
        <v>3.4781266753348659</v>
      </c>
      <c r="P157" s="33">
        <v>3.4665135645658012</v>
      </c>
      <c r="Q157" s="33">
        <v>3.486019402900407</v>
      </c>
      <c r="R157" s="33">
        <v>3.1865183746829682</v>
      </c>
      <c r="S157" s="33">
        <v>3.1758161223377481</v>
      </c>
      <c r="T157" s="33">
        <v>3.3733010673564703</v>
      </c>
      <c r="U157" s="33">
        <v>3.3733010673564703</v>
      </c>
      <c r="V157" s="33">
        <v>3.3733010673564703</v>
      </c>
      <c r="W157" s="33">
        <v>3.3733010673564703</v>
      </c>
      <c r="X157" s="33">
        <v>3.3733010673564703</v>
      </c>
      <c r="Y157" s="33">
        <v>3.3733010673564703</v>
      </c>
      <c r="Z157" s="33">
        <v>3.3733010673564703</v>
      </c>
      <c r="AA157" s="33">
        <v>3.3733010673564703</v>
      </c>
      <c r="AB157" s="33">
        <v>3.3733010673564703</v>
      </c>
      <c r="AC157" s="33">
        <v>3.3733010673564703</v>
      </c>
      <c r="AD157" s="33">
        <v>3.3733010673564703</v>
      </c>
      <c r="AE157" s="33">
        <v>3.3733010673564703</v>
      </c>
      <c r="AF157" s="33">
        <v>3.3733010673564703</v>
      </c>
      <c r="AG157" s="33">
        <v>3.3733010673564703</v>
      </c>
      <c r="AH157" s="33">
        <v>3.3733010673564703</v>
      </c>
      <c r="AI157" s="33">
        <v>3.3733010673564703</v>
      </c>
      <c r="AJ157" s="33">
        <v>3.3733010673564703</v>
      </c>
      <c r="AK157" s="33">
        <v>3.3733010673564703</v>
      </c>
      <c r="AL157" s="33">
        <v>3.3733010673564703</v>
      </c>
      <c r="AM157" s="33">
        <v>3.3733010673564703</v>
      </c>
      <c r="AN157" s="33">
        <v>3.3733010673564703</v>
      </c>
      <c r="AO157" s="33">
        <v>3.3733010673564703</v>
      </c>
      <c r="AP157" s="33">
        <v>3.3733010673564703</v>
      </c>
      <c r="AQ157" s="33">
        <v>3.3733010673564703</v>
      </c>
      <c r="AR157" s="33">
        <v>3.3733010673564703</v>
      </c>
      <c r="AS157" s="33">
        <v>3.3733010673564703</v>
      </c>
      <c r="AT157" s="33">
        <v>3.3733010673564703</v>
      </c>
      <c r="AU157" s="33">
        <v>3.3733010673564703</v>
      </c>
      <c r="AV157" s="33">
        <v>3.3733010673564703</v>
      </c>
      <c r="AW157" s="33">
        <v>3.3733010673564703</v>
      </c>
      <c r="AX157" s="33">
        <v>3.3733010673564703</v>
      </c>
      <c r="AY157" s="33">
        <v>3.3733010673564703</v>
      </c>
      <c r="AZ157" s="33">
        <v>3.3733010673564703</v>
      </c>
      <c r="BA157" s="33">
        <v>3.3733010673564703</v>
      </c>
      <c r="BB157" s="33">
        <v>3.3733010673564703</v>
      </c>
      <c r="BC157" s="33">
        <v>3.3733010673564703</v>
      </c>
      <c r="BD157" s="33">
        <v>3.3733010673564703</v>
      </c>
      <c r="BE157" s="33">
        <v>3.3733010673564703</v>
      </c>
      <c r="BF157" s="33">
        <v>3.3733010673564703</v>
      </c>
      <c r="BG157" s="33">
        <v>3.3733010673564703</v>
      </c>
      <c r="BH157" s="33">
        <v>3.3733010673564703</v>
      </c>
      <c r="BI157" s="33">
        <v>3.3733010673564703</v>
      </c>
      <c r="BJ157" s="33">
        <v>3.3733010673564703</v>
      </c>
      <c r="BK157" s="33">
        <v>3.3733010673564703</v>
      </c>
      <c r="BL157" s="33">
        <v>3.3733010673564703</v>
      </c>
      <c r="BM157" s="33">
        <v>3.3733010673564703</v>
      </c>
      <c r="BN157" s="33">
        <v>3.3733010673564703</v>
      </c>
      <c r="BO157" s="33">
        <v>3.3733010673564703</v>
      </c>
      <c r="BP157" s="33">
        <v>3.3733010673564703</v>
      </c>
      <c r="BQ157" s="33">
        <v>3.3733010673564703</v>
      </c>
    </row>
    <row r="158" spans="1:69" s="34" customFormat="1" hidden="1" x14ac:dyDescent="0.25">
      <c r="A158" s="33">
        <v>16</v>
      </c>
      <c r="B158" s="33" t="s">
        <v>531</v>
      </c>
      <c r="C158" s="36" t="s">
        <v>121</v>
      </c>
      <c r="D158" s="33">
        <v>7</v>
      </c>
      <c r="E158" s="36" t="s">
        <v>496</v>
      </c>
      <c r="F158" s="33"/>
      <c r="G158" s="33" t="s">
        <v>490</v>
      </c>
      <c r="H158" s="33">
        <v>0</v>
      </c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</row>
    <row r="159" spans="1:69" s="34" customFormat="1" hidden="1" x14ac:dyDescent="0.25">
      <c r="A159" s="33">
        <v>16</v>
      </c>
      <c r="B159" s="33" t="s">
        <v>531</v>
      </c>
      <c r="C159" s="36" t="s">
        <v>121</v>
      </c>
      <c r="D159" s="33">
        <v>8</v>
      </c>
      <c r="E159" s="36" t="s">
        <v>497</v>
      </c>
      <c r="F159" s="33"/>
      <c r="G159" s="33" t="s">
        <v>490</v>
      </c>
      <c r="H159" s="33">
        <v>0</v>
      </c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</row>
    <row r="160" spans="1:69" s="34" customFormat="1" hidden="1" x14ac:dyDescent="0.25">
      <c r="A160" s="33">
        <v>16</v>
      </c>
      <c r="B160" s="33" t="s">
        <v>531</v>
      </c>
      <c r="C160" s="36" t="s">
        <v>121</v>
      </c>
      <c r="D160" s="33">
        <v>9</v>
      </c>
      <c r="E160" s="36" t="s">
        <v>498</v>
      </c>
      <c r="F160" s="33"/>
      <c r="G160" s="33" t="s">
        <v>490</v>
      </c>
      <c r="H160" s="33">
        <v>0</v>
      </c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</row>
    <row r="161" spans="1:69" s="34" customFormat="1" hidden="1" x14ac:dyDescent="0.25">
      <c r="A161" s="33">
        <v>16</v>
      </c>
      <c r="B161" s="33" t="s">
        <v>531</v>
      </c>
      <c r="C161" s="36" t="s">
        <v>121</v>
      </c>
      <c r="D161" s="33">
        <v>10</v>
      </c>
      <c r="E161" s="36" t="s">
        <v>499</v>
      </c>
      <c r="F161" s="33"/>
      <c r="G161" s="33" t="s">
        <v>490</v>
      </c>
      <c r="H161" s="33">
        <v>0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</row>
    <row r="162" spans="1:69" s="44" customFormat="1" hidden="1" x14ac:dyDescent="0.25">
      <c r="A162" s="43">
        <v>17</v>
      </c>
      <c r="B162" s="43" t="s">
        <v>122</v>
      </c>
      <c r="C162" s="20" t="s">
        <v>123</v>
      </c>
      <c r="D162" s="43">
        <v>1</v>
      </c>
      <c r="E162" s="20" t="s">
        <v>489</v>
      </c>
      <c r="F162" s="43"/>
      <c r="G162" s="43" t="s">
        <v>490</v>
      </c>
      <c r="H162" s="43">
        <v>0</v>
      </c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</row>
    <row r="163" spans="1:69" s="44" customFormat="1" hidden="1" x14ac:dyDescent="0.25">
      <c r="A163" s="43">
        <v>17</v>
      </c>
      <c r="B163" s="43" t="s">
        <v>122</v>
      </c>
      <c r="C163" s="20" t="s">
        <v>123</v>
      </c>
      <c r="D163" s="43">
        <v>2</v>
      </c>
      <c r="E163" s="20" t="s">
        <v>491</v>
      </c>
      <c r="F163" s="43"/>
      <c r="G163" s="43" t="s">
        <v>490</v>
      </c>
      <c r="H163" s="43">
        <v>0</v>
      </c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</row>
    <row r="164" spans="1:69" s="44" customFormat="1" hidden="1" x14ac:dyDescent="0.25">
      <c r="A164" s="43">
        <v>17</v>
      </c>
      <c r="B164" s="43" t="s">
        <v>122</v>
      </c>
      <c r="C164" s="20" t="s">
        <v>123</v>
      </c>
      <c r="D164" s="43">
        <v>3</v>
      </c>
      <c r="E164" s="20" t="s">
        <v>492</v>
      </c>
      <c r="F164" s="43"/>
      <c r="G164" s="43" t="s">
        <v>490</v>
      </c>
      <c r="H164" s="43">
        <v>0</v>
      </c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</row>
    <row r="165" spans="1:69" s="44" customFormat="1" hidden="1" x14ac:dyDescent="0.25">
      <c r="A165" s="43">
        <v>17</v>
      </c>
      <c r="B165" s="43" t="s">
        <v>122</v>
      </c>
      <c r="C165" s="20" t="s">
        <v>123</v>
      </c>
      <c r="D165" s="43">
        <v>4</v>
      </c>
      <c r="E165" s="20" t="s">
        <v>493</v>
      </c>
      <c r="F165" s="43"/>
      <c r="G165" s="43" t="s">
        <v>490</v>
      </c>
      <c r="H165" s="43">
        <v>0</v>
      </c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</row>
    <row r="166" spans="1:69" s="44" customFormat="1" hidden="1" x14ac:dyDescent="0.25">
      <c r="A166" s="43">
        <v>17</v>
      </c>
      <c r="B166" s="43" t="s">
        <v>122</v>
      </c>
      <c r="C166" s="20" t="s">
        <v>123</v>
      </c>
      <c r="D166" s="43">
        <v>5</v>
      </c>
      <c r="E166" s="20" t="s">
        <v>494</v>
      </c>
      <c r="F166" s="43"/>
      <c r="G166" s="43" t="s">
        <v>490</v>
      </c>
      <c r="H166" s="43">
        <v>0</v>
      </c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</row>
    <row r="167" spans="1:69" s="44" customFormat="1" hidden="1" x14ac:dyDescent="0.25">
      <c r="A167" s="43">
        <v>17</v>
      </c>
      <c r="B167" s="43" t="s">
        <v>122</v>
      </c>
      <c r="C167" s="20" t="s">
        <v>123</v>
      </c>
      <c r="D167" s="43">
        <v>6</v>
      </c>
      <c r="E167" s="20" t="s">
        <v>495</v>
      </c>
      <c r="F167" s="43"/>
      <c r="G167" s="43" t="s">
        <v>490</v>
      </c>
      <c r="H167" s="43">
        <v>0</v>
      </c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</row>
    <row r="168" spans="1:69" s="44" customFormat="1" hidden="1" x14ac:dyDescent="0.25">
      <c r="A168" s="43">
        <v>17</v>
      </c>
      <c r="B168" s="43" t="s">
        <v>122</v>
      </c>
      <c r="C168" s="20" t="s">
        <v>123</v>
      </c>
      <c r="D168" s="43">
        <v>7</v>
      </c>
      <c r="E168" s="20" t="s">
        <v>496</v>
      </c>
      <c r="F168" s="43"/>
      <c r="G168" s="43" t="s">
        <v>490</v>
      </c>
      <c r="H168" s="43">
        <v>0</v>
      </c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</row>
    <row r="169" spans="1:69" s="44" customFormat="1" hidden="1" x14ac:dyDescent="0.25">
      <c r="A169" s="43">
        <v>17</v>
      </c>
      <c r="B169" s="43" t="s">
        <v>122</v>
      </c>
      <c r="C169" s="20" t="s">
        <v>123</v>
      </c>
      <c r="D169" s="43">
        <v>8</v>
      </c>
      <c r="E169" s="20" t="s">
        <v>497</v>
      </c>
      <c r="F169" s="43"/>
      <c r="G169" s="43" t="s">
        <v>490</v>
      </c>
      <c r="H169" s="43">
        <v>0</v>
      </c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</row>
    <row r="170" spans="1:69" s="44" customFormat="1" hidden="1" x14ac:dyDescent="0.25">
      <c r="A170" s="43">
        <v>17</v>
      </c>
      <c r="B170" s="43" t="s">
        <v>122</v>
      </c>
      <c r="C170" s="20" t="s">
        <v>123</v>
      </c>
      <c r="D170" s="43">
        <v>9</v>
      </c>
      <c r="E170" s="20" t="s">
        <v>498</v>
      </c>
      <c r="F170" s="43"/>
      <c r="G170" s="43" t="s">
        <v>490</v>
      </c>
      <c r="H170" s="43">
        <v>0</v>
      </c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</row>
    <row r="171" spans="1:69" s="44" customFormat="1" hidden="1" x14ac:dyDescent="0.25">
      <c r="A171" s="43">
        <v>17</v>
      </c>
      <c r="B171" s="43" t="s">
        <v>122</v>
      </c>
      <c r="C171" s="20" t="s">
        <v>123</v>
      </c>
      <c r="D171" s="43">
        <v>10</v>
      </c>
      <c r="E171" s="20" t="s">
        <v>499</v>
      </c>
      <c r="F171" s="43"/>
      <c r="G171" s="43" t="s">
        <v>490</v>
      </c>
      <c r="H171" s="43">
        <v>0</v>
      </c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</row>
    <row r="172" spans="1:69" s="34" customFormat="1" hidden="1" x14ac:dyDescent="0.25">
      <c r="A172" s="33">
        <v>18</v>
      </c>
      <c r="B172" s="33" t="s">
        <v>124</v>
      </c>
      <c r="C172" s="36" t="s">
        <v>125</v>
      </c>
      <c r="D172" s="33">
        <v>1</v>
      </c>
      <c r="E172" s="36" t="s">
        <v>489</v>
      </c>
      <c r="F172" s="33"/>
      <c r="G172" s="33" t="s">
        <v>500</v>
      </c>
      <c r="H172" s="33">
        <v>0</v>
      </c>
      <c r="I172" s="33">
        <v>2350</v>
      </c>
      <c r="J172" s="33">
        <v>2350</v>
      </c>
      <c r="K172" s="33">
        <v>2350</v>
      </c>
      <c r="L172" s="33">
        <v>2350</v>
      </c>
      <c r="M172" s="33">
        <v>2350</v>
      </c>
      <c r="N172" s="33">
        <v>2350</v>
      </c>
      <c r="O172" s="33">
        <v>2350</v>
      </c>
      <c r="P172" s="33">
        <v>2350</v>
      </c>
      <c r="Q172" s="33">
        <v>2350</v>
      </c>
      <c r="R172" s="33">
        <v>2350</v>
      </c>
      <c r="S172" s="33">
        <v>2350</v>
      </c>
      <c r="T172" s="33">
        <v>2350</v>
      </c>
      <c r="U172" s="33">
        <v>2350</v>
      </c>
      <c r="V172" s="33">
        <v>2350</v>
      </c>
      <c r="W172" s="33">
        <v>2350</v>
      </c>
      <c r="X172" s="33">
        <v>2325</v>
      </c>
      <c r="Y172" s="33">
        <v>2325</v>
      </c>
      <c r="Z172" s="33">
        <v>2325</v>
      </c>
      <c r="AA172" s="33">
        <v>2325</v>
      </c>
      <c r="AB172" s="33">
        <v>2325</v>
      </c>
      <c r="AC172" s="33">
        <v>2300</v>
      </c>
      <c r="AD172" s="33">
        <v>2300</v>
      </c>
      <c r="AE172" s="33">
        <v>2300</v>
      </c>
      <c r="AF172" s="33">
        <v>2300</v>
      </c>
      <c r="AG172" s="33">
        <v>2300</v>
      </c>
      <c r="AH172" s="33">
        <v>2288</v>
      </c>
      <c r="AI172" s="33">
        <v>2288</v>
      </c>
      <c r="AJ172" s="33">
        <v>2288</v>
      </c>
      <c r="AK172" s="33">
        <v>2288</v>
      </c>
      <c r="AL172" s="33">
        <v>2288</v>
      </c>
      <c r="AM172" s="33">
        <v>2275</v>
      </c>
      <c r="AN172" s="33">
        <v>2275</v>
      </c>
      <c r="AO172" s="33">
        <v>2275</v>
      </c>
      <c r="AP172" s="33">
        <v>2275</v>
      </c>
      <c r="AQ172" s="33">
        <v>2275</v>
      </c>
      <c r="AR172" s="33">
        <v>2263</v>
      </c>
      <c r="AS172" s="33">
        <v>2263</v>
      </c>
      <c r="AT172" s="33">
        <v>2263</v>
      </c>
      <c r="AU172" s="33">
        <v>2263</v>
      </c>
      <c r="AV172" s="33">
        <v>2263</v>
      </c>
      <c r="AW172" s="33">
        <v>2250</v>
      </c>
      <c r="AX172" s="33">
        <v>2250</v>
      </c>
      <c r="AY172" s="33">
        <v>2250</v>
      </c>
      <c r="AZ172" s="33">
        <v>2250</v>
      </c>
      <c r="BA172" s="33">
        <v>2250</v>
      </c>
      <c r="BB172" s="33">
        <v>2250</v>
      </c>
      <c r="BC172" s="33">
        <v>2250</v>
      </c>
      <c r="BD172" s="33">
        <v>2250</v>
      </c>
      <c r="BE172" s="33">
        <v>2250</v>
      </c>
      <c r="BF172" s="33">
        <v>2250</v>
      </c>
      <c r="BG172" s="33">
        <v>2250</v>
      </c>
      <c r="BH172" s="33">
        <v>2250</v>
      </c>
      <c r="BI172" s="33">
        <v>2250</v>
      </c>
      <c r="BJ172" s="33">
        <v>2250</v>
      </c>
      <c r="BK172" s="33">
        <v>2250</v>
      </c>
      <c r="BL172" s="33">
        <v>2250</v>
      </c>
      <c r="BM172" s="33">
        <v>2250</v>
      </c>
      <c r="BN172" s="33">
        <v>2250</v>
      </c>
      <c r="BO172" s="33">
        <v>2250</v>
      </c>
      <c r="BP172" s="33">
        <v>2250</v>
      </c>
      <c r="BQ172" s="33">
        <v>2250</v>
      </c>
    </row>
    <row r="173" spans="1:69" s="34" customFormat="1" hidden="1" x14ac:dyDescent="0.25">
      <c r="A173" s="33">
        <v>18</v>
      </c>
      <c r="B173" s="33" t="s">
        <v>124</v>
      </c>
      <c r="C173" s="36" t="s">
        <v>125</v>
      </c>
      <c r="D173" s="33">
        <v>2</v>
      </c>
      <c r="E173" s="36" t="s">
        <v>491</v>
      </c>
      <c r="F173" s="33"/>
      <c r="G173" s="33" t="s">
        <v>500</v>
      </c>
      <c r="H173" s="33">
        <v>0</v>
      </c>
      <c r="I173" s="33">
        <v>95</v>
      </c>
      <c r="J173" s="33">
        <v>95</v>
      </c>
      <c r="K173" s="33">
        <v>95</v>
      </c>
      <c r="L173" s="33">
        <v>95</v>
      </c>
      <c r="M173" s="33">
        <v>95</v>
      </c>
      <c r="N173" s="33">
        <v>95</v>
      </c>
      <c r="O173" s="33">
        <v>95</v>
      </c>
      <c r="P173" s="33">
        <v>95</v>
      </c>
      <c r="Q173" s="33">
        <v>95</v>
      </c>
      <c r="R173" s="33">
        <v>95</v>
      </c>
      <c r="S173" s="33">
        <v>95</v>
      </c>
      <c r="T173" s="33">
        <v>95</v>
      </c>
      <c r="U173" s="33">
        <v>95</v>
      </c>
      <c r="V173" s="33">
        <v>95</v>
      </c>
      <c r="W173" s="33">
        <v>95</v>
      </c>
      <c r="X173" s="33">
        <v>91</v>
      </c>
      <c r="Y173" s="33">
        <v>91</v>
      </c>
      <c r="Z173" s="33">
        <v>91</v>
      </c>
      <c r="AA173" s="33">
        <v>91</v>
      </c>
      <c r="AB173" s="33">
        <v>91</v>
      </c>
      <c r="AC173" s="33">
        <v>88</v>
      </c>
      <c r="AD173" s="33">
        <v>88</v>
      </c>
      <c r="AE173" s="33">
        <v>88</v>
      </c>
      <c r="AF173" s="33">
        <v>88</v>
      </c>
      <c r="AG173" s="33">
        <v>88</v>
      </c>
      <c r="AH173" s="33">
        <v>87</v>
      </c>
      <c r="AI173" s="33">
        <v>87</v>
      </c>
      <c r="AJ173" s="33">
        <v>87</v>
      </c>
      <c r="AK173" s="33">
        <v>87</v>
      </c>
      <c r="AL173" s="33">
        <v>87</v>
      </c>
      <c r="AM173" s="33">
        <v>86</v>
      </c>
      <c r="AN173" s="33">
        <v>86</v>
      </c>
      <c r="AO173" s="33">
        <v>86</v>
      </c>
      <c r="AP173" s="33">
        <v>86</v>
      </c>
      <c r="AQ173" s="33">
        <v>86</v>
      </c>
      <c r="AR173" s="33">
        <v>85</v>
      </c>
      <c r="AS173" s="33">
        <v>85</v>
      </c>
      <c r="AT173" s="33">
        <v>85</v>
      </c>
      <c r="AU173" s="33">
        <v>85</v>
      </c>
      <c r="AV173" s="33">
        <v>85</v>
      </c>
      <c r="AW173" s="33">
        <v>84</v>
      </c>
      <c r="AX173" s="33">
        <v>84</v>
      </c>
      <c r="AY173" s="33">
        <v>84</v>
      </c>
      <c r="AZ173" s="33">
        <v>84</v>
      </c>
      <c r="BA173" s="33">
        <v>84</v>
      </c>
      <c r="BB173" s="33">
        <v>84</v>
      </c>
      <c r="BC173" s="33">
        <v>84</v>
      </c>
      <c r="BD173" s="33">
        <v>84</v>
      </c>
      <c r="BE173" s="33">
        <v>84</v>
      </c>
      <c r="BF173" s="33">
        <v>84</v>
      </c>
      <c r="BG173" s="33">
        <v>84</v>
      </c>
      <c r="BH173" s="33">
        <v>84</v>
      </c>
      <c r="BI173" s="33">
        <v>84</v>
      </c>
      <c r="BJ173" s="33">
        <v>84</v>
      </c>
      <c r="BK173" s="33">
        <v>84</v>
      </c>
      <c r="BL173" s="33">
        <v>84</v>
      </c>
      <c r="BM173" s="33">
        <v>84</v>
      </c>
      <c r="BN173" s="33">
        <v>84</v>
      </c>
      <c r="BO173" s="33">
        <v>84</v>
      </c>
      <c r="BP173" s="33">
        <v>84</v>
      </c>
      <c r="BQ173" s="33">
        <v>84</v>
      </c>
    </row>
    <row r="174" spans="1:69" s="34" customFormat="1" hidden="1" x14ac:dyDescent="0.25">
      <c r="A174" s="33">
        <v>18</v>
      </c>
      <c r="B174" s="33" t="s">
        <v>124</v>
      </c>
      <c r="C174" s="36" t="s">
        <v>125</v>
      </c>
      <c r="D174" s="33">
        <v>3</v>
      </c>
      <c r="E174" s="36" t="s">
        <v>492</v>
      </c>
      <c r="F174" s="33"/>
      <c r="G174" s="33" t="s">
        <v>490</v>
      </c>
      <c r="H174" s="33">
        <v>0</v>
      </c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</row>
    <row r="175" spans="1:69" s="34" customFormat="1" hidden="1" x14ac:dyDescent="0.25">
      <c r="A175" s="33">
        <v>18</v>
      </c>
      <c r="B175" s="33" t="s">
        <v>124</v>
      </c>
      <c r="C175" s="36" t="s">
        <v>125</v>
      </c>
      <c r="D175" s="33">
        <v>4</v>
      </c>
      <c r="E175" s="36" t="s">
        <v>493</v>
      </c>
      <c r="F175" s="33"/>
      <c r="G175" s="33" t="s">
        <v>500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1.7600000000000001E-3</v>
      </c>
      <c r="P175" s="33">
        <v>6.4999999999999997E-3</v>
      </c>
      <c r="Q175" s="33">
        <v>7.26E-3</v>
      </c>
      <c r="R175" s="33">
        <v>7.26E-3</v>
      </c>
      <c r="S175" s="33">
        <v>7.26E-3</v>
      </c>
      <c r="T175" s="33">
        <v>7.26E-3</v>
      </c>
      <c r="U175" s="33">
        <v>7.26E-3</v>
      </c>
      <c r="V175" s="33">
        <v>7.26E-3</v>
      </c>
      <c r="W175" s="33">
        <v>7.26E-3</v>
      </c>
      <c r="X175" s="33">
        <v>7.26E-3</v>
      </c>
      <c r="Y175" s="33">
        <v>7.26E-3</v>
      </c>
      <c r="Z175" s="33">
        <v>7.26E-3</v>
      </c>
      <c r="AA175" s="33">
        <v>7.26E-3</v>
      </c>
      <c r="AB175" s="33">
        <v>7.26E-3</v>
      </c>
      <c r="AC175" s="33">
        <v>7.26E-3</v>
      </c>
      <c r="AD175" s="33">
        <v>7.26E-3</v>
      </c>
      <c r="AE175" s="33">
        <v>7.26E-3</v>
      </c>
      <c r="AF175" s="33">
        <v>7.26E-3</v>
      </c>
      <c r="AG175" s="33">
        <v>7.26E-3</v>
      </c>
      <c r="AH175" s="33">
        <v>7.26E-3</v>
      </c>
      <c r="AI175" s="33">
        <v>7.26E-3</v>
      </c>
      <c r="AJ175" s="33">
        <v>7.26E-3</v>
      </c>
      <c r="AK175" s="33">
        <v>7.26E-3</v>
      </c>
      <c r="AL175" s="33">
        <v>7.26E-3</v>
      </c>
      <c r="AM175" s="33">
        <v>7.26E-3</v>
      </c>
      <c r="AN175" s="33">
        <v>7.26E-3</v>
      </c>
      <c r="AO175" s="33">
        <v>7.26E-3</v>
      </c>
      <c r="AP175" s="33">
        <v>7.26E-3</v>
      </c>
      <c r="AQ175" s="33">
        <v>7.26E-3</v>
      </c>
      <c r="AR175" s="33">
        <v>7.26E-3</v>
      </c>
      <c r="AS175" s="33">
        <v>7.26E-3</v>
      </c>
      <c r="AT175" s="33">
        <v>7.26E-3</v>
      </c>
      <c r="AU175" s="33">
        <v>7.26E-3</v>
      </c>
      <c r="AV175" s="33">
        <v>7.26E-3</v>
      </c>
      <c r="AW175" s="33">
        <v>7.26E-3</v>
      </c>
      <c r="AX175" s="33">
        <v>7.26E-3</v>
      </c>
      <c r="AY175" s="33">
        <v>7.26E-3</v>
      </c>
      <c r="AZ175" s="33">
        <v>7.26E-3</v>
      </c>
      <c r="BA175" s="33">
        <v>7.26E-3</v>
      </c>
      <c r="BB175" s="33">
        <v>7.26E-3</v>
      </c>
      <c r="BC175" s="33">
        <v>7.26E-3</v>
      </c>
      <c r="BD175" s="33">
        <v>7.26E-3</v>
      </c>
      <c r="BE175" s="33">
        <v>7.26E-3</v>
      </c>
      <c r="BF175" s="33">
        <v>7.26E-3</v>
      </c>
      <c r="BG175" s="33">
        <v>7.26E-3</v>
      </c>
      <c r="BH175" s="33">
        <v>7.26E-3</v>
      </c>
      <c r="BI175" s="33">
        <v>7.26E-3</v>
      </c>
      <c r="BJ175" s="33">
        <v>7.26E-3</v>
      </c>
      <c r="BK175" s="33">
        <v>7.26E-3</v>
      </c>
      <c r="BL175" s="33">
        <v>7.26E-3</v>
      </c>
      <c r="BM175" s="33">
        <v>7.26E-3</v>
      </c>
      <c r="BN175" s="33">
        <v>7.26E-3</v>
      </c>
      <c r="BO175" s="33">
        <v>7.26E-3</v>
      </c>
      <c r="BP175" s="33">
        <v>7.26E-3</v>
      </c>
      <c r="BQ175" s="33">
        <v>7.26E-3</v>
      </c>
    </row>
    <row r="176" spans="1:69" s="34" customFormat="1" hidden="1" x14ac:dyDescent="0.25">
      <c r="A176" s="33">
        <v>18</v>
      </c>
      <c r="B176" s="33" t="s">
        <v>124</v>
      </c>
      <c r="C176" s="36" t="s">
        <v>125</v>
      </c>
      <c r="D176" s="33">
        <v>5</v>
      </c>
      <c r="E176" s="36" t="s">
        <v>494</v>
      </c>
      <c r="F176" s="33"/>
      <c r="G176" s="33" t="s">
        <v>500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1.7600000000000001E-3</v>
      </c>
      <c r="P176" s="33">
        <v>6.4999999999999997E-3</v>
      </c>
      <c r="Q176" s="33">
        <v>7.26E-3</v>
      </c>
      <c r="R176" s="33">
        <v>7.26E-3</v>
      </c>
      <c r="S176" s="33">
        <v>7.26E-3</v>
      </c>
      <c r="T176" s="33">
        <v>8.320000000000001E-3</v>
      </c>
      <c r="U176" s="33">
        <v>0.10026</v>
      </c>
      <c r="V176" s="33">
        <v>0.2</v>
      </c>
      <c r="W176" s="33">
        <v>0.2</v>
      </c>
      <c r="X176" s="33">
        <v>0.2</v>
      </c>
      <c r="Y176" s="33">
        <v>0.2</v>
      </c>
      <c r="Z176" s="33">
        <v>0.2</v>
      </c>
      <c r="AA176" s="33">
        <v>0.2</v>
      </c>
      <c r="AB176" s="33">
        <v>0.2</v>
      </c>
      <c r="AC176" s="33">
        <v>0.2</v>
      </c>
      <c r="AD176" s="33">
        <v>0.2</v>
      </c>
      <c r="AE176" s="33">
        <v>0.2</v>
      </c>
      <c r="AF176" s="33">
        <v>0.2</v>
      </c>
      <c r="AG176" s="33">
        <v>0.2</v>
      </c>
      <c r="AH176" s="33">
        <v>0.2</v>
      </c>
      <c r="AI176" s="33">
        <v>0.2</v>
      </c>
      <c r="AJ176" s="33">
        <v>0.2</v>
      </c>
      <c r="AK176" s="33">
        <v>0.2</v>
      </c>
      <c r="AL176" s="33">
        <v>0.2</v>
      </c>
      <c r="AM176" s="33">
        <v>0.2</v>
      </c>
      <c r="AN176" s="33">
        <v>0.2</v>
      </c>
      <c r="AO176" s="33">
        <v>0.2</v>
      </c>
      <c r="AP176" s="33">
        <v>0.2</v>
      </c>
      <c r="AQ176" s="33">
        <v>0.2</v>
      </c>
      <c r="AR176" s="33">
        <v>0.2</v>
      </c>
      <c r="AS176" s="33">
        <v>0.2</v>
      </c>
      <c r="AT176" s="33">
        <v>0.2</v>
      </c>
      <c r="AU176" s="33">
        <v>0.2</v>
      </c>
      <c r="AV176" s="33">
        <v>0.2</v>
      </c>
      <c r="AW176" s="33">
        <v>0.2</v>
      </c>
      <c r="AX176" s="33">
        <v>0.2</v>
      </c>
      <c r="AY176" s="33">
        <v>0.2</v>
      </c>
      <c r="AZ176" s="33">
        <v>0.2</v>
      </c>
      <c r="BA176" s="33">
        <v>0.2</v>
      </c>
      <c r="BB176" s="33">
        <v>0.2</v>
      </c>
      <c r="BC176" s="33">
        <v>0.2</v>
      </c>
      <c r="BD176" s="33">
        <v>0.2</v>
      </c>
      <c r="BE176" s="33">
        <v>0.2</v>
      </c>
      <c r="BF176" s="33">
        <v>0.2</v>
      </c>
      <c r="BG176" s="33">
        <v>0.2</v>
      </c>
      <c r="BH176" s="33">
        <v>0.2</v>
      </c>
      <c r="BI176" s="33">
        <v>0.2</v>
      </c>
      <c r="BJ176" s="33">
        <v>0.2</v>
      </c>
      <c r="BK176" s="33">
        <v>0.2</v>
      </c>
      <c r="BL176" s="33">
        <v>0.2</v>
      </c>
      <c r="BM176" s="33">
        <v>0.2</v>
      </c>
      <c r="BN176" s="33">
        <v>0.2</v>
      </c>
      <c r="BO176" s="33">
        <v>0.2</v>
      </c>
      <c r="BP176" s="33">
        <v>0.2</v>
      </c>
      <c r="BQ176" s="33">
        <v>0.2</v>
      </c>
    </row>
    <row r="177" spans="1:69" s="34" customFormat="1" hidden="1" x14ac:dyDescent="0.25">
      <c r="A177" s="33">
        <v>18</v>
      </c>
      <c r="B177" s="33" t="s">
        <v>124</v>
      </c>
      <c r="C177" s="36" t="s">
        <v>125</v>
      </c>
      <c r="D177" s="33">
        <v>6</v>
      </c>
      <c r="E177" s="36" t="s">
        <v>495</v>
      </c>
      <c r="F177" s="33"/>
      <c r="G177" s="33" t="s">
        <v>490</v>
      </c>
      <c r="H177" s="33">
        <v>0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</row>
    <row r="178" spans="1:69" s="34" customFormat="1" hidden="1" x14ac:dyDescent="0.25">
      <c r="A178" s="33">
        <v>18</v>
      </c>
      <c r="B178" s="33" t="s">
        <v>124</v>
      </c>
      <c r="C178" s="36" t="s">
        <v>125</v>
      </c>
      <c r="D178" s="33">
        <v>7</v>
      </c>
      <c r="E178" s="36" t="s">
        <v>496</v>
      </c>
      <c r="F178" s="33"/>
      <c r="G178" s="33" t="s">
        <v>500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>
        <v>3.8915409367295997E-2</v>
      </c>
      <c r="P178" s="33">
        <v>0.10073676805517449</v>
      </c>
      <c r="Q178" s="33">
        <v>0.16220000000000001</v>
      </c>
      <c r="R178" s="33">
        <v>0.14660000000000001</v>
      </c>
      <c r="S178" s="33">
        <v>0.15670000000000001</v>
      </c>
      <c r="T178" s="33">
        <v>0.15010000000000001</v>
      </c>
      <c r="U178" s="33">
        <v>0.1537</v>
      </c>
      <c r="V178" s="33">
        <v>0.1585</v>
      </c>
      <c r="W178" s="33">
        <v>0.15970000000000001</v>
      </c>
      <c r="X178" s="33">
        <v>0.1641</v>
      </c>
      <c r="Y178" s="33">
        <v>0.16839999999999999</v>
      </c>
      <c r="Z178" s="33">
        <v>0.17369999999999999</v>
      </c>
      <c r="AA178" s="33">
        <v>0.1736</v>
      </c>
      <c r="AB178" s="33">
        <v>0.1774</v>
      </c>
      <c r="AC178" s="33">
        <v>0.1822</v>
      </c>
      <c r="AD178" s="33">
        <v>0.1855</v>
      </c>
      <c r="AE178" s="33">
        <v>0.19070000000000001</v>
      </c>
      <c r="AF178" s="33">
        <v>0.19620000000000001</v>
      </c>
      <c r="AG178" s="33">
        <v>0.2014</v>
      </c>
      <c r="AH178" s="33">
        <v>0.20610000000000001</v>
      </c>
      <c r="AI178" s="33">
        <v>0.21179999999999999</v>
      </c>
      <c r="AJ178" s="33">
        <v>0.2165</v>
      </c>
      <c r="AK178" s="33">
        <v>0.22189999999999999</v>
      </c>
      <c r="AL178" s="33">
        <v>0.2273</v>
      </c>
      <c r="AM178" s="33">
        <v>0.23269999999999999</v>
      </c>
      <c r="AN178" s="33">
        <v>0.23780000000000001</v>
      </c>
      <c r="AO178" s="33">
        <v>0.2432</v>
      </c>
      <c r="AP178" s="33">
        <v>0.2472</v>
      </c>
      <c r="AQ178" s="33">
        <v>0.25259999999999999</v>
      </c>
      <c r="AR178" s="33">
        <v>0.25700000000000001</v>
      </c>
      <c r="AS178" s="33">
        <v>0.26269999999999999</v>
      </c>
      <c r="AT178" s="33">
        <v>0.26719999999999999</v>
      </c>
      <c r="AU178" s="33">
        <v>0.27179999999999999</v>
      </c>
      <c r="AV178" s="33">
        <v>0.27629999999999999</v>
      </c>
      <c r="AW178" s="33">
        <v>0.28100000000000003</v>
      </c>
      <c r="AX178" s="33">
        <v>0.2908</v>
      </c>
      <c r="AY178" s="33">
        <v>0.29580000000000001</v>
      </c>
      <c r="AZ178" s="33">
        <v>0.3009</v>
      </c>
      <c r="BA178" s="33">
        <v>0.30599999999999999</v>
      </c>
      <c r="BB178" s="33">
        <v>0.31130000000000002</v>
      </c>
      <c r="BC178" s="33">
        <v>0.3165</v>
      </c>
      <c r="BD178" s="33">
        <v>0.32169999999999999</v>
      </c>
      <c r="BE178" s="33">
        <v>0.32690000000000002</v>
      </c>
      <c r="BF178" s="33">
        <v>0.33210000000000001</v>
      </c>
      <c r="BG178" s="33">
        <v>0.33750000000000002</v>
      </c>
      <c r="BH178" s="33">
        <v>0.34279999999999999</v>
      </c>
      <c r="BI178" s="33">
        <v>0.3483</v>
      </c>
      <c r="BJ178" s="33">
        <v>0.35370000000000001</v>
      </c>
      <c r="BK178" s="33">
        <v>0.35920000000000002</v>
      </c>
      <c r="BL178" s="33">
        <v>0.36470000000000002</v>
      </c>
      <c r="BM178" s="33">
        <v>0.37030000000000002</v>
      </c>
      <c r="BN178" s="33">
        <v>0.37590000000000001</v>
      </c>
      <c r="BO178" s="33">
        <v>0.38150000000000001</v>
      </c>
      <c r="BP178" s="33">
        <v>0.38719999999999999</v>
      </c>
      <c r="BQ178" s="33">
        <v>0.39290000000000003</v>
      </c>
    </row>
    <row r="179" spans="1:69" s="34" customFormat="1" hidden="1" x14ac:dyDescent="0.25">
      <c r="A179" s="33">
        <v>18</v>
      </c>
      <c r="B179" s="33" t="s">
        <v>124</v>
      </c>
      <c r="C179" s="36" t="s">
        <v>125</v>
      </c>
      <c r="D179" s="33">
        <v>8</v>
      </c>
      <c r="E179" s="36" t="s">
        <v>497</v>
      </c>
      <c r="F179" s="33"/>
      <c r="G179" s="33" t="s">
        <v>490</v>
      </c>
      <c r="H179" s="33">
        <v>0</v>
      </c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</row>
    <row r="180" spans="1:69" s="34" customFormat="1" hidden="1" x14ac:dyDescent="0.25">
      <c r="A180" s="33">
        <v>18</v>
      </c>
      <c r="B180" s="33" t="s">
        <v>124</v>
      </c>
      <c r="C180" s="36" t="s">
        <v>125</v>
      </c>
      <c r="D180" s="33">
        <v>9</v>
      </c>
      <c r="E180" s="36" t="s">
        <v>498</v>
      </c>
      <c r="F180" s="33"/>
      <c r="G180" s="33" t="s">
        <v>500</v>
      </c>
      <c r="H180" s="33">
        <v>0</v>
      </c>
      <c r="I180" s="54">
        <v>0.88700000000000001</v>
      </c>
      <c r="J180" s="54">
        <v>0.88700000000000001</v>
      </c>
      <c r="K180" s="54">
        <v>0.88700000000000001</v>
      </c>
      <c r="L180" s="54">
        <v>0.88700000000000001</v>
      </c>
      <c r="M180" s="54">
        <v>0.88700000000000001</v>
      </c>
      <c r="N180" s="54">
        <v>0.88700000000000001</v>
      </c>
      <c r="O180" s="54">
        <v>0.9</v>
      </c>
      <c r="P180" s="33">
        <v>0.8</v>
      </c>
      <c r="Q180" s="33">
        <v>0.75309999999999999</v>
      </c>
      <c r="R180" s="33">
        <v>0.68079999999999996</v>
      </c>
      <c r="S180" s="33">
        <v>0.72760000000000002</v>
      </c>
      <c r="T180" s="33">
        <v>0.60809999999999997</v>
      </c>
      <c r="U180" s="33">
        <v>0.75</v>
      </c>
      <c r="V180" s="33">
        <v>0.75</v>
      </c>
      <c r="W180" s="33">
        <v>0.75</v>
      </c>
      <c r="X180" s="33">
        <v>0.75</v>
      </c>
      <c r="Y180" s="33">
        <v>0.75</v>
      </c>
      <c r="Z180" s="33">
        <v>0.75</v>
      </c>
      <c r="AA180" s="33">
        <v>0.75</v>
      </c>
      <c r="AB180" s="33">
        <v>0.75</v>
      </c>
      <c r="AC180" s="33">
        <v>0.75</v>
      </c>
      <c r="AD180" s="33">
        <v>0.75</v>
      </c>
      <c r="AE180" s="33">
        <v>0.75</v>
      </c>
      <c r="AF180" s="33">
        <v>0.75</v>
      </c>
      <c r="AG180" s="33">
        <v>0.75</v>
      </c>
      <c r="AH180" s="33">
        <v>0.75</v>
      </c>
      <c r="AI180" s="33">
        <v>0.75</v>
      </c>
      <c r="AJ180" s="33">
        <v>0.75</v>
      </c>
      <c r="AK180" s="33">
        <v>0.75</v>
      </c>
      <c r="AL180" s="33">
        <v>0.75</v>
      </c>
      <c r="AM180" s="33">
        <v>0.75</v>
      </c>
      <c r="AN180" s="33">
        <v>0.75</v>
      </c>
      <c r="AO180" s="33">
        <v>0.75</v>
      </c>
      <c r="AP180" s="33">
        <v>0.75</v>
      </c>
      <c r="AQ180" s="33">
        <v>0.75</v>
      </c>
      <c r="AR180" s="33">
        <v>0.75</v>
      </c>
      <c r="AS180" s="33">
        <v>0.75</v>
      </c>
      <c r="AT180" s="33">
        <v>0.75</v>
      </c>
      <c r="AU180" s="33">
        <v>0.75</v>
      </c>
      <c r="AV180" s="33">
        <v>0.75</v>
      </c>
      <c r="AW180" s="33">
        <v>0.75</v>
      </c>
      <c r="AX180" s="33">
        <v>0.72760000000000002</v>
      </c>
      <c r="AY180" s="33">
        <v>0.72760000000000002</v>
      </c>
      <c r="AZ180" s="33">
        <v>0.72760000000000002</v>
      </c>
      <c r="BA180" s="33">
        <v>0.72760000000000002</v>
      </c>
      <c r="BB180" s="33">
        <v>0.72760000000000002</v>
      </c>
      <c r="BC180" s="33">
        <v>0.72760000000000002</v>
      </c>
      <c r="BD180" s="33">
        <v>0.72760000000000002</v>
      </c>
      <c r="BE180" s="33">
        <v>0.72760000000000002</v>
      </c>
      <c r="BF180" s="33">
        <v>0.72760000000000002</v>
      </c>
      <c r="BG180" s="33">
        <v>0.72760000000000002</v>
      </c>
      <c r="BH180" s="33">
        <v>0.72760000000000002</v>
      </c>
      <c r="BI180" s="33">
        <v>0.72760000000000002</v>
      </c>
      <c r="BJ180" s="33">
        <v>0.72760000000000002</v>
      </c>
      <c r="BK180" s="33">
        <v>0.72760000000000002</v>
      </c>
      <c r="BL180" s="33">
        <v>0.72760000000000002</v>
      </c>
      <c r="BM180" s="33">
        <v>0.72760000000000002</v>
      </c>
      <c r="BN180" s="33">
        <v>0.72760000000000002</v>
      </c>
      <c r="BO180" s="33">
        <v>0.72760000000000002</v>
      </c>
      <c r="BP180" s="33">
        <v>0.72760000000000002</v>
      </c>
      <c r="BQ180" s="33">
        <v>0.72760000000000002</v>
      </c>
    </row>
    <row r="181" spans="1:69" s="34" customFormat="1" hidden="1" x14ac:dyDescent="0.25">
      <c r="A181" s="33">
        <v>18</v>
      </c>
      <c r="B181" s="33" t="s">
        <v>124</v>
      </c>
      <c r="C181" s="36" t="s">
        <v>125</v>
      </c>
      <c r="D181" s="33">
        <v>10</v>
      </c>
      <c r="E181" s="36" t="s">
        <v>499</v>
      </c>
      <c r="F181" s="33"/>
      <c r="G181" s="33" t="s">
        <v>501</v>
      </c>
      <c r="H181" s="33">
        <v>0</v>
      </c>
      <c r="I181" s="33">
        <v>0.95</v>
      </c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</row>
    <row r="182" spans="1:69" s="44" customFormat="1" hidden="1" x14ac:dyDescent="0.25">
      <c r="A182" s="43">
        <v>19</v>
      </c>
      <c r="B182" s="43" t="s">
        <v>126</v>
      </c>
      <c r="C182" s="20" t="s">
        <v>127</v>
      </c>
      <c r="D182" s="43">
        <v>1</v>
      </c>
      <c r="E182" s="20" t="s">
        <v>489</v>
      </c>
      <c r="F182" s="43"/>
      <c r="G182" s="43" t="s">
        <v>500</v>
      </c>
      <c r="H182" s="43">
        <v>0</v>
      </c>
      <c r="I182" s="43">
        <v>2600</v>
      </c>
      <c r="J182" s="43">
        <v>2600</v>
      </c>
      <c r="K182" s="43">
        <v>2600</v>
      </c>
      <c r="L182" s="43">
        <v>2600</v>
      </c>
      <c r="M182" s="43">
        <v>2600</v>
      </c>
      <c r="N182" s="43">
        <v>2600</v>
      </c>
      <c r="O182" s="43">
        <v>2600</v>
      </c>
      <c r="P182" s="43">
        <v>2600</v>
      </c>
      <c r="Q182" s="43">
        <v>2600</v>
      </c>
      <c r="R182" s="43">
        <v>2593.5</v>
      </c>
      <c r="S182" s="43">
        <v>2587</v>
      </c>
      <c r="T182" s="43">
        <v>2580.5</v>
      </c>
      <c r="U182" s="43">
        <v>2574</v>
      </c>
      <c r="V182" s="43">
        <v>2567.5</v>
      </c>
      <c r="W182" s="43">
        <v>2561</v>
      </c>
      <c r="X182" s="43">
        <v>2554.5</v>
      </c>
      <c r="Y182" s="43">
        <v>2548</v>
      </c>
      <c r="Z182" s="43">
        <v>2541.5</v>
      </c>
      <c r="AA182" s="43">
        <v>2535</v>
      </c>
      <c r="AB182" s="43">
        <v>2528.5</v>
      </c>
      <c r="AC182" s="43">
        <v>2522</v>
      </c>
      <c r="AD182" s="43">
        <v>2515.5</v>
      </c>
      <c r="AE182" s="43">
        <v>2509</v>
      </c>
      <c r="AF182" s="43">
        <v>2502.5</v>
      </c>
      <c r="AG182" s="43">
        <v>2496</v>
      </c>
      <c r="AH182" s="43">
        <v>2489.5</v>
      </c>
      <c r="AI182" s="43">
        <v>2483</v>
      </c>
      <c r="AJ182" s="43">
        <v>2476.5</v>
      </c>
      <c r="AK182" s="43">
        <v>2470</v>
      </c>
      <c r="AL182" s="43">
        <v>2463.5</v>
      </c>
      <c r="AM182" s="43">
        <v>2457</v>
      </c>
      <c r="AN182" s="43">
        <v>2450.5</v>
      </c>
      <c r="AO182" s="43">
        <v>2444</v>
      </c>
      <c r="AP182" s="43">
        <v>2437.5</v>
      </c>
      <c r="AQ182" s="43">
        <v>2431</v>
      </c>
      <c r="AR182" s="43">
        <v>2424.5</v>
      </c>
      <c r="AS182" s="43">
        <v>2418</v>
      </c>
      <c r="AT182" s="43">
        <v>2411.5</v>
      </c>
      <c r="AU182" s="43">
        <v>2405</v>
      </c>
      <c r="AV182" s="43">
        <v>2398.5</v>
      </c>
      <c r="AW182" s="43">
        <v>2392</v>
      </c>
      <c r="AX182" s="43">
        <v>2250</v>
      </c>
      <c r="AY182" s="43">
        <v>2250</v>
      </c>
      <c r="AZ182" s="43">
        <v>2250</v>
      </c>
      <c r="BA182" s="43">
        <v>2250</v>
      </c>
      <c r="BB182" s="43">
        <v>2250</v>
      </c>
      <c r="BC182" s="43">
        <v>2250</v>
      </c>
      <c r="BD182" s="43">
        <v>2250</v>
      </c>
      <c r="BE182" s="43">
        <v>2250</v>
      </c>
      <c r="BF182" s="43">
        <v>2250</v>
      </c>
      <c r="BG182" s="43">
        <v>2250</v>
      </c>
      <c r="BH182" s="43">
        <v>2250</v>
      </c>
      <c r="BI182" s="43">
        <v>2250</v>
      </c>
      <c r="BJ182" s="43">
        <v>2250</v>
      </c>
      <c r="BK182" s="43">
        <v>2250</v>
      </c>
      <c r="BL182" s="43">
        <v>2250</v>
      </c>
      <c r="BM182" s="43">
        <v>2250</v>
      </c>
      <c r="BN182" s="43">
        <v>2250</v>
      </c>
      <c r="BO182" s="43">
        <v>2250</v>
      </c>
      <c r="BP182" s="43">
        <v>2250</v>
      </c>
      <c r="BQ182" s="43">
        <v>2250</v>
      </c>
    </row>
    <row r="183" spans="1:69" s="44" customFormat="1" hidden="1" x14ac:dyDescent="0.25">
      <c r="A183" s="43">
        <v>19</v>
      </c>
      <c r="B183" s="43" t="s">
        <v>126</v>
      </c>
      <c r="C183" s="20" t="s">
        <v>127</v>
      </c>
      <c r="D183" s="43">
        <v>2</v>
      </c>
      <c r="E183" s="20" t="s">
        <v>491</v>
      </c>
      <c r="F183" s="43"/>
      <c r="G183" s="43" t="s">
        <v>500</v>
      </c>
      <c r="H183" s="43">
        <v>0</v>
      </c>
      <c r="I183" s="43">
        <v>95</v>
      </c>
      <c r="J183" s="43">
        <v>95</v>
      </c>
      <c r="K183" s="43">
        <v>95</v>
      </c>
      <c r="L183" s="43">
        <v>95</v>
      </c>
      <c r="M183" s="43">
        <v>95</v>
      </c>
      <c r="N183" s="43">
        <v>95</v>
      </c>
      <c r="O183" s="43">
        <v>95</v>
      </c>
      <c r="P183" s="43">
        <v>95</v>
      </c>
      <c r="Q183" s="43">
        <v>95</v>
      </c>
      <c r="R183" s="43">
        <v>95</v>
      </c>
      <c r="S183" s="43">
        <v>95</v>
      </c>
      <c r="T183" s="43">
        <v>95</v>
      </c>
      <c r="U183" s="43">
        <v>95</v>
      </c>
      <c r="V183" s="43">
        <v>95</v>
      </c>
      <c r="W183" s="43">
        <v>95</v>
      </c>
      <c r="X183" s="43">
        <v>95</v>
      </c>
      <c r="Y183" s="43">
        <v>95</v>
      </c>
      <c r="Z183" s="43">
        <v>95</v>
      </c>
      <c r="AA183" s="43">
        <v>95</v>
      </c>
      <c r="AB183" s="43">
        <v>95</v>
      </c>
      <c r="AC183" s="43">
        <v>95</v>
      </c>
      <c r="AD183" s="43">
        <v>95</v>
      </c>
      <c r="AE183" s="43">
        <v>95</v>
      </c>
      <c r="AF183" s="43">
        <v>95</v>
      </c>
      <c r="AG183" s="43">
        <v>95</v>
      </c>
      <c r="AH183" s="43">
        <v>95</v>
      </c>
      <c r="AI183" s="43">
        <v>95</v>
      </c>
      <c r="AJ183" s="43">
        <v>95</v>
      </c>
      <c r="AK183" s="43">
        <v>95</v>
      </c>
      <c r="AL183" s="43">
        <v>95</v>
      </c>
      <c r="AM183" s="43">
        <v>95</v>
      </c>
      <c r="AN183" s="43">
        <v>95</v>
      </c>
      <c r="AO183" s="43">
        <v>95</v>
      </c>
      <c r="AP183" s="43">
        <v>95</v>
      </c>
      <c r="AQ183" s="43">
        <v>95</v>
      </c>
      <c r="AR183" s="43">
        <v>95</v>
      </c>
      <c r="AS183" s="43">
        <v>95</v>
      </c>
      <c r="AT183" s="43">
        <v>95</v>
      </c>
      <c r="AU183" s="43">
        <v>95</v>
      </c>
      <c r="AV183" s="43">
        <v>95</v>
      </c>
      <c r="AW183" s="43">
        <v>95</v>
      </c>
      <c r="AX183" s="43">
        <v>95</v>
      </c>
      <c r="AY183" s="43">
        <v>95</v>
      </c>
      <c r="AZ183" s="43">
        <v>95</v>
      </c>
      <c r="BA183" s="43">
        <v>95</v>
      </c>
      <c r="BB183" s="43">
        <v>95</v>
      </c>
      <c r="BC183" s="43">
        <v>95</v>
      </c>
      <c r="BD183" s="43">
        <v>95</v>
      </c>
      <c r="BE183" s="43">
        <v>95</v>
      </c>
      <c r="BF183" s="43">
        <v>95</v>
      </c>
      <c r="BG183" s="43">
        <v>95</v>
      </c>
      <c r="BH183" s="43">
        <v>95</v>
      </c>
      <c r="BI183" s="43">
        <v>95</v>
      </c>
      <c r="BJ183" s="43">
        <v>95</v>
      </c>
      <c r="BK183" s="43">
        <v>95</v>
      </c>
      <c r="BL183" s="43">
        <v>95</v>
      </c>
      <c r="BM183" s="43">
        <v>95</v>
      </c>
      <c r="BN183" s="43">
        <v>95</v>
      </c>
      <c r="BO183" s="43">
        <v>95</v>
      </c>
      <c r="BP183" s="43">
        <v>95</v>
      </c>
      <c r="BQ183" s="43">
        <v>95</v>
      </c>
    </row>
    <row r="184" spans="1:69" s="44" customFormat="1" hidden="1" x14ac:dyDescent="0.25">
      <c r="A184" s="43">
        <v>19</v>
      </c>
      <c r="B184" s="43" t="s">
        <v>126</v>
      </c>
      <c r="C184" s="20" t="s">
        <v>127</v>
      </c>
      <c r="D184" s="43">
        <v>3</v>
      </c>
      <c r="E184" s="20" t="s">
        <v>492</v>
      </c>
      <c r="F184" s="43"/>
      <c r="G184" s="43" t="s">
        <v>490</v>
      </c>
      <c r="H184" s="43">
        <v>0</v>
      </c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</row>
    <row r="185" spans="1:69" s="44" customFormat="1" hidden="1" x14ac:dyDescent="0.25">
      <c r="A185" s="43">
        <v>19</v>
      </c>
      <c r="B185" s="43" t="s">
        <v>126</v>
      </c>
      <c r="C185" s="20" t="s">
        <v>127</v>
      </c>
      <c r="D185" s="43">
        <v>4</v>
      </c>
      <c r="E185" s="20" t="s">
        <v>493</v>
      </c>
      <c r="F185" s="43"/>
      <c r="G185" s="43" t="s">
        <v>490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</row>
    <row r="186" spans="1:69" s="44" customFormat="1" hidden="1" x14ac:dyDescent="0.25">
      <c r="A186" s="43">
        <v>19</v>
      </c>
      <c r="B186" s="43" t="s">
        <v>126</v>
      </c>
      <c r="C186" s="20" t="s">
        <v>127</v>
      </c>
      <c r="D186" s="43">
        <v>5</v>
      </c>
      <c r="E186" s="20" t="s">
        <v>494</v>
      </c>
      <c r="F186" s="43"/>
      <c r="G186" s="43" t="s">
        <v>500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</row>
    <row r="187" spans="1:69" s="44" customFormat="1" hidden="1" x14ac:dyDescent="0.25">
      <c r="A187" s="43">
        <v>19</v>
      </c>
      <c r="B187" s="43" t="s">
        <v>126</v>
      </c>
      <c r="C187" s="20" t="s">
        <v>127</v>
      </c>
      <c r="D187" s="43">
        <v>6</v>
      </c>
      <c r="E187" s="20" t="s">
        <v>495</v>
      </c>
      <c r="F187" s="43"/>
      <c r="G187" s="43" t="s">
        <v>490</v>
      </c>
      <c r="H187" s="43">
        <v>0</v>
      </c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</row>
    <row r="188" spans="1:69" s="44" customFormat="1" hidden="1" x14ac:dyDescent="0.25">
      <c r="A188" s="43">
        <v>19</v>
      </c>
      <c r="B188" s="43" t="s">
        <v>126</v>
      </c>
      <c r="C188" s="20" t="s">
        <v>127</v>
      </c>
      <c r="D188" s="43">
        <v>7</v>
      </c>
      <c r="E188" s="20" t="s">
        <v>496</v>
      </c>
      <c r="F188" s="43"/>
      <c r="G188" s="43" t="s">
        <v>490</v>
      </c>
      <c r="H188" s="43">
        <v>0</v>
      </c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</row>
    <row r="189" spans="1:69" s="44" customFormat="1" hidden="1" x14ac:dyDescent="0.25">
      <c r="A189" s="43">
        <v>19</v>
      </c>
      <c r="B189" s="43" t="s">
        <v>126</v>
      </c>
      <c r="C189" s="20" t="s">
        <v>127</v>
      </c>
      <c r="D189" s="43">
        <v>8</v>
      </c>
      <c r="E189" s="20" t="s">
        <v>497</v>
      </c>
      <c r="F189" s="43"/>
      <c r="G189" s="43" t="s">
        <v>490</v>
      </c>
      <c r="H189" s="43">
        <v>0</v>
      </c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</row>
    <row r="190" spans="1:69" s="44" customFormat="1" hidden="1" x14ac:dyDescent="0.25">
      <c r="A190" s="43">
        <v>19</v>
      </c>
      <c r="B190" s="43" t="s">
        <v>126</v>
      </c>
      <c r="C190" s="20" t="s">
        <v>127</v>
      </c>
      <c r="D190" s="43">
        <v>9</v>
      </c>
      <c r="E190" s="20" t="s">
        <v>498</v>
      </c>
      <c r="F190" s="43"/>
      <c r="G190" s="43" t="s">
        <v>500</v>
      </c>
      <c r="H190" s="43">
        <v>0</v>
      </c>
      <c r="I190" s="43">
        <v>0.88700000000000001</v>
      </c>
      <c r="J190" s="43">
        <v>0.88700000000000001</v>
      </c>
      <c r="K190" s="43">
        <v>0.88700000000000001</v>
      </c>
      <c r="L190" s="43">
        <v>0.88700000000000001</v>
      </c>
      <c r="M190" s="43">
        <v>0.88700000000000001</v>
      </c>
      <c r="N190" s="43">
        <v>0.88700000000000001</v>
      </c>
      <c r="O190" s="43">
        <v>0.88700000000000001</v>
      </c>
      <c r="P190" s="43">
        <v>0.51729999999999998</v>
      </c>
      <c r="Q190" s="43">
        <v>0.31850000000000001</v>
      </c>
      <c r="R190" s="43">
        <v>0.34439999999999998</v>
      </c>
      <c r="S190" s="43">
        <v>0.35520000000000002</v>
      </c>
      <c r="T190" s="43">
        <v>0.35520000000000002</v>
      </c>
      <c r="U190" s="43">
        <v>0.35520000000000002</v>
      </c>
      <c r="V190" s="43">
        <v>0.35520000000000002</v>
      </c>
      <c r="W190" s="43">
        <v>0.35520000000000002</v>
      </c>
      <c r="X190" s="43">
        <v>0.35520000000000002</v>
      </c>
      <c r="Y190" s="43">
        <v>0.35520000000000002</v>
      </c>
      <c r="Z190" s="43">
        <v>0.35520000000000002</v>
      </c>
      <c r="AA190" s="43">
        <v>0.35520000000000002</v>
      </c>
      <c r="AB190" s="43">
        <v>0.35520000000000002</v>
      </c>
      <c r="AC190" s="43">
        <v>0.35520000000000002</v>
      </c>
      <c r="AD190" s="43">
        <v>0.35520000000000002</v>
      </c>
      <c r="AE190" s="43">
        <v>0.35520000000000002</v>
      </c>
      <c r="AF190" s="43">
        <v>0.35520000000000002</v>
      </c>
      <c r="AG190" s="43">
        <v>0.35520000000000002</v>
      </c>
      <c r="AH190" s="43">
        <v>0.35520000000000002</v>
      </c>
      <c r="AI190" s="43">
        <v>0.35520000000000002</v>
      </c>
      <c r="AJ190" s="43">
        <v>0.35520000000000002</v>
      </c>
      <c r="AK190" s="43">
        <v>0.35520000000000002</v>
      </c>
      <c r="AL190" s="43">
        <v>0.35520000000000002</v>
      </c>
      <c r="AM190" s="43">
        <v>0.35520000000000002</v>
      </c>
      <c r="AN190" s="43">
        <v>0.35520000000000002</v>
      </c>
      <c r="AO190" s="43">
        <v>0.35520000000000002</v>
      </c>
      <c r="AP190" s="43">
        <v>0.35520000000000002</v>
      </c>
      <c r="AQ190" s="43">
        <v>0.35520000000000002</v>
      </c>
      <c r="AR190" s="43">
        <v>0.35520000000000002</v>
      </c>
      <c r="AS190" s="43">
        <v>0.35520000000000002</v>
      </c>
      <c r="AT190" s="43">
        <v>0.35520000000000002</v>
      </c>
      <c r="AU190" s="43">
        <v>0.35520000000000002</v>
      </c>
      <c r="AV190" s="43">
        <v>0.35520000000000002</v>
      </c>
      <c r="AW190" s="43">
        <v>0.35520000000000002</v>
      </c>
      <c r="AX190" s="43">
        <v>0.35520000000000002</v>
      </c>
      <c r="AY190" s="43">
        <v>0.35520000000000002</v>
      </c>
      <c r="AZ190" s="43">
        <v>0.35520000000000002</v>
      </c>
      <c r="BA190" s="43">
        <v>0.35520000000000002</v>
      </c>
      <c r="BB190" s="43">
        <v>0.35520000000000002</v>
      </c>
      <c r="BC190" s="43">
        <v>0.35520000000000002</v>
      </c>
      <c r="BD190" s="43">
        <v>0.35520000000000002</v>
      </c>
      <c r="BE190" s="43">
        <v>0.35520000000000002</v>
      </c>
      <c r="BF190" s="43">
        <v>0.35520000000000002</v>
      </c>
      <c r="BG190" s="43">
        <v>0.35520000000000002</v>
      </c>
      <c r="BH190" s="43">
        <v>0.35520000000000002</v>
      </c>
      <c r="BI190" s="43">
        <v>0.35520000000000002</v>
      </c>
      <c r="BJ190" s="43">
        <v>0.35520000000000002</v>
      </c>
      <c r="BK190" s="43">
        <v>0.35520000000000002</v>
      </c>
      <c r="BL190" s="43">
        <v>0.35520000000000002</v>
      </c>
      <c r="BM190" s="43">
        <v>0.35520000000000002</v>
      </c>
      <c r="BN190" s="43">
        <v>0.35520000000000002</v>
      </c>
      <c r="BO190" s="43">
        <v>0.35520000000000002</v>
      </c>
      <c r="BP190" s="43">
        <v>0.35520000000000002</v>
      </c>
      <c r="BQ190" s="43">
        <v>0.35520000000000002</v>
      </c>
    </row>
    <row r="191" spans="1:69" s="44" customFormat="1" hidden="1" x14ac:dyDescent="0.25">
      <c r="A191" s="43">
        <v>19</v>
      </c>
      <c r="B191" s="43" t="s">
        <v>126</v>
      </c>
      <c r="C191" s="20" t="s">
        <v>127</v>
      </c>
      <c r="D191" s="43">
        <v>10</v>
      </c>
      <c r="E191" s="20" t="s">
        <v>499</v>
      </c>
      <c r="F191" s="43"/>
      <c r="G191" s="43" t="s">
        <v>501</v>
      </c>
      <c r="H191" s="43">
        <v>0</v>
      </c>
      <c r="I191" s="43">
        <v>0.95</v>
      </c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</row>
    <row r="192" spans="1:69" s="34" customFormat="1" hidden="1" x14ac:dyDescent="0.25">
      <c r="A192" s="33">
        <v>20</v>
      </c>
      <c r="B192" s="33" t="s">
        <v>128</v>
      </c>
      <c r="C192" s="36" t="s">
        <v>129</v>
      </c>
      <c r="D192" s="33">
        <v>1</v>
      </c>
      <c r="E192" s="36" t="s">
        <v>489</v>
      </c>
      <c r="F192" s="33"/>
      <c r="G192" s="33" t="s">
        <v>500</v>
      </c>
      <c r="H192" s="33">
        <v>0</v>
      </c>
      <c r="I192" s="33">
        <v>2600</v>
      </c>
      <c r="J192" s="33">
        <v>2600</v>
      </c>
      <c r="K192" s="33">
        <v>2600</v>
      </c>
      <c r="L192" s="33">
        <v>2600</v>
      </c>
      <c r="M192" s="33">
        <v>2600</v>
      </c>
      <c r="N192" s="33">
        <v>2600</v>
      </c>
      <c r="O192" s="33">
        <v>2600</v>
      </c>
      <c r="P192" s="33">
        <v>2600</v>
      </c>
      <c r="Q192" s="33">
        <v>2600</v>
      </c>
      <c r="R192" s="33">
        <v>2593.5</v>
      </c>
      <c r="S192" s="33">
        <v>2587</v>
      </c>
      <c r="T192" s="33">
        <v>2580.5</v>
      </c>
      <c r="U192" s="33">
        <v>2574</v>
      </c>
      <c r="V192" s="33">
        <v>2567.5</v>
      </c>
      <c r="W192" s="33">
        <v>2561</v>
      </c>
      <c r="X192" s="33">
        <v>2554.5</v>
      </c>
      <c r="Y192" s="33">
        <v>2548</v>
      </c>
      <c r="Z192" s="33">
        <v>2541.5</v>
      </c>
      <c r="AA192" s="33">
        <v>2535</v>
      </c>
      <c r="AB192" s="33">
        <v>2528.5</v>
      </c>
      <c r="AC192" s="33">
        <v>2522</v>
      </c>
      <c r="AD192" s="33">
        <v>2515.5</v>
      </c>
      <c r="AE192" s="33">
        <v>2509</v>
      </c>
      <c r="AF192" s="33">
        <v>2502.5</v>
      </c>
      <c r="AG192" s="33">
        <v>2496</v>
      </c>
      <c r="AH192" s="33">
        <v>2489.5</v>
      </c>
      <c r="AI192" s="33">
        <v>2483</v>
      </c>
      <c r="AJ192" s="33">
        <v>2476.5</v>
      </c>
      <c r="AK192" s="33">
        <v>2470</v>
      </c>
      <c r="AL192" s="33">
        <v>2463.5</v>
      </c>
      <c r="AM192" s="33">
        <v>2457</v>
      </c>
      <c r="AN192" s="33">
        <v>2450.5</v>
      </c>
      <c r="AO192" s="33">
        <v>2444</v>
      </c>
      <c r="AP192" s="33">
        <v>2437.5</v>
      </c>
      <c r="AQ192" s="33">
        <v>2431</v>
      </c>
      <c r="AR192" s="33">
        <v>2424.5</v>
      </c>
      <c r="AS192" s="33">
        <v>2418</v>
      </c>
      <c r="AT192" s="33">
        <v>2411.5</v>
      </c>
      <c r="AU192" s="33">
        <v>2405</v>
      </c>
      <c r="AV192" s="33">
        <v>2398.5</v>
      </c>
      <c r="AW192" s="33">
        <v>2392</v>
      </c>
      <c r="AX192" s="33">
        <v>2392</v>
      </c>
      <c r="AY192" s="33">
        <v>2392</v>
      </c>
      <c r="AZ192" s="33">
        <v>2392</v>
      </c>
      <c r="BA192" s="33">
        <v>2392</v>
      </c>
      <c r="BB192" s="33">
        <v>2392</v>
      </c>
      <c r="BC192" s="33">
        <v>2392</v>
      </c>
      <c r="BD192" s="33">
        <v>2392</v>
      </c>
      <c r="BE192" s="33">
        <v>2392</v>
      </c>
      <c r="BF192" s="33">
        <v>2392</v>
      </c>
      <c r="BG192" s="33">
        <v>2392</v>
      </c>
      <c r="BH192" s="33">
        <v>2392</v>
      </c>
      <c r="BI192" s="33">
        <v>2392</v>
      </c>
      <c r="BJ192" s="33">
        <v>2392</v>
      </c>
      <c r="BK192" s="33">
        <v>2392</v>
      </c>
      <c r="BL192" s="33">
        <v>2392</v>
      </c>
      <c r="BM192" s="33">
        <v>2392</v>
      </c>
      <c r="BN192" s="33">
        <v>2392</v>
      </c>
      <c r="BO192" s="33">
        <v>2392</v>
      </c>
      <c r="BP192" s="33">
        <v>2392</v>
      </c>
      <c r="BQ192" s="33">
        <v>2392</v>
      </c>
    </row>
    <row r="193" spans="1:69" s="34" customFormat="1" hidden="1" x14ac:dyDescent="0.25">
      <c r="A193" s="33">
        <v>20</v>
      </c>
      <c r="B193" s="33" t="s">
        <v>128</v>
      </c>
      <c r="C193" s="36" t="s">
        <v>129</v>
      </c>
      <c r="D193" s="33">
        <v>2</v>
      </c>
      <c r="E193" s="36" t="s">
        <v>491</v>
      </c>
      <c r="F193" s="33"/>
      <c r="G193" s="33" t="s">
        <v>501</v>
      </c>
      <c r="H193" s="33">
        <v>0</v>
      </c>
      <c r="I193" s="33">
        <v>90</v>
      </c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</row>
    <row r="194" spans="1:69" s="34" customFormat="1" hidden="1" x14ac:dyDescent="0.25">
      <c r="A194" s="33">
        <v>20</v>
      </c>
      <c r="B194" s="33" t="s">
        <v>128</v>
      </c>
      <c r="C194" s="36" t="s">
        <v>129</v>
      </c>
      <c r="D194" s="33">
        <v>3</v>
      </c>
      <c r="E194" s="36" t="s">
        <v>492</v>
      </c>
      <c r="F194" s="33"/>
      <c r="G194" s="33" t="s">
        <v>490</v>
      </c>
      <c r="H194" s="33">
        <v>0</v>
      </c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</row>
    <row r="195" spans="1:69" s="34" customFormat="1" hidden="1" x14ac:dyDescent="0.25">
      <c r="A195" s="33">
        <v>20</v>
      </c>
      <c r="B195" s="33" t="s">
        <v>128</v>
      </c>
      <c r="C195" s="36" t="s">
        <v>129</v>
      </c>
      <c r="D195" s="33">
        <v>4</v>
      </c>
      <c r="E195" s="36" t="s">
        <v>493</v>
      </c>
      <c r="F195" s="33"/>
      <c r="G195" s="33" t="s">
        <v>500</v>
      </c>
      <c r="H195" s="33">
        <v>0</v>
      </c>
      <c r="I195" s="33">
        <v>0.1013</v>
      </c>
      <c r="J195" s="33">
        <v>0.1013</v>
      </c>
      <c r="K195" s="33">
        <v>0.1013</v>
      </c>
      <c r="L195" s="33">
        <v>0.1013</v>
      </c>
      <c r="M195" s="33">
        <v>0.13639999999999999</v>
      </c>
      <c r="N195" s="33">
        <v>0.13639999999999999</v>
      </c>
      <c r="O195" s="33">
        <v>0.13639999999999999</v>
      </c>
      <c r="P195" s="33">
        <v>0.13639999999999999</v>
      </c>
      <c r="Q195" s="33">
        <v>0.14430000000000001</v>
      </c>
      <c r="R195" s="33">
        <v>0.14430000000000001</v>
      </c>
      <c r="S195" s="33">
        <v>0.14430000000000001</v>
      </c>
      <c r="T195" s="33">
        <v>0.14430000000000001</v>
      </c>
      <c r="U195" s="33">
        <v>0.14430000000000001</v>
      </c>
      <c r="V195" s="33">
        <v>0.14430000000000001</v>
      </c>
      <c r="W195" s="33">
        <v>0.14430000000000001</v>
      </c>
      <c r="X195" s="33">
        <v>0.14430000000000001</v>
      </c>
      <c r="Y195" s="33">
        <v>0.14430000000000001</v>
      </c>
      <c r="Z195" s="33">
        <v>0.14430000000000001</v>
      </c>
      <c r="AA195" s="33">
        <v>0.14430000000000001</v>
      </c>
      <c r="AB195" s="33">
        <v>0.14430000000000001</v>
      </c>
      <c r="AC195" s="33">
        <v>0.14430000000000001</v>
      </c>
      <c r="AD195" s="33">
        <v>0.14430000000000001</v>
      </c>
      <c r="AE195" s="33">
        <v>0.14430000000000001</v>
      </c>
      <c r="AF195" s="33">
        <v>0.14430000000000001</v>
      </c>
      <c r="AG195" s="33">
        <v>0.14430000000000001</v>
      </c>
      <c r="AH195" s="33">
        <v>0</v>
      </c>
      <c r="AI195" s="33">
        <v>0</v>
      </c>
      <c r="AJ195" s="33">
        <v>0</v>
      </c>
      <c r="AK195" s="33">
        <v>0</v>
      </c>
      <c r="AL195" s="33">
        <v>0</v>
      </c>
      <c r="AM195" s="33">
        <v>0</v>
      </c>
      <c r="AN195" s="33">
        <v>0</v>
      </c>
      <c r="AO195" s="33">
        <v>0</v>
      </c>
      <c r="AP195" s="33">
        <v>0</v>
      </c>
      <c r="AQ195" s="33">
        <v>0</v>
      </c>
      <c r="AR195" s="33">
        <v>0</v>
      </c>
      <c r="AS195" s="33">
        <v>0</v>
      </c>
      <c r="AT195" s="33">
        <v>0</v>
      </c>
      <c r="AU195" s="33">
        <v>0</v>
      </c>
      <c r="AV195" s="33">
        <v>0</v>
      </c>
      <c r="AW195" s="33">
        <v>0</v>
      </c>
      <c r="AX195" s="33">
        <v>0</v>
      </c>
      <c r="AY195" s="33">
        <v>0</v>
      </c>
      <c r="AZ195" s="33">
        <v>0</v>
      </c>
      <c r="BA195" s="33">
        <v>0</v>
      </c>
      <c r="BB195" s="33">
        <v>0</v>
      </c>
      <c r="BC195" s="33">
        <v>0</v>
      </c>
      <c r="BD195" s="33">
        <v>0</v>
      </c>
      <c r="BE195" s="33">
        <v>0</v>
      </c>
      <c r="BF195" s="33">
        <v>0</v>
      </c>
      <c r="BG195" s="33">
        <v>0</v>
      </c>
      <c r="BH195" s="33">
        <v>0</v>
      </c>
      <c r="BI195" s="33">
        <v>0</v>
      </c>
      <c r="BJ195" s="33">
        <v>0</v>
      </c>
      <c r="BK195" s="33">
        <v>0</v>
      </c>
      <c r="BL195" s="33">
        <v>0</v>
      </c>
      <c r="BM195" s="33">
        <v>0</v>
      </c>
      <c r="BN195" s="33">
        <v>0</v>
      </c>
      <c r="BO195" s="33">
        <v>0</v>
      </c>
      <c r="BP195" s="33">
        <v>0</v>
      </c>
      <c r="BQ195" s="33">
        <v>0</v>
      </c>
    </row>
    <row r="196" spans="1:69" s="34" customFormat="1" hidden="1" x14ac:dyDescent="0.25">
      <c r="A196" s="33">
        <v>20</v>
      </c>
      <c r="B196" s="33" t="s">
        <v>128</v>
      </c>
      <c r="C196" s="36" t="s">
        <v>129</v>
      </c>
      <c r="D196" s="33">
        <v>5</v>
      </c>
      <c r="E196" s="36" t="s">
        <v>494</v>
      </c>
      <c r="F196" s="33"/>
      <c r="G196" s="33" t="s">
        <v>500</v>
      </c>
      <c r="H196" s="33">
        <v>0</v>
      </c>
      <c r="I196" s="33">
        <v>0.1013</v>
      </c>
      <c r="J196" s="33">
        <v>0.1013</v>
      </c>
      <c r="K196" s="33">
        <v>0.1013</v>
      </c>
      <c r="L196" s="33">
        <v>0.1013</v>
      </c>
      <c r="M196" s="33">
        <v>0.13639999999999999</v>
      </c>
      <c r="N196" s="33">
        <v>0.13639999999999999</v>
      </c>
      <c r="O196" s="33">
        <v>0.13639999999999999</v>
      </c>
      <c r="P196" s="33">
        <v>0.13639999999999999</v>
      </c>
      <c r="Q196" s="33">
        <v>0.14430000000000001</v>
      </c>
      <c r="R196" s="33">
        <v>0.14430000000000001</v>
      </c>
      <c r="S196" s="33">
        <v>0.14430000000000001</v>
      </c>
      <c r="T196" s="33">
        <v>0.14430000000000001</v>
      </c>
      <c r="U196" s="33">
        <v>99999</v>
      </c>
      <c r="V196" s="33">
        <v>99999</v>
      </c>
      <c r="W196" s="33">
        <v>99999</v>
      </c>
      <c r="X196" s="33">
        <v>99999</v>
      </c>
      <c r="Y196" s="33">
        <v>99999</v>
      </c>
      <c r="Z196" s="33">
        <v>99999</v>
      </c>
      <c r="AA196" s="33">
        <v>99999</v>
      </c>
      <c r="AB196" s="33">
        <v>99999</v>
      </c>
      <c r="AC196" s="33">
        <v>99999</v>
      </c>
      <c r="AD196" s="33">
        <v>99999</v>
      </c>
      <c r="AE196" s="33">
        <v>99999</v>
      </c>
      <c r="AF196" s="33">
        <v>99999</v>
      </c>
      <c r="AG196" s="33">
        <v>99999</v>
      </c>
      <c r="AH196" s="33">
        <v>99999</v>
      </c>
      <c r="AI196" s="33">
        <v>99999</v>
      </c>
      <c r="AJ196" s="33">
        <v>99999</v>
      </c>
      <c r="AK196" s="33">
        <v>99999</v>
      </c>
      <c r="AL196" s="33">
        <v>99999</v>
      </c>
      <c r="AM196" s="33">
        <v>99999</v>
      </c>
      <c r="AN196" s="33">
        <v>99999</v>
      </c>
      <c r="AO196" s="33">
        <v>99999</v>
      </c>
      <c r="AP196" s="33">
        <v>99999</v>
      </c>
      <c r="AQ196" s="33">
        <v>99999</v>
      </c>
      <c r="AR196" s="33">
        <v>99999</v>
      </c>
      <c r="AS196" s="33">
        <v>99999</v>
      </c>
      <c r="AT196" s="33">
        <v>99999</v>
      </c>
      <c r="AU196" s="33">
        <v>99999</v>
      </c>
      <c r="AV196" s="33">
        <v>99999</v>
      </c>
      <c r="AW196" s="33">
        <v>99999</v>
      </c>
      <c r="AX196" s="33">
        <v>99999</v>
      </c>
      <c r="AY196" s="33">
        <v>99999</v>
      </c>
      <c r="AZ196" s="33">
        <v>99999</v>
      </c>
      <c r="BA196" s="33">
        <v>99999</v>
      </c>
      <c r="BB196" s="33">
        <v>99999</v>
      </c>
      <c r="BC196" s="33">
        <v>99999</v>
      </c>
      <c r="BD196" s="33">
        <v>99999</v>
      </c>
      <c r="BE196" s="33">
        <v>99999</v>
      </c>
      <c r="BF196" s="33">
        <v>99999</v>
      </c>
      <c r="BG196" s="33">
        <v>99999</v>
      </c>
      <c r="BH196" s="33">
        <v>99999</v>
      </c>
      <c r="BI196" s="33">
        <v>99999</v>
      </c>
      <c r="BJ196" s="33">
        <v>99999</v>
      </c>
      <c r="BK196" s="33">
        <v>99999</v>
      </c>
      <c r="BL196" s="33">
        <v>99999</v>
      </c>
      <c r="BM196" s="33">
        <v>99999</v>
      </c>
      <c r="BN196" s="33">
        <v>99999</v>
      </c>
      <c r="BO196" s="33">
        <v>99999</v>
      </c>
      <c r="BP196" s="33">
        <v>99999</v>
      </c>
      <c r="BQ196" s="33">
        <v>99999</v>
      </c>
    </row>
    <row r="197" spans="1:69" s="34" customFormat="1" hidden="1" x14ac:dyDescent="0.25">
      <c r="A197" s="33">
        <v>20</v>
      </c>
      <c r="B197" s="33" t="s">
        <v>128</v>
      </c>
      <c r="C197" s="36" t="s">
        <v>129</v>
      </c>
      <c r="D197" s="33">
        <v>6</v>
      </c>
      <c r="E197" s="36" t="s">
        <v>495</v>
      </c>
      <c r="F197" s="33"/>
      <c r="G197" s="33" t="s">
        <v>490</v>
      </c>
      <c r="H197" s="33">
        <v>0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</row>
    <row r="198" spans="1:69" s="34" customFormat="1" hidden="1" x14ac:dyDescent="0.25">
      <c r="A198" s="33">
        <v>20</v>
      </c>
      <c r="B198" s="33" t="s">
        <v>128</v>
      </c>
      <c r="C198" s="36" t="s">
        <v>129</v>
      </c>
      <c r="D198" s="33">
        <v>7</v>
      </c>
      <c r="E198" s="36" t="s">
        <v>496</v>
      </c>
      <c r="F198" s="33"/>
      <c r="G198" s="33" t="s">
        <v>500</v>
      </c>
      <c r="H198" s="33">
        <v>0</v>
      </c>
      <c r="I198" s="33">
        <v>0.84906704503647079</v>
      </c>
      <c r="J198">
        <v>0.94667819030063993</v>
      </c>
      <c r="K198">
        <v>0.94667819030063993</v>
      </c>
      <c r="L198">
        <v>0.94667819030063993</v>
      </c>
      <c r="M198">
        <v>1.2746979778579199</v>
      </c>
      <c r="N198">
        <v>1.2746979778579199</v>
      </c>
      <c r="O198">
        <v>1.2746979778579199</v>
      </c>
      <c r="P198">
        <v>1.2746979778579199</v>
      </c>
      <c r="Q198" s="33">
        <v>1.3623000000000001</v>
      </c>
      <c r="R198" s="33">
        <v>1.4731000000000001</v>
      </c>
      <c r="S198" s="33">
        <v>1.5194000000000001</v>
      </c>
      <c r="T198" s="33">
        <v>1.3275999999999999</v>
      </c>
      <c r="U198" s="33">
        <v>1.4172</v>
      </c>
      <c r="V198" s="33">
        <v>1.4618</v>
      </c>
      <c r="W198" s="33">
        <v>1.4723999999999999</v>
      </c>
      <c r="X198" s="33">
        <v>1.5128999999999999</v>
      </c>
      <c r="Y198" s="33">
        <v>1.5528</v>
      </c>
      <c r="Z198" s="33">
        <v>1.6013999999999999</v>
      </c>
      <c r="AA198" s="33">
        <v>1.6005</v>
      </c>
      <c r="AB198" s="33">
        <v>1.6354</v>
      </c>
      <c r="AC198" s="33">
        <v>1.6802999999999999</v>
      </c>
      <c r="AD198" s="33">
        <v>1.7104999999999999</v>
      </c>
      <c r="AE198" s="33">
        <v>1.7586999999999999</v>
      </c>
      <c r="AF198" s="33">
        <v>1.8091999999999999</v>
      </c>
      <c r="AG198" s="33">
        <v>1.8571</v>
      </c>
      <c r="AH198" s="33">
        <v>1.9006000000000001</v>
      </c>
      <c r="AI198" s="33">
        <v>1.9531000000000001</v>
      </c>
      <c r="AJ198" s="33">
        <v>1.9965999999999999</v>
      </c>
      <c r="AK198" s="33">
        <v>2.0464000000000002</v>
      </c>
      <c r="AL198" s="33">
        <v>2.0962000000000001</v>
      </c>
      <c r="AM198" s="33">
        <v>2.1457000000000002</v>
      </c>
      <c r="AN198" s="33">
        <v>2.1924999999999999</v>
      </c>
      <c r="AO198" s="33">
        <v>2.2422</v>
      </c>
      <c r="AP198" s="33">
        <v>2.2791999999999999</v>
      </c>
      <c r="AQ198" s="33">
        <v>2.3290000000000002</v>
      </c>
      <c r="AR198" s="33">
        <v>2.3694000000000002</v>
      </c>
      <c r="AS198" s="33">
        <v>2.4222000000000001</v>
      </c>
      <c r="AT198" s="33">
        <v>2.4634</v>
      </c>
      <c r="AU198" s="33">
        <v>2.5059</v>
      </c>
      <c r="AV198" s="33">
        <v>2.5476999999999999</v>
      </c>
      <c r="AW198" s="33">
        <v>2.5912999999999999</v>
      </c>
      <c r="AX198" s="33">
        <v>2.6810999999999998</v>
      </c>
      <c r="AY198" s="33">
        <v>2.7277999999999998</v>
      </c>
      <c r="AZ198" s="33">
        <v>2.7747999999999999</v>
      </c>
      <c r="BA198" s="33">
        <v>2.8216999999999999</v>
      </c>
      <c r="BB198" s="33">
        <v>2.8700999999999999</v>
      </c>
      <c r="BC198" s="33">
        <v>2.9180999999999999</v>
      </c>
      <c r="BD198" s="33">
        <v>2.9661</v>
      </c>
      <c r="BE198" s="33">
        <v>3.0141</v>
      </c>
      <c r="BF198" s="33">
        <v>3.0625</v>
      </c>
      <c r="BG198" s="33">
        <v>3.1116000000000001</v>
      </c>
      <c r="BH198" s="33">
        <v>3.1610999999999998</v>
      </c>
      <c r="BI198" s="33">
        <v>3.2113</v>
      </c>
      <c r="BJ198" s="33">
        <v>3.2614000000000001</v>
      </c>
      <c r="BK198" s="33">
        <v>3.3119999999999998</v>
      </c>
      <c r="BL198" s="33">
        <v>3.3632</v>
      </c>
      <c r="BM198" s="33">
        <v>3.4144000000000001</v>
      </c>
      <c r="BN198" s="33">
        <v>3.4659</v>
      </c>
      <c r="BO198" s="33">
        <v>3.5177999999999998</v>
      </c>
      <c r="BP198" s="33">
        <v>3.5703</v>
      </c>
      <c r="BQ198" s="33">
        <v>3.6232000000000002</v>
      </c>
    </row>
    <row r="199" spans="1:69" s="34" customFormat="1" hidden="1" x14ac:dyDescent="0.25">
      <c r="A199" s="33">
        <v>20</v>
      </c>
      <c r="B199" s="33" t="s">
        <v>128</v>
      </c>
      <c r="C199" s="36" t="s">
        <v>129</v>
      </c>
      <c r="D199" s="33">
        <v>8</v>
      </c>
      <c r="E199" s="36" t="s">
        <v>497</v>
      </c>
      <c r="F199" s="33"/>
      <c r="G199" s="33" t="s">
        <v>490</v>
      </c>
      <c r="H199" s="33">
        <v>0</v>
      </c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</row>
    <row r="200" spans="1:69" s="34" customFormat="1" hidden="1" x14ac:dyDescent="0.25">
      <c r="A200" s="33">
        <v>20</v>
      </c>
      <c r="B200" s="33" t="s">
        <v>128</v>
      </c>
      <c r="C200" s="36" t="s">
        <v>129</v>
      </c>
      <c r="D200" s="33">
        <v>9</v>
      </c>
      <c r="E200" s="36" t="s">
        <v>498</v>
      </c>
      <c r="F200" s="33"/>
      <c r="G200" s="33" t="s">
        <v>500</v>
      </c>
      <c r="H200" s="33">
        <v>0</v>
      </c>
      <c r="I200" s="33">
        <v>0.88700000000000001</v>
      </c>
      <c r="J200" s="33">
        <v>0.88700000000000001</v>
      </c>
      <c r="K200" s="33">
        <v>0.88700000000000001</v>
      </c>
      <c r="L200" s="33">
        <v>0.88700000000000001</v>
      </c>
      <c r="M200" s="33">
        <v>0.88700000000000001</v>
      </c>
      <c r="N200" s="33">
        <v>0.88700000000000001</v>
      </c>
      <c r="O200" s="33">
        <v>0.88700000000000001</v>
      </c>
      <c r="P200" s="33">
        <v>0.51729999999999998</v>
      </c>
      <c r="Q200" s="33">
        <v>0.31830000000000003</v>
      </c>
      <c r="R200" s="33">
        <v>0.34420000000000001</v>
      </c>
      <c r="S200" s="33">
        <v>0.35499999999999998</v>
      </c>
      <c r="T200" s="33">
        <v>0.31019999999999998</v>
      </c>
      <c r="U200" s="33">
        <v>0.32</v>
      </c>
      <c r="V200" s="33">
        <v>0.32</v>
      </c>
      <c r="W200" s="33">
        <v>0.32</v>
      </c>
      <c r="X200" s="33">
        <v>0.32</v>
      </c>
      <c r="Y200" s="33">
        <v>0.32</v>
      </c>
      <c r="Z200" s="33">
        <v>0.32</v>
      </c>
      <c r="AA200" s="33">
        <v>0.32</v>
      </c>
      <c r="AB200" s="33">
        <v>0.32</v>
      </c>
      <c r="AC200" s="33">
        <v>0.32</v>
      </c>
      <c r="AD200" s="33">
        <v>0.32</v>
      </c>
      <c r="AE200" s="33">
        <v>0.32</v>
      </c>
      <c r="AF200" s="33">
        <v>0.32</v>
      </c>
      <c r="AG200" s="33">
        <v>0.32</v>
      </c>
      <c r="AH200" s="33">
        <v>0.32</v>
      </c>
      <c r="AI200" s="33">
        <v>0.32</v>
      </c>
      <c r="AJ200" s="33">
        <v>0.32</v>
      </c>
      <c r="AK200" s="33">
        <v>0.32</v>
      </c>
      <c r="AL200" s="33">
        <v>0.32</v>
      </c>
      <c r="AM200" s="33">
        <v>0.32</v>
      </c>
      <c r="AN200" s="33">
        <v>0.32</v>
      </c>
      <c r="AO200" s="33">
        <v>0.32</v>
      </c>
      <c r="AP200" s="33">
        <v>0.32</v>
      </c>
      <c r="AQ200" s="33">
        <v>0.32</v>
      </c>
      <c r="AR200" s="33">
        <v>0.32</v>
      </c>
      <c r="AS200" s="33">
        <v>0.32</v>
      </c>
      <c r="AT200" s="33">
        <v>0.32</v>
      </c>
      <c r="AU200" s="33">
        <v>0.32</v>
      </c>
      <c r="AV200" s="33">
        <v>0.32</v>
      </c>
      <c r="AW200" s="33">
        <v>0.32</v>
      </c>
      <c r="AX200" s="33">
        <v>0.32</v>
      </c>
      <c r="AY200" s="33">
        <v>0.32</v>
      </c>
      <c r="AZ200" s="33">
        <v>0.32</v>
      </c>
      <c r="BA200" s="33">
        <v>0.32</v>
      </c>
      <c r="BB200" s="33">
        <v>0.32</v>
      </c>
      <c r="BC200" s="33">
        <v>0.32</v>
      </c>
      <c r="BD200" s="33">
        <v>0.32</v>
      </c>
      <c r="BE200" s="33">
        <v>0.32</v>
      </c>
      <c r="BF200" s="33">
        <v>0.32</v>
      </c>
      <c r="BG200" s="33">
        <v>0.32</v>
      </c>
      <c r="BH200" s="33">
        <v>0.32</v>
      </c>
      <c r="BI200" s="33">
        <v>0.32</v>
      </c>
      <c r="BJ200" s="33">
        <v>0.32</v>
      </c>
      <c r="BK200" s="33">
        <v>0.32</v>
      </c>
      <c r="BL200" s="33">
        <v>0.32</v>
      </c>
      <c r="BM200" s="33">
        <v>0.32</v>
      </c>
      <c r="BN200" s="33">
        <v>0.32</v>
      </c>
      <c r="BO200" s="33">
        <v>0.32</v>
      </c>
      <c r="BP200" s="33">
        <v>0.32</v>
      </c>
      <c r="BQ200" s="33">
        <v>0.32</v>
      </c>
    </row>
    <row r="201" spans="1:69" s="34" customFormat="1" hidden="1" x14ac:dyDescent="0.25">
      <c r="A201" s="33">
        <v>20</v>
      </c>
      <c r="B201" s="33" t="s">
        <v>128</v>
      </c>
      <c r="C201" s="36" t="s">
        <v>129</v>
      </c>
      <c r="D201" s="33">
        <v>10</v>
      </c>
      <c r="E201" s="36" t="s">
        <v>499</v>
      </c>
      <c r="F201" s="33"/>
      <c r="G201" s="33" t="s">
        <v>501</v>
      </c>
      <c r="H201" s="33">
        <v>0</v>
      </c>
      <c r="I201" s="33">
        <v>0.95</v>
      </c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</row>
    <row r="202" spans="1:69" s="44" customFormat="1" hidden="1" x14ac:dyDescent="0.25">
      <c r="A202" s="43">
        <v>21</v>
      </c>
      <c r="B202" s="43" t="s">
        <v>130</v>
      </c>
      <c r="C202" s="20" t="s">
        <v>131</v>
      </c>
      <c r="D202" s="43">
        <v>1</v>
      </c>
      <c r="E202" s="20" t="s">
        <v>489</v>
      </c>
      <c r="F202" s="43"/>
      <c r="G202" s="43" t="s">
        <v>500</v>
      </c>
      <c r="H202" s="43">
        <v>0</v>
      </c>
      <c r="I202" s="43">
        <v>2600</v>
      </c>
      <c r="J202" s="43">
        <v>2600</v>
      </c>
      <c r="K202" s="43">
        <v>2600</v>
      </c>
      <c r="L202" s="43">
        <v>2600</v>
      </c>
      <c r="M202" s="43">
        <v>2600</v>
      </c>
      <c r="N202" s="43">
        <v>2600</v>
      </c>
      <c r="O202" s="43">
        <v>2600</v>
      </c>
      <c r="P202" s="43">
        <v>2600</v>
      </c>
      <c r="Q202" s="43">
        <v>2600</v>
      </c>
      <c r="R202" s="43">
        <v>2593.5</v>
      </c>
      <c r="S202" s="43">
        <v>2587</v>
      </c>
      <c r="T202" s="43">
        <v>2580.5</v>
      </c>
      <c r="U202" s="43">
        <v>2574</v>
      </c>
      <c r="V202" s="43">
        <v>2567.5</v>
      </c>
      <c r="W202" s="43">
        <v>2561</v>
      </c>
      <c r="X202" s="43">
        <v>2554.5</v>
      </c>
      <c r="Y202" s="43">
        <v>2548</v>
      </c>
      <c r="Z202" s="43">
        <v>2541.5</v>
      </c>
      <c r="AA202" s="43">
        <v>2535</v>
      </c>
      <c r="AB202" s="43">
        <v>2528.5</v>
      </c>
      <c r="AC202" s="43">
        <v>2522</v>
      </c>
      <c r="AD202" s="43">
        <v>2515.5</v>
      </c>
      <c r="AE202" s="43">
        <v>2509</v>
      </c>
      <c r="AF202" s="43">
        <v>2502.5</v>
      </c>
      <c r="AG202" s="43">
        <v>2496</v>
      </c>
      <c r="AH202" s="43">
        <v>2489.5</v>
      </c>
      <c r="AI202" s="43">
        <v>2483</v>
      </c>
      <c r="AJ202" s="43">
        <v>2476.5</v>
      </c>
      <c r="AK202" s="43">
        <v>2470</v>
      </c>
      <c r="AL202" s="43">
        <v>2463.5</v>
      </c>
      <c r="AM202" s="43">
        <v>2457</v>
      </c>
      <c r="AN202" s="43">
        <v>2450.5</v>
      </c>
      <c r="AO202" s="43">
        <v>2444</v>
      </c>
      <c r="AP202" s="43">
        <v>2437.5</v>
      </c>
      <c r="AQ202" s="43">
        <v>2431</v>
      </c>
      <c r="AR202" s="43">
        <v>2424.5</v>
      </c>
      <c r="AS202" s="43">
        <v>2418</v>
      </c>
      <c r="AT202" s="43">
        <v>2411.5</v>
      </c>
      <c r="AU202" s="43">
        <v>2405</v>
      </c>
      <c r="AV202" s="43">
        <v>2398.5</v>
      </c>
      <c r="AW202" s="43">
        <v>2392</v>
      </c>
      <c r="AX202" s="43">
        <v>2250</v>
      </c>
      <c r="AY202" s="43">
        <v>2250</v>
      </c>
      <c r="AZ202" s="43">
        <v>2250</v>
      </c>
      <c r="BA202" s="43">
        <v>2250</v>
      </c>
      <c r="BB202" s="43">
        <v>2250</v>
      </c>
      <c r="BC202" s="43">
        <v>2250</v>
      </c>
      <c r="BD202" s="43">
        <v>2250</v>
      </c>
      <c r="BE202" s="43">
        <v>2250</v>
      </c>
      <c r="BF202" s="43">
        <v>2250</v>
      </c>
      <c r="BG202" s="43">
        <v>2250</v>
      </c>
      <c r="BH202" s="43">
        <v>2250</v>
      </c>
      <c r="BI202" s="43">
        <v>2250</v>
      </c>
      <c r="BJ202" s="43">
        <v>2250</v>
      </c>
      <c r="BK202" s="43">
        <v>2250</v>
      </c>
      <c r="BL202" s="43">
        <v>2250</v>
      </c>
      <c r="BM202" s="43">
        <v>2250</v>
      </c>
      <c r="BN202" s="43">
        <v>2250</v>
      </c>
      <c r="BO202" s="43">
        <v>2250</v>
      </c>
      <c r="BP202" s="43">
        <v>2250</v>
      </c>
      <c r="BQ202" s="43">
        <v>2250</v>
      </c>
    </row>
    <row r="203" spans="1:69" s="44" customFormat="1" hidden="1" x14ac:dyDescent="0.25">
      <c r="A203" s="43">
        <v>21</v>
      </c>
      <c r="B203" s="43" t="s">
        <v>130</v>
      </c>
      <c r="C203" s="20" t="s">
        <v>131</v>
      </c>
      <c r="D203" s="43">
        <v>2</v>
      </c>
      <c r="E203" s="20" t="s">
        <v>491</v>
      </c>
      <c r="F203" s="43"/>
      <c r="G203" s="43" t="s">
        <v>500</v>
      </c>
      <c r="H203" s="43">
        <v>0</v>
      </c>
      <c r="I203" s="43">
        <v>95</v>
      </c>
      <c r="J203" s="43">
        <v>95</v>
      </c>
      <c r="K203" s="43">
        <v>95</v>
      </c>
      <c r="L203" s="43">
        <v>95</v>
      </c>
      <c r="M203" s="43">
        <v>95</v>
      </c>
      <c r="N203" s="43">
        <v>95</v>
      </c>
      <c r="O203" s="43">
        <v>95</v>
      </c>
      <c r="P203" s="43">
        <v>95</v>
      </c>
      <c r="Q203" s="43">
        <v>95</v>
      </c>
      <c r="R203" s="43">
        <v>95</v>
      </c>
      <c r="S203" s="43">
        <v>95</v>
      </c>
      <c r="T203" s="43">
        <v>95</v>
      </c>
      <c r="U203" s="43">
        <v>95</v>
      </c>
      <c r="V203" s="43">
        <v>95</v>
      </c>
      <c r="W203" s="43">
        <v>95</v>
      </c>
      <c r="X203" s="43">
        <v>91</v>
      </c>
      <c r="Y203" s="43">
        <v>91</v>
      </c>
      <c r="Z203" s="43">
        <v>91</v>
      </c>
      <c r="AA203" s="43">
        <v>91</v>
      </c>
      <c r="AB203" s="43">
        <v>91</v>
      </c>
      <c r="AC203" s="43">
        <v>88</v>
      </c>
      <c r="AD203" s="43">
        <v>88</v>
      </c>
      <c r="AE203" s="43">
        <v>88</v>
      </c>
      <c r="AF203" s="43">
        <v>88</v>
      </c>
      <c r="AG203" s="43">
        <v>88</v>
      </c>
      <c r="AH203" s="43">
        <v>87</v>
      </c>
      <c r="AI203" s="43">
        <v>87</v>
      </c>
      <c r="AJ203" s="43">
        <v>87</v>
      </c>
      <c r="AK203" s="43">
        <v>87</v>
      </c>
      <c r="AL203" s="43">
        <v>87</v>
      </c>
      <c r="AM203" s="43">
        <v>86</v>
      </c>
      <c r="AN203" s="43">
        <v>86</v>
      </c>
      <c r="AO203" s="43">
        <v>86</v>
      </c>
      <c r="AP203" s="43">
        <v>86</v>
      </c>
      <c r="AQ203" s="43">
        <v>86</v>
      </c>
      <c r="AR203" s="43">
        <v>85</v>
      </c>
      <c r="AS203" s="43">
        <v>85</v>
      </c>
      <c r="AT203" s="43">
        <v>85</v>
      </c>
      <c r="AU203" s="43">
        <v>85</v>
      </c>
      <c r="AV203" s="43">
        <v>85</v>
      </c>
      <c r="AW203" s="43">
        <v>84</v>
      </c>
      <c r="AX203" s="43">
        <v>84</v>
      </c>
      <c r="AY203" s="43">
        <v>84</v>
      </c>
      <c r="AZ203" s="43">
        <v>84</v>
      </c>
      <c r="BA203" s="43">
        <v>84</v>
      </c>
      <c r="BB203" s="43">
        <v>84</v>
      </c>
      <c r="BC203" s="43">
        <v>84</v>
      </c>
      <c r="BD203" s="43">
        <v>84</v>
      </c>
      <c r="BE203" s="43">
        <v>84</v>
      </c>
      <c r="BF203" s="43">
        <v>84</v>
      </c>
      <c r="BG203" s="43">
        <v>84</v>
      </c>
      <c r="BH203" s="43">
        <v>84</v>
      </c>
      <c r="BI203" s="43">
        <v>84</v>
      </c>
      <c r="BJ203" s="43">
        <v>84</v>
      </c>
      <c r="BK203" s="43">
        <v>84</v>
      </c>
      <c r="BL203" s="43">
        <v>84</v>
      </c>
      <c r="BM203" s="43">
        <v>84</v>
      </c>
      <c r="BN203" s="43">
        <v>84</v>
      </c>
      <c r="BO203" s="43">
        <v>84</v>
      </c>
      <c r="BP203" s="43">
        <v>84</v>
      </c>
      <c r="BQ203" s="43">
        <v>84</v>
      </c>
    </row>
    <row r="204" spans="1:69" s="44" customFormat="1" hidden="1" x14ac:dyDescent="0.25">
      <c r="A204" s="43">
        <v>21</v>
      </c>
      <c r="B204" s="43" t="s">
        <v>130</v>
      </c>
      <c r="C204" s="20" t="s">
        <v>131</v>
      </c>
      <c r="D204" s="43">
        <v>3</v>
      </c>
      <c r="E204" s="20" t="s">
        <v>492</v>
      </c>
      <c r="F204" s="43"/>
      <c r="G204" s="43" t="s">
        <v>490</v>
      </c>
      <c r="H204" s="43">
        <v>0</v>
      </c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</row>
    <row r="205" spans="1:69" s="44" customFormat="1" hidden="1" x14ac:dyDescent="0.25">
      <c r="A205" s="43">
        <v>21</v>
      </c>
      <c r="B205" s="43" t="s">
        <v>130</v>
      </c>
      <c r="C205" s="20" t="s">
        <v>131</v>
      </c>
      <c r="D205" s="43">
        <v>4</v>
      </c>
      <c r="E205" s="20" t="s">
        <v>493</v>
      </c>
      <c r="F205" s="43"/>
      <c r="G205" s="43" t="s">
        <v>500</v>
      </c>
      <c r="H205" s="43">
        <v>0</v>
      </c>
      <c r="I205" s="43">
        <v>1E-3</v>
      </c>
      <c r="J205" s="43">
        <v>1E-3</v>
      </c>
      <c r="K205" s="43">
        <v>1E-3</v>
      </c>
      <c r="L205" s="43">
        <v>1E-3</v>
      </c>
      <c r="M205" s="43">
        <v>1E-3</v>
      </c>
      <c r="N205" s="43">
        <v>1E-3</v>
      </c>
      <c r="O205" s="43">
        <v>1E-3</v>
      </c>
      <c r="P205" s="43">
        <v>1E-3</v>
      </c>
      <c r="Q205" s="43">
        <v>1E-3</v>
      </c>
      <c r="R205" s="43">
        <v>1E-3</v>
      </c>
      <c r="S205" s="43">
        <v>1E-3</v>
      </c>
      <c r="T205" s="43">
        <v>1E-3</v>
      </c>
      <c r="U205" s="43">
        <v>1E-3</v>
      </c>
      <c r="V205" s="43">
        <v>1E-3</v>
      </c>
      <c r="W205" s="43">
        <v>1E-3</v>
      </c>
      <c r="X205" s="43">
        <v>1E-3</v>
      </c>
      <c r="Y205" s="43">
        <v>1E-3</v>
      </c>
      <c r="Z205" s="43">
        <v>1E-3</v>
      </c>
      <c r="AA205" s="43">
        <v>1E-3</v>
      </c>
      <c r="AB205" s="43">
        <v>1E-3</v>
      </c>
      <c r="AC205" s="43">
        <v>1E-3</v>
      </c>
      <c r="AD205" s="43">
        <v>1E-3</v>
      </c>
      <c r="AE205" s="43">
        <v>1E-3</v>
      </c>
      <c r="AF205" s="43">
        <v>1E-3</v>
      </c>
      <c r="AG205" s="43">
        <v>1E-3</v>
      </c>
      <c r="AH205" s="43">
        <v>1E-3</v>
      </c>
      <c r="AI205" s="43">
        <v>1E-3</v>
      </c>
      <c r="AJ205" s="43">
        <v>1E-3</v>
      </c>
      <c r="AK205" s="43">
        <v>1E-3</v>
      </c>
      <c r="AL205" s="43">
        <v>1E-3</v>
      </c>
      <c r="AM205" s="43">
        <v>1E-3</v>
      </c>
      <c r="AN205" s="43">
        <v>1E-3</v>
      </c>
      <c r="AO205" s="43">
        <v>1E-3</v>
      </c>
      <c r="AP205" s="43">
        <v>1E-3</v>
      </c>
      <c r="AQ205" s="43">
        <v>1E-3</v>
      </c>
      <c r="AR205" s="43">
        <v>1E-3</v>
      </c>
      <c r="AS205" s="43">
        <v>1E-3</v>
      </c>
      <c r="AT205" s="43">
        <v>1E-3</v>
      </c>
      <c r="AU205" s="43">
        <v>1E-3</v>
      </c>
      <c r="AV205" s="43">
        <v>1E-3</v>
      </c>
      <c r="AW205" s="43">
        <v>1E-3</v>
      </c>
      <c r="AX205" s="43">
        <v>1E-3</v>
      </c>
      <c r="AY205" s="43">
        <v>1E-3</v>
      </c>
      <c r="AZ205" s="43">
        <v>1E-3</v>
      </c>
      <c r="BA205" s="43">
        <v>1E-3</v>
      </c>
      <c r="BB205" s="43">
        <v>1E-3</v>
      </c>
      <c r="BC205" s="43">
        <v>1E-3</v>
      </c>
      <c r="BD205" s="43">
        <v>1E-3</v>
      </c>
      <c r="BE205" s="43">
        <v>1E-3</v>
      </c>
      <c r="BF205" s="43">
        <v>1E-3</v>
      </c>
      <c r="BG205" s="43">
        <v>1E-3</v>
      </c>
      <c r="BH205" s="43">
        <v>1E-3</v>
      </c>
      <c r="BI205" s="43">
        <v>1E-3</v>
      </c>
      <c r="BJ205" s="43">
        <v>1E-3</v>
      </c>
      <c r="BK205" s="43">
        <v>1E-3</v>
      </c>
      <c r="BL205" s="43">
        <v>1E-3</v>
      </c>
      <c r="BM205" s="43">
        <v>1E-3</v>
      </c>
      <c r="BN205" s="43">
        <v>1E-3</v>
      </c>
      <c r="BO205" s="43">
        <v>1E-3</v>
      </c>
      <c r="BP205" s="43">
        <v>1E-3</v>
      </c>
      <c r="BQ205" s="43">
        <v>1E-3</v>
      </c>
    </row>
    <row r="206" spans="1:69" s="44" customFormat="1" hidden="1" x14ac:dyDescent="0.25">
      <c r="A206" s="43">
        <v>21</v>
      </c>
      <c r="B206" s="43" t="s">
        <v>130</v>
      </c>
      <c r="C206" s="20" t="s">
        <v>131</v>
      </c>
      <c r="D206" s="43">
        <v>5</v>
      </c>
      <c r="E206" s="20" t="s">
        <v>494</v>
      </c>
      <c r="F206" s="43"/>
      <c r="G206" s="43" t="s">
        <v>500</v>
      </c>
      <c r="H206" s="43">
        <v>0</v>
      </c>
      <c r="I206" s="43">
        <v>1E-3</v>
      </c>
      <c r="J206" s="43">
        <v>1E-3</v>
      </c>
      <c r="K206" s="43">
        <v>1E-3</v>
      </c>
      <c r="L206" s="43">
        <v>1E-3</v>
      </c>
      <c r="M206" s="43">
        <v>1E-3</v>
      </c>
      <c r="N206" s="43">
        <v>1E-3</v>
      </c>
      <c r="O206" s="43">
        <v>1E-3</v>
      </c>
      <c r="P206" s="43">
        <v>1E-3</v>
      </c>
      <c r="Q206" s="43">
        <v>1E-3</v>
      </c>
      <c r="R206" s="43">
        <v>1E-3</v>
      </c>
      <c r="S206" s="43">
        <v>1E-3</v>
      </c>
      <c r="T206" s="43">
        <v>1E-3</v>
      </c>
      <c r="U206" s="43">
        <v>1E-3</v>
      </c>
      <c r="V206" s="43">
        <v>1</v>
      </c>
      <c r="W206" s="43">
        <v>1</v>
      </c>
      <c r="X206" s="43">
        <v>1</v>
      </c>
      <c r="Y206" s="43">
        <v>1</v>
      </c>
      <c r="Z206" s="43">
        <v>1</v>
      </c>
      <c r="AA206" s="43">
        <v>1</v>
      </c>
      <c r="AB206" s="43">
        <v>1</v>
      </c>
      <c r="AC206" s="43">
        <v>1</v>
      </c>
      <c r="AD206" s="43">
        <v>1</v>
      </c>
      <c r="AE206" s="43">
        <v>1</v>
      </c>
      <c r="AF206" s="43">
        <v>1</v>
      </c>
      <c r="AG206" s="43">
        <v>1</v>
      </c>
      <c r="AH206" s="43">
        <v>1</v>
      </c>
      <c r="AI206" s="43">
        <v>1</v>
      </c>
      <c r="AJ206" s="43">
        <v>1</v>
      </c>
      <c r="AK206" s="43">
        <v>1</v>
      </c>
      <c r="AL206" s="43">
        <v>1</v>
      </c>
      <c r="AM206" s="43">
        <v>1</v>
      </c>
      <c r="AN206" s="43">
        <v>1</v>
      </c>
      <c r="AO206" s="43">
        <v>1</v>
      </c>
      <c r="AP206" s="43">
        <v>1</v>
      </c>
      <c r="AQ206" s="43">
        <v>1</v>
      </c>
      <c r="AR206" s="43">
        <v>1</v>
      </c>
      <c r="AS206" s="43">
        <v>1</v>
      </c>
      <c r="AT206" s="43">
        <v>1</v>
      </c>
      <c r="AU206" s="43">
        <v>1</v>
      </c>
      <c r="AV206" s="43">
        <v>1</v>
      </c>
      <c r="AW206" s="43">
        <v>1</v>
      </c>
      <c r="AX206" s="43">
        <v>1</v>
      </c>
      <c r="AY206" s="43">
        <v>1</v>
      </c>
      <c r="AZ206" s="43">
        <v>1</v>
      </c>
      <c r="BA206" s="43">
        <v>1</v>
      </c>
      <c r="BB206" s="43">
        <v>1</v>
      </c>
      <c r="BC206" s="43">
        <v>1</v>
      </c>
      <c r="BD206" s="43">
        <v>1</v>
      </c>
      <c r="BE206" s="43">
        <v>1</v>
      </c>
      <c r="BF206" s="43">
        <v>1</v>
      </c>
      <c r="BG206" s="43">
        <v>1</v>
      </c>
      <c r="BH206" s="43">
        <v>1</v>
      </c>
      <c r="BI206" s="43">
        <v>1</v>
      </c>
      <c r="BJ206" s="43">
        <v>1</v>
      </c>
      <c r="BK206" s="43">
        <v>1</v>
      </c>
      <c r="BL206" s="43">
        <v>1</v>
      </c>
      <c r="BM206" s="43">
        <v>1</v>
      </c>
      <c r="BN206" s="43">
        <v>1</v>
      </c>
      <c r="BO206" s="43">
        <v>1</v>
      </c>
      <c r="BP206" s="43">
        <v>1</v>
      </c>
      <c r="BQ206" s="43">
        <v>1</v>
      </c>
    </row>
    <row r="207" spans="1:69" s="44" customFormat="1" hidden="1" x14ac:dyDescent="0.25">
      <c r="A207" s="43">
        <v>21</v>
      </c>
      <c r="B207" s="43" t="s">
        <v>130</v>
      </c>
      <c r="C207" s="20" t="s">
        <v>131</v>
      </c>
      <c r="D207" s="43">
        <v>6</v>
      </c>
      <c r="E207" s="20" t="s">
        <v>495</v>
      </c>
      <c r="F207" s="43"/>
      <c r="G207" s="43" t="s">
        <v>490</v>
      </c>
      <c r="H207" s="43">
        <v>0</v>
      </c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</row>
    <row r="208" spans="1:69" s="44" customFormat="1" hidden="1" x14ac:dyDescent="0.25">
      <c r="A208" s="43">
        <v>21</v>
      </c>
      <c r="B208" s="43" t="s">
        <v>130</v>
      </c>
      <c r="C208" s="20" t="s">
        <v>131</v>
      </c>
      <c r="D208" s="43">
        <v>7</v>
      </c>
      <c r="E208" s="20" t="s">
        <v>496</v>
      </c>
      <c r="F208" s="43"/>
      <c r="G208" s="43" t="s">
        <v>500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  <c r="V208" s="43">
        <v>1E-4</v>
      </c>
      <c r="W208" s="43">
        <v>1E-4</v>
      </c>
      <c r="X208" s="43">
        <v>1E-4</v>
      </c>
      <c r="Y208" s="43">
        <v>1E-4</v>
      </c>
      <c r="Z208" s="43">
        <v>1E-4</v>
      </c>
      <c r="AA208" s="43">
        <v>1E-4</v>
      </c>
      <c r="AB208" s="43">
        <v>1E-4</v>
      </c>
      <c r="AC208" s="43">
        <v>1E-4</v>
      </c>
      <c r="AD208" s="43">
        <v>1E-4</v>
      </c>
      <c r="AE208" s="43">
        <v>1E-4</v>
      </c>
      <c r="AF208" s="43">
        <v>1E-4</v>
      </c>
      <c r="AG208" s="43">
        <v>1E-4</v>
      </c>
      <c r="AH208" s="43">
        <v>1E-4</v>
      </c>
      <c r="AI208" s="43">
        <v>1E-4</v>
      </c>
      <c r="AJ208" s="43">
        <v>1E-4</v>
      </c>
      <c r="AK208" s="43">
        <v>1E-4</v>
      </c>
      <c r="AL208" s="43">
        <v>1E-4</v>
      </c>
      <c r="AM208" s="43">
        <v>1E-4</v>
      </c>
      <c r="AN208" s="43">
        <v>1E-4</v>
      </c>
      <c r="AO208" s="43">
        <v>1E-4</v>
      </c>
      <c r="AP208" s="43">
        <v>1E-4</v>
      </c>
      <c r="AQ208" s="43">
        <v>1E-4</v>
      </c>
      <c r="AR208" s="43">
        <v>1E-4</v>
      </c>
      <c r="AS208" s="43">
        <v>1E-4</v>
      </c>
      <c r="AT208" s="43">
        <v>1E-4</v>
      </c>
      <c r="AU208" s="43">
        <v>1E-4</v>
      </c>
      <c r="AV208" s="43">
        <v>1E-4</v>
      </c>
      <c r="AW208" s="43">
        <v>1E-4</v>
      </c>
      <c r="AX208" s="43">
        <v>1E-4</v>
      </c>
      <c r="AY208" s="43">
        <v>1E-4</v>
      </c>
      <c r="AZ208" s="43">
        <v>1E-4</v>
      </c>
      <c r="BA208" s="43">
        <v>1E-4</v>
      </c>
      <c r="BB208" s="43">
        <v>1E-4</v>
      </c>
      <c r="BC208" s="43">
        <v>1E-4</v>
      </c>
      <c r="BD208" s="43">
        <v>1E-4</v>
      </c>
      <c r="BE208" s="43">
        <v>1E-4</v>
      </c>
      <c r="BF208" s="43">
        <v>1E-4</v>
      </c>
      <c r="BG208" s="43">
        <v>1E-4</v>
      </c>
      <c r="BH208" s="43">
        <v>1E-4</v>
      </c>
      <c r="BI208" s="43">
        <v>1E-4</v>
      </c>
      <c r="BJ208" s="43">
        <v>1E-4</v>
      </c>
      <c r="BK208" s="43">
        <v>1E-4</v>
      </c>
      <c r="BL208" s="43">
        <v>1E-4</v>
      </c>
      <c r="BM208" s="43">
        <v>1E-4</v>
      </c>
      <c r="BN208" s="43">
        <v>1E-4</v>
      </c>
      <c r="BO208" s="43">
        <v>1E-4</v>
      </c>
      <c r="BP208" s="43">
        <v>1E-4</v>
      </c>
      <c r="BQ208" s="43">
        <v>1E-4</v>
      </c>
    </row>
    <row r="209" spans="1:69" s="44" customFormat="1" hidden="1" x14ac:dyDescent="0.25">
      <c r="A209" s="43">
        <v>21</v>
      </c>
      <c r="B209" s="43" t="s">
        <v>130</v>
      </c>
      <c r="C209" s="20" t="s">
        <v>131</v>
      </c>
      <c r="D209" s="43">
        <v>8</v>
      </c>
      <c r="E209" s="20" t="s">
        <v>497</v>
      </c>
      <c r="F209" s="43"/>
      <c r="G209" s="43" t="s">
        <v>490</v>
      </c>
      <c r="H209" s="43">
        <v>0</v>
      </c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</row>
    <row r="210" spans="1:69" s="44" customFormat="1" hidden="1" x14ac:dyDescent="0.25">
      <c r="A210" s="43">
        <v>21</v>
      </c>
      <c r="B210" s="43" t="s">
        <v>130</v>
      </c>
      <c r="C210" s="20" t="s">
        <v>131</v>
      </c>
      <c r="D210" s="43">
        <v>9</v>
      </c>
      <c r="E210" s="20" t="s">
        <v>498</v>
      </c>
      <c r="F210" s="43"/>
      <c r="G210" s="43" t="s">
        <v>500</v>
      </c>
      <c r="H210" s="43">
        <v>0</v>
      </c>
      <c r="I210" s="43">
        <v>0.57999999999999996</v>
      </c>
      <c r="J210" s="43">
        <v>0.57999999999999996</v>
      </c>
      <c r="K210" s="43">
        <v>0.57999999999999996</v>
      </c>
      <c r="L210" s="43">
        <v>0.57999999999999996</v>
      </c>
      <c r="M210" s="43">
        <v>0.57999999999999996</v>
      </c>
      <c r="N210" s="43">
        <v>0.57999999999999996</v>
      </c>
      <c r="O210" s="43">
        <v>0.57999999999999996</v>
      </c>
      <c r="P210" s="43">
        <v>0.57999999999999996</v>
      </c>
      <c r="Q210" s="43">
        <v>0.57999999999999996</v>
      </c>
      <c r="R210" s="43">
        <v>0.57999999999999996</v>
      </c>
      <c r="S210" s="43">
        <v>0.57999999999999996</v>
      </c>
      <c r="T210" s="43">
        <v>0.57999999999999996</v>
      </c>
      <c r="U210" s="43">
        <v>0.57999999999999996</v>
      </c>
      <c r="V210" s="43">
        <v>0.57999999999999996</v>
      </c>
      <c r="W210" s="43">
        <v>0.57999999999999996</v>
      </c>
      <c r="X210" s="43">
        <v>0.57999999999999996</v>
      </c>
      <c r="Y210" s="43">
        <v>0.57999999999999996</v>
      </c>
      <c r="Z210" s="43">
        <v>0.57999999999999996</v>
      </c>
      <c r="AA210" s="43">
        <v>0.57999999999999996</v>
      </c>
      <c r="AB210" s="43">
        <v>0.57999999999999996</v>
      </c>
      <c r="AC210" s="43">
        <v>0.57999999999999996</v>
      </c>
      <c r="AD210" s="43">
        <v>0.57999999999999996</v>
      </c>
      <c r="AE210" s="43">
        <v>0.57999999999999996</v>
      </c>
      <c r="AF210" s="43">
        <v>0.57999999999999996</v>
      </c>
      <c r="AG210" s="43">
        <v>0.57999999999999996</v>
      </c>
      <c r="AH210" s="43">
        <v>0.57999999999999996</v>
      </c>
      <c r="AI210" s="43">
        <v>0.57999999999999996</v>
      </c>
      <c r="AJ210" s="43">
        <v>0.57999999999999996</v>
      </c>
      <c r="AK210" s="43">
        <v>0.57999999999999996</v>
      </c>
      <c r="AL210" s="43">
        <v>0.57999999999999996</v>
      </c>
      <c r="AM210" s="43">
        <v>0.57999999999999996</v>
      </c>
      <c r="AN210" s="43">
        <v>0.57999999999999996</v>
      </c>
      <c r="AO210" s="43">
        <v>0.57999999999999996</v>
      </c>
      <c r="AP210" s="43">
        <v>0.57999999999999996</v>
      </c>
      <c r="AQ210" s="43">
        <v>0.57999999999999996</v>
      </c>
      <c r="AR210" s="43">
        <v>0.57999999999999996</v>
      </c>
      <c r="AS210" s="43">
        <v>0.57999999999999996</v>
      </c>
      <c r="AT210" s="43">
        <v>0.57999999999999996</v>
      </c>
      <c r="AU210" s="43">
        <v>0.57999999999999996</v>
      </c>
      <c r="AV210" s="43">
        <v>0.57999999999999996</v>
      </c>
      <c r="AW210" s="43">
        <v>0.57999999999999996</v>
      </c>
      <c r="AX210" s="43">
        <v>0.57999999999999996</v>
      </c>
      <c r="AY210" s="43">
        <v>0.57999999999999996</v>
      </c>
      <c r="AZ210" s="43">
        <v>0.57999999999999996</v>
      </c>
      <c r="BA210" s="43">
        <v>0.57999999999999996</v>
      </c>
      <c r="BB210" s="43">
        <v>0.57999999999999996</v>
      </c>
      <c r="BC210" s="43">
        <v>0.57999999999999996</v>
      </c>
      <c r="BD210" s="43">
        <v>0.57999999999999996</v>
      </c>
      <c r="BE210" s="43">
        <v>0.57999999999999996</v>
      </c>
      <c r="BF210" s="43">
        <v>0.57999999999999996</v>
      </c>
      <c r="BG210" s="43">
        <v>0.57999999999999996</v>
      </c>
      <c r="BH210" s="43">
        <v>0.57999999999999996</v>
      </c>
      <c r="BI210" s="43">
        <v>0.57999999999999996</v>
      </c>
      <c r="BJ210" s="43">
        <v>0.57999999999999996</v>
      </c>
      <c r="BK210" s="43">
        <v>0.57999999999999996</v>
      </c>
      <c r="BL210" s="43">
        <v>0.57999999999999996</v>
      </c>
      <c r="BM210" s="43">
        <v>0.57999999999999996</v>
      </c>
      <c r="BN210" s="43">
        <v>0.57999999999999996</v>
      </c>
      <c r="BO210" s="43">
        <v>0.57999999999999996</v>
      </c>
      <c r="BP210" s="43">
        <v>0.57999999999999996</v>
      </c>
      <c r="BQ210" s="43">
        <v>0.57999999999999996</v>
      </c>
    </row>
    <row r="211" spans="1:69" s="44" customFormat="1" hidden="1" x14ac:dyDescent="0.25">
      <c r="A211" s="43">
        <v>21</v>
      </c>
      <c r="B211" s="43" t="s">
        <v>130</v>
      </c>
      <c r="C211" s="20" t="s">
        <v>131</v>
      </c>
      <c r="D211" s="43">
        <v>10</v>
      </c>
      <c r="E211" s="20" t="s">
        <v>499</v>
      </c>
      <c r="F211" s="43"/>
      <c r="G211" s="43" t="s">
        <v>501</v>
      </c>
      <c r="H211" s="43">
        <v>0</v>
      </c>
      <c r="I211" s="43">
        <v>0.95</v>
      </c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</row>
    <row r="212" spans="1:69" s="34" customFormat="1" hidden="1" x14ac:dyDescent="0.25">
      <c r="A212" s="33">
        <v>22</v>
      </c>
      <c r="B212" s="33" t="s">
        <v>569</v>
      </c>
      <c r="C212" s="36"/>
      <c r="D212" s="33">
        <v>1</v>
      </c>
      <c r="E212" s="36" t="s">
        <v>489</v>
      </c>
      <c r="F212" s="33"/>
      <c r="G212" s="33" t="s">
        <v>490</v>
      </c>
      <c r="H212" s="33">
        <v>0</v>
      </c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</row>
    <row r="213" spans="1:69" s="34" customFormat="1" hidden="1" x14ac:dyDescent="0.25">
      <c r="A213" s="43">
        <v>22</v>
      </c>
      <c r="B213" s="43" t="s">
        <v>132</v>
      </c>
      <c r="C213" s="20" t="s">
        <v>133</v>
      </c>
      <c r="D213" s="43">
        <v>1</v>
      </c>
      <c r="E213" s="20" t="s">
        <v>489</v>
      </c>
      <c r="F213" s="43"/>
      <c r="G213" s="43" t="s">
        <v>500</v>
      </c>
      <c r="H213" s="43">
        <v>0</v>
      </c>
      <c r="I213" s="43">
        <v>2500</v>
      </c>
      <c r="J213" s="43">
        <v>2500</v>
      </c>
      <c r="K213" s="43">
        <v>2500</v>
      </c>
      <c r="L213" s="43">
        <v>2500</v>
      </c>
      <c r="M213" s="43">
        <v>2500</v>
      </c>
      <c r="N213" s="43">
        <v>2500</v>
      </c>
      <c r="O213" s="43">
        <v>2500</v>
      </c>
      <c r="P213" s="43">
        <v>2500</v>
      </c>
      <c r="Q213" s="43">
        <v>2500</v>
      </c>
      <c r="R213" s="43">
        <v>2500</v>
      </c>
      <c r="S213" s="43">
        <v>2500</v>
      </c>
      <c r="T213" s="43">
        <v>2500</v>
      </c>
      <c r="U213" s="43">
        <v>2500</v>
      </c>
      <c r="V213" s="43">
        <v>2500</v>
      </c>
      <c r="W213" s="43">
        <v>2500</v>
      </c>
      <c r="X213" s="43">
        <v>2500</v>
      </c>
      <c r="Y213" s="43">
        <v>2500</v>
      </c>
      <c r="Z213" s="43">
        <v>2500</v>
      </c>
      <c r="AA213" s="43">
        <v>2500</v>
      </c>
      <c r="AB213" s="43">
        <v>2500</v>
      </c>
      <c r="AC213" s="43">
        <v>2500</v>
      </c>
      <c r="AD213" s="43">
        <v>2500</v>
      </c>
      <c r="AE213" s="43">
        <v>2500</v>
      </c>
      <c r="AF213" s="43">
        <v>2500</v>
      </c>
      <c r="AG213" s="43">
        <v>2500</v>
      </c>
      <c r="AH213" s="43">
        <v>2250</v>
      </c>
      <c r="AI213" s="43">
        <v>2250</v>
      </c>
      <c r="AJ213" s="43">
        <v>2250</v>
      </c>
      <c r="AK213" s="43">
        <v>2250</v>
      </c>
      <c r="AL213" s="43">
        <v>2250</v>
      </c>
      <c r="AM213" s="43">
        <v>1875</v>
      </c>
      <c r="AN213" s="43">
        <v>1875</v>
      </c>
      <c r="AO213" s="43">
        <v>1875</v>
      </c>
      <c r="AP213" s="43">
        <v>1875</v>
      </c>
      <c r="AQ213" s="43">
        <v>1875</v>
      </c>
      <c r="AR213" s="43">
        <v>1875</v>
      </c>
      <c r="AS213" s="43">
        <v>1875</v>
      </c>
      <c r="AT213" s="43">
        <v>1875</v>
      </c>
      <c r="AU213" s="43">
        <v>1875</v>
      </c>
      <c r="AV213" s="43">
        <v>1875</v>
      </c>
      <c r="AW213" s="43">
        <v>1875</v>
      </c>
      <c r="AX213" s="43">
        <v>1875</v>
      </c>
      <c r="AY213" s="43">
        <v>1875</v>
      </c>
      <c r="AZ213" s="43">
        <v>1875</v>
      </c>
      <c r="BA213" s="43">
        <v>1875</v>
      </c>
      <c r="BB213" s="43">
        <v>1875</v>
      </c>
      <c r="BC213" s="43">
        <v>1875</v>
      </c>
      <c r="BD213" s="43">
        <v>1875</v>
      </c>
      <c r="BE213" s="43">
        <v>1875</v>
      </c>
      <c r="BF213" s="43">
        <v>1875</v>
      </c>
      <c r="BG213" s="43">
        <v>1875</v>
      </c>
      <c r="BH213" s="43">
        <v>1875</v>
      </c>
      <c r="BI213" s="43">
        <v>1875</v>
      </c>
      <c r="BJ213" s="43">
        <v>1875</v>
      </c>
      <c r="BK213" s="43">
        <v>1875</v>
      </c>
      <c r="BL213" s="43">
        <v>1875</v>
      </c>
      <c r="BM213" s="43">
        <v>1875</v>
      </c>
      <c r="BN213" s="43">
        <v>1875</v>
      </c>
      <c r="BO213" s="43">
        <v>1875</v>
      </c>
      <c r="BP213" s="43">
        <v>1875</v>
      </c>
      <c r="BQ213" s="43">
        <v>1875</v>
      </c>
    </row>
    <row r="214" spans="1:69" s="34" customFormat="1" hidden="1" x14ac:dyDescent="0.25">
      <c r="A214" s="33">
        <v>22</v>
      </c>
      <c r="B214" s="33" t="s">
        <v>569</v>
      </c>
      <c r="C214" s="36"/>
      <c r="D214" s="33">
        <v>2</v>
      </c>
      <c r="E214" s="36" t="s">
        <v>491</v>
      </c>
      <c r="F214" s="33"/>
      <c r="G214" s="33" t="s">
        <v>490</v>
      </c>
      <c r="H214" s="33">
        <v>0</v>
      </c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</row>
    <row r="215" spans="1:69" s="34" customFormat="1" hidden="1" x14ac:dyDescent="0.25">
      <c r="A215" s="43">
        <v>22</v>
      </c>
      <c r="B215" s="43" t="s">
        <v>132</v>
      </c>
      <c r="C215" s="20" t="s">
        <v>133</v>
      </c>
      <c r="D215" s="43">
        <v>2</v>
      </c>
      <c r="E215" s="20" t="s">
        <v>491</v>
      </c>
      <c r="F215" s="43"/>
      <c r="G215" s="43" t="s">
        <v>500</v>
      </c>
      <c r="H215" s="43">
        <v>0</v>
      </c>
      <c r="I215" s="43">
        <v>18.2</v>
      </c>
      <c r="J215" s="43">
        <v>18.2</v>
      </c>
      <c r="K215" s="43">
        <v>18.2</v>
      </c>
      <c r="L215" s="43">
        <v>18.2</v>
      </c>
      <c r="M215" s="43">
        <v>18.2</v>
      </c>
      <c r="N215" s="43">
        <v>18.2</v>
      </c>
      <c r="O215" s="43">
        <v>18.2</v>
      </c>
      <c r="P215" s="43">
        <v>18.2</v>
      </c>
      <c r="Q215" s="43">
        <v>18.2</v>
      </c>
      <c r="R215" s="43">
        <v>18.2</v>
      </c>
      <c r="S215" s="43">
        <v>18.2</v>
      </c>
      <c r="T215" s="43">
        <v>18.2</v>
      </c>
      <c r="U215" s="43">
        <v>18.2</v>
      </c>
      <c r="V215" s="43">
        <v>18.2</v>
      </c>
      <c r="W215" s="43">
        <v>18.2</v>
      </c>
      <c r="X215" s="43">
        <v>18.2</v>
      </c>
      <c r="Y215" s="43">
        <v>18.2</v>
      </c>
      <c r="Z215" s="43">
        <v>18.2</v>
      </c>
      <c r="AA215" s="43">
        <v>18.2</v>
      </c>
      <c r="AB215" s="43">
        <v>18.2</v>
      </c>
      <c r="AC215" s="43">
        <v>18.2</v>
      </c>
      <c r="AD215" s="43">
        <v>18.2</v>
      </c>
      <c r="AE215" s="43">
        <v>18.2</v>
      </c>
      <c r="AF215" s="43">
        <v>18.2</v>
      </c>
      <c r="AG215" s="43">
        <v>18.2</v>
      </c>
      <c r="AH215" s="43">
        <v>16.399999999999999</v>
      </c>
      <c r="AI215" s="43">
        <v>16.399999999999999</v>
      </c>
      <c r="AJ215" s="43">
        <v>16.399999999999999</v>
      </c>
      <c r="AK215" s="43">
        <v>16.399999999999999</v>
      </c>
      <c r="AL215" s="43">
        <v>16.399999999999999</v>
      </c>
      <c r="AM215" s="43">
        <v>13.6</v>
      </c>
      <c r="AN215" s="43">
        <v>13.6</v>
      </c>
      <c r="AO215" s="43">
        <v>13.6</v>
      </c>
      <c r="AP215" s="43">
        <v>13.6</v>
      </c>
      <c r="AQ215" s="43">
        <v>13.6</v>
      </c>
      <c r="AR215" s="43">
        <v>13.6</v>
      </c>
      <c r="AS215" s="43">
        <v>13.6</v>
      </c>
      <c r="AT215" s="43">
        <v>13.6</v>
      </c>
      <c r="AU215" s="43">
        <v>13.6</v>
      </c>
      <c r="AV215" s="43">
        <v>13.6</v>
      </c>
      <c r="AW215" s="43">
        <v>13.6</v>
      </c>
      <c r="AX215" s="43">
        <v>13.6</v>
      </c>
      <c r="AY215" s="43">
        <v>13.6</v>
      </c>
      <c r="AZ215" s="43">
        <v>13.6</v>
      </c>
      <c r="BA215" s="43">
        <v>13.6</v>
      </c>
      <c r="BB215" s="43">
        <v>13.6</v>
      </c>
      <c r="BC215" s="43">
        <v>13.6</v>
      </c>
      <c r="BD215" s="43">
        <v>13.6</v>
      </c>
      <c r="BE215" s="43">
        <v>13.6</v>
      </c>
      <c r="BF215" s="43">
        <v>13.6</v>
      </c>
      <c r="BG215" s="43">
        <v>13.6</v>
      </c>
      <c r="BH215" s="43">
        <v>13.6</v>
      </c>
      <c r="BI215" s="43">
        <v>13.6</v>
      </c>
      <c r="BJ215" s="43">
        <v>13.6</v>
      </c>
      <c r="BK215" s="43">
        <v>13.6</v>
      </c>
      <c r="BL215" s="43">
        <v>13.6</v>
      </c>
      <c r="BM215" s="43">
        <v>13.6</v>
      </c>
      <c r="BN215" s="43">
        <v>13.6</v>
      </c>
      <c r="BO215" s="43">
        <v>13.6</v>
      </c>
      <c r="BP215" s="43">
        <v>13.6</v>
      </c>
      <c r="BQ215" s="43">
        <v>13.6</v>
      </c>
    </row>
    <row r="216" spans="1:69" s="34" customFormat="1" hidden="1" x14ac:dyDescent="0.25">
      <c r="A216" s="33">
        <v>22</v>
      </c>
      <c r="B216" s="33" t="s">
        <v>569</v>
      </c>
      <c r="C216" s="36"/>
      <c r="D216" s="33">
        <v>3</v>
      </c>
      <c r="E216" s="36" t="s">
        <v>492</v>
      </c>
      <c r="F216" s="33"/>
      <c r="G216" s="33" t="s">
        <v>490</v>
      </c>
      <c r="H216" s="33">
        <v>0</v>
      </c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</row>
    <row r="217" spans="1:69" s="34" customFormat="1" hidden="1" x14ac:dyDescent="0.25">
      <c r="A217" s="43">
        <v>22</v>
      </c>
      <c r="B217" s="43" t="s">
        <v>132</v>
      </c>
      <c r="C217" s="20" t="s">
        <v>133</v>
      </c>
      <c r="D217" s="43">
        <v>3</v>
      </c>
      <c r="E217" s="20" t="s">
        <v>492</v>
      </c>
      <c r="F217" s="43"/>
      <c r="G217" s="43" t="s">
        <v>490</v>
      </c>
      <c r="H217" s="43">
        <v>0</v>
      </c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</row>
    <row r="218" spans="1:69" s="34" customFormat="1" hidden="1" x14ac:dyDescent="0.25">
      <c r="A218" s="33">
        <v>22</v>
      </c>
      <c r="B218" s="33" t="s">
        <v>569</v>
      </c>
      <c r="C218" s="36"/>
      <c r="D218" s="33">
        <v>4</v>
      </c>
      <c r="E218" s="36" t="s">
        <v>493</v>
      </c>
      <c r="F218" s="33"/>
      <c r="G218" s="33" t="s">
        <v>490</v>
      </c>
      <c r="H218" s="33">
        <v>0</v>
      </c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</row>
    <row r="219" spans="1:69" s="34" customFormat="1" hidden="1" x14ac:dyDescent="0.25">
      <c r="A219" s="43">
        <v>22</v>
      </c>
      <c r="B219" s="43" t="s">
        <v>132</v>
      </c>
      <c r="C219" s="20" t="s">
        <v>133</v>
      </c>
      <c r="D219" s="43">
        <v>4</v>
      </c>
      <c r="E219" s="20" t="s">
        <v>493</v>
      </c>
      <c r="F219" s="43"/>
      <c r="G219" s="43" t="s">
        <v>490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  <c r="V219" s="43">
        <v>0</v>
      </c>
      <c r="W219" s="43">
        <v>0</v>
      </c>
      <c r="X219" s="43">
        <v>0</v>
      </c>
      <c r="Y219" s="43">
        <v>0</v>
      </c>
      <c r="Z219" s="43">
        <v>0</v>
      </c>
      <c r="AA219" s="43">
        <v>0</v>
      </c>
      <c r="AB219" s="43">
        <v>0</v>
      </c>
      <c r="AC219" s="43">
        <v>0</v>
      </c>
      <c r="AD219" s="43">
        <v>0</v>
      </c>
      <c r="AE219" s="43">
        <v>0</v>
      </c>
      <c r="AF219" s="43">
        <v>0</v>
      </c>
      <c r="AG219" s="43">
        <v>0</v>
      </c>
      <c r="AH219" s="43">
        <v>0</v>
      </c>
      <c r="AI219" s="43">
        <v>0</v>
      </c>
      <c r="AJ219" s="43">
        <v>0</v>
      </c>
      <c r="AK219" s="43">
        <v>0</v>
      </c>
      <c r="AL219" s="43">
        <v>0</v>
      </c>
      <c r="AM219" s="43">
        <v>0</v>
      </c>
      <c r="AN219" s="43">
        <v>0</v>
      </c>
      <c r="AO219" s="43">
        <v>0</v>
      </c>
      <c r="AP219" s="43">
        <v>0</v>
      </c>
      <c r="AQ219" s="43">
        <v>0</v>
      </c>
      <c r="AR219" s="43">
        <v>0</v>
      </c>
      <c r="AS219" s="43">
        <v>0</v>
      </c>
      <c r="AT219" s="43">
        <v>0</v>
      </c>
      <c r="AU219" s="43">
        <v>0</v>
      </c>
      <c r="AV219" s="43">
        <v>0</v>
      </c>
      <c r="AW219" s="43">
        <v>0</v>
      </c>
      <c r="AX219" s="43">
        <v>0</v>
      </c>
      <c r="AY219" s="43">
        <v>0</v>
      </c>
      <c r="AZ219" s="43">
        <v>0</v>
      </c>
      <c r="BA219" s="43">
        <v>0</v>
      </c>
      <c r="BB219" s="43">
        <v>0</v>
      </c>
      <c r="BC219" s="43">
        <v>0</v>
      </c>
      <c r="BD219" s="43">
        <v>0</v>
      </c>
      <c r="BE219" s="43">
        <v>0</v>
      </c>
      <c r="BF219" s="43">
        <v>0</v>
      </c>
      <c r="BG219" s="43">
        <v>0</v>
      </c>
      <c r="BH219" s="43">
        <v>0</v>
      </c>
      <c r="BI219" s="43">
        <v>0</v>
      </c>
      <c r="BJ219" s="43">
        <v>0</v>
      </c>
      <c r="BK219" s="43">
        <v>0</v>
      </c>
      <c r="BL219" s="43">
        <v>0</v>
      </c>
      <c r="BM219" s="43">
        <v>0</v>
      </c>
      <c r="BN219" s="43">
        <v>0</v>
      </c>
      <c r="BO219" s="43">
        <v>0</v>
      </c>
      <c r="BP219" s="43">
        <v>0</v>
      </c>
      <c r="BQ219" s="43">
        <v>0</v>
      </c>
    </row>
    <row r="220" spans="1:69" s="34" customFormat="1" hidden="1" x14ac:dyDescent="0.25">
      <c r="A220" s="33">
        <v>22</v>
      </c>
      <c r="B220" s="33" t="s">
        <v>569</v>
      </c>
      <c r="C220" s="36"/>
      <c r="D220" s="33">
        <v>5</v>
      </c>
      <c r="E220" s="36" t="s">
        <v>494</v>
      </c>
      <c r="F220" s="33"/>
      <c r="G220" s="33" t="s">
        <v>490</v>
      </c>
      <c r="H220" s="33">
        <v>0</v>
      </c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</row>
    <row r="221" spans="1:69" s="34" customFormat="1" hidden="1" x14ac:dyDescent="0.25">
      <c r="A221" s="43">
        <v>22</v>
      </c>
      <c r="B221" s="43" t="s">
        <v>132</v>
      </c>
      <c r="C221" s="20" t="s">
        <v>133</v>
      </c>
      <c r="D221" s="43">
        <v>5</v>
      </c>
      <c r="E221" s="20" t="s">
        <v>494</v>
      </c>
      <c r="F221" s="43"/>
      <c r="G221" s="43" t="s">
        <v>500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  <c r="V221" s="43">
        <v>0</v>
      </c>
      <c r="W221" s="43">
        <v>0</v>
      </c>
      <c r="X221" s="43">
        <v>0</v>
      </c>
      <c r="Y221" s="43">
        <v>0</v>
      </c>
      <c r="Z221" s="43">
        <v>0</v>
      </c>
      <c r="AA221" s="43">
        <v>0</v>
      </c>
      <c r="AB221" s="43">
        <v>0</v>
      </c>
      <c r="AC221" s="43">
        <v>0</v>
      </c>
      <c r="AD221" s="43">
        <v>0</v>
      </c>
      <c r="AE221" s="43">
        <v>0</v>
      </c>
      <c r="AF221" s="43">
        <v>0</v>
      </c>
      <c r="AG221" s="43">
        <v>0</v>
      </c>
      <c r="AH221" s="43">
        <v>0</v>
      </c>
      <c r="AI221" s="43">
        <v>0</v>
      </c>
      <c r="AJ221" s="43">
        <v>0</v>
      </c>
      <c r="AK221" s="43">
        <v>0</v>
      </c>
      <c r="AL221" s="43">
        <v>0</v>
      </c>
      <c r="AM221" s="43">
        <v>0</v>
      </c>
      <c r="AN221" s="43">
        <v>0</v>
      </c>
      <c r="AO221" s="43">
        <v>0</v>
      </c>
      <c r="AP221" s="43">
        <v>0</v>
      </c>
      <c r="AQ221" s="43">
        <v>0</v>
      </c>
      <c r="AR221" s="43">
        <v>0</v>
      </c>
      <c r="AS221" s="43">
        <v>0</v>
      </c>
      <c r="AT221" s="43">
        <v>0</v>
      </c>
      <c r="AU221" s="43">
        <v>0</v>
      </c>
      <c r="AV221" s="43">
        <v>0</v>
      </c>
      <c r="AW221" s="43">
        <v>0</v>
      </c>
      <c r="AX221" s="43">
        <v>0</v>
      </c>
      <c r="AY221" s="43">
        <v>0</v>
      </c>
      <c r="AZ221" s="43">
        <v>0</v>
      </c>
      <c r="BA221" s="43">
        <v>0</v>
      </c>
      <c r="BB221" s="43">
        <v>0</v>
      </c>
      <c r="BC221" s="43">
        <v>0</v>
      </c>
      <c r="BD221" s="43">
        <v>0</v>
      </c>
      <c r="BE221" s="43">
        <v>0</v>
      </c>
      <c r="BF221" s="43">
        <v>0</v>
      </c>
      <c r="BG221" s="43">
        <v>0</v>
      </c>
      <c r="BH221" s="43">
        <v>0</v>
      </c>
      <c r="BI221" s="43">
        <v>0</v>
      </c>
      <c r="BJ221" s="43">
        <v>0</v>
      </c>
      <c r="BK221" s="43">
        <v>0</v>
      </c>
      <c r="BL221" s="43">
        <v>0</v>
      </c>
      <c r="BM221" s="43">
        <v>0</v>
      </c>
      <c r="BN221" s="43">
        <v>0</v>
      </c>
      <c r="BO221" s="43">
        <v>0</v>
      </c>
      <c r="BP221" s="43">
        <v>0</v>
      </c>
      <c r="BQ221" s="43">
        <v>0</v>
      </c>
    </row>
    <row r="222" spans="1:69" s="44" customFormat="1" hidden="1" x14ac:dyDescent="0.25">
      <c r="A222" s="33">
        <v>22</v>
      </c>
      <c r="B222" s="33" t="s">
        <v>569</v>
      </c>
      <c r="C222" s="36"/>
      <c r="D222" s="33">
        <v>6</v>
      </c>
      <c r="E222" s="36" t="s">
        <v>495</v>
      </c>
      <c r="F222" s="33"/>
      <c r="G222" s="33" t="s">
        <v>490</v>
      </c>
      <c r="H222" s="33">
        <v>0</v>
      </c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</row>
    <row r="223" spans="1:69" s="44" customFormat="1" hidden="1" x14ac:dyDescent="0.25">
      <c r="A223" s="43">
        <v>22</v>
      </c>
      <c r="B223" s="43" t="s">
        <v>132</v>
      </c>
      <c r="C223" s="20" t="s">
        <v>133</v>
      </c>
      <c r="D223" s="43">
        <v>6</v>
      </c>
      <c r="E223" s="20" t="s">
        <v>495</v>
      </c>
      <c r="F223" s="43"/>
      <c r="G223" s="43" t="s">
        <v>490</v>
      </c>
      <c r="H223" s="43">
        <v>0</v>
      </c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</row>
    <row r="224" spans="1:69" s="44" customFormat="1" hidden="1" x14ac:dyDescent="0.25">
      <c r="A224" s="33">
        <v>22</v>
      </c>
      <c r="B224" s="33" t="s">
        <v>569</v>
      </c>
      <c r="C224" s="36"/>
      <c r="D224" s="33">
        <v>7</v>
      </c>
      <c r="E224" s="36" t="s">
        <v>496</v>
      </c>
      <c r="F224" s="33"/>
      <c r="G224" s="33" t="s">
        <v>490</v>
      </c>
      <c r="H224" s="33">
        <v>0</v>
      </c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</row>
    <row r="225" spans="1:69" s="44" customFormat="1" hidden="1" x14ac:dyDescent="0.25">
      <c r="A225" s="43">
        <v>22</v>
      </c>
      <c r="B225" s="43" t="s">
        <v>132</v>
      </c>
      <c r="C225" s="20" t="s">
        <v>133</v>
      </c>
      <c r="D225" s="43">
        <v>7</v>
      </c>
      <c r="E225" s="20" t="s">
        <v>496</v>
      </c>
      <c r="F225" s="43"/>
      <c r="G225" s="43" t="s">
        <v>490</v>
      </c>
      <c r="H225" s="43">
        <v>0</v>
      </c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</row>
    <row r="226" spans="1:69" s="44" customFormat="1" hidden="1" x14ac:dyDescent="0.25">
      <c r="A226" s="33">
        <v>22</v>
      </c>
      <c r="B226" s="33" t="s">
        <v>569</v>
      </c>
      <c r="C226" s="36"/>
      <c r="D226" s="33">
        <v>8</v>
      </c>
      <c r="E226" s="36" t="s">
        <v>497</v>
      </c>
      <c r="F226" s="33"/>
      <c r="G226" s="33" t="s">
        <v>490</v>
      </c>
      <c r="H226" s="33">
        <v>0</v>
      </c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</row>
    <row r="227" spans="1:69" s="44" customFormat="1" hidden="1" x14ac:dyDescent="0.25">
      <c r="A227" s="43">
        <v>22</v>
      </c>
      <c r="B227" s="43" t="s">
        <v>132</v>
      </c>
      <c r="C227" s="20" t="s">
        <v>133</v>
      </c>
      <c r="D227" s="43">
        <v>8</v>
      </c>
      <c r="E227" s="20" t="s">
        <v>497</v>
      </c>
      <c r="F227" s="43"/>
      <c r="G227" s="43" t="s">
        <v>490</v>
      </c>
      <c r="H227" s="43">
        <v>0</v>
      </c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</row>
    <row r="228" spans="1:69" s="44" customFormat="1" hidden="1" x14ac:dyDescent="0.25">
      <c r="A228" s="33">
        <v>22</v>
      </c>
      <c r="B228" s="33" t="s">
        <v>569</v>
      </c>
      <c r="C228" s="36"/>
      <c r="D228" s="33">
        <v>9</v>
      </c>
      <c r="E228" s="36" t="s">
        <v>498</v>
      </c>
      <c r="F228" s="33"/>
      <c r="G228" s="33" t="s">
        <v>490</v>
      </c>
      <c r="H228" s="33">
        <v>0</v>
      </c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</row>
    <row r="229" spans="1:69" s="44" customFormat="1" hidden="1" x14ac:dyDescent="0.25">
      <c r="A229" s="43">
        <v>22</v>
      </c>
      <c r="B229" s="43" t="s">
        <v>132</v>
      </c>
      <c r="C229" s="20" t="s">
        <v>133</v>
      </c>
      <c r="D229" s="43">
        <v>9</v>
      </c>
      <c r="E229" s="20" t="s">
        <v>498</v>
      </c>
      <c r="F229" s="43"/>
      <c r="G229" s="43" t="s">
        <v>500</v>
      </c>
      <c r="H229" s="43">
        <v>0</v>
      </c>
      <c r="I229" s="43">
        <v>0.27260000000000001</v>
      </c>
      <c r="J229" s="43">
        <v>0.27260000000000001</v>
      </c>
      <c r="K229" s="43">
        <v>0.27260000000000001</v>
      </c>
      <c r="L229" s="43">
        <v>0.27260000000000001</v>
      </c>
      <c r="M229" s="43">
        <v>0.27260000000000001</v>
      </c>
      <c r="N229" s="43">
        <v>0.27260000000000001</v>
      </c>
      <c r="O229" s="43">
        <v>0.27260000000000001</v>
      </c>
      <c r="P229" s="43">
        <v>0.27260000000000001</v>
      </c>
      <c r="Q229" s="43">
        <v>0.27260000000000001</v>
      </c>
      <c r="R229" s="43">
        <v>0.1845</v>
      </c>
      <c r="S229" s="43">
        <v>0.15049999999999999</v>
      </c>
      <c r="T229" s="43">
        <v>0.15049999999999999</v>
      </c>
      <c r="U229" s="43">
        <v>0.15049999999999999</v>
      </c>
      <c r="V229" s="43">
        <v>0.15049999999999999</v>
      </c>
      <c r="W229" s="43">
        <v>0.15049999999999999</v>
      </c>
      <c r="X229" s="43">
        <v>0.15049999999999999</v>
      </c>
      <c r="Y229" s="43">
        <v>0.15049999999999999</v>
      </c>
      <c r="Z229" s="43">
        <v>0.15049999999999999</v>
      </c>
      <c r="AA229" s="43">
        <v>0.15049999999999999</v>
      </c>
      <c r="AB229" s="43">
        <v>0.15049999999999999</v>
      </c>
      <c r="AC229" s="43">
        <v>0.15049999999999999</v>
      </c>
      <c r="AD229" s="43">
        <v>0.15049999999999999</v>
      </c>
      <c r="AE229" s="43">
        <v>0.15049999999999999</v>
      </c>
      <c r="AF229" s="43">
        <v>0.15049999999999999</v>
      </c>
      <c r="AG229" s="43">
        <v>0.15049999999999999</v>
      </c>
      <c r="AH229" s="43">
        <v>0.15049999999999999</v>
      </c>
      <c r="AI229" s="43">
        <v>0.15049999999999999</v>
      </c>
      <c r="AJ229" s="43">
        <v>0.15049999999999999</v>
      </c>
      <c r="AK229" s="43">
        <v>0.15049999999999999</v>
      </c>
      <c r="AL229" s="43">
        <v>0.15049999999999999</v>
      </c>
      <c r="AM229" s="43">
        <v>0.15049999999999999</v>
      </c>
      <c r="AN229" s="43">
        <v>0.15049999999999999</v>
      </c>
      <c r="AO229" s="43">
        <v>0.15049999999999999</v>
      </c>
      <c r="AP229" s="43">
        <v>0.15049999999999999</v>
      </c>
      <c r="AQ229" s="43">
        <v>0.15049999999999999</v>
      </c>
      <c r="AR229" s="43">
        <v>0.15049999999999999</v>
      </c>
      <c r="AS229" s="43">
        <v>0.15049999999999999</v>
      </c>
      <c r="AT229" s="43">
        <v>0.15049999999999999</v>
      </c>
      <c r="AU229" s="43">
        <v>0.15049999999999999</v>
      </c>
      <c r="AV229" s="43">
        <v>0.15049999999999999</v>
      </c>
      <c r="AW229" s="43">
        <v>0.15049999999999999</v>
      </c>
      <c r="AX229" s="43">
        <v>0.15049999999999999</v>
      </c>
      <c r="AY229" s="43">
        <v>0.15049999999999999</v>
      </c>
      <c r="AZ229" s="43">
        <v>0.15049999999999999</v>
      </c>
      <c r="BA229" s="43">
        <v>0.15049999999999999</v>
      </c>
      <c r="BB229" s="43">
        <v>0.15049999999999999</v>
      </c>
      <c r="BC229" s="43">
        <v>0.15049999999999999</v>
      </c>
      <c r="BD229" s="43">
        <v>0.15049999999999999</v>
      </c>
      <c r="BE229" s="43">
        <v>0.15049999999999999</v>
      </c>
      <c r="BF229" s="43">
        <v>0.15049999999999999</v>
      </c>
      <c r="BG229" s="43">
        <v>0.15049999999999999</v>
      </c>
      <c r="BH229" s="43">
        <v>0.15049999999999999</v>
      </c>
      <c r="BI229" s="43">
        <v>0.15049999999999999</v>
      </c>
      <c r="BJ229" s="43">
        <v>0.15049999999999999</v>
      </c>
      <c r="BK229" s="43">
        <v>0.15049999999999999</v>
      </c>
      <c r="BL229" s="43">
        <v>0.15049999999999999</v>
      </c>
      <c r="BM229" s="43">
        <v>0.15049999999999999</v>
      </c>
      <c r="BN229" s="43">
        <v>0.15049999999999999</v>
      </c>
      <c r="BO229" s="43">
        <v>0.15049999999999999</v>
      </c>
      <c r="BP229" s="43">
        <v>0.15049999999999999</v>
      </c>
      <c r="BQ229" s="43">
        <v>0.15049999999999999</v>
      </c>
    </row>
    <row r="230" spans="1:69" s="44" customFormat="1" hidden="1" x14ac:dyDescent="0.25">
      <c r="A230" s="33">
        <v>22</v>
      </c>
      <c r="B230" s="33" t="s">
        <v>569</v>
      </c>
      <c r="C230" s="36"/>
      <c r="D230" s="33">
        <v>10</v>
      </c>
      <c r="E230" s="36" t="s">
        <v>499</v>
      </c>
      <c r="F230" s="33"/>
      <c r="G230" s="33" t="s">
        <v>490</v>
      </c>
      <c r="H230" s="33">
        <v>0</v>
      </c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</row>
    <row r="231" spans="1:69" s="44" customFormat="1" hidden="1" x14ac:dyDescent="0.25">
      <c r="A231" s="43">
        <v>22</v>
      </c>
      <c r="B231" s="43" t="s">
        <v>132</v>
      </c>
      <c r="C231" s="20" t="s">
        <v>133</v>
      </c>
      <c r="D231" s="43">
        <v>10</v>
      </c>
      <c r="E231" s="20" t="s">
        <v>499</v>
      </c>
      <c r="F231" s="43"/>
      <c r="G231" s="43" t="s">
        <v>501</v>
      </c>
      <c r="H231" s="43">
        <v>0</v>
      </c>
      <c r="I231" s="43">
        <v>0.95</v>
      </c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</row>
    <row r="232" spans="1:69" s="34" customFormat="1" x14ac:dyDescent="0.25">
      <c r="A232" s="33">
        <v>23</v>
      </c>
      <c r="B232" s="33" t="s">
        <v>134</v>
      </c>
      <c r="C232" s="36" t="s">
        <v>135</v>
      </c>
      <c r="D232" s="33">
        <v>1</v>
      </c>
      <c r="E232" s="36" t="s">
        <v>489</v>
      </c>
      <c r="F232" s="33"/>
      <c r="G232" s="33" t="s">
        <v>501</v>
      </c>
      <c r="H232" s="33">
        <v>0</v>
      </c>
      <c r="I232" s="33">
        <v>1070</v>
      </c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</row>
    <row r="233" spans="1:69" s="34" customFormat="1" x14ac:dyDescent="0.25">
      <c r="A233" s="33">
        <v>23</v>
      </c>
      <c r="B233" s="33" t="s">
        <v>134</v>
      </c>
      <c r="C233" s="36" t="s">
        <v>135</v>
      </c>
      <c r="D233" s="33">
        <v>2</v>
      </c>
      <c r="E233" s="36" t="s">
        <v>491</v>
      </c>
      <c r="F233" s="33"/>
      <c r="G233" s="33" t="s">
        <v>501</v>
      </c>
      <c r="H233" s="33">
        <v>0</v>
      </c>
      <c r="I233" s="33">
        <v>20</v>
      </c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</row>
    <row r="234" spans="1:69" s="34" customFormat="1" x14ac:dyDescent="0.25">
      <c r="A234" s="33">
        <v>23</v>
      </c>
      <c r="B234" s="33" t="s">
        <v>134</v>
      </c>
      <c r="C234" s="36" t="s">
        <v>135</v>
      </c>
      <c r="D234" s="33">
        <v>3</v>
      </c>
      <c r="E234" s="36" t="s">
        <v>492</v>
      </c>
      <c r="F234" s="33"/>
      <c r="G234" s="33" t="s">
        <v>500</v>
      </c>
      <c r="H234" s="33">
        <v>0</v>
      </c>
      <c r="I234" s="33">
        <v>9.09</v>
      </c>
      <c r="J234" s="33">
        <v>9.09</v>
      </c>
      <c r="K234" s="33">
        <v>9.09</v>
      </c>
      <c r="L234" s="33">
        <v>9.09</v>
      </c>
      <c r="M234" s="33">
        <v>9.09</v>
      </c>
      <c r="N234" s="33">
        <v>9.09</v>
      </c>
      <c r="O234" s="33">
        <v>9.09</v>
      </c>
      <c r="P234" s="33">
        <v>9.09</v>
      </c>
      <c r="Q234" s="33">
        <v>9.09</v>
      </c>
      <c r="R234" s="33">
        <v>9.09</v>
      </c>
      <c r="S234" s="33">
        <v>5.6841862884691281</v>
      </c>
      <c r="T234" s="33">
        <v>5.5648829122732453</v>
      </c>
      <c r="U234" s="33">
        <v>5.674309977103098</v>
      </c>
      <c r="V234" s="33">
        <v>5.5648937610992757</v>
      </c>
      <c r="W234" s="33">
        <v>5.5648885140799118</v>
      </c>
      <c r="X234" s="33">
        <v>5.56489843505714</v>
      </c>
      <c r="Y234" s="33">
        <v>5.5648890517176079</v>
      </c>
      <c r="Z234" s="33">
        <v>5.5648948523983286</v>
      </c>
      <c r="AA234" s="33">
        <v>5.5648973305218465</v>
      </c>
      <c r="AB234" s="33">
        <v>5.5648916622058282</v>
      </c>
      <c r="AC234" s="33">
        <v>5.5648965433336341</v>
      </c>
      <c r="AD234" s="33">
        <v>5.5649015745012305</v>
      </c>
      <c r="AE234" s="33">
        <v>5.5648971974512937</v>
      </c>
      <c r="AF234" s="33">
        <v>5.5648922379657835</v>
      </c>
      <c r="AG234" s="33">
        <v>5.5648844202172336</v>
      </c>
      <c r="AH234" s="33">
        <v>5.5648951361044956</v>
      </c>
      <c r="AI234" s="33">
        <v>5.5648955289885773</v>
      </c>
      <c r="AJ234" s="33">
        <v>5.5648955289885773</v>
      </c>
      <c r="AK234" s="33">
        <v>5.5648955289885773</v>
      </c>
      <c r="AL234" s="33">
        <v>5.5648955289885773</v>
      </c>
      <c r="AM234" s="33">
        <v>5.5648955289885773</v>
      </c>
      <c r="AN234" s="33">
        <v>5.5648955289885773</v>
      </c>
      <c r="AO234" s="33">
        <v>5.5648955289885773</v>
      </c>
      <c r="AP234" s="33">
        <v>5.5648955289885773</v>
      </c>
      <c r="AQ234" s="33">
        <v>5.5648955289885773</v>
      </c>
      <c r="AR234" s="33">
        <v>5.5648955289885773</v>
      </c>
      <c r="AS234" s="33">
        <v>5.5648955289885773</v>
      </c>
      <c r="AT234" s="33">
        <v>5.5648955289885773</v>
      </c>
      <c r="AU234" s="33">
        <v>5.5648955289885773</v>
      </c>
      <c r="AV234" s="33">
        <v>5.5648955289885773</v>
      </c>
      <c r="AW234" s="33">
        <v>5.5648955289885773</v>
      </c>
      <c r="AX234" s="33">
        <v>5.5648955289885773</v>
      </c>
      <c r="AY234" s="33">
        <v>5.5648955289885773</v>
      </c>
      <c r="AZ234" s="33">
        <v>5.5648955289885773</v>
      </c>
      <c r="BA234" s="33">
        <v>5.5648955289885773</v>
      </c>
      <c r="BB234" s="33">
        <v>5.5648955289885773</v>
      </c>
      <c r="BC234" s="33">
        <v>5.5648955289885773</v>
      </c>
      <c r="BD234" s="33">
        <v>5.5648955289885773</v>
      </c>
      <c r="BE234" s="33">
        <v>5.5648955289885773</v>
      </c>
      <c r="BF234" s="33">
        <v>5.5648955289885773</v>
      </c>
      <c r="BG234" s="33">
        <v>5.5648955289885773</v>
      </c>
      <c r="BH234" s="33">
        <v>5.5648955289885773</v>
      </c>
      <c r="BI234" s="33">
        <v>5.5648955289885773</v>
      </c>
      <c r="BJ234" s="33">
        <v>5.5648955289885773</v>
      </c>
      <c r="BK234" s="33">
        <v>5.5648955289885773</v>
      </c>
      <c r="BL234" s="33">
        <v>5.5648955289885773</v>
      </c>
      <c r="BM234" s="33">
        <v>5.5648955289885773</v>
      </c>
      <c r="BN234" s="33">
        <v>5.5648955289885773</v>
      </c>
      <c r="BO234" s="33">
        <v>5.5648955289885773</v>
      </c>
      <c r="BP234" s="33">
        <v>5.5648955289885773</v>
      </c>
      <c r="BQ234" s="33">
        <v>5.5648955289885773</v>
      </c>
    </row>
    <row r="235" spans="1:69" s="34" customFormat="1" x14ac:dyDescent="0.25">
      <c r="A235" s="33">
        <v>23</v>
      </c>
      <c r="B235" s="33" t="s">
        <v>134</v>
      </c>
      <c r="C235" s="36" t="s">
        <v>135</v>
      </c>
      <c r="D235" s="33">
        <v>4</v>
      </c>
      <c r="E235" s="36" t="s">
        <v>493</v>
      </c>
      <c r="F235" s="33"/>
      <c r="G235" s="33" t="s">
        <v>500</v>
      </c>
      <c r="H235" s="33">
        <v>0</v>
      </c>
      <c r="I235" s="33">
        <v>0.3689312480000001</v>
      </c>
      <c r="J235" s="33">
        <v>0.37574145279999999</v>
      </c>
      <c r="K235" s="33">
        <v>0.40794223680000002</v>
      </c>
      <c r="L235" s="33">
        <v>0.4107836768</v>
      </c>
      <c r="M235" s="33">
        <v>0.43501521280000005</v>
      </c>
      <c r="N235" s="33">
        <v>0.45018718080000003</v>
      </c>
      <c r="O235" s="33">
        <v>0.47394426240000009</v>
      </c>
      <c r="P235" s="33">
        <v>0.4408183584</v>
      </c>
      <c r="Q235" s="33">
        <v>0.43722</v>
      </c>
      <c r="R235" s="33">
        <v>0.43722</v>
      </c>
      <c r="S235" s="33">
        <v>0.43722</v>
      </c>
      <c r="T235" s="33">
        <v>0.43722</v>
      </c>
      <c r="U235" s="33">
        <v>0.43722</v>
      </c>
      <c r="V235" s="33">
        <v>0.43722</v>
      </c>
      <c r="W235" s="33">
        <v>0.43722</v>
      </c>
      <c r="X235" s="33">
        <v>0.43722</v>
      </c>
      <c r="Y235" s="33">
        <v>0.43722</v>
      </c>
      <c r="Z235" s="33">
        <v>0.43722</v>
      </c>
      <c r="AA235" s="33">
        <v>0.43722</v>
      </c>
      <c r="AB235" s="33">
        <v>0.43722</v>
      </c>
      <c r="AC235" s="33">
        <v>0.43722</v>
      </c>
      <c r="AD235" s="33">
        <v>0.43722</v>
      </c>
      <c r="AE235" s="33">
        <v>0.43722</v>
      </c>
      <c r="AF235" s="33">
        <v>0.43722</v>
      </c>
      <c r="AG235" s="33">
        <v>0.43722</v>
      </c>
      <c r="AH235" s="33">
        <v>0.43722</v>
      </c>
      <c r="AI235" s="33">
        <v>0.43722</v>
      </c>
      <c r="AJ235" s="33">
        <v>0.43722</v>
      </c>
      <c r="AK235" s="33">
        <v>0.43722</v>
      </c>
      <c r="AL235" s="33">
        <v>0.43722</v>
      </c>
      <c r="AM235" s="33">
        <v>0.43722</v>
      </c>
      <c r="AN235" s="33">
        <v>0.43722</v>
      </c>
      <c r="AO235" s="33">
        <v>0.43722</v>
      </c>
      <c r="AP235" s="33">
        <v>0.43722</v>
      </c>
      <c r="AQ235" s="33">
        <v>0.43722</v>
      </c>
      <c r="AR235" s="33">
        <v>0.43722</v>
      </c>
      <c r="AS235" s="33">
        <v>0</v>
      </c>
      <c r="AT235" s="33">
        <v>0</v>
      </c>
      <c r="AU235" s="33">
        <v>0</v>
      </c>
      <c r="AV235" s="33">
        <v>0</v>
      </c>
      <c r="AW235" s="33">
        <v>0</v>
      </c>
      <c r="AX235" s="33">
        <v>0</v>
      </c>
      <c r="AY235" s="33">
        <v>0</v>
      </c>
      <c r="AZ235" s="33">
        <v>0</v>
      </c>
      <c r="BA235" s="33">
        <v>0</v>
      </c>
      <c r="BB235" s="33">
        <v>0</v>
      </c>
      <c r="BC235" s="33">
        <v>0</v>
      </c>
      <c r="BD235" s="33">
        <v>0</v>
      </c>
      <c r="BE235" s="33">
        <v>0</v>
      </c>
      <c r="BF235" s="33">
        <v>0</v>
      </c>
      <c r="BG235" s="33">
        <v>0</v>
      </c>
      <c r="BH235" s="33">
        <v>0</v>
      </c>
      <c r="BI235" s="33">
        <v>0</v>
      </c>
      <c r="BJ235" s="33">
        <v>0</v>
      </c>
      <c r="BK235" s="33">
        <v>0</v>
      </c>
      <c r="BL235" s="33">
        <v>0</v>
      </c>
      <c r="BM235" s="33">
        <v>0</v>
      </c>
      <c r="BN235" s="33">
        <v>0</v>
      </c>
      <c r="BO235" s="33">
        <v>0</v>
      </c>
      <c r="BP235" s="33">
        <v>0</v>
      </c>
      <c r="BQ235" s="33">
        <v>0</v>
      </c>
    </row>
    <row r="236" spans="1:69" s="34" customFormat="1" x14ac:dyDescent="0.25">
      <c r="A236" s="33">
        <v>23</v>
      </c>
      <c r="B236" s="33" t="s">
        <v>134</v>
      </c>
      <c r="C236" s="36" t="s">
        <v>135</v>
      </c>
      <c r="D236" s="33">
        <v>5</v>
      </c>
      <c r="E236" s="36" t="s">
        <v>494</v>
      </c>
      <c r="F236" s="33"/>
      <c r="G236" s="33" t="s">
        <v>500</v>
      </c>
      <c r="H236" s="33">
        <v>0</v>
      </c>
      <c r="I236" s="33">
        <v>99999</v>
      </c>
      <c r="J236" s="33">
        <v>99999</v>
      </c>
      <c r="K236" s="33">
        <v>99999</v>
      </c>
      <c r="L236" s="33">
        <v>99999</v>
      </c>
      <c r="M236" s="33">
        <v>99999</v>
      </c>
      <c r="N236" s="33">
        <v>99999</v>
      </c>
      <c r="O236" s="33">
        <v>99999</v>
      </c>
      <c r="P236" s="33">
        <v>99999</v>
      </c>
      <c r="Q236" s="33">
        <v>99999</v>
      </c>
      <c r="R236" s="33">
        <v>99999</v>
      </c>
      <c r="S236" s="33">
        <v>99999</v>
      </c>
      <c r="T236" s="33">
        <v>99999</v>
      </c>
      <c r="U236" s="33">
        <v>99999</v>
      </c>
      <c r="V236" s="33">
        <v>99999</v>
      </c>
      <c r="W236" s="33">
        <v>99999</v>
      </c>
      <c r="X236" s="33">
        <v>99999</v>
      </c>
      <c r="Y236" s="33">
        <v>99999</v>
      </c>
      <c r="Z236" s="33">
        <v>99999</v>
      </c>
      <c r="AA236" s="33">
        <v>99999</v>
      </c>
      <c r="AB236" s="33">
        <v>99999</v>
      </c>
      <c r="AC236" s="33">
        <v>99999</v>
      </c>
      <c r="AD236" s="33">
        <v>99999</v>
      </c>
      <c r="AE236" s="33">
        <v>99999</v>
      </c>
      <c r="AF236" s="33">
        <v>99999</v>
      </c>
      <c r="AG236" s="33">
        <v>99999</v>
      </c>
      <c r="AH236" s="33">
        <v>99999</v>
      </c>
      <c r="AI236" s="33">
        <v>99999</v>
      </c>
      <c r="AJ236" s="33">
        <v>99999</v>
      </c>
      <c r="AK236" s="33">
        <v>99999</v>
      </c>
      <c r="AL236" s="33">
        <v>99999</v>
      </c>
      <c r="AM236" s="33">
        <v>99999</v>
      </c>
      <c r="AN236" s="33">
        <v>99999</v>
      </c>
      <c r="AO236" s="33">
        <v>99999</v>
      </c>
      <c r="AP236" s="33">
        <v>99999</v>
      </c>
      <c r="AQ236" s="33">
        <v>99999</v>
      </c>
      <c r="AR236" s="33">
        <v>99999</v>
      </c>
      <c r="AS236" s="33">
        <v>99999</v>
      </c>
      <c r="AT236" s="33">
        <v>99999</v>
      </c>
      <c r="AU236" s="33">
        <v>99999</v>
      </c>
      <c r="AV236" s="33">
        <v>99999</v>
      </c>
      <c r="AW236" s="33">
        <v>99999</v>
      </c>
      <c r="AX236" s="33">
        <v>99999</v>
      </c>
      <c r="AY236" s="33">
        <v>99999</v>
      </c>
      <c r="AZ236" s="33">
        <v>99999</v>
      </c>
      <c r="BA236" s="33">
        <v>99999</v>
      </c>
      <c r="BB236" s="33">
        <v>99999</v>
      </c>
      <c r="BC236" s="33">
        <v>99999</v>
      </c>
      <c r="BD236" s="33">
        <v>99999</v>
      </c>
      <c r="BE236" s="33">
        <v>99999</v>
      </c>
      <c r="BF236" s="33">
        <v>99999</v>
      </c>
      <c r="BG236" s="33">
        <v>99999</v>
      </c>
      <c r="BH236" s="33">
        <v>99999</v>
      </c>
      <c r="BI236" s="33">
        <v>99999</v>
      </c>
      <c r="BJ236" s="33">
        <v>99999</v>
      </c>
      <c r="BK236" s="33">
        <v>99999</v>
      </c>
      <c r="BL236" s="33">
        <v>99999</v>
      </c>
      <c r="BM236" s="33">
        <v>99999</v>
      </c>
      <c r="BN236" s="33">
        <v>99999</v>
      </c>
      <c r="BO236" s="33">
        <v>99999</v>
      </c>
      <c r="BP236" s="33">
        <v>99999</v>
      </c>
      <c r="BQ236" s="33">
        <v>99999</v>
      </c>
    </row>
    <row r="237" spans="1:69" s="34" customFormat="1" x14ac:dyDescent="0.25">
      <c r="A237" s="33">
        <v>23</v>
      </c>
      <c r="B237" s="33" t="s">
        <v>134</v>
      </c>
      <c r="C237" s="36" t="s">
        <v>135</v>
      </c>
      <c r="D237" s="33">
        <v>6</v>
      </c>
      <c r="E237" s="36" t="s">
        <v>495</v>
      </c>
      <c r="F237" s="33"/>
      <c r="G237" s="33" t="s">
        <v>490</v>
      </c>
      <c r="H237" s="33">
        <v>0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</row>
    <row r="238" spans="1:69" s="34" customFormat="1" x14ac:dyDescent="0.25">
      <c r="A238" s="33">
        <v>23</v>
      </c>
      <c r="B238" s="33" t="s">
        <v>134</v>
      </c>
      <c r="C238" s="36" t="s">
        <v>135</v>
      </c>
      <c r="D238" s="33">
        <v>7</v>
      </c>
      <c r="E238" s="36" t="s">
        <v>496</v>
      </c>
      <c r="F238" s="33"/>
      <c r="G238" s="33" t="s">
        <v>500</v>
      </c>
      <c r="H238" s="33">
        <v>0</v>
      </c>
      <c r="I238" s="55">
        <v>3.340645697288775</v>
      </c>
      <c r="J238" s="33">
        <v>2.8678535424627825</v>
      </c>
      <c r="K238" s="33">
        <v>3.239176018877616</v>
      </c>
      <c r="L238" s="33">
        <v>3.7273614066514309</v>
      </c>
      <c r="M238" s="33">
        <v>3.8809795885184815</v>
      </c>
      <c r="N238" s="33">
        <v>3.8674712412377379</v>
      </c>
      <c r="O238" s="33">
        <v>3.4141562383049098</v>
      </c>
      <c r="P238" s="33">
        <v>2.3168386324529546</v>
      </c>
      <c r="Q238" s="33">
        <v>3.5324</v>
      </c>
      <c r="R238" s="33">
        <v>2.39</v>
      </c>
      <c r="S238" s="33">
        <v>1.9516</v>
      </c>
      <c r="T238" s="33">
        <v>1.5744</v>
      </c>
      <c r="U238" s="33">
        <v>2.3727</v>
      </c>
      <c r="V238" s="33">
        <v>2.4474</v>
      </c>
      <c r="W238" s="33">
        <v>2.4651000000000001</v>
      </c>
      <c r="X238" s="33">
        <v>2.5329000000000002</v>
      </c>
      <c r="Y238" s="33">
        <v>2.5998000000000001</v>
      </c>
      <c r="Z238" s="33">
        <v>2.6810999999999998</v>
      </c>
      <c r="AA238" s="33">
        <v>2.6797</v>
      </c>
      <c r="AB238" s="33">
        <v>2.7381000000000002</v>
      </c>
      <c r="AC238" s="33">
        <v>2.8132000000000001</v>
      </c>
      <c r="AD238" s="33">
        <v>2.8639000000000001</v>
      </c>
      <c r="AE238" s="33">
        <v>2.9445000000000001</v>
      </c>
      <c r="AF238" s="33">
        <v>3.0289999999999999</v>
      </c>
      <c r="AG238" s="33">
        <v>3.1093000000000002</v>
      </c>
      <c r="AH238" s="33">
        <v>3.1821000000000002</v>
      </c>
      <c r="AI238" s="33">
        <v>3.27</v>
      </c>
      <c r="AJ238" s="33">
        <v>3.3426999999999998</v>
      </c>
      <c r="AK238" s="33">
        <v>3.4260999999999999</v>
      </c>
      <c r="AL238" s="33">
        <v>3.5095000000000001</v>
      </c>
      <c r="AM238" s="33">
        <v>3.5924</v>
      </c>
      <c r="AN238" s="33">
        <v>3.6707999999999998</v>
      </c>
      <c r="AO238" s="33">
        <v>3.754</v>
      </c>
      <c r="AP238" s="33">
        <v>3.8159999999999998</v>
      </c>
      <c r="AQ238" s="33">
        <v>3.8992</v>
      </c>
      <c r="AR238" s="33">
        <v>3.9668999999999999</v>
      </c>
      <c r="AS238" s="33">
        <v>4.0552999999999999</v>
      </c>
      <c r="AT238" s="33">
        <v>4.1242999999999999</v>
      </c>
      <c r="AU238" s="33">
        <v>4.1954000000000002</v>
      </c>
      <c r="AV238" s="33">
        <v>4.2655000000000003</v>
      </c>
      <c r="AW238" s="33">
        <v>4.3384</v>
      </c>
      <c r="AX238" s="33">
        <v>4.4886999999999997</v>
      </c>
      <c r="AY238" s="33">
        <v>4.5669000000000004</v>
      </c>
      <c r="AZ238" s="33">
        <v>4.6456999999999997</v>
      </c>
      <c r="BA238" s="33">
        <v>4.7241999999999997</v>
      </c>
      <c r="BB238" s="33">
        <v>4.8052000000000001</v>
      </c>
      <c r="BC238" s="33">
        <v>4.8856000000000002</v>
      </c>
      <c r="BD238" s="33">
        <v>4.9659000000000004</v>
      </c>
      <c r="BE238" s="33">
        <v>5.0462999999999996</v>
      </c>
      <c r="BF238" s="33">
        <v>5.1273</v>
      </c>
      <c r="BG238" s="33">
        <v>5.2095000000000002</v>
      </c>
      <c r="BH238" s="33">
        <v>5.2923999999999998</v>
      </c>
      <c r="BI238" s="33">
        <v>5.3765000000000001</v>
      </c>
      <c r="BJ238" s="33">
        <v>5.4603000000000002</v>
      </c>
      <c r="BK238" s="33">
        <v>5.5450999999999997</v>
      </c>
      <c r="BL238" s="33">
        <v>5.6307999999999998</v>
      </c>
      <c r="BM238" s="33">
        <v>5.7164000000000001</v>
      </c>
      <c r="BN238" s="33">
        <v>5.8026999999999997</v>
      </c>
      <c r="BO238" s="33">
        <v>5.8897000000000004</v>
      </c>
      <c r="BP238" s="33">
        <v>5.9775999999999998</v>
      </c>
      <c r="BQ238" s="33">
        <v>6.0659999999999998</v>
      </c>
    </row>
    <row r="239" spans="1:69" s="34" customFormat="1" x14ac:dyDescent="0.25">
      <c r="A239" s="33">
        <v>23</v>
      </c>
      <c r="B239" s="33" t="s">
        <v>134</v>
      </c>
      <c r="C239" s="36" t="s">
        <v>135</v>
      </c>
      <c r="D239" s="33">
        <v>8</v>
      </c>
      <c r="E239" s="36" t="s">
        <v>497</v>
      </c>
      <c r="F239" s="33"/>
      <c r="G239" s="33" t="s">
        <v>490</v>
      </c>
      <c r="H239" s="33">
        <v>0</v>
      </c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</row>
    <row r="240" spans="1:69" s="34" customFormat="1" x14ac:dyDescent="0.25">
      <c r="A240" s="33">
        <v>23</v>
      </c>
      <c r="B240" s="33" t="s">
        <v>134</v>
      </c>
      <c r="C240" s="36" t="s">
        <v>135</v>
      </c>
      <c r="D240" s="33">
        <v>9</v>
      </c>
      <c r="E240" s="36" t="s">
        <v>498</v>
      </c>
      <c r="F240" s="33"/>
      <c r="G240" s="33" t="s">
        <v>500</v>
      </c>
      <c r="H240" s="33">
        <v>0</v>
      </c>
      <c r="I240" s="33">
        <v>0.30530000000000002</v>
      </c>
      <c r="J240" s="33">
        <v>0.25729999999999997</v>
      </c>
      <c r="K240" s="33">
        <v>0.26769999999999999</v>
      </c>
      <c r="L240" s="33">
        <v>0.30590000000000001</v>
      </c>
      <c r="M240" s="33">
        <v>0.30080000000000001</v>
      </c>
      <c r="N240" s="33">
        <v>0.28960000000000002</v>
      </c>
      <c r="O240" s="33">
        <v>0.2429</v>
      </c>
      <c r="P240" s="33">
        <v>0.1772</v>
      </c>
      <c r="Q240" s="33">
        <v>0.27239999999999998</v>
      </c>
      <c r="R240" s="33">
        <v>0.18429999999999999</v>
      </c>
      <c r="S240" s="33">
        <v>0.15049999999999999</v>
      </c>
      <c r="T240" s="33">
        <v>0.11890000000000001</v>
      </c>
      <c r="U240" s="33">
        <v>0.27</v>
      </c>
      <c r="V240" s="33">
        <v>0.3</v>
      </c>
      <c r="W240" s="33">
        <v>0.3</v>
      </c>
      <c r="X240" s="33">
        <v>0.3</v>
      </c>
      <c r="Y240" s="33">
        <v>0.3</v>
      </c>
      <c r="Z240" s="33">
        <v>0.3</v>
      </c>
      <c r="AA240" s="33">
        <v>0.3</v>
      </c>
      <c r="AB240" s="33">
        <v>0.3</v>
      </c>
      <c r="AC240" s="33">
        <v>0.3</v>
      </c>
      <c r="AD240" s="33">
        <v>0.3</v>
      </c>
      <c r="AE240" s="33">
        <v>0.3</v>
      </c>
      <c r="AF240" s="33">
        <v>0.3</v>
      </c>
      <c r="AG240" s="33">
        <v>0.3</v>
      </c>
      <c r="AH240" s="33">
        <v>0.3</v>
      </c>
      <c r="AI240" s="33">
        <v>0.3</v>
      </c>
      <c r="AJ240" s="33">
        <v>0.3</v>
      </c>
      <c r="AK240" s="33">
        <v>0.3</v>
      </c>
      <c r="AL240" s="33">
        <v>0.3</v>
      </c>
      <c r="AM240" s="33">
        <v>0.3</v>
      </c>
      <c r="AN240" s="33">
        <v>0.3</v>
      </c>
      <c r="AO240" s="33">
        <v>0.3</v>
      </c>
      <c r="AP240" s="33">
        <v>0.3</v>
      </c>
      <c r="AQ240" s="33">
        <v>0.3</v>
      </c>
      <c r="AR240" s="33">
        <v>0.3</v>
      </c>
      <c r="AS240" s="33">
        <v>0.3</v>
      </c>
      <c r="AT240" s="33">
        <v>0.3</v>
      </c>
      <c r="AU240" s="33">
        <v>0.3</v>
      </c>
      <c r="AV240" s="33">
        <v>0.3</v>
      </c>
      <c r="AW240" s="33">
        <v>0.3</v>
      </c>
      <c r="AX240" s="33">
        <v>0.3</v>
      </c>
      <c r="AY240" s="33">
        <v>0.3</v>
      </c>
      <c r="AZ240" s="33">
        <v>0.3</v>
      </c>
      <c r="BA240" s="33">
        <v>0.3</v>
      </c>
      <c r="BB240" s="33">
        <v>0.3</v>
      </c>
      <c r="BC240" s="33">
        <v>0.3</v>
      </c>
      <c r="BD240" s="33">
        <v>0.3</v>
      </c>
      <c r="BE240" s="33">
        <v>0.3</v>
      </c>
      <c r="BF240" s="33">
        <v>0.3</v>
      </c>
      <c r="BG240" s="33">
        <v>0.3</v>
      </c>
      <c r="BH240" s="33">
        <v>0.3</v>
      </c>
      <c r="BI240" s="33">
        <v>0.3</v>
      </c>
      <c r="BJ240" s="33">
        <v>0.3</v>
      </c>
      <c r="BK240" s="33">
        <v>0.3</v>
      </c>
      <c r="BL240" s="33">
        <v>0.3</v>
      </c>
      <c r="BM240" s="33">
        <v>0.3</v>
      </c>
      <c r="BN240" s="33">
        <v>0.3</v>
      </c>
      <c r="BO240" s="33">
        <v>0.3</v>
      </c>
      <c r="BP240" s="33">
        <v>0.3</v>
      </c>
      <c r="BQ240" s="33">
        <v>0.3</v>
      </c>
    </row>
    <row r="241" spans="1:69" s="34" customFormat="1" x14ac:dyDescent="0.25">
      <c r="A241" s="33">
        <v>23</v>
      </c>
      <c r="B241" s="33" t="s">
        <v>134</v>
      </c>
      <c r="C241" s="36" t="s">
        <v>135</v>
      </c>
      <c r="D241" s="33">
        <v>10</v>
      </c>
      <c r="E241" s="36" t="s">
        <v>499</v>
      </c>
      <c r="F241" s="33"/>
      <c r="G241" s="33" t="s">
        <v>501</v>
      </c>
      <c r="H241" s="33">
        <v>0</v>
      </c>
      <c r="I241" s="33">
        <v>0.95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</row>
    <row r="242" spans="1:69" s="44" customFormat="1" hidden="1" x14ac:dyDescent="0.25">
      <c r="A242" s="43">
        <v>24</v>
      </c>
      <c r="B242" s="43" t="s">
        <v>136</v>
      </c>
      <c r="C242" s="20" t="s">
        <v>137</v>
      </c>
      <c r="D242" s="43">
        <v>1</v>
      </c>
      <c r="E242" s="20" t="s">
        <v>489</v>
      </c>
      <c r="F242" s="43"/>
      <c r="G242" s="43" t="s">
        <v>501</v>
      </c>
      <c r="H242" s="43">
        <v>0</v>
      </c>
      <c r="I242" s="43">
        <v>1770</v>
      </c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</row>
    <row r="243" spans="1:69" s="44" customFormat="1" hidden="1" x14ac:dyDescent="0.25">
      <c r="A243" s="43">
        <v>24</v>
      </c>
      <c r="B243" s="43" t="s">
        <v>136</v>
      </c>
      <c r="C243" s="20" t="s">
        <v>137</v>
      </c>
      <c r="D243" s="43">
        <v>2</v>
      </c>
      <c r="E243" s="20" t="s">
        <v>491</v>
      </c>
      <c r="F243" s="43"/>
      <c r="G243" s="43" t="s">
        <v>501</v>
      </c>
      <c r="H243" s="43">
        <v>0</v>
      </c>
      <c r="I243" s="43">
        <v>44.3</v>
      </c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</row>
    <row r="244" spans="1:69" s="44" customFormat="1" hidden="1" x14ac:dyDescent="0.25">
      <c r="A244" s="43">
        <v>24</v>
      </c>
      <c r="B244" s="43" t="s">
        <v>136</v>
      </c>
      <c r="C244" s="20" t="s">
        <v>137</v>
      </c>
      <c r="D244" s="43">
        <v>3</v>
      </c>
      <c r="E244" s="20" t="s">
        <v>492</v>
      </c>
      <c r="F244" s="43"/>
      <c r="G244" s="43" t="s">
        <v>501</v>
      </c>
      <c r="H244" s="43">
        <v>0</v>
      </c>
      <c r="I244" s="45">
        <v>12.61</v>
      </c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</row>
    <row r="245" spans="1:69" s="44" customFormat="1" hidden="1" x14ac:dyDescent="0.25">
      <c r="A245" s="43">
        <v>24</v>
      </c>
      <c r="B245" s="43" t="s">
        <v>136</v>
      </c>
      <c r="C245" s="20" t="s">
        <v>137</v>
      </c>
      <c r="D245" s="43">
        <v>4</v>
      </c>
      <c r="E245" s="20" t="s">
        <v>493</v>
      </c>
      <c r="F245" s="43"/>
      <c r="G245" s="43" t="s">
        <v>500</v>
      </c>
      <c r="H245" s="43">
        <v>0</v>
      </c>
      <c r="I245" s="43">
        <v>0.35056284900000001</v>
      </c>
      <c r="J245" s="43">
        <v>0.35703398639999995</v>
      </c>
      <c r="K245" s="43">
        <v>0.3876315534</v>
      </c>
      <c r="L245" s="43">
        <v>0.39033152339999999</v>
      </c>
      <c r="M245" s="43">
        <v>0.41335661639999993</v>
      </c>
      <c r="N245" s="43">
        <v>0.4277732004</v>
      </c>
      <c r="O245" s="43">
        <v>0.45034746120000002</v>
      </c>
      <c r="P245" s="43">
        <v>0.41887083419999999</v>
      </c>
      <c r="Q245" s="43">
        <v>0.44600000000000001</v>
      </c>
      <c r="R245" s="43">
        <v>0.44600000000000001</v>
      </c>
      <c r="S245" s="43">
        <v>0.44600000000000001</v>
      </c>
      <c r="T245" s="43">
        <v>0.44600000000000001</v>
      </c>
      <c r="U245" s="43">
        <v>0.44600000000000001</v>
      </c>
      <c r="V245" s="43">
        <v>0.44600000000000001</v>
      </c>
      <c r="W245" s="43">
        <v>0.44600000000000001</v>
      </c>
      <c r="X245" s="43">
        <v>0.44600000000000001</v>
      </c>
      <c r="Y245" s="43">
        <v>0.44600000000000001</v>
      </c>
      <c r="Z245" s="43">
        <v>0.44600000000000001</v>
      </c>
      <c r="AA245" s="43">
        <v>0.44600000000000001</v>
      </c>
      <c r="AB245" s="43">
        <v>0.44600000000000001</v>
      </c>
      <c r="AC245" s="43">
        <v>0.44600000000000001</v>
      </c>
      <c r="AD245" s="43">
        <v>0.44600000000000001</v>
      </c>
      <c r="AE245" s="43">
        <v>0.44600000000000001</v>
      </c>
      <c r="AF245" s="43">
        <v>0.44600000000000001</v>
      </c>
      <c r="AG245" s="43">
        <v>0.44600000000000001</v>
      </c>
      <c r="AH245" s="43">
        <v>0.44600000000000001</v>
      </c>
      <c r="AI245" s="43">
        <v>0.44600000000000001</v>
      </c>
      <c r="AJ245" s="43">
        <v>0.44600000000000001</v>
      </c>
      <c r="AK245" s="43">
        <v>0.44600000000000001</v>
      </c>
      <c r="AL245" s="43">
        <v>0.44600000000000001</v>
      </c>
      <c r="AM245" s="43">
        <v>0.44600000000000001</v>
      </c>
      <c r="AN245" s="43">
        <v>0.44600000000000001</v>
      </c>
      <c r="AO245" s="43">
        <v>0.44600000000000001</v>
      </c>
      <c r="AP245" s="43">
        <v>0.44600000000000001</v>
      </c>
      <c r="AQ245" s="43">
        <v>0.44600000000000001</v>
      </c>
      <c r="AR245" s="43">
        <v>0.44600000000000001</v>
      </c>
      <c r="AS245" s="43">
        <v>0</v>
      </c>
      <c r="AT245" s="43">
        <v>0</v>
      </c>
      <c r="AU245" s="43">
        <v>0</v>
      </c>
      <c r="AV245" s="43">
        <v>0</v>
      </c>
      <c r="AW245" s="43">
        <v>0</v>
      </c>
      <c r="AX245" s="43">
        <v>0</v>
      </c>
      <c r="AY245" s="43">
        <v>0</v>
      </c>
      <c r="AZ245" s="43">
        <v>0</v>
      </c>
      <c r="BA245" s="43">
        <v>0</v>
      </c>
      <c r="BB245" s="43">
        <v>0</v>
      </c>
      <c r="BC245" s="43">
        <v>0</v>
      </c>
      <c r="BD245" s="43">
        <v>0</v>
      </c>
      <c r="BE245" s="43">
        <v>0</v>
      </c>
      <c r="BF245" s="43">
        <v>0</v>
      </c>
      <c r="BG245" s="43">
        <v>0</v>
      </c>
      <c r="BH245" s="43">
        <v>0</v>
      </c>
      <c r="BI245" s="43">
        <v>0</v>
      </c>
      <c r="BJ245" s="43">
        <v>0</v>
      </c>
      <c r="BK245" s="43">
        <v>0</v>
      </c>
      <c r="BL245" s="43">
        <v>0</v>
      </c>
      <c r="BM245" s="43">
        <v>0</v>
      </c>
      <c r="BN245" s="43">
        <v>0</v>
      </c>
      <c r="BO245" s="43">
        <v>0</v>
      </c>
      <c r="BP245" s="43">
        <v>0</v>
      </c>
      <c r="BQ245" s="43">
        <v>0</v>
      </c>
    </row>
    <row r="246" spans="1:69" s="44" customFormat="1" hidden="1" x14ac:dyDescent="0.25">
      <c r="A246" s="43">
        <v>24</v>
      </c>
      <c r="B246" s="43" t="s">
        <v>136</v>
      </c>
      <c r="C246" s="20" t="s">
        <v>137</v>
      </c>
      <c r="D246" s="43">
        <v>5</v>
      </c>
      <c r="E246" s="20" t="s">
        <v>494</v>
      </c>
      <c r="F246" s="43"/>
      <c r="G246" s="43" t="s">
        <v>500</v>
      </c>
      <c r="H246" s="43">
        <v>0</v>
      </c>
      <c r="I246" s="43">
        <v>0.35056284900000001</v>
      </c>
      <c r="J246" s="43">
        <v>0.35703398639999995</v>
      </c>
      <c r="K246" s="43">
        <v>0.3876315534</v>
      </c>
      <c r="L246" s="43">
        <v>0.39033152339999999</v>
      </c>
      <c r="M246" s="43">
        <v>0.41335661639999993</v>
      </c>
      <c r="N246" s="43">
        <v>0.4277732004</v>
      </c>
      <c r="O246" s="43">
        <v>0.45034746120000002</v>
      </c>
      <c r="P246" s="43">
        <v>0.41887083419999999</v>
      </c>
      <c r="Q246" s="43">
        <v>0.44600000000000001</v>
      </c>
      <c r="R246" s="43">
        <v>0.44600000000000001</v>
      </c>
      <c r="S246" s="43">
        <v>0.44600000000000001</v>
      </c>
      <c r="T246" s="43">
        <v>0.44600000000000001</v>
      </c>
      <c r="U246" s="43">
        <v>99999</v>
      </c>
      <c r="V246" s="43">
        <v>99999</v>
      </c>
      <c r="W246" s="43">
        <v>99999</v>
      </c>
      <c r="X246" s="43">
        <v>99999</v>
      </c>
      <c r="Y246" s="43">
        <v>99999</v>
      </c>
      <c r="Z246" s="43">
        <v>99999</v>
      </c>
      <c r="AA246" s="43">
        <v>99999</v>
      </c>
      <c r="AB246" s="43">
        <v>99999</v>
      </c>
      <c r="AC246" s="43">
        <v>99999</v>
      </c>
      <c r="AD246" s="43">
        <v>99999</v>
      </c>
      <c r="AE246" s="43">
        <v>99999</v>
      </c>
      <c r="AF246" s="43">
        <v>99999</v>
      </c>
      <c r="AG246" s="43">
        <v>99999</v>
      </c>
      <c r="AH246" s="43">
        <v>99999</v>
      </c>
      <c r="AI246" s="43">
        <v>99999</v>
      </c>
      <c r="AJ246" s="43">
        <v>99999</v>
      </c>
      <c r="AK246" s="43">
        <v>99999</v>
      </c>
      <c r="AL246" s="43">
        <v>99999</v>
      </c>
      <c r="AM246" s="43">
        <v>99999</v>
      </c>
      <c r="AN246" s="43">
        <v>99999</v>
      </c>
      <c r="AO246" s="43">
        <v>99999</v>
      </c>
      <c r="AP246" s="43">
        <v>99999</v>
      </c>
      <c r="AQ246" s="43">
        <v>99999</v>
      </c>
      <c r="AR246" s="43">
        <v>99999</v>
      </c>
      <c r="AS246" s="43">
        <v>99999</v>
      </c>
      <c r="AT246" s="43">
        <v>99999</v>
      </c>
      <c r="AU246" s="43">
        <v>99999</v>
      </c>
      <c r="AV246" s="43">
        <v>99999</v>
      </c>
      <c r="AW246" s="43">
        <v>99999</v>
      </c>
      <c r="AX246" s="43">
        <v>99999</v>
      </c>
      <c r="AY246" s="43">
        <v>99999</v>
      </c>
      <c r="AZ246" s="43">
        <v>99999</v>
      </c>
      <c r="BA246" s="43">
        <v>99999</v>
      </c>
      <c r="BB246" s="43">
        <v>99999</v>
      </c>
      <c r="BC246" s="43">
        <v>99999</v>
      </c>
      <c r="BD246" s="43">
        <v>99999</v>
      </c>
      <c r="BE246" s="43">
        <v>99999</v>
      </c>
      <c r="BF246" s="43">
        <v>99999</v>
      </c>
      <c r="BG246" s="43">
        <v>99999</v>
      </c>
      <c r="BH246" s="43">
        <v>99999</v>
      </c>
      <c r="BI246" s="43">
        <v>99999</v>
      </c>
      <c r="BJ246" s="43">
        <v>99999</v>
      </c>
      <c r="BK246" s="43">
        <v>99999</v>
      </c>
      <c r="BL246" s="43">
        <v>99999</v>
      </c>
      <c r="BM246" s="43">
        <v>99999</v>
      </c>
      <c r="BN246" s="43">
        <v>99999</v>
      </c>
      <c r="BO246" s="43">
        <v>99999</v>
      </c>
      <c r="BP246" s="43">
        <v>99999</v>
      </c>
      <c r="BQ246" s="43">
        <v>99999</v>
      </c>
    </row>
    <row r="247" spans="1:69" s="44" customFormat="1" hidden="1" x14ac:dyDescent="0.25">
      <c r="A247" s="43">
        <v>24</v>
      </c>
      <c r="B247" s="43" t="s">
        <v>136</v>
      </c>
      <c r="C247" s="20" t="s">
        <v>137</v>
      </c>
      <c r="D247" s="43">
        <v>6</v>
      </c>
      <c r="E247" s="20" t="s">
        <v>495</v>
      </c>
      <c r="F247" s="43"/>
      <c r="G247" s="43" t="s">
        <v>490</v>
      </c>
      <c r="H247" s="43">
        <v>0</v>
      </c>
      <c r="I247" s="33"/>
      <c r="J247" s="33"/>
      <c r="K247" s="33"/>
      <c r="L247" s="33"/>
      <c r="M247" s="33"/>
      <c r="N247" s="33"/>
      <c r="O247" s="33"/>
      <c r="P247" s="3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</row>
    <row r="248" spans="1:69" s="44" customFormat="1" hidden="1" x14ac:dyDescent="0.25">
      <c r="A248" s="43">
        <v>24</v>
      </c>
      <c r="B248" s="43" t="s">
        <v>136</v>
      </c>
      <c r="C248" s="20" t="s">
        <v>137</v>
      </c>
      <c r="D248" s="43">
        <v>7</v>
      </c>
      <c r="E248" s="20" t="s">
        <v>496</v>
      </c>
      <c r="F248" s="43"/>
      <c r="G248" s="43" t="s">
        <v>500</v>
      </c>
      <c r="H248" s="43">
        <v>0</v>
      </c>
      <c r="I248">
        <v>4.7345641935969693</v>
      </c>
      <c r="J248" s="43">
        <v>4.828528923534277</v>
      </c>
      <c r="K248">
        <v>5.2351995605672732</v>
      </c>
      <c r="L248">
        <v>5.2716642952710524</v>
      </c>
      <c r="M248">
        <v>5.5826321607565346</v>
      </c>
      <c r="N248">
        <v>5.7773368837329944</v>
      </c>
      <c r="O248" s="43">
        <v>5.748324278778675</v>
      </c>
      <c r="P248" s="43">
        <v>3.9007997383136481</v>
      </c>
      <c r="Q248" s="43">
        <v>6.085</v>
      </c>
      <c r="R248" s="43">
        <v>4.3956999999999997</v>
      </c>
      <c r="S248" s="43">
        <v>3.2778999999999998</v>
      </c>
      <c r="T248" s="43">
        <v>3.0028000000000001</v>
      </c>
      <c r="U248" s="43">
        <v>4.2060000000000004</v>
      </c>
      <c r="V248" s="43">
        <v>4.3384</v>
      </c>
      <c r="W248" s="43">
        <v>4.3697999999999997</v>
      </c>
      <c r="X248" s="43">
        <v>4.49</v>
      </c>
      <c r="Y248" s="43">
        <v>4.6085000000000003</v>
      </c>
      <c r="Z248" s="43">
        <v>4.7526000000000002</v>
      </c>
      <c r="AA248" s="43">
        <v>4.7500999999999998</v>
      </c>
      <c r="AB248" s="43">
        <v>4.8536999999999999</v>
      </c>
      <c r="AC248" s="43">
        <v>4.9867999999999997</v>
      </c>
      <c r="AD248" s="43">
        <v>5.0766</v>
      </c>
      <c r="AE248" s="43">
        <v>5.2195</v>
      </c>
      <c r="AF248" s="43">
        <v>5.3693</v>
      </c>
      <c r="AG248" s="43">
        <v>5.5117000000000003</v>
      </c>
      <c r="AH248" s="43">
        <v>5.6406999999999998</v>
      </c>
      <c r="AI248" s="43">
        <v>5.7965999999999998</v>
      </c>
      <c r="AJ248" s="43">
        <v>5.9255000000000004</v>
      </c>
      <c r="AK248" s="43">
        <v>6.0732999999999997</v>
      </c>
      <c r="AL248" s="43">
        <v>6.2210999999999999</v>
      </c>
      <c r="AM248" s="43">
        <v>6.3681000000000001</v>
      </c>
      <c r="AN248" s="43">
        <v>6.5069999999999997</v>
      </c>
      <c r="AO248" s="43">
        <v>6.6544999999999996</v>
      </c>
      <c r="AP248" s="43">
        <v>6.7644000000000002</v>
      </c>
      <c r="AQ248" s="43">
        <v>6.9119999999999999</v>
      </c>
      <c r="AR248" s="43">
        <v>7.0319000000000003</v>
      </c>
      <c r="AS248" s="43">
        <v>7.1886000000000001</v>
      </c>
      <c r="AT248" s="43">
        <v>7.3109000000000002</v>
      </c>
      <c r="AU248" s="43">
        <v>7.4370000000000003</v>
      </c>
      <c r="AV248" s="43">
        <v>7.5612000000000004</v>
      </c>
      <c r="AW248" s="43">
        <v>7.6905000000000001</v>
      </c>
      <c r="AX248" s="43">
        <v>7.9569000000000001</v>
      </c>
      <c r="AY248" s="43">
        <v>8.0954999999999995</v>
      </c>
      <c r="AZ248" s="43">
        <v>8.2352000000000007</v>
      </c>
      <c r="BA248" s="43">
        <v>8.3743999999999996</v>
      </c>
      <c r="BB248" s="43">
        <v>8.5178999999999991</v>
      </c>
      <c r="BC248" s="43">
        <v>8.6603999999999992</v>
      </c>
      <c r="BD248" s="43">
        <v>8.8028999999999993</v>
      </c>
      <c r="BE248" s="43">
        <v>8.9452999999999996</v>
      </c>
      <c r="BF248" s="43">
        <v>9.0889000000000006</v>
      </c>
      <c r="BG248" s="43">
        <v>9.2347000000000001</v>
      </c>
      <c r="BH248" s="43">
        <v>9.3816000000000006</v>
      </c>
      <c r="BI248" s="43">
        <v>9.5306999999999995</v>
      </c>
      <c r="BJ248" s="43">
        <v>9.6792999999999996</v>
      </c>
      <c r="BK248" s="43">
        <v>9.8294999999999995</v>
      </c>
      <c r="BL248" s="43">
        <v>9.9814000000000007</v>
      </c>
      <c r="BM248" s="43">
        <v>10.1333</v>
      </c>
      <c r="BN248" s="43">
        <v>10.286199999999999</v>
      </c>
      <c r="BO248" s="43">
        <v>10.440300000000001</v>
      </c>
      <c r="BP248" s="43">
        <v>10.5961</v>
      </c>
      <c r="BQ248" s="43">
        <v>10.753</v>
      </c>
    </row>
    <row r="249" spans="1:69" s="44" customFormat="1" hidden="1" x14ac:dyDescent="0.25">
      <c r="A249" s="43">
        <v>24</v>
      </c>
      <c r="B249" s="43" t="s">
        <v>136</v>
      </c>
      <c r="C249" s="20" t="s">
        <v>137</v>
      </c>
      <c r="D249" s="43">
        <v>8</v>
      </c>
      <c r="E249" s="20" t="s">
        <v>497</v>
      </c>
      <c r="F249" s="43"/>
      <c r="G249" s="43" t="s">
        <v>490</v>
      </c>
      <c r="H249" s="43">
        <v>0</v>
      </c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</row>
    <row r="250" spans="1:69" s="44" customFormat="1" hidden="1" x14ac:dyDescent="0.25">
      <c r="A250" s="43">
        <v>24</v>
      </c>
      <c r="B250" s="43" t="s">
        <v>136</v>
      </c>
      <c r="C250" s="20" t="s">
        <v>137</v>
      </c>
      <c r="D250" s="43">
        <v>9</v>
      </c>
      <c r="E250" s="20" t="s">
        <v>498</v>
      </c>
      <c r="F250" s="43"/>
      <c r="G250" s="43" t="s">
        <v>500</v>
      </c>
      <c r="H250" s="43">
        <v>0</v>
      </c>
      <c r="I250" s="43">
        <v>0.6</v>
      </c>
      <c r="J250" s="43">
        <v>0.6</v>
      </c>
      <c r="K250" s="43">
        <v>0.6</v>
      </c>
      <c r="L250" s="43">
        <v>0.6</v>
      </c>
      <c r="M250" s="43">
        <v>0.6</v>
      </c>
      <c r="N250" s="43">
        <v>0.6</v>
      </c>
      <c r="O250" s="43">
        <v>0.46</v>
      </c>
      <c r="P250" s="43">
        <v>0.46</v>
      </c>
      <c r="Q250" s="43">
        <v>0.46</v>
      </c>
      <c r="R250" s="43">
        <v>0.33229999999999998</v>
      </c>
      <c r="S250" s="43">
        <v>0.24779999999999999</v>
      </c>
      <c r="T250" s="43">
        <v>0.22700000000000001</v>
      </c>
      <c r="U250" s="43">
        <v>0.46</v>
      </c>
      <c r="V250" s="43">
        <v>0.46</v>
      </c>
      <c r="W250" s="43">
        <v>0.46</v>
      </c>
      <c r="X250" s="43">
        <v>0.46</v>
      </c>
      <c r="Y250" s="43">
        <v>0.46</v>
      </c>
      <c r="Z250" s="43">
        <v>0.46</v>
      </c>
      <c r="AA250" s="43">
        <v>0.46</v>
      </c>
      <c r="AB250" s="43">
        <v>0.46</v>
      </c>
      <c r="AC250" s="43">
        <v>0.46</v>
      </c>
      <c r="AD250" s="43">
        <v>0.46</v>
      </c>
      <c r="AE250" s="43">
        <v>0.46</v>
      </c>
      <c r="AF250" s="43">
        <v>0.46</v>
      </c>
      <c r="AG250" s="43">
        <v>0.46</v>
      </c>
      <c r="AH250" s="43">
        <v>0.46</v>
      </c>
      <c r="AI250" s="43">
        <v>0.46</v>
      </c>
      <c r="AJ250" s="43">
        <v>0.46</v>
      </c>
      <c r="AK250" s="43">
        <v>0.46</v>
      </c>
      <c r="AL250" s="43">
        <v>0.46</v>
      </c>
      <c r="AM250" s="43">
        <v>0.46</v>
      </c>
      <c r="AN250" s="43">
        <v>0.46</v>
      </c>
      <c r="AO250" s="43">
        <v>0.46</v>
      </c>
      <c r="AP250" s="43">
        <v>0.46</v>
      </c>
      <c r="AQ250" s="43">
        <v>0.46</v>
      </c>
      <c r="AR250" s="43">
        <v>0.46</v>
      </c>
      <c r="AS250" s="43">
        <v>0.46</v>
      </c>
      <c r="AT250" s="43">
        <v>0.46</v>
      </c>
      <c r="AU250" s="43">
        <v>0.46</v>
      </c>
      <c r="AV250" s="43">
        <v>0.46</v>
      </c>
      <c r="AW250" s="43">
        <v>0.46</v>
      </c>
      <c r="AX250" s="43">
        <v>0.46</v>
      </c>
      <c r="AY250" s="43">
        <v>0.46</v>
      </c>
      <c r="AZ250" s="43">
        <v>0.46</v>
      </c>
      <c r="BA250" s="43">
        <v>0.46</v>
      </c>
      <c r="BB250" s="43">
        <v>0.46</v>
      </c>
      <c r="BC250" s="43">
        <v>0.46</v>
      </c>
      <c r="BD250" s="43">
        <v>0.46</v>
      </c>
      <c r="BE250" s="43">
        <v>0.46</v>
      </c>
      <c r="BF250" s="43">
        <v>0.46</v>
      </c>
      <c r="BG250" s="43">
        <v>0.46</v>
      </c>
      <c r="BH250" s="43">
        <v>0.46</v>
      </c>
      <c r="BI250" s="43">
        <v>0.46</v>
      </c>
      <c r="BJ250" s="43">
        <v>0.46</v>
      </c>
      <c r="BK250" s="43">
        <v>0.46</v>
      </c>
      <c r="BL250" s="43">
        <v>0.46</v>
      </c>
      <c r="BM250" s="43">
        <v>0.46</v>
      </c>
      <c r="BN250" s="43">
        <v>0.46</v>
      </c>
      <c r="BO250" s="43">
        <v>0.46</v>
      </c>
      <c r="BP250" s="43">
        <v>0.46</v>
      </c>
      <c r="BQ250" s="43">
        <v>0.46</v>
      </c>
    </row>
    <row r="251" spans="1:69" s="44" customFormat="1" hidden="1" x14ac:dyDescent="0.25">
      <c r="A251" s="43">
        <v>24</v>
      </c>
      <c r="B251" s="43" t="s">
        <v>136</v>
      </c>
      <c r="C251" s="20" t="s">
        <v>137</v>
      </c>
      <c r="D251" s="43">
        <v>10</v>
      </c>
      <c r="E251" s="20" t="s">
        <v>499</v>
      </c>
      <c r="F251" s="43"/>
      <c r="G251" s="43" t="s">
        <v>501</v>
      </c>
      <c r="H251" s="43">
        <v>0</v>
      </c>
      <c r="I251" s="43">
        <v>0.95</v>
      </c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</row>
    <row r="252" spans="1:69" s="34" customFormat="1" hidden="1" x14ac:dyDescent="0.25">
      <c r="A252" s="33">
        <v>25</v>
      </c>
      <c r="B252" s="33" t="s">
        <v>138</v>
      </c>
      <c r="C252" s="36" t="s">
        <v>139</v>
      </c>
      <c r="D252" s="33">
        <v>1</v>
      </c>
      <c r="E252" s="36" t="s">
        <v>489</v>
      </c>
      <c r="F252" s="33"/>
      <c r="G252" s="33" t="s">
        <v>500</v>
      </c>
      <c r="H252" s="33">
        <v>0</v>
      </c>
      <c r="I252" s="33">
        <v>1200</v>
      </c>
      <c r="J252" s="33">
        <v>1200</v>
      </c>
      <c r="K252" s="33">
        <v>1200</v>
      </c>
      <c r="L252" s="33">
        <v>1200</v>
      </c>
      <c r="M252" s="33">
        <v>1200</v>
      </c>
      <c r="N252" s="33">
        <v>1200</v>
      </c>
      <c r="O252" s="33">
        <v>1200</v>
      </c>
      <c r="P252" s="33">
        <v>1200</v>
      </c>
      <c r="Q252" s="33">
        <v>1200</v>
      </c>
      <c r="R252" s="33">
        <v>1200</v>
      </c>
      <c r="S252" s="33">
        <v>1200</v>
      </c>
      <c r="T252" s="33">
        <v>1200</v>
      </c>
      <c r="U252" s="33">
        <v>1200</v>
      </c>
      <c r="V252" s="33">
        <v>1200</v>
      </c>
      <c r="W252" s="33">
        <v>1200</v>
      </c>
      <c r="X252" s="33">
        <v>1200</v>
      </c>
      <c r="Y252" s="33">
        <v>1200</v>
      </c>
      <c r="Z252" s="33">
        <v>1200</v>
      </c>
      <c r="AA252" s="33">
        <v>1200</v>
      </c>
      <c r="AB252" s="33">
        <v>1200</v>
      </c>
      <c r="AC252" s="33">
        <v>1200</v>
      </c>
      <c r="AD252" s="33">
        <v>1200</v>
      </c>
      <c r="AE252" s="33">
        <v>1200</v>
      </c>
      <c r="AF252" s="33">
        <v>1200</v>
      </c>
      <c r="AG252" s="33">
        <v>1200</v>
      </c>
      <c r="AH252" s="33">
        <v>1200</v>
      </c>
      <c r="AI252" s="33">
        <v>1200</v>
      </c>
      <c r="AJ252" s="33">
        <v>1200</v>
      </c>
      <c r="AK252" s="33">
        <v>1200</v>
      </c>
      <c r="AL252" s="33">
        <v>1200</v>
      </c>
      <c r="AM252" s="33">
        <v>1200</v>
      </c>
      <c r="AN252" s="33">
        <v>1200</v>
      </c>
      <c r="AO252" s="33">
        <v>1200</v>
      </c>
      <c r="AP252" s="33">
        <v>1200</v>
      </c>
      <c r="AQ252" s="33">
        <v>1200</v>
      </c>
      <c r="AR252" s="33">
        <v>1200</v>
      </c>
      <c r="AS252" s="33">
        <v>1200</v>
      </c>
      <c r="AT252" s="33">
        <v>1200</v>
      </c>
      <c r="AU252" s="33">
        <v>1200</v>
      </c>
      <c r="AV252" s="33">
        <v>1200</v>
      </c>
      <c r="AW252" s="33">
        <v>1200</v>
      </c>
      <c r="AX252" s="33">
        <v>1000</v>
      </c>
      <c r="AY252" s="33">
        <v>1000</v>
      </c>
      <c r="AZ252" s="33">
        <v>1000</v>
      </c>
      <c r="BA252" s="33">
        <v>1000</v>
      </c>
      <c r="BB252" s="33">
        <v>1000</v>
      </c>
      <c r="BC252" s="33">
        <v>1000</v>
      </c>
      <c r="BD252" s="33">
        <v>1000</v>
      </c>
      <c r="BE252" s="33">
        <v>1000</v>
      </c>
      <c r="BF252" s="33">
        <v>1000</v>
      </c>
      <c r="BG252" s="33">
        <v>1000</v>
      </c>
      <c r="BH252" s="33">
        <v>1000</v>
      </c>
      <c r="BI252" s="33">
        <v>1000</v>
      </c>
      <c r="BJ252" s="33">
        <v>1000</v>
      </c>
      <c r="BK252" s="33">
        <v>1000</v>
      </c>
      <c r="BL252" s="33">
        <v>1000</v>
      </c>
      <c r="BM252" s="33">
        <v>1000</v>
      </c>
      <c r="BN252" s="33">
        <v>1000</v>
      </c>
      <c r="BO252" s="33">
        <v>1000</v>
      </c>
      <c r="BP252" s="33">
        <v>1000</v>
      </c>
      <c r="BQ252" s="33">
        <v>1000</v>
      </c>
    </row>
    <row r="253" spans="1:69" s="34" customFormat="1" hidden="1" x14ac:dyDescent="0.25">
      <c r="A253" s="33">
        <v>25</v>
      </c>
      <c r="B253" s="33" t="s">
        <v>138</v>
      </c>
      <c r="C253" s="36" t="s">
        <v>139</v>
      </c>
      <c r="D253" s="33">
        <v>2</v>
      </c>
      <c r="E253" s="36" t="s">
        <v>491</v>
      </c>
      <c r="F253" s="33"/>
      <c r="G253" s="33" t="s">
        <v>501</v>
      </c>
      <c r="H253" s="33">
        <v>0</v>
      </c>
      <c r="I253" s="33">
        <v>20</v>
      </c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</row>
    <row r="254" spans="1:69" s="34" customFormat="1" hidden="1" x14ac:dyDescent="0.25">
      <c r="A254" s="33">
        <v>25</v>
      </c>
      <c r="B254" s="33" t="s">
        <v>138</v>
      </c>
      <c r="C254" s="36" t="s">
        <v>139</v>
      </c>
      <c r="D254" s="33">
        <v>3</v>
      </c>
      <c r="E254" s="36" t="s">
        <v>492</v>
      </c>
      <c r="F254" s="33"/>
      <c r="G254" s="33" t="s">
        <v>500</v>
      </c>
      <c r="H254" s="33">
        <v>0</v>
      </c>
      <c r="I254" s="33">
        <v>9.15</v>
      </c>
      <c r="J254" s="33">
        <v>9.15</v>
      </c>
      <c r="K254" s="33">
        <v>9.15</v>
      </c>
      <c r="L254" s="33">
        <v>9.15</v>
      </c>
      <c r="M254" s="33">
        <v>9.15</v>
      </c>
      <c r="N254" s="33">
        <v>9.15</v>
      </c>
      <c r="O254" s="33">
        <v>9.15</v>
      </c>
      <c r="P254" s="33">
        <v>9.15</v>
      </c>
      <c r="Q254" s="33">
        <v>9.15</v>
      </c>
      <c r="R254" s="33">
        <v>9.15</v>
      </c>
      <c r="S254" s="33">
        <v>9.3416661019839626</v>
      </c>
      <c r="T254" s="33">
        <v>9.1931324707271678</v>
      </c>
      <c r="U254" s="33">
        <v>9.7501083246926452</v>
      </c>
      <c r="V254" s="33">
        <v>10.123027896557147</v>
      </c>
      <c r="W254" s="33">
        <v>10.156021624309759</v>
      </c>
      <c r="X254" s="33">
        <v>10.155952188763287</v>
      </c>
      <c r="Y254" s="33">
        <v>10.155974996864924</v>
      </c>
      <c r="Z254" s="33">
        <v>10.155961426055864</v>
      </c>
      <c r="AA254" s="33">
        <v>10.156003850967588</v>
      </c>
      <c r="AB254" s="33">
        <v>10.156011256076212</v>
      </c>
      <c r="AC254" s="33">
        <v>10.155997181924398</v>
      </c>
      <c r="AD254" s="33">
        <v>10.155919341184861</v>
      </c>
      <c r="AE254" s="33">
        <v>10.155995670580921</v>
      </c>
      <c r="AF254" s="33">
        <v>10.155972105037648</v>
      </c>
      <c r="AG254" s="33">
        <v>10.155992685805129</v>
      </c>
      <c r="AH254" s="33">
        <v>10.156000323161717</v>
      </c>
      <c r="AI254" s="33">
        <v>10.155982312962255</v>
      </c>
      <c r="AJ254" s="33">
        <v>10.155982312962255</v>
      </c>
      <c r="AK254" s="33">
        <v>10.155982312962255</v>
      </c>
      <c r="AL254" s="33">
        <v>10.155982312962255</v>
      </c>
      <c r="AM254" s="33">
        <v>10.155982312962255</v>
      </c>
      <c r="AN254" s="33">
        <v>10.155982312962255</v>
      </c>
      <c r="AO254" s="33">
        <v>10.155982312962255</v>
      </c>
      <c r="AP254" s="33">
        <v>10.155982312962255</v>
      </c>
      <c r="AQ254" s="33">
        <v>10.155982312962255</v>
      </c>
      <c r="AR254" s="33">
        <v>10.155982312962255</v>
      </c>
      <c r="AS254" s="33">
        <v>10.155982312962255</v>
      </c>
      <c r="AT254" s="33">
        <v>10.155982312962255</v>
      </c>
      <c r="AU254" s="33">
        <v>10.155982312962255</v>
      </c>
      <c r="AV254" s="33">
        <v>10.155982312962255</v>
      </c>
      <c r="AW254" s="33">
        <v>10.155982312962255</v>
      </c>
      <c r="AX254" s="33">
        <v>10.155982312962255</v>
      </c>
      <c r="AY254" s="33">
        <v>10.155982312962255</v>
      </c>
      <c r="AZ254" s="33">
        <v>10.155982312962255</v>
      </c>
      <c r="BA254" s="33">
        <v>10.155982312962255</v>
      </c>
      <c r="BB254" s="33">
        <v>10.155982312962255</v>
      </c>
      <c r="BC254" s="33">
        <v>10.155982312962255</v>
      </c>
      <c r="BD254" s="33">
        <v>10.155982312962255</v>
      </c>
      <c r="BE254" s="33">
        <v>10.155982312962255</v>
      </c>
      <c r="BF254" s="33">
        <v>10.155982312962255</v>
      </c>
      <c r="BG254" s="33">
        <v>10.155982312962255</v>
      </c>
      <c r="BH254" s="33">
        <v>10.155982312962255</v>
      </c>
      <c r="BI254" s="33">
        <v>10.155982312962255</v>
      </c>
      <c r="BJ254" s="33">
        <v>10.155982312962255</v>
      </c>
      <c r="BK254" s="33">
        <v>10.155982312962255</v>
      </c>
      <c r="BL254" s="33">
        <v>10.155982312962255</v>
      </c>
      <c r="BM254" s="33">
        <v>10.155982312962255</v>
      </c>
      <c r="BN254" s="33">
        <v>10.155982312962255</v>
      </c>
      <c r="BO254" s="33">
        <v>10.155982312962255</v>
      </c>
      <c r="BP254" s="33">
        <v>10.155982312962255</v>
      </c>
      <c r="BQ254" s="33">
        <v>10.155982312962255</v>
      </c>
    </row>
    <row r="255" spans="1:69" s="34" customFormat="1" hidden="1" x14ac:dyDescent="0.25">
      <c r="A255" s="33">
        <v>25</v>
      </c>
      <c r="B255" s="33" t="s">
        <v>138</v>
      </c>
      <c r="C255" s="36" t="s">
        <v>139</v>
      </c>
      <c r="D255" s="33">
        <v>4</v>
      </c>
      <c r="E255" s="36" t="s">
        <v>493</v>
      </c>
      <c r="F255" s="33"/>
      <c r="G255" s="33" t="s">
        <v>500</v>
      </c>
      <c r="H255" s="33">
        <v>0</v>
      </c>
      <c r="I255" s="33">
        <v>0.21674710820000004</v>
      </c>
      <c r="J255" s="33">
        <v>0.22074810351999999</v>
      </c>
      <c r="K255" s="33">
        <v>0.23966606412000002</v>
      </c>
      <c r="L255" s="33">
        <v>0.24133541012000001</v>
      </c>
      <c r="M255" s="33">
        <v>0.25557143752</v>
      </c>
      <c r="N255" s="33">
        <v>0.26448496871999999</v>
      </c>
      <c r="O255" s="33">
        <v>0.27844225416000007</v>
      </c>
      <c r="P255" s="33">
        <v>0.25898078556000004</v>
      </c>
      <c r="Q255" s="33">
        <v>0.30998559999999997</v>
      </c>
      <c r="R255" s="33">
        <v>0.30998559999999997</v>
      </c>
      <c r="S255" s="33">
        <v>0.30998559999999997</v>
      </c>
      <c r="T255" s="33">
        <v>0.30998559999999997</v>
      </c>
      <c r="U255" s="33">
        <v>0.30998559999999997</v>
      </c>
      <c r="V255" s="33">
        <v>0.30998559999999997</v>
      </c>
      <c r="W255" s="33">
        <v>0.30998559999999997</v>
      </c>
      <c r="X255" s="33">
        <v>0.30998559999999997</v>
      </c>
      <c r="Y255" s="33">
        <v>0.30998559999999997</v>
      </c>
      <c r="Z255" s="33">
        <v>0.30998559999999997</v>
      </c>
      <c r="AA255" s="33">
        <v>0.30998559999999997</v>
      </c>
      <c r="AB255" s="33">
        <v>0.30998559999999997</v>
      </c>
      <c r="AC255" s="33">
        <v>0.30998559999999997</v>
      </c>
      <c r="AD255" s="33">
        <v>0.30998559999999997</v>
      </c>
      <c r="AE255" s="33">
        <v>0.30998559999999997</v>
      </c>
      <c r="AF255" s="33">
        <v>0.30998559999999997</v>
      </c>
      <c r="AG255" s="33">
        <v>0.30998559999999997</v>
      </c>
      <c r="AH255" s="33">
        <v>0.30998559999999997</v>
      </c>
      <c r="AI255" s="33">
        <v>0.30998559999999997</v>
      </c>
      <c r="AJ255" s="33">
        <v>0.30998559999999997</v>
      </c>
      <c r="AK255" s="33">
        <v>0.30998559999999997</v>
      </c>
      <c r="AL255" s="33">
        <v>0.30998559999999997</v>
      </c>
      <c r="AM255" s="33">
        <v>0.30998559999999997</v>
      </c>
      <c r="AN255" s="33">
        <v>0.30998559999999997</v>
      </c>
      <c r="AO255" s="33">
        <v>0.30998559999999997</v>
      </c>
      <c r="AP255" s="33">
        <v>0.30998559999999997</v>
      </c>
      <c r="AQ255" s="33">
        <v>0.30998559999999997</v>
      </c>
      <c r="AR255" s="33">
        <v>0.30998559999999997</v>
      </c>
      <c r="AS255" s="33">
        <v>0.30998559999999997</v>
      </c>
      <c r="AT255" s="33">
        <v>0.30998559999999997</v>
      </c>
      <c r="AU255" s="33">
        <v>0.30998559999999997</v>
      </c>
      <c r="AV255" s="33">
        <v>0.30998559999999997</v>
      </c>
      <c r="AW255" s="33">
        <v>0.30998559999999997</v>
      </c>
      <c r="AX255" s="33">
        <v>0.30998559999999997</v>
      </c>
      <c r="AY255" s="33">
        <v>0.30998559999999997</v>
      </c>
      <c r="AZ255" s="33">
        <v>0.30998559999999997</v>
      </c>
      <c r="BA255" s="33">
        <v>0.30998559999999997</v>
      </c>
      <c r="BB255" s="33">
        <v>0.30998559999999997</v>
      </c>
      <c r="BC255" s="33">
        <v>0.30998559999999997</v>
      </c>
      <c r="BD255" s="33">
        <v>0.30998559999999997</v>
      </c>
      <c r="BE255" s="33">
        <v>0.30998559999999997</v>
      </c>
      <c r="BF255" s="33">
        <v>0.30998559999999997</v>
      </c>
      <c r="BG255" s="33">
        <v>0.30998559999999997</v>
      </c>
      <c r="BH255" s="33">
        <v>0.30998559999999997</v>
      </c>
      <c r="BI255" s="33">
        <v>0.30998559999999997</v>
      </c>
      <c r="BJ255" s="33">
        <v>0.30998559999999997</v>
      </c>
      <c r="BK255" s="33">
        <v>0.30998559999999997</v>
      </c>
      <c r="BL255" s="33">
        <v>0.30998559999999997</v>
      </c>
      <c r="BM255" s="33">
        <v>0.30998559999999997</v>
      </c>
      <c r="BN255" s="33">
        <v>0.30998559999999997</v>
      </c>
      <c r="BO255" s="33">
        <v>0.30998559999999997</v>
      </c>
      <c r="BP255" s="33">
        <v>0.30998559999999997</v>
      </c>
      <c r="BQ255" s="33">
        <v>0.30998559999999997</v>
      </c>
    </row>
    <row r="256" spans="1:69" s="34" customFormat="1" hidden="1" x14ac:dyDescent="0.25">
      <c r="A256" s="33">
        <v>25</v>
      </c>
      <c r="B256" s="33" t="s">
        <v>138</v>
      </c>
      <c r="C256" s="36" t="s">
        <v>139</v>
      </c>
      <c r="D256" s="33">
        <v>5</v>
      </c>
      <c r="E256" s="36" t="s">
        <v>494</v>
      </c>
      <c r="F256" s="33"/>
      <c r="G256" s="33" t="s">
        <v>500</v>
      </c>
      <c r="H256" s="33">
        <v>0</v>
      </c>
      <c r="I256" s="33">
        <v>1</v>
      </c>
      <c r="J256" s="33">
        <v>1</v>
      </c>
      <c r="K256" s="33">
        <v>1</v>
      </c>
      <c r="L256" s="33">
        <v>1</v>
      </c>
      <c r="M256" s="33">
        <v>1</v>
      </c>
      <c r="N256" s="33">
        <v>1</v>
      </c>
      <c r="O256" s="33">
        <v>1</v>
      </c>
      <c r="P256" s="33">
        <v>1</v>
      </c>
      <c r="Q256" s="33">
        <v>1</v>
      </c>
      <c r="R256" s="33">
        <v>1</v>
      </c>
      <c r="S256" s="33">
        <v>1</v>
      </c>
      <c r="T256" s="33">
        <v>1</v>
      </c>
      <c r="U256" s="33">
        <v>99999</v>
      </c>
      <c r="V256" s="33">
        <v>99999</v>
      </c>
      <c r="W256" s="33">
        <v>99999</v>
      </c>
      <c r="X256" s="33">
        <v>99999</v>
      </c>
      <c r="Y256" s="33">
        <v>99999</v>
      </c>
      <c r="Z256" s="33">
        <v>99999</v>
      </c>
      <c r="AA256" s="33">
        <v>99999</v>
      </c>
      <c r="AB256" s="33">
        <v>99999</v>
      </c>
      <c r="AC256" s="33">
        <v>99999</v>
      </c>
      <c r="AD256" s="33">
        <v>99999</v>
      </c>
      <c r="AE256" s="33">
        <v>99999</v>
      </c>
      <c r="AF256" s="33">
        <v>99999</v>
      </c>
      <c r="AG256" s="33">
        <v>99999</v>
      </c>
      <c r="AH256" s="33">
        <v>99999</v>
      </c>
      <c r="AI256" s="33">
        <v>99999</v>
      </c>
      <c r="AJ256" s="33">
        <v>99999</v>
      </c>
      <c r="AK256" s="33">
        <v>99999</v>
      </c>
      <c r="AL256" s="33">
        <v>99999</v>
      </c>
      <c r="AM256" s="33">
        <v>99999</v>
      </c>
      <c r="AN256" s="33">
        <v>99999</v>
      </c>
      <c r="AO256" s="33">
        <v>99999</v>
      </c>
      <c r="AP256" s="33">
        <v>99999</v>
      </c>
      <c r="AQ256" s="33">
        <v>99999</v>
      </c>
      <c r="AR256" s="33">
        <v>99999</v>
      </c>
      <c r="AS256" s="33">
        <v>99999</v>
      </c>
      <c r="AT256" s="33">
        <v>99999</v>
      </c>
      <c r="AU256" s="33">
        <v>99999</v>
      </c>
      <c r="AV256" s="33">
        <v>99999</v>
      </c>
      <c r="AW256" s="33">
        <v>99999</v>
      </c>
      <c r="AX256" s="33">
        <v>99999</v>
      </c>
      <c r="AY256" s="33">
        <v>99999</v>
      </c>
      <c r="AZ256" s="33">
        <v>99999</v>
      </c>
      <c r="BA256" s="33">
        <v>99999</v>
      </c>
      <c r="BB256" s="33">
        <v>99999</v>
      </c>
      <c r="BC256" s="33">
        <v>99999</v>
      </c>
      <c r="BD256" s="33">
        <v>99999</v>
      </c>
      <c r="BE256" s="33">
        <v>99999</v>
      </c>
      <c r="BF256" s="33">
        <v>99999</v>
      </c>
      <c r="BG256" s="33">
        <v>99999</v>
      </c>
      <c r="BH256" s="33">
        <v>99999</v>
      </c>
      <c r="BI256" s="33">
        <v>99999</v>
      </c>
      <c r="BJ256" s="33">
        <v>99999</v>
      </c>
      <c r="BK256" s="33">
        <v>99999</v>
      </c>
      <c r="BL256" s="33">
        <v>99999</v>
      </c>
      <c r="BM256" s="33">
        <v>99999</v>
      </c>
      <c r="BN256" s="33">
        <v>99999</v>
      </c>
      <c r="BO256" s="33">
        <v>99999</v>
      </c>
      <c r="BP256" s="33">
        <v>99999</v>
      </c>
      <c r="BQ256" s="33">
        <v>99999</v>
      </c>
    </row>
    <row r="257" spans="1:69" s="34" customFormat="1" hidden="1" x14ac:dyDescent="0.25">
      <c r="A257" s="33">
        <v>25</v>
      </c>
      <c r="B257" s="33" t="s">
        <v>138</v>
      </c>
      <c r="C257" s="36" t="s">
        <v>139</v>
      </c>
      <c r="D257" s="33">
        <v>6</v>
      </c>
      <c r="E257" s="36" t="s">
        <v>495</v>
      </c>
      <c r="F257" s="33"/>
      <c r="G257" s="33" t="s">
        <v>490</v>
      </c>
      <c r="H257" s="33">
        <v>0</v>
      </c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</row>
    <row r="258" spans="1:69" s="34" customFormat="1" hidden="1" x14ac:dyDescent="0.25">
      <c r="A258" s="33">
        <v>25</v>
      </c>
      <c r="B258" s="33" t="s">
        <v>138</v>
      </c>
      <c r="C258" s="36" t="s">
        <v>139</v>
      </c>
      <c r="D258" s="33">
        <v>7</v>
      </c>
      <c r="E258" s="36" t="s">
        <v>496</v>
      </c>
      <c r="F258" s="33"/>
      <c r="G258" s="33" t="s">
        <v>500</v>
      </c>
      <c r="H258" s="33">
        <v>0</v>
      </c>
      <c r="I258" s="33">
        <v>0.47723509961268212</v>
      </c>
      <c r="J258" s="33">
        <v>0.40969336320896899</v>
      </c>
      <c r="K258" s="33">
        <v>0.46273943126823081</v>
      </c>
      <c r="L258" s="33">
        <v>0.53248020095020454</v>
      </c>
      <c r="M258" s="33">
        <v>0.55442565550264022</v>
      </c>
      <c r="N258" s="33">
        <v>0.55249589160539125</v>
      </c>
      <c r="O258" s="33">
        <v>0.48773660547213005</v>
      </c>
      <c r="P258" s="33">
        <v>0.33097694749327933</v>
      </c>
      <c r="Q258" s="33">
        <v>0.78700000000000003</v>
      </c>
      <c r="R258" s="33">
        <v>8.4000000000000005E-2</v>
      </c>
      <c r="S258" s="33">
        <v>0.28560000000000002</v>
      </c>
      <c r="T258" s="33">
        <v>0.13619999999999999</v>
      </c>
      <c r="U258" s="33">
        <v>0.32969999999999999</v>
      </c>
      <c r="V258" s="33">
        <v>0.34010000000000001</v>
      </c>
      <c r="W258" s="33">
        <v>0.34260000000000002</v>
      </c>
      <c r="X258" s="33">
        <v>0.35199999999999998</v>
      </c>
      <c r="Y258" s="33">
        <v>0.36130000000000001</v>
      </c>
      <c r="Z258" s="33">
        <v>0.37259999999999999</v>
      </c>
      <c r="AA258" s="33">
        <v>0.37240000000000001</v>
      </c>
      <c r="AB258" s="33">
        <v>0.3805</v>
      </c>
      <c r="AC258" s="33">
        <v>0.39090000000000003</v>
      </c>
      <c r="AD258" s="33">
        <v>0.39800000000000002</v>
      </c>
      <c r="AE258" s="33">
        <v>0.40920000000000001</v>
      </c>
      <c r="AF258" s="33">
        <v>0.4209</v>
      </c>
      <c r="AG258" s="33">
        <v>0.43209999999999998</v>
      </c>
      <c r="AH258" s="33">
        <v>0.44219999999999998</v>
      </c>
      <c r="AI258" s="33">
        <v>0.45440000000000003</v>
      </c>
      <c r="AJ258" s="33">
        <v>0.46450000000000002</v>
      </c>
      <c r="AK258" s="33">
        <v>0.47610000000000002</v>
      </c>
      <c r="AL258" s="33">
        <v>0.48770000000000002</v>
      </c>
      <c r="AM258" s="33">
        <v>0.49919999999999998</v>
      </c>
      <c r="AN258" s="33">
        <v>0.5101</v>
      </c>
      <c r="AO258" s="33">
        <v>0.52170000000000005</v>
      </c>
      <c r="AP258" s="33">
        <v>0.53029999999999999</v>
      </c>
      <c r="AQ258" s="33">
        <v>0.54179999999999995</v>
      </c>
      <c r="AR258" s="33">
        <v>0.55120000000000002</v>
      </c>
      <c r="AS258" s="33">
        <v>0.5635</v>
      </c>
      <c r="AT258" s="33">
        <v>0.57310000000000005</v>
      </c>
      <c r="AU258" s="33">
        <v>0.58299999999999996</v>
      </c>
      <c r="AV258" s="33">
        <v>0.5927</v>
      </c>
      <c r="AW258" s="33">
        <v>0.60289999999999999</v>
      </c>
      <c r="AX258" s="33">
        <v>0.62380000000000002</v>
      </c>
      <c r="AY258" s="33">
        <v>0.63460000000000005</v>
      </c>
      <c r="AZ258" s="33">
        <v>0.64559999999999995</v>
      </c>
      <c r="BA258" s="33">
        <v>0.65649999999999997</v>
      </c>
      <c r="BB258" s="33">
        <v>0.66769999999999996</v>
      </c>
      <c r="BC258" s="33">
        <v>0.67889999999999995</v>
      </c>
      <c r="BD258" s="33">
        <v>0.69010000000000005</v>
      </c>
      <c r="BE258" s="33">
        <v>0.70120000000000005</v>
      </c>
      <c r="BF258" s="33">
        <v>0.71250000000000002</v>
      </c>
      <c r="BG258" s="33">
        <v>0.72389999999999999</v>
      </c>
      <c r="BH258" s="33">
        <v>0.73540000000000005</v>
      </c>
      <c r="BI258" s="33">
        <v>0.74709999999999999</v>
      </c>
      <c r="BJ258" s="33">
        <v>0.75880000000000003</v>
      </c>
      <c r="BK258" s="33">
        <v>0.77059999999999995</v>
      </c>
      <c r="BL258" s="33">
        <v>0.78249999999999997</v>
      </c>
      <c r="BM258" s="33">
        <v>0.7944</v>
      </c>
      <c r="BN258" s="33">
        <v>0.80640000000000001</v>
      </c>
      <c r="BO258" s="33">
        <v>0.81840000000000002</v>
      </c>
      <c r="BP258" s="33">
        <v>0.8306</v>
      </c>
      <c r="BQ258" s="33">
        <v>0.84289999999999998</v>
      </c>
    </row>
    <row r="259" spans="1:69" s="34" customFormat="1" hidden="1" x14ac:dyDescent="0.25">
      <c r="A259" s="33">
        <v>25</v>
      </c>
      <c r="B259" s="33" t="s">
        <v>138</v>
      </c>
      <c r="C259" s="36" t="s">
        <v>139</v>
      </c>
      <c r="D259" s="33">
        <v>8</v>
      </c>
      <c r="E259" s="36" t="s">
        <v>497</v>
      </c>
      <c r="F259" s="33"/>
      <c r="G259" s="33" t="s">
        <v>490</v>
      </c>
      <c r="H259" s="33">
        <v>0</v>
      </c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</row>
    <row r="260" spans="1:69" s="34" customFormat="1" hidden="1" x14ac:dyDescent="0.25">
      <c r="A260" s="33">
        <v>25</v>
      </c>
      <c r="B260" s="33" t="s">
        <v>138</v>
      </c>
      <c r="C260" s="36" t="s">
        <v>139</v>
      </c>
      <c r="D260" s="33">
        <v>9</v>
      </c>
      <c r="E260" s="36" t="s">
        <v>498</v>
      </c>
      <c r="F260" s="33"/>
      <c r="G260" s="33" t="s">
        <v>500</v>
      </c>
      <c r="H260" s="33">
        <v>0</v>
      </c>
      <c r="I260" s="33">
        <v>7.4200000000000002E-2</v>
      </c>
      <c r="J260" s="33">
        <v>6.2600000000000003E-2</v>
      </c>
      <c r="K260" s="33">
        <v>6.5100000000000005E-2</v>
      </c>
      <c r="L260" s="33">
        <v>7.4399999999999994E-2</v>
      </c>
      <c r="M260" s="33">
        <v>7.3099999999999998E-2</v>
      </c>
      <c r="N260" s="33">
        <v>7.0400000000000004E-2</v>
      </c>
      <c r="O260" s="33">
        <v>5.91E-2</v>
      </c>
      <c r="P260" s="33">
        <v>4.3099999999999999E-2</v>
      </c>
      <c r="Q260" s="33">
        <v>8.5599999999999996E-2</v>
      </c>
      <c r="R260" s="33">
        <v>1.0800000000000001E-2</v>
      </c>
      <c r="S260" s="33">
        <v>3.6700000000000003E-2</v>
      </c>
      <c r="T260" s="33">
        <v>1.7500000000000002E-2</v>
      </c>
      <c r="U260" s="33">
        <v>0.09</v>
      </c>
      <c r="V260" s="33">
        <v>0.1</v>
      </c>
      <c r="W260" s="33">
        <v>0.1</v>
      </c>
      <c r="X260" s="33">
        <v>0.1</v>
      </c>
      <c r="Y260" s="33">
        <v>0.1</v>
      </c>
      <c r="Z260" s="33">
        <v>0.1</v>
      </c>
      <c r="AA260" s="33">
        <v>0.1</v>
      </c>
      <c r="AB260" s="33">
        <v>0.1</v>
      </c>
      <c r="AC260" s="33">
        <v>0.1</v>
      </c>
      <c r="AD260" s="33">
        <v>0.1</v>
      </c>
      <c r="AE260" s="33">
        <v>0.1</v>
      </c>
      <c r="AF260" s="33">
        <v>0.1</v>
      </c>
      <c r="AG260" s="33">
        <v>0.1</v>
      </c>
      <c r="AH260" s="33">
        <v>0.1</v>
      </c>
      <c r="AI260" s="33">
        <v>0.1</v>
      </c>
      <c r="AJ260" s="33">
        <v>0.1</v>
      </c>
      <c r="AK260" s="33">
        <v>0.1</v>
      </c>
      <c r="AL260" s="33">
        <v>0.1</v>
      </c>
      <c r="AM260" s="33">
        <v>0.1</v>
      </c>
      <c r="AN260" s="33">
        <v>0.1</v>
      </c>
      <c r="AO260" s="33">
        <v>0.1</v>
      </c>
      <c r="AP260" s="33">
        <v>0.1</v>
      </c>
      <c r="AQ260" s="33">
        <v>0.1</v>
      </c>
      <c r="AR260" s="33">
        <v>0.1</v>
      </c>
      <c r="AS260" s="33">
        <v>0.1</v>
      </c>
      <c r="AT260" s="33">
        <v>0.1</v>
      </c>
      <c r="AU260" s="33">
        <v>0.1</v>
      </c>
      <c r="AV260" s="33">
        <v>0.1</v>
      </c>
      <c r="AW260" s="33">
        <v>0.1</v>
      </c>
      <c r="AX260" s="33">
        <v>0.1</v>
      </c>
      <c r="AY260" s="33">
        <v>0.1</v>
      </c>
      <c r="AZ260" s="33">
        <v>0.1</v>
      </c>
      <c r="BA260" s="33">
        <v>0.1</v>
      </c>
      <c r="BB260" s="33">
        <v>0.1</v>
      </c>
      <c r="BC260" s="33">
        <v>0.1</v>
      </c>
      <c r="BD260" s="33">
        <v>0.1</v>
      </c>
      <c r="BE260" s="33">
        <v>0.1</v>
      </c>
      <c r="BF260" s="33">
        <v>0.1</v>
      </c>
      <c r="BG260" s="33">
        <v>0.1</v>
      </c>
      <c r="BH260" s="33">
        <v>0.1</v>
      </c>
      <c r="BI260" s="33">
        <v>0.1</v>
      </c>
      <c r="BJ260" s="33">
        <v>0.1</v>
      </c>
      <c r="BK260" s="33">
        <v>0.1</v>
      </c>
      <c r="BL260" s="33">
        <v>0.1</v>
      </c>
      <c r="BM260" s="33">
        <v>0.1</v>
      </c>
      <c r="BN260" s="33">
        <v>0.1</v>
      </c>
      <c r="BO260" s="33">
        <v>0.1</v>
      </c>
      <c r="BP260" s="33">
        <v>0.1</v>
      </c>
      <c r="BQ260" s="33">
        <v>0.1</v>
      </c>
    </row>
    <row r="261" spans="1:69" s="34" customFormat="1" hidden="1" x14ac:dyDescent="0.25">
      <c r="A261" s="33">
        <v>25</v>
      </c>
      <c r="B261" s="33" t="s">
        <v>138</v>
      </c>
      <c r="C261" s="36" t="s">
        <v>139</v>
      </c>
      <c r="D261" s="33">
        <v>10</v>
      </c>
      <c r="E261" s="36" t="s">
        <v>499</v>
      </c>
      <c r="F261" s="33"/>
      <c r="G261" s="33" t="s">
        <v>501</v>
      </c>
      <c r="H261" s="33">
        <v>0</v>
      </c>
      <c r="I261" s="33">
        <v>0.95</v>
      </c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</row>
    <row r="262" spans="1:69" s="44" customFormat="1" hidden="1" x14ac:dyDescent="0.25">
      <c r="A262" s="43">
        <v>26</v>
      </c>
      <c r="B262" s="43" t="s">
        <v>140</v>
      </c>
      <c r="C262" s="20" t="s">
        <v>141</v>
      </c>
      <c r="D262" s="43">
        <v>1</v>
      </c>
      <c r="E262" s="20" t="s">
        <v>489</v>
      </c>
      <c r="F262" s="43"/>
      <c r="G262" s="43" t="s">
        <v>501</v>
      </c>
      <c r="H262" s="43">
        <v>0</v>
      </c>
      <c r="I262" s="43">
        <v>1200</v>
      </c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</row>
    <row r="263" spans="1:69" s="44" customFormat="1" hidden="1" x14ac:dyDescent="0.25">
      <c r="A263" s="43">
        <v>26</v>
      </c>
      <c r="B263" s="43" t="s">
        <v>140</v>
      </c>
      <c r="C263" s="20" t="s">
        <v>141</v>
      </c>
      <c r="D263" s="43">
        <v>2</v>
      </c>
      <c r="E263" s="20" t="s">
        <v>491</v>
      </c>
      <c r="F263" s="43"/>
      <c r="G263" s="43" t="s">
        <v>501</v>
      </c>
      <c r="H263" s="43">
        <v>0</v>
      </c>
      <c r="I263" s="43">
        <v>20</v>
      </c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</row>
    <row r="264" spans="1:69" s="44" customFormat="1" hidden="1" x14ac:dyDescent="0.25">
      <c r="A264" s="43">
        <v>26</v>
      </c>
      <c r="B264" s="43" t="s">
        <v>140</v>
      </c>
      <c r="C264" s="20" t="s">
        <v>141</v>
      </c>
      <c r="D264" s="43">
        <v>3</v>
      </c>
      <c r="E264" s="20" t="s">
        <v>492</v>
      </c>
      <c r="F264" s="43"/>
      <c r="G264" s="43" t="s">
        <v>501</v>
      </c>
      <c r="H264" s="43">
        <v>0</v>
      </c>
      <c r="I264" s="45">
        <v>4.2435047193308151</v>
      </c>
      <c r="J264" s="45"/>
      <c r="K264" s="45"/>
      <c r="L264" s="45"/>
      <c r="M264" s="45"/>
      <c r="N264" s="45"/>
      <c r="O264" s="45"/>
      <c r="P264" s="45"/>
      <c r="Q264" s="45"/>
      <c r="R264" s="45">
        <v>4.2435047193308151</v>
      </c>
      <c r="S264" s="45">
        <v>4.2435047193308151</v>
      </c>
      <c r="T264" s="45">
        <v>4.0697021722530868</v>
      </c>
      <c r="U264" s="45">
        <v>4.4998103693629741</v>
      </c>
      <c r="V264" s="45">
        <v>4.4998210238219087</v>
      </c>
      <c r="W264" s="45">
        <v>4.4998168469017781</v>
      </c>
      <c r="X264" s="45">
        <v>4.499811008535147</v>
      </c>
      <c r="Y264" s="45">
        <v>4.4998034943175025</v>
      </c>
      <c r="Z264" s="45">
        <v>4.4998210164582835</v>
      </c>
      <c r="AA264" s="45">
        <v>4.4998096854150482</v>
      </c>
      <c r="AB264" s="45">
        <v>4.4998137680371819</v>
      </c>
      <c r="AC264" s="45">
        <v>4.4998220691561546</v>
      </c>
      <c r="AD264" s="45">
        <v>4.499795016077651</v>
      </c>
      <c r="AE264" s="45">
        <v>4.4998305987690808</v>
      </c>
      <c r="AF264" s="45">
        <v>4.4998483535756693</v>
      </c>
      <c r="AG264" s="45">
        <v>4.4998030063368617</v>
      </c>
      <c r="AH264" s="45">
        <v>4.4998238295279638</v>
      </c>
      <c r="AI264" s="45">
        <v>4.4998263250652526</v>
      </c>
      <c r="AJ264" s="45">
        <v>4.4998263250652526</v>
      </c>
      <c r="AK264" s="45">
        <v>4.4998263250652526</v>
      </c>
      <c r="AL264" s="45">
        <v>4.4998263250652526</v>
      </c>
      <c r="AM264" s="45">
        <v>4.4998263250652526</v>
      </c>
      <c r="AN264" s="45">
        <v>4.4998263250652526</v>
      </c>
      <c r="AO264" s="45">
        <v>4.4998263250652526</v>
      </c>
      <c r="AP264" s="45">
        <v>4.4998263250652526</v>
      </c>
      <c r="AQ264" s="45">
        <v>4.4998263250652526</v>
      </c>
      <c r="AR264" s="45">
        <v>4.4998263250652526</v>
      </c>
      <c r="AS264" s="45">
        <v>4.4998263250652526</v>
      </c>
      <c r="AT264" s="45">
        <v>4.4998263250652526</v>
      </c>
      <c r="AU264" s="45">
        <v>4.4998263250652526</v>
      </c>
      <c r="AV264" s="45">
        <v>4.4998263250652526</v>
      </c>
      <c r="AW264" s="45">
        <v>4.4998263250652526</v>
      </c>
      <c r="AX264" s="45">
        <v>4.4998263250652526</v>
      </c>
      <c r="AY264" s="45">
        <v>4.4998263250652526</v>
      </c>
      <c r="AZ264" s="45">
        <v>4.4998263250652526</v>
      </c>
      <c r="BA264" s="45">
        <v>4.4998263250652526</v>
      </c>
      <c r="BB264" s="45">
        <v>4.4998263250652526</v>
      </c>
      <c r="BC264" s="45">
        <v>4.4998263250652526</v>
      </c>
      <c r="BD264" s="45">
        <v>4.4998263250652526</v>
      </c>
      <c r="BE264" s="45">
        <v>4.4998263250652526</v>
      </c>
      <c r="BF264" s="45">
        <v>4.4998263250652526</v>
      </c>
      <c r="BG264" s="45">
        <v>4.4998263250652526</v>
      </c>
      <c r="BH264" s="45">
        <v>4.4998263250652526</v>
      </c>
      <c r="BI264" s="45">
        <v>4.4998263250652526</v>
      </c>
      <c r="BJ264" s="45">
        <v>4.4998263250652526</v>
      </c>
      <c r="BK264" s="45">
        <v>4.4998263250652526</v>
      </c>
      <c r="BL264" s="45">
        <v>4.4998263250652526</v>
      </c>
      <c r="BM264" s="45">
        <v>4.4998263250652526</v>
      </c>
      <c r="BN264" s="45">
        <v>4.4998263250652526</v>
      </c>
      <c r="BO264" s="45">
        <v>4.4998263250652526</v>
      </c>
      <c r="BP264" s="45">
        <v>4.4998263250652526</v>
      </c>
      <c r="BQ264" s="45">
        <v>4.4998263250652526</v>
      </c>
    </row>
    <row r="265" spans="1:69" s="44" customFormat="1" hidden="1" x14ac:dyDescent="0.25">
      <c r="A265" s="43">
        <v>26</v>
      </c>
      <c r="B265" s="43" t="s">
        <v>140</v>
      </c>
      <c r="C265" s="20" t="s">
        <v>141</v>
      </c>
      <c r="D265" s="43">
        <v>4</v>
      </c>
      <c r="E265" s="20" t="s">
        <v>493</v>
      </c>
      <c r="F265" s="43"/>
      <c r="G265" s="43" t="s">
        <v>500</v>
      </c>
      <c r="H265" s="43">
        <v>0</v>
      </c>
      <c r="I265" s="43">
        <v>0.45101532414400014</v>
      </c>
      <c r="J265" s="43">
        <v>0.45934074179840007</v>
      </c>
      <c r="K265" s="43">
        <v>0.49870592735040009</v>
      </c>
      <c r="L265" s="43">
        <v>0.50217956367040006</v>
      </c>
      <c r="M265" s="43">
        <v>0.53180241107840009</v>
      </c>
      <c r="N265" s="43">
        <v>0.55035001338239997</v>
      </c>
      <c r="O265" s="43">
        <v>0.57939284430719995</v>
      </c>
      <c r="P265" s="43">
        <v>0.53889670739520001</v>
      </c>
      <c r="Q265" s="43">
        <v>0.54523499999999991</v>
      </c>
      <c r="R265" s="43">
        <v>0.54523499999999991</v>
      </c>
      <c r="S265" s="43">
        <v>0.54523499999999991</v>
      </c>
      <c r="T265" s="43">
        <v>0.54523499999999991</v>
      </c>
      <c r="U265" s="43">
        <v>0.54523499999999991</v>
      </c>
      <c r="V265" s="43">
        <v>0.54523499999999991</v>
      </c>
      <c r="W265" s="43">
        <v>0.54523499999999991</v>
      </c>
      <c r="X265" s="43">
        <v>0.54523499999999991</v>
      </c>
      <c r="Y265" s="43">
        <v>0.54523499999999991</v>
      </c>
      <c r="Z265" s="43">
        <v>0.54523499999999991</v>
      </c>
      <c r="AA265" s="43">
        <v>0.54523499999999991</v>
      </c>
      <c r="AB265" s="43">
        <v>0.54523499999999991</v>
      </c>
      <c r="AC265" s="43">
        <v>0.54523499999999991</v>
      </c>
      <c r="AD265" s="43">
        <v>0.54523499999999991</v>
      </c>
      <c r="AE265" s="43">
        <v>0.54523499999999991</v>
      </c>
      <c r="AF265" s="43">
        <v>0.54523499999999991</v>
      </c>
      <c r="AG265" s="43">
        <v>0.54523499999999991</v>
      </c>
      <c r="AH265" s="43">
        <v>0.54523499999999991</v>
      </c>
      <c r="AI265" s="43">
        <v>0.54523499999999991</v>
      </c>
      <c r="AJ265" s="43">
        <v>0.54523499999999991</v>
      </c>
      <c r="AK265" s="43">
        <v>0.54523499999999991</v>
      </c>
      <c r="AL265" s="43">
        <v>0.54523499999999991</v>
      </c>
      <c r="AM265" s="43">
        <v>0.54523499999999991</v>
      </c>
      <c r="AN265" s="43">
        <v>0.54523499999999991</v>
      </c>
      <c r="AO265" s="43">
        <v>0.54523499999999991</v>
      </c>
      <c r="AP265" s="43">
        <v>0.54523499999999991</v>
      </c>
      <c r="AQ265" s="43">
        <v>0.54523499999999991</v>
      </c>
      <c r="AR265" s="43">
        <v>0.54523499999999991</v>
      </c>
      <c r="AS265" s="43">
        <v>0.54523499999999991</v>
      </c>
      <c r="AT265" s="43">
        <v>0.54523499999999991</v>
      </c>
      <c r="AU265" s="43">
        <v>0.54523499999999991</v>
      </c>
      <c r="AV265" s="43">
        <v>0.54523499999999991</v>
      </c>
      <c r="AW265" s="43">
        <v>0.54523499999999991</v>
      </c>
      <c r="AX265" s="43">
        <v>0.54523499999999991</v>
      </c>
      <c r="AY265" s="43">
        <v>0.54523499999999991</v>
      </c>
      <c r="AZ265" s="43">
        <v>0.54523499999999991</v>
      </c>
      <c r="BA265" s="43">
        <v>0.54523499999999991</v>
      </c>
      <c r="BB265" s="43">
        <v>0.54523499999999991</v>
      </c>
      <c r="BC265" s="43">
        <v>0.54523499999999991</v>
      </c>
      <c r="BD265" s="43">
        <v>0.54523499999999991</v>
      </c>
      <c r="BE265" s="43">
        <v>0.54523499999999991</v>
      </c>
      <c r="BF265" s="43">
        <v>0.54523499999999991</v>
      </c>
      <c r="BG265" s="43">
        <v>0.54523499999999991</v>
      </c>
      <c r="BH265" s="43">
        <v>0.54523499999999991</v>
      </c>
      <c r="BI265" s="43">
        <v>0.54523499999999991</v>
      </c>
      <c r="BJ265" s="43">
        <v>0.54523499999999991</v>
      </c>
      <c r="BK265" s="43">
        <v>0.54523499999999991</v>
      </c>
      <c r="BL265" s="43">
        <v>0.54523499999999991</v>
      </c>
      <c r="BM265" s="43">
        <v>0.54523499999999991</v>
      </c>
      <c r="BN265" s="43">
        <v>0.54523499999999991</v>
      </c>
      <c r="BO265" s="43">
        <v>0.54523499999999991</v>
      </c>
      <c r="BP265" s="43">
        <v>0.54523499999999991</v>
      </c>
      <c r="BQ265" s="43">
        <v>0.54523499999999991</v>
      </c>
    </row>
    <row r="266" spans="1:69" s="44" customFormat="1" hidden="1" x14ac:dyDescent="0.25">
      <c r="A266" s="43">
        <v>26</v>
      </c>
      <c r="B266" s="43" t="s">
        <v>140</v>
      </c>
      <c r="C266" s="20" t="s">
        <v>141</v>
      </c>
      <c r="D266" s="43">
        <v>5</v>
      </c>
      <c r="E266" s="20" t="s">
        <v>494</v>
      </c>
      <c r="F266" s="43"/>
      <c r="G266" s="43" t="s">
        <v>500</v>
      </c>
      <c r="H266" s="43">
        <v>0</v>
      </c>
      <c r="I266" s="43">
        <v>99999</v>
      </c>
      <c r="J266" s="43">
        <v>99999</v>
      </c>
      <c r="K266" s="43">
        <v>99999</v>
      </c>
      <c r="L266" s="43">
        <v>99999</v>
      </c>
      <c r="M266" s="43">
        <v>99999</v>
      </c>
      <c r="N266" s="43">
        <v>99999</v>
      </c>
      <c r="O266" s="43">
        <v>99999</v>
      </c>
      <c r="P266" s="43">
        <v>99999</v>
      </c>
      <c r="Q266" s="43">
        <v>99999</v>
      </c>
      <c r="R266" s="43">
        <v>99999</v>
      </c>
      <c r="S266" s="43">
        <v>99999</v>
      </c>
      <c r="T266" s="43">
        <v>99999</v>
      </c>
      <c r="U266" s="43">
        <v>99999</v>
      </c>
      <c r="V266" s="43">
        <v>99999</v>
      </c>
      <c r="W266" s="43">
        <v>99999</v>
      </c>
      <c r="X266" s="43">
        <v>99999</v>
      </c>
      <c r="Y266" s="43">
        <v>99999</v>
      </c>
      <c r="Z266" s="43">
        <v>99999</v>
      </c>
      <c r="AA266" s="43">
        <v>99999</v>
      </c>
      <c r="AB266" s="43">
        <v>99999</v>
      </c>
      <c r="AC266" s="43">
        <v>99999</v>
      </c>
      <c r="AD266" s="43">
        <v>99999</v>
      </c>
      <c r="AE266" s="43">
        <v>99999</v>
      </c>
      <c r="AF266" s="43">
        <v>99999</v>
      </c>
      <c r="AG266" s="43">
        <v>99999</v>
      </c>
      <c r="AH266" s="43">
        <v>99999</v>
      </c>
      <c r="AI266" s="43">
        <v>99999</v>
      </c>
      <c r="AJ266" s="43">
        <v>99999</v>
      </c>
      <c r="AK266" s="43">
        <v>99999</v>
      </c>
      <c r="AL266" s="43">
        <v>99999</v>
      </c>
      <c r="AM266" s="43">
        <v>99999</v>
      </c>
      <c r="AN266" s="43">
        <v>99999</v>
      </c>
      <c r="AO266" s="43">
        <v>99999</v>
      </c>
      <c r="AP266" s="43">
        <v>99999</v>
      </c>
      <c r="AQ266" s="43">
        <v>99999</v>
      </c>
      <c r="AR266" s="43">
        <v>99999</v>
      </c>
      <c r="AS266" s="43">
        <v>99999</v>
      </c>
      <c r="AT266" s="43">
        <v>99999</v>
      </c>
      <c r="AU266" s="43">
        <v>99999</v>
      </c>
      <c r="AV266" s="43">
        <v>99999</v>
      </c>
      <c r="AW266" s="43">
        <v>99999</v>
      </c>
      <c r="AX266" s="43">
        <v>99999</v>
      </c>
      <c r="AY266" s="43">
        <v>99999</v>
      </c>
      <c r="AZ266" s="43">
        <v>99999</v>
      </c>
      <c r="BA266" s="43">
        <v>99999</v>
      </c>
      <c r="BB266" s="43">
        <v>99999</v>
      </c>
      <c r="BC266" s="43">
        <v>99999</v>
      </c>
      <c r="BD266" s="43">
        <v>99999</v>
      </c>
      <c r="BE266" s="43">
        <v>99999</v>
      </c>
      <c r="BF266" s="43">
        <v>99999</v>
      </c>
      <c r="BG266" s="43">
        <v>99999</v>
      </c>
      <c r="BH266" s="43">
        <v>99999</v>
      </c>
      <c r="BI266" s="43">
        <v>99999</v>
      </c>
      <c r="BJ266" s="43">
        <v>99999</v>
      </c>
      <c r="BK266" s="43">
        <v>99999</v>
      </c>
      <c r="BL266" s="43">
        <v>99999</v>
      </c>
      <c r="BM266" s="43">
        <v>99999</v>
      </c>
      <c r="BN266" s="43">
        <v>99999</v>
      </c>
      <c r="BO266" s="43">
        <v>99999</v>
      </c>
      <c r="BP266" s="43">
        <v>99999</v>
      </c>
      <c r="BQ266" s="43">
        <v>99999</v>
      </c>
    </row>
    <row r="267" spans="1:69" s="44" customFormat="1" hidden="1" x14ac:dyDescent="0.25">
      <c r="A267" s="43">
        <v>26</v>
      </c>
      <c r="B267" s="43" t="s">
        <v>140</v>
      </c>
      <c r="C267" s="20" t="s">
        <v>141</v>
      </c>
      <c r="D267" s="43">
        <v>6</v>
      </c>
      <c r="E267" s="20" t="s">
        <v>495</v>
      </c>
      <c r="F267" s="43"/>
      <c r="G267" s="43" t="s">
        <v>490</v>
      </c>
      <c r="H267" s="43">
        <v>0</v>
      </c>
      <c r="I267" s="33"/>
      <c r="J267" s="33"/>
      <c r="K267" s="33"/>
      <c r="L267" s="33"/>
      <c r="M267" s="33"/>
      <c r="N267" s="33"/>
      <c r="O267" s="33"/>
      <c r="P267" s="3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</row>
    <row r="268" spans="1:69" s="44" customFormat="1" hidden="1" x14ac:dyDescent="0.25">
      <c r="A268" s="43">
        <v>26</v>
      </c>
      <c r="B268" s="43" t="s">
        <v>140</v>
      </c>
      <c r="C268" s="20" t="s">
        <v>141</v>
      </c>
      <c r="D268" s="43">
        <v>7</v>
      </c>
      <c r="E268" s="20" t="s">
        <v>496</v>
      </c>
      <c r="F268" s="43"/>
      <c r="G268" s="43" t="s">
        <v>500</v>
      </c>
      <c r="H268" s="43">
        <v>0</v>
      </c>
      <c r="I268" s="43">
        <v>0.12271759704326116</v>
      </c>
      <c r="J268" s="43">
        <v>0.1053497219680206</v>
      </c>
      <c r="K268" s="43">
        <v>0.11899013946897365</v>
      </c>
      <c r="L268" s="43">
        <v>0.13692348024433826</v>
      </c>
      <c r="M268" s="43">
        <v>0.14256659712925035</v>
      </c>
      <c r="N268" s="43">
        <v>0.14207037212710061</v>
      </c>
      <c r="O268" s="43">
        <v>0.12541798426426201</v>
      </c>
      <c r="P268" s="43">
        <v>8.5108357926843237E-2</v>
      </c>
      <c r="Q268" s="43">
        <v>0.4269</v>
      </c>
      <c r="R268" s="43">
        <v>0.2442</v>
      </c>
      <c r="S268" s="43">
        <v>8.2500000000000004E-2</v>
      </c>
      <c r="T268" s="43">
        <v>5.4899999999999997E-2</v>
      </c>
      <c r="U268" s="43">
        <v>0.2044</v>
      </c>
      <c r="V268" s="43">
        <v>0.21079999999999999</v>
      </c>
      <c r="W268" s="43">
        <v>0.21240000000000001</v>
      </c>
      <c r="X268" s="43">
        <v>0.21820000000000001</v>
      </c>
      <c r="Y268" s="43">
        <v>0.224</v>
      </c>
      <c r="Z268" s="43">
        <v>0.23100000000000001</v>
      </c>
      <c r="AA268" s="43">
        <v>0.23089999999999999</v>
      </c>
      <c r="AB268" s="43">
        <v>0.2359</v>
      </c>
      <c r="AC268" s="43">
        <v>0.2424</v>
      </c>
      <c r="AD268" s="43">
        <v>0.2467</v>
      </c>
      <c r="AE268" s="43">
        <v>0.25369999999999998</v>
      </c>
      <c r="AF268" s="43">
        <v>0.26100000000000001</v>
      </c>
      <c r="AG268" s="43">
        <v>0.26790000000000003</v>
      </c>
      <c r="AH268" s="43">
        <v>0.27410000000000001</v>
      </c>
      <c r="AI268" s="43">
        <v>0.28170000000000001</v>
      </c>
      <c r="AJ268" s="43">
        <v>0.28799999999999998</v>
      </c>
      <c r="AK268" s="43">
        <v>0.29520000000000002</v>
      </c>
      <c r="AL268" s="43">
        <v>0.30230000000000001</v>
      </c>
      <c r="AM268" s="43">
        <v>0.3095</v>
      </c>
      <c r="AN268" s="43">
        <v>0.31619999999999998</v>
      </c>
      <c r="AO268" s="43">
        <v>0.32340000000000002</v>
      </c>
      <c r="AP268" s="43">
        <v>0.32879999999999998</v>
      </c>
      <c r="AQ268" s="43">
        <v>0.33589999999999998</v>
      </c>
      <c r="AR268" s="43">
        <v>0.34179999999999999</v>
      </c>
      <c r="AS268" s="43">
        <v>0.34939999999999999</v>
      </c>
      <c r="AT268" s="43">
        <v>0.3553</v>
      </c>
      <c r="AU268" s="43">
        <v>0.3614</v>
      </c>
      <c r="AV268" s="43">
        <v>0.36749999999999999</v>
      </c>
      <c r="AW268" s="43">
        <v>0.37380000000000002</v>
      </c>
      <c r="AX268" s="43">
        <v>0.38669999999999999</v>
      </c>
      <c r="AY268" s="43">
        <v>0.39340000000000003</v>
      </c>
      <c r="AZ268" s="43">
        <v>0.4002</v>
      </c>
      <c r="BA268" s="43">
        <v>0.40699999999999997</v>
      </c>
      <c r="BB268" s="43">
        <v>0.41399999999999998</v>
      </c>
      <c r="BC268" s="43">
        <v>0.4209</v>
      </c>
      <c r="BD268" s="43">
        <v>0.42780000000000001</v>
      </c>
      <c r="BE268" s="43">
        <v>0.43469999999999998</v>
      </c>
      <c r="BF268" s="43">
        <v>0.44169999999999998</v>
      </c>
      <c r="BG268" s="43">
        <v>0.44879999999999998</v>
      </c>
      <c r="BH268" s="43">
        <v>0.45600000000000002</v>
      </c>
      <c r="BI268" s="43">
        <v>0.4632</v>
      </c>
      <c r="BJ268" s="43">
        <v>0.47039999999999998</v>
      </c>
      <c r="BK268" s="43">
        <v>0.47770000000000001</v>
      </c>
      <c r="BL268" s="43">
        <v>0.48509999999999998</v>
      </c>
      <c r="BM268" s="43">
        <v>0.49249999999999999</v>
      </c>
      <c r="BN268" s="43">
        <v>0.49990000000000001</v>
      </c>
      <c r="BO268" s="43">
        <v>0.50739999999999996</v>
      </c>
      <c r="BP268" s="43">
        <v>0.51500000000000001</v>
      </c>
      <c r="BQ268" s="43">
        <v>0.52259999999999995</v>
      </c>
    </row>
    <row r="269" spans="1:69" s="44" customFormat="1" hidden="1" x14ac:dyDescent="0.25">
      <c r="A269" s="43">
        <v>26</v>
      </c>
      <c r="B269" s="43" t="s">
        <v>140</v>
      </c>
      <c r="C269" s="20" t="s">
        <v>141</v>
      </c>
      <c r="D269" s="43">
        <v>8</v>
      </c>
      <c r="E269" s="20" t="s">
        <v>497</v>
      </c>
      <c r="F269" s="43"/>
      <c r="G269" s="43" t="s">
        <v>490</v>
      </c>
      <c r="H269" s="43">
        <v>0</v>
      </c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</row>
    <row r="270" spans="1:69" s="44" customFormat="1" hidden="1" x14ac:dyDescent="0.25">
      <c r="A270" s="43">
        <v>26</v>
      </c>
      <c r="B270" s="43" t="s">
        <v>140</v>
      </c>
      <c r="C270" s="20" t="s">
        <v>141</v>
      </c>
      <c r="D270" s="43">
        <v>9</v>
      </c>
      <c r="E270" s="20" t="s">
        <v>498</v>
      </c>
      <c r="F270" s="43"/>
      <c r="G270" s="43" t="s">
        <v>500</v>
      </c>
      <c r="H270" s="43">
        <v>0</v>
      </c>
      <c r="I270" s="43">
        <v>9.1999999999999998E-3</v>
      </c>
      <c r="J270" s="43">
        <v>7.7000000000000002E-3</v>
      </c>
      <c r="K270" s="43">
        <v>8.0000000000000002E-3</v>
      </c>
      <c r="L270" s="43">
        <v>9.1999999999999998E-3</v>
      </c>
      <c r="M270" s="43">
        <v>8.9999999999999993E-3</v>
      </c>
      <c r="N270" s="43">
        <v>8.6999999999999994E-3</v>
      </c>
      <c r="O270" s="43">
        <v>7.3000000000000001E-3</v>
      </c>
      <c r="P270" s="43">
        <v>5.3E-3</v>
      </c>
      <c r="Q270" s="43">
        <v>2.64E-2</v>
      </c>
      <c r="R270" s="43">
        <v>1.5100000000000001E-2</v>
      </c>
      <c r="S270" s="43">
        <v>5.1000000000000004E-3</v>
      </c>
      <c r="T270" s="43">
        <v>3.3999999999999998E-3</v>
      </c>
      <c r="U270" s="43">
        <v>0.03</v>
      </c>
      <c r="V270" s="43">
        <v>0.1</v>
      </c>
      <c r="W270" s="43">
        <v>0.1</v>
      </c>
      <c r="X270" s="43">
        <v>0.1</v>
      </c>
      <c r="Y270" s="43">
        <v>0.1</v>
      </c>
      <c r="Z270" s="43">
        <v>0.1</v>
      </c>
      <c r="AA270" s="43">
        <v>0.1</v>
      </c>
      <c r="AB270" s="43">
        <v>0.1</v>
      </c>
      <c r="AC270" s="43">
        <v>0.1</v>
      </c>
      <c r="AD270" s="43">
        <v>0.1</v>
      </c>
      <c r="AE270" s="43">
        <v>0.1</v>
      </c>
      <c r="AF270" s="43">
        <v>0.1</v>
      </c>
      <c r="AG270" s="43">
        <v>0.1</v>
      </c>
      <c r="AH270" s="43">
        <v>0.1</v>
      </c>
      <c r="AI270" s="43">
        <v>0.1</v>
      </c>
      <c r="AJ270" s="43">
        <v>0.1</v>
      </c>
      <c r="AK270" s="43">
        <v>0.1</v>
      </c>
      <c r="AL270" s="43">
        <v>0.1</v>
      </c>
      <c r="AM270" s="43">
        <v>0.1</v>
      </c>
      <c r="AN270" s="43">
        <v>0.1</v>
      </c>
      <c r="AO270" s="43">
        <v>0.1</v>
      </c>
      <c r="AP270" s="43">
        <v>0.1</v>
      </c>
      <c r="AQ270" s="43">
        <v>0.1</v>
      </c>
      <c r="AR270" s="43">
        <v>0.1</v>
      </c>
      <c r="AS270" s="43">
        <v>0.1</v>
      </c>
      <c r="AT270" s="43">
        <v>0.1</v>
      </c>
      <c r="AU270" s="43">
        <v>0.1</v>
      </c>
      <c r="AV270" s="43">
        <v>0.1</v>
      </c>
      <c r="AW270" s="43">
        <v>0.1</v>
      </c>
      <c r="AX270" s="43">
        <v>0.1</v>
      </c>
      <c r="AY270" s="43">
        <v>0.1</v>
      </c>
      <c r="AZ270" s="43">
        <v>0.1</v>
      </c>
      <c r="BA270" s="43">
        <v>0.1</v>
      </c>
      <c r="BB270" s="43">
        <v>0.1</v>
      </c>
      <c r="BC270" s="43">
        <v>0.1</v>
      </c>
      <c r="BD270" s="43">
        <v>0.1</v>
      </c>
      <c r="BE270" s="43">
        <v>0.1</v>
      </c>
      <c r="BF270" s="43">
        <v>0.1</v>
      </c>
      <c r="BG270" s="43">
        <v>0.1</v>
      </c>
      <c r="BH270" s="43">
        <v>0.1</v>
      </c>
      <c r="BI270" s="43">
        <v>0.1</v>
      </c>
      <c r="BJ270" s="43">
        <v>0.1</v>
      </c>
      <c r="BK270" s="43">
        <v>0.1</v>
      </c>
      <c r="BL270" s="43">
        <v>0.1</v>
      </c>
      <c r="BM270" s="43">
        <v>0.1</v>
      </c>
      <c r="BN270" s="43">
        <v>0.1</v>
      </c>
      <c r="BO270" s="43">
        <v>0.1</v>
      </c>
      <c r="BP270" s="43">
        <v>0.1</v>
      </c>
      <c r="BQ270" s="43">
        <v>0.1</v>
      </c>
    </row>
    <row r="271" spans="1:69" s="44" customFormat="1" hidden="1" x14ac:dyDescent="0.25">
      <c r="A271" s="43">
        <v>26</v>
      </c>
      <c r="B271" s="43" t="s">
        <v>140</v>
      </c>
      <c r="C271" s="20" t="s">
        <v>141</v>
      </c>
      <c r="D271" s="43">
        <v>10</v>
      </c>
      <c r="E271" s="20" t="s">
        <v>499</v>
      </c>
      <c r="F271" s="43"/>
      <c r="G271" s="43" t="s">
        <v>501</v>
      </c>
      <c r="H271" s="43">
        <v>0</v>
      </c>
      <c r="I271" s="43">
        <v>0.95</v>
      </c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</row>
    <row r="272" spans="1:69" s="34" customFormat="1" hidden="1" x14ac:dyDescent="0.25">
      <c r="A272" s="33">
        <v>27</v>
      </c>
      <c r="B272" s="33" t="s">
        <v>142</v>
      </c>
      <c r="C272" s="36" t="s">
        <v>143</v>
      </c>
      <c r="D272" s="33">
        <v>1</v>
      </c>
      <c r="E272" s="36" t="s">
        <v>489</v>
      </c>
      <c r="F272" s="33"/>
      <c r="G272" s="33" t="s">
        <v>500</v>
      </c>
      <c r="H272" s="33">
        <v>0</v>
      </c>
      <c r="I272" s="33">
        <v>1190</v>
      </c>
      <c r="J272" s="33">
        <v>1190</v>
      </c>
      <c r="K272" s="33">
        <v>1190</v>
      </c>
      <c r="L272" s="33">
        <v>1190</v>
      </c>
      <c r="M272" s="33">
        <v>1190</v>
      </c>
      <c r="N272" s="33">
        <v>1190</v>
      </c>
      <c r="O272" s="33">
        <v>1190</v>
      </c>
      <c r="P272" s="33">
        <v>1190</v>
      </c>
      <c r="Q272" s="33">
        <v>1190</v>
      </c>
      <c r="R272" s="33">
        <v>1000</v>
      </c>
      <c r="S272" s="33">
        <v>1000</v>
      </c>
      <c r="T272" s="33">
        <v>1000</v>
      </c>
      <c r="U272" s="33">
        <v>1000</v>
      </c>
      <c r="V272" s="33">
        <v>1000</v>
      </c>
      <c r="W272" s="33">
        <v>1000</v>
      </c>
      <c r="X272" s="33">
        <v>991.5</v>
      </c>
      <c r="Y272" s="33">
        <v>991.5</v>
      </c>
      <c r="Z272" s="33">
        <v>991.5</v>
      </c>
      <c r="AA272" s="33">
        <v>991.5</v>
      </c>
      <c r="AB272" s="33">
        <v>991.5</v>
      </c>
      <c r="AC272" s="33">
        <v>983</v>
      </c>
      <c r="AD272" s="33">
        <v>983</v>
      </c>
      <c r="AE272" s="33">
        <v>983</v>
      </c>
      <c r="AF272" s="33">
        <v>983</v>
      </c>
      <c r="AG272" s="33">
        <v>983</v>
      </c>
      <c r="AH272" s="33">
        <v>965.5</v>
      </c>
      <c r="AI272" s="33">
        <v>965.5</v>
      </c>
      <c r="AJ272" s="33">
        <v>965.5</v>
      </c>
      <c r="AK272" s="33">
        <v>965.5</v>
      </c>
      <c r="AL272" s="33">
        <v>965.5</v>
      </c>
      <c r="AM272" s="33">
        <v>948</v>
      </c>
      <c r="AN272" s="33">
        <v>948</v>
      </c>
      <c r="AO272" s="33">
        <v>948</v>
      </c>
      <c r="AP272" s="33">
        <v>948</v>
      </c>
      <c r="AQ272" s="33">
        <v>948</v>
      </c>
      <c r="AR272" s="33">
        <v>930.5</v>
      </c>
      <c r="AS272" s="33">
        <v>930.5</v>
      </c>
      <c r="AT272" s="33">
        <v>930.5</v>
      </c>
      <c r="AU272" s="33">
        <v>930.5</v>
      </c>
      <c r="AV272" s="33">
        <v>930.5</v>
      </c>
      <c r="AW272" s="33">
        <v>913</v>
      </c>
      <c r="AX272" s="33">
        <v>913</v>
      </c>
      <c r="AY272" s="33">
        <v>913</v>
      </c>
      <c r="AZ272" s="33">
        <v>913</v>
      </c>
      <c r="BA272" s="33">
        <v>913</v>
      </c>
      <c r="BB272" s="33">
        <v>913</v>
      </c>
      <c r="BC272" s="33">
        <v>913</v>
      </c>
      <c r="BD272" s="33">
        <v>913</v>
      </c>
      <c r="BE272" s="33">
        <v>913</v>
      </c>
      <c r="BF272" s="33">
        <v>913</v>
      </c>
      <c r="BG272" s="33">
        <v>913</v>
      </c>
      <c r="BH272" s="33">
        <v>913</v>
      </c>
      <c r="BI272" s="33">
        <v>913</v>
      </c>
      <c r="BJ272" s="33">
        <v>913</v>
      </c>
      <c r="BK272" s="33">
        <v>913</v>
      </c>
      <c r="BL272" s="33">
        <v>913</v>
      </c>
      <c r="BM272" s="33">
        <v>913</v>
      </c>
      <c r="BN272" s="33">
        <v>913</v>
      </c>
      <c r="BO272" s="33">
        <v>913</v>
      </c>
      <c r="BP272" s="33">
        <v>913</v>
      </c>
      <c r="BQ272" s="33">
        <v>913</v>
      </c>
    </row>
    <row r="273" spans="1:69" s="34" customFormat="1" hidden="1" x14ac:dyDescent="0.25">
      <c r="A273" s="33">
        <v>27</v>
      </c>
      <c r="B273" s="33" t="s">
        <v>142</v>
      </c>
      <c r="C273" s="36" t="s">
        <v>143</v>
      </c>
      <c r="D273" s="33">
        <v>2</v>
      </c>
      <c r="E273" s="36" t="s">
        <v>491</v>
      </c>
      <c r="F273" s="33"/>
      <c r="G273" s="33" t="s">
        <v>500</v>
      </c>
      <c r="H273" s="33">
        <v>0</v>
      </c>
      <c r="I273" s="33">
        <v>21.7</v>
      </c>
      <c r="J273" s="33">
        <v>21.7</v>
      </c>
      <c r="K273" s="33">
        <v>21.7</v>
      </c>
      <c r="L273" s="33">
        <v>21.7</v>
      </c>
      <c r="M273" s="33">
        <v>21.7</v>
      </c>
      <c r="N273" s="33">
        <v>21.7</v>
      </c>
      <c r="O273" s="33">
        <v>21.7</v>
      </c>
      <c r="P273" s="33">
        <v>21.7</v>
      </c>
      <c r="Q273" s="33">
        <v>21.7</v>
      </c>
      <c r="R273" s="33">
        <v>21.7</v>
      </c>
      <c r="S273" s="33">
        <v>21.1</v>
      </c>
      <c r="T273" s="33">
        <v>21.1</v>
      </c>
      <c r="U273" s="33">
        <v>21.1</v>
      </c>
      <c r="V273" s="33">
        <v>21.1</v>
      </c>
      <c r="W273" s="33">
        <v>21.1</v>
      </c>
      <c r="X273" s="33">
        <v>20.6</v>
      </c>
      <c r="Y273" s="33">
        <v>20.6</v>
      </c>
      <c r="Z273" s="33">
        <v>20.6</v>
      </c>
      <c r="AA273" s="33">
        <v>20.6</v>
      </c>
      <c r="AB273" s="33">
        <v>20.6</v>
      </c>
      <c r="AC273" s="33">
        <v>20.100000000000001</v>
      </c>
      <c r="AD273" s="33">
        <v>20.100000000000001</v>
      </c>
      <c r="AE273" s="33">
        <v>20.100000000000001</v>
      </c>
      <c r="AF273" s="33">
        <v>20.100000000000001</v>
      </c>
      <c r="AG273" s="33">
        <v>20.100000000000001</v>
      </c>
      <c r="AH273" s="33">
        <v>19.7</v>
      </c>
      <c r="AI273" s="33">
        <v>19.7</v>
      </c>
      <c r="AJ273" s="33">
        <v>19.7</v>
      </c>
      <c r="AK273" s="33">
        <v>19.7</v>
      </c>
      <c r="AL273" s="33">
        <v>19.7</v>
      </c>
      <c r="AM273" s="33">
        <v>19.399999999999999</v>
      </c>
      <c r="AN273" s="33">
        <v>19.399999999999999</v>
      </c>
      <c r="AO273" s="33">
        <v>19.399999999999999</v>
      </c>
      <c r="AP273" s="33">
        <v>19.399999999999999</v>
      </c>
      <c r="AQ273" s="33">
        <v>19.399999999999999</v>
      </c>
      <c r="AR273" s="33">
        <v>19</v>
      </c>
      <c r="AS273" s="33">
        <v>19</v>
      </c>
      <c r="AT273" s="33">
        <v>19</v>
      </c>
      <c r="AU273" s="33">
        <v>19</v>
      </c>
      <c r="AV273" s="33">
        <v>19</v>
      </c>
      <c r="AW273" s="33">
        <v>18.600000000000001</v>
      </c>
      <c r="AX273" s="33">
        <v>18.600000000000001</v>
      </c>
      <c r="AY273" s="33">
        <v>18.600000000000001</v>
      </c>
      <c r="AZ273" s="33">
        <v>18.600000000000001</v>
      </c>
      <c r="BA273" s="33">
        <v>18.600000000000001</v>
      </c>
      <c r="BB273" s="33">
        <v>18.600000000000001</v>
      </c>
      <c r="BC273" s="33">
        <v>18.600000000000001</v>
      </c>
      <c r="BD273" s="33">
        <v>18.600000000000001</v>
      </c>
      <c r="BE273" s="33">
        <v>18.600000000000001</v>
      </c>
      <c r="BF273" s="33">
        <v>18.600000000000001</v>
      </c>
      <c r="BG273" s="33">
        <v>18.600000000000001</v>
      </c>
      <c r="BH273" s="33">
        <v>18.600000000000001</v>
      </c>
      <c r="BI273" s="33">
        <v>18.600000000000001</v>
      </c>
      <c r="BJ273" s="33">
        <v>18.600000000000001</v>
      </c>
      <c r="BK273" s="33">
        <v>18.600000000000001</v>
      </c>
      <c r="BL273" s="33">
        <v>18.600000000000001</v>
      </c>
      <c r="BM273" s="33">
        <v>18.600000000000001</v>
      </c>
      <c r="BN273" s="33">
        <v>18.600000000000001</v>
      </c>
      <c r="BO273" s="33">
        <v>18.600000000000001</v>
      </c>
      <c r="BP273" s="33">
        <v>18.600000000000001</v>
      </c>
      <c r="BQ273" s="33">
        <v>18.600000000000001</v>
      </c>
    </row>
    <row r="274" spans="1:69" s="34" customFormat="1" hidden="1" x14ac:dyDescent="0.25">
      <c r="A274" s="33">
        <v>27</v>
      </c>
      <c r="B274" s="33" t="s">
        <v>142</v>
      </c>
      <c r="C274" s="36" t="s">
        <v>143</v>
      </c>
      <c r="D274" s="33">
        <v>3</v>
      </c>
      <c r="E274" s="36" t="s">
        <v>492</v>
      </c>
      <c r="F274" s="33"/>
      <c r="G274" s="33" t="s">
        <v>500</v>
      </c>
      <c r="H274" s="33">
        <v>0</v>
      </c>
      <c r="I274" s="33">
        <v>18.899999999999999</v>
      </c>
      <c r="J274" s="33">
        <v>18.899999999999999</v>
      </c>
      <c r="K274" s="33">
        <v>18.899999999999999</v>
      </c>
      <c r="L274" s="33">
        <v>18.899999999999999</v>
      </c>
      <c r="M274" s="33">
        <v>18.899999999999999</v>
      </c>
      <c r="N274" s="33">
        <v>18.899999999999999</v>
      </c>
      <c r="O274" s="33">
        <v>18.899999999999999</v>
      </c>
      <c r="P274" s="33">
        <v>18.899999999999999</v>
      </c>
      <c r="Q274" s="33">
        <v>18.899999999999999</v>
      </c>
      <c r="R274" s="33">
        <v>18.899999999999999</v>
      </c>
      <c r="S274" s="33">
        <v>18.899999999999999</v>
      </c>
      <c r="T274" s="33">
        <v>18.899999999999999</v>
      </c>
      <c r="U274" s="33">
        <v>18.899999999999999</v>
      </c>
      <c r="V274" s="33">
        <v>18.899999999999999</v>
      </c>
      <c r="W274" s="33">
        <v>18.899999999999999</v>
      </c>
      <c r="X274" s="33">
        <v>18.899999999999999</v>
      </c>
      <c r="Y274" s="33">
        <v>18.899999999999999</v>
      </c>
      <c r="Z274" s="33">
        <v>18.899999999999999</v>
      </c>
      <c r="AA274" s="33">
        <v>18.899999999999999</v>
      </c>
      <c r="AB274" s="33">
        <v>18.899999999999999</v>
      </c>
      <c r="AC274" s="33">
        <v>18.899999999999999</v>
      </c>
      <c r="AD274" s="33">
        <v>18.899999999999999</v>
      </c>
      <c r="AE274" s="33">
        <v>18.899999999999999</v>
      </c>
      <c r="AF274" s="33">
        <v>18.899999999999999</v>
      </c>
      <c r="AG274" s="33">
        <v>18.899999999999999</v>
      </c>
      <c r="AH274" s="33">
        <v>18.899999999999999</v>
      </c>
      <c r="AI274" s="33">
        <v>18.899999999999999</v>
      </c>
      <c r="AJ274" s="33">
        <v>18.899999999999999</v>
      </c>
      <c r="AK274" s="33">
        <v>18.899999999999999</v>
      </c>
      <c r="AL274" s="33">
        <v>18.899999999999999</v>
      </c>
      <c r="AM274" s="33">
        <v>18.899999999999999</v>
      </c>
      <c r="AN274" s="33">
        <v>18.899999999999999</v>
      </c>
      <c r="AO274" s="33">
        <v>18.899999999999999</v>
      </c>
      <c r="AP274" s="33">
        <v>18.899999999999999</v>
      </c>
      <c r="AQ274" s="33">
        <v>18.899999999999999</v>
      </c>
      <c r="AR274" s="33">
        <v>18.899999999999999</v>
      </c>
      <c r="AS274" s="33">
        <v>18.899999999999999</v>
      </c>
      <c r="AT274" s="33">
        <v>18.899999999999999</v>
      </c>
      <c r="AU274" s="33">
        <v>18.899999999999999</v>
      </c>
      <c r="AV274" s="33">
        <v>18.899999999999999</v>
      </c>
      <c r="AW274" s="33">
        <v>18.899999999999999</v>
      </c>
      <c r="AX274" s="33">
        <v>18.899999999999999</v>
      </c>
      <c r="AY274" s="33">
        <v>18.899999999999999</v>
      </c>
      <c r="AZ274" s="33">
        <v>18.899999999999999</v>
      </c>
      <c r="BA274" s="33">
        <v>18.899999999999999</v>
      </c>
      <c r="BB274" s="33">
        <v>18.899999999999999</v>
      </c>
      <c r="BC274" s="33">
        <v>18.899999999999999</v>
      </c>
      <c r="BD274" s="33">
        <v>18.899999999999999</v>
      </c>
      <c r="BE274" s="33">
        <v>18.899999999999999</v>
      </c>
      <c r="BF274" s="33">
        <v>18.899999999999999</v>
      </c>
      <c r="BG274" s="33">
        <v>18.899999999999999</v>
      </c>
      <c r="BH274" s="33">
        <v>18.899999999999999</v>
      </c>
      <c r="BI274" s="33">
        <v>18.899999999999999</v>
      </c>
      <c r="BJ274" s="33">
        <v>18.899999999999999</v>
      </c>
      <c r="BK274" s="33">
        <v>18.899999999999999</v>
      </c>
      <c r="BL274" s="33">
        <v>18.899999999999999</v>
      </c>
      <c r="BM274" s="33">
        <v>18.899999999999999</v>
      </c>
      <c r="BN274" s="33">
        <v>18.899999999999999</v>
      </c>
      <c r="BO274" s="33">
        <v>18.899999999999999</v>
      </c>
      <c r="BP274" s="33">
        <v>18.899999999999999</v>
      </c>
      <c r="BQ274" s="33">
        <v>18.899999999999999</v>
      </c>
    </row>
    <row r="275" spans="1:69" s="34" customFormat="1" hidden="1" x14ac:dyDescent="0.25">
      <c r="A275" s="33">
        <v>27</v>
      </c>
      <c r="B275" s="33" t="s">
        <v>142</v>
      </c>
      <c r="C275" s="36" t="s">
        <v>143</v>
      </c>
      <c r="D275" s="33">
        <v>4</v>
      </c>
      <c r="E275" s="36" t="s">
        <v>493</v>
      </c>
      <c r="F275" s="33"/>
      <c r="G275" s="33" t="s">
        <v>500</v>
      </c>
      <c r="H275" s="33">
        <v>0</v>
      </c>
      <c r="I275" s="33">
        <v>0.22822462185600007</v>
      </c>
      <c r="J275" s="33">
        <v>0.23243748380160004</v>
      </c>
      <c r="K275" s="33">
        <v>0.25235721624960006</v>
      </c>
      <c r="L275" s="33">
        <v>0.25411495992960004</v>
      </c>
      <c r="M275" s="33">
        <v>0.2691048345216</v>
      </c>
      <c r="N275" s="33">
        <v>0.27849036821759998</v>
      </c>
      <c r="O275" s="33">
        <v>0.29318674049280002</v>
      </c>
      <c r="P275" s="33">
        <v>0.2726947194048</v>
      </c>
      <c r="Q275" s="33">
        <v>0.27535999999999999</v>
      </c>
      <c r="R275" s="33">
        <v>0.27535999999999999</v>
      </c>
      <c r="S275" s="33">
        <v>0.27535999999999999</v>
      </c>
      <c r="T275" s="33">
        <v>0.27535999999999999</v>
      </c>
      <c r="U275" s="33">
        <v>0.27535999999999999</v>
      </c>
      <c r="V275" s="33">
        <v>0.27535999999999999</v>
      </c>
      <c r="W275" s="33">
        <v>0.27535999999999999</v>
      </c>
      <c r="X275" s="33">
        <v>0.27535999999999999</v>
      </c>
      <c r="Y275" s="33">
        <v>0.27535999999999999</v>
      </c>
      <c r="Z275" s="33">
        <v>0.27535999999999999</v>
      </c>
      <c r="AA275" s="33">
        <v>0.27535999999999999</v>
      </c>
      <c r="AB275" s="33">
        <v>0.27535999999999999</v>
      </c>
      <c r="AC275" s="33">
        <v>0.27535999999999999</v>
      </c>
      <c r="AD275" s="33">
        <v>0.27535999999999999</v>
      </c>
      <c r="AE275" s="33">
        <v>0.27535999999999999</v>
      </c>
      <c r="AF275" s="33">
        <v>0.27535999999999999</v>
      </c>
      <c r="AG275" s="33">
        <v>0.27535999999999999</v>
      </c>
      <c r="AH275" s="33">
        <v>0.27535999999999999</v>
      </c>
      <c r="AI275" s="33">
        <v>0.27535999999999999</v>
      </c>
      <c r="AJ275" s="33">
        <v>0.27535999999999999</v>
      </c>
      <c r="AK275" s="33">
        <v>0.27535999999999999</v>
      </c>
      <c r="AL275" s="33">
        <v>0.27535999999999999</v>
      </c>
      <c r="AM275" s="33">
        <v>0.27535999999999999</v>
      </c>
      <c r="AN275" s="33">
        <v>0.27535999999999999</v>
      </c>
      <c r="AO275" s="33">
        <v>0.27535999999999999</v>
      </c>
      <c r="AP275" s="33">
        <v>0.27535999999999999</v>
      </c>
      <c r="AQ275" s="33">
        <v>0.27535999999999999</v>
      </c>
      <c r="AR275" s="33">
        <v>0.27535999999999999</v>
      </c>
      <c r="AS275" s="33">
        <v>0.27535999999999999</v>
      </c>
      <c r="AT275" s="33">
        <v>0.27535999999999999</v>
      </c>
      <c r="AU275" s="33">
        <v>0.27535999999999999</v>
      </c>
      <c r="AV275" s="33">
        <v>0.27535999999999999</v>
      </c>
      <c r="AW275" s="33">
        <v>0.27535999999999999</v>
      </c>
      <c r="AX275" s="33">
        <v>0.27535999999999999</v>
      </c>
      <c r="AY275" s="33">
        <v>0.27535999999999999</v>
      </c>
      <c r="AZ275" s="33">
        <v>0.27535999999999999</v>
      </c>
      <c r="BA275" s="33">
        <v>0.27535999999999999</v>
      </c>
      <c r="BB275" s="33">
        <v>0.27535999999999999</v>
      </c>
      <c r="BC275" s="33">
        <v>0.27535999999999999</v>
      </c>
      <c r="BD275" s="33">
        <v>0.27535999999999999</v>
      </c>
      <c r="BE275" s="33">
        <v>0.27535999999999999</v>
      </c>
      <c r="BF275" s="33">
        <v>0.27535999999999999</v>
      </c>
      <c r="BG275" s="33">
        <v>0.27535999999999999</v>
      </c>
      <c r="BH275" s="33">
        <v>0.27535999999999999</v>
      </c>
      <c r="BI275" s="33">
        <v>0.27535999999999999</v>
      </c>
      <c r="BJ275" s="33">
        <v>0.27535999999999999</v>
      </c>
      <c r="BK275" s="33">
        <v>0.27535999999999999</v>
      </c>
      <c r="BL275" s="33">
        <v>0.27535999999999999</v>
      </c>
      <c r="BM275" s="33">
        <v>0.27535999999999999</v>
      </c>
      <c r="BN275" s="33">
        <v>0.27535999999999999</v>
      </c>
      <c r="BO275" s="33">
        <v>0.27535999999999999</v>
      </c>
      <c r="BP275" s="33">
        <v>0.27535999999999999</v>
      </c>
      <c r="BQ275" s="33">
        <v>0.27535999999999999</v>
      </c>
    </row>
    <row r="276" spans="1:69" s="34" customFormat="1" hidden="1" x14ac:dyDescent="0.25">
      <c r="A276" s="33">
        <v>27</v>
      </c>
      <c r="B276" s="33" t="s">
        <v>142</v>
      </c>
      <c r="C276" s="36" t="s">
        <v>143</v>
      </c>
      <c r="D276" s="33">
        <v>5</v>
      </c>
      <c r="E276" s="36" t="s">
        <v>494</v>
      </c>
      <c r="F276" s="33"/>
      <c r="G276" s="33" t="s">
        <v>500</v>
      </c>
      <c r="H276" s="33">
        <v>0</v>
      </c>
      <c r="I276" s="33">
        <v>0.22822462185600007</v>
      </c>
      <c r="J276" s="33">
        <v>0.23243748380160004</v>
      </c>
      <c r="K276" s="33">
        <v>0.25235721624960006</v>
      </c>
      <c r="L276" s="33">
        <v>0.25411495992960004</v>
      </c>
      <c r="M276" s="33">
        <v>0.2691048345216</v>
      </c>
      <c r="N276" s="33">
        <v>0.27849036821759998</v>
      </c>
      <c r="O276" s="33">
        <v>0.29318674049280002</v>
      </c>
      <c r="P276" s="33">
        <v>0.2726947194048</v>
      </c>
      <c r="Q276" s="33">
        <v>0.27535999999999999</v>
      </c>
      <c r="R276" s="33">
        <v>0.27535999999999999</v>
      </c>
      <c r="S276" s="33">
        <v>0.27535999999999999</v>
      </c>
      <c r="T276" s="33">
        <v>0.27535999999999999</v>
      </c>
      <c r="U276" s="33">
        <v>99999</v>
      </c>
      <c r="V276" s="33">
        <v>99999</v>
      </c>
      <c r="W276" s="33">
        <v>99999</v>
      </c>
      <c r="X276" s="33">
        <v>99999</v>
      </c>
      <c r="Y276" s="33">
        <v>99999</v>
      </c>
      <c r="Z276" s="33">
        <v>99999</v>
      </c>
      <c r="AA276" s="33">
        <v>99999</v>
      </c>
      <c r="AB276" s="33">
        <v>99999</v>
      </c>
      <c r="AC276" s="33">
        <v>99999</v>
      </c>
      <c r="AD276" s="33">
        <v>99999</v>
      </c>
      <c r="AE276" s="33">
        <v>99999</v>
      </c>
      <c r="AF276" s="33">
        <v>99999</v>
      </c>
      <c r="AG276" s="33">
        <v>99999</v>
      </c>
      <c r="AH276" s="33">
        <v>99999</v>
      </c>
      <c r="AI276" s="33">
        <v>99999</v>
      </c>
      <c r="AJ276" s="33">
        <v>99999</v>
      </c>
      <c r="AK276" s="33">
        <v>99999</v>
      </c>
      <c r="AL276" s="33">
        <v>99999</v>
      </c>
      <c r="AM276" s="33">
        <v>99999</v>
      </c>
      <c r="AN276" s="33">
        <v>99999</v>
      </c>
      <c r="AO276" s="33">
        <v>99999</v>
      </c>
      <c r="AP276" s="33">
        <v>99999</v>
      </c>
      <c r="AQ276" s="33">
        <v>99999</v>
      </c>
      <c r="AR276" s="33">
        <v>99999</v>
      </c>
      <c r="AS276" s="33">
        <v>99999</v>
      </c>
      <c r="AT276" s="33">
        <v>99999</v>
      </c>
      <c r="AU276" s="33">
        <v>99999</v>
      </c>
      <c r="AV276" s="33">
        <v>99999</v>
      </c>
      <c r="AW276" s="33">
        <v>99999</v>
      </c>
      <c r="AX276" s="33">
        <v>99999</v>
      </c>
      <c r="AY276" s="33">
        <v>99999</v>
      </c>
      <c r="AZ276" s="33">
        <v>99999</v>
      </c>
      <c r="BA276" s="33">
        <v>99999</v>
      </c>
      <c r="BB276" s="33">
        <v>99999</v>
      </c>
      <c r="BC276" s="33">
        <v>99999</v>
      </c>
      <c r="BD276" s="33">
        <v>99999</v>
      </c>
      <c r="BE276" s="33">
        <v>99999</v>
      </c>
      <c r="BF276" s="33">
        <v>99999</v>
      </c>
      <c r="BG276" s="33">
        <v>99999</v>
      </c>
      <c r="BH276" s="33">
        <v>99999</v>
      </c>
      <c r="BI276" s="33">
        <v>99999</v>
      </c>
      <c r="BJ276" s="33">
        <v>99999</v>
      </c>
      <c r="BK276" s="33">
        <v>99999</v>
      </c>
      <c r="BL276" s="33">
        <v>99999</v>
      </c>
      <c r="BM276" s="33">
        <v>99999</v>
      </c>
      <c r="BN276" s="33">
        <v>99999</v>
      </c>
      <c r="BO276" s="33">
        <v>99999</v>
      </c>
      <c r="BP276" s="33">
        <v>99999</v>
      </c>
      <c r="BQ276" s="33">
        <v>99999</v>
      </c>
    </row>
    <row r="277" spans="1:69" s="34" customFormat="1" hidden="1" x14ac:dyDescent="0.25">
      <c r="A277" s="33">
        <v>27</v>
      </c>
      <c r="B277" s="33" t="s">
        <v>142</v>
      </c>
      <c r="C277" s="36" t="s">
        <v>143</v>
      </c>
      <c r="D277" s="33">
        <v>6</v>
      </c>
      <c r="E277" s="36" t="s">
        <v>495</v>
      </c>
      <c r="F277" s="33"/>
      <c r="G277" s="33" t="s">
        <v>490</v>
      </c>
      <c r="H277" s="33">
        <v>0</v>
      </c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</row>
    <row r="278" spans="1:69" s="34" customFormat="1" hidden="1" x14ac:dyDescent="0.25">
      <c r="A278" s="33">
        <v>27</v>
      </c>
      <c r="B278" s="33" t="s">
        <v>142</v>
      </c>
      <c r="C278" s="36" t="s">
        <v>143</v>
      </c>
      <c r="D278" s="33">
        <v>7</v>
      </c>
      <c r="E278" s="36" t="s">
        <v>496</v>
      </c>
      <c r="F278" s="33"/>
      <c r="G278" s="33" t="s">
        <v>500</v>
      </c>
      <c r="H278" s="33">
        <v>0</v>
      </c>
      <c r="I278" s="33">
        <v>0.2</v>
      </c>
      <c r="J278">
        <v>2.6785645355402772</v>
      </c>
      <c r="K278">
        <v>2.908115673420459</v>
      </c>
      <c r="L278">
        <v>2.928371571078674</v>
      </c>
      <c r="M278">
        <v>3.101111982038375</v>
      </c>
      <c r="N278">
        <v>3.2092690541854911</v>
      </c>
      <c r="O278">
        <v>3.3786272013036589</v>
      </c>
      <c r="P278" s="33">
        <v>2.7518369063012647</v>
      </c>
      <c r="Q278" s="33">
        <v>3.2056</v>
      </c>
      <c r="R278" s="33">
        <v>2.9214000000000002</v>
      </c>
      <c r="S278" s="33">
        <v>2.4403000000000001</v>
      </c>
      <c r="T278" s="33">
        <v>2.0621999999999998</v>
      </c>
      <c r="U278" s="33">
        <v>2.6589</v>
      </c>
      <c r="V278" s="33">
        <v>2.7425999999999999</v>
      </c>
      <c r="W278" s="33">
        <v>2.7624</v>
      </c>
      <c r="X278" s="33">
        <v>2.8384</v>
      </c>
      <c r="Y278" s="33">
        <v>2.9133</v>
      </c>
      <c r="Z278" s="33">
        <v>3.0044</v>
      </c>
      <c r="AA278" s="33">
        <v>3.0028999999999999</v>
      </c>
      <c r="AB278" s="33">
        <v>3.0682999999999998</v>
      </c>
      <c r="AC278" s="33">
        <v>3.1524999999999999</v>
      </c>
      <c r="AD278" s="33">
        <v>3.2092999999999998</v>
      </c>
      <c r="AE278" s="33">
        <v>3.2995999999999999</v>
      </c>
      <c r="AF278" s="33">
        <v>3.3942999999999999</v>
      </c>
      <c r="AG278" s="33">
        <v>3.4843000000000002</v>
      </c>
      <c r="AH278" s="33">
        <v>3.5657999999999999</v>
      </c>
      <c r="AI278" s="33">
        <v>3.6644000000000001</v>
      </c>
      <c r="AJ278" s="33">
        <v>3.7458999999999998</v>
      </c>
      <c r="AK278" s="33">
        <v>3.8393000000000002</v>
      </c>
      <c r="AL278" s="33">
        <v>3.9327999999999999</v>
      </c>
      <c r="AM278" s="33">
        <v>4.0256999999999996</v>
      </c>
      <c r="AN278" s="33">
        <v>4.1135000000000002</v>
      </c>
      <c r="AO278" s="33">
        <v>4.2066999999999997</v>
      </c>
      <c r="AP278" s="33">
        <v>4.2762000000000002</v>
      </c>
      <c r="AQ278" s="33">
        <v>4.3695000000000004</v>
      </c>
      <c r="AR278" s="33">
        <v>4.4452999999999996</v>
      </c>
      <c r="AS278" s="33">
        <v>4.5444000000000004</v>
      </c>
      <c r="AT278" s="33">
        <v>4.6216999999999997</v>
      </c>
      <c r="AU278" s="33">
        <v>4.7013999999999996</v>
      </c>
      <c r="AV278" s="33">
        <v>4.7798999999999996</v>
      </c>
      <c r="AW278" s="33">
        <v>4.8616999999999999</v>
      </c>
      <c r="AX278" s="33">
        <v>5.0301</v>
      </c>
      <c r="AY278" s="33">
        <v>5.1177000000000001</v>
      </c>
      <c r="AZ278" s="33">
        <v>5.2060000000000004</v>
      </c>
      <c r="BA278" s="33">
        <v>5.2939999999999996</v>
      </c>
      <c r="BB278" s="33">
        <v>5.3846999999999996</v>
      </c>
      <c r="BC278" s="33">
        <v>5.4748000000000001</v>
      </c>
      <c r="BD278" s="33">
        <v>5.5648</v>
      </c>
      <c r="BE278" s="33">
        <v>5.6548999999999996</v>
      </c>
      <c r="BF278" s="33">
        <v>5.7457000000000003</v>
      </c>
      <c r="BG278" s="33">
        <v>5.8377999999999997</v>
      </c>
      <c r="BH278" s="33">
        <v>5.9306999999999999</v>
      </c>
      <c r="BI278" s="33">
        <v>6.0250000000000004</v>
      </c>
      <c r="BJ278" s="33">
        <v>6.1189</v>
      </c>
      <c r="BK278" s="33">
        <v>6.2138</v>
      </c>
      <c r="BL278" s="33">
        <v>6.3098999999999998</v>
      </c>
      <c r="BM278" s="33">
        <v>6.4058999999999999</v>
      </c>
      <c r="BN278" s="33">
        <v>6.5026000000000002</v>
      </c>
      <c r="BO278" s="33">
        <v>6.6</v>
      </c>
      <c r="BP278" s="33">
        <v>6.6985000000000001</v>
      </c>
      <c r="BQ278" s="33">
        <v>6.7976000000000001</v>
      </c>
    </row>
    <row r="279" spans="1:69" s="34" customFormat="1" hidden="1" x14ac:dyDescent="0.25">
      <c r="A279" s="33">
        <v>27</v>
      </c>
      <c r="B279" s="33" t="s">
        <v>142</v>
      </c>
      <c r="C279" s="36" t="s">
        <v>143</v>
      </c>
      <c r="D279" s="33">
        <v>8</v>
      </c>
      <c r="E279" s="36" t="s">
        <v>497</v>
      </c>
      <c r="F279" s="33"/>
      <c r="G279" s="33" t="s">
        <v>490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0</v>
      </c>
      <c r="Z279" s="33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33">
        <v>0</v>
      </c>
      <c r="AG279" s="33">
        <v>0</v>
      </c>
      <c r="AH279" s="33">
        <v>0</v>
      </c>
      <c r="AI279" s="33">
        <v>0</v>
      </c>
      <c r="AJ279" s="33">
        <v>0</v>
      </c>
      <c r="AK279" s="33">
        <v>0</v>
      </c>
      <c r="AL279" s="33">
        <v>0</v>
      </c>
      <c r="AM279" s="33">
        <v>0</v>
      </c>
      <c r="AN279" s="33">
        <v>0</v>
      </c>
      <c r="AO279" s="33">
        <v>0</v>
      </c>
      <c r="AP279" s="33">
        <v>0</v>
      </c>
      <c r="AQ279" s="33">
        <v>0</v>
      </c>
      <c r="AR279" s="33">
        <v>0</v>
      </c>
      <c r="AS279" s="33">
        <v>0</v>
      </c>
      <c r="AT279" s="33">
        <v>0</v>
      </c>
      <c r="AU279" s="33">
        <v>0</v>
      </c>
      <c r="AV279" s="33">
        <v>0</v>
      </c>
      <c r="AW279" s="33">
        <v>0</v>
      </c>
      <c r="AX279" s="33">
        <v>0</v>
      </c>
      <c r="AY279" s="33">
        <v>0</v>
      </c>
      <c r="AZ279" s="33">
        <v>0</v>
      </c>
      <c r="BA279" s="33">
        <v>0</v>
      </c>
      <c r="BB279" s="33">
        <v>0</v>
      </c>
      <c r="BC279" s="33">
        <v>0</v>
      </c>
      <c r="BD279" s="33">
        <v>0</v>
      </c>
      <c r="BE279" s="33">
        <v>0</v>
      </c>
      <c r="BF279" s="33">
        <v>0</v>
      </c>
      <c r="BG279" s="33">
        <v>0</v>
      </c>
      <c r="BH279" s="33">
        <v>0</v>
      </c>
      <c r="BI279" s="33">
        <v>0</v>
      </c>
      <c r="BJ279" s="33">
        <v>0</v>
      </c>
      <c r="BK279" s="33">
        <v>0</v>
      </c>
      <c r="BL279" s="33">
        <v>0</v>
      </c>
      <c r="BM279" s="33">
        <v>0</v>
      </c>
      <c r="BN279" s="33">
        <v>0</v>
      </c>
      <c r="BO279" s="33">
        <v>0</v>
      </c>
      <c r="BP279" s="33">
        <v>0</v>
      </c>
      <c r="BQ279" s="33">
        <v>0</v>
      </c>
    </row>
    <row r="280" spans="1:69" s="34" customFormat="1" hidden="1" x14ac:dyDescent="0.25">
      <c r="A280" s="33">
        <v>27</v>
      </c>
      <c r="B280" s="33" t="s">
        <v>142</v>
      </c>
      <c r="C280" s="36" t="s">
        <v>143</v>
      </c>
      <c r="D280" s="33">
        <v>9</v>
      </c>
      <c r="E280" s="36" t="s">
        <v>498</v>
      </c>
      <c r="F280" s="33"/>
      <c r="G280" s="33" t="s">
        <v>500</v>
      </c>
      <c r="H280" s="33">
        <v>0</v>
      </c>
      <c r="I280" s="33">
        <v>0.58620000000000005</v>
      </c>
      <c r="J280" s="33">
        <v>0.49409999999999998</v>
      </c>
      <c r="K280" s="33">
        <v>0.51400000000000001</v>
      </c>
      <c r="L280" s="33">
        <v>0.58740000000000003</v>
      </c>
      <c r="M280" s="33">
        <v>0.57750000000000001</v>
      </c>
      <c r="N280" s="33">
        <v>0.55610000000000004</v>
      </c>
      <c r="O280" s="33">
        <v>0.46629999999999999</v>
      </c>
      <c r="P280" s="33">
        <v>0.3402</v>
      </c>
      <c r="Q280" s="33">
        <v>0.39250000000000002</v>
      </c>
      <c r="R280" s="33">
        <v>0.35770000000000002</v>
      </c>
      <c r="S280" s="33">
        <v>0.29880000000000001</v>
      </c>
      <c r="T280" s="33">
        <v>0.2525</v>
      </c>
      <c r="U280" s="33">
        <v>0.39</v>
      </c>
      <c r="V280" s="33">
        <v>0.39</v>
      </c>
      <c r="W280" s="33">
        <v>0.39</v>
      </c>
      <c r="X280" s="33">
        <v>0.39</v>
      </c>
      <c r="Y280" s="33">
        <v>0.39</v>
      </c>
      <c r="Z280" s="33">
        <v>0.39</v>
      </c>
      <c r="AA280" s="33">
        <v>0.39</v>
      </c>
      <c r="AB280" s="33">
        <v>0.39</v>
      </c>
      <c r="AC280" s="33">
        <v>0.39</v>
      </c>
      <c r="AD280" s="33">
        <v>0.39</v>
      </c>
      <c r="AE280" s="33">
        <v>0.39</v>
      </c>
      <c r="AF280" s="33">
        <v>0.39</v>
      </c>
      <c r="AG280" s="33">
        <v>0.39</v>
      </c>
      <c r="AH280" s="33">
        <v>0.39</v>
      </c>
      <c r="AI280" s="33">
        <v>0.39</v>
      </c>
      <c r="AJ280" s="33">
        <v>0.39</v>
      </c>
      <c r="AK280" s="33">
        <v>0.39</v>
      </c>
      <c r="AL280" s="33">
        <v>0.39</v>
      </c>
      <c r="AM280" s="33">
        <v>0.39</v>
      </c>
      <c r="AN280" s="33">
        <v>0.39</v>
      </c>
      <c r="AO280" s="33">
        <v>0.39</v>
      </c>
      <c r="AP280" s="33">
        <v>0.39</v>
      </c>
      <c r="AQ280" s="33">
        <v>0.39</v>
      </c>
      <c r="AR280" s="33">
        <v>0.39</v>
      </c>
      <c r="AS280" s="33">
        <v>0.39</v>
      </c>
      <c r="AT280" s="33">
        <v>0.39</v>
      </c>
      <c r="AU280" s="33">
        <v>0.39</v>
      </c>
      <c r="AV280" s="33">
        <v>0.39</v>
      </c>
      <c r="AW280" s="33">
        <v>0.39</v>
      </c>
      <c r="AX280" s="33">
        <v>0.39</v>
      </c>
      <c r="AY280" s="33">
        <v>0.39</v>
      </c>
      <c r="AZ280" s="33">
        <v>0.39</v>
      </c>
      <c r="BA280" s="33">
        <v>0.39</v>
      </c>
      <c r="BB280" s="33">
        <v>0.39</v>
      </c>
      <c r="BC280" s="33">
        <v>0.39</v>
      </c>
      <c r="BD280" s="33">
        <v>0.39</v>
      </c>
      <c r="BE280" s="33">
        <v>0.39</v>
      </c>
      <c r="BF280" s="33">
        <v>0.39</v>
      </c>
      <c r="BG280" s="33">
        <v>0.39</v>
      </c>
      <c r="BH280" s="33">
        <v>0.39</v>
      </c>
      <c r="BI280" s="33">
        <v>0.39</v>
      </c>
      <c r="BJ280" s="33">
        <v>0.39</v>
      </c>
      <c r="BK280" s="33">
        <v>0.39</v>
      </c>
      <c r="BL280" s="33">
        <v>0.39</v>
      </c>
      <c r="BM280" s="33">
        <v>0.39</v>
      </c>
      <c r="BN280" s="33">
        <v>0.39</v>
      </c>
      <c r="BO280" s="33">
        <v>0.39</v>
      </c>
      <c r="BP280" s="33">
        <v>0.39</v>
      </c>
      <c r="BQ280" s="33">
        <v>0.39</v>
      </c>
    </row>
    <row r="281" spans="1:69" s="34" customFormat="1" hidden="1" x14ac:dyDescent="0.25">
      <c r="A281" s="33">
        <v>27</v>
      </c>
      <c r="B281" s="33" t="s">
        <v>142</v>
      </c>
      <c r="C281" s="36" t="s">
        <v>143</v>
      </c>
      <c r="D281" s="33">
        <v>10</v>
      </c>
      <c r="E281" s="36" t="s">
        <v>499</v>
      </c>
      <c r="F281" s="33"/>
      <c r="G281" s="33" t="s">
        <v>501</v>
      </c>
      <c r="H281" s="33">
        <v>0</v>
      </c>
      <c r="I281" s="33">
        <v>0.95</v>
      </c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</row>
    <row r="282" spans="1:69" s="44" customFormat="1" hidden="1" x14ac:dyDescent="0.25">
      <c r="A282" s="43">
        <v>28</v>
      </c>
      <c r="B282" s="43" t="s">
        <v>144</v>
      </c>
      <c r="C282" s="20" t="s">
        <v>145</v>
      </c>
      <c r="D282" s="43">
        <v>1</v>
      </c>
      <c r="E282" s="20" t="s">
        <v>489</v>
      </c>
      <c r="F282" s="43"/>
      <c r="G282" s="43" t="s">
        <v>501</v>
      </c>
      <c r="H282" s="43">
        <v>0</v>
      </c>
      <c r="I282" s="43">
        <v>1770</v>
      </c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</row>
    <row r="283" spans="1:69" s="44" customFormat="1" hidden="1" x14ac:dyDescent="0.25">
      <c r="A283" s="43">
        <v>28</v>
      </c>
      <c r="B283" s="43" t="s">
        <v>144</v>
      </c>
      <c r="C283" s="20" t="s">
        <v>145</v>
      </c>
      <c r="D283" s="43">
        <v>2</v>
      </c>
      <c r="E283" s="20" t="s">
        <v>491</v>
      </c>
      <c r="F283" s="43" t="s">
        <v>502</v>
      </c>
      <c r="G283" s="43" t="s">
        <v>501</v>
      </c>
      <c r="H283" s="43">
        <v>0</v>
      </c>
      <c r="I283" s="43">
        <v>44.3</v>
      </c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</row>
    <row r="284" spans="1:69" s="44" customFormat="1" hidden="1" x14ac:dyDescent="0.25">
      <c r="A284" s="43">
        <v>28</v>
      </c>
      <c r="B284" s="43" t="s">
        <v>144</v>
      </c>
      <c r="C284" s="20" t="s">
        <v>145</v>
      </c>
      <c r="D284" s="43">
        <v>3</v>
      </c>
      <c r="E284" s="20" t="s">
        <v>492</v>
      </c>
      <c r="F284" s="43"/>
      <c r="G284" s="43" t="s">
        <v>501</v>
      </c>
      <c r="H284" s="43">
        <v>0</v>
      </c>
      <c r="I284" s="45">
        <v>12.61</v>
      </c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</row>
    <row r="285" spans="1:69" s="44" customFormat="1" hidden="1" x14ac:dyDescent="0.25">
      <c r="A285" s="43">
        <v>28</v>
      </c>
      <c r="B285" s="43" t="s">
        <v>144</v>
      </c>
      <c r="C285" s="20" t="s">
        <v>145</v>
      </c>
      <c r="D285" s="43">
        <v>4</v>
      </c>
      <c r="E285" s="20" t="s">
        <v>493</v>
      </c>
      <c r="F285" s="43"/>
      <c r="G285" s="43" t="s">
        <v>490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  <c r="V285" s="43">
        <v>0</v>
      </c>
      <c r="W285" s="43">
        <v>0</v>
      </c>
      <c r="X285" s="43">
        <v>0</v>
      </c>
      <c r="Y285" s="43">
        <v>0</v>
      </c>
      <c r="Z285" s="43">
        <v>0</v>
      </c>
      <c r="AA285" s="43">
        <v>0</v>
      </c>
      <c r="AB285" s="43">
        <v>0</v>
      </c>
      <c r="AC285" s="43">
        <v>0</v>
      </c>
      <c r="AD285" s="43">
        <v>0</v>
      </c>
      <c r="AE285" s="43">
        <v>0</v>
      </c>
      <c r="AF285" s="43">
        <v>0</v>
      </c>
      <c r="AG285" s="43">
        <v>0</v>
      </c>
      <c r="AH285" s="43">
        <v>0</v>
      </c>
      <c r="AI285" s="43">
        <v>0</v>
      </c>
      <c r="AJ285" s="43">
        <v>0</v>
      </c>
      <c r="AK285" s="43">
        <v>0</v>
      </c>
      <c r="AL285" s="43">
        <v>0</v>
      </c>
      <c r="AM285" s="43">
        <v>0</v>
      </c>
      <c r="AN285" s="43">
        <v>0</v>
      </c>
      <c r="AO285" s="43">
        <v>0</v>
      </c>
      <c r="AP285" s="43">
        <v>0</v>
      </c>
      <c r="AQ285" s="43">
        <v>0</v>
      </c>
      <c r="AR285" s="43">
        <v>0</v>
      </c>
      <c r="AS285" s="43">
        <v>0</v>
      </c>
      <c r="AT285" s="43">
        <v>0</v>
      </c>
      <c r="AU285" s="43">
        <v>0</v>
      </c>
      <c r="AV285" s="43">
        <v>0</v>
      </c>
      <c r="AW285" s="43">
        <v>0</v>
      </c>
      <c r="AX285" s="43">
        <v>0</v>
      </c>
      <c r="AY285" s="43">
        <v>0</v>
      </c>
      <c r="AZ285" s="43">
        <v>0</v>
      </c>
      <c r="BA285" s="43">
        <v>0</v>
      </c>
      <c r="BB285" s="43">
        <v>0</v>
      </c>
      <c r="BC285" s="43">
        <v>0</v>
      </c>
      <c r="BD285" s="43">
        <v>0</v>
      </c>
      <c r="BE285" s="43">
        <v>0</v>
      </c>
      <c r="BF285" s="43">
        <v>0</v>
      </c>
      <c r="BG285" s="43">
        <v>0</v>
      </c>
      <c r="BH285" s="43">
        <v>0</v>
      </c>
      <c r="BI285" s="43">
        <v>0</v>
      </c>
      <c r="BJ285" s="43">
        <v>0</v>
      </c>
      <c r="BK285" s="43">
        <v>0</v>
      </c>
      <c r="BL285" s="43">
        <v>0</v>
      </c>
      <c r="BM285" s="43">
        <v>0</v>
      </c>
      <c r="BN285" s="43">
        <v>0</v>
      </c>
      <c r="BO285" s="43">
        <v>0</v>
      </c>
      <c r="BP285" s="43">
        <v>0</v>
      </c>
      <c r="BQ285" s="43">
        <v>0</v>
      </c>
    </row>
    <row r="286" spans="1:69" s="44" customFormat="1" hidden="1" x14ac:dyDescent="0.25">
      <c r="A286" s="43">
        <v>28</v>
      </c>
      <c r="B286" s="43" t="s">
        <v>144</v>
      </c>
      <c r="C286" s="20" t="s">
        <v>145</v>
      </c>
      <c r="D286" s="43">
        <v>5</v>
      </c>
      <c r="E286" s="20" t="s">
        <v>494</v>
      </c>
      <c r="F286" s="43"/>
      <c r="G286" s="43" t="s">
        <v>500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  <c r="V286" s="43">
        <v>0</v>
      </c>
      <c r="W286" s="43">
        <v>0</v>
      </c>
      <c r="X286" s="43">
        <v>0</v>
      </c>
      <c r="Y286" s="43">
        <v>0</v>
      </c>
      <c r="Z286" s="43">
        <v>0</v>
      </c>
      <c r="AA286" s="43">
        <v>0</v>
      </c>
      <c r="AB286" s="43">
        <v>0</v>
      </c>
      <c r="AC286" s="43">
        <v>0</v>
      </c>
      <c r="AD286" s="43">
        <v>0</v>
      </c>
      <c r="AE286" s="43">
        <v>0</v>
      </c>
      <c r="AF286" s="43">
        <v>0</v>
      </c>
      <c r="AG286" s="43">
        <v>0</v>
      </c>
      <c r="AH286" s="43">
        <v>0</v>
      </c>
      <c r="AI286" s="43">
        <v>0</v>
      </c>
      <c r="AJ286" s="43">
        <v>0</v>
      </c>
      <c r="AK286" s="43">
        <v>0</v>
      </c>
      <c r="AL286" s="43">
        <v>0</v>
      </c>
      <c r="AM286" s="43">
        <v>0</v>
      </c>
      <c r="AN286" s="43">
        <v>0</v>
      </c>
      <c r="AO286" s="43">
        <v>0</v>
      </c>
      <c r="AP286" s="43">
        <v>0</v>
      </c>
      <c r="AQ286" s="43">
        <v>0</v>
      </c>
      <c r="AR286" s="43">
        <v>0</v>
      </c>
      <c r="AS286" s="43">
        <v>0</v>
      </c>
      <c r="AT286" s="43">
        <v>0</v>
      </c>
      <c r="AU286" s="43">
        <v>0</v>
      </c>
      <c r="AV286" s="43">
        <v>0</v>
      </c>
      <c r="AW286" s="43">
        <v>0</v>
      </c>
      <c r="AX286" s="43">
        <v>0</v>
      </c>
      <c r="AY286" s="43">
        <v>0</v>
      </c>
      <c r="AZ286" s="43">
        <v>0</v>
      </c>
      <c r="BA286" s="43">
        <v>0</v>
      </c>
      <c r="BB286" s="43">
        <v>0</v>
      </c>
      <c r="BC286" s="43">
        <v>0</v>
      </c>
      <c r="BD286" s="43">
        <v>0</v>
      </c>
      <c r="BE286" s="43">
        <v>0</v>
      </c>
      <c r="BF286" s="43">
        <v>0</v>
      </c>
      <c r="BG286" s="43">
        <v>0</v>
      </c>
      <c r="BH286" s="43">
        <v>0</v>
      </c>
      <c r="BI286" s="43">
        <v>0</v>
      </c>
      <c r="BJ286" s="43">
        <v>0</v>
      </c>
      <c r="BK286" s="43">
        <v>0</v>
      </c>
      <c r="BL286" s="43">
        <v>0</v>
      </c>
      <c r="BM286" s="43">
        <v>0</v>
      </c>
      <c r="BN286" s="43">
        <v>0</v>
      </c>
      <c r="BO286" s="43">
        <v>0</v>
      </c>
      <c r="BP286" s="43">
        <v>0</v>
      </c>
      <c r="BQ286" s="43">
        <v>0</v>
      </c>
    </row>
    <row r="287" spans="1:69" s="44" customFormat="1" hidden="1" x14ac:dyDescent="0.25">
      <c r="A287" s="43">
        <v>28</v>
      </c>
      <c r="B287" s="43" t="s">
        <v>144</v>
      </c>
      <c r="C287" s="20" t="s">
        <v>145</v>
      </c>
      <c r="D287" s="43">
        <v>6</v>
      </c>
      <c r="E287" s="20" t="s">
        <v>495</v>
      </c>
      <c r="F287" s="43"/>
      <c r="G287" s="43" t="s">
        <v>490</v>
      </c>
      <c r="H287" s="43">
        <v>0</v>
      </c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</row>
    <row r="288" spans="1:69" s="44" customFormat="1" hidden="1" x14ac:dyDescent="0.25">
      <c r="A288" s="43">
        <v>28</v>
      </c>
      <c r="B288" s="43" t="s">
        <v>144</v>
      </c>
      <c r="C288" s="20" t="s">
        <v>145</v>
      </c>
      <c r="D288" s="43">
        <v>7</v>
      </c>
      <c r="E288" s="20" t="s">
        <v>496</v>
      </c>
      <c r="F288" s="43"/>
      <c r="G288" s="43" t="s">
        <v>490</v>
      </c>
      <c r="H288" s="43">
        <v>0</v>
      </c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</row>
    <row r="289" spans="1:69" s="44" customFormat="1" hidden="1" x14ac:dyDescent="0.25">
      <c r="A289" s="43">
        <v>28</v>
      </c>
      <c r="B289" s="43" t="s">
        <v>144</v>
      </c>
      <c r="C289" s="20" t="s">
        <v>145</v>
      </c>
      <c r="D289" s="43">
        <v>8</v>
      </c>
      <c r="E289" s="20" t="s">
        <v>497</v>
      </c>
      <c r="F289" s="43"/>
      <c r="G289" s="43" t="s">
        <v>490</v>
      </c>
      <c r="H289" s="43">
        <v>0</v>
      </c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</row>
    <row r="290" spans="1:69" s="44" customFormat="1" hidden="1" x14ac:dyDescent="0.25">
      <c r="A290" s="43">
        <v>28</v>
      </c>
      <c r="B290" s="43" t="s">
        <v>144</v>
      </c>
      <c r="C290" s="20" t="s">
        <v>145</v>
      </c>
      <c r="D290" s="43">
        <v>9</v>
      </c>
      <c r="E290" s="20" t="s">
        <v>498</v>
      </c>
      <c r="F290" s="43"/>
      <c r="G290" s="43" t="s">
        <v>500</v>
      </c>
      <c r="H290" s="43">
        <v>0</v>
      </c>
      <c r="I290" s="43">
        <v>0.30530000000000002</v>
      </c>
      <c r="J290" s="43">
        <v>0.25729999999999997</v>
      </c>
      <c r="K290" s="43">
        <v>0.26769999999999999</v>
      </c>
      <c r="L290" s="43">
        <v>0.30590000000000001</v>
      </c>
      <c r="M290" s="43">
        <v>0.30080000000000001</v>
      </c>
      <c r="N290" s="43">
        <v>0.28960000000000002</v>
      </c>
      <c r="O290" s="43">
        <v>0.2429</v>
      </c>
      <c r="P290" s="43">
        <v>0.1772</v>
      </c>
      <c r="Q290" s="43">
        <v>0.27260000000000001</v>
      </c>
      <c r="R290" s="43">
        <v>0.1845</v>
      </c>
      <c r="S290" s="43">
        <v>0.15049999999999999</v>
      </c>
      <c r="T290" s="43">
        <v>0.15049999999999999</v>
      </c>
      <c r="U290" s="43">
        <v>0.15049999999999999</v>
      </c>
      <c r="V290" s="43">
        <v>0.15049999999999999</v>
      </c>
      <c r="W290" s="43">
        <v>0.15049999999999999</v>
      </c>
      <c r="X290" s="43">
        <v>0.15049999999999999</v>
      </c>
      <c r="Y290" s="43">
        <v>0.15049999999999999</v>
      </c>
      <c r="Z290" s="43">
        <v>0.15049999999999999</v>
      </c>
      <c r="AA290" s="43">
        <v>0.15049999999999999</v>
      </c>
      <c r="AB290" s="43">
        <v>0.15049999999999999</v>
      </c>
      <c r="AC290" s="43">
        <v>0.15049999999999999</v>
      </c>
      <c r="AD290" s="43">
        <v>0.15049999999999999</v>
      </c>
      <c r="AE290" s="43">
        <v>0.15049999999999999</v>
      </c>
      <c r="AF290" s="43">
        <v>0.15049999999999999</v>
      </c>
      <c r="AG290" s="43">
        <v>0.15049999999999999</v>
      </c>
      <c r="AH290" s="43">
        <v>0.15049999999999999</v>
      </c>
      <c r="AI290" s="43">
        <v>0.15049999999999999</v>
      </c>
      <c r="AJ290" s="43">
        <v>0.15049999999999999</v>
      </c>
      <c r="AK290" s="43">
        <v>0.15049999999999999</v>
      </c>
      <c r="AL290" s="43">
        <v>0.15049999999999999</v>
      </c>
      <c r="AM290" s="43">
        <v>0.15049999999999999</v>
      </c>
      <c r="AN290" s="43">
        <v>0.15049999999999999</v>
      </c>
      <c r="AO290" s="43">
        <v>0.15049999999999999</v>
      </c>
      <c r="AP290" s="43">
        <v>0.15049999999999999</v>
      </c>
      <c r="AQ290" s="43">
        <v>0.15049999999999999</v>
      </c>
      <c r="AR290" s="43">
        <v>0.15049999999999999</v>
      </c>
      <c r="AS290" s="43">
        <v>0.15049999999999999</v>
      </c>
      <c r="AT290" s="43">
        <v>0.15049999999999999</v>
      </c>
      <c r="AU290" s="43">
        <v>0.15049999999999999</v>
      </c>
      <c r="AV290" s="43">
        <v>0.15049999999999999</v>
      </c>
      <c r="AW290" s="43">
        <v>0.15049999999999999</v>
      </c>
      <c r="AX290" s="43">
        <v>0.15049999999999999</v>
      </c>
      <c r="AY290" s="43">
        <v>0.15049999999999999</v>
      </c>
      <c r="AZ290" s="43">
        <v>0.15049999999999999</v>
      </c>
      <c r="BA290" s="43">
        <v>0.15049999999999999</v>
      </c>
      <c r="BB290" s="43">
        <v>0.15049999999999999</v>
      </c>
      <c r="BC290" s="43">
        <v>0.15049999999999999</v>
      </c>
      <c r="BD290" s="43">
        <v>0.15049999999999999</v>
      </c>
      <c r="BE290" s="43">
        <v>0.15049999999999999</v>
      </c>
      <c r="BF290" s="43">
        <v>0.15049999999999999</v>
      </c>
      <c r="BG290" s="43">
        <v>0.15049999999999999</v>
      </c>
      <c r="BH290" s="43">
        <v>0.15049999999999999</v>
      </c>
      <c r="BI290" s="43">
        <v>0.15049999999999999</v>
      </c>
      <c r="BJ290" s="43">
        <v>0.15049999999999999</v>
      </c>
      <c r="BK290" s="43">
        <v>0.15049999999999999</v>
      </c>
      <c r="BL290" s="43">
        <v>0.15049999999999999</v>
      </c>
      <c r="BM290" s="43">
        <v>0.15049999999999999</v>
      </c>
      <c r="BN290" s="43">
        <v>0.15049999999999999</v>
      </c>
      <c r="BO290" s="43">
        <v>0.15049999999999999</v>
      </c>
      <c r="BP290" s="43">
        <v>0.15049999999999999</v>
      </c>
      <c r="BQ290" s="43">
        <v>0.15049999999999999</v>
      </c>
    </row>
    <row r="291" spans="1:69" s="44" customFormat="1" hidden="1" x14ac:dyDescent="0.25">
      <c r="A291" s="43">
        <v>28</v>
      </c>
      <c r="B291" s="43" t="s">
        <v>144</v>
      </c>
      <c r="C291" s="20" t="s">
        <v>145</v>
      </c>
      <c r="D291" s="43">
        <v>10</v>
      </c>
      <c r="E291" s="20" t="s">
        <v>499</v>
      </c>
      <c r="F291" s="43"/>
      <c r="G291" s="43" t="s">
        <v>501</v>
      </c>
      <c r="H291" s="43">
        <v>0</v>
      </c>
      <c r="I291" s="43">
        <v>0.95</v>
      </c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</row>
    <row r="292" spans="1:69" s="34" customFormat="1" hidden="1" x14ac:dyDescent="0.25">
      <c r="A292" s="33">
        <v>29</v>
      </c>
      <c r="B292" s="33" t="s">
        <v>146</v>
      </c>
      <c r="C292" s="36" t="s">
        <v>147</v>
      </c>
      <c r="D292" s="33">
        <v>1</v>
      </c>
      <c r="E292" s="36" t="s">
        <v>489</v>
      </c>
      <c r="F292" s="33"/>
      <c r="G292" s="33" t="s">
        <v>501</v>
      </c>
      <c r="H292" s="33">
        <v>0</v>
      </c>
      <c r="I292" s="33">
        <v>2712</v>
      </c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</row>
    <row r="293" spans="1:69" s="34" customFormat="1" hidden="1" x14ac:dyDescent="0.25">
      <c r="A293" s="33">
        <v>29</v>
      </c>
      <c r="B293" s="33" t="s">
        <v>146</v>
      </c>
      <c r="C293" s="36" t="s">
        <v>147</v>
      </c>
      <c r="D293" s="33">
        <v>2</v>
      </c>
      <c r="E293" s="36" t="s">
        <v>491</v>
      </c>
      <c r="F293" s="33"/>
      <c r="G293" s="33" t="s">
        <v>501</v>
      </c>
      <c r="H293" s="33">
        <v>0</v>
      </c>
      <c r="I293" s="33">
        <v>95</v>
      </c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</row>
    <row r="294" spans="1:69" s="34" customFormat="1" hidden="1" x14ac:dyDescent="0.25">
      <c r="A294" s="33">
        <v>29</v>
      </c>
      <c r="B294" s="33" t="s">
        <v>146</v>
      </c>
      <c r="C294" s="36" t="s">
        <v>147</v>
      </c>
      <c r="D294" s="33">
        <v>3</v>
      </c>
      <c r="E294" s="36" t="s">
        <v>492</v>
      </c>
      <c r="F294" s="33"/>
      <c r="G294" s="33" t="s">
        <v>490</v>
      </c>
      <c r="H294" s="33">
        <v>0</v>
      </c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</row>
    <row r="295" spans="1:69" s="34" customFormat="1" hidden="1" x14ac:dyDescent="0.25">
      <c r="A295" s="33">
        <v>29</v>
      </c>
      <c r="B295" s="33" t="s">
        <v>146</v>
      </c>
      <c r="C295" s="36" t="s">
        <v>147</v>
      </c>
      <c r="D295" s="33">
        <v>4</v>
      </c>
      <c r="E295" s="36" t="s">
        <v>493</v>
      </c>
      <c r="F295" s="33"/>
      <c r="G295" s="33" t="s">
        <v>500</v>
      </c>
      <c r="H295" s="33">
        <v>0</v>
      </c>
      <c r="I295" s="33">
        <v>7.1151026400000011E-2</v>
      </c>
      <c r="J295" s="33">
        <v>7.2464423040000003E-2</v>
      </c>
      <c r="K295" s="33">
        <v>7.8674574240000003E-2</v>
      </c>
      <c r="L295" s="33">
        <v>7.922256624E-2</v>
      </c>
      <c r="M295" s="33">
        <v>8.3895791039999987E-2</v>
      </c>
      <c r="N295" s="33">
        <v>8.6821813440000006E-2</v>
      </c>
      <c r="O295" s="33">
        <v>9.1403536320000006E-2</v>
      </c>
      <c r="P295" s="33">
        <v>8.5014969119999992E-2</v>
      </c>
      <c r="Q295" s="33">
        <v>8.6599999999999996E-2</v>
      </c>
      <c r="R295" s="33">
        <v>8.6599999999999996E-2</v>
      </c>
      <c r="S295" s="33">
        <v>8.6599999999999996E-2</v>
      </c>
      <c r="T295" s="33">
        <v>8.6599999999999996E-2</v>
      </c>
      <c r="U295" s="33">
        <v>8.6599999999999996E-2</v>
      </c>
      <c r="V295" s="33">
        <v>8.6599999999999996E-2</v>
      </c>
      <c r="W295" s="33">
        <v>8.6599999999999996E-2</v>
      </c>
      <c r="X295" s="33">
        <v>8.6599999999999996E-2</v>
      </c>
      <c r="Y295" s="33">
        <v>8.6599999999999996E-2</v>
      </c>
      <c r="Z295" s="33">
        <v>8.6599999999999996E-2</v>
      </c>
      <c r="AA295" s="33">
        <v>8.6599999999999996E-2</v>
      </c>
      <c r="AB295" s="33">
        <v>8.6599999999999996E-2</v>
      </c>
      <c r="AC295" s="33">
        <v>8.6599999999999996E-2</v>
      </c>
      <c r="AD295" s="33">
        <v>8.6599999999999996E-2</v>
      </c>
      <c r="AE295" s="33">
        <v>8.6599999999999996E-2</v>
      </c>
      <c r="AF295" s="33">
        <v>8.6599999999999996E-2</v>
      </c>
      <c r="AG295" s="33">
        <v>8.6599999999999996E-2</v>
      </c>
      <c r="AH295" s="33">
        <v>8.6599999999999996E-2</v>
      </c>
      <c r="AI295" s="33">
        <v>8.6599999999999996E-2</v>
      </c>
      <c r="AJ295" s="33">
        <v>8.6599999999999996E-2</v>
      </c>
      <c r="AK295" s="33">
        <v>8.6599999999999996E-2</v>
      </c>
      <c r="AL295" s="33">
        <v>8.6599999999999996E-2</v>
      </c>
      <c r="AM295" s="33">
        <v>8.6599999999999996E-2</v>
      </c>
      <c r="AN295" s="33">
        <v>8.6599999999999996E-2</v>
      </c>
      <c r="AO295" s="33">
        <v>8.6599999999999996E-2</v>
      </c>
      <c r="AP295" s="33">
        <v>8.6599999999999996E-2</v>
      </c>
      <c r="AQ295" s="33">
        <v>8.6599999999999996E-2</v>
      </c>
      <c r="AR295" s="33">
        <v>8.6599999999999996E-2</v>
      </c>
      <c r="AS295" s="33">
        <v>8.6599999999999996E-2</v>
      </c>
      <c r="AT295" s="33">
        <v>8.6599999999999996E-2</v>
      </c>
      <c r="AU295" s="33">
        <v>8.6599999999999996E-2</v>
      </c>
      <c r="AV295" s="33">
        <v>8.6599999999999996E-2</v>
      </c>
      <c r="AW295" s="33">
        <v>8.6599999999999996E-2</v>
      </c>
      <c r="AX295" s="33">
        <v>8.6599999999999996E-2</v>
      </c>
      <c r="AY295" s="33">
        <v>8.6599999999999996E-2</v>
      </c>
      <c r="AZ295" s="33">
        <v>8.6599999999999996E-2</v>
      </c>
      <c r="BA295" s="33">
        <v>8.6599999999999996E-2</v>
      </c>
      <c r="BB295" s="33">
        <v>8.6599999999999996E-2</v>
      </c>
      <c r="BC295" s="33">
        <v>8.6599999999999996E-2</v>
      </c>
      <c r="BD295" s="33">
        <v>8.6599999999999996E-2</v>
      </c>
      <c r="BE295" s="33">
        <v>8.6599999999999996E-2</v>
      </c>
      <c r="BF295" s="33">
        <v>8.6599999999999996E-2</v>
      </c>
      <c r="BG295" s="33">
        <v>8.6599999999999996E-2</v>
      </c>
      <c r="BH295" s="33">
        <v>8.6599999999999996E-2</v>
      </c>
      <c r="BI295" s="33">
        <v>8.6599999999999996E-2</v>
      </c>
      <c r="BJ295" s="33">
        <v>8.6599999999999996E-2</v>
      </c>
      <c r="BK295" s="33">
        <v>8.6599999999999996E-2</v>
      </c>
      <c r="BL295" s="33">
        <v>8.6599999999999996E-2</v>
      </c>
      <c r="BM295" s="33">
        <v>8.6599999999999996E-2</v>
      </c>
      <c r="BN295" s="33">
        <v>8.6599999999999996E-2</v>
      </c>
      <c r="BO295" s="33">
        <v>8.6599999999999996E-2</v>
      </c>
      <c r="BP295" s="33">
        <v>8.6599999999999996E-2</v>
      </c>
      <c r="BQ295" s="33">
        <v>8.6599999999999996E-2</v>
      </c>
    </row>
    <row r="296" spans="1:69" s="34" customFormat="1" hidden="1" x14ac:dyDescent="0.25">
      <c r="A296" s="33">
        <v>29</v>
      </c>
      <c r="B296" s="33" t="s">
        <v>146</v>
      </c>
      <c r="C296" s="36" t="s">
        <v>147</v>
      </c>
      <c r="D296" s="33">
        <v>5</v>
      </c>
      <c r="E296" s="36" t="s">
        <v>494</v>
      </c>
      <c r="F296" s="33" t="s">
        <v>571</v>
      </c>
      <c r="G296" s="33" t="s">
        <v>500</v>
      </c>
      <c r="H296" s="33">
        <v>0</v>
      </c>
      <c r="I296" s="33">
        <v>7.1151026400000011E-2</v>
      </c>
      <c r="J296" s="33">
        <v>7.2464423040000003E-2</v>
      </c>
      <c r="K296" s="33">
        <v>7.8674574240000003E-2</v>
      </c>
      <c r="L296" s="33">
        <v>7.922256624E-2</v>
      </c>
      <c r="M296" s="33">
        <v>8.3895791039999987E-2</v>
      </c>
      <c r="N296" s="33">
        <v>8.6821813440000006E-2</v>
      </c>
      <c r="O296" s="33">
        <v>9.1403536320000006E-2</v>
      </c>
      <c r="P296" s="33">
        <v>8.5014969119999992E-2</v>
      </c>
      <c r="Q296" s="33">
        <v>8.6599999999999996E-2</v>
      </c>
      <c r="R296" s="33">
        <v>8.6599999999999996E-2</v>
      </c>
      <c r="S296" s="33">
        <v>8.6599999999999996E-2</v>
      </c>
      <c r="T296" s="33">
        <v>8.6599999999999996E-2</v>
      </c>
      <c r="U296" s="33">
        <v>8.6599999999999996E-2</v>
      </c>
      <c r="V296" s="33">
        <v>8.8521428571428196E-2</v>
      </c>
      <c r="W296" s="33">
        <v>9.1042857142856981E-2</v>
      </c>
      <c r="X296" s="33">
        <v>9.3564285714285766E-2</v>
      </c>
      <c r="Y296" s="33">
        <v>9.6085714285713664E-2</v>
      </c>
      <c r="Z296" s="33">
        <v>9.8607142857142449E-2</v>
      </c>
      <c r="AA296" s="33">
        <v>0.10112857142857123</v>
      </c>
      <c r="AB296" s="33">
        <v>0.10365000000000002</v>
      </c>
      <c r="AC296" s="33">
        <v>0.10617142857142792</v>
      </c>
      <c r="AD296" s="33">
        <v>0.1086928571428567</v>
      </c>
      <c r="AE296" s="33">
        <v>0.11121428571428549</v>
      </c>
      <c r="AF296" s="33">
        <v>0.11373571428571427</v>
      </c>
      <c r="AG296" s="33">
        <v>0.11625714285714217</v>
      </c>
      <c r="AH296" s="33">
        <v>0.11877857142857096</v>
      </c>
      <c r="AI296" s="33">
        <v>0.12129999999999974</v>
      </c>
      <c r="AJ296" s="33">
        <v>0.12382142857142853</v>
      </c>
      <c r="AK296" s="33">
        <v>0.12634285714285642</v>
      </c>
      <c r="AL296" s="33">
        <v>0.12886428571428521</v>
      </c>
      <c r="AM296" s="33">
        <v>0.13138571428571399</v>
      </c>
      <c r="AN296" s="33">
        <v>0.13390714285714278</v>
      </c>
      <c r="AO296" s="33">
        <v>0.13642857142857068</v>
      </c>
      <c r="AP296" s="33">
        <v>0.13894999999999946</v>
      </c>
      <c r="AQ296" s="33">
        <v>0.14147142857142825</v>
      </c>
      <c r="AR296" s="33">
        <v>0.14399285714285703</v>
      </c>
      <c r="AS296" s="33">
        <v>0.14651428571428493</v>
      </c>
      <c r="AT296" s="33">
        <v>0.14903571428571372</v>
      </c>
      <c r="AU296" s="33">
        <v>0.1515571428571425</v>
      </c>
      <c r="AV296" s="33">
        <v>0.15407857142857129</v>
      </c>
      <c r="AW296" s="33">
        <v>0.15660000000000007</v>
      </c>
      <c r="AX296" s="33">
        <v>0.15659999999999999</v>
      </c>
      <c r="AY296" s="33">
        <v>0.15659999999999999</v>
      </c>
      <c r="AZ296" s="33">
        <v>0.15659999999999999</v>
      </c>
      <c r="BA296" s="33">
        <v>0.15659999999999999</v>
      </c>
      <c r="BB296" s="33">
        <v>0.15659999999999999</v>
      </c>
      <c r="BC296" s="33">
        <v>0.15659999999999999</v>
      </c>
      <c r="BD296" s="33">
        <v>0.15659999999999999</v>
      </c>
      <c r="BE296" s="33">
        <v>0.15659999999999999</v>
      </c>
      <c r="BF296" s="33">
        <v>0.15659999999999999</v>
      </c>
      <c r="BG296" s="33">
        <v>0.15659999999999999</v>
      </c>
      <c r="BH296" s="33">
        <v>0.15659999999999999</v>
      </c>
      <c r="BI296" s="33">
        <v>0.15659999999999999</v>
      </c>
      <c r="BJ296" s="33">
        <v>0.15659999999999999</v>
      </c>
      <c r="BK296" s="33">
        <v>0.15659999999999999</v>
      </c>
      <c r="BL296" s="33">
        <v>0.15659999999999999</v>
      </c>
      <c r="BM296" s="33">
        <v>0.15659999999999999</v>
      </c>
      <c r="BN296" s="33">
        <v>0.15659999999999999</v>
      </c>
      <c r="BO296" s="33">
        <v>0.15659999999999999</v>
      </c>
      <c r="BP296" s="33">
        <v>0.15659999999999999</v>
      </c>
      <c r="BQ296" s="33">
        <v>0.15659999999999999</v>
      </c>
    </row>
    <row r="297" spans="1:69" s="34" customFormat="1" hidden="1" x14ac:dyDescent="0.25">
      <c r="A297" s="33">
        <v>29</v>
      </c>
      <c r="B297" s="33" t="s">
        <v>146</v>
      </c>
      <c r="C297" s="36" t="s">
        <v>147</v>
      </c>
      <c r="D297" s="33">
        <v>6</v>
      </c>
      <c r="E297" s="36" t="s">
        <v>495</v>
      </c>
      <c r="F297" s="33"/>
      <c r="G297" s="33" t="s">
        <v>490</v>
      </c>
      <c r="H297" s="33">
        <v>0</v>
      </c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</row>
    <row r="298" spans="1:69" s="34" customFormat="1" hidden="1" x14ac:dyDescent="0.25">
      <c r="A298" s="33">
        <v>29</v>
      </c>
      <c r="B298" s="33" t="s">
        <v>146</v>
      </c>
      <c r="C298" s="36" t="s">
        <v>147</v>
      </c>
      <c r="D298" s="33">
        <v>7</v>
      </c>
      <c r="E298" s="36" t="s">
        <v>496</v>
      </c>
      <c r="F298" s="33"/>
      <c r="G298" s="33" t="s">
        <v>500</v>
      </c>
      <c r="H298" s="33">
        <v>0</v>
      </c>
      <c r="I298" s="55">
        <v>0.95447019922536425</v>
      </c>
      <c r="J298" s="33">
        <v>0.81938672641793797</v>
      </c>
      <c r="K298" s="33">
        <v>0.92547886253646161</v>
      </c>
      <c r="L298" s="33">
        <v>1.0649604019004091</v>
      </c>
      <c r="M298" s="33">
        <v>1.1088513110052804</v>
      </c>
      <c r="N298" s="33">
        <v>1.1049917832107825</v>
      </c>
      <c r="O298" s="33">
        <v>0.97547321094426009</v>
      </c>
      <c r="P298" s="33">
        <v>0.66195389498655866</v>
      </c>
      <c r="Q298" s="33">
        <v>0.84199999999999997</v>
      </c>
      <c r="R298" s="33">
        <v>0.56789999999999996</v>
      </c>
      <c r="S298" s="33">
        <v>0.55249999999999999</v>
      </c>
      <c r="T298" s="33">
        <v>0.68320000000000003</v>
      </c>
      <c r="U298" s="33">
        <v>0.66220000000000001</v>
      </c>
      <c r="V298" s="33">
        <v>0.68300000000000005</v>
      </c>
      <c r="W298" s="33">
        <v>0.68799999999999994</v>
      </c>
      <c r="X298" s="33">
        <v>0.70689999999999997</v>
      </c>
      <c r="Y298" s="33">
        <v>0.72550000000000003</v>
      </c>
      <c r="Z298" s="33">
        <v>0.74819999999999998</v>
      </c>
      <c r="AA298" s="33">
        <v>0.74780000000000002</v>
      </c>
      <c r="AB298" s="33">
        <v>0.7641</v>
      </c>
      <c r="AC298" s="33">
        <v>0.78510000000000002</v>
      </c>
      <c r="AD298" s="33">
        <v>0.79920000000000002</v>
      </c>
      <c r="AE298" s="33">
        <v>0.82169999999999999</v>
      </c>
      <c r="AF298" s="33">
        <v>0.84530000000000005</v>
      </c>
      <c r="AG298" s="33">
        <v>0.86770000000000003</v>
      </c>
      <c r="AH298" s="33">
        <v>0.88800000000000001</v>
      </c>
      <c r="AI298" s="33">
        <v>0.91259999999999997</v>
      </c>
      <c r="AJ298" s="33">
        <v>0.93289999999999995</v>
      </c>
      <c r="AK298" s="33">
        <v>0.95609999999999995</v>
      </c>
      <c r="AL298" s="33">
        <v>0.97940000000000005</v>
      </c>
      <c r="AM298" s="33">
        <v>1.0025999999999999</v>
      </c>
      <c r="AN298" s="33">
        <v>1.0244</v>
      </c>
      <c r="AO298" s="33">
        <v>1.0476000000000001</v>
      </c>
      <c r="AP298" s="33">
        <v>1.0649</v>
      </c>
      <c r="AQ298" s="33">
        <v>1.0882000000000001</v>
      </c>
      <c r="AR298" s="33">
        <v>1.1071</v>
      </c>
      <c r="AS298" s="33">
        <v>1.1316999999999999</v>
      </c>
      <c r="AT298" s="33">
        <v>1.151</v>
      </c>
      <c r="AU298" s="33">
        <v>1.1708000000000001</v>
      </c>
      <c r="AV298" s="33">
        <v>1.1903999999999999</v>
      </c>
      <c r="AW298" s="33">
        <v>1.2107000000000001</v>
      </c>
      <c r="AX298" s="33">
        <v>1.2526999999999999</v>
      </c>
      <c r="AY298" s="33">
        <v>1.2745</v>
      </c>
      <c r="AZ298" s="33">
        <v>1.2965</v>
      </c>
      <c r="BA298" s="33">
        <v>1.3184</v>
      </c>
      <c r="BB298" s="33">
        <v>1.341</v>
      </c>
      <c r="BC298" s="33">
        <v>1.3633999999999999</v>
      </c>
      <c r="BD298" s="33">
        <v>1.3858999999999999</v>
      </c>
      <c r="BE298" s="33">
        <v>1.4083000000000001</v>
      </c>
      <c r="BF298" s="33">
        <v>1.4309000000000001</v>
      </c>
      <c r="BG298" s="33">
        <v>1.4538</v>
      </c>
      <c r="BH298" s="33">
        <v>1.4770000000000001</v>
      </c>
      <c r="BI298" s="33">
        <v>1.5004</v>
      </c>
      <c r="BJ298" s="33">
        <v>1.5238</v>
      </c>
      <c r="BK298" s="33">
        <v>1.5475000000000001</v>
      </c>
      <c r="BL298" s="33">
        <v>1.5713999999999999</v>
      </c>
      <c r="BM298" s="33">
        <v>1.5952999999999999</v>
      </c>
      <c r="BN298" s="33">
        <v>1.6194</v>
      </c>
      <c r="BO298" s="33">
        <v>1.6436999999999999</v>
      </c>
      <c r="BP298" s="33">
        <v>1.6681999999999999</v>
      </c>
      <c r="BQ298" s="33">
        <v>1.6929000000000001</v>
      </c>
    </row>
    <row r="299" spans="1:69" s="34" customFormat="1" hidden="1" x14ac:dyDescent="0.25">
      <c r="A299" s="33">
        <v>29</v>
      </c>
      <c r="B299" s="33" t="s">
        <v>146</v>
      </c>
      <c r="C299" s="36" t="s">
        <v>147</v>
      </c>
      <c r="D299" s="33">
        <v>8</v>
      </c>
      <c r="E299" s="36" t="s">
        <v>497</v>
      </c>
      <c r="F299" s="33"/>
      <c r="G299" s="33" t="s">
        <v>490</v>
      </c>
      <c r="H299" s="33">
        <v>0</v>
      </c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</row>
    <row r="300" spans="1:69" s="34" customFormat="1" hidden="1" x14ac:dyDescent="0.25">
      <c r="A300" s="33">
        <v>29</v>
      </c>
      <c r="B300" s="33" t="s">
        <v>146</v>
      </c>
      <c r="C300" s="36" t="s">
        <v>147</v>
      </c>
      <c r="D300" s="33">
        <v>9</v>
      </c>
      <c r="E300" s="36" t="s">
        <v>498</v>
      </c>
      <c r="F300" s="33"/>
      <c r="G300" s="33" t="s">
        <v>500</v>
      </c>
      <c r="H300" s="33">
        <v>0</v>
      </c>
      <c r="I300" s="33">
        <v>0.57999999999999996</v>
      </c>
      <c r="J300" s="33">
        <v>0.57999999999999996</v>
      </c>
      <c r="K300" s="33">
        <v>0.57999999999999996</v>
      </c>
      <c r="L300" s="33">
        <v>0.57999999999999996</v>
      </c>
      <c r="M300" s="33">
        <v>0.57999999999999996</v>
      </c>
      <c r="N300" s="33">
        <v>0.57999999999999996</v>
      </c>
      <c r="O300" s="33">
        <v>0.57999999999999996</v>
      </c>
      <c r="P300" s="33">
        <v>0.57999999999999996</v>
      </c>
      <c r="Q300" s="33">
        <v>0.57999999999999996</v>
      </c>
      <c r="R300" s="33">
        <v>0.57999999999999996</v>
      </c>
      <c r="S300" s="33">
        <v>0.57999999999999996</v>
      </c>
      <c r="T300" s="33">
        <v>0.57999999999999996</v>
      </c>
      <c r="U300" s="33">
        <v>0.57999999999999996</v>
      </c>
      <c r="V300" s="33">
        <v>0.57999999999999996</v>
      </c>
      <c r="W300" s="33">
        <v>0.57999999999999996</v>
      </c>
      <c r="X300" s="33">
        <v>0.57999999999999996</v>
      </c>
      <c r="Y300" s="33">
        <v>0.57999999999999996</v>
      </c>
      <c r="Z300" s="33">
        <v>0.57999999999999996</v>
      </c>
      <c r="AA300" s="33">
        <v>0.57999999999999996</v>
      </c>
      <c r="AB300" s="33">
        <v>0.57999999999999996</v>
      </c>
      <c r="AC300" s="33">
        <v>0.57999999999999996</v>
      </c>
      <c r="AD300" s="33">
        <v>0.57999999999999996</v>
      </c>
      <c r="AE300" s="33">
        <v>0.57999999999999996</v>
      </c>
      <c r="AF300" s="33">
        <v>0.57999999999999996</v>
      </c>
      <c r="AG300" s="33">
        <v>0.57999999999999996</v>
      </c>
      <c r="AH300" s="33">
        <v>0.57999999999999996</v>
      </c>
      <c r="AI300" s="33">
        <v>0.57999999999999996</v>
      </c>
      <c r="AJ300" s="33">
        <v>0.57999999999999996</v>
      </c>
      <c r="AK300" s="33">
        <v>0.57999999999999996</v>
      </c>
      <c r="AL300" s="33">
        <v>0.57999999999999996</v>
      </c>
      <c r="AM300" s="33">
        <v>0.57999999999999996</v>
      </c>
      <c r="AN300" s="33">
        <v>0.57999999999999996</v>
      </c>
      <c r="AO300" s="33">
        <v>0.57999999999999996</v>
      </c>
      <c r="AP300" s="33">
        <v>0.57999999999999996</v>
      </c>
      <c r="AQ300" s="33">
        <v>0.57999999999999996</v>
      </c>
      <c r="AR300" s="33">
        <v>0.57999999999999996</v>
      </c>
      <c r="AS300" s="33">
        <v>0.57999999999999996</v>
      </c>
      <c r="AT300" s="33">
        <v>0.57999999999999996</v>
      </c>
      <c r="AU300" s="33">
        <v>0.57999999999999996</v>
      </c>
      <c r="AV300" s="33">
        <v>0.57999999999999996</v>
      </c>
      <c r="AW300" s="33">
        <v>0.57999999999999996</v>
      </c>
      <c r="AX300" s="33">
        <v>0.57999999999999996</v>
      </c>
      <c r="AY300" s="33">
        <v>0.57999999999999996</v>
      </c>
      <c r="AZ300" s="33">
        <v>0.57999999999999996</v>
      </c>
      <c r="BA300" s="33">
        <v>0.57999999999999996</v>
      </c>
      <c r="BB300" s="33">
        <v>0.57999999999999996</v>
      </c>
      <c r="BC300" s="33">
        <v>0.57999999999999996</v>
      </c>
      <c r="BD300" s="33">
        <v>0.57999999999999996</v>
      </c>
      <c r="BE300" s="33">
        <v>0.57999999999999996</v>
      </c>
      <c r="BF300" s="33">
        <v>0.57999999999999996</v>
      </c>
      <c r="BG300" s="33">
        <v>0.57999999999999996</v>
      </c>
      <c r="BH300" s="33">
        <v>0.57999999999999996</v>
      </c>
      <c r="BI300" s="33">
        <v>0.57999999999999996</v>
      </c>
      <c r="BJ300" s="33">
        <v>0.57999999999999996</v>
      </c>
      <c r="BK300" s="33">
        <v>0.57999999999999996</v>
      </c>
      <c r="BL300" s="33">
        <v>0.57999999999999996</v>
      </c>
      <c r="BM300" s="33">
        <v>0.57999999999999996</v>
      </c>
      <c r="BN300" s="33">
        <v>0.57999999999999996</v>
      </c>
      <c r="BO300" s="33">
        <v>0.57999999999999996</v>
      </c>
      <c r="BP300" s="33">
        <v>0.57999999999999996</v>
      </c>
      <c r="BQ300" s="33">
        <v>0.57999999999999996</v>
      </c>
    </row>
    <row r="301" spans="1:69" s="34" customFormat="1" hidden="1" x14ac:dyDescent="0.25">
      <c r="A301" s="33">
        <v>29</v>
      </c>
      <c r="B301" s="33" t="s">
        <v>146</v>
      </c>
      <c r="C301" s="36" t="s">
        <v>147</v>
      </c>
      <c r="D301" s="33">
        <v>10</v>
      </c>
      <c r="E301" s="36" t="s">
        <v>499</v>
      </c>
      <c r="F301" s="33"/>
      <c r="G301" s="33" t="s">
        <v>501</v>
      </c>
      <c r="H301" s="33">
        <v>0</v>
      </c>
      <c r="I301" s="33">
        <v>0.95</v>
      </c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</row>
    <row r="302" spans="1:69" s="44" customFormat="1" hidden="1" x14ac:dyDescent="0.25">
      <c r="A302" s="43">
        <v>30</v>
      </c>
      <c r="B302" s="43" t="s">
        <v>148</v>
      </c>
      <c r="C302" s="20" t="s">
        <v>149</v>
      </c>
      <c r="D302" s="43">
        <v>1</v>
      </c>
      <c r="E302" s="20" t="s">
        <v>489</v>
      </c>
      <c r="F302" s="43"/>
      <c r="G302" s="43" t="s">
        <v>501</v>
      </c>
      <c r="H302" s="43">
        <v>0</v>
      </c>
      <c r="I302" s="43">
        <v>1200</v>
      </c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</row>
    <row r="303" spans="1:69" s="44" customFormat="1" hidden="1" x14ac:dyDescent="0.25">
      <c r="A303" s="43">
        <v>30</v>
      </c>
      <c r="B303" s="43" t="s">
        <v>148</v>
      </c>
      <c r="C303" s="20" t="s">
        <v>149</v>
      </c>
      <c r="D303" s="43">
        <v>2</v>
      </c>
      <c r="E303" s="20" t="s">
        <v>491</v>
      </c>
      <c r="F303" s="43"/>
      <c r="G303" s="43" t="s">
        <v>501</v>
      </c>
      <c r="H303" s="43">
        <v>0</v>
      </c>
      <c r="I303" s="43">
        <v>20</v>
      </c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</row>
    <row r="304" spans="1:69" s="44" customFormat="1" hidden="1" x14ac:dyDescent="0.25">
      <c r="A304" s="43">
        <v>30</v>
      </c>
      <c r="B304" s="43" t="s">
        <v>148</v>
      </c>
      <c r="C304" s="20" t="s">
        <v>149</v>
      </c>
      <c r="D304" s="43">
        <v>3</v>
      </c>
      <c r="E304" s="20" t="s">
        <v>492</v>
      </c>
      <c r="F304" s="43"/>
      <c r="G304" s="43" t="s">
        <v>501</v>
      </c>
      <c r="H304" s="43">
        <v>0</v>
      </c>
      <c r="I304" s="45">
        <v>9.15</v>
      </c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</row>
    <row r="305" spans="1:69" s="44" customFormat="1" hidden="1" x14ac:dyDescent="0.25">
      <c r="A305" s="43">
        <v>30</v>
      </c>
      <c r="B305" s="43" t="s">
        <v>148</v>
      </c>
      <c r="C305" s="20" t="s">
        <v>149</v>
      </c>
      <c r="D305" s="43">
        <v>4</v>
      </c>
      <c r="E305" s="20" t="s">
        <v>493</v>
      </c>
      <c r="F305" s="43"/>
      <c r="G305" s="43" t="s">
        <v>500</v>
      </c>
      <c r="H305" s="43">
        <v>0</v>
      </c>
      <c r="I305" s="43">
        <v>1.9764173999999995E-2</v>
      </c>
      <c r="J305" s="43">
        <v>2.0129006399999996E-2</v>
      </c>
      <c r="K305" s="43">
        <v>2.1854048399999996E-2</v>
      </c>
      <c r="L305" s="43">
        <v>2.2006268400000001E-2</v>
      </c>
      <c r="M305" s="43">
        <v>2.3304386399999998E-2</v>
      </c>
      <c r="N305" s="43">
        <v>2.4117170399999995E-2</v>
      </c>
      <c r="O305" s="43">
        <v>2.5389871199999997E-2</v>
      </c>
      <c r="P305" s="43">
        <v>2.3615269199999997E-2</v>
      </c>
      <c r="Q305" s="43">
        <v>2.7581999999999999E-2</v>
      </c>
      <c r="R305" s="43">
        <v>2.7581999999999999E-2</v>
      </c>
      <c r="S305" s="43">
        <v>2.7581999999999999E-2</v>
      </c>
      <c r="T305" s="43">
        <v>2.7581999999999999E-2</v>
      </c>
      <c r="U305" s="43">
        <v>2.7581999999999999E-2</v>
      </c>
      <c r="V305" s="43">
        <v>2.7581999999999999E-2</v>
      </c>
      <c r="W305" s="43">
        <v>2.7581999999999999E-2</v>
      </c>
      <c r="X305" s="43">
        <v>2.7581999999999999E-2</v>
      </c>
      <c r="Y305" s="43">
        <v>2.7581999999999999E-2</v>
      </c>
      <c r="Z305" s="43">
        <v>2.7581999999999999E-2</v>
      </c>
      <c r="AA305" s="43">
        <v>2.7581999999999999E-2</v>
      </c>
      <c r="AB305" s="43">
        <v>2.7581999999999999E-2</v>
      </c>
      <c r="AC305" s="43">
        <v>2.7581999999999999E-2</v>
      </c>
      <c r="AD305" s="43">
        <v>2.7581999999999999E-2</v>
      </c>
      <c r="AE305" s="43">
        <v>2.7581999999999999E-2</v>
      </c>
      <c r="AF305" s="43">
        <v>2.7581999999999999E-2</v>
      </c>
      <c r="AG305" s="43">
        <v>2.7581999999999999E-2</v>
      </c>
      <c r="AH305" s="43">
        <v>2.7581999999999999E-2</v>
      </c>
      <c r="AI305" s="43">
        <v>2.7581999999999999E-2</v>
      </c>
      <c r="AJ305" s="43">
        <v>2.7581999999999999E-2</v>
      </c>
      <c r="AK305" s="43">
        <v>2.7581999999999999E-2</v>
      </c>
      <c r="AL305" s="43">
        <v>2.7581999999999999E-2</v>
      </c>
      <c r="AM305" s="43">
        <v>2.7581999999999999E-2</v>
      </c>
      <c r="AN305" s="43">
        <v>2.7581999999999999E-2</v>
      </c>
      <c r="AO305" s="43">
        <v>2.7581999999999999E-2</v>
      </c>
      <c r="AP305" s="43">
        <v>2.7581999999999999E-2</v>
      </c>
      <c r="AQ305" s="43">
        <v>2.7581999999999999E-2</v>
      </c>
      <c r="AR305" s="43">
        <v>2.7581999999999999E-2</v>
      </c>
      <c r="AS305" s="43">
        <v>2.7581999999999999E-2</v>
      </c>
      <c r="AT305" s="43">
        <v>2.7581999999999999E-2</v>
      </c>
      <c r="AU305" s="43">
        <v>2.7581999999999999E-2</v>
      </c>
      <c r="AV305" s="43">
        <v>2.7581999999999999E-2</v>
      </c>
      <c r="AW305" s="43">
        <v>2.7581999999999999E-2</v>
      </c>
      <c r="AX305" s="43">
        <v>2.7581999999999999E-2</v>
      </c>
      <c r="AY305" s="43">
        <v>2.7581999999999999E-2</v>
      </c>
      <c r="AZ305" s="43">
        <v>2.7581999999999999E-2</v>
      </c>
      <c r="BA305" s="43">
        <v>2.7581999999999999E-2</v>
      </c>
      <c r="BB305" s="43">
        <v>2.7581999999999999E-2</v>
      </c>
      <c r="BC305" s="43">
        <v>2.7581999999999999E-2</v>
      </c>
      <c r="BD305" s="43">
        <v>2.7581999999999999E-2</v>
      </c>
      <c r="BE305" s="43">
        <v>2.7581999999999999E-2</v>
      </c>
      <c r="BF305" s="43">
        <v>2.7581999999999999E-2</v>
      </c>
      <c r="BG305" s="43">
        <v>2.7581999999999999E-2</v>
      </c>
      <c r="BH305" s="43">
        <v>2.7581999999999999E-2</v>
      </c>
      <c r="BI305" s="43">
        <v>2.7581999999999999E-2</v>
      </c>
      <c r="BJ305" s="43">
        <v>2.7581999999999999E-2</v>
      </c>
      <c r="BK305" s="43">
        <v>2.7581999999999999E-2</v>
      </c>
      <c r="BL305" s="43">
        <v>2.7581999999999999E-2</v>
      </c>
      <c r="BM305" s="43">
        <v>2.7581999999999999E-2</v>
      </c>
      <c r="BN305" s="43">
        <v>2.7581999999999999E-2</v>
      </c>
      <c r="BO305" s="43">
        <v>2.7581999999999999E-2</v>
      </c>
      <c r="BP305" s="43">
        <v>2.7581999999999999E-2</v>
      </c>
      <c r="BQ305" s="43">
        <v>2.7581999999999999E-2</v>
      </c>
    </row>
    <row r="306" spans="1:69" s="44" customFormat="1" hidden="1" x14ac:dyDescent="0.25">
      <c r="A306" s="43">
        <v>30</v>
      </c>
      <c r="B306" s="43" t="s">
        <v>148</v>
      </c>
      <c r="C306" s="20" t="s">
        <v>149</v>
      </c>
      <c r="D306" s="43">
        <v>5</v>
      </c>
      <c r="E306" s="20" t="s">
        <v>494</v>
      </c>
      <c r="F306" s="43"/>
      <c r="G306" s="43" t="s">
        <v>500</v>
      </c>
      <c r="H306" s="43">
        <v>0</v>
      </c>
      <c r="I306" s="43">
        <v>1.9764173999999995E-2</v>
      </c>
      <c r="J306" s="43">
        <v>2.0129006399999996E-2</v>
      </c>
      <c r="K306" s="43">
        <v>2.1854048399999996E-2</v>
      </c>
      <c r="L306" s="43">
        <v>2.2006268400000001E-2</v>
      </c>
      <c r="M306" s="43">
        <v>2.3304386399999998E-2</v>
      </c>
      <c r="N306" s="43">
        <v>2.4117170399999995E-2</v>
      </c>
      <c r="O306" s="43">
        <v>2.5389871199999997E-2</v>
      </c>
      <c r="P306" s="43">
        <v>2.3615269199999997E-2</v>
      </c>
      <c r="Q306" s="43">
        <v>2.7581999999999999E-2</v>
      </c>
      <c r="R306" s="43">
        <v>2.7581999999999999E-2</v>
      </c>
      <c r="S306" s="43">
        <v>2.7581999999999999E-2</v>
      </c>
      <c r="T306" s="43">
        <v>2.7581999999999999E-2</v>
      </c>
      <c r="U306" s="43">
        <v>99999</v>
      </c>
      <c r="V306" s="43">
        <v>99999</v>
      </c>
      <c r="W306" s="43">
        <v>99999</v>
      </c>
      <c r="X306" s="43">
        <v>99999</v>
      </c>
      <c r="Y306" s="43">
        <v>99999</v>
      </c>
      <c r="Z306" s="43">
        <v>99999</v>
      </c>
      <c r="AA306" s="43">
        <v>99999</v>
      </c>
      <c r="AB306" s="43">
        <v>99999</v>
      </c>
      <c r="AC306" s="43">
        <v>99999</v>
      </c>
      <c r="AD306" s="43">
        <v>99999</v>
      </c>
      <c r="AE306" s="43">
        <v>99999</v>
      </c>
      <c r="AF306" s="43">
        <v>99999</v>
      </c>
      <c r="AG306" s="43">
        <v>99999</v>
      </c>
      <c r="AH306" s="43">
        <v>99999</v>
      </c>
      <c r="AI306" s="43">
        <v>99999</v>
      </c>
      <c r="AJ306" s="43">
        <v>99999</v>
      </c>
      <c r="AK306" s="43">
        <v>99999</v>
      </c>
      <c r="AL306" s="43">
        <v>99999</v>
      </c>
      <c r="AM306" s="43">
        <v>99999</v>
      </c>
      <c r="AN306" s="43">
        <v>99999</v>
      </c>
      <c r="AO306" s="43">
        <v>99999</v>
      </c>
      <c r="AP306" s="43">
        <v>99999</v>
      </c>
      <c r="AQ306" s="43">
        <v>99999</v>
      </c>
      <c r="AR306" s="43">
        <v>99999</v>
      </c>
      <c r="AS306" s="43">
        <v>99999</v>
      </c>
      <c r="AT306" s="43">
        <v>99999</v>
      </c>
      <c r="AU306" s="43">
        <v>99999</v>
      </c>
      <c r="AV306" s="43">
        <v>99999</v>
      </c>
      <c r="AW306" s="43">
        <v>99999</v>
      </c>
      <c r="AX306" s="43">
        <v>99999</v>
      </c>
      <c r="AY306" s="43">
        <v>99999</v>
      </c>
      <c r="AZ306" s="43">
        <v>99999</v>
      </c>
      <c r="BA306" s="43">
        <v>99999</v>
      </c>
      <c r="BB306" s="43">
        <v>99999</v>
      </c>
      <c r="BC306" s="43">
        <v>99999</v>
      </c>
      <c r="BD306" s="43">
        <v>99999</v>
      </c>
      <c r="BE306" s="43">
        <v>99999</v>
      </c>
      <c r="BF306" s="43">
        <v>99999</v>
      </c>
      <c r="BG306" s="43">
        <v>99999</v>
      </c>
      <c r="BH306" s="43">
        <v>99999</v>
      </c>
      <c r="BI306" s="43">
        <v>99999</v>
      </c>
      <c r="BJ306" s="43">
        <v>99999</v>
      </c>
      <c r="BK306" s="43">
        <v>99999</v>
      </c>
      <c r="BL306" s="43">
        <v>99999</v>
      </c>
      <c r="BM306" s="43">
        <v>99999</v>
      </c>
      <c r="BN306" s="43">
        <v>99999</v>
      </c>
      <c r="BO306" s="43">
        <v>99999</v>
      </c>
      <c r="BP306" s="43">
        <v>99999</v>
      </c>
      <c r="BQ306" s="43">
        <v>99999</v>
      </c>
    </row>
    <row r="307" spans="1:69" s="44" customFormat="1" hidden="1" x14ac:dyDescent="0.25">
      <c r="A307" s="43">
        <v>30</v>
      </c>
      <c r="B307" s="43" t="s">
        <v>148</v>
      </c>
      <c r="C307" s="20" t="s">
        <v>149</v>
      </c>
      <c r="D307" s="43">
        <v>6</v>
      </c>
      <c r="E307" s="20" t="s">
        <v>495</v>
      </c>
      <c r="F307" s="43"/>
      <c r="G307" s="43" t="s">
        <v>500</v>
      </c>
      <c r="H307" s="43">
        <v>0</v>
      </c>
      <c r="I307" s="43">
        <v>0.25173632106296701</v>
      </c>
      <c r="J307" s="43">
        <v>0.21610879019972026</v>
      </c>
      <c r="K307" s="43">
        <v>0.24409001377470874</v>
      </c>
      <c r="L307" s="43">
        <v>0.28087751075908435</v>
      </c>
      <c r="M307" s="43">
        <v>0.29245349919239172</v>
      </c>
      <c r="N307" s="43">
        <v>0.29143556973915608</v>
      </c>
      <c r="O307" s="43">
        <v>0.2572757511108073</v>
      </c>
      <c r="P307" s="43">
        <v>0.1745867376188999</v>
      </c>
      <c r="Q307" s="72">
        <v>0.16569999999999999</v>
      </c>
      <c r="R307" s="43">
        <v>0.1709</v>
      </c>
      <c r="S307" s="43">
        <v>0.15</v>
      </c>
      <c r="T307" s="43">
        <v>0.16569999999999999</v>
      </c>
      <c r="U307" s="43">
        <v>0.17820808294654084</v>
      </c>
      <c r="V307" s="43">
        <v>0.18264555265481855</v>
      </c>
      <c r="W307" s="43">
        <v>0.18708302236309624</v>
      </c>
      <c r="X307" s="43">
        <v>0.19152049207137398</v>
      </c>
      <c r="Y307" s="43">
        <v>0.19595796177965166</v>
      </c>
      <c r="Z307" s="43">
        <v>0.20039543148792938</v>
      </c>
      <c r="AA307" s="43">
        <v>0.20483290119620709</v>
      </c>
      <c r="AB307" s="43">
        <v>0.2092703709044848</v>
      </c>
      <c r="AC307" s="43">
        <v>0.21370784061276249</v>
      </c>
      <c r="AD307" s="43">
        <v>0.21539613693196513</v>
      </c>
      <c r="AE307" s="43">
        <v>0.21708443325116772</v>
      </c>
      <c r="AF307" s="43">
        <v>0.21877272957037042</v>
      </c>
      <c r="AG307" s="43">
        <v>0.22046102588957309</v>
      </c>
      <c r="AH307" s="43">
        <v>0.2221493222087757</v>
      </c>
      <c r="AI307" s="43">
        <v>0.22383761852797837</v>
      </c>
      <c r="AJ307" s="43">
        <v>0.22552591484718101</v>
      </c>
      <c r="AK307" s="43">
        <v>0.22721421116638371</v>
      </c>
      <c r="AL307" s="43">
        <v>0.22890250748558638</v>
      </c>
      <c r="AM307" s="43">
        <v>0.23059080380478894</v>
      </c>
      <c r="AN307" s="43">
        <v>0.23082139752750158</v>
      </c>
      <c r="AO307" s="43">
        <v>0.23105199125021431</v>
      </c>
      <c r="AP307" s="43">
        <v>0.23128258497292697</v>
      </c>
      <c r="AQ307" s="43">
        <v>0.2315131786956397</v>
      </c>
      <c r="AR307" s="43">
        <v>0.2317437724183524</v>
      </c>
      <c r="AS307" s="43">
        <v>0.23197436614106504</v>
      </c>
      <c r="AT307" s="43">
        <v>0.23220495986377776</v>
      </c>
      <c r="AU307" s="43">
        <v>0.23243555358649037</v>
      </c>
      <c r="AV307" s="43">
        <v>0.23266614730920315</v>
      </c>
      <c r="AW307" s="43">
        <v>0.2328967410319156</v>
      </c>
      <c r="AX307" s="43">
        <v>0.24500002851359001</v>
      </c>
      <c r="AY307" s="43">
        <v>0.24682268086852399</v>
      </c>
      <c r="AZ307" s="43">
        <v>0.248645333223458</v>
      </c>
      <c r="BA307" s="43">
        <v>0.250467985578393</v>
      </c>
      <c r="BB307" s="43">
        <v>0.25229063793332701</v>
      </c>
      <c r="BC307" s="43">
        <v>0.25411329028826102</v>
      </c>
      <c r="BD307" s="43">
        <v>0.25593594264319502</v>
      </c>
      <c r="BE307" s="43">
        <v>0.25775859499812998</v>
      </c>
      <c r="BF307" s="43">
        <v>0.25958124735306398</v>
      </c>
      <c r="BG307" s="43">
        <v>0.26140389970799799</v>
      </c>
      <c r="BH307" s="43">
        <v>0.263226552062932</v>
      </c>
      <c r="BI307" s="43">
        <v>0.265049204417866</v>
      </c>
      <c r="BJ307" s="43">
        <v>0.26687185677280101</v>
      </c>
      <c r="BK307" s="43">
        <v>0.26869450912773502</v>
      </c>
      <c r="BL307" s="43">
        <v>0.27051716148266902</v>
      </c>
      <c r="BM307" s="43">
        <v>0.27233981383760297</v>
      </c>
      <c r="BN307" s="43">
        <v>0.27416246619253798</v>
      </c>
      <c r="BO307" s="43">
        <v>0.27598511854747199</v>
      </c>
      <c r="BP307" s="43">
        <v>0.27780777090240599</v>
      </c>
      <c r="BQ307" s="43">
        <v>0.27963042325734</v>
      </c>
    </row>
    <row r="308" spans="1:69" s="44" customFormat="1" hidden="1" x14ac:dyDescent="0.25">
      <c r="A308" s="43">
        <v>30</v>
      </c>
      <c r="B308" s="43" t="s">
        <v>148</v>
      </c>
      <c r="C308" s="20" t="s">
        <v>149</v>
      </c>
      <c r="D308" s="43">
        <v>7</v>
      </c>
      <c r="E308" s="20" t="s">
        <v>496</v>
      </c>
      <c r="F308" s="43"/>
      <c r="G308" s="43" t="s">
        <v>500</v>
      </c>
      <c r="H308" s="43">
        <v>0</v>
      </c>
      <c r="I308" s="43">
        <v>0.25173632106296701</v>
      </c>
      <c r="J308" s="43">
        <v>0.21610879019972026</v>
      </c>
      <c r="K308" s="43">
        <v>0.24409001377470874</v>
      </c>
      <c r="L308" s="43">
        <v>0.28087751075908435</v>
      </c>
      <c r="M308" s="43">
        <v>0.29245349919239172</v>
      </c>
      <c r="N308" s="43">
        <v>0.29143556973915608</v>
      </c>
      <c r="O308" s="43">
        <v>0.2572757511108073</v>
      </c>
      <c r="P308" s="43">
        <v>0.1745867376188999</v>
      </c>
      <c r="Q308" s="72">
        <v>0.16569999999999999</v>
      </c>
      <c r="R308" s="43">
        <v>0.1709</v>
      </c>
      <c r="S308" s="43">
        <v>0.15</v>
      </c>
      <c r="T308" s="43">
        <v>0.16569999999999999</v>
      </c>
      <c r="U308" s="43">
        <v>0.17642600211707543</v>
      </c>
      <c r="V308" s="43">
        <v>0.18081909712827035</v>
      </c>
      <c r="W308" s="43">
        <v>0.18521219213946527</v>
      </c>
      <c r="X308" s="43">
        <v>0.18960528715066025</v>
      </c>
      <c r="Y308" s="43">
        <v>0.19399838216185514</v>
      </c>
      <c r="Z308" s="43">
        <v>0.19839147717305008</v>
      </c>
      <c r="AA308" s="43">
        <v>0.202784572184245</v>
      </c>
      <c r="AB308" s="43">
        <v>0.20717766719543995</v>
      </c>
      <c r="AC308" s="43">
        <v>0.21157076220663487</v>
      </c>
      <c r="AD308" s="43">
        <v>0.21324217556264549</v>
      </c>
      <c r="AE308" s="43">
        <v>0.21491358891865603</v>
      </c>
      <c r="AF308" s="43">
        <v>0.2165850022746667</v>
      </c>
      <c r="AG308" s="43">
        <v>0.21825641563067735</v>
      </c>
      <c r="AH308" s="43">
        <v>0.21992782898668795</v>
      </c>
      <c r="AI308" s="43">
        <v>0.22159924234269859</v>
      </c>
      <c r="AJ308" s="43">
        <v>0.22327065569870921</v>
      </c>
      <c r="AK308" s="43">
        <v>0.22494206905471986</v>
      </c>
      <c r="AL308" s="43">
        <v>0.22661348241073051</v>
      </c>
      <c r="AM308" s="43">
        <v>0.22828489576674105</v>
      </c>
      <c r="AN308" s="43">
        <v>0.22851318355222655</v>
      </c>
      <c r="AO308" s="43">
        <v>0.22874147133771217</v>
      </c>
      <c r="AP308" s="43">
        <v>0.2289697591231977</v>
      </c>
      <c r="AQ308" s="43">
        <v>0.22919804690868331</v>
      </c>
      <c r="AR308" s="43">
        <v>0.22942633469416887</v>
      </c>
      <c r="AS308" s="43">
        <v>0.22965462247965437</v>
      </c>
      <c r="AT308" s="43">
        <v>0.22988291026513999</v>
      </c>
      <c r="AU308" s="43">
        <v>0.23011119805062547</v>
      </c>
      <c r="AV308" s="43">
        <v>0.23033948583611111</v>
      </c>
      <c r="AW308" s="43">
        <v>0.23056777362159644</v>
      </c>
      <c r="AX308" s="43">
        <v>0.24255002822845412</v>
      </c>
      <c r="AY308" s="43">
        <v>0.24435445405983874</v>
      </c>
      <c r="AZ308" s="43">
        <v>0.24615887989122343</v>
      </c>
      <c r="BA308" s="43">
        <v>0.24796330572260908</v>
      </c>
      <c r="BB308" s="43">
        <v>0.24976773155399373</v>
      </c>
      <c r="BC308" s="43">
        <v>0.25157215738537841</v>
      </c>
      <c r="BD308" s="43">
        <v>0.2533765832167631</v>
      </c>
      <c r="BE308" s="43">
        <v>0.25518100904814867</v>
      </c>
      <c r="BF308" s="43">
        <v>0.25698543487953335</v>
      </c>
      <c r="BG308" s="43">
        <v>0.25878986071091803</v>
      </c>
      <c r="BH308" s="43">
        <v>0.26059428654230266</v>
      </c>
      <c r="BI308" s="43">
        <v>0.26239871237368734</v>
      </c>
      <c r="BJ308" s="43">
        <v>0.26420313820507302</v>
      </c>
      <c r="BK308" s="43">
        <v>0.26600756403645764</v>
      </c>
      <c r="BL308" s="43">
        <v>0.26781198986784233</v>
      </c>
      <c r="BM308" s="43">
        <v>0.26961641569922695</v>
      </c>
      <c r="BN308" s="43">
        <v>0.27142084153061258</v>
      </c>
      <c r="BO308" s="43">
        <v>0.27322526736199726</v>
      </c>
      <c r="BP308" s="43">
        <v>0.27502969319338194</v>
      </c>
      <c r="BQ308" s="43">
        <v>0.27683411902476662</v>
      </c>
    </row>
    <row r="309" spans="1:69" s="44" customFormat="1" hidden="1" x14ac:dyDescent="0.25">
      <c r="A309" s="43">
        <v>30</v>
      </c>
      <c r="B309" s="43" t="s">
        <v>148</v>
      </c>
      <c r="C309" s="20" t="s">
        <v>149</v>
      </c>
      <c r="D309" s="43">
        <v>8</v>
      </c>
      <c r="E309" s="20" t="s">
        <v>497</v>
      </c>
      <c r="F309" s="43"/>
      <c r="G309" s="43" t="s">
        <v>490</v>
      </c>
      <c r="H309" s="43">
        <v>0</v>
      </c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</row>
    <row r="310" spans="1:69" s="44" customFormat="1" hidden="1" x14ac:dyDescent="0.25">
      <c r="A310" s="43">
        <v>30</v>
      </c>
      <c r="B310" s="43" t="s">
        <v>148</v>
      </c>
      <c r="C310" s="20" t="s">
        <v>149</v>
      </c>
      <c r="D310" s="43">
        <v>9</v>
      </c>
      <c r="E310" s="20" t="s">
        <v>498</v>
      </c>
      <c r="F310" s="43"/>
      <c r="G310" s="43" t="s">
        <v>500</v>
      </c>
      <c r="H310" s="43">
        <v>0</v>
      </c>
      <c r="I310" s="43">
        <v>0.4294</v>
      </c>
      <c r="J310" s="43">
        <v>0.36199999999999999</v>
      </c>
      <c r="K310" s="43">
        <v>0.37659999999999999</v>
      </c>
      <c r="L310" s="43">
        <v>0.43030000000000002</v>
      </c>
      <c r="M310" s="43">
        <v>0.42309999999999998</v>
      </c>
      <c r="N310" s="43">
        <v>0.40739999999999998</v>
      </c>
      <c r="O310" s="43">
        <v>0.34160000000000001</v>
      </c>
      <c r="P310" s="43">
        <v>0.24929999999999999</v>
      </c>
      <c r="Q310" s="43">
        <v>0.20250000000000001</v>
      </c>
      <c r="R310" s="43">
        <v>0.23860000000000001</v>
      </c>
      <c r="S310" s="43">
        <v>0.20830000000000001</v>
      </c>
      <c r="T310" s="43">
        <v>0.23</v>
      </c>
      <c r="U310" s="43">
        <v>0.23</v>
      </c>
      <c r="V310" s="43">
        <v>0.23</v>
      </c>
      <c r="W310" s="43">
        <v>0.23</v>
      </c>
      <c r="X310" s="43">
        <v>0.23</v>
      </c>
      <c r="Y310" s="43">
        <v>0.23</v>
      </c>
      <c r="Z310" s="43">
        <v>0.23</v>
      </c>
      <c r="AA310" s="43">
        <v>0.23</v>
      </c>
      <c r="AB310" s="43">
        <v>0.23</v>
      </c>
      <c r="AC310" s="43">
        <v>0.23</v>
      </c>
      <c r="AD310" s="43">
        <v>0.23</v>
      </c>
      <c r="AE310" s="43">
        <v>0.23</v>
      </c>
      <c r="AF310" s="43">
        <v>0.23</v>
      </c>
      <c r="AG310" s="43">
        <v>0.23</v>
      </c>
      <c r="AH310" s="43">
        <v>0.23</v>
      </c>
      <c r="AI310" s="43">
        <v>0.23</v>
      </c>
      <c r="AJ310" s="43">
        <v>0.23</v>
      </c>
      <c r="AK310" s="43">
        <v>0.23</v>
      </c>
      <c r="AL310" s="43">
        <v>0.23</v>
      </c>
      <c r="AM310" s="43">
        <v>0.23</v>
      </c>
      <c r="AN310" s="43">
        <v>0.23</v>
      </c>
      <c r="AO310" s="43">
        <v>0.23</v>
      </c>
      <c r="AP310" s="43">
        <v>0.23</v>
      </c>
      <c r="AQ310" s="43">
        <v>0.23</v>
      </c>
      <c r="AR310" s="43">
        <v>0.23</v>
      </c>
      <c r="AS310" s="43">
        <v>0.23</v>
      </c>
      <c r="AT310" s="43">
        <v>0.23</v>
      </c>
      <c r="AU310" s="43">
        <v>0.23</v>
      </c>
      <c r="AV310" s="43">
        <v>0.23</v>
      </c>
      <c r="AW310" s="43">
        <v>0.23</v>
      </c>
      <c r="AX310" s="43">
        <v>0.23</v>
      </c>
      <c r="AY310" s="43">
        <v>0.23</v>
      </c>
      <c r="AZ310" s="43">
        <v>0.23</v>
      </c>
      <c r="BA310" s="43">
        <v>0.23</v>
      </c>
      <c r="BB310" s="43">
        <v>0.23</v>
      </c>
      <c r="BC310" s="43">
        <v>0.23</v>
      </c>
      <c r="BD310" s="43">
        <v>0.23</v>
      </c>
      <c r="BE310" s="43">
        <v>0.23</v>
      </c>
      <c r="BF310" s="43">
        <v>0.23</v>
      </c>
      <c r="BG310" s="43">
        <v>0.23</v>
      </c>
      <c r="BH310" s="43">
        <v>0.23</v>
      </c>
      <c r="BI310" s="43">
        <v>0.23</v>
      </c>
      <c r="BJ310" s="43">
        <v>0.23</v>
      </c>
      <c r="BK310" s="43">
        <v>0.23</v>
      </c>
      <c r="BL310" s="43">
        <v>0.23</v>
      </c>
      <c r="BM310" s="43">
        <v>0.23</v>
      </c>
      <c r="BN310" s="43">
        <v>0.23</v>
      </c>
      <c r="BO310" s="43">
        <v>0.23</v>
      </c>
      <c r="BP310" s="43">
        <v>0.23</v>
      </c>
      <c r="BQ310" s="43">
        <v>0.23</v>
      </c>
    </row>
    <row r="311" spans="1:69" s="44" customFormat="1" hidden="1" x14ac:dyDescent="0.25">
      <c r="A311" s="43">
        <v>30</v>
      </c>
      <c r="B311" s="43" t="s">
        <v>148</v>
      </c>
      <c r="C311" s="20" t="s">
        <v>149</v>
      </c>
      <c r="D311" s="43">
        <v>10</v>
      </c>
      <c r="E311" s="20" t="s">
        <v>499</v>
      </c>
      <c r="F311" s="43"/>
      <c r="G311" s="43" t="s">
        <v>501</v>
      </c>
      <c r="H311" s="43">
        <v>0</v>
      </c>
      <c r="I311" s="43">
        <v>0.95</v>
      </c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</row>
    <row r="312" spans="1:69" s="34" customFormat="1" hidden="1" x14ac:dyDescent="0.25">
      <c r="A312" s="33">
        <v>31</v>
      </c>
      <c r="B312" s="33" t="s">
        <v>150</v>
      </c>
      <c r="C312" s="36" t="s">
        <v>151</v>
      </c>
      <c r="D312" s="33">
        <v>1</v>
      </c>
      <c r="E312" s="36" t="s">
        <v>489</v>
      </c>
      <c r="F312" s="33"/>
      <c r="G312" s="33" t="s">
        <v>501</v>
      </c>
      <c r="H312" s="33">
        <v>0</v>
      </c>
      <c r="I312" s="33">
        <v>1200</v>
      </c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</row>
    <row r="313" spans="1:69" s="34" customFormat="1" hidden="1" x14ac:dyDescent="0.25">
      <c r="A313" s="33">
        <v>31</v>
      </c>
      <c r="B313" s="33" t="s">
        <v>150</v>
      </c>
      <c r="C313" s="36" t="s">
        <v>151</v>
      </c>
      <c r="D313" s="33">
        <v>2</v>
      </c>
      <c r="E313" s="36" t="s">
        <v>491</v>
      </c>
      <c r="F313" s="33"/>
      <c r="G313" s="33" t="s">
        <v>501</v>
      </c>
      <c r="H313" s="33">
        <v>0</v>
      </c>
      <c r="I313" s="33">
        <v>20</v>
      </c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</row>
    <row r="314" spans="1:69" s="34" customFormat="1" hidden="1" x14ac:dyDescent="0.25">
      <c r="A314" s="33">
        <v>31</v>
      </c>
      <c r="B314" s="33" t="s">
        <v>150</v>
      </c>
      <c r="C314" s="36" t="s">
        <v>151</v>
      </c>
      <c r="D314" s="33">
        <v>3</v>
      </c>
      <c r="E314" s="36" t="s">
        <v>492</v>
      </c>
      <c r="F314" s="33"/>
      <c r="G314" s="33" t="s">
        <v>501</v>
      </c>
      <c r="H314" s="33">
        <v>0</v>
      </c>
      <c r="I314" s="33">
        <v>9.15</v>
      </c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</row>
    <row r="315" spans="1:69" s="34" customFormat="1" hidden="1" x14ac:dyDescent="0.25">
      <c r="A315" s="33">
        <v>31</v>
      </c>
      <c r="B315" s="33" t="s">
        <v>150</v>
      </c>
      <c r="C315" s="36" t="s">
        <v>151</v>
      </c>
      <c r="D315" s="33">
        <v>4</v>
      </c>
      <c r="E315" s="36" t="s">
        <v>493</v>
      </c>
      <c r="F315" s="33"/>
      <c r="G315" s="33" t="s">
        <v>500</v>
      </c>
      <c r="H315" s="33">
        <v>0</v>
      </c>
      <c r="I315" s="33">
        <v>1.0870295699999998E-2</v>
      </c>
      <c r="J315" s="33">
        <v>1.1070953519999998E-2</v>
      </c>
      <c r="K315" s="33">
        <v>1.2019726619999999E-2</v>
      </c>
      <c r="L315" s="33">
        <v>1.2103447619999999E-2</v>
      </c>
      <c r="M315" s="33">
        <v>1.2817412519999998E-2</v>
      </c>
      <c r="N315" s="33">
        <v>1.3264443719999998E-2</v>
      </c>
      <c r="O315" s="33">
        <v>1.3964429159999998E-2</v>
      </c>
      <c r="P315" s="33">
        <v>1.2988398059999998E-2</v>
      </c>
      <c r="Q315" s="33">
        <v>3.2799999999999996E-2</v>
      </c>
      <c r="R315" s="33">
        <v>3.2799999999999996E-2</v>
      </c>
      <c r="S315" s="33">
        <v>3.2799999999999996E-2</v>
      </c>
      <c r="T315" s="33">
        <v>3.2799999999999996E-2</v>
      </c>
      <c r="U315" s="33">
        <v>3.2799999999999996E-2</v>
      </c>
      <c r="V315" s="33">
        <v>3.2799999999999996E-2</v>
      </c>
      <c r="W315" s="33">
        <v>3.2799999999999996E-2</v>
      </c>
      <c r="X315" s="33">
        <v>3.2799999999999996E-2</v>
      </c>
      <c r="Y315" s="33">
        <v>3.2799999999999996E-2</v>
      </c>
      <c r="Z315" s="33">
        <v>3.2799999999999996E-2</v>
      </c>
      <c r="AA315" s="33">
        <v>3.2799999999999996E-2</v>
      </c>
      <c r="AB315" s="33">
        <v>3.2799999999999996E-2</v>
      </c>
      <c r="AC315" s="33">
        <v>3.2799999999999996E-2</v>
      </c>
      <c r="AD315" s="33">
        <v>3.2799999999999996E-2</v>
      </c>
      <c r="AE315" s="33">
        <v>3.2799999999999996E-2</v>
      </c>
      <c r="AF315" s="33">
        <v>3.2799999999999996E-2</v>
      </c>
      <c r="AG315" s="33">
        <v>3.2799999999999996E-2</v>
      </c>
      <c r="AH315" s="33">
        <v>3.2799999999999996E-2</v>
      </c>
      <c r="AI315" s="33">
        <v>3.2799999999999996E-2</v>
      </c>
      <c r="AJ315" s="33">
        <v>3.2799999999999996E-2</v>
      </c>
      <c r="AK315" s="33">
        <v>3.2799999999999996E-2</v>
      </c>
      <c r="AL315" s="33">
        <v>3.2799999999999996E-2</v>
      </c>
      <c r="AM315" s="33">
        <v>3.2799999999999996E-2</v>
      </c>
      <c r="AN315" s="33">
        <v>3.2799999999999996E-2</v>
      </c>
      <c r="AO315" s="33">
        <v>3.2799999999999996E-2</v>
      </c>
      <c r="AP315" s="33">
        <v>3.2799999999999996E-2</v>
      </c>
      <c r="AQ315" s="33">
        <v>3.2799999999999996E-2</v>
      </c>
      <c r="AR315" s="33">
        <v>3.2799999999999996E-2</v>
      </c>
      <c r="AS315" s="33">
        <v>3.2799999999999996E-2</v>
      </c>
      <c r="AT315" s="33">
        <v>3.2799999999999996E-2</v>
      </c>
      <c r="AU315" s="33">
        <v>3.2799999999999996E-2</v>
      </c>
      <c r="AV315" s="33">
        <v>3.2799999999999996E-2</v>
      </c>
      <c r="AW315" s="33">
        <v>3.2799999999999996E-2</v>
      </c>
      <c r="AX315" s="33">
        <v>3.2799999999999996E-2</v>
      </c>
      <c r="AY315" s="33">
        <v>3.2799999999999996E-2</v>
      </c>
      <c r="AZ315" s="33">
        <v>3.2799999999999996E-2</v>
      </c>
      <c r="BA315" s="33">
        <v>3.2799999999999996E-2</v>
      </c>
      <c r="BB315" s="33">
        <v>3.2799999999999996E-2</v>
      </c>
      <c r="BC315" s="33">
        <v>3.2799999999999996E-2</v>
      </c>
      <c r="BD315" s="33">
        <v>3.2799999999999996E-2</v>
      </c>
      <c r="BE315" s="33">
        <v>3.2799999999999996E-2</v>
      </c>
      <c r="BF315" s="33">
        <v>3.2799999999999996E-2</v>
      </c>
      <c r="BG315" s="33">
        <v>3.2799999999999996E-2</v>
      </c>
      <c r="BH315" s="33">
        <v>3.2799999999999996E-2</v>
      </c>
      <c r="BI315" s="33">
        <v>3.2799999999999996E-2</v>
      </c>
      <c r="BJ315" s="33">
        <v>3.2799999999999996E-2</v>
      </c>
      <c r="BK315" s="33">
        <v>3.2799999999999996E-2</v>
      </c>
      <c r="BL315" s="33">
        <v>3.2799999999999996E-2</v>
      </c>
      <c r="BM315" s="33">
        <v>3.2799999999999996E-2</v>
      </c>
      <c r="BN315" s="33">
        <v>3.2799999999999996E-2</v>
      </c>
      <c r="BO315" s="33">
        <v>3.2799999999999996E-2</v>
      </c>
      <c r="BP315" s="33">
        <v>3.2799999999999996E-2</v>
      </c>
      <c r="BQ315" s="33">
        <v>3.2799999999999996E-2</v>
      </c>
    </row>
    <row r="316" spans="1:69" s="34" customFormat="1" hidden="1" x14ac:dyDescent="0.25">
      <c r="A316" s="33">
        <v>31</v>
      </c>
      <c r="B316" s="33" t="s">
        <v>150</v>
      </c>
      <c r="C316" s="36" t="s">
        <v>151</v>
      </c>
      <c r="D316" s="33">
        <v>5</v>
      </c>
      <c r="E316" s="36" t="s">
        <v>494</v>
      </c>
      <c r="F316" s="33"/>
      <c r="G316" s="33" t="s">
        <v>500</v>
      </c>
      <c r="H316" s="33">
        <v>0</v>
      </c>
      <c r="I316" s="33">
        <v>1.0870295699999998E-2</v>
      </c>
      <c r="J316" s="33">
        <v>1.1070953519999998E-2</v>
      </c>
      <c r="K316" s="33">
        <v>1.2019726619999999E-2</v>
      </c>
      <c r="L316" s="33">
        <v>1.2103447619999999E-2</v>
      </c>
      <c r="M316" s="33">
        <v>1.2817412519999998E-2</v>
      </c>
      <c r="N316" s="33">
        <v>1.3264443719999998E-2</v>
      </c>
      <c r="O316" s="33">
        <v>1.3964429159999998E-2</v>
      </c>
      <c r="P316" s="33">
        <v>1.2988398059999998E-2</v>
      </c>
      <c r="Q316" s="33">
        <v>3.2799999999999996E-2</v>
      </c>
      <c r="R316" s="33">
        <v>3.2799999999999996E-2</v>
      </c>
      <c r="S316" s="33">
        <v>3.3649999999999999E-2</v>
      </c>
      <c r="T316" s="33">
        <v>3.3649999999999999E-2</v>
      </c>
      <c r="U316" s="33">
        <v>99999</v>
      </c>
      <c r="V316" s="33">
        <v>99999</v>
      </c>
      <c r="W316" s="33">
        <v>99999</v>
      </c>
      <c r="X316" s="33">
        <v>99999</v>
      </c>
      <c r="Y316" s="33">
        <v>99999</v>
      </c>
      <c r="Z316" s="33">
        <v>99999</v>
      </c>
      <c r="AA316" s="33">
        <v>99999</v>
      </c>
      <c r="AB316" s="33">
        <v>99999</v>
      </c>
      <c r="AC316" s="33">
        <v>99999</v>
      </c>
      <c r="AD316" s="33">
        <v>99999</v>
      </c>
      <c r="AE316" s="33">
        <v>99999</v>
      </c>
      <c r="AF316" s="33">
        <v>99999</v>
      </c>
      <c r="AG316" s="33">
        <v>99999</v>
      </c>
      <c r="AH316" s="33">
        <v>99999</v>
      </c>
      <c r="AI316" s="33">
        <v>99999</v>
      </c>
      <c r="AJ316" s="33">
        <v>99999</v>
      </c>
      <c r="AK316" s="33">
        <v>99999</v>
      </c>
      <c r="AL316" s="33">
        <v>99999</v>
      </c>
      <c r="AM316" s="33">
        <v>99999</v>
      </c>
      <c r="AN316" s="33">
        <v>99999</v>
      </c>
      <c r="AO316" s="33">
        <v>99999</v>
      </c>
      <c r="AP316" s="33">
        <v>99999</v>
      </c>
      <c r="AQ316" s="33">
        <v>99999</v>
      </c>
      <c r="AR316" s="33">
        <v>99999</v>
      </c>
      <c r="AS316" s="33">
        <v>99999</v>
      </c>
      <c r="AT316" s="33">
        <v>99999</v>
      </c>
      <c r="AU316" s="33">
        <v>99999</v>
      </c>
      <c r="AV316" s="33">
        <v>99999</v>
      </c>
      <c r="AW316" s="33">
        <v>99999</v>
      </c>
      <c r="AX316" s="33">
        <v>99999</v>
      </c>
      <c r="AY316" s="33">
        <v>99999</v>
      </c>
      <c r="AZ316" s="33">
        <v>99999</v>
      </c>
      <c r="BA316" s="33">
        <v>99999</v>
      </c>
      <c r="BB316" s="33">
        <v>99999</v>
      </c>
      <c r="BC316" s="33">
        <v>99999</v>
      </c>
      <c r="BD316" s="33">
        <v>99999</v>
      </c>
      <c r="BE316" s="33">
        <v>99999</v>
      </c>
      <c r="BF316" s="33">
        <v>99999</v>
      </c>
      <c r="BG316" s="33">
        <v>99999</v>
      </c>
      <c r="BH316" s="33">
        <v>99999</v>
      </c>
      <c r="BI316" s="33">
        <v>99999</v>
      </c>
      <c r="BJ316" s="33">
        <v>99999</v>
      </c>
      <c r="BK316" s="33">
        <v>99999</v>
      </c>
      <c r="BL316" s="33">
        <v>99999</v>
      </c>
      <c r="BM316" s="33">
        <v>99999</v>
      </c>
      <c r="BN316" s="33">
        <v>99999</v>
      </c>
      <c r="BO316" s="33">
        <v>99999</v>
      </c>
      <c r="BP316" s="33">
        <v>99999</v>
      </c>
      <c r="BQ316" s="33">
        <v>99999</v>
      </c>
    </row>
    <row r="317" spans="1:69" s="34" customFormat="1" hidden="1" x14ac:dyDescent="0.25">
      <c r="A317" s="33">
        <v>31</v>
      </c>
      <c r="B317" s="33" t="s">
        <v>150</v>
      </c>
      <c r="C317" s="36" t="s">
        <v>151</v>
      </c>
      <c r="D317" s="33">
        <v>6</v>
      </c>
      <c r="E317" s="36" t="s">
        <v>495</v>
      </c>
      <c r="F317" s="33"/>
      <c r="G317" s="33" t="s">
        <v>500</v>
      </c>
      <c r="H317" s="33">
        <v>0</v>
      </c>
      <c r="I317" s="33">
        <v>0.71469692291339693</v>
      </c>
      <c r="J317" s="33">
        <v>0.61354788501752877</v>
      </c>
      <c r="K317" s="33">
        <v>0.69298852474704109</v>
      </c>
      <c r="L317" s="33">
        <v>0.79743078713254234</v>
      </c>
      <c r="M317" s="33">
        <v>0.83029582336581764</v>
      </c>
      <c r="N317" s="33">
        <v>0.82740585085450713</v>
      </c>
      <c r="O317" s="33">
        <v>0.73042375006797045</v>
      </c>
      <c r="P317" s="33">
        <v>0.49566389002128108</v>
      </c>
      <c r="Q317" s="33">
        <v>0.42830000000000001</v>
      </c>
      <c r="R317" s="33">
        <v>0.38700000000000001</v>
      </c>
      <c r="S317" s="33">
        <v>0.42609999999999998</v>
      </c>
      <c r="T317" s="33">
        <v>5.3600000000000002E-2</v>
      </c>
      <c r="U317" s="33">
        <v>0.44357591519999989</v>
      </c>
      <c r="V317" s="33">
        <v>0.44357591519999989</v>
      </c>
      <c r="W317" s="33">
        <v>0.44357591519999989</v>
      </c>
      <c r="X317" s="33">
        <v>0.44371876745517086</v>
      </c>
      <c r="Y317" s="33">
        <v>0.45099774735038434</v>
      </c>
      <c r="Z317" s="33">
        <v>0.4583282160833021</v>
      </c>
      <c r="AA317" s="33">
        <v>0.46575282648346278</v>
      </c>
      <c r="AB317" s="33">
        <v>0.47323310737128255</v>
      </c>
      <c r="AC317" s="33">
        <v>0.48082338383400003</v>
      </c>
      <c r="AD317" s="33">
        <v>0.48843627756864677</v>
      </c>
      <c r="AE317" s="33">
        <v>0.4961047690666055</v>
      </c>
      <c r="AF317" s="33">
        <v>0.50384842117722972</v>
      </c>
      <c r="AG317" s="33">
        <v>0.51164138039514695</v>
      </c>
      <c r="AH317" s="33">
        <v>0.51946673830967049</v>
      </c>
      <c r="AI317" s="33">
        <v>0.52733536721068253</v>
      </c>
      <c r="AJ317" s="33">
        <v>0.53521795918632653</v>
      </c>
      <c r="AK317" s="33">
        <v>0.54313778602765472</v>
      </c>
      <c r="AL317" s="33">
        <v>0.55110262923980069</v>
      </c>
      <c r="AM317" s="33">
        <v>0.55905180035515945</v>
      </c>
      <c r="AN317" s="33">
        <v>0.56704278797006613</v>
      </c>
      <c r="AO317" s="33">
        <v>0.57497963230860161</v>
      </c>
      <c r="AP317" s="33">
        <v>0.58291691299321957</v>
      </c>
      <c r="AQ317" s="33">
        <v>0.59076023382146192</v>
      </c>
      <c r="AR317" s="33">
        <v>0.59851701267672708</v>
      </c>
      <c r="AS317" s="33">
        <v>0.6061764499934793</v>
      </c>
      <c r="AT317" s="33">
        <v>0.61371261954199896</v>
      </c>
      <c r="AU317" s="33">
        <v>0.62112181238058728</v>
      </c>
      <c r="AV317" s="33">
        <v>0.62843188193416022</v>
      </c>
      <c r="AW317" s="33">
        <v>0.63560784779179214</v>
      </c>
      <c r="AX317" s="33">
        <v>0.64119619123431004</v>
      </c>
      <c r="AY317" s="33">
        <v>0.64863641521515603</v>
      </c>
      <c r="AZ317" s="33">
        <v>0.65607663919600301</v>
      </c>
      <c r="BA317" s="33">
        <v>0.66351686317684999</v>
      </c>
      <c r="BB317" s="33">
        <v>0.67095708715769697</v>
      </c>
      <c r="BC317" s="33">
        <v>0.67839731113854396</v>
      </c>
      <c r="BD317" s="33">
        <v>0.68583753511938905</v>
      </c>
      <c r="BE317" s="33">
        <v>0.69327775910023703</v>
      </c>
      <c r="BF317" s="33">
        <v>0.70071798308108302</v>
      </c>
      <c r="BG317" s="33">
        <v>0.708158207061931</v>
      </c>
      <c r="BH317" s="33">
        <v>0.71559843104277798</v>
      </c>
      <c r="BI317" s="33">
        <v>0.72303865502362397</v>
      </c>
      <c r="BJ317" s="33">
        <v>0.73047887900447095</v>
      </c>
      <c r="BK317" s="33">
        <v>0.73791910298531804</v>
      </c>
      <c r="BL317" s="33">
        <v>0.74535932696616403</v>
      </c>
      <c r="BM317" s="33">
        <v>0.75279955094701201</v>
      </c>
      <c r="BN317" s="33">
        <v>0.76023977492785799</v>
      </c>
      <c r="BO317" s="33">
        <v>0.76767999890870497</v>
      </c>
      <c r="BP317" s="33">
        <v>0.77512022288955185</v>
      </c>
      <c r="BQ317" s="33">
        <v>0.78256044687039905</v>
      </c>
    </row>
    <row r="318" spans="1:69" s="34" customFormat="1" hidden="1" x14ac:dyDescent="0.25">
      <c r="A318" s="33">
        <v>31</v>
      </c>
      <c r="B318" s="33" t="s">
        <v>150</v>
      </c>
      <c r="C318" s="36" t="s">
        <v>151</v>
      </c>
      <c r="D318" s="33">
        <v>7</v>
      </c>
      <c r="E318" s="36" t="s">
        <v>496</v>
      </c>
      <c r="F318" s="33"/>
      <c r="G318" s="33" t="s">
        <v>500</v>
      </c>
      <c r="H318" s="33">
        <v>0</v>
      </c>
      <c r="I318" s="33">
        <v>0.71469692291339693</v>
      </c>
      <c r="J318" s="33">
        <v>0.61354788501752877</v>
      </c>
      <c r="K318" s="33">
        <v>0.69298852474704109</v>
      </c>
      <c r="L318" s="33">
        <v>0.79743078713254234</v>
      </c>
      <c r="M318" s="33">
        <v>0.83029582336581764</v>
      </c>
      <c r="N318" s="33">
        <v>0.82740585085450713</v>
      </c>
      <c r="O318" s="33">
        <v>0.73042375006797045</v>
      </c>
      <c r="P318" s="33">
        <v>0.49566389002128108</v>
      </c>
      <c r="Q318" s="33">
        <v>0.42830000000000001</v>
      </c>
      <c r="R318" s="33">
        <v>0.38700000000000001</v>
      </c>
      <c r="S318" s="33">
        <v>0.42609999999999998</v>
      </c>
      <c r="T318" s="33">
        <v>5.3600000000000002E-2</v>
      </c>
      <c r="U318" s="33">
        <v>0.43914015604799989</v>
      </c>
      <c r="V318" s="33">
        <v>0.43914015604799989</v>
      </c>
      <c r="W318" s="33">
        <v>0.43914015604799989</v>
      </c>
      <c r="X318" s="33">
        <v>0.43928157978061916</v>
      </c>
      <c r="Y318" s="33">
        <v>0.44648776987688049</v>
      </c>
      <c r="Z318" s="33">
        <v>0.45374493392246906</v>
      </c>
      <c r="AA318" s="33">
        <v>0.46109529821862816</v>
      </c>
      <c r="AB318" s="33">
        <v>0.4685007762975697</v>
      </c>
      <c r="AC318" s="33">
        <v>0.47601514999566003</v>
      </c>
      <c r="AD318" s="33">
        <v>0.48355191479296028</v>
      </c>
      <c r="AE318" s="33">
        <v>0.49114372137593942</v>
      </c>
      <c r="AF318" s="33">
        <v>0.49880993696545745</v>
      </c>
      <c r="AG318" s="33">
        <v>0.5065249665911955</v>
      </c>
      <c r="AH318" s="33">
        <v>0.51427207092657379</v>
      </c>
      <c r="AI318" s="33">
        <v>0.52206201353857573</v>
      </c>
      <c r="AJ318" s="33">
        <v>0.52986577959446324</v>
      </c>
      <c r="AK318" s="33">
        <v>0.53770640816737814</v>
      </c>
      <c r="AL318" s="33">
        <v>0.54559160294740272</v>
      </c>
      <c r="AM318" s="33">
        <v>0.55346128235160785</v>
      </c>
      <c r="AN318" s="33">
        <v>0.56137236009036551</v>
      </c>
      <c r="AO318" s="33">
        <v>0.56922983598551558</v>
      </c>
      <c r="AP318" s="33">
        <v>0.57708774386328732</v>
      </c>
      <c r="AQ318" s="33">
        <v>0.58485263148324729</v>
      </c>
      <c r="AR318" s="33">
        <v>0.59253184254995983</v>
      </c>
      <c r="AS318" s="33">
        <v>0.60011468549354452</v>
      </c>
      <c r="AT318" s="33">
        <v>0.60757549334657901</v>
      </c>
      <c r="AU318" s="33">
        <v>0.61491059425678141</v>
      </c>
      <c r="AV318" s="33">
        <v>0.62214756311481856</v>
      </c>
      <c r="AW318" s="33">
        <v>0.62925176931387417</v>
      </c>
      <c r="AX318" s="33">
        <v>0.63478422932196699</v>
      </c>
      <c r="AY318" s="33">
        <v>0.64215005106300449</v>
      </c>
      <c r="AZ318" s="33">
        <v>0.64951587280404299</v>
      </c>
      <c r="BA318" s="33">
        <v>0.6568816945450815</v>
      </c>
      <c r="BB318" s="33">
        <v>0.66424751628612</v>
      </c>
      <c r="BC318" s="33">
        <v>0.6716133380271585</v>
      </c>
      <c r="BD318" s="33">
        <v>0.67897915976819512</v>
      </c>
      <c r="BE318" s="33">
        <v>0.68634498150923462</v>
      </c>
      <c r="BF318" s="33">
        <v>0.69371080325027223</v>
      </c>
      <c r="BG318" s="33">
        <v>0.70107662499131174</v>
      </c>
      <c r="BH318" s="33">
        <v>0.70844244673235024</v>
      </c>
      <c r="BI318" s="33">
        <v>0.71580826847338774</v>
      </c>
      <c r="BJ318" s="33">
        <v>0.72317409021442625</v>
      </c>
      <c r="BK318" s="33">
        <v>0.73053991195546486</v>
      </c>
      <c r="BL318" s="33">
        <v>0.73790573369650236</v>
      </c>
      <c r="BM318" s="33">
        <v>0.74527155543754187</v>
      </c>
      <c r="BN318" s="33">
        <v>0.75263737717857937</v>
      </c>
      <c r="BO318" s="33">
        <v>0.76000319891961787</v>
      </c>
      <c r="BP318" s="33">
        <v>0.76736902066065638</v>
      </c>
      <c r="BQ318" s="33">
        <v>0.7747348424016951</v>
      </c>
    </row>
    <row r="319" spans="1:69" s="34" customFormat="1" hidden="1" x14ac:dyDescent="0.25">
      <c r="A319" s="33">
        <v>31</v>
      </c>
      <c r="B319" s="33" t="s">
        <v>150</v>
      </c>
      <c r="C319" s="36" t="s">
        <v>151</v>
      </c>
      <c r="D319" s="33">
        <v>8</v>
      </c>
      <c r="E319" s="36" t="s">
        <v>497</v>
      </c>
      <c r="F319" s="33"/>
      <c r="G319" s="33" t="s">
        <v>490</v>
      </c>
      <c r="H319" s="33">
        <v>0</v>
      </c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</row>
    <row r="320" spans="1:69" s="34" customFormat="1" hidden="1" x14ac:dyDescent="0.25">
      <c r="A320" s="33">
        <v>31</v>
      </c>
      <c r="B320" s="33" t="s">
        <v>150</v>
      </c>
      <c r="C320" s="36" t="s">
        <v>151</v>
      </c>
      <c r="D320" s="33">
        <v>9</v>
      </c>
      <c r="E320" s="36" t="s">
        <v>498</v>
      </c>
      <c r="F320" s="33"/>
      <c r="G320" s="33" t="s">
        <v>500</v>
      </c>
      <c r="H320" s="33">
        <v>0</v>
      </c>
      <c r="I320" s="33">
        <v>2.2166999999999999</v>
      </c>
      <c r="J320" s="33">
        <v>1.8685</v>
      </c>
      <c r="K320" s="33">
        <v>1.9439</v>
      </c>
      <c r="L320" s="33">
        <v>2.2214</v>
      </c>
      <c r="M320" s="33">
        <v>2.1840999999999999</v>
      </c>
      <c r="N320" s="33">
        <v>2.1031</v>
      </c>
      <c r="O320" s="33">
        <v>1.7635000000000001</v>
      </c>
      <c r="P320" s="33">
        <v>1.2867</v>
      </c>
      <c r="Q320" s="33">
        <v>0.44030000000000002</v>
      </c>
      <c r="R320" s="33">
        <v>0.40460000000000002</v>
      </c>
      <c r="S320" s="33">
        <v>0.4269</v>
      </c>
      <c r="T320" s="33">
        <v>0.1363</v>
      </c>
      <c r="U320" s="33">
        <v>0.44030000000000002</v>
      </c>
      <c r="V320" s="33">
        <v>0.44030000000000002</v>
      </c>
      <c r="W320" s="33">
        <v>0.44030000000000002</v>
      </c>
      <c r="X320" s="33">
        <v>0.44030000000000002</v>
      </c>
      <c r="Y320" s="33">
        <v>0.44030000000000002</v>
      </c>
      <c r="Z320" s="33">
        <v>0.44030000000000002</v>
      </c>
      <c r="AA320" s="33">
        <v>0.44030000000000002</v>
      </c>
      <c r="AB320" s="33">
        <v>0.44030000000000002</v>
      </c>
      <c r="AC320" s="33">
        <v>0.44030000000000002</v>
      </c>
      <c r="AD320" s="33">
        <v>0.44030000000000002</v>
      </c>
      <c r="AE320" s="33">
        <v>0.44030000000000002</v>
      </c>
      <c r="AF320" s="33">
        <v>0.44030000000000002</v>
      </c>
      <c r="AG320" s="33">
        <v>0.44030000000000002</v>
      </c>
      <c r="AH320" s="33">
        <v>0.44030000000000002</v>
      </c>
      <c r="AI320" s="33">
        <v>0.44030000000000002</v>
      </c>
      <c r="AJ320" s="33">
        <v>0.44030000000000002</v>
      </c>
      <c r="AK320" s="33">
        <v>0.44030000000000002</v>
      </c>
      <c r="AL320" s="33">
        <v>0.44030000000000002</v>
      </c>
      <c r="AM320" s="33">
        <v>0.44030000000000002</v>
      </c>
      <c r="AN320" s="33">
        <v>0.44030000000000002</v>
      </c>
      <c r="AO320" s="33">
        <v>0.44030000000000002</v>
      </c>
      <c r="AP320" s="33">
        <v>0.44030000000000002</v>
      </c>
      <c r="AQ320" s="33">
        <v>0.44030000000000002</v>
      </c>
      <c r="AR320" s="33">
        <v>0.44030000000000002</v>
      </c>
      <c r="AS320" s="33">
        <v>0.44030000000000002</v>
      </c>
      <c r="AT320" s="33">
        <v>0.44030000000000002</v>
      </c>
      <c r="AU320" s="33">
        <v>0.44030000000000002</v>
      </c>
      <c r="AV320" s="33">
        <v>0.44030000000000002</v>
      </c>
      <c r="AW320" s="33">
        <v>0.44030000000000002</v>
      </c>
      <c r="AX320" s="33">
        <v>0.44030000000000002</v>
      </c>
      <c r="AY320" s="33">
        <v>0.44030000000000002</v>
      </c>
      <c r="AZ320" s="33">
        <v>0.44030000000000002</v>
      </c>
      <c r="BA320" s="33">
        <v>0.44030000000000002</v>
      </c>
      <c r="BB320" s="33">
        <v>0.44030000000000002</v>
      </c>
      <c r="BC320" s="33">
        <v>0.44030000000000002</v>
      </c>
      <c r="BD320" s="33">
        <v>0.44030000000000002</v>
      </c>
      <c r="BE320" s="33">
        <v>0.44030000000000002</v>
      </c>
      <c r="BF320" s="33">
        <v>0.44030000000000002</v>
      </c>
      <c r="BG320" s="33">
        <v>0.44030000000000002</v>
      </c>
      <c r="BH320" s="33">
        <v>0.44030000000000002</v>
      </c>
      <c r="BI320" s="33">
        <v>0.44030000000000002</v>
      </c>
      <c r="BJ320" s="33">
        <v>0.44030000000000002</v>
      </c>
      <c r="BK320" s="33">
        <v>0.44030000000000002</v>
      </c>
      <c r="BL320" s="33">
        <v>0.44030000000000002</v>
      </c>
      <c r="BM320" s="33">
        <v>0.44030000000000002</v>
      </c>
      <c r="BN320" s="33">
        <v>0.44030000000000002</v>
      </c>
      <c r="BO320" s="33">
        <v>0.44030000000000002</v>
      </c>
      <c r="BP320" s="33">
        <v>0.44030000000000002</v>
      </c>
      <c r="BQ320" s="33">
        <v>0.44030000000000002</v>
      </c>
    </row>
    <row r="321" spans="1:69" s="34" customFormat="1" hidden="1" x14ac:dyDescent="0.25">
      <c r="A321" s="33">
        <v>31</v>
      </c>
      <c r="B321" s="33" t="s">
        <v>150</v>
      </c>
      <c r="C321" s="36" t="s">
        <v>151</v>
      </c>
      <c r="D321" s="33">
        <v>10</v>
      </c>
      <c r="E321" s="36" t="s">
        <v>499</v>
      </c>
      <c r="F321" s="33"/>
      <c r="G321" s="33" t="s">
        <v>501</v>
      </c>
      <c r="H321" s="33">
        <v>0</v>
      </c>
      <c r="I321" s="33">
        <v>0.95</v>
      </c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</row>
    <row r="322" spans="1:69" s="44" customFormat="1" hidden="1" x14ac:dyDescent="0.25">
      <c r="A322" s="43">
        <v>32</v>
      </c>
      <c r="B322" s="43" t="s">
        <v>152</v>
      </c>
      <c r="C322" s="20" t="s">
        <v>153</v>
      </c>
      <c r="D322" s="43">
        <v>1</v>
      </c>
      <c r="E322" s="20" t="s">
        <v>489</v>
      </c>
      <c r="F322" s="43"/>
      <c r="G322" s="43" t="s">
        <v>501</v>
      </c>
      <c r="H322" s="43">
        <v>0</v>
      </c>
      <c r="I322" s="43">
        <v>1200</v>
      </c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</row>
    <row r="323" spans="1:69" s="44" customFormat="1" hidden="1" x14ac:dyDescent="0.25">
      <c r="A323" s="43">
        <v>32</v>
      </c>
      <c r="B323" s="43" t="s">
        <v>152</v>
      </c>
      <c r="C323" s="20" t="s">
        <v>153</v>
      </c>
      <c r="D323" s="43">
        <v>2</v>
      </c>
      <c r="E323" s="20" t="s">
        <v>491</v>
      </c>
      <c r="F323" s="43"/>
      <c r="G323" s="43" t="s">
        <v>501</v>
      </c>
      <c r="H323" s="43">
        <v>0</v>
      </c>
      <c r="I323" s="43">
        <v>20</v>
      </c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</row>
    <row r="324" spans="1:69" s="44" customFormat="1" hidden="1" x14ac:dyDescent="0.25">
      <c r="A324" s="43">
        <v>32</v>
      </c>
      <c r="B324" s="43" t="s">
        <v>152</v>
      </c>
      <c r="C324" s="20" t="s">
        <v>153</v>
      </c>
      <c r="D324" s="43">
        <v>3</v>
      </c>
      <c r="E324" s="20" t="s">
        <v>492</v>
      </c>
      <c r="F324" s="43"/>
      <c r="G324" s="43" t="s">
        <v>501</v>
      </c>
      <c r="H324" s="43">
        <v>0</v>
      </c>
      <c r="I324" s="45">
        <v>9.4600000000000009</v>
      </c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</row>
    <row r="325" spans="1:69" s="44" customFormat="1" hidden="1" x14ac:dyDescent="0.25">
      <c r="A325" s="43">
        <v>32</v>
      </c>
      <c r="B325" s="43" t="s">
        <v>152</v>
      </c>
      <c r="C325" s="20" t="s">
        <v>153</v>
      </c>
      <c r="D325" s="43">
        <v>4</v>
      </c>
      <c r="E325" s="20" t="s">
        <v>493</v>
      </c>
      <c r="F325" s="43"/>
      <c r="G325" s="43" t="s">
        <v>500</v>
      </c>
      <c r="H325" s="43">
        <v>0</v>
      </c>
      <c r="I325" s="43">
        <v>2.3999999999999998E-4</v>
      </c>
      <c r="J325" s="43">
        <v>2.3999999999999998E-4</v>
      </c>
      <c r="K325" s="43">
        <v>2.3999999999999998E-4</v>
      </c>
      <c r="L325" s="43">
        <v>2.3999999999999998E-4</v>
      </c>
      <c r="M325" s="43">
        <v>2.3999999999999998E-4</v>
      </c>
      <c r="N325" s="43">
        <v>2.3999999999999998E-4</v>
      </c>
      <c r="O325" s="43">
        <v>2.3999999999999998E-4</v>
      </c>
      <c r="P325" s="43">
        <v>2.3999999999999998E-4</v>
      </c>
      <c r="Q325" s="43">
        <v>2.3999999999999998E-4</v>
      </c>
      <c r="R325" s="43">
        <v>2.3999999999999998E-4</v>
      </c>
      <c r="S325" s="43">
        <v>2.3999999999999998E-4</v>
      </c>
      <c r="T325" s="43">
        <v>2.3999999999999998E-4</v>
      </c>
      <c r="U325" s="43">
        <v>2.3999999999999998E-4</v>
      </c>
      <c r="V325" s="43">
        <v>2.3999999999999998E-4</v>
      </c>
      <c r="W325" s="43">
        <v>2.3999999999999998E-4</v>
      </c>
      <c r="X325" s="43">
        <v>2.3999999999999998E-4</v>
      </c>
      <c r="Y325" s="43">
        <v>2.3999999999999998E-4</v>
      </c>
      <c r="Z325" s="43">
        <v>2.3999999999999998E-4</v>
      </c>
      <c r="AA325" s="43">
        <v>2.3999999999999998E-4</v>
      </c>
      <c r="AB325" s="43">
        <v>2.3999999999999998E-4</v>
      </c>
      <c r="AC325" s="43">
        <v>2.3999999999999998E-4</v>
      </c>
      <c r="AD325" s="43">
        <v>2.3999999999999998E-4</v>
      </c>
      <c r="AE325" s="43">
        <v>2.3999999999999998E-4</v>
      </c>
      <c r="AF325" s="43">
        <v>2.3999999999999998E-4</v>
      </c>
      <c r="AG325" s="43">
        <v>2.3999999999999998E-4</v>
      </c>
      <c r="AH325" s="43">
        <v>2.3999999999999998E-4</v>
      </c>
      <c r="AI325" s="43">
        <v>2.3999999999999998E-4</v>
      </c>
      <c r="AJ325" s="43">
        <v>2.3999999999999998E-4</v>
      </c>
      <c r="AK325" s="43">
        <v>2.3999999999999998E-4</v>
      </c>
      <c r="AL325" s="43">
        <v>2.3999999999999998E-4</v>
      </c>
      <c r="AM325" s="43">
        <v>2.3999999999999998E-4</v>
      </c>
      <c r="AN325" s="43">
        <v>2.3999999999999998E-4</v>
      </c>
      <c r="AO325" s="43">
        <v>2.3999999999999998E-4</v>
      </c>
      <c r="AP325" s="43">
        <v>2.3999999999999998E-4</v>
      </c>
      <c r="AQ325" s="43">
        <v>2.3999999999999998E-4</v>
      </c>
      <c r="AR325" s="43">
        <v>2.3999999999999998E-4</v>
      </c>
      <c r="AS325" s="43">
        <v>2.3999999999999998E-4</v>
      </c>
      <c r="AT325" s="43">
        <v>2.3999999999999998E-4</v>
      </c>
      <c r="AU325" s="43">
        <v>2.3999999999999998E-4</v>
      </c>
      <c r="AV325" s="43">
        <v>2.3999999999999998E-4</v>
      </c>
      <c r="AW325" s="43">
        <v>2.3999999999999998E-4</v>
      </c>
      <c r="AX325" s="43">
        <v>2.3999999999999998E-4</v>
      </c>
      <c r="AY325" s="43">
        <v>2.3999999999999998E-4</v>
      </c>
      <c r="AZ325" s="43">
        <v>2.3999999999999998E-4</v>
      </c>
      <c r="BA325" s="43">
        <v>2.3999999999999998E-4</v>
      </c>
      <c r="BB325" s="43">
        <v>2.3999999999999998E-4</v>
      </c>
      <c r="BC325" s="43">
        <v>2.3999999999999998E-4</v>
      </c>
      <c r="BD325" s="43">
        <v>2.3999999999999998E-4</v>
      </c>
      <c r="BE325" s="43">
        <v>2.3999999999999998E-4</v>
      </c>
      <c r="BF325" s="43">
        <v>2.3999999999999998E-4</v>
      </c>
      <c r="BG325" s="43">
        <v>2.3999999999999998E-4</v>
      </c>
      <c r="BH325" s="43">
        <v>2.3999999999999998E-4</v>
      </c>
      <c r="BI325" s="43">
        <v>2.3999999999999998E-4</v>
      </c>
      <c r="BJ325" s="43">
        <v>2.3999999999999998E-4</v>
      </c>
      <c r="BK325" s="43">
        <v>2.3999999999999998E-4</v>
      </c>
      <c r="BL325" s="43">
        <v>2.3999999999999998E-4</v>
      </c>
      <c r="BM325" s="43">
        <v>2.3999999999999998E-4</v>
      </c>
      <c r="BN325" s="43">
        <v>2.3999999999999998E-4</v>
      </c>
      <c r="BO325" s="43">
        <v>2.3999999999999998E-4</v>
      </c>
      <c r="BP325" s="43">
        <v>2.3999999999999998E-4</v>
      </c>
      <c r="BQ325" s="43">
        <v>2.3999999999999998E-4</v>
      </c>
    </row>
    <row r="326" spans="1:69" s="44" customFormat="1" hidden="1" x14ac:dyDescent="0.25">
      <c r="A326" s="43">
        <v>32</v>
      </c>
      <c r="B326" s="43" t="s">
        <v>152</v>
      </c>
      <c r="C326" s="20" t="s">
        <v>153</v>
      </c>
      <c r="D326" s="43">
        <v>5</v>
      </c>
      <c r="E326" s="20" t="s">
        <v>494</v>
      </c>
      <c r="F326" s="43"/>
      <c r="G326" s="43" t="s">
        <v>500</v>
      </c>
      <c r="H326" s="43">
        <v>0</v>
      </c>
      <c r="I326" s="43">
        <v>2.3999999999999998E-4</v>
      </c>
      <c r="J326" s="43">
        <v>2.3999999999999998E-4</v>
      </c>
      <c r="K326" s="43">
        <v>2.3999999999999998E-4</v>
      </c>
      <c r="L326" s="43">
        <v>2.3999999999999998E-4</v>
      </c>
      <c r="M326" s="43">
        <v>2.3999999999999998E-4</v>
      </c>
      <c r="N326" s="43">
        <v>2.3999999999999998E-4</v>
      </c>
      <c r="O326" s="43">
        <v>2.3999999999999998E-4</v>
      </c>
      <c r="P326" s="43">
        <v>2.3999999999999998E-4</v>
      </c>
      <c r="Q326" s="43">
        <v>2.3999999999999998E-4</v>
      </c>
      <c r="R326" s="43">
        <v>2.3999999999999998E-4</v>
      </c>
      <c r="S326" s="43">
        <v>2.3999999999999998E-4</v>
      </c>
      <c r="T326" s="43">
        <v>2.3999999999999998E-4</v>
      </c>
      <c r="U326" s="43">
        <v>2.3999999999999998E-4</v>
      </c>
      <c r="V326" s="43">
        <v>2.3999999999999998E-4</v>
      </c>
      <c r="W326" s="43">
        <v>2.3999999999999998E-4</v>
      </c>
      <c r="X326" s="43">
        <v>2.3999999999999998E-4</v>
      </c>
      <c r="Y326" s="43">
        <v>2.3999999999999998E-4</v>
      </c>
      <c r="Z326" s="43">
        <v>2.3999999999999998E-4</v>
      </c>
      <c r="AA326" s="43">
        <v>2.3999999999999998E-4</v>
      </c>
      <c r="AB326" s="43">
        <v>2.3999999999999998E-4</v>
      </c>
      <c r="AC326" s="43">
        <v>2.3999999999999998E-4</v>
      </c>
      <c r="AD326" s="43">
        <v>2.3999999999999998E-4</v>
      </c>
      <c r="AE326" s="43">
        <v>2.3999999999999998E-4</v>
      </c>
      <c r="AF326" s="43">
        <v>2.3999999999999998E-4</v>
      </c>
      <c r="AG326" s="43">
        <v>2.3999999999999998E-4</v>
      </c>
      <c r="AH326" s="43">
        <v>2.3999999999999998E-4</v>
      </c>
      <c r="AI326" s="43">
        <v>2.3999999999999998E-4</v>
      </c>
      <c r="AJ326" s="43">
        <v>2.3999999999999998E-4</v>
      </c>
      <c r="AK326" s="43">
        <v>2.3999999999999998E-4</v>
      </c>
      <c r="AL326" s="43">
        <v>2.3999999999999998E-4</v>
      </c>
      <c r="AM326" s="43">
        <v>2.3999999999999998E-4</v>
      </c>
      <c r="AN326" s="43">
        <v>2.3999999999999998E-4</v>
      </c>
      <c r="AO326" s="43">
        <v>2.3999999999999998E-4</v>
      </c>
      <c r="AP326" s="43">
        <v>2.3999999999999998E-4</v>
      </c>
      <c r="AQ326" s="43">
        <v>2.3999999999999998E-4</v>
      </c>
      <c r="AR326" s="43">
        <v>2.3999999999999998E-4</v>
      </c>
      <c r="AS326" s="43">
        <v>2.3999999999999998E-4</v>
      </c>
      <c r="AT326" s="43">
        <v>2.3999999999999998E-4</v>
      </c>
      <c r="AU326" s="43">
        <v>2.3999999999999998E-4</v>
      </c>
      <c r="AV326" s="43">
        <v>2.3999999999999998E-4</v>
      </c>
      <c r="AW326" s="43">
        <v>2.3999999999999998E-4</v>
      </c>
      <c r="AX326" s="43">
        <v>2.3999999999999998E-4</v>
      </c>
      <c r="AY326" s="43">
        <v>2.3999999999999998E-4</v>
      </c>
      <c r="AZ326" s="43">
        <v>2.3999999999999998E-4</v>
      </c>
      <c r="BA326" s="43">
        <v>2.3999999999999998E-4</v>
      </c>
      <c r="BB326" s="43">
        <v>2.3999999999999998E-4</v>
      </c>
      <c r="BC326" s="43">
        <v>2.3999999999999998E-4</v>
      </c>
      <c r="BD326" s="43">
        <v>2.3999999999999998E-4</v>
      </c>
      <c r="BE326" s="43">
        <v>2.3999999999999998E-4</v>
      </c>
      <c r="BF326" s="43">
        <v>2.3999999999999998E-4</v>
      </c>
      <c r="BG326" s="43">
        <v>2.3999999999999998E-4</v>
      </c>
      <c r="BH326" s="43">
        <v>2.3999999999999998E-4</v>
      </c>
      <c r="BI326" s="43">
        <v>2.3999999999999998E-4</v>
      </c>
      <c r="BJ326" s="43">
        <v>2.3999999999999998E-4</v>
      </c>
      <c r="BK326" s="43">
        <v>2.3999999999999998E-4</v>
      </c>
      <c r="BL326" s="43">
        <v>2.3999999999999998E-4</v>
      </c>
      <c r="BM326" s="43">
        <v>2.3999999999999998E-4</v>
      </c>
      <c r="BN326" s="43">
        <v>2.3999999999999998E-4</v>
      </c>
      <c r="BO326" s="43">
        <v>2.3999999999999998E-4</v>
      </c>
      <c r="BP326" s="43">
        <v>2.3999999999999998E-4</v>
      </c>
      <c r="BQ326" s="43">
        <v>2.3999999999999998E-4</v>
      </c>
    </row>
    <row r="327" spans="1:69" s="44" customFormat="1" hidden="1" x14ac:dyDescent="0.25">
      <c r="A327" s="43">
        <v>32</v>
      </c>
      <c r="B327" s="43" t="s">
        <v>152</v>
      </c>
      <c r="C327" s="20" t="s">
        <v>153</v>
      </c>
      <c r="D327" s="43">
        <v>6</v>
      </c>
      <c r="E327" s="20" t="s">
        <v>495</v>
      </c>
      <c r="F327" s="43"/>
      <c r="G327" s="43" t="s">
        <v>490</v>
      </c>
      <c r="H327" s="43">
        <v>0</v>
      </c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</row>
    <row r="328" spans="1:69" s="44" customFormat="1" hidden="1" x14ac:dyDescent="0.25">
      <c r="A328" s="43">
        <v>32</v>
      </c>
      <c r="B328" s="43" t="s">
        <v>152</v>
      </c>
      <c r="C328" s="20" t="s">
        <v>153</v>
      </c>
      <c r="D328" s="43">
        <v>7</v>
      </c>
      <c r="E328" s="20" t="s">
        <v>496</v>
      </c>
      <c r="F328" s="43"/>
      <c r="G328" s="43" t="s">
        <v>500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  <c r="V328" s="43">
        <v>0</v>
      </c>
      <c r="W328" s="43">
        <v>0</v>
      </c>
      <c r="X328" s="43">
        <v>0</v>
      </c>
      <c r="Y328" s="43">
        <v>0</v>
      </c>
      <c r="Z328" s="43">
        <v>0</v>
      </c>
      <c r="AA328" s="43">
        <v>0</v>
      </c>
      <c r="AB328" s="43">
        <v>0</v>
      </c>
      <c r="AC328" s="43">
        <v>0</v>
      </c>
      <c r="AD328" s="43">
        <v>0</v>
      </c>
      <c r="AE328" s="43">
        <v>0</v>
      </c>
      <c r="AF328" s="43">
        <v>0</v>
      </c>
      <c r="AG328" s="43">
        <v>0</v>
      </c>
      <c r="AH328" s="43">
        <v>0</v>
      </c>
      <c r="AI328" s="43">
        <v>0</v>
      </c>
      <c r="AJ328" s="43">
        <v>0</v>
      </c>
      <c r="AK328" s="43">
        <v>0</v>
      </c>
      <c r="AL328" s="43">
        <v>0</v>
      </c>
      <c r="AM328" s="43">
        <v>0</v>
      </c>
      <c r="AN328" s="43">
        <v>0</v>
      </c>
      <c r="AO328" s="43">
        <v>0</v>
      </c>
      <c r="AP328" s="43">
        <v>0</v>
      </c>
      <c r="AQ328" s="43">
        <v>0</v>
      </c>
      <c r="AR328" s="43">
        <v>0</v>
      </c>
      <c r="AS328" s="43">
        <v>0</v>
      </c>
      <c r="AT328" s="43">
        <v>0</v>
      </c>
      <c r="AU328" s="43">
        <v>0</v>
      </c>
      <c r="AV328" s="43">
        <v>0</v>
      </c>
      <c r="AW328" s="43">
        <v>0</v>
      </c>
      <c r="AX328" s="43">
        <v>0</v>
      </c>
      <c r="AY328" s="43">
        <v>0</v>
      </c>
      <c r="AZ328" s="43">
        <v>0</v>
      </c>
      <c r="BA328" s="43">
        <v>0</v>
      </c>
      <c r="BB328" s="43">
        <v>0</v>
      </c>
      <c r="BC328" s="43">
        <v>0</v>
      </c>
      <c r="BD328" s="43">
        <v>0</v>
      </c>
      <c r="BE328" s="43">
        <v>0</v>
      </c>
      <c r="BF328" s="43">
        <v>0</v>
      </c>
      <c r="BG328" s="43">
        <v>0</v>
      </c>
      <c r="BH328" s="43">
        <v>0</v>
      </c>
      <c r="BI328" s="43">
        <v>0</v>
      </c>
      <c r="BJ328" s="43">
        <v>0</v>
      </c>
      <c r="BK328" s="43">
        <v>0</v>
      </c>
      <c r="BL328" s="43">
        <v>0</v>
      </c>
      <c r="BM328" s="43">
        <v>0</v>
      </c>
      <c r="BN328" s="43">
        <v>0</v>
      </c>
      <c r="BO328" s="43">
        <v>0</v>
      </c>
      <c r="BP328" s="43">
        <v>0</v>
      </c>
      <c r="BQ328" s="43">
        <v>0</v>
      </c>
    </row>
    <row r="329" spans="1:69" s="44" customFormat="1" hidden="1" x14ac:dyDescent="0.25">
      <c r="A329" s="43">
        <v>32</v>
      </c>
      <c r="B329" s="43" t="s">
        <v>152</v>
      </c>
      <c r="C329" s="20" t="s">
        <v>153</v>
      </c>
      <c r="D329" s="43">
        <v>8</v>
      </c>
      <c r="E329" s="20" t="s">
        <v>497</v>
      </c>
      <c r="F329" s="43"/>
      <c r="G329" s="43" t="s">
        <v>490</v>
      </c>
      <c r="H329" s="43">
        <v>0</v>
      </c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</row>
    <row r="330" spans="1:69" s="44" customFormat="1" hidden="1" x14ac:dyDescent="0.25">
      <c r="A330" s="43">
        <v>32</v>
      </c>
      <c r="B330" s="43" t="s">
        <v>152</v>
      </c>
      <c r="C330" s="20" t="s">
        <v>153</v>
      </c>
      <c r="D330" s="43">
        <v>9</v>
      </c>
      <c r="E330" s="20" t="s">
        <v>498</v>
      </c>
      <c r="F330" s="43"/>
      <c r="G330" s="43" t="s">
        <v>500</v>
      </c>
      <c r="H330" s="43">
        <v>0</v>
      </c>
      <c r="I330" s="43">
        <v>8.0000000000000004E-4</v>
      </c>
      <c r="J330" s="43">
        <v>8.0000000000000004E-4</v>
      </c>
      <c r="K330" s="43">
        <v>8.0000000000000004E-4</v>
      </c>
      <c r="L330" s="43">
        <v>8.0000000000000004E-4</v>
      </c>
      <c r="M330" s="43">
        <v>8.0000000000000004E-4</v>
      </c>
      <c r="N330" s="43">
        <v>8.0000000000000004E-4</v>
      </c>
      <c r="O330" s="43">
        <v>8.0000000000000004E-4</v>
      </c>
      <c r="P330" s="43">
        <v>8.0000000000000004E-4</v>
      </c>
      <c r="Q330" s="43">
        <v>8.0000000000000004E-4</v>
      </c>
      <c r="R330" s="43">
        <v>8.0000000000000004E-4</v>
      </c>
      <c r="S330" s="43">
        <v>8.0000000000000004E-4</v>
      </c>
      <c r="T330" s="43">
        <v>8.0000000000000004E-4</v>
      </c>
      <c r="U330" s="43">
        <v>8.0000000000000004E-4</v>
      </c>
      <c r="V330" s="43">
        <v>8.0000000000000004E-4</v>
      </c>
      <c r="W330" s="43">
        <v>8.0000000000000004E-4</v>
      </c>
      <c r="X330" s="43">
        <v>8.0000000000000004E-4</v>
      </c>
      <c r="Y330" s="43">
        <v>8.0000000000000004E-4</v>
      </c>
      <c r="Z330" s="43">
        <v>8.0000000000000004E-4</v>
      </c>
      <c r="AA330" s="43">
        <v>8.0000000000000004E-4</v>
      </c>
      <c r="AB330" s="43">
        <v>8.0000000000000004E-4</v>
      </c>
      <c r="AC330" s="43">
        <v>8.0000000000000004E-4</v>
      </c>
      <c r="AD330" s="43">
        <v>8.0000000000000004E-4</v>
      </c>
      <c r="AE330" s="43">
        <v>8.0000000000000004E-4</v>
      </c>
      <c r="AF330" s="43">
        <v>8.0000000000000004E-4</v>
      </c>
      <c r="AG330" s="43">
        <v>8.0000000000000004E-4</v>
      </c>
      <c r="AH330" s="43">
        <v>8.0000000000000004E-4</v>
      </c>
      <c r="AI330" s="43">
        <v>8.0000000000000004E-4</v>
      </c>
      <c r="AJ330" s="43">
        <v>8.0000000000000004E-4</v>
      </c>
      <c r="AK330" s="43">
        <v>8.0000000000000004E-4</v>
      </c>
      <c r="AL330" s="43">
        <v>8.0000000000000004E-4</v>
      </c>
      <c r="AM330" s="43">
        <v>8.0000000000000004E-4</v>
      </c>
      <c r="AN330" s="43">
        <v>8.0000000000000004E-4</v>
      </c>
      <c r="AO330" s="43">
        <v>8.0000000000000004E-4</v>
      </c>
      <c r="AP330" s="43">
        <v>8.0000000000000004E-4</v>
      </c>
      <c r="AQ330" s="43">
        <v>8.0000000000000004E-4</v>
      </c>
      <c r="AR330" s="43">
        <v>8.0000000000000004E-4</v>
      </c>
      <c r="AS330" s="43">
        <v>8.0000000000000004E-4</v>
      </c>
      <c r="AT330" s="43">
        <v>8.0000000000000004E-4</v>
      </c>
      <c r="AU330" s="43">
        <v>8.0000000000000004E-4</v>
      </c>
      <c r="AV330" s="43">
        <v>8.0000000000000004E-4</v>
      </c>
      <c r="AW330" s="43">
        <v>8.0000000000000004E-4</v>
      </c>
      <c r="AX330" s="43">
        <v>8.0000000000000004E-4</v>
      </c>
      <c r="AY330" s="43">
        <v>8.0000000000000004E-4</v>
      </c>
      <c r="AZ330" s="43">
        <v>8.0000000000000004E-4</v>
      </c>
      <c r="BA330" s="43">
        <v>8.0000000000000004E-4</v>
      </c>
      <c r="BB330" s="43">
        <v>8.0000000000000004E-4</v>
      </c>
      <c r="BC330" s="43">
        <v>8.0000000000000004E-4</v>
      </c>
      <c r="BD330" s="43">
        <v>8.0000000000000004E-4</v>
      </c>
      <c r="BE330" s="43">
        <v>8.0000000000000004E-4</v>
      </c>
      <c r="BF330" s="43">
        <v>8.0000000000000004E-4</v>
      </c>
      <c r="BG330" s="43">
        <v>8.0000000000000004E-4</v>
      </c>
      <c r="BH330" s="43">
        <v>8.0000000000000004E-4</v>
      </c>
      <c r="BI330" s="43">
        <v>8.0000000000000004E-4</v>
      </c>
      <c r="BJ330" s="43">
        <v>8.0000000000000004E-4</v>
      </c>
      <c r="BK330" s="43">
        <v>8.0000000000000004E-4</v>
      </c>
      <c r="BL330" s="43">
        <v>8.0000000000000004E-4</v>
      </c>
      <c r="BM330" s="43">
        <v>8.0000000000000004E-4</v>
      </c>
      <c r="BN330" s="43">
        <v>8.0000000000000004E-4</v>
      </c>
      <c r="BO330" s="43">
        <v>8.0000000000000004E-4</v>
      </c>
      <c r="BP330" s="43">
        <v>8.0000000000000004E-4</v>
      </c>
      <c r="BQ330" s="43">
        <v>8.0000000000000004E-4</v>
      </c>
    </row>
    <row r="331" spans="1:69" s="44" customFormat="1" hidden="1" x14ac:dyDescent="0.25">
      <c r="A331" s="43">
        <v>32</v>
      </c>
      <c r="B331" s="43" t="s">
        <v>152</v>
      </c>
      <c r="C331" s="20" t="s">
        <v>153</v>
      </c>
      <c r="D331" s="43">
        <v>10</v>
      </c>
      <c r="E331" s="20" t="s">
        <v>499</v>
      </c>
      <c r="F331" s="43"/>
      <c r="G331" s="43" t="s">
        <v>501</v>
      </c>
      <c r="H331" s="43">
        <v>0</v>
      </c>
      <c r="I331" s="43">
        <v>0.95</v>
      </c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</row>
    <row r="332" spans="1:69" s="34" customFormat="1" hidden="1" x14ac:dyDescent="0.25">
      <c r="A332" s="33">
        <v>33</v>
      </c>
      <c r="B332" s="33" t="s">
        <v>154</v>
      </c>
      <c r="C332" s="36" t="s">
        <v>155</v>
      </c>
      <c r="D332" s="33">
        <v>1</v>
      </c>
      <c r="E332" s="36" t="s">
        <v>489</v>
      </c>
      <c r="F332" s="33"/>
      <c r="G332" s="33" t="s">
        <v>501</v>
      </c>
      <c r="H332" s="33">
        <v>0</v>
      </c>
      <c r="I332" s="33">
        <v>1200</v>
      </c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</row>
    <row r="333" spans="1:69" s="34" customFormat="1" hidden="1" x14ac:dyDescent="0.25">
      <c r="A333" s="33">
        <v>33</v>
      </c>
      <c r="B333" s="33" t="s">
        <v>154</v>
      </c>
      <c r="C333" s="36" t="s">
        <v>155</v>
      </c>
      <c r="D333" s="33">
        <v>2</v>
      </c>
      <c r="E333" s="36" t="s">
        <v>491</v>
      </c>
      <c r="F333" s="33"/>
      <c r="G333" s="33" t="s">
        <v>501</v>
      </c>
      <c r="H333" s="33">
        <v>0</v>
      </c>
      <c r="I333" s="33">
        <v>20</v>
      </c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</row>
    <row r="334" spans="1:69" s="34" customFormat="1" hidden="1" x14ac:dyDescent="0.25">
      <c r="A334" s="33">
        <v>33</v>
      </c>
      <c r="B334" s="33" t="s">
        <v>154</v>
      </c>
      <c r="C334" s="36" t="s">
        <v>155</v>
      </c>
      <c r="D334" s="33">
        <v>3</v>
      </c>
      <c r="E334" s="36" t="s">
        <v>492</v>
      </c>
      <c r="F334" s="33"/>
      <c r="G334" s="33" t="s">
        <v>501</v>
      </c>
      <c r="H334" s="33">
        <v>0</v>
      </c>
      <c r="I334" s="33">
        <v>9.4600000000000009</v>
      </c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</row>
    <row r="335" spans="1:69" s="34" customFormat="1" hidden="1" x14ac:dyDescent="0.25">
      <c r="A335" s="33">
        <v>33</v>
      </c>
      <c r="B335" s="33" t="s">
        <v>154</v>
      </c>
      <c r="C335" s="36" t="s">
        <v>155</v>
      </c>
      <c r="D335" s="33">
        <v>4</v>
      </c>
      <c r="E335" s="36" t="s">
        <v>493</v>
      </c>
      <c r="F335" s="33"/>
      <c r="G335" s="33" t="s">
        <v>500</v>
      </c>
      <c r="H335" s="33">
        <v>0</v>
      </c>
      <c r="I335" s="33">
        <v>2.8378897300000007E-3</v>
      </c>
      <c r="J335" s="33">
        <v>2.8902751280000002E-3</v>
      </c>
      <c r="K335" s="33">
        <v>3.1379697180000002E-3</v>
      </c>
      <c r="L335" s="33">
        <v>3.1598266180000007E-3</v>
      </c>
      <c r="M335" s="33">
        <v>3.346220228E-3</v>
      </c>
      <c r="N335" s="33">
        <v>3.4629259080000002E-3</v>
      </c>
      <c r="O335" s="33">
        <v>3.6456699240000005E-3</v>
      </c>
      <c r="P335" s="33">
        <v>3.3908591340000003E-3</v>
      </c>
      <c r="Q335" s="33">
        <v>3.6250000000000002E-3</v>
      </c>
      <c r="R335" s="33">
        <v>3.6250000000000002E-3</v>
      </c>
      <c r="S335" s="33">
        <v>3.6250000000000002E-3</v>
      </c>
      <c r="T335" s="33">
        <v>3.6250000000000002E-3</v>
      </c>
      <c r="U335" s="33">
        <v>3.6250000000000002E-3</v>
      </c>
      <c r="V335" s="33">
        <v>3.6250000000000002E-3</v>
      </c>
      <c r="W335" s="33">
        <v>3.6250000000000002E-3</v>
      </c>
      <c r="X335" s="33">
        <v>3.6250000000000002E-3</v>
      </c>
      <c r="Y335" s="33">
        <v>3.6250000000000002E-3</v>
      </c>
      <c r="Z335" s="33">
        <v>3.6250000000000002E-3</v>
      </c>
      <c r="AA335" s="33">
        <v>3.6250000000000002E-3</v>
      </c>
      <c r="AB335" s="33">
        <v>3.6250000000000002E-3</v>
      </c>
      <c r="AC335" s="33">
        <v>3.6250000000000002E-3</v>
      </c>
      <c r="AD335" s="33">
        <v>3.6250000000000002E-3</v>
      </c>
      <c r="AE335" s="33">
        <v>3.6250000000000002E-3</v>
      </c>
      <c r="AF335" s="33">
        <v>3.6250000000000002E-3</v>
      </c>
      <c r="AG335" s="33">
        <v>3.6250000000000002E-3</v>
      </c>
      <c r="AH335" s="33">
        <v>3.6250000000000002E-3</v>
      </c>
      <c r="AI335" s="33">
        <v>3.6250000000000002E-3</v>
      </c>
      <c r="AJ335" s="33">
        <v>3.6250000000000002E-3</v>
      </c>
      <c r="AK335" s="33">
        <v>3.6250000000000002E-3</v>
      </c>
      <c r="AL335" s="33">
        <v>3.6250000000000002E-3</v>
      </c>
      <c r="AM335" s="33">
        <v>3.6250000000000002E-3</v>
      </c>
      <c r="AN335" s="33">
        <v>3.6250000000000002E-3</v>
      </c>
      <c r="AO335" s="33">
        <v>3.6250000000000002E-3</v>
      </c>
      <c r="AP335" s="33">
        <v>3.6250000000000002E-3</v>
      </c>
      <c r="AQ335" s="33">
        <v>3.6250000000000002E-3</v>
      </c>
      <c r="AR335" s="33">
        <v>3.6250000000000002E-3</v>
      </c>
      <c r="AS335" s="33">
        <v>3.6250000000000002E-3</v>
      </c>
      <c r="AT335" s="33">
        <v>3.6250000000000002E-3</v>
      </c>
      <c r="AU335" s="33">
        <v>3.6250000000000002E-3</v>
      </c>
      <c r="AV335" s="33">
        <v>3.6250000000000002E-3</v>
      </c>
      <c r="AW335" s="33">
        <v>3.6250000000000002E-3</v>
      </c>
      <c r="AX335" s="33">
        <v>3.6250000000000002E-3</v>
      </c>
      <c r="AY335" s="33">
        <v>3.6250000000000002E-3</v>
      </c>
      <c r="AZ335" s="33">
        <v>3.6250000000000002E-3</v>
      </c>
      <c r="BA335" s="33">
        <v>3.6250000000000002E-3</v>
      </c>
      <c r="BB335" s="33">
        <v>3.6250000000000002E-3</v>
      </c>
      <c r="BC335" s="33">
        <v>3.6250000000000002E-3</v>
      </c>
      <c r="BD335" s="33">
        <v>3.6250000000000002E-3</v>
      </c>
      <c r="BE335" s="33">
        <v>3.6250000000000002E-3</v>
      </c>
      <c r="BF335" s="33">
        <v>3.6250000000000002E-3</v>
      </c>
      <c r="BG335" s="33">
        <v>3.6250000000000002E-3</v>
      </c>
      <c r="BH335" s="33">
        <v>3.6250000000000002E-3</v>
      </c>
      <c r="BI335" s="33">
        <v>3.6250000000000002E-3</v>
      </c>
      <c r="BJ335" s="33">
        <v>3.6250000000000002E-3</v>
      </c>
      <c r="BK335" s="33">
        <v>3.6250000000000002E-3</v>
      </c>
      <c r="BL335" s="33">
        <v>3.6250000000000002E-3</v>
      </c>
      <c r="BM335" s="33">
        <v>3.6250000000000002E-3</v>
      </c>
      <c r="BN335" s="33">
        <v>3.6250000000000002E-3</v>
      </c>
      <c r="BO335" s="33">
        <v>3.6250000000000002E-3</v>
      </c>
      <c r="BP335" s="33">
        <v>3.6250000000000002E-3</v>
      </c>
      <c r="BQ335" s="33">
        <v>3.6250000000000002E-3</v>
      </c>
    </row>
    <row r="336" spans="1:69" s="34" customFormat="1" hidden="1" x14ac:dyDescent="0.25">
      <c r="A336" s="33">
        <v>33</v>
      </c>
      <c r="B336" s="33" t="s">
        <v>154</v>
      </c>
      <c r="C336" s="36" t="s">
        <v>155</v>
      </c>
      <c r="D336" s="33">
        <v>5</v>
      </c>
      <c r="E336" s="36" t="s">
        <v>494</v>
      </c>
      <c r="F336" s="33"/>
      <c r="G336" s="33" t="s">
        <v>500</v>
      </c>
      <c r="H336" s="33">
        <v>0</v>
      </c>
      <c r="I336" s="33">
        <v>2.8378897300000007E-3</v>
      </c>
      <c r="J336" s="33">
        <v>2.8902751280000002E-3</v>
      </c>
      <c r="K336" s="33">
        <v>3.1379697180000002E-3</v>
      </c>
      <c r="L336" s="33">
        <v>3.1598266180000007E-3</v>
      </c>
      <c r="M336" s="33">
        <v>3.346220228E-3</v>
      </c>
      <c r="N336" s="33">
        <v>3.4629259080000002E-3</v>
      </c>
      <c r="O336" s="33">
        <v>3.6456699240000005E-3</v>
      </c>
      <c r="P336" s="33">
        <v>3.3908591340000003E-3</v>
      </c>
      <c r="Q336" s="33">
        <v>3.6250000000000002E-3</v>
      </c>
      <c r="R336" s="33">
        <v>3.6250000000000002E-3</v>
      </c>
      <c r="S336" s="33">
        <v>3.6250000000000002E-3</v>
      </c>
      <c r="T336" s="33">
        <v>3.6250000000000002E-3</v>
      </c>
      <c r="U336" s="33">
        <v>3.6250000000000002E-3</v>
      </c>
      <c r="V336" s="33">
        <v>3.6250000000000002E-3</v>
      </c>
      <c r="W336" s="33">
        <v>3.6250000000000002E-3</v>
      </c>
      <c r="X336" s="33">
        <v>3.6250000000000002E-3</v>
      </c>
      <c r="Y336" s="33">
        <v>3.6250000000000002E-3</v>
      </c>
      <c r="Z336" s="33">
        <v>3.6250000000000002E-3</v>
      </c>
      <c r="AA336" s="33">
        <v>3.6250000000000002E-3</v>
      </c>
      <c r="AB336" s="33">
        <v>3.6250000000000002E-3</v>
      </c>
      <c r="AC336" s="33">
        <v>3.6250000000000002E-3</v>
      </c>
      <c r="AD336" s="33">
        <v>3.6250000000000002E-3</v>
      </c>
      <c r="AE336" s="33">
        <v>3.6250000000000002E-3</v>
      </c>
      <c r="AF336" s="33">
        <v>3.6250000000000002E-3</v>
      </c>
      <c r="AG336" s="33">
        <v>3.6250000000000002E-3</v>
      </c>
      <c r="AH336" s="33">
        <v>3.6250000000000002E-3</v>
      </c>
      <c r="AI336" s="33">
        <v>3.6250000000000002E-3</v>
      </c>
      <c r="AJ336" s="33">
        <v>3.6250000000000002E-3</v>
      </c>
      <c r="AK336" s="33">
        <v>3.6250000000000002E-3</v>
      </c>
      <c r="AL336" s="33">
        <v>3.6250000000000002E-3</v>
      </c>
      <c r="AM336" s="33">
        <v>3.6250000000000002E-3</v>
      </c>
      <c r="AN336" s="33">
        <v>3.6250000000000002E-3</v>
      </c>
      <c r="AO336" s="33">
        <v>3.6250000000000002E-3</v>
      </c>
      <c r="AP336" s="33">
        <v>3.6250000000000002E-3</v>
      </c>
      <c r="AQ336" s="33">
        <v>3.6250000000000002E-3</v>
      </c>
      <c r="AR336" s="33">
        <v>3.6250000000000002E-3</v>
      </c>
      <c r="AS336" s="33">
        <v>3.6250000000000002E-3</v>
      </c>
      <c r="AT336" s="33">
        <v>3.6250000000000002E-3</v>
      </c>
      <c r="AU336" s="33">
        <v>3.6250000000000002E-3</v>
      </c>
      <c r="AV336" s="33">
        <v>3.6250000000000002E-3</v>
      </c>
      <c r="AW336" s="33">
        <v>3.6250000000000002E-3</v>
      </c>
      <c r="AX336" s="33">
        <v>3.6250000000000002E-3</v>
      </c>
      <c r="AY336" s="33">
        <v>3.6250000000000002E-3</v>
      </c>
      <c r="AZ336" s="33">
        <v>3.6250000000000002E-3</v>
      </c>
      <c r="BA336" s="33">
        <v>3.6250000000000002E-3</v>
      </c>
      <c r="BB336" s="33">
        <v>3.6250000000000002E-3</v>
      </c>
      <c r="BC336" s="33">
        <v>3.6250000000000002E-3</v>
      </c>
      <c r="BD336" s="33">
        <v>3.6250000000000002E-3</v>
      </c>
      <c r="BE336" s="33">
        <v>3.6250000000000002E-3</v>
      </c>
      <c r="BF336" s="33">
        <v>3.6250000000000002E-3</v>
      </c>
      <c r="BG336" s="33">
        <v>3.6250000000000002E-3</v>
      </c>
      <c r="BH336" s="33">
        <v>3.6250000000000002E-3</v>
      </c>
      <c r="BI336" s="33">
        <v>3.6250000000000002E-3</v>
      </c>
      <c r="BJ336" s="33">
        <v>3.6250000000000002E-3</v>
      </c>
      <c r="BK336" s="33">
        <v>3.6250000000000002E-3</v>
      </c>
      <c r="BL336" s="33">
        <v>3.6250000000000002E-3</v>
      </c>
      <c r="BM336" s="33">
        <v>3.6250000000000002E-3</v>
      </c>
      <c r="BN336" s="33">
        <v>3.6250000000000002E-3</v>
      </c>
      <c r="BO336" s="33">
        <v>3.6250000000000002E-3</v>
      </c>
      <c r="BP336" s="33">
        <v>3.6250000000000002E-3</v>
      </c>
      <c r="BQ336" s="33">
        <v>3.6250000000000002E-3</v>
      </c>
    </row>
    <row r="337" spans="1:69" s="34" customFormat="1" hidden="1" x14ac:dyDescent="0.25">
      <c r="A337" s="33">
        <v>33</v>
      </c>
      <c r="B337" s="33" t="s">
        <v>154</v>
      </c>
      <c r="C337" s="36" t="s">
        <v>155</v>
      </c>
      <c r="D337" s="33">
        <v>6</v>
      </c>
      <c r="E337" s="36" t="s">
        <v>495</v>
      </c>
      <c r="F337" s="33"/>
      <c r="G337" s="33" t="s">
        <v>490</v>
      </c>
      <c r="H337" s="33">
        <v>0</v>
      </c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</row>
    <row r="338" spans="1:69" s="34" customFormat="1" hidden="1" x14ac:dyDescent="0.25">
      <c r="A338" s="33">
        <v>33</v>
      </c>
      <c r="B338" s="33" t="s">
        <v>154</v>
      </c>
      <c r="C338" s="36" t="s">
        <v>155</v>
      </c>
      <c r="D338" s="33">
        <v>7</v>
      </c>
      <c r="E338" s="36" t="s">
        <v>496</v>
      </c>
      <c r="F338" s="33"/>
      <c r="G338" s="33" t="s">
        <v>500</v>
      </c>
      <c r="H338" s="33">
        <v>0</v>
      </c>
      <c r="I338" s="33">
        <v>1E-4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0</v>
      </c>
      <c r="AB338" s="33">
        <v>0</v>
      </c>
      <c r="AC338" s="33">
        <v>0</v>
      </c>
      <c r="AD338" s="33">
        <v>0</v>
      </c>
      <c r="AE338" s="33">
        <v>0</v>
      </c>
      <c r="AF338" s="33">
        <v>0</v>
      </c>
      <c r="AG338" s="33">
        <v>0</v>
      </c>
      <c r="AH338" s="33">
        <v>0</v>
      </c>
      <c r="AI338" s="33">
        <v>0</v>
      </c>
      <c r="AJ338" s="33">
        <v>0</v>
      </c>
      <c r="AK338" s="33">
        <v>0</v>
      </c>
      <c r="AL338" s="33">
        <v>0</v>
      </c>
      <c r="AM338" s="33">
        <v>0</v>
      </c>
      <c r="AN338" s="33">
        <v>0</v>
      </c>
      <c r="AO338" s="33">
        <v>0</v>
      </c>
      <c r="AP338" s="33">
        <v>0</v>
      </c>
      <c r="AQ338" s="33">
        <v>0</v>
      </c>
      <c r="AR338" s="33">
        <v>0</v>
      </c>
      <c r="AS338" s="33">
        <v>0</v>
      </c>
      <c r="AT338" s="33">
        <v>0</v>
      </c>
      <c r="AU338" s="33">
        <v>0</v>
      </c>
      <c r="AV338" s="33">
        <v>0</v>
      </c>
      <c r="AW338" s="33">
        <v>0</v>
      </c>
      <c r="AX338" s="33">
        <v>0</v>
      </c>
      <c r="AY338" s="33">
        <v>0</v>
      </c>
      <c r="AZ338" s="33">
        <v>0</v>
      </c>
      <c r="BA338" s="33">
        <v>0</v>
      </c>
      <c r="BB338" s="33">
        <v>0</v>
      </c>
      <c r="BC338" s="33">
        <v>0</v>
      </c>
      <c r="BD338" s="33">
        <v>0</v>
      </c>
      <c r="BE338" s="33">
        <v>0</v>
      </c>
      <c r="BF338" s="33">
        <v>0</v>
      </c>
      <c r="BG338" s="33">
        <v>0</v>
      </c>
      <c r="BH338" s="33">
        <v>0</v>
      </c>
      <c r="BI338" s="33">
        <v>0</v>
      </c>
      <c r="BJ338" s="33">
        <v>0</v>
      </c>
      <c r="BK338" s="33">
        <v>0</v>
      </c>
      <c r="BL338" s="33">
        <v>0</v>
      </c>
      <c r="BM338" s="33">
        <v>0</v>
      </c>
      <c r="BN338" s="33">
        <v>0</v>
      </c>
      <c r="BO338" s="33">
        <v>0</v>
      </c>
      <c r="BP338" s="33">
        <v>0</v>
      </c>
      <c r="BQ338" s="33">
        <v>0</v>
      </c>
    </row>
    <row r="339" spans="1:69" s="34" customFormat="1" hidden="1" x14ac:dyDescent="0.25">
      <c r="A339" s="33">
        <v>33</v>
      </c>
      <c r="B339" s="33" t="s">
        <v>154</v>
      </c>
      <c r="C339" s="36" t="s">
        <v>155</v>
      </c>
      <c r="D339" s="33">
        <v>8</v>
      </c>
      <c r="E339" s="36" t="s">
        <v>497</v>
      </c>
      <c r="F339" s="33"/>
      <c r="G339" s="33" t="s">
        <v>490</v>
      </c>
      <c r="H339" s="33">
        <v>0</v>
      </c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</row>
    <row r="340" spans="1:69" s="34" customFormat="1" hidden="1" x14ac:dyDescent="0.25">
      <c r="A340" s="33">
        <v>33</v>
      </c>
      <c r="B340" s="33" t="s">
        <v>154</v>
      </c>
      <c r="C340" s="36" t="s">
        <v>155</v>
      </c>
      <c r="D340" s="33">
        <v>9</v>
      </c>
      <c r="E340" s="36" t="s">
        <v>498</v>
      </c>
      <c r="F340" s="33"/>
      <c r="G340" s="33" t="s">
        <v>500</v>
      </c>
      <c r="H340" s="33">
        <v>0</v>
      </c>
      <c r="I340" s="33">
        <v>4.0000000000000001E-3</v>
      </c>
      <c r="J340" s="33">
        <v>4.0000000000000001E-3</v>
      </c>
      <c r="K340" s="33">
        <v>4.0000000000000001E-3</v>
      </c>
      <c r="L340" s="33">
        <v>4.0000000000000001E-3</v>
      </c>
      <c r="M340" s="33">
        <v>4.0000000000000001E-3</v>
      </c>
      <c r="N340" s="33">
        <v>4.0000000000000001E-3</v>
      </c>
      <c r="O340" s="33">
        <v>4.0000000000000001E-3</v>
      </c>
      <c r="P340" s="33">
        <v>4.0000000000000001E-3</v>
      </c>
      <c r="Q340" s="33">
        <v>4.0000000000000001E-3</v>
      </c>
      <c r="R340" s="33">
        <v>4.0000000000000001E-3</v>
      </c>
      <c r="S340" s="33">
        <v>4.0000000000000001E-3</v>
      </c>
      <c r="T340" s="33">
        <v>4.0000000000000002E-4</v>
      </c>
      <c r="U340" s="33">
        <v>4.0000000000000002E-4</v>
      </c>
      <c r="V340" s="33">
        <v>4.0000000000000002E-4</v>
      </c>
      <c r="W340" s="33">
        <v>4.0000000000000002E-4</v>
      </c>
      <c r="X340" s="33">
        <v>4.0000000000000002E-4</v>
      </c>
      <c r="Y340" s="33">
        <v>4.0000000000000002E-4</v>
      </c>
      <c r="Z340" s="33">
        <v>4.0000000000000002E-4</v>
      </c>
      <c r="AA340" s="33">
        <v>4.0000000000000002E-4</v>
      </c>
      <c r="AB340" s="33">
        <v>4.0000000000000002E-4</v>
      </c>
      <c r="AC340" s="33">
        <v>4.0000000000000002E-4</v>
      </c>
      <c r="AD340" s="33">
        <v>4.0000000000000002E-4</v>
      </c>
      <c r="AE340" s="33">
        <v>4.0000000000000002E-4</v>
      </c>
      <c r="AF340" s="33">
        <v>4.0000000000000002E-4</v>
      </c>
      <c r="AG340" s="33">
        <v>4.0000000000000002E-4</v>
      </c>
      <c r="AH340" s="33">
        <v>4.0000000000000002E-4</v>
      </c>
      <c r="AI340" s="33">
        <v>4.0000000000000002E-4</v>
      </c>
      <c r="AJ340" s="33">
        <v>4.0000000000000002E-4</v>
      </c>
      <c r="AK340" s="33">
        <v>4.0000000000000002E-4</v>
      </c>
      <c r="AL340" s="33">
        <v>4.0000000000000002E-4</v>
      </c>
      <c r="AM340" s="33">
        <v>4.0000000000000002E-4</v>
      </c>
      <c r="AN340" s="33">
        <v>4.0000000000000002E-4</v>
      </c>
      <c r="AO340" s="33">
        <v>4.0000000000000002E-4</v>
      </c>
      <c r="AP340" s="33">
        <v>4.0000000000000002E-4</v>
      </c>
      <c r="AQ340" s="33">
        <v>4.0000000000000002E-4</v>
      </c>
      <c r="AR340" s="33">
        <v>4.0000000000000002E-4</v>
      </c>
      <c r="AS340" s="33">
        <v>4.0000000000000002E-4</v>
      </c>
      <c r="AT340" s="33">
        <v>4.0000000000000002E-4</v>
      </c>
      <c r="AU340" s="33">
        <v>4.0000000000000002E-4</v>
      </c>
      <c r="AV340" s="33">
        <v>4.0000000000000002E-4</v>
      </c>
      <c r="AW340" s="33">
        <v>4.0000000000000002E-4</v>
      </c>
      <c r="AX340" s="33">
        <v>4.0000000000000002E-4</v>
      </c>
      <c r="AY340" s="33">
        <v>4.0000000000000002E-4</v>
      </c>
      <c r="AZ340" s="33">
        <v>4.0000000000000002E-4</v>
      </c>
      <c r="BA340" s="33">
        <v>4.0000000000000002E-4</v>
      </c>
      <c r="BB340" s="33">
        <v>4.0000000000000002E-4</v>
      </c>
      <c r="BC340" s="33">
        <v>4.0000000000000002E-4</v>
      </c>
      <c r="BD340" s="33">
        <v>4.0000000000000002E-4</v>
      </c>
      <c r="BE340" s="33">
        <v>4.0000000000000002E-4</v>
      </c>
      <c r="BF340" s="33">
        <v>4.0000000000000002E-4</v>
      </c>
      <c r="BG340" s="33">
        <v>4.0000000000000002E-4</v>
      </c>
      <c r="BH340" s="33">
        <v>4.0000000000000002E-4</v>
      </c>
      <c r="BI340" s="33">
        <v>4.0000000000000002E-4</v>
      </c>
      <c r="BJ340" s="33">
        <v>4.0000000000000002E-4</v>
      </c>
      <c r="BK340" s="33">
        <v>4.0000000000000002E-4</v>
      </c>
      <c r="BL340" s="33">
        <v>4.0000000000000002E-4</v>
      </c>
      <c r="BM340" s="33">
        <v>4.0000000000000002E-4</v>
      </c>
      <c r="BN340" s="33">
        <v>4.0000000000000002E-4</v>
      </c>
      <c r="BO340" s="33">
        <v>4.0000000000000002E-4</v>
      </c>
      <c r="BP340" s="33">
        <v>4.0000000000000002E-4</v>
      </c>
      <c r="BQ340" s="33">
        <v>4.0000000000000002E-4</v>
      </c>
    </row>
    <row r="341" spans="1:69" s="34" customFormat="1" hidden="1" x14ac:dyDescent="0.25">
      <c r="A341" s="33">
        <v>33</v>
      </c>
      <c r="B341" s="33" t="s">
        <v>154</v>
      </c>
      <c r="C341" s="36" t="s">
        <v>155</v>
      </c>
      <c r="D341" s="33">
        <v>10</v>
      </c>
      <c r="E341" s="36" t="s">
        <v>499</v>
      </c>
      <c r="F341" s="33"/>
      <c r="G341" s="33" t="s">
        <v>501</v>
      </c>
      <c r="H341" s="33">
        <v>0</v>
      </c>
      <c r="I341" s="33">
        <v>0.95</v>
      </c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</row>
    <row r="342" spans="1:69" s="44" customFormat="1" hidden="1" x14ac:dyDescent="0.25">
      <c r="A342" s="43">
        <v>34</v>
      </c>
      <c r="B342" s="43" t="s">
        <v>156</v>
      </c>
      <c r="C342" s="20" t="s">
        <v>157</v>
      </c>
      <c r="D342" s="43">
        <v>1</v>
      </c>
      <c r="E342" s="20" t="s">
        <v>489</v>
      </c>
      <c r="F342" s="43"/>
      <c r="G342" s="43" t="s">
        <v>501</v>
      </c>
      <c r="H342" s="43">
        <v>0</v>
      </c>
      <c r="I342" s="43">
        <v>1770</v>
      </c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</row>
    <row r="343" spans="1:69" s="44" customFormat="1" hidden="1" x14ac:dyDescent="0.25">
      <c r="A343" s="43">
        <v>34</v>
      </c>
      <c r="B343" s="43" t="s">
        <v>156</v>
      </c>
      <c r="C343" s="20" t="s">
        <v>157</v>
      </c>
      <c r="D343" s="43">
        <v>2</v>
      </c>
      <c r="E343" s="20" t="s">
        <v>491</v>
      </c>
      <c r="F343" s="43"/>
      <c r="G343" s="43" t="s">
        <v>501</v>
      </c>
      <c r="H343" s="43">
        <v>0</v>
      </c>
      <c r="I343" s="43">
        <v>44.3</v>
      </c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</row>
    <row r="344" spans="1:69" s="44" customFormat="1" hidden="1" x14ac:dyDescent="0.25">
      <c r="A344" s="43">
        <v>34</v>
      </c>
      <c r="B344" s="43" t="s">
        <v>156</v>
      </c>
      <c r="C344" s="20" t="s">
        <v>157</v>
      </c>
      <c r="D344" s="43">
        <v>3</v>
      </c>
      <c r="E344" s="20" t="s">
        <v>492</v>
      </c>
      <c r="F344" s="43"/>
      <c r="G344" s="43" t="s">
        <v>501</v>
      </c>
      <c r="H344" s="43">
        <v>0</v>
      </c>
      <c r="I344" s="45">
        <v>12.61</v>
      </c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</row>
    <row r="345" spans="1:69" s="44" customFormat="1" hidden="1" x14ac:dyDescent="0.25">
      <c r="A345" s="43">
        <v>34</v>
      </c>
      <c r="B345" s="43" t="s">
        <v>156</v>
      </c>
      <c r="C345" s="20" t="s">
        <v>157</v>
      </c>
      <c r="D345" s="43">
        <v>4</v>
      </c>
      <c r="E345" s="20" t="s">
        <v>493</v>
      </c>
      <c r="F345" s="43"/>
      <c r="G345" s="43" t="s">
        <v>500</v>
      </c>
      <c r="H345" s="43">
        <v>0</v>
      </c>
      <c r="I345" s="43">
        <v>0.34883767109999997</v>
      </c>
      <c r="J345" s="43">
        <v>0.35527696295999994</v>
      </c>
      <c r="K345" s="43">
        <v>0.38572395425999989</v>
      </c>
      <c r="L345" s="43">
        <v>0.38841063725999997</v>
      </c>
      <c r="M345" s="43">
        <v>0.41132241995999991</v>
      </c>
      <c r="N345" s="43">
        <v>0.42566805755999992</v>
      </c>
      <c r="O345" s="43">
        <v>0.44813122667999994</v>
      </c>
      <c r="P345" s="43">
        <v>0.41680950137999989</v>
      </c>
      <c r="Q345" s="43">
        <v>0.37858699999999995</v>
      </c>
      <c r="R345" s="43">
        <v>0.37858699999999995</v>
      </c>
      <c r="S345" s="43">
        <v>0.37858699999999995</v>
      </c>
      <c r="T345" s="43">
        <v>0.37858699999999995</v>
      </c>
      <c r="U345" s="43">
        <v>0.37858699999999995</v>
      </c>
      <c r="V345" s="43">
        <v>0.37858699999999995</v>
      </c>
      <c r="W345" s="43">
        <v>0.37858699999999995</v>
      </c>
      <c r="X345" s="43">
        <v>0.37858699999999995</v>
      </c>
      <c r="Y345" s="43">
        <v>0.37858699999999995</v>
      </c>
      <c r="Z345" s="43">
        <v>0.37858699999999995</v>
      </c>
      <c r="AA345" s="43">
        <v>0.37858699999999995</v>
      </c>
      <c r="AB345" s="43">
        <v>0.37858699999999995</v>
      </c>
      <c r="AC345" s="43">
        <v>0.37858699999999995</v>
      </c>
      <c r="AD345" s="43">
        <v>0.37858699999999995</v>
      </c>
      <c r="AE345" s="43">
        <v>0.37858699999999995</v>
      </c>
      <c r="AF345" s="43">
        <v>0.37858699999999995</v>
      </c>
      <c r="AG345" s="43">
        <v>0.37858699999999995</v>
      </c>
      <c r="AH345" s="43">
        <v>0.37858699999999995</v>
      </c>
      <c r="AI345" s="43">
        <v>0.37858699999999995</v>
      </c>
      <c r="AJ345" s="43">
        <v>0.37858699999999995</v>
      </c>
      <c r="AK345" s="43">
        <v>0.37858699999999995</v>
      </c>
      <c r="AL345" s="43">
        <v>0.37858699999999995</v>
      </c>
      <c r="AM345" s="43">
        <v>0.37858699999999995</v>
      </c>
      <c r="AN345" s="43">
        <v>0.37858699999999995</v>
      </c>
      <c r="AO345" s="43">
        <v>0.37858699999999995</v>
      </c>
      <c r="AP345" s="43">
        <v>0.37858699999999995</v>
      </c>
      <c r="AQ345" s="43">
        <v>0.37858699999999995</v>
      </c>
      <c r="AR345" s="43">
        <v>0.37858699999999995</v>
      </c>
      <c r="AS345" s="43">
        <v>0.37858699999999995</v>
      </c>
      <c r="AT345" s="43">
        <v>0.37858699999999995</v>
      </c>
      <c r="AU345" s="43">
        <v>0.37858699999999995</v>
      </c>
      <c r="AV345" s="43">
        <v>0.37858699999999995</v>
      </c>
      <c r="AW345" s="43">
        <v>0.37858699999999995</v>
      </c>
      <c r="AX345" s="43">
        <v>0.37858699999999995</v>
      </c>
      <c r="AY345" s="43">
        <v>0.37858699999999995</v>
      </c>
      <c r="AZ345" s="43">
        <v>0.37858699999999995</v>
      </c>
      <c r="BA345" s="43">
        <v>0.37858699999999995</v>
      </c>
      <c r="BB345" s="43">
        <v>0.37858699999999995</v>
      </c>
      <c r="BC345" s="43">
        <v>0.37858699999999995</v>
      </c>
      <c r="BD345" s="43">
        <v>0.37858699999999995</v>
      </c>
      <c r="BE345" s="43">
        <v>0.37858699999999995</v>
      </c>
      <c r="BF345" s="43">
        <v>0.37858699999999995</v>
      </c>
      <c r="BG345" s="43">
        <v>0.37858699999999995</v>
      </c>
      <c r="BH345" s="43">
        <v>0.37858699999999995</v>
      </c>
      <c r="BI345" s="43">
        <v>0.37858699999999995</v>
      </c>
      <c r="BJ345" s="43">
        <v>0.37858699999999995</v>
      </c>
      <c r="BK345" s="43">
        <v>0.37858699999999995</v>
      </c>
      <c r="BL345" s="43">
        <v>0.37858699999999995</v>
      </c>
      <c r="BM345" s="43">
        <v>0.37858699999999995</v>
      </c>
      <c r="BN345" s="43">
        <v>0.37858699999999995</v>
      </c>
      <c r="BO345" s="43">
        <v>0.37858699999999995</v>
      </c>
      <c r="BP345" s="43">
        <v>0.37858699999999995</v>
      </c>
      <c r="BQ345" s="43">
        <v>0.37858699999999995</v>
      </c>
    </row>
    <row r="346" spans="1:69" s="44" customFormat="1" hidden="1" x14ac:dyDescent="0.25">
      <c r="A346" s="43">
        <v>34</v>
      </c>
      <c r="B346" s="43" t="s">
        <v>156</v>
      </c>
      <c r="C346" s="20" t="s">
        <v>157</v>
      </c>
      <c r="D346" s="43">
        <v>5</v>
      </c>
      <c r="E346" s="20" t="s">
        <v>494</v>
      </c>
      <c r="F346" s="43"/>
      <c r="G346" s="43" t="s">
        <v>500</v>
      </c>
      <c r="H346" s="43">
        <v>0</v>
      </c>
      <c r="I346" s="43">
        <v>0.34883767109999997</v>
      </c>
      <c r="J346" s="43">
        <v>0.35527696295999994</v>
      </c>
      <c r="K346" s="43">
        <v>0.38572395425999989</v>
      </c>
      <c r="L346" s="43">
        <v>0.38841063725999997</v>
      </c>
      <c r="M346" s="43">
        <v>0.41132241995999991</v>
      </c>
      <c r="N346" s="43">
        <v>0.42566805755999992</v>
      </c>
      <c r="O346" s="43">
        <v>0.44813122667999994</v>
      </c>
      <c r="P346" s="43">
        <v>0.41680950137999989</v>
      </c>
      <c r="Q346" s="43">
        <v>0.37858699999999995</v>
      </c>
      <c r="R346" s="43">
        <v>0.37858699999999995</v>
      </c>
      <c r="S346" s="43">
        <v>0.37858699999999995</v>
      </c>
      <c r="T346" s="43">
        <v>0.43229199999999995</v>
      </c>
      <c r="U346" s="43">
        <v>0.43229199999999995</v>
      </c>
      <c r="V346" s="43">
        <v>0.43229199999999995</v>
      </c>
      <c r="W346" s="43">
        <v>0.43229199999999995</v>
      </c>
      <c r="X346" s="43">
        <v>0.43229199999999995</v>
      </c>
      <c r="Y346" s="43">
        <v>0.43229199999999995</v>
      </c>
      <c r="Z346" s="43">
        <v>0.43229199999999995</v>
      </c>
      <c r="AA346" s="43">
        <v>0.43229199999999995</v>
      </c>
      <c r="AB346" s="43">
        <v>0.43229199999999995</v>
      </c>
      <c r="AC346" s="43">
        <v>0.43229199999999995</v>
      </c>
      <c r="AD346" s="43">
        <v>0.43229199999999995</v>
      </c>
      <c r="AE346" s="43">
        <v>0.43229199999999995</v>
      </c>
      <c r="AF346" s="43">
        <v>0.43229199999999995</v>
      </c>
      <c r="AG346" s="43">
        <v>0.43229199999999995</v>
      </c>
      <c r="AH346" s="43">
        <v>0.43229199999999995</v>
      </c>
      <c r="AI346" s="43">
        <v>0.43229199999999995</v>
      </c>
      <c r="AJ346" s="43">
        <v>0.43229199999999995</v>
      </c>
      <c r="AK346" s="43">
        <v>0.43229199999999995</v>
      </c>
      <c r="AL346" s="43">
        <v>0.43229199999999995</v>
      </c>
      <c r="AM346" s="43">
        <v>0.43229199999999995</v>
      </c>
      <c r="AN346" s="43">
        <v>0.43229199999999995</v>
      </c>
      <c r="AO346" s="43">
        <v>0.43229199999999995</v>
      </c>
      <c r="AP346" s="43">
        <v>0.43229199999999995</v>
      </c>
      <c r="AQ346" s="43">
        <v>0.43229199999999995</v>
      </c>
      <c r="AR346" s="43">
        <v>0.43229199999999995</v>
      </c>
      <c r="AS346" s="43">
        <v>0.43229199999999995</v>
      </c>
      <c r="AT346" s="43">
        <v>0.43229199999999995</v>
      </c>
      <c r="AU346" s="43">
        <v>0.43229199999999995</v>
      </c>
      <c r="AV346" s="43">
        <v>0.43229199999999995</v>
      </c>
      <c r="AW346" s="43">
        <v>0.43229199999999995</v>
      </c>
      <c r="AX346" s="43">
        <v>0.43229199999999995</v>
      </c>
      <c r="AY346" s="43">
        <v>0.43229199999999995</v>
      </c>
      <c r="AZ346" s="43">
        <v>0.43229199999999995</v>
      </c>
      <c r="BA346" s="43">
        <v>0.43229199999999995</v>
      </c>
      <c r="BB346" s="43">
        <v>0.43229199999999995</v>
      </c>
      <c r="BC346" s="43">
        <v>0.43229199999999995</v>
      </c>
      <c r="BD346" s="43">
        <v>0.43229199999999995</v>
      </c>
      <c r="BE346" s="43">
        <v>0.43229199999999995</v>
      </c>
      <c r="BF346" s="43">
        <v>0.43229199999999995</v>
      </c>
      <c r="BG346" s="43">
        <v>0.43229199999999995</v>
      </c>
      <c r="BH346" s="43">
        <v>0.43229199999999995</v>
      </c>
      <c r="BI346" s="43">
        <v>0.43229199999999995</v>
      </c>
      <c r="BJ346" s="43">
        <v>0.43229199999999995</v>
      </c>
      <c r="BK346" s="43">
        <v>0.43229199999999995</v>
      </c>
      <c r="BL346" s="43">
        <v>0.43229199999999995</v>
      </c>
      <c r="BM346" s="43">
        <v>0.43229199999999995</v>
      </c>
      <c r="BN346" s="43">
        <v>0.43229199999999995</v>
      </c>
      <c r="BO346" s="43">
        <v>0.43229199999999995</v>
      </c>
      <c r="BP346" s="43">
        <v>0.43229199999999995</v>
      </c>
      <c r="BQ346" s="43">
        <v>0.43229199999999995</v>
      </c>
    </row>
    <row r="347" spans="1:69" s="44" customFormat="1" hidden="1" x14ac:dyDescent="0.25">
      <c r="A347" s="43">
        <v>34</v>
      </c>
      <c r="B347" s="43" t="s">
        <v>156</v>
      </c>
      <c r="C347" s="20" t="s">
        <v>157</v>
      </c>
      <c r="D347" s="43">
        <v>6</v>
      </c>
      <c r="E347" s="20" t="s">
        <v>495</v>
      </c>
      <c r="F347" s="43"/>
      <c r="G347" s="43" t="s">
        <v>490</v>
      </c>
      <c r="H347" s="43">
        <v>0</v>
      </c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</row>
    <row r="348" spans="1:69" s="44" customFormat="1" hidden="1" x14ac:dyDescent="0.25">
      <c r="A348" s="43">
        <v>34</v>
      </c>
      <c r="B348" s="43" t="s">
        <v>156</v>
      </c>
      <c r="C348" s="20" t="s">
        <v>157</v>
      </c>
      <c r="D348" s="43">
        <v>7</v>
      </c>
      <c r="E348" s="20" t="s">
        <v>496</v>
      </c>
      <c r="F348" s="43"/>
      <c r="G348" s="43" t="s">
        <v>500</v>
      </c>
      <c r="H348" s="43">
        <v>0</v>
      </c>
      <c r="I348" s="43">
        <v>9.7458078124928562</v>
      </c>
      <c r="J348" s="43">
        <v>8.3665111454059868</v>
      </c>
      <c r="K348" s="43">
        <v>9.4497860028788629</v>
      </c>
      <c r="L348" s="43">
        <v>10.873990003312745</v>
      </c>
      <c r="M348" s="43">
        <v>11.322146860592131</v>
      </c>
      <c r="N348" s="43">
        <v>11.282738384389649</v>
      </c>
      <c r="O348" s="43">
        <v>9.960263241129617</v>
      </c>
      <c r="P348" s="43">
        <v>6.7590119068210273</v>
      </c>
      <c r="Q348" s="43">
        <v>6.1117999999999997</v>
      </c>
      <c r="R348" s="43">
        <v>6.0220000000000002</v>
      </c>
      <c r="S348" s="43">
        <v>5.8303000000000003</v>
      </c>
      <c r="T348" s="43">
        <v>6.18</v>
      </c>
      <c r="U348" s="43">
        <v>5.8093641113343812</v>
      </c>
      <c r="V348" s="43">
        <v>5.8093641113343812</v>
      </c>
      <c r="W348" s="43">
        <v>5.8093641113343812</v>
      </c>
      <c r="X348" s="43">
        <v>5.8093641113343812</v>
      </c>
      <c r="Y348" s="43">
        <v>5.8093641113343812</v>
      </c>
      <c r="Z348" s="43">
        <v>5.8093641113343812</v>
      </c>
      <c r="AA348" s="43">
        <v>5.8093641113343812</v>
      </c>
      <c r="AB348" s="43">
        <v>5.8093641113343812</v>
      </c>
      <c r="AC348" s="43">
        <v>5.8093641113343812</v>
      </c>
      <c r="AD348" s="43">
        <v>5.8093641113343812</v>
      </c>
      <c r="AE348" s="43">
        <v>5.8093641113343812</v>
      </c>
      <c r="AF348" s="43">
        <v>5.8093641113343812</v>
      </c>
      <c r="AG348" s="43">
        <v>5.8093641113343812</v>
      </c>
      <c r="AH348" s="43">
        <v>5.8093641113343812</v>
      </c>
      <c r="AI348" s="43">
        <v>5.8093641113343812</v>
      </c>
      <c r="AJ348" s="43">
        <v>5.8093641113343812</v>
      </c>
      <c r="AK348" s="43">
        <v>5.8093641113343812</v>
      </c>
      <c r="AL348" s="43">
        <v>5.8093641113343812</v>
      </c>
      <c r="AM348" s="43">
        <v>5.8093641113343812</v>
      </c>
      <c r="AN348" s="43">
        <v>5.8093641113343812</v>
      </c>
      <c r="AO348" s="43">
        <v>5.8093641113343812</v>
      </c>
      <c r="AP348" s="43">
        <v>5.8093641113343812</v>
      </c>
      <c r="AQ348" s="43">
        <v>5.8093641113343812</v>
      </c>
      <c r="AR348" s="43">
        <v>5.8093641113343812</v>
      </c>
      <c r="AS348" s="43">
        <v>5.8093641113343812</v>
      </c>
      <c r="AT348" s="43">
        <v>5.8093641113343812</v>
      </c>
      <c r="AU348" s="43">
        <v>5.8093641113343812</v>
      </c>
      <c r="AV348" s="43">
        <v>5.8093641113343812</v>
      </c>
      <c r="AW348" s="43">
        <v>5.8093641113343812</v>
      </c>
      <c r="AX348" s="43">
        <v>5.8093641113343812</v>
      </c>
      <c r="AY348" s="43">
        <v>5.8093641113343812</v>
      </c>
      <c r="AZ348" s="43">
        <v>5.8093641113343812</v>
      </c>
      <c r="BA348" s="43">
        <v>5.8093641113343812</v>
      </c>
      <c r="BB348" s="43">
        <v>5.8093641113343812</v>
      </c>
      <c r="BC348" s="43">
        <v>5.8093641113343812</v>
      </c>
      <c r="BD348" s="43">
        <v>5.8093641113343812</v>
      </c>
      <c r="BE348" s="43">
        <v>5.8093641113343812</v>
      </c>
      <c r="BF348" s="43">
        <v>5.8093641113343812</v>
      </c>
      <c r="BG348" s="43">
        <v>5.8093641113343812</v>
      </c>
      <c r="BH348" s="43">
        <v>5.8093641113343812</v>
      </c>
      <c r="BI348" s="43">
        <v>5.8093641113343812</v>
      </c>
      <c r="BJ348" s="43">
        <v>5.8093641113343812</v>
      </c>
      <c r="BK348" s="43">
        <v>5.8093641113343812</v>
      </c>
      <c r="BL348" s="43">
        <v>5.8093641113343812</v>
      </c>
      <c r="BM348" s="43">
        <v>5.8093641113343812</v>
      </c>
      <c r="BN348" s="43">
        <v>5.8093641113343812</v>
      </c>
      <c r="BO348" s="43">
        <v>5.8093641113343812</v>
      </c>
      <c r="BP348" s="43">
        <v>5.8093641113343812</v>
      </c>
      <c r="BQ348" s="43">
        <v>5.8093641113343812</v>
      </c>
    </row>
    <row r="349" spans="1:69" s="44" customFormat="1" hidden="1" x14ac:dyDescent="0.25">
      <c r="A349" s="43">
        <v>34</v>
      </c>
      <c r="B349" s="43" t="s">
        <v>156</v>
      </c>
      <c r="C349" s="20" t="s">
        <v>157</v>
      </c>
      <c r="D349" s="43">
        <v>8</v>
      </c>
      <c r="E349" s="20" t="s">
        <v>497</v>
      </c>
      <c r="F349" s="43"/>
      <c r="G349" s="43" t="s">
        <v>490</v>
      </c>
      <c r="H349" s="43">
        <v>0</v>
      </c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</row>
    <row r="350" spans="1:69" s="44" customFormat="1" hidden="1" x14ac:dyDescent="0.25">
      <c r="A350" s="43">
        <v>34</v>
      </c>
      <c r="B350" s="43" t="s">
        <v>156</v>
      </c>
      <c r="C350" s="20" t="s">
        <v>157</v>
      </c>
      <c r="D350" s="43">
        <v>9</v>
      </c>
      <c r="E350" s="20" t="s">
        <v>498</v>
      </c>
      <c r="F350" s="43"/>
      <c r="G350" s="43" t="s">
        <v>500</v>
      </c>
      <c r="H350" s="43">
        <v>0</v>
      </c>
      <c r="I350" s="43">
        <v>0.94199999999999995</v>
      </c>
      <c r="J350" s="43">
        <v>0.79400000000000004</v>
      </c>
      <c r="K350" s="43">
        <v>0.82599999999999996</v>
      </c>
      <c r="L350" s="43">
        <v>0.94389999999999996</v>
      </c>
      <c r="M350" s="43">
        <v>0.92810000000000004</v>
      </c>
      <c r="N350" s="43">
        <v>0.89370000000000005</v>
      </c>
      <c r="O350" s="43">
        <v>0.74939999999999996</v>
      </c>
      <c r="P350" s="43">
        <v>0.54669999999999996</v>
      </c>
      <c r="Q350" s="43">
        <v>0.54430000000000001</v>
      </c>
      <c r="R350" s="43">
        <v>0.5363</v>
      </c>
      <c r="S350" s="43">
        <v>0.51929999999999998</v>
      </c>
      <c r="T350" s="43">
        <v>0.48199999999999998</v>
      </c>
      <c r="U350" s="43">
        <v>0.54</v>
      </c>
      <c r="V350" s="43">
        <v>0.54</v>
      </c>
      <c r="W350" s="43">
        <v>0.54</v>
      </c>
      <c r="X350" s="43">
        <v>0.54</v>
      </c>
      <c r="Y350" s="43">
        <v>0.54</v>
      </c>
      <c r="Z350" s="43">
        <v>0.54</v>
      </c>
      <c r="AA350" s="43">
        <v>0.54</v>
      </c>
      <c r="AB350" s="43">
        <v>0.54</v>
      </c>
      <c r="AC350" s="43">
        <v>0.54</v>
      </c>
      <c r="AD350" s="43">
        <v>0.54</v>
      </c>
      <c r="AE350" s="43">
        <v>0.54</v>
      </c>
      <c r="AF350" s="43">
        <v>0.54</v>
      </c>
      <c r="AG350" s="43">
        <v>0.54</v>
      </c>
      <c r="AH350" s="43">
        <v>0.54</v>
      </c>
      <c r="AI350" s="43">
        <v>0.54</v>
      </c>
      <c r="AJ350" s="43">
        <v>0.54</v>
      </c>
      <c r="AK350" s="43">
        <v>0.54</v>
      </c>
      <c r="AL350" s="43">
        <v>0.54</v>
      </c>
      <c r="AM350" s="43">
        <v>0.54</v>
      </c>
      <c r="AN350" s="43">
        <v>0.54</v>
      </c>
      <c r="AO350" s="43">
        <v>0.54</v>
      </c>
      <c r="AP350" s="43">
        <v>0.54</v>
      </c>
      <c r="AQ350" s="43">
        <v>0.54</v>
      </c>
      <c r="AR350" s="43">
        <v>0.54</v>
      </c>
      <c r="AS350" s="43">
        <v>0.54</v>
      </c>
      <c r="AT350" s="43">
        <v>0.54</v>
      </c>
      <c r="AU350" s="43">
        <v>0.54</v>
      </c>
      <c r="AV350" s="43">
        <v>0.54</v>
      </c>
      <c r="AW350" s="43">
        <v>0.54</v>
      </c>
      <c r="AX350" s="43">
        <v>0.54</v>
      </c>
      <c r="AY350" s="43">
        <v>0.54</v>
      </c>
      <c r="AZ350" s="43">
        <v>0.54</v>
      </c>
      <c r="BA350" s="43">
        <v>0.54</v>
      </c>
      <c r="BB350" s="43">
        <v>0.54</v>
      </c>
      <c r="BC350" s="43">
        <v>0.54</v>
      </c>
      <c r="BD350" s="43">
        <v>0.54</v>
      </c>
      <c r="BE350" s="43">
        <v>0.54</v>
      </c>
      <c r="BF350" s="43">
        <v>0.54</v>
      </c>
      <c r="BG350" s="43">
        <v>0.54</v>
      </c>
      <c r="BH350" s="43">
        <v>0.54</v>
      </c>
      <c r="BI350" s="43">
        <v>0.54</v>
      </c>
      <c r="BJ350" s="43">
        <v>0.54</v>
      </c>
      <c r="BK350" s="43">
        <v>0.54</v>
      </c>
      <c r="BL350" s="43">
        <v>0.54</v>
      </c>
      <c r="BM350" s="43">
        <v>0.54</v>
      </c>
      <c r="BN350" s="43">
        <v>0.54</v>
      </c>
      <c r="BO350" s="43">
        <v>0.54</v>
      </c>
      <c r="BP350" s="43">
        <v>0.54</v>
      </c>
      <c r="BQ350" s="43">
        <v>0.54</v>
      </c>
    </row>
    <row r="351" spans="1:69" s="44" customFormat="1" hidden="1" x14ac:dyDescent="0.25">
      <c r="A351" s="43">
        <v>34</v>
      </c>
      <c r="B351" s="43" t="s">
        <v>156</v>
      </c>
      <c r="C351" s="20" t="s">
        <v>157</v>
      </c>
      <c r="D351" s="43">
        <v>10</v>
      </c>
      <c r="E351" s="20" t="s">
        <v>499</v>
      </c>
      <c r="F351" s="43"/>
      <c r="G351" s="43" t="s">
        <v>501</v>
      </c>
      <c r="H351" s="43">
        <v>0</v>
      </c>
      <c r="I351" s="43">
        <v>0.95</v>
      </c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</row>
    <row r="352" spans="1:69" s="34" customFormat="1" hidden="1" x14ac:dyDescent="0.25">
      <c r="A352" s="33">
        <v>35</v>
      </c>
      <c r="B352" s="33" t="s">
        <v>158</v>
      </c>
      <c r="C352" s="36" t="s">
        <v>159</v>
      </c>
      <c r="D352" s="33">
        <v>1</v>
      </c>
      <c r="E352" s="36" t="s">
        <v>489</v>
      </c>
      <c r="F352" s="33"/>
      <c r="G352" s="33" t="s">
        <v>501</v>
      </c>
      <c r="H352" s="33">
        <v>0</v>
      </c>
      <c r="I352" s="33">
        <v>1770</v>
      </c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</row>
    <row r="353" spans="1:69" s="34" customFormat="1" hidden="1" x14ac:dyDescent="0.25">
      <c r="A353" s="33">
        <v>35</v>
      </c>
      <c r="B353" s="33" t="s">
        <v>158</v>
      </c>
      <c r="C353" s="36" t="s">
        <v>159</v>
      </c>
      <c r="D353" s="33">
        <v>2</v>
      </c>
      <c r="E353" s="36" t="s">
        <v>491</v>
      </c>
      <c r="F353" s="33"/>
      <c r="G353" s="33" t="s">
        <v>501</v>
      </c>
      <c r="H353" s="33">
        <v>0</v>
      </c>
      <c r="I353" s="33">
        <v>44.3</v>
      </c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</row>
    <row r="354" spans="1:69" s="34" customFormat="1" hidden="1" x14ac:dyDescent="0.25">
      <c r="A354" s="33">
        <v>35</v>
      </c>
      <c r="B354" s="33" t="s">
        <v>158</v>
      </c>
      <c r="C354" s="36" t="s">
        <v>159</v>
      </c>
      <c r="D354" s="33">
        <v>3</v>
      </c>
      <c r="E354" s="36" t="s">
        <v>492</v>
      </c>
      <c r="F354" s="33"/>
      <c r="G354" s="33" t="s">
        <v>501</v>
      </c>
      <c r="H354" s="33">
        <v>0</v>
      </c>
      <c r="I354" s="33">
        <v>12.61</v>
      </c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</row>
    <row r="355" spans="1:69" s="34" customFormat="1" hidden="1" x14ac:dyDescent="0.25">
      <c r="A355" s="33">
        <v>35</v>
      </c>
      <c r="B355" s="33" t="s">
        <v>158</v>
      </c>
      <c r="C355" s="36" t="s">
        <v>159</v>
      </c>
      <c r="D355" s="33">
        <v>4</v>
      </c>
      <c r="E355" s="36" t="s">
        <v>493</v>
      </c>
      <c r="F355" s="33"/>
      <c r="G355" s="33" t="s">
        <v>500</v>
      </c>
      <c r="H355" s="33">
        <v>0</v>
      </c>
      <c r="I355" s="33">
        <v>4.0957621600000013E-3</v>
      </c>
      <c r="J355" s="33">
        <v>4.1713669760000006E-3</v>
      </c>
      <c r="K355" s="33">
        <v>4.5288502560000008E-3</v>
      </c>
      <c r="L355" s="33">
        <v>4.5603950560000007E-3</v>
      </c>
      <c r="M355" s="33">
        <v>4.8294061760000007E-3</v>
      </c>
      <c r="N355" s="33">
        <v>4.9978407360000005E-3</v>
      </c>
      <c r="O355" s="33">
        <v>5.2615846080000007E-3</v>
      </c>
      <c r="P355" s="33">
        <v>4.8938309280000007E-3</v>
      </c>
      <c r="Q355" s="33">
        <v>5.0039999999999998E-3</v>
      </c>
      <c r="R355" s="33">
        <v>5.0039999999999998E-3</v>
      </c>
      <c r="S355" s="33">
        <v>5.0039999999999998E-3</v>
      </c>
      <c r="T355" s="33">
        <v>5.0039999999999998E-3</v>
      </c>
      <c r="U355" s="33">
        <v>5.0039999999999998E-3</v>
      </c>
      <c r="V355" s="33">
        <v>5.0039999999999998E-3</v>
      </c>
      <c r="W355" s="33">
        <v>5.0039999999999998E-3</v>
      </c>
      <c r="X355" s="33">
        <v>5.0039999999999998E-3</v>
      </c>
      <c r="Y355" s="33">
        <v>5.0039999999999998E-3</v>
      </c>
      <c r="Z355" s="33">
        <v>5.0039999999999998E-3</v>
      </c>
      <c r="AA355" s="33">
        <v>5.0039999999999998E-3</v>
      </c>
      <c r="AB355" s="33">
        <v>5.0039999999999998E-3</v>
      </c>
      <c r="AC355" s="33">
        <v>5.0039999999999998E-3</v>
      </c>
      <c r="AD355" s="33">
        <v>5.0039999999999998E-3</v>
      </c>
      <c r="AE355" s="33">
        <v>5.0039999999999998E-3</v>
      </c>
      <c r="AF355" s="33">
        <v>5.0039999999999998E-3</v>
      </c>
      <c r="AG355" s="33">
        <v>5.0039999999999998E-3</v>
      </c>
      <c r="AH355" s="33">
        <v>5.0039999999999998E-3</v>
      </c>
      <c r="AI355" s="33">
        <v>5.0039999999999998E-3</v>
      </c>
      <c r="AJ355" s="33">
        <v>5.0039999999999998E-3</v>
      </c>
      <c r="AK355" s="33">
        <v>5.0039999999999998E-3</v>
      </c>
      <c r="AL355" s="33">
        <v>5.0039999999999998E-3</v>
      </c>
      <c r="AM355" s="33">
        <v>5.0039999999999998E-3</v>
      </c>
      <c r="AN355" s="33">
        <v>5.0039999999999998E-3</v>
      </c>
      <c r="AO355" s="33">
        <v>5.0039999999999998E-3</v>
      </c>
      <c r="AP355" s="33">
        <v>5.0039999999999998E-3</v>
      </c>
      <c r="AQ355" s="33">
        <v>5.0039999999999998E-3</v>
      </c>
      <c r="AR355" s="33">
        <v>5.0039999999999998E-3</v>
      </c>
      <c r="AS355" s="33">
        <v>5.0039999999999998E-3</v>
      </c>
      <c r="AT355" s="33">
        <v>5.0039999999999998E-3</v>
      </c>
      <c r="AU355" s="33">
        <v>5.0039999999999998E-3</v>
      </c>
      <c r="AV355" s="33">
        <v>5.0039999999999998E-3</v>
      </c>
      <c r="AW355" s="33">
        <v>5.0039999999999998E-3</v>
      </c>
      <c r="AX355" s="33">
        <v>5.0039999999999998E-3</v>
      </c>
      <c r="AY355" s="33">
        <v>5.0039999999999998E-3</v>
      </c>
      <c r="AZ355" s="33">
        <v>5.0039999999999998E-3</v>
      </c>
      <c r="BA355" s="33">
        <v>5.0039999999999998E-3</v>
      </c>
      <c r="BB355" s="33">
        <v>5.0039999999999998E-3</v>
      </c>
      <c r="BC355" s="33">
        <v>5.0039999999999998E-3</v>
      </c>
      <c r="BD355" s="33">
        <v>5.0039999999999998E-3</v>
      </c>
      <c r="BE355" s="33">
        <v>5.0039999999999998E-3</v>
      </c>
      <c r="BF355" s="33">
        <v>5.0039999999999998E-3</v>
      </c>
      <c r="BG355" s="33">
        <v>5.0039999999999998E-3</v>
      </c>
      <c r="BH355" s="33">
        <v>5.0039999999999998E-3</v>
      </c>
      <c r="BI355" s="33">
        <v>5.0039999999999998E-3</v>
      </c>
      <c r="BJ355" s="33">
        <v>5.0039999999999998E-3</v>
      </c>
      <c r="BK355" s="33">
        <v>5.0039999999999998E-3</v>
      </c>
      <c r="BL355" s="33">
        <v>5.0039999999999998E-3</v>
      </c>
      <c r="BM355" s="33">
        <v>5.0039999999999998E-3</v>
      </c>
      <c r="BN355" s="33">
        <v>5.0039999999999998E-3</v>
      </c>
      <c r="BO355" s="33">
        <v>5.0039999999999998E-3</v>
      </c>
      <c r="BP355" s="33">
        <v>5.0039999999999998E-3</v>
      </c>
      <c r="BQ355" s="33">
        <v>5.0039999999999998E-3</v>
      </c>
    </row>
    <row r="356" spans="1:69" s="34" customFormat="1" hidden="1" x14ac:dyDescent="0.25">
      <c r="A356" s="33">
        <v>35</v>
      </c>
      <c r="B356" s="33" t="s">
        <v>158</v>
      </c>
      <c r="C356" s="36" t="s">
        <v>159</v>
      </c>
      <c r="D356" s="33">
        <v>5</v>
      </c>
      <c r="E356" s="36" t="s">
        <v>494</v>
      </c>
      <c r="F356" s="33"/>
      <c r="G356" s="33" t="s">
        <v>500</v>
      </c>
      <c r="H356" s="33">
        <v>0</v>
      </c>
      <c r="I356" s="33">
        <v>4.0957621600000013E-3</v>
      </c>
      <c r="J356" s="33">
        <v>4.1713669760000006E-3</v>
      </c>
      <c r="K356" s="33">
        <v>4.5288502560000008E-3</v>
      </c>
      <c r="L356" s="33">
        <v>4.5603950560000007E-3</v>
      </c>
      <c r="M356" s="33">
        <v>4.8294061760000007E-3</v>
      </c>
      <c r="N356" s="33">
        <v>4.9978407360000005E-3</v>
      </c>
      <c r="O356" s="33">
        <v>5.2615846080000007E-3</v>
      </c>
      <c r="P356" s="33">
        <v>4.8938309280000007E-3</v>
      </c>
      <c r="Q356" s="33">
        <v>5.0039999999999998E-3</v>
      </c>
      <c r="R356" s="33">
        <v>5.0039999999999998E-3</v>
      </c>
      <c r="S356" s="33">
        <v>5.0039999999999998E-3</v>
      </c>
      <c r="T356" s="33">
        <v>5.0039999999999998E-3</v>
      </c>
      <c r="U356" s="33">
        <v>5.0039999999999998E-3</v>
      </c>
      <c r="V356" s="33">
        <v>5.0039999999999998E-3</v>
      </c>
      <c r="W356" s="33">
        <v>5.0039999999999998E-3</v>
      </c>
      <c r="X356" s="33">
        <v>5.0039999999999998E-3</v>
      </c>
      <c r="Y356" s="33">
        <v>5.0039999999999998E-3</v>
      </c>
      <c r="Z356" s="33">
        <v>5.0039999999999998E-3</v>
      </c>
      <c r="AA356" s="33">
        <v>5.0039999999999998E-3</v>
      </c>
      <c r="AB356" s="33">
        <v>5.0039999999999998E-3</v>
      </c>
      <c r="AC356" s="33">
        <v>5.0039999999999998E-3</v>
      </c>
      <c r="AD356" s="33">
        <v>5.0039999999999998E-3</v>
      </c>
      <c r="AE356" s="33">
        <v>5.0039999999999998E-3</v>
      </c>
      <c r="AF356" s="33">
        <v>5.0039999999999998E-3</v>
      </c>
      <c r="AG356" s="33">
        <v>5.0039999999999998E-3</v>
      </c>
      <c r="AH356" s="33">
        <v>5.0039999999999998E-3</v>
      </c>
      <c r="AI356" s="33">
        <v>5.0039999999999998E-3</v>
      </c>
      <c r="AJ356" s="33">
        <v>5.0039999999999998E-3</v>
      </c>
      <c r="AK356" s="33">
        <v>5.0039999999999998E-3</v>
      </c>
      <c r="AL356" s="33">
        <v>5.0039999999999998E-3</v>
      </c>
      <c r="AM356" s="33">
        <v>5.0039999999999998E-3</v>
      </c>
      <c r="AN356" s="33">
        <v>5.0039999999999998E-3</v>
      </c>
      <c r="AO356" s="33">
        <v>5.0039999999999998E-3</v>
      </c>
      <c r="AP356" s="33">
        <v>5.0039999999999998E-3</v>
      </c>
      <c r="AQ356" s="33">
        <v>5.0039999999999998E-3</v>
      </c>
      <c r="AR356" s="33">
        <v>5.0039999999999998E-3</v>
      </c>
      <c r="AS356" s="33">
        <v>5.0039999999999998E-3</v>
      </c>
      <c r="AT356" s="33">
        <v>5.0039999999999998E-3</v>
      </c>
      <c r="AU356" s="33">
        <v>5.0039999999999998E-3</v>
      </c>
      <c r="AV356" s="33">
        <v>5.0039999999999998E-3</v>
      </c>
      <c r="AW356" s="33">
        <v>5.0039999999999998E-3</v>
      </c>
      <c r="AX356" s="33">
        <v>5.0039999999999998E-3</v>
      </c>
      <c r="AY356" s="33">
        <v>5.0039999999999998E-3</v>
      </c>
      <c r="AZ356" s="33">
        <v>5.0039999999999998E-3</v>
      </c>
      <c r="BA356" s="33">
        <v>5.0039999999999998E-3</v>
      </c>
      <c r="BB356" s="33">
        <v>5.0039999999999998E-3</v>
      </c>
      <c r="BC356" s="33">
        <v>5.0039999999999998E-3</v>
      </c>
      <c r="BD356" s="33">
        <v>5.0039999999999998E-3</v>
      </c>
      <c r="BE356" s="33">
        <v>5.0039999999999998E-3</v>
      </c>
      <c r="BF356" s="33">
        <v>5.0039999999999998E-3</v>
      </c>
      <c r="BG356" s="33">
        <v>5.0039999999999998E-3</v>
      </c>
      <c r="BH356" s="33">
        <v>5.0039999999999998E-3</v>
      </c>
      <c r="BI356" s="33">
        <v>5.0039999999999998E-3</v>
      </c>
      <c r="BJ356" s="33">
        <v>5.0039999999999998E-3</v>
      </c>
      <c r="BK356" s="33">
        <v>5.0039999999999998E-3</v>
      </c>
      <c r="BL356" s="33">
        <v>5.0039999999999998E-3</v>
      </c>
      <c r="BM356" s="33">
        <v>5.0039999999999998E-3</v>
      </c>
      <c r="BN356" s="33">
        <v>5.0039999999999998E-3</v>
      </c>
      <c r="BO356" s="33">
        <v>5.0039999999999998E-3</v>
      </c>
      <c r="BP356" s="33">
        <v>5.0039999999999998E-3</v>
      </c>
      <c r="BQ356" s="33">
        <v>5.0039999999999998E-3</v>
      </c>
    </row>
    <row r="357" spans="1:69" s="34" customFormat="1" hidden="1" x14ac:dyDescent="0.25">
      <c r="A357" s="33">
        <v>35</v>
      </c>
      <c r="B357" s="33" t="s">
        <v>158</v>
      </c>
      <c r="C357" s="36" t="s">
        <v>159</v>
      </c>
      <c r="D357" s="33">
        <v>6</v>
      </c>
      <c r="E357" s="36" t="s">
        <v>495</v>
      </c>
      <c r="F357" s="33"/>
      <c r="G357" s="33" t="s">
        <v>490</v>
      </c>
      <c r="H357" s="33">
        <v>0</v>
      </c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</row>
    <row r="358" spans="1:69" s="34" customFormat="1" hidden="1" x14ac:dyDescent="0.25">
      <c r="A358" s="33">
        <v>35</v>
      </c>
      <c r="B358" s="33" t="s">
        <v>158</v>
      </c>
      <c r="C358" s="36" t="s">
        <v>159</v>
      </c>
      <c r="D358" s="33">
        <v>7</v>
      </c>
      <c r="E358" s="36" t="s">
        <v>496</v>
      </c>
      <c r="F358" s="33"/>
      <c r="G358" s="33" t="s">
        <v>500</v>
      </c>
      <c r="H358" s="33">
        <v>0</v>
      </c>
      <c r="I358" s="33">
        <v>7.9539183268780372E-2</v>
      </c>
      <c r="J358" s="33">
        <v>6.8282227201494822E-2</v>
      </c>
      <c r="K358" s="33">
        <v>7.7123238544705139E-2</v>
      </c>
      <c r="L358" s="33">
        <v>8.8746700158367428E-2</v>
      </c>
      <c r="M358" s="33">
        <v>9.2404275917106718E-2</v>
      </c>
      <c r="N358" s="33">
        <v>9.2082648600898556E-2</v>
      </c>
      <c r="O358" s="33">
        <v>8.1289434245355022E-2</v>
      </c>
      <c r="P358" s="33">
        <v>5.5162824582213228E-2</v>
      </c>
      <c r="Q358" s="33">
        <v>4.58E-2</v>
      </c>
      <c r="R358" s="33">
        <v>2.6700000000000002E-2</v>
      </c>
      <c r="S358" s="33">
        <v>2.3699999999999999E-2</v>
      </c>
      <c r="T358" s="33">
        <v>6.8999999999999999E-3</v>
      </c>
      <c r="U358" s="33">
        <v>4.4184194750198885E-2</v>
      </c>
      <c r="V358" s="33">
        <v>4.4184194750198885E-2</v>
      </c>
      <c r="W358" s="33">
        <v>4.4184194750198885E-2</v>
      </c>
      <c r="X358" s="33">
        <v>4.4184194750198885E-2</v>
      </c>
      <c r="Y358" s="33">
        <v>4.4184194750198885E-2</v>
      </c>
      <c r="Z358" s="33">
        <v>4.4184194750198885E-2</v>
      </c>
      <c r="AA358" s="33">
        <v>4.4184194750198885E-2</v>
      </c>
      <c r="AB358" s="33">
        <v>4.4184194750198885E-2</v>
      </c>
      <c r="AC358" s="33">
        <v>4.4184194750198885E-2</v>
      </c>
      <c r="AD358" s="33">
        <v>4.4184194750198885E-2</v>
      </c>
      <c r="AE358" s="33">
        <v>4.4184194750198885E-2</v>
      </c>
      <c r="AF358" s="33">
        <v>4.4184194750198885E-2</v>
      </c>
      <c r="AG358" s="33">
        <v>4.4184194750198885E-2</v>
      </c>
      <c r="AH358" s="33">
        <v>4.4184194750198885E-2</v>
      </c>
      <c r="AI358" s="33">
        <v>4.4184194750198885E-2</v>
      </c>
      <c r="AJ358" s="33">
        <v>4.4184194750198885E-2</v>
      </c>
      <c r="AK358" s="33">
        <v>4.4184194750198885E-2</v>
      </c>
      <c r="AL358" s="33">
        <v>4.4184194750198885E-2</v>
      </c>
      <c r="AM358" s="33">
        <v>4.4184194750198885E-2</v>
      </c>
      <c r="AN358" s="33">
        <v>4.4184194750198885E-2</v>
      </c>
      <c r="AO358" s="33">
        <v>4.4184194750198885E-2</v>
      </c>
      <c r="AP358" s="33">
        <v>4.4184194750198885E-2</v>
      </c>
      <c r="AQ358" s="33">
        <v>4.4184194750198885E-2</v>
      </c>
      <c r="AR358" s="33">
        <v>4.4184194750198885E-2</v>
      </c>
      <c r="AS358" s="33">
        <v>4.4184194750198885E-2</v>
      </c>
      <c r="AT358" s="33">
        <v>4.4184194750198885E-2</v>
      </c>
      <c r="AU358" s="33">
        <v>4.4184194750198885E-2</v>
      </c>
      <c r="AV358" s="33">
        <v>4.4184194750198885E-2</v>
      </c>
      <c r="AW358" s="33">
        <v>4.4184194750198885E-2</v>
      </c>
      <c r="AX358" s="33">
        <v>4.4184194750198885E-2</v>
      </c>
      <c r="AY358" s="33">
        <v>4.4184194750198885E-2</v>
      </c>
      <c r="AZ358" s="33">
        <v>4.4184194750198885E-2</v>
      </c>
      <c r="BA358" s="33">
        <v>4.4184194750198885E-2</v>
      </c>
      <c r="BB358" s="33">
        <v>4.4184194750198885E-2</v>
      </c>
      <c r="BC358" s="33">
        <v>4.4184194750198885E-2</v>
      </c>
      <c r="BD358" s="33">
        <v>4.4184194750198885E-2</v>
      </c>
      <c r="BE358" s="33">
        <v>4.4184194750198885E-2</v>
      </c>
      <c r="BF358" s="33">
        <v>4.4184194750198885E-2</v>
      </c>
      <c r="BG358" s="33">
        <v>4.4184194750198885E-2</v>
      </c>
      <c r="BH358" s="33">
        <v>4.4184194750198885E-2</v>
      </c>
      <c r="BI358" s="33">
        <v>4.4184194750198885E-2</v>
      </c>
      <c r="BJ358" s="33">
        <v>4.4184194750198885E-2</v>
      </c>
      <c r="BK358" s="33">
        <v>4.4184194750198885E-2</v>
      </c>
      <c r="BL358" s="33">
        <v>4.4184194750198885E-2</v>
      </c>
      <c r="BM358" s="33">
        <v>4.4184194750198885E-2</v>
      </c>
      <c r="BN358" s="33">
        <v>4.4184194750198885E-2</v>
      </c>
      <c r="BO358" s="33">
        <v>4.4184194750198885E-2</v>
      </c>
      <c r="BP358" s="33">
        <v>4.4184194750198885E-2</v>
      </c>
      <c r="BQ358" s="33">
        <v>4.4184194750198885E-2</v>
      </c>
    </row>
    <row r="359" spans="1:69" s="34" customFormat="1" hidden="1" x14ac:dyDescent="0.25">
      <c r="A359" s="33">
        <v>35</v>
      </c>
      <c r="B359" s="33" t="s">
        <v>158</v>
      </c>
      <c r="C359" s="36" t="s">
        <v>159</v>
      </c>
      <c r="D359" s="33">
        <v>8</v>
      </c>
      <c r="E359" s="36" t="s">
        <v>497</v>
      </c>
      <c r="F359" s="33"/>
      <c r="G359" s="33" t="s">
        <v>490</v>
      </c>
      <c r="H359" s="33">
        <v>0</v>
      </c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</row>
    <row r="360" spans="1:69" s="34" customFormat="1" hidden="1" x14ac:dyDescent="0.25">
      <c r="A360" s="33">
        <v>35</v>
      </c>
      <c r="B360" s="33" t="s">
        <v>158</v>
      </c>
      <c r="C360" s="36" t="s">
        <v>159</v>
      </c>
      <c r="D360" s="33">
        <v>9</v>
      </c>
      <c r="E360" s="36" t="s">
        <v>498</v>
      </c>
      <c r="F360" s="33"/>
      <c r="G360" s="33" t="s">
        <v>500</v>
      </c>
      <c r="H360" s="33">
        <v>0</v>
      </c>
      <c r="I360" s="33">
        <v>0.65480000000000005</v>
      </c>
      <c r="J360" s="33">
        <v>0.55189999999999995</v>
      </c>
      <c r="K360" s="33">
        <v>0.57420000000000004</v>
      </c>
      <c r="L360" s="33">
        <v>0.65610000000000002</v>
      </c>
      <c r="M360" s="33">
        <v>0.64510000000000001</v>
      </c>
      <c r="N360" s="33">
        <v>0.62119999999999997</v>
      </c>
      <c r="O360" s="33">
        <v>0.52090000000000003</v>
      </c>
      <c r="P360" s="33">
        <v>0.38</v>
      </c>
      <c r="Q360" s="33">
        <v>0.30830000000000002</v>
      </c>
      <c r="R360" s="33">
        <v>0.18010000000000001</v>
      </c>
      <c r="S360" s="33">
        <v>0.16</v>
      </c>
      <c r="T360" s="33">
        <v>4.6600000000000003E-2</v>
      </c>
      <c r="U360" s="33">
        <v>0.31</v>
      </c>
      <c r="V360" s="33">
        <v>0.31</v>
      </c>
      <c r="W360" s="33">
        <v>0.31</v>
      </c>
      <c r="X360" s="33">
        <v>0.31</v>
      </c>
      <c r="Y360" s="33">
        <v>0.31</v>
      </c>
      <c r="Z360" s="33">
        <v>0.31</v>
      </c>
      <c r="AA360" s="33">
        <v>0.31</v>
      </c>
      <c r="AB360" s="33">
        <v>0.31</v>
      </c>
      <c r="AC360" s="33">
        <v>0.31</v>
      </c>
      <c r="AD360" s="33">
        <v>0.31</v>
      </c>
      <c r="AE360" s="33">
        <v>0.31</v>
      </c>
      <c r="AF360" s="33">
        <v>0.31</v>
      </c>
      <c r="AG360" s="33">
        <v>0.31</v>
      </c>
      <c r="AH360" s="33">
        <v>0.31</v>
      </c>
      <c r="AI360" s="33">
        <v>0.31</v>
      </c>
      <c r="AJ360" s="33">
        <v>0.31</v>
      </c>
      <c r="AK360" s="33">
        <v>0.31</v>
      </c>
      <c r="AL360" s="33">
        <v>0.31</v>
      </c>
      <c r="AM360" s="33">
        <v>0.31</v>
      </c>
      <c r="AN360" s="33">
        <v>0.31</v>
      </c>
      <c r="AO360" s="33">
        <v>0.31</v>
      </c>
      <c r="AP360" s="33">
        <v>0.31</v>
      </c>
      <c r="AQ360" s="33">
        <v>0.31</v>
      </c>
      <c r="AR360" s="33">
        <v>0.31</v>
      </c>
      <c r="AS360" s="33">
        <v>0.31</v>
      </c>
      <c r="AT360" s="33">
        <v>0.31</v>
      </c>
      <c r="AU360" s="33">
        <v>0.31</v>
      </c>
      <c r="AV360" s="33">
        <v>0.31</v>
      </c>
      <c r="AW360" s="33">
        <v>0.31</v>
      </c>
      <c r="AX360" s="33">
        <v>0.31</v>
      </c>
      <c r="AY360" s="33">
        <v>0.31</v>
      </c>
      <c r="AZ360" s="33">
        <v>0.31</v>
      </c>
      <c r="BA360" s="33">
        <v>0.31</v>
      </c>
      <c r="BB360" s="33">
        <v>0.31</v>
      </c>
      <c r="BC360" s="33">
        <v>0.31</v>
      </c>
      <c r="BD360" s="33">
        <v>0.31</v>
      </c>
      <c r="BE360" s="33">
        <v>0.31</v>
      </c>
      <c r="BF360" s="33">
        <v>0.31</v>
      </c>
      <c r="BG360" s="33">
        <v>0.31</v>
      </c>
      <c r="BH360" s="33">
        <v>0.31</v>
      </c>
      <c r="BI360" s="33">
        <v>0.31</v>
      </c>
      <c r="BJ360" s="33">
        <v>0.31</v>
      </c>
      <c r="BK360" s="33">
        <v>0.31</v>
      </c>
      <c r="BL360" s="33">
        <v>0.31</v>
      </c>
      <c r="BM360" s="33">
        <v>0.31</v>
      </c>
      <c r="BN360" s="33">
        <v>0.31</v>
      </c>
      <c r="BO360" s="33">
        <v>0.31</v>
      </c>
      <c r="BP360" s="33">
        <v>0.31</v>
      </c>
      <c r="BQ360" s="33">
        <v>0.31</v>
      </c>
    </row>
    <row r="361" spans="1:69" s="34" customFormat="1" hidden="1" x14ac:dyDescent="0.25">
      <c r="A361" s="33">
        <v>35</v>
      </c>
      <c r="B361" s="33" t="s">
        <v>158</v>
      </c>
      <c r="C361" s="36" t="s">
        <v>159</v>
      </c>
      <c r="D361" s="33">
        <v>10</v>
      </c>
      <c r="E361" s="36" t="s">
        <v>499</v>
      </c>
      <c r="F361" s="33"/>
      <c r="G361" s="33" t="s">
        <v>501</v>
      </c>
      <c r="H361" s="33">
        <v>0</v>
      </c>
      <c r="I361" s="33">
        <v>0.95</v>
      </c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</row>
    <row r="362" spans="1:69" s="44" customFormat="1" hidden="1" x14ac:dyDescent="0.25">
      <c r="A362" s="43">
        <v>36</v>
      </c>
      <c r="B362" s="43" t="s">
        <v>160</v>
      </c>
      <c r="C362" s="20" t="s">
        <v>161</v>
      </c>
      <c r="D362" s="43">
        <v>1</v>
      </c>
      <c r="E362" s="20" t="s">
        <v>489</v>
      </c>
      <c r="F362" s="43"/>
      <c r="G362" s="43" t="s">
        <v>501</v>
      </c>
      <c r="H362" s="43">
        <v>0</v>
      </c>
      <c r="I362" s="43">
        <v>1200</v>
      </c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</row>
    <row r="363" spans="1:69" s="44" customFormat="1" hidden="1" x14ac:dyDescent="0.25">
      <c r="A363" s="43">
        <v>36</v>
      </c>
      <c r="B363" s="43" t="s">
        <v>160</v>
      </c>
      <c r="C363" s="20" t="s">
        <v>161</v>
      </c>
      <c r="D363" s="43">
        <v>2</v>
      </c>
      <c r="E363" s="20" t="s">
        <v>491</v>
      </c>
      <c r="F363" s="43"/>
      <c r="G363" s="43" t="s">
        <v>501</v>
      </c>
      <c r="H363" s="43">
        <v>0</v>
      </c>
      <c r="I363" s="43">
        <v>20</v>
      </c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</row>
    <row r="364" spans="1:69" s="44" customFormat="1" hidden="1" x14ac:dyDescent="0.25">
      <c r="A364" s="43">
        <v>36</v>
      </c>
      <c r="B364" s="43" t="s">
        <v>160</v>
      </c>
      <c r="C364" s="20" t="s">
        <v>161</v>
      </c>
      <c r="D364" s="43">
        <v>3</v>
      </c>
      <c r="E364" s="20" t="s">
        <v>492</v>
      </c>
      <c r="F364" s="43"/>
      <c r="G364" s="43" t="s">
        <v>501</v>
      </c>
      <c r="H364" s="43">
        <v>0</v>
      </c>
      <c r="I364" s="45">
        <v>9.4600000000000009</v>
      </c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</row>
    <row r="365" spans="1:69" s="44" customFormat="1" hidden="1" x14ac:dyDescent="0.25">
      <c r="A365" s="43">
        <v>36</v>
      </c>
      <c r="B365" s="43" t="s">
        <v>160</v>
      </c>
      <c r="C365" s="20" t="s">
        <v>161</v>
      </c>
      <c r="D365" s="43">
        <v>4</v>
      </c>
      <c r="E365" s="20" t="s">
        <v>493</v>
      </c>
      <c r="F365" s="43"/>
      <c r="G365" s="43" t="s">
        <v>500</v>
      </c>
      <c r="H365" s="43">
        <v>0</v>
      </c>
      <c r="I365" s="43">
        <v>5.04E-2</v>
      </c>
      <c r="J365" s="43">
        <v>5.04E-2</v>
      </c>
      <c r="K365" s="43">
        <v>5.04E-2</v>
      </c>
      <c r="L365" s="43">
        <v>5.04E-2</v>
      </c>
      <c r="M365" s="43">
        <v>5.04E-2</v>
      </c>
      <c r="N365" s="43">
        <v>5.04E-2</v>
      </c>
      <c r="O365" s="43">
        <v>5.04E-2</v>
      </c>
      <c r="P365" s="43">
        <v>5.04E-2</v>
      </c>
      <c r="Q365" s="43">
        <v>5.04E-2</v>
      </c>
      <c r="R365" s="43">
        <v>5.04E-2</v>
      </c>
      <c r="S365" s="43">
        <v>5.04E-2</v>
      </c>
      <c r="T365" s="43">
        <v>5.04E-2</v>
      </c>
      <c r="U365" s="43">
        <v>5.04E-2</v>
      </c>
      <c r="V365" s="43">
        <v>5.04E-2</v>
      </c>
      <c r="W365" s="43">
        <v>5.04E-2</v>
      </c>
      <c r="X365" s="43">
        <v>5.04E-2</v>
      </c>
      <c r="Y365" s="43">
        <v>5.04E-2</v>
      </c>
      <c r="Z365" s="43">
        <v>5.04E-2</v>
      </c>
      <c r="AA365" s="43">
        <v>5.04E-2</v>
      </c>
      <c r="AB365" s="43">
        <v>5.04E-2</v>
      </c>
      <c r="AC365" s="43">
        <v>5.04E-2</v>
      </c>
      <c r="AD365" s="43">
        <v>5.04E-2</v>
      </c>
      <c r="AE365" s="43">
        <v>5.04E-2</v>
      </c>
      <c r="AF365" s="43">
        <v>5.04E-2</v>
      </c>
      <c r="AG365" s="43">
        <v>5.04E-2</v>
      </c>
      <c r="AH365" s="43">
        <v>5.04E-2</v>
      </c>
      <c r="AI365" s="43">
        <v>5.04E-2</v>
      </c>
      <c r="AJ365" s="43">
        <v>5.04E-2</v>
      </c>
      <c r="AK365" s="43">
        <v>5.04E-2</v>
      </c>
      <c r="AL365" s="43">
        <v>5.04E-2</v>
      </c>
      <c r="AM365" s="43">
        <v>5.04E-2</v>
      </c>
      <c r="AN365" s="43">
        <v>5.04E-2</v>
      </c>
      <c r="AO365" s="43">
        <v>5.04E-2</v>
      </c>
      <c r="AP365" s="43">
        <v>5.04E-2</v>
      </c>
      <c r="AQ365" s="43">
        <v>5.04E-2</v>
      </c>
      <c r="AR365" s="43">
        <v>5.04E-2</v>
      </c>
      <c r="AS365" s="43">
        <v>5.04E-2</v>
      </c>
      <c r="AT365" s="43">
        <v>5.04E-2</v>
      </c>
      <c r="AU365" s="43">
        <v>5.04E-2</v>
      </c>
      <c r="AV365" s="43">
        <v>5.04E-2</v>
      </c>
      <c r="AW365" s="43">
        <v>5.04E-2</v>
      </c>
      <c r="AX365" s="43">
        <v>5.04E-2</v>
      </c>
      <c r="AY365" s="43">
        <v>5.04E-2</v>
      </c>
      <c r="AZ365" s="43">
        <v>5.04E-2</v>
      </c>
      <c r="BA365" s="43">
        <v>5.04E-2</v>
      </c>
      <c r="BB365" s="43">
        <v>5.04E-2</v>
      </c>
      <c r="BC365" s="43">
        <v>5.04E-2</v>
      </c>
      <c r="BD365" s="43">
        <v>5.04E-2</v>
      </c>
      <c r="BE365" s="43">
        <v>5.04E-2</v>
      </c>
      <c r="BF365" s="43">
        <v>5.04E-2</v>
      </c>
      <c r="BG365" s="43">
        <v>5.04E-2</v>
      </c>
      <c r="BH365" s="43">
        <v>5.04E-2</v>
      </c>
      <c r="BI365" s="43">
        <v>5.04E-2</v>
      </c>
      <c r="BJ365" s="43">
        <v>5.04E-2</v>
      </c>
      <c r="BK365" s="43">
        <v>5.04E-2</v>
      </c>
      <c r="BL365" s="43">
        <v>5.04E-2</v>
      </c>
      <c r="BM365" s="43">
        <v>5.04E-2</v>
      </c>
      <c r="BN365" s="43">
        <v>5.04E-2</v>
      </c>
      <c r="BO365" s="43">
        <v>5.04E-2</v>
      </c>
      <c r="BP365" s="43">
        <v>5.04E-2</v>
      </c>
      <c r="BQ365" s="43">
        <v>5.04E-2</v>
      </c>
    </row>
    <row r="366" spans="1:69" s="44" customFormat="1" hidden="1" x14ac:dyDescent="0.25">
      <c r="A366" s="43">
        <v>36</v>
      </c>
      <c r="B366" s="43" t="s">
        <v>160</v>
      </c>
      <c r="C366" s="20" t="s">
        <v>161</v>
      </c>
      <c r="D366" s="43">
        <v>5</v>
      </c>
      <c r="E366" s="20" t="s">
        <v>494</v>
      </c>
      <c r="F366" s="43"/>
      <c r="G366" s="43" t="s">
        <v>500</v>
      </c>
      <c r="H366" s="43">
        <v>0</v>
      </c>
      <c r="I366" s="43">
        <v>5.04E-2</v>
      </c>
      <c r="J366" s="43">
        <v>5.04E-2</v>
      </c>
      <c r="K366" s="43">
        <v>5.04E-2</v>
      </c>
      <c r="L366" s="43">
        <v>5.04E-2</v>
      </c>
      <c r="M366" s="43">
        <v>5.04E-2</v>
      </c>
      <c r="N366" s="43">
        <v>5.04E-2</v>
      </c>
      <c r="O366" s="43">
        <v>5.04E-2</v>
      </c>
      <c r="P366" s="43">
        <v>5.04E-2</v>
      </c>
      <c r="Q366" s="43">
        <v>5.04E-2</v>
      </c>
      <c r="R366" s="43">
        <v>5.04E-2</v>
      </c>
      <c r="S366" s="43">
        <v>5.04E-2</v>
      </c>
      <c r="T366" s="43">
        <v>5.04E-2</v>
      </c>
      <c r="U366" s="43">
        <v>5.04E-2</v>
      </c>
      <c r="V366" s="43">
        <v>5.04E-2</v>
      </c>
      <c r="W366" s="43">
        <v>5.04E-2</v>
      </c>
      <c r="X366" s="43">
        <v>5.04E-2</v>
      </c>
      <c r="Y366" s="43">
        <v>5.04E-2</v>
      </c>
      <c r="Z366" s="43">
        <v>5.04E-2</v>
      </c>
      <c r="AA366" s="43">
        <v>5.04E-2</v>
      </c>
      <c r="AB366" s="43">
        <v>5.04E-2</v>
      </c>
      <c r="AC366" s="43">
        <v>5.04E-2</v>
      </c>
      <c r="AD366" s="43">
        <v>5.04E-2</v>
      </c>
      <c r="AE366" s="43">
        <v>5.04E-2</v>
      </c>
      <c r="AF366" s="43">
        <v>5.04E-2</v>
      </c>
      <c r="AG366" s="43">
        <v>5.04E-2</v>
      </c>
      <c r="AH366" s="43">
        <v>5.04E-2</v>
      </c>
      <c r="AI366" s="43">
        <v>5.04E-2</v>
      </c>
      <c r="AJ366" s="43">
        <v>5.04E-2</v>
      </c>
      <c r="AK366" s="43">
        <v>5.04E-2</v>
      </c>
      <c r="AL366" s="43">
        <v>5.04E-2</v>
      </c>
      <c r="AM366" s="43">
        <v>5.04E-2</v>
      </c>
      <c r="AN366" s="43">
        <v>5.04E-2</v>
      </c>
      <c r="AO366" s="43">
        <v>5.04E-2</v>
      </c>
      <c r="AP366" s="43">
        <v>5.04E-2</v>
      </c>
      <c r="AQ366" s="43">
        <v>5.04E-2</v>
      </c>
      <c r="AR366" s="43">
        <v>5.04E-2</v>
      </c>
      <c r="AS366" s="43">
        <v>5.04E-2</v>
      </c>
      <c r="AT366" s="43">
        <v>5.04E-2</v>
      </c>
      <c r="AU366" s="43">
        <v>5.04E-2</v>
      </c>
      <c r="AV366" s="43">
        <v>5.04E-2</v>
      </c>
      <c r="AW366" s="43">
        <v>5.04E-2</v>
      </c>
      <c r="AX366" s="43">
        <v>5.04E-2</v>
      </c>
      <c r="AY366" s="43">
        <v>5.04E-2</v>
      </c>
      <c r="AZ366" s="43">
        <v>5.04E-2</v>
      </c>
      <c r="BA366" s="43">
        <v>5.04E-2</v>
      </c>
      <c r="BB366" s="43">
        <v>5.04E-2</v>
      </c>
      <c r="BC366" s="43">
        <v>5.04E-2</v>
      </c>
      <c r="BD366" s="43">
        <v>5.04E-2</v>
      </c>
      <c r="BE366" s="43">
        <v>5.04E-2</v>
      </c>
      <c r="BF366" s="43">
        <v>5.04E-2</v>
      </c>
      <c r="BG366" s="43">
        <v>5.04E-2</v>
      </c>
      <c r="BH366" s="43">
        <v>5.04E-2</v>
      </c>
      <c r="BI366" s="43">
        <v>5.04E-2</v>
      </c>
      <c r="BJ366" s="43">
        <v>5.04E-2</v>
      </c>
      <c r="BK366" s="43">
        <v>5.04E-2</v>
      </c>
      <c r="BL366" s="43">
        <v>5.04E-2</v>
      </c>
      <c r="BM366" s="43">
        <v>5.04E-2</v>
      </c>
      <c r="BN366" s="43">
        <v>5.04E-2</v>
      </c>
      <c r="BO366" s="43">
        <v>5.04E-2</v>
      </c>
      <c r="BP366" s="43">
        <v>5.04E-2</v>
      </c>
      <c r="BQ366" s="43">
        <v>5.04E-2</v>
      </c>
    </row>
    <row r="367" spans="1:69" s="44" customFormat="1" hidden="1" x14ac:dyDescent="0.25">
      <c r="A367" s="43">
        <v>36</v>
      </c>
      <c r="B367" s="43" t="s">
        <v>160</v>
      </c>
      <c r="C367" s="20" t="s">
        <v>161</v>
      </c>
      <c r="D367" s="43">
        <v>6</v>
      </c>
      <c r="E367" s="20" t="s">
        <v>495</v>
      </c>
      <c r="F367" s="43"/>
      <c r="G367" s="43" t="s">
        <v>490</v>
      </c>
      <c r="H367" s="43">
        <v>0</v>
      </c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</row>
    <row r="368" spans="1:69" s="44" customFormat="1" hidden="1" x14ac:dyDescent="0.25">
      <c r="A368" s="43">
        <v>36</v>
      </c>
      <c r="B368" s="43" t="s">
        <v>160</v>
      </c>
      <c r="C368" s="20" t="s">
        <v>161</v>
      </c>
      <c r="D368" s="43">
        <v>7</v>
      </c>
      <c r="E368" s="20" t="s">
        <v>496</v>
      </c>
      <c r="F368" s="43"/>
      <c r="G368" s="43" t="s">
        <v>500</v>
      </c>
      <c r="H368" s="43">
        <v>0</v>
      </c>
      <c r="I368" s="43">
        <v>0.79539183268780378</v>
      </c>
      <c r="J368" s="43">
        <v>0.68282227201494827</v>
      </c>
      <c r="K368" s="43">
        <v>0.77123238544705142</v>
      </c>
      <c r="L368" s="43">
        <v>0.88746700158367431</v>
      </c>
      <c r="M368" s="43">
        <v>0.92404275917106726</v>
      </c>
      <c r="N368" s="43">
        <v>0.92082648600898553</v>
      </c>
      <c r="O368" s="43">
        <v>0.5516282458221321</v>
      </c>
      <c r="P368" s="43">
        <v>0.5516282458221321</v>
      </c>
      <c r="Q368" s="43">
        <v>0.55889999999999995</v>
      </c>
      <c r="R368" s="43">
        <v>0.54859999999999998</v>
      </c>
      <c r="S368" s="43">
        <v>0.48880000000000001</v>
      </c>
      <c r="T368" s="43">
        <v>0.4985</v>
      </c>
      <c r="U368" s="43">
        <v>0.48832458152262437</v>
      </c>
      <c r="V368" s="43">
        <v>0.48832458152262437</v>
      </c>
      <c r="W368" s="43">
        <v>0.48832458152262437</v>
      </c>
      <c r="X368" s="43">
        <v>0.48832458152262437</v>
      </c>
      <c r="Y368" s="43">
        <v>0.48832458152262437</v>
      </c>
      <c r="Z368" s="43">
        <v>0.48832458152262437</v>
      </c>
      <c r="AA368" s="43">
        <v>0.48832458152262437</v>
      </c>
      <c r="AB368" s="43">
        <v>0.48832458152262437</v>
      </c>
      <c r="AC368" s="43">
        <v>0.48832458152262437</v>
      </c>
      <c r="AD368" s="43">
        <v>0.48832458152262437</v>
      </c>
      <c r="AE368" s="43">
        <v>0.48832458152262437</v>
      </c>
      <c r="AF368" s="43">
        <v>0.48832458152262437</v>
      </c>
      <c r="AG368" s="43">
        <v>0.48832458152262437</v>
      </c>
      <c r="AH368" s="43">
        <v>0.48832458152262437</v>
      </c>
      <c r="AI368" s="43">
        <v>0.48832458152262437</v>
      </c>
      <c r="AJ368" s="43">
        <v>0.48832458152262437</v>
      </c>
      <c r="AK368" s="43">
        <v>0.48832458152262437</v>
      </c>
      <c r="AL368" s="43">
        <v>0.48832458152262437</v>
      </c>
      <c r="AM368" s="43">
        <v>0.48832458152262437</v>
      </c>
      <c r="AN368" s="43">
        <v>0.48832458152262437</v>
      </c>
      <c r="AO368" s="43">
        <v>0.48832458152262437</v>
      </c>
      <c r="AP368" s="43">
        <v>0.48832458152262437</v>
      </c>
      <c r="AQ368" s="43">
        <v>0.48832458152262437</v>
      </c>
      <c r="AR368" s="43">
        <v>0.48832458152262437</v>
      </c>
      <c r="AS368" s="43">
        <v>0.48832458152262437</v>
      </c>
      <c r="AT368" s="43">
        <v>0.48832458152262437</v>
      </c>
      <c r="AU368" s="43">
        <v>0.48832458152262437</v>
      </c>
      <c r="AV368" s="43">
        <v>0.48832458152262437</v>
      </c>
      <c r="AW368" s="43">
        <v>0.48832458152262437</v>
      </c>
      <c r="AX368" s="43">
        <v>0.48832458152262437</v>
      </c>
      <c r="AY368" s="43">
        <v>0.48832458152262437</v>
      </c>
      <c r="AZ368" s="43">
        <v>0.48832458152262437</v>
      </c>
      <c r="BA368" s="43">
        <v>0.48832458152262437</v>
      </c>
      <c r="BB368" s="43">
        <v>0.48832458152262437</v>
      </c>
      <c r="BC368" s="43">
        <v>0.48832458152262437</v>
      </c>
      <c r="BD368" s="43">
        <v>0.48832458152262437</v>
      </c>
      <c r="BE368" s="43">
        <v>0.48832458152262437</v>
      </c>
      <c r="BF368" s="43">
        <v>0.48832458152262437</v>
      </c>
      <c r="BG368" s="43">
        <v>0.48832458152262437</v>
      </c>
      <c r="BH368" s="43">
        <v>0.48832458152262437</v>
      </c>
      <c r="BI368" s="43">
        <v>0.48832458152262437</v>
      </c>
      <c r="BJ368" s="43">
        <v>0.48832458152262437</v>
      </c>
      <c r="BK368" s="43">
        <v>0.48832458152262437</v>
      </c>
      <c r="BL368" s="43">
        <v>0.48832458152262437</v>
      </c>
      <c r="BM368" s="43">
        <v>0.48832458152262437</v>
      </c>
      <c r="BN368" s="43">
        <v>0.48832458152262437</v>
      </c>
      <c r="BO368" s="43">
        <v>0.48832458152262437</v>
      </c>
      <c r="BP368" s="43">
        <v>0.48832458152262437</v>
      </c>
      <c r="BQ368" s="43">
        <v>0.48832458152262437</v>
      </c>
    </row>
    <row r="369" spans="1:69" s="44" customFormat="1" hidden="1" x14ac:dyDescent="0.25">
      <c r="A369" s="43">
        <v>36</v>
      </c>
      <c r="B369" s="43" t="s">
        <v>160</v>
      </c>
      <c r="C369" s="20" t="s">
        <v>161</v>
      </c>
      <c r="D369" s="43">
        <v>8</v>
      </c>
      <c r="E369" s="20" t="s">
        <v>497</v>
      </c>
      <c r="F369" s="43"/>
      <c r="G369" s="43" t="s">
        <v>490</v>
      </c>
      <c r="H369" s="43">
        <v>0</v>
      </c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</row>
    <row r="370" spans="1:69" s="44" customFormat="1" hidden="1" x14ac:dyDescent="0.25">
      <c r="A370" s="43">
        <v>36</v>
      </c>
      <c r="B370" s="43" t="s">
        <v>160</v>
      </c>
      <c r="C370" s="20" t="s">
        <v>161</v>
      </c>
      <c r="D370" s="43">
        <v>9</v>
      </c>
      <c r="E370" s="20" t="s">
        <v>498</v>
      </c>
      <c r="F370" s="43"/>
      <c r="G370" s="43" t="s">
        <v>500</v>
      </c>
      <c r="H370" s="43">
        <v>0</v>
      </c>
      <c r="I370" s="43">
        <v>0.64510000000000001</v>
      </c>
      <c r="J370" s="43">
        <v>0.54369999999999996</v>
      </c>
      <c r="K370" s="43">
        <v>0.56569999999999998</v>
      </c>
      <c r="L370" s="43">
        <v>0.64639999999999997</v>
      </c>
      <c r="M370" s="43">
        <v>0.63560000000000005</v>
      </c>
      <c r="N370" s="43">
        <v>0.61199999999999999</v>
      </c>
      <c r="O370" s="43">
        <v>0.51319999999999999</v>
      </c>
      <c r="P370" s="43">
        <v>0.37440000000000001</v>
      </c>
      <c r="Q370" s="43">
        <v>0.37390000000000001</v>
      </c>
      <c r="R370" s="43">
        <v>0.36699999999999999</v>
      </c>
      <c r="S370" s="43">
        <v>0.32700000000000001</v>
      </c>
      <c r="T370" s="43">
        <v>0.33350000000000002</v>
      </c>
      <c r="U370" s="43">
        <v>0.37</v>
      </c>
      <c r="V370" s="43">
        <v>0.37</v>
      </c>
      <c r="W370" s="43">
        <v>0.37</v>
      </c>
      <c r="X370" s="43">
        <v>0.37</v>
      </c>
      <c r="Y370" s="43">
        <v>0.37</v>
      </c>
      <c r="Z370" s="43">
        <v>0.37</v>
      </c>
      <c r="AA370" s="43">
        <v>0.37</v>
      </c>
      <c r="AB370" s="43">
        <v>0.37</v>
      </c>
      <c r="AC370" s="43">
        <v>0.37</v>
      </c>
      <c r="AD370" s="43">
        <v>0.37</v>
      </c>
      <c r="AE370" s="43">
        <v>0.37</v>
      </c>
      <c r="AF370" s="43">
        <v>0.37</v>
      </c>
      <c r="AG370" s="43">
        <v>0.37</v>
      </c>
      <c r="AH370" s="43">
        <v>0.37</v>
      </c>
      <c r="AI370" s="43">
        <v>0.37</v>
      </c>
      <c r="AJ370" s="43">
        <v>0.37</v>
      </c>
      <c r="AK370" s="43">
        <v>0.37</v>
      </c>
      <c r="AL370" s="43">
        <v>0.37</v>
      </c>
      <c r="AM370" s="43">
        <v>0.37</v>
      </c>
      <c r="AN370" s="43">
        <v>0.37</v>
      </c>
      <c r="AO370" s="43">
        <v>0.37</v>
      </c>
      <c r="AP370" s="43">
        <v>0.37</v>
      </c>
      <c r="AQ370" s="43">
        <v>0.37</v>
      </c>
      <c r="AR370" s="43">
        <v>0.37</v>
      </c>
      <c r="AS370" s="43">
        <v>0.37</v>
      </c>
      <c r="AT370" s="43">
        <v>0.37</v>
      </c>
      <c r="AU370" s="43">
        <v>0.37</v>
      </c>
      <c r="AV370" s="43">
        <v>0.37</v>
      </c>
      <c r="AW370" s="43">
        <v>0.37</v>
      </c>
      <c r="AX370" s="43">
        <v>0.37</v>
      </c>
      <c r="AY370" s="43">
        <v>0.37</v>
      </c>
      <c r="AZ370" s="43">
        <v>0.37</v>
      </c>
      <c r="BA370" s="43">
        <v>0.37</v>
      </c>
      <c r="BB370" s="43">
        <v>0.37</v>
      </c>
      <c r="BC370" s="43">
        <v>0.37</v>
      </c>
      <c r="BD370" s="43">
        <v>0.37</v>
      </c>
      <c r="BE370" s="43">
        <v>0.37</v>
      </c>
      <c r="BF370" s="43">
        <v>0.37</v>
      </c>
      <c r="BG370" s="43">
        <v>0.37</v>
      </c>
      <c r="BH370" s="43">
        <v>0.37</v>
      </c>
      <c r="BI370" s="43">
        <v>0.37</v>
      </c>
      <c r="BJ370" s="43">
        <v>0.37</v>
      </c>
      <c r="BK370" s="43">
        <v>0.37</v>
      </c>
      <c r="BL370" s="43">
        <v>0.37</v>
      </c>
      <c r="BM370" s="43">
        <v>0.37</v>
      </c>
      <c r="BN370" s="43">
        <v>0.37</v>
      </c>
      <c r="BO370" s="43">
        <v>0.37</v>
      </c>
      <c r="BP370" s="43">
        <v>0.37</v>
      </c>
      <c r="BQ370" s="43">
        <v>0.37</v>
      </c>
    </row>
    <row r="371" spans="1:69" s="44" customFormat="1" hidden="1" x14ac:dyDescent="0.25">
      <c r="A371" s="43">
        <v>36</v>
      </c>
      <c r="B371" s="43" t="s">
        <v>160</v>
      </c>
      <c r="C371" s="20" t="s">
        <v>161</v>
      </c>
      <c r="D371" s="43">
        <v>10</v>
      </c>
      <c r="E371" s="20" t="s">
        <v>499</v>
      </c>
      <c r="F371" s="43"/>
      <c r="G371" s="43" t="s">
        <v>501</v>
      </c>
      <c r="H371" s="43">
        <v>0</v>
      </c>
      <c r="I371" s="43">
        <v>0.95</v>
      </c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</row>
    <row r="372" spans="1:69" s="34" customFormat="1" hidden="1" x14ac:dyDescent="0.25">
      <c r="A372" s="33">
        <v>37</v>
      </c>
      <c r="B372" s="33" t="s">
        <v>162</v>
      </c>
      <c r="C372" s="36" t="s">
        <v>163</v>
      </c>
      <c r="D372" s="33">
        <v>1</v>
      </c>
      <c r="E372" s="36" t="s">
        <v>489</v>
      </c>
      <c r="F372" s="33"/>
      <c r="G372" s="33" t="s">
        <v>501</v>
      </c>
      <c r="H372" s="33">
        <v>0</v>
      </c>
      <c r="I372" s="33">
        <v>1200</v>
      </c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</row>
    <row r="373" spans="1:69" s="34" customFormat="1" hidden="1" x14ac:dyDescent="0.25">
      <c r="A373" s="33">
        <v>37</v>
      </c>
      <c r="B373" s="33" t="s">
        <v>162</v>
      </c>
      <c r="C373" s="36" t="s">
        <v>163</v>
      </c>
      <c r="D373" s="33">
        <v>2</v>
      </c>
      <c r="E373" s="36" t="s">
        <v>491</v>
      </c>
      <c r="F373" s="33"/>
      <c r="G373" s="33" t="s">
        <v>501</v>
      </c>
      <c r="H373" s="33">
        <v>0</v>
      </c>
      <c r="I373" s="33">
        <v>20</v>
      </c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</row>
    <row r="374" spans="1:69" s="34" customFormat="1" hidden="1" x14ac:dyDescent="0.25">
      <c r="A374" s="33">
        <v>37</v>
      </c>
      <c r="B374" s="33" t="s">
        <v>162</v>
      </c>
      <c r="C374" s="36" t="s">
        <v>163</v>
      </c>
      <c r="D374" s="33">
        <v>3</v>
      </c>
      <c r="E374" s="36" t="s">
        <v>492</v>
      </c>
      <c r="F374" s="33"/>
      <c r="G374" s="33" t="s">
        <v>501</v>
      </c>
      <c r="H374" s="33">
        <v>0</v>
      </c>
      <c r="I374" s="33">
        <v>9.15</v>
      </c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</row>
    <row r="375" spans="1:69" s="34" customFormat="1" hidden="1" x14ac:dyDescent="0.25">
      <c r="A375" s="33">
        <v>37</v>
      </c>
      <c r="B375" s="33" t="s">
        <v>162</v>
      </c>
      <c r="C375" s="36" t="s">
        <v>163</v>
      </c>
      <c r="D375" s="33">
        <v>4</v>
      </c>
      <c r="E375" s="36" t="s">
        <v>493</v>
      </c>
      <c r="F375" s="33"/>
      <c r="G375" s="33" t="s">
        <v>500</v>
      </c>
      <c r="H375" s="33">
        <v>0</v>
      </c>
      <c r="I375" s="33">
        <v>0.43777645409999999</v>
      </c>
      <c r="J375" s="33">
        <v>0.44585749175999995</v>
      </c>
      <c r="K375" s="33">
        <v>0.48406717205999994</v>
      </c>
      <c r="L375" s="33">
        <v>0.48743884506000001</v>
      </c>
      <c r="M375" s="33">
        <v>0.51619215876000002</v>
      </c>
      <c r="N375" s="33">
        <v>0.53419532435999983</v>
      </c>
      <c r="O375" s="33">
        <v>0.56238564708000005</v>
      </c>
      <c r="P375" s="33">
        <v>0.52307821278</v>
      </c>
      <c r="Q375" s="33">
        <v>0.53094777999999998</v>
      </c>
      <c r="R375" s="33">
        <v>0.53094777999999998</v>
      </c>
      <c r="S375" s="33">
        <v>0.53094777999999998</v>
      </c>
      <c r="T375" s="33">
        <v>0.53094777999999998</v>
      </c>
      <c r="U375" s="33">
        <v>0.53094777999999998</v>
      </c>
      <c r="V375" s="33">
        <v>0.53094777999999998</v>
      </c>
      <c r="W375" s="33">
        <v>0.53094777999999998</v>
      </c>
      <c r="X375" s="33">
        <v>0.53094777999999998</v>
      </c>
      <c r="Y375" s="33">
        <v>0.53094777999999998</v>
      </c>
      <c r="Z375" s="33">
        <v>0.53094777999999998</v>
      </c>
      <c r="AA375" s="33">
        <v>0.53094777999999998</v>
      </c>
      <c r="AB375" s="33">
        <v>0.53094777999999998</v>
      </c>
      <c r="AC375" s="33">
        <v>0.53094777999999998</v>
      </c>
      <c r="AD375" s="33">
        <v>0.53094777999999998</v>
      </c>
      <c r="AE375" s="33">
        <v>0.53094777999999998</v>
      </c>
      <c r="AF375" s="33">
        <v>0.53094777999999998</v>
      </c>
      <c r="AG375" s="33">
        <v>0.53094777999999998</v>
      </c>
      <c r="AH375" s="33">
        <v>0.53094777999999998</v>
      </c>
      <c r="AI375" s="33">
        <v>0.53094777999999998</v>
      </c>
      <c r="AJ375" s="33">
        <v>0.53094777999999998</v>
      </c>
      <c r="AK375" s="33">
        <v>0.53094777999999998</v>
      </c>
      <c r="AL375" s="33">
        <v>0.53094777999999998</v>
      </c>
      <c r="AM375" s="33">
        <v>0.53094777999999998</v>
      </c>
      <c r="AN375" s="33">
        <v>0.53094777999999998</v>
      </c>
      <c r="AO375" s="33">
        <v>0.53094777999999998</v>
      </c>
      <c r="AP375" s="33">
        <v>0.53094777999999998</v>
      </c>
      <c r="AQ375" s="33">
        <v>0.53094777999999998</v>
      </c>
      <c r="AR375" s="33">
        <v>0.53094777999999998</v>
      </c>
      <c r="AS375" s="33">
        <v>0.53094777999999998</v>
      </c>
      <c r="AT375" s="33">
        <v>0.53094777999999998</v>
      </c>
      <c r="AU375" s="33">
        <v>0.53094777999999998</v>
      </c>
      <c r="AV375" s="33">
        <v>0.53094777999999998</v>
      </c>
      <c r="AW375" s="33">
        <v>0.53094777999999998</v>
      </c>
      <c r="AX375" s="33">
        <v>0.53094777999999998</v>
      </c>
      <c r="AY375" s="33">
        <v>0.53094777999999998</v>
      </c>
      <c r="AZ375" s="33">
        <v>0.53094777999999998</v>
      </c>
      <c r="BA375" s="33">
        <v>0.53094777999999998</v>
      </c>
      <c r="BB375" s="33">
        <v>0.53094777999999998</v>
      </c>
      <c r="BC375" s="33">
        <v>0.53094777999999998</v>
      </c>
      <c r="BD375" s="33">
        <v>0.53094777999999998</v>
      </c>
      <c r="BE375" s="33">
        <v>0.53094777999999998</v>
      </c>
      <c r="BF375" s="33">
        <v>0.53094777999999998</v>
      </c>
      <c r="BG375" s="33">
        <v>0.53094777999999998</v>
      </c>
      <c r="BH375" s="33">
        <v>0.53094777999999998</v>
      </c>
      <c r="BI375" s="33">
        <v>0.53094777999999998</v>
      </c>
      <c r="BJ375" s="33">
        <v>0.53094777999999998</v>
      </c>
      <c r="BK375" s="33">
        <v>0.53094777999999998</v>
      </c>
      <c r="BL375" s="33">
        <v>0.53094777999999998</v>
      </c>
      <c r="BM375" s="33">
        <v>0.53094777999999998</v>
      </c>
      <c r="BN375" s="33">
        <v>0.53094777999999998</v>
      </c>
      <c r="BO375" s="33">
        <v>0.53094777999999998</v>
      </c>
      <c r="BP375" s="33">
        <v>0.53094777999999998</v>
      </c>
      <c r="BQ375" s="33">
        <v>0.53094777999999998</v>
      </c>
    </row>
    <row r="376" spans="1:69" s="34" customFormat="1" hidden="1" x14ac:dyDescent="0.25">
      <c r="A376" s="33">
        <v>37</v>
      </c>
      <c r="B376" s="33" t="s">
        <v>162</v>
      </c>
      <c r="C376" s="36" t="s">
        <v>163</v>
      </c>
      <c r="D376" s="33">
        <v>5</v>
      </c>
      <c r="E376" s="36" t="s">
        <v>494</v>
      </c>
      <c r="F376" s="33"/>
      <c r="G376" s="33" t="s">
        <v>500</v>
      </c>
      <c r="H376" s="33">
        <v>0</v>
      </c>
      <c r="I376" s="33">
        <v>0.43777645409999999</v>
      </c>
      <c r="J376" s="33">
        <v>0.44585749175999995</v>
      </c>
      <c r="K376" s="33">
        <v>0.48406717205999994</v>
      </c>
      <c r="L376" s="33">
        <v>0.48743884506000001</v>
      </c>
      <c r="M376" s="33">
        <v>0.51619215876000002</v>
      </c>
      <c r="N376" s="33">
        <v>0.53419532435999983</v>
      </c>
      <c r="O376" s="33">
        <v>0.56238564708000005</v>
      </c>
      <c r="P376" s="33">
        <v>0.52307821278</v>
      </c>
      <c r="Q376" s="33">
        <v>0.53094777999999998</v>
      </c>
      <c r="R376" s="33">
        <v>0.59061478000000001</v>
      </c>
      <c r="S376" s="33">
        <v>0.59251978000000005</v>
      </c>
      <c r="T376" s="33">
        <v>0.59251978000000005</v>
      </c>
      <c r="U376" s="33">
        <v>0.59251978000000005</v>
      </c>
      <c r="V376" s="33">
        <v>0.59251978000000005</v>
      </c>
      <c r="W376" s="33">
        <v>0.59251978000000005</v>
      </c>
      <c r="X376" s="33">
        <v>0.59251978000000005</v>
      </c>
      <c r="Y376" s="33">
        <v>0.59251978000000005</v>
      </c>
      <c r="Z376" s="33">
        <v>0.59251978000000005</v>
      </c>
      <c r="AA376" s="33">
        <v>0.59251978000000005</v>
      </c>
      <c r="AB376" s="33">
        <v>0.59251978000000005</v>
      </c>
      <c r="AC376" s="33">
        <v>0.59251978000000005</v>
      </c>
      <c r="AD376" s="33">
        <v>0.59251978000000005</v>
      </c>
      <c r="AE376" s="33">
        <v>0.59251978000000005</v>
      </c>
      <c r="AF376" s="33">
        <v>0.59251978000000005</v>
      </c>
      <c r="AG376" s="33">
        <v>0.59251978000000005</v>
      </c>
      <c r="AH376" s="33">
        <v>0.59251978000000005</v>
      </c>
      <c r="AI376" s="33">
        <v>0.59251978000000005</v>
      </c>
      <c r="AJ376" s="33">
        <v>0.59251978000000005</v>
      </c>
      <c r="AK376" s="33">
        <v>0.59251978000000005</v>
      </c>
      <c r="AL376" s="33">
        <v>0.59251978000000005</v>
      </c>
      <c r="AM376" s="33">
        <v>0.59251978000000005</v>
      </c>
      <c r="AN376" s="33">
        <v>0.59251978000000005</v>
      </c>
      <c r="AO376" s="33">
        <v>0.59251978000000005</v>
      </c>
      <c r="AP376" s="33">
        <v>0.59251978000000005</v>
      </c>
      <c r="AQ376" s="33">
        <v>0.59251978000000005</v>
      </c>
      <c r="AR376" s="33">
        <v>0.59251978000000005</v>
      </c>
      <c r="AS376" s="33">
        <v>0.59251978000000005</v>
      </c>
      <c r="AT376" s="33">
        <v>0.59251978000000005</v>
      </c>
      <c r="AU376" s="33">
        <v>0.59251978000000005</v>
      </c>
      <c r="AV376" s="33">
        <v>0.59251978000000005</v>
      </c>
      <c r="AW376" s="33">
        <v>0.59251978000000005</v>
      </c>
      <c r="AX376" s="33">
        <v>0.59251978000000005</v>
      </c>
      <c r="AY376" s="33">
        <v>0.59251978000000005</v>
      </c>
      <c r="AZ376" s="33">
        <v>0.59251978000000005</v>
      </c>
      <c r="BA376" s="33">
        <v>0.59251978000000005</v>
      </c>
      <c r="BB376" s="33">
        <v>0.59251978000000005</v>
      </c>
      <c r="BC376" s="33">
        <v>0.59251978000000005</v>
      </c>
      <c r="BD376" s="33">
        <v>0.59251978000000005</v>
      </c>
      <c r="BE376" s="33">
        <v>0.59251978000000005</v>
      </c>
      <c r="BF376" s="33">
        <v>0.59251978000000005</v>
      </c>
      <c r="BG376" s="33">
        <v>0.59251978000000005</v>
      </c>
      <c r="BH376" s="33">
        <v>0.59251978000000005</v>
      </c>
      <c r="BI376" s="33">
        <v>0.59251978000000005</v>
      </c>
      <c r="BJ376" s="33">
        <v>0.59251978000000005</v>
      </c>
      <c r="BK376" s="33">
        <v>0.59251978000000005</v>
      </c>
      <c r="BL376" s="33">
        <v>0.59251978000000005</v>
      </c>
      <c r="BM376" s="33">
        <v>0.59251978000000005</v>
      </c>
      <c r="BN376" s="33">
        <v>0.59251978000000005</v>
      </c>
      <c r="BO376" s="33">
        <v>0.59251978000000005</v>
      </c>
      <c r="BP376" s="33">
        <v>0.59251978000000005</v>
      </c>
      <c r="BQ376" s="33">
        <v>0.59251978000000005</v>
      </c>
    </row>
    <row r="377" spans="1:69" s="34" customFormat="1" hidden="1" x14ac:dyDescent="0.25">
      <c r="A377" s="33">
        <v>37</v>
      </c>
      <c r="B377" s="33" t="s">
        <v>162</v>
      </c>
      <c r="C377" s="36" t="s">
        <v>163</v>
      </c>
      <c r="D377" s="33">
        <v>6</v>
      </c>
      <c r="E377" s="36" t="s">
        <v>495</v>
      </c>
      <c r="F377" s="33"/>
      <c r="G377" s="33" t="s">
        <v>490</v>
      </c>
      <c r="H377" s="33">
        <v>0</v>
      </c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</row>
    <row r="378" spans="1:69" s="34" customFormat="1" hidden="1" x14ac:dyDescent="0.25">
      <c r="A378" s="33">
        <v>37</v>
      </c>
      <c r="B378" s="33" t="s">
        <v>162</v>
      </c>
      <c r="C378" s="36" t="s">
        <v>163</v>
      </c>
      <c r="D378" s="33">
        <v>7</v>
      </c>
      <c r="E378" s="36" t="s">
        <v>496</v>
      </c>
      <c r="F378" s="33"/>
      <c r="G378" s="33" t="s">
        <v>500</v>
      </c>
      <c r="H378" s="33">
        <v>0</v>
      </c>
      <c r="I378" s="33">
        <v>7.2958476907715095</v>
      </c>
      <c r="J378" s="33">
        <v>6.2632869634242168</v>
      </c>
      <c r="K378" s="33">
        <v>7.0742416343375059</v>
      </c>
      <c r="L378" s="33">
        <v>8.1404206179240148</v>
      </c>
      <c r="M378" s="33">
        <v>8.4759170934541324</v>
      </c>
      <c r="N378" s="33">
        <v>8.4464153583870658</v>
      </c>
      <c r="O378" s="33">
        <v>7.4563920164853092</v>
      </c>
      <c r="P378" s="33">
        <v>5.0598906074327532</v>
      </c>
      <c r="Q378" s="33">
        <v>3.3464</v>
      </c>
      <c r="R378" s="33">
        <v>4.5650000000000004</v>
      </c>
      <c r="S378" s="33">
        <v>4.3478000000000003</v>
      </c>
      <c r="T378" s="33">
        <v>4.2096</v>
      </c>
      <c r="U378" s="33">
        <v>4.2100421417044656</v>
      </c>
      <c r="V378" s="33">
        <v>4.2100421417044656</v>
      </c>
      <c r="W378" s="33">
        <v>4.2100421417044656</v>
      </c>
      <c r="X378" s="33">
        <v>4.2100421417044656</v>
      </c>
      <c r="Y378" s="33">
        <v>4.2100421417044656</v>
      </c>
      <c r="Z378" s="33">
        <v>4.2100421417044656</v>
      </c>
      <c r="AA378" s="33">
        <v>4.2100421417044656</v>
      </c>
      <c r="AB378" s="33">
        <v>4.2100421417044656</v>
      </c>
      <c r="AC378" s="33">
        <v>4.2100421417044656</v>
      </c>
      <c r="AD378" s="33">
        <v>4.2100421417044656</v>
      </c>
      <c r="AE378" s="33">
        <v>4.2100421417044656</v>
      </c>
      <c r="AF378" s="33">
        <v>4.2100421417044656</v>
      </c>
      <c r="AG378" s="33">
        <v>4.2100421417044656</v>
      </c>
      <c r="AH378" s="33">
        <v>4.2100421417044656</v>
      </c>
      <c r="AI378" s="33">
        <v>4.2100421417044656</v>
      </c>
      <c r="AJ378" s="33">
        <v>4.2100421417044656</v>
      </c>
      <c r="AK378" s="33">
        <v>4.2100421417044656</v>
      </c>
      <c r="AL378" s="33">
        <v>4.2100421417044656</v>
      </c>
      <c r="AM378" s="33">
        <v>4.2100421417044656</v>
      </c>
      <c r="AN378" s="33">
        <v>4.2100421417044656</v>
      </c>
      <c r="AO378" s="33">
        <v>4.2100421417044656</v>
      </c>
      <c r="AP378" s="33">
        <v>4.2100421417044656</v>
      </c>
      <c r="AQ378" s="33">
        <v>4.2100421417044656</v>
      </c>
      <c r="AR378" s="33">
        <v>4.2100421417044656</v>
      </c>
      <c r="AS378" s="33">
        <v>4.2100421417044656</v>
      </c>
      <c r="AT378" s="33">
        <v>4.2100421417044656</v>
      </c>
      <c r="AU378" s="33">
        <v>4.2100421417044656</v>
      </c>
      <c r="AV378" s="33">
        <v>4.2100421417044656</v>
      </c>
      <c r="AW378" s="33">
        <v>4.2100421417044656</v>
      </c>
      <c r="AX378" s="33">
        <v>4.2100421417044656</v>
      </c>
      <c r="AY378" s="33">
        <v>4.2100421417044656</v>
      </c>
      <c r="AZ378" s="33">
        <v>4.2100421417044656</v>
      </c>
      <c r="BA378" s="33">
        <v>4.2100421417044656</v>
      </c>
      <c r="BB378" s="33">
        <v>4.2100421417044656</v>
      </c>
      <c r="BC378" s="33">
        <v>4.2100421417044656</v>
      </c>
      <c r="BD378" s="33">
        <v>4.2100421417044656</v>
      </c>
      <c r="BE378" s="33">
        <v>4.2100421417044656</v>
      </c>
      <c r="BF378" s="33">
        <v>4.2100421417044656</v>
      </c>
      <c r="BG378" s="33">
        <v>4.2100421417044656</v>
      </c>
      <c r="BH378" s="33">
        <v>4.2100421417044656</v>
      </c>
      <c r="BI378" s="33">
        <v>4.2100421417044656</v>
      </c>
      <c r="BJ378" s="33">
        <v>4.2100421417044656</v>
      </c>
      <c r="BK378" s="33">
        <v>4.2100421417044656</v>
      </c>
      <c r="BL378" s="33">
        <v>4.2100421417044656</v>
      </c>
      <c r="BM378" s="33">
        <v>4.2100421417044656</v>
      </c>
      <c r="BN378" s="33">
        <v>4.2100421417044656</v>
      </c>
      <c r="BO378" s="33">
        <v>4.2100421417044656</v>
      </c>
      <c r="BP378" s="33">
        <v>4.2100421417044656</v>
      </c>
      <c r="BQ378" s="33">
        <v>4.2100421417044656</v>
      </c>
    </row>
    <row r="379" spans="1:69" s="34" customFormat="1" hidden="1" x14ac:dyDescent="0.25">
      <c r="A379" s="33">
        <v>37</v>
      </c>
      <c r="B379" s="33" t="s">
        <v>162</v>
      </c>
      <c r="C379" s="36" t="s">
        <v>163</v>
      </c>
      <c r="D379" s="33">
        <v>8</v>
      </c>
      <c r="E379" s="36" t="s">
        <v>497</v>
      </c>
      <c r="F379" s="33"/>
      <c r="G379" s="33" t="s">
        <v>490</v>
      </c>
      <c r="H379" s="33">
        <v>0</v>
      </c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</row>
    <row r="380" spans="1:69" s="34" customFormat="1" hidden="1" x14ac:dyDescent="0.25">
      <c r="A380" s="33">
        <v>37</v>
      </c>
      <c r="B380" s="33" t="s">
        <v>162</v>
      </c>
      <c r="C380" s="36" t="s">
        <v>163</v>
      </c>
      <c r="D380" s="33">
        <v>9</v>
      </c>
      <c r="E380" s="36" t="s">
        <v>498</v>
      </c>
      <c r="F380" s="33"/>
      <c r="G380" s="33" t="s">
        <v>500</v>
      </c>
      <c r="H380" s="33">
        <v>0</v>
      </c>
      <c r="I380" s="33">
        <v>0.56189999999999996</v>
      </c>
      <c r="J380" s="33">
        <v>0.47360000000000002</v>
      </c>
      <c r="K380" s="33">
        <v>0.49270000000000003</v>
      </c>
      <c r="L380" s="33">
        <v>0.56310000000000004</v>
      </c>
      <c r="M380" s="33">
        <v>0.55359999999999998</v>
      </c>
      <c r="N380" s="33">
        <v>0.53310000000000002</v>
      </c>
      <c r="O380" s="33">
        <v>0.44700000000000001</v>
      </c>
      <c r="P380" s="33">
        <v>0.3261</v>
      </c>
      <c r="Q380" s="33">
        <v>0.21249999999999999</v>
      </c>
      <c r="R380" s="33">
        <v>0.2606</v>
      </c>
      <c r="S380" s="33">
        <v>0.24740000000000001</v>
      </c>
      <c r="T380" s="33">
        <v>0.2621</v>
      </c>
      <c r="U380" s="33">
        <v>0.2621</v>
      </c>
      <c r="V380" s="33">
        <v>0.2621</v>
      </c>
      <c r="W380" s="33">
        <v>0.2621</v>
      </c>
      <c r="X380" s="33">
        <v>0.2621</v>
      </c>
      <c r="Y380" s="33">
        <v>0.2621</v>
      </c>
      <c r="Z380" s="33">
        <v>0.2621</v>
      </c>
      <c r="AA380" s="33">
        <v>0.2621</v>
      </c>
      <c r="AB380" s="33">
        <v>0.2621</v>
      </c>
      <c r="AC380" s="33">
        <v>0.2621</v>
      </c>
      <c r="AD380" s="33">
        <v>0.2621</v>
      </c>
      <c r="AE380" s="33">
        <v>0.2621</v>
      </c>
      <c r="AF380" s="33">
        <v>0.2621</v>
      </c>
      <c r="AG380" s="33">
        <v>0.2621</v>
      </c>
      <c r="AH380" s="33">
        <v>0.2621</v>
      </c>
      <c r="AI380" s="33">
        <v>0.2621</v>
      </c>
      <c r="AJ380" s="33">
        <v>0.2621</v>
      </c>
      <c r="AK380" s="33">
        <v>0.2621</v>
      </c>
      <c r="AL380" s="33">
        <v>0.2621</v>
      </c>
      <c r="AM380" s="33">
        <v>0.2621</v>
      </c>
      <c r="AN380" s="33">
        <v>0.2621</v>
      </c>
      <c r="AO380" s="33">
        <v>0.2621</v>
      </c>
      <c r="AP380" s="33">
        <v>0.2621</v>
      </c>
      <c r="AQ380" s="33">
        <v>0.2621</v>
      </c>
      <c r="AR380" s="33">
        <v>0.2621</v>
      </c>
      <c r="AS380" s="33">
        <v>0.2621</v>
      </c>
      <c r="AT380" s="33">
        <v>0.2621</v>
      </c>
      <c r="AU380" s="33">
        <v>0.2621</v>
      </c>
      <c r="AV380" s="33">
        <v>0.2621</v>
      </c>
      <c r="AW380" s="33">
        <v>0.2621</v>
      </c>
      <c r="AX380" s="33">
        <v>0.2621</v>
      </c>
      <c r="AY380" s="33">
        <v>0.2621</v>
      </c>
      <c r="AZ380" s="33">
        <v>0.2621</v>
      </c>
      <c r="BA380" s="33">
        <v>0.2621</v>
      </c>
      <c r="BB380" s="33">
        <v>0.2621</v>
      </c>
      <c r="BC380" s="33">
        <v>0.2621</v>
      </c>
      <c r="BD380" s="33">
        <v>0.2621</v>
      </c>
      <c r="BE380" s="33">
        <v>0.2621</v>
      </c>
      <c r="BF380" s="33">
        <v>0.2621</v>
      </c>
      <c r="BG380" s="33">
        <v>0.2621</v>
      </c>
      <c r="BH380" s="33">
        <v>0.2621</v>
      </c>
      <c r="BI380" s="33">
        <v>0.2621</v>
      </c>
      <c r="BJ380" s="33">
        <v>0.2621</v>
      </c>
      <c r="BK380" s="33">
        <v>0.2621</v>
      </c>
      <c r="BL380" s="33">
        <v>0.2621</v>
      </c>
      <c r="BM380" s="33">
        <v>0.2621</v>
      </c>
      <c r="BN380" s="33">
        <v>0.2621</v>
      </c>
      <c r="BO380" s="33">
        <v>0.2621</v>
      </c>
      <c r="BP380" s="33">
        <v>0.2621</v>
      </c>
      <c r="BQ380" s="33">
        <v>0.2621</v>
      </c>
    </row>
    <row r="381" spans="1:69" s="34" customFormat="1" hidden="1" x14ac:dyDescent="0.25">
      <c r="A381" s="33">
        <v>37</v>
      </c>
      <c r="B381" s="33" t="s">
        <v>162</v>
      </c>
      <c r="C381" s="36" t="s">
        <v>163</v>
      </c>
      <c r="D381" s="33">
        <v>10</v>
      </c>
      <c r="E381" s="36" t="s">
        <v>499</v>
      </c>
      <c r="F381" s="33"/>
      <c r="G381" s="33" t="s">
        <v>501</v>
      </c>
      <c r="H381" s="33">
        <v>0</v>
      </c>
      <c r="I381" s="33">
        <v>0.95</v>
      </c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</row>
    <row r="382" spans="1:69" s="44" customFormat="1" hidden="1" x14ac:dyDescent="0.25">
      <c r="A382" s="43">
        <v>38</v>
      </c>
      <c r="B382" s="43" t="s">
        <v>164</v>
      </c>
      <c r="C382" s="20" t="s">
        <v>165</v>
      </c>
      <c r="D382" s="43">
        <v>1</v>
      </c>
      <c r="E382" s="20" t="s">
        <v>489</v>
      </c>
      <c r="F382" s="43"/>
      <c r="G382" s="43" t="s">
        <v>500</v>
      </c>
      <c r="H382" s="43">
        <v>0</v>
      </c>
      <c r="I382" s="43">
        <v>1190</v>
      </c>
      <c r="J382" s="43">
        <v>1190</v>
      </c>
      <c r="K382" s="43">
        <v>1190</v>
      </c>
      <c r="L382" s="43">
        <v>1190</v>
      </c>
      <c r="M382" s="43">
        <v>1190</v>
      </c>
      <c r="N382" s="43">
        <v>1190</v>
      </c>
      <c r="O382" s="43">
        <v>1190</v>
      </c>
      <c r="P382" s="43">
        <v>1190</v>
      </c>
      <c r="Q382" s="43">
        <v>1190</v>
      </c>
      <c r="R382" s="43">
        <v>1000</v>
      </c>
      <c r="S382" s="43">
        <v>1000</v>
      </c>
      <c r="T382" s="43">
        <v>1000</v>
      </c>
      <c r="U382" s="43">
        <v>1000</v>
      </c>
      <c r="V382" s="43">
        <v>1000</v>
      </c>
      <c r="W382" s="43">
        <v>1000</v>
      </c>
      <c r="X382" s="43">
        <v>991.5</v>
      </c>
      <c r="Y382" s="43">
        <v>991.5</v>
      </c>
      <c r="Z382" s="43">
        <v>991.5</v>
      </c>
      <c r="AA382" s="43">
        <v>991.5</v>
      </c>
      <c r="AB382" s="43">
        <v>991.5</v>
      </c>
      <c r="AC382" s="43">
        <v>983</v>
      </c>
      <c r="AD382" s="43">
        <v>983</v>
      </c>
      <c r="AE382" s="43">
        <v>983</v>
      </c>
      <c r="AF382" s="43">
        <v>983</v>
      </c>
      <c r="AG382" s="43">
        <v>983</v>
      </c>
      <c r="AH382" s="43">
        <v>965.5</v>
      </c>
      <c r="AI382" s="43">
        <v>965.5</v>
      </c>
      <c r="AJ382" s="43">
        <v>965.5</v>
      </c>
      <c r="AK382" s="43">
        <v>965.5</v>
      </c>
      <c r="AL382" s="43">
        <v>965.5</v>
      </c>
      <c r="AM382" s="43">
        <v>948</v>
      </c>
      <c r="AN382" s="43">
        <v>948</v>
      </c>
      <c r="AO382" s="43">
        <v>948</v>
      </c>
      <c r="AP382" s="43">
        <v>948</v>
      </c>
      <c r="AQ382" s="43">
        <v>948</v>
      </c>
      <c r="AR382" s="43">
        <v>930.5</v>
      </c>
      <c r="AS382" s="43">
        <v>930.5</v>
      </c>
      <c r="AT382" s="43">
        <v>930.5</v>
      </c>
      <c r="AU382" s="43">
        <v>930.5</v>
      </c>
      <c r="AV382" s="43">
        <v>930.5</v>
      </c>
      <c r="AW382" s="43">
        <v>913</v>
      </c>
      <c r="AX382" s="43">
        <v>744</v>
      </c>
      <c r="AY382" s="43">
        <v>744</v>
      </c>
      <c r="AZ382" s="43">
        <v>744</v>
      </c>
      <c r="BA382" s="43">
        <v>744</v>
      </c>
      <c r="BB382" s="43">
        <v>744</v>
      </c>
      <c r="BC382" s="43">
        <v>744</v>
      </c>
      <c r="BD382" s="43">
        <v>744</v>
      </c>
      <c r="BE382" s="43">
        <v>744</v>
      </c>
      <c r="BF382" s="43">
        <v>744</v>
      </c>
      <c r="BG382" s="43">
        <v>744</v>
      </c>
      <c r="BH382" s="43">
        <v>744</v>
      </c>
      <c r="BI382" s="43">
        <v>744</v>
      </c>
      <c r="BJ382" s="43">
        <v>744</v>
      </c>
      <c r="BK382" s="43">
        <v>744</v>
      </c>
      <c r="BL382" s="43">
        <v>744</v>
      </c>
      <c r="BM382" s="43">
        <v>744</v>
      </c>
      <c r="BN382" s="43">
        <v>744</v>
      </c>
      <c r="BO382" s="43">
        <v>744</v>
      </c>
      <c r="BP382" s="43">
        <v>744</v>
      </c>
      <c r="BQ382" s="43">
        <v>744</v>
      </c>
    </row>
    <row r="383" spans="1:69" s="44" customFormat="1" hidden="1" x14ac:dyDescent="0.25">
      <c r="A383" s="43">
        <v>38</v>
      </c>
      <c r="B383" s="43" t="s">
        <v>164</v>
      </c>
      <c r="C383" s="20" t="s">
        <v>165</v>
      </c>
      <c r="D383" s="43">
        <v>2</v>
      </c>
      <c r="E383" s="20" t="s">
        <v>491</v>
      </c>
      <c r="F383" s="43"/>
      <c r="G383" s="43" t="s">
        <v>500</v>
      </c>
      <c r="H383" s="43">
        <v>0</v>
      </c>
      <c r="I383" s="43">
        <v>21.7</v>
      </c>
      <c r="J383" s="43">
        <v>21.7</v>
      </c>
      <c r="K383" s="43">
        <v>21.7</v>
      </c>
      <c r="L383" s="43">
        <v>21.7</v>
      </c>
      <c r="M383" s="43">
        <v>21.7</v>
      </c>
      <c r="N383" s="43">
        <v>21.7</v>
      </c>
      <c r="O383" s="43">
        <v>21.7</v>
      </c>
      <c r="P383" s="43">
        <v>21.7</v>
      </c>
      <c r="Q383" s="43">
        <v>21.7</v>
      </c>
      <c r="R383" s="43">
        <v>21.7</v>
      </c>
      <c r="S383" s="43">
        <v>21.1</v>
      </c>
      <c r="T383" s="43">
        <v>21.1</v>
      </c>
      <c r="U383" s="43">
        <v>21.1</v>
      </c>
      <c r="V383" s="43">
        <v>21.1</v>
      </c>
      <c r="W383" s="43">
        <v>21.1</v>
      </c>
      <c r="X383" s="43">
        <v>20.6</v>
      </c>
      <c r="Y383" s="43">
        <v>20.6</v>
      </c>
      <c r="Z383" s="43">
        <v>20.6</v>
      </c>
      <c r="AA383" s="43">
        <v>20.6</v>
      </c>
      <c r="AB383" s="43">
        <v>20.6</v>
      </c>
      <c r="AC383" s="43">
        <v>20.100000000000001</v>
      </c>
      <c r="AD383" s="43">
        <v>20.100000000000001</v>
      </c>
      <c r="AE383" s="43">
        <v>20.100000000000001</v>
      </c>
      <c r="AF383" s="43">
        <v>20.100000000000001</v>
      </c>
      <c r="AG383" s="43">
        <v>20.100000000000001</v>
      </c>
      <c r="AH383" s="43">
        <v>19.7</v>
      </c>
      <c r="AI383" s="43">
        <v>19.7</v>
      </c>
      <c r="AJ383" s="43">
        <v>19.7</v>
      </c>
      <c r="AK383" s="43">
        <v>19.7</v>
      </c>
      <c r="AL383" s="43">
        <v>19.7</v>
      </c>
      <c r="AM383" s="43">
        <v>19.399999999999999</v>
      </c>
      <c r="AN383" s="43">
        <v>19.399999999999999</v>
      </c>
      <c r="AO383" s="43">
        <v>19.399999999999999</v>
      </c>
      <c r="AP383" s="43">
        <v>19.399999999999999</v>
      </c>
      <c r="AQ383" s="43">
        <v>19.399999999999999</v>
      </c>
      <c r="AR383" s="43">
        <v>19</v>
      </c>
      <c r="AS383" s="43">
        <v>19</v>
      </c>
      <c r="AT383" s="43">
        <v>19</v>
      </c>
      <c r="AU383" s="43">
        <v>19</v>
      </c>
      <c r="AV383" s="43">
        <v>19</v>
      </c>
      <c r="AW383" s="43">
        <v>18.600000000000001</v>
      </c>
      <c r="AX383" s="43">
        <v>18.600000000000001</v>
      </c>
      <c r="AY383" s="43">
        <v>18.600000000000001</v>
      </c>
      <c r="AZ383" s="43">
        <v>18.600000000000001</v>
      </c>
      <c r="BA383" s="43">
        <v>18.600000000000001</v>
      </c>
      <c r="BB383" s="43">
        <v>18.600000000000001</v>
      </c>
      <c r="BC383" s="43">
        <v>18.600000000000001</v>
      </c>
      <c r="BD383" s="43">
        <v>18.600000000000001</v>
      </c>
      <c r="BE383" s="43">
        <v>18.600000000000001</v>
      </c>
      <c r="BF383" s="43">
        <v>18.600000000000001</v>
      </c>
      <c r="BG383" s="43">
        <v>18.600000000000001</v>
      </c>
      <c r="BH383" s="43">
        <v>18.600000000000001</v>
      </c>
      <c r="BI383" s="43">
        <v>18.600000000000001</v>
      </c>
      <c r="BJ383" s="43">
        <v>18.600000000000001</v>
      </c>
      <c r="BK383" s="43">
        <v>18.600000000000001</v>
      </c>
      <c r="BL383" s="43">
        <v>18.600000000000001</v>
      </c>
      <c r="BM383" s="43">
        <v>18.600000000000001</v>
      </c>
      <c r="BN383" s="43">
        <v>18.600000000000001</v>
      </c>
      <c r="BO383" s="43">
        <v>18.600000000000001</v>
      </c>
      <c r="BP383" s="43">
        <v>18.600000000000001</v>
      </c>
      <c r="BQ383" s="43">
        <v>18.600000000000001</v>
      </c>
    </row>
    <row r="384" spans="1:69" s="44" customFormat="1" hidden="1" x14ac:dyDescent="0.25">
      <c r="A384" s="43">
        <v>38</v>
      </c>
      <c r="B384" s="43" t="s">
        <v>164</v>
      </c>
      <c r="C384" s="20" t="s">
        <v>165</v>
      </c>
      <c r="D384" s="43">
        <v>3</v>
      </c>
      <c r="E384" s="20" t="s">
        <v>492</v>
      </c>
      <c r="F384" s="43"/>
      <c r="G384" s="43" t="s">
        <v>501</v>
      </c>
      <c r="H384" s="43">
        <v>0</v>
      </c>
      <c r="I384" s="45">
        <v>18.899999999999999</v>
      </c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</row>
    <row r="385" spans="1:69" s="44" customFormat="1" hidden="1" x14ac:dyDescent="0.25">
      <c r="A385" s="43">
        <v>38</v>
      </c>
      <c r="B385" s="43" t="s">
        <v>164</v>
      </c>
      <c r="C385" s="20" t="s">
        <v>165</v>
      </c>
      <c r="D385" s="43">
        <v>4</v>
      </c>
      <c r="E385" s="20" t="s">
        <v>493</v>
      </c>
      <c r="F385" s="43"/>
      <c r="G385" s="43" t="s">
        <v>500</v>
      </c>
      <c r="H385" s="43">
        <v>0</v>
      </c>
      <c r="I385" s="43">
        <v>9.2539882500000028E-3</v>
      </c>
      <c r="J385" s="43">
        <v>9.4248101999999997E-3</v>
      </c>
      <c r="K385" s="43">
        <v>1.0232509950000001E-2</v>
      </c>
      <c r="L385" s="43">
        <v>1.0303782450000002E-2</v>
      </c>
      <c r="M385" s="43">
        <v>1.0911587699999999E-2</v>
      </c>
      <c r="N385" s="43">
        <v>1.1292149700000002E-2</v>
      </c>
      <c r="O385" s="43">
        <v>1.18880541E-2</v>
      </c>
      <c r="P385" s="43">
        <v>1.105714935E-2</v>
      </c>
      <c r="Q385" s="43">
        <v>1.2E-2</v>
      </c>
      <c r="R385" s="43">
        <v>1.2E-2</v>
      </c>
      <c r="S385" s="43">
        <v>1.2E-2</v>
      </c>
      <c r="T385" s="43">
        <v>1.2E-2</v>
      </c>
      <c r="U385" s="43">
        <v>1.2E-2</v>
      </c>
      <c r="V385" s="43">
        <v>1.2E-2</v>
      </c>
      <c r="W385" s="43">
        <v>1.2E-2</v>
      </c>
      <c r="X385" s="43">
        <v>1.2E-2</v>
      </c>
      <c r="Y385" s="43">
        <v>1.2E-2</v>
      </c>
      <c r="Z385" s="43">
        <v>1.2E-2</v>
      </c>
      <c r="AA385" s="43">
        <v>1.2E-2</v>
      </c>
      <c r="AB385" s="43">
        <v>1.2E-2</v>
      </c>
      <c r="AC385" s="43">
        <v>1.2E-2</v>
      </c>
      <c r="AD385" s="43">
        <v>1.2E-2</v>
      </c>
      <c r="AE385" s="43">
        <v>1.2E-2</v>
      </c>
      <c r="AF385" s="43">
        <v>1.2E-2</v>
      </c>
      <c r="AG385" s="43">
        <v>1.2E-2</v>
      </c>
      <c r="AH385" s="43">
        <v>1.2E-2</v>
      </c>
      <c r="AI385" s="43">
        <v>1.2E-2</v>
      </c>
      <c r="AJ385" s="43">
        <v>1.2E-2</v>
      </c>
      <c r="AK385" s="43">
        <v>1.2E-2</v>
      </c>
      <c r="AL385" s="43">
        <v>1.2E-2</v>
      </c>
      <c r="AM385" s="43">
        <v>1.2E-2</v>
      </c>
      <c r="AN385" s="43">
        <v>1.2E-2</v>
      </c>
      <c r="AO385" s="43">
        <v>1.2E-2</v>
      </c>
      <c r="AP385" s="43">
        <v>1.2E-2</v>
      </c>
      <c r="AQ385" s="43">
        <v>1.2E-2</v>
      </c>
      <c r="AR385" s="43">
        <v>1.2E-2</v>
      </c>
      <c r="AS385" s="43">
        <v>1.2E-2</v>
      </c>
      <c r="AT385" s="43">
        <v>1.2E-2</v>
      </c>
      <c r="AU385" s="43">
        <v>1.2E-2</v>
      </c>
      <c r="AV385" s="43">
        <v>1.2E-2</v>
      </c>
      <c r="AW385" s="43">
        <v>1.2E-2</v>
      </c>
      <c r="AX385" s="43">
        <v>1.2E-2</v>
      </c>
      <c r="AY385" s="43">
        <v>1.2E-2</v>
      </c>
      <c r="AZ385" s="43">
        <v>1.2E-2</v>
      </c>
      <c r="BA385" s="43">
        <v>1.2E-2</v>
      </c>
      <c r="BB385" s="43">
        <v>1.2E-2</v>
      </c>
      <c r="BC385" s="43">
        <v>1.2E-2</v>
      </c>
      <c r="BD385" s="43">
        <v>1.2E-2</v>
      </c>
      <c r="BE385" s="43">
        <v>1.2E-2</v>
      </c>
      <c r="BF385" s="43">
        <v>1.2E-2</v>
      </c>
      <c r="BG385" s="43">
        <v>1.2E-2</v>
      </c>
      <c r="BH385" s="43">
        <v>1.2E-2</v>
      </c>
      <c r="BI385" s="43">
        <v>1.2E-2</v>
      </c>
      <c r="BJ385" s="43">
        <v>1.2E-2</v>
      </c>
      <c r="BK385" s="43">
        <v>1.2E-2</v>
      </c>
      <c r="BL385" s="43">
        <v>1.2E-2</v>
      </c>
      <c r="BM385" s="43">
        <v>1.2E-2</v>
      </c>
      <c r="BN385" s="43">
        <v>1.2E-2</v>
      </c>
      <c r="BO385" s="43">
        <v>1.2E-2</v>
      </c>
      <c r="BP385" s="43">
        <v>1.2E-2</v>
      </c>
      <c r="BQ385" s="43">
        <v>1.2E-2</v>
      </c>
    </row>
    <row r="386" spans="1:69" s="44" customFormat="1" hidden="1" x14ac:dyDescent="0.25">
      <c r="A386" s="43">
        <v>38</v>
      </c>
      <c r="B386" s="43" t="s">
        <v>164</v>
      </c>
      <c r="C386" s="20" t="s">
        <v>165</v>
      </c>
      <c r="D386" s="43">
        <v>5</v>
      </c>
      <c r="E386" s="20" t="s">
        <v>494</v>
      </c>
      <c r="F386" s="43"/>
      <c r="G386" s="43" t="s">
        <v>500</v>
      </c>
      <c r="H386" s="43">
        <v>0</v>
      </c>
      <c r="I386" s="43">
        <v>9.2539882500000028E-3</v>
      </c>
      <c r="J386" s="43">
        <v>9.4248101999999997E-3</v>
      </c>
      <c r="K386" s="43">
        <v>1.0232509950000001E-2</v>
      </c>
      <c r="L386" s="43">
        <v>1.0303782450000002E-2</v>
      </c>
      <c r="M386" s="43">
        <v>1.0911587699999999E-2</v>
      </c>
      <c r="N386" s="43">
        <v>1.1292149700000002E-2</v>
      </c>
      <c r="O386" s="43">
        <v>1.18880541E-2</v>
      </c>
      <c r="P386" s="43">
        <v>1.105714935E-2</v>
      </c>
      <c r="Q386" s="43">
        <v>1.2E-2</v>
      </c>
      <c r="R386" s="43">
        <v>1.2E-2</v>
      </c>
      <c r="S386" s="43">
        <v>1.2E-2</v>
      </c>
      <c r="T386" s="43">
        <v>1.2E-2</v>
      </c>
      <c r="U386" s="43">
        <v>1.2E-2</v>
      </c>
      <c r="V386" s="43">
        <v>1.2E-2</v>
      </c>
      <c r="W386" s="43">
        <v>1.2E-2</v>
      </c>
      <c r="X386" s="43">
        <v>1.2E-2</v>
      </c>
      <c r="Y386" s="43">
        <v>1.2E-2</v>
      </c>
      <c r="Z386" s="43">
        <v>1.2E-2</v>
      </c>
      <c r="AA386" s="43">
        <v>1.2E-2</v>
      </c>
      <c r="AB386" s="43">
        <v>1.2E-2</v>
      </c>
      <c r="AC386" s="43">
        <v>1.2E-2</v>
      </c>
      <c r="AD386" s="43">
        <v>1.2E-2</v>
      </c>
      <c r="AE386" s="43">
        <v>1.2E-2</v>
      </c>
      <c r="AF386" s="43">
        <v>1.2E-2</v>
      </c>
      <c r="AG386" s="43">
        <v>1.2E-2</v>
      </c>
      <c r="AH386" s="43">
        <v>1.2E-2</v>
      </c>
      <c r="AI386" s="43">
        <v>1.2E-2</v>
      </c>
      <c r="AJ386" s="43">
        <v>1.2E-2</v>
      </c>
      <c r="AK386" s="43">
        <v>1.2E-2</v>
      </c>
      <c r="AL386" s="43">
        <v>1.2E-2</v>
      </c>
      <c r="AM386" s="43">
        <v>1.2E-2</v>
      </c>
      <c r="AN386" s="43">
        <v>1.2E-2</v>
      </c>
      <c r="AO386" s="43">
        <v>1.2E-2</v>
      </c>
      <c r="AP386" s="43">
        <v>1.2E-2</v>
      </c>
      <c r="AQ386" s="43">
        <v>1.2E-2</v>
      </c>
      <c r="AR386" s="43">
        <v>1.2E-2</v>
      </c>
      <c r="AS386" s="43">
        <v>1.2E-2</v>
      </c>
      <c r="AT386" s="43">
        <v>1.2E-2</v>
      </c>
      <c r="AU386" s="43">
        <v>1.2E-2</v>
      </c>
      <c r="AV386" s="43">
        <v>1.2E-2</v>
      </c>
      <c r="AW386" s="43">
        <v>1.2E-2</v>
      </c>
      <c r="AX386" s="43">
        <v>1.2E-2</v>
      </c>
      <c r="AY386" s="43">
        <v>1.2E-2</v>
      </c>
      <c r="AZ386" s="43">
        <v>1.2E-2</v>
      </c>
      <c r="BA386" s="43">
        <v>1.2E-2</v>
      </c>
      <c r="BB386" s="43">
        <v>1.2E-2</v>
      </c>
      <c r="BC386" s="43">
        <v>1.2E-2</v>
      </c>
      <c r="BD386" s="43">
        <v>1.2E-2</v>
      </c>
      <c r="BE386" s="43">
        <v>1.2E-2</v>
      </c>
      <c r="BF386" s="43">
        <v>1.2E-2</v>
      </c>
      <c r="BG386" s="43">
        <v>1.2E-2</v>
      </c>
      <c r="BH386" s="43">
        <v>1.2E-2</v>
      </c>
      <c r="BI386" s="43">
        <v>1.2E-2</v>
      </c>
      <c r="BJ386" s="43">
        <v>1.2E-2</v>
      </c>
      <c r="BK386" s="43">
        <v>1.2E-2</v>
      </c>
      <c r="BL386" s="43">
        <v>1.2E-2</v>
      </c>
      <c r="BM386" s="43">
        <v>1.2E-2</v>
      </c>
      <c r="BN386" s="43">
        <v>1.2E-2</v>
      </c>
      <c r="BO386" s="43">
        <v>1.2E-2</v>
      </c>
      <c r="BP386" s="43">
        <v>1.2E-2</v>
      </c>
      <c r="BQ386" s="43">
        <v>1.2E-2</v>
      </c>
    </row>
    <row r="387" spans="1:69" s="44" customFormat="1" hidden="1" x14ac:dyDescent="0.25">
      <c r="A387" s="43">
        <v>38</v>
      </c>
      <c r="B387" s="43" t="s">
        <v>164</v>
      </c>
      <c r="C387" s="20" t="s">
        <v>165</v>
      </c>
      <c r="D387" s="43">
        <v>6</v>
      </c>
      <c r="E387" s="20" t="s">
        <v>495</v>
      </c>
      <c r="F387" s="43"/>
      <c r="G387" s="43" t="s">
        <v>490</v>
      </c>
      <c r="H387" s="43">
        <v>0</v>
      </c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</row>
    <row r="388" spans="1:69" s="44" customFormat="1" hidden="1" x14ac:dyDescent="0.25">
      <c r="A388" s="43">
        <v>38</v>
      </c>
      <c r="B388" s="43" t="s">
        <v>164</v>
      </c>
      <c r="C388" s="20" t="s">
        <v>165</v>
      </c>
      <c r="D388" s="43">
        <v>7</v>
      </c>
      <c r="E388" s="20" t="s">
        <v>496</v>
      </c>
      <c r="F388" s="43"/>
      <c r="G388" s="43" t="s">
        <v>500</v>
      </c>
      <c r="H388" s="43">
        <v>0</v>
      </c>
      <c r="I388" s="43">
        <v>5.6813702334843119E-2</v>
      </c>
      <c r="J388" s="43">
        <v>4.8773019429639172E-2</v>
      </c>
      <c r="K388" s="43">
        <v>5.5088027531932232E-2</v>
      </c>
      <c r="L388" s="43">
        <v>6.3390500113119586E-2</v>
      </c>
      <c r="M388" s="43">
        <v>6.6003054226504779E-2</v>
      </c>
      <c r="N388" s="43">
        <v>6.5773320429213258E-2</v>
      </c>
      <c r="O388" s="43">
        <v>5.8063881603825002E-2</v>
      </c>
      <c r="P388" s="43">
        <v>3.9402017558723725E-2</v>
      </c>
      <c r="Q388" s="43">
        <v>0.1046</v>
      </c>
      <c r="R388" s="43">
        <v>9.6500000000000002E-2</v>
      </c>
      <c r="S388" s="43">
        <v>1.7999999999999999E-2</v>
      </c>
      <c r="T388" s="43">
        <v>9.98E-2</v>
      </c>
      <c r="U388" s="43">
        <v>1.8022099941697345E-2</v>
      </c>
      <c r="V388" s="43">
        <v>1.8022099941697345E-2</v>
      </c>
      <c r="W388" s="43">
        <v>1.8022099941697345E-2</v>
      </c>
      <c r="X388" s="43">
        <v>1.8022099941697345E-2</v>
      </c>
      <c r="Y388" s="43">
        <v>1.8022099941697345E-2</v>
      </c>
      <c r="Z388" s="43">
        <v>1.8022099941697345E-2</v>
      </c>
      <c r="AA388" s="43">
        <v>1.8022099941697345E-2</v>
      </c>
      <c r="AB388" s="43">
        <v>1.8022099941697345E-2</v>
      </c>
      <c r="AC388" s="43">
        <v>1.8022099941697345E-2</v>
      </c>
      <c r="AD388" s="43">
        <v>1.8022099941697345E-2</v>
      </c>
      <c r="AE388" s="43">
        <v>1.8022099941697345E-2</v>
      </c>
      <c r="AF388" s="43">
        <v>1.8022099941697345E-2</v>
      </c>
      <c r="AG388" s="43">
        <v>1.8022099941697345E-2</v>
      </c>
      <c r="AH388" s="43">
        <v>1.8022099941697345E-2</v>
      </c>
      <c r="AI388" s="43">
        <v>1.8022099941697345E-2</v>
      </c>
      <c r="AJ388" s="43">
        <v>1.8022099941697345E-2</v>
      </c>
      <c r="AK388" s="43">
        <v>1.8022099941697345E-2</v>
      </c>
      <c r="AL388" s="43">
        <v>1.8022099941697345E-2</v>
      </c>
      <c r="AM388" s="43">
        <v>1.8022099941697345E-2</v>
      </c>
      <c r="AN388" s="43">
        <v>1.8022099941697345E-2</v>
      </c>
      <c r="AO388" s="43">
        <v>1.8022099941697345E-2</v>
      </c>
      <c r="AP388" s="43">
        <v>1.8022099941697345E-2</v>
      </c>
      <c r="AQ388" s="43">
        <v>1.8022099941697345E-2</v>
      </c>
      <c r="AR388" s="43">
        <v>1.8022099941697345E-2</v>
      </c>
      <c r="AS388" s="43">
        <v>1.8022099941697345E-2</v>
      </c>
      <c r="AT388" s="43">
        <v>1.8022099941697345E-2</v>
      </c>
      <c r="AU388" s="43">
        <v>1.8022099941697345E-2</v>
      </c>
      <c r="AV388" s="43">
        <v>1.8022099941697345E-2</v>
      </c>
      <c r="AW388" s="43">
        <v>1.8022099941697345E-2</v>
      </c>
      <c r="AX388" s="43">
        <v>1.8022099941697345E-2</v>
      </c>
      <c r="AY388" s="43">
        <v>1.8022099941697345E-2</v>
      </c>
      <c r="AZ388" s="43">
        <v>1.8022099941697345E-2</v>
      </c>
      <c r="BA388" s="43">
        <v>1.8022099941697345E-2</v>
      </c>
      <c r="BB388" s="43">
        <v>1.8022099941697345E-2</v>
      </c>
      <c r="BC388" s="43">
        <v>1.8022099941697345E-2</v>
      </c>
      <c r="BD388" s="43">
        <v>1.8022099941697345E-2</v>
      </c>
      <c r="BE388" s="43">
        <v>1.8022099941697345E-2</v>
      </c>
      <c r="BF388" s="43">
        <v>1.8022099941697345E-2</v>
      </c>
      <c r="BG388" s="43">
        <v>1.8022099941697345E-2</v>
      </c>
      <c r="BH388" s="43">
        <v>1.8022099941697345E-2</v>
      </c>
      <c r="BI388" s="43">
        <v>1.8022099941697345E-2</v>
      </c>
      <c r="BJ388" s="43">
        <v>1.8022099941697345E-2</v>
      </c>
      <c r="BK388" s="43">
        <v>1.8022099941697345E-2</v>
      </c>
      <c r="BL388" s="43">
        <v>1.8022099941697345E-2</v>
      </c>
      <c r="BM388" s="43">
        <v>1.8022099941697345E-2</v>
      </c>
      <c r="BN388" s="43">
        <v>1.8022099941697345E-2</v>
      </c>
      <c r="BO388" s="43">
        <v>1.8022099941697345E-2</v>
      </c>
      <c r="BP388" s="43">
        <v>1.8022099941697345E-2</v>
      </c>
      <c r="BQ388" s="43">
        <v>1.8022099941697345E-2</v>
      </c>
    </row>
    <row r="389" spans="1:69" s="44" customFormat="1" hidden="1" x14ac:dyDescent="0.25">
      <c r="A389" s="43">
        <v>38</v>
      </c>
      <c r="B389" s="43" t="s">
        <v>164</v>
      </c>
      <c r="C389" s="20" t="s">
        <v>165</v>
      </c>
      <c r="D389" s="43">
        <v>8</v>
      </c>
      <c r="E389" s="20" t="s">
        <v>497</v>
      </c>
      <c r="F389" s="43"/>
      <c r="G389" s="43" t="s">
        <v>490</v>
      </c>
      <c r="H389" s="43">
        <v>0</v>
      </c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</row>
    <row r="390" spans="1:69" s="44" customFormat="1" hidden="1" x14ac:dyDescent="0.25">
      <c r="A390" s="43">
        <v>38</v>
      </c>
      <c r="B390" s="43" t="s">
        <v>164</v>
      </c>
      <c r="C390" s="20" t="s">
        <v>165</v>
      </c>
      <c r="D390" s="43">
        <v>9</v>
      </c>
      <c r="E390" s="20" t="s">
        <v>498</v>
      </c>
      <c r="F390" s="43"/>
      <c r="G390" s="43" t="s">
        <v>500</v>
      </c>
      <c r="H390" s="43">
        <v>0</v>
      </c>
      <c r="I390" s="43">
        <v>0.20699999999999999</v>
      </c>
      <c r="J390" s="43">
        <v>0.17449999999999999</v>
      </c>
      <c r="K390" s="43">
        <v>0.18149999999999999</v>
      </c>
      <c r="L390" s="43">
        <v>0.2074</v>
      </c>
      <c r="M390" s="43">
        <v>0.2039</v>
      </c>
      <c r="N390" s="43">
        <v>0.19639999999999999</v>
      </c>
      <c r="O390" s="43">
        <v>0.16470000000000001</v>
      </c>
      <c r="P390" s="43">
        <v>0.1201</v>
      </c>
      <c r="Q390" s="43">
        <v>0.29389999999999999</v>
      </c>
      <c r="R390" s="43">
        <v>0.27100000000000002</v>
      </c>
      <c r="S390" s="43">
        <v>5.0700000000000002E-2</v>
      </c>
      <c r="T390" s="43">
        <v>0.28039999999999998</v>
      </c>
      <c r="U390" s="43">
        <v>0.28999999999999998</v>
      </c>
      <c r="V390" s="43">
        <v>0.28999999999999998</v>
      </c>
      <c r="W390" s="43">
        <v>0.28999999999999998</v>
      </c>
      <c r="X390" s="43">
        <v>0.28999999999999998</v>
      </c>
      <c r="Y390" s="43">
        <v>0.28999999999999998</v>
      </c>
      <c r="Z390" s="43">
        <v>0.28999999999999998</v>
      </c>
      <c r="AA390" s="43">
        <v>0.28999999999999998</v>
      </c>
      <c r="AB390" s="43">
        <v>0.28999999999999998</v>
      </c>
      <c r="AC390" s="43">
        <v>0.28999999999999998</v>
      </c>
      <c r="AD390" s="43">
        <v>0.28999999999999998</v>
      </c>
      <c r="AE390" s="43">
        <v>0.28999999999999998</v>
      </c>
      <c r="AF390" s="43">
        <v>0.28999999999999998</v>
      </c>
      <c r="AG390" s="43">
        <v>0.28999999999999998</v>
      </c>
      <c r="AH390" s="43">
        <v>0.28999999999999998</v>
      </c>
      <c r="AI390" s="43">
        <v>0.28999999999999998</v>
      </c>
      <c r="AJ390" s="43">
        <v>0.28999999999999998</v>
      </c>
      <c r="AK390" s="43">
        <v>0.28999999999999998</v>
      </c>
      <c r="AL390" s="43">
        <v>0.28999999999999998</v>
      </c>
      <c r="AM390" s="43">
        <v>0.28999999999999998</v>
      </c>
      <c r="AN390" s="43">
        <v>0.28999999999999998</v>
      </c>
      <c r="AO390" s="43">
        <v>0.28999999999999998</v>
      </c>
      <c r="AP390" s="43">
        <v>0.28999999999999998</v>
      </c>
      <c r="AQ390" s="43">
        <v>0.28999999999999998</v>
      </c>
      <c r="AR390" s="43">
        <v>0.28999999999999998</v>
      </c>
      <c r="AS390" s="43">
        <v>0.28999999999999998</v>
      </c>
      <c r="AT390" s="43">
        <v>0.28999999999999998</v>
      </c>
      <c r="AU390" s="43">
        <v>0.28999999999999998</v>
      </c>
      <c r="AV390" s="43">
        <v>0.28999999999999998</v>
      </c>
      <c r="AW390" s="43">
        <v>0.28999999999999998</v>
      </c>
      <c r="AX390" s="43">
        <v>0.28999999999999998</v>
      </c>
      <c r="AY390" s="43">
        <v>0.28999999999999998</v>
      </c>
      <c r="AZ390" s="43">
        <v>0.28999999999999998</v>
      </c>
      <c r="BA390" s="43">
        <v>0.28999999999999998</v>
      </c>
      <c r="BB390" s="43">
        <v>0.28999999999999998</v>
      </c>
      <c r="BC390" s="43">
        <v>0.28999999999999998</v>
      </c>
      <c r="BD390" s="43">
        <v>0.28999999999999998</v>
      </c>
      <c r="BE390" s="43">
        <v>0.28999999999999998</v>
      </c>
      <c r="BF390" s="43">
        <v>0.28999999999999998</v>
      </c>
      <c r="BG390" s="43">
        <v>0.28999999999999998</v>
      </c>
      <c r="BH390" s="43">
        <v>0.28999999999999998</v>
      </c>
      <c r="BI390" s="43">
        <v>0.28999999999999998</v>
      </c>
      <c r="BJ390" s="43">
        <v>0.28999999999999998</v>
      </c>
      <c r="BK390" s="43">
        <v>0.28999999999999998</v>
      </c>
      <c r="BL390" s="43">
        <v>0.28999999999999998</v>
      </c>
      <c r="BM390" s="43">
        <v>0.28999999999999998</v>
      </c>
      <c r="BN390" s="43">
        <v>0.28999999999999998</v>
      </c>
      <c r="BO390" s="43">
        <v>0.28999999999999998</v>
      </c>
      <c r="BP390" s="43">
        <v>0.28999999999999998</v>
      </c>
      <c r="BQ390" s="43">
        <v>0.28999999999999998</v>
      </c>
    </row>
    <row r="391" spans="1:69" s="44" customFormat="1" hidden="1" x14ac:dyDescent="0.25">
      <c r="A391" s="43">
        <v>38</v>
      </c>
      <c r="B391" s="43" t="s">
        <v>164</v>
      </c>
      <c r="C391" s="20" t="s">
        <v>165</v>
      </c>
      <c r="D391" s="43">
        <v>10</v>
      </c>
      <c r="E391" s="20" t="s">
        <v>499</v>
      </c>
      <c r="F391" s="43"/>
      <c r="G391" s="43" t="s">
        <v>501</v>
      </c>
      <c r="H391" s="43">
        <v>0</v>
      </c>
      <c r="I391" s="43">
        <v>0.95</v>
      </c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</row>
    <row r="392" spans="1:69" s="34" customFormat="1" hidden="1" x14ac:dyDescent="0.25">
      <c r="A392" s="33">
        <v>39</v>
      </c>
      <c r="B392" s="33" t="s">
        <v>166</v>
      </c>
      <c r="C392" s="36" t="s">
        <v>167</v>
      </c>
      <c r="D392" s="33">
        <v>1</v>
      </c>
      <c r="E392" s="36" t="s">
        <v>489</v>
      </c>
      <c r="F392" s="33"/>
      <c r="G392" s="33" t="s">
        <v>500</v>
      </c>
      <c r="H392" s="33">
        <v>0</v>
      </c>
      <c r="I392" s="33">
        <v>1190</v>
      </c>
      <c r="J392" s="33">
        <v>1190</v>
      </c>
      <c r="K392" s="33">
        <v>1190</v>
      </c>
      <c r="L392" s="33">
        <v>1190</v>
      </c>
      <c r="M392" s="33">
        <v>1190</v>
      </c>
      <c r="N392" s="33">
        <v>1190</v>
      </c>
      <c r="O392" s="33">
        <v>1190</v>
      </c>
      <c r="P392" s="33">
        <v>1190</v>
      </c>
      <c r="Q392" s="33">
        <v>1190</v>
      </c>
      <c r="R392" s="33">
        <v>1000</v>
      </c>
      <c r="S392" s="33">
        <v>1000</v>
      </c>
      <c r="T392" s="33">
        <v>1000</v>
      </c>
      <c r="U392" s="33">
        <v>1000</v>
      </c>
      <c r="V392" s="33">
        <v>1000</v>
      </c>
      <c r="W392" s="33">
        <v>1000</v>
      </c>
      <c r="X392" s="33">
        <v>991.5</v>
      </c>
      <c r="Y392" s="33">
        <v>991.5</v>
      </c>
      <c r="Z392" s="33">
        <v>991.5</v>
      </c>
      <c r="AA392" s="33">
        <v>991.5</v>
      </c>
      <c r="AB392" s="33">
        <v>991.5</v>
      </c>
      <c r="AC392" s="33">
        <v>983</v>
      </c>
      <c r="AD392" s="33">
        <v>983</v>
      </c>
      <c r="AE392" s="33">
        <v>983</v>
      </c>
      <c r="AF392" s="33">
        <v>983</v>
      </c>
      <c r="AG392" s="33">
        <v>983</v>
      </c>
      <c r="AH392" s="33">
        <v>965.5</v>
      </c>
      <c r="AI392" s="33">
        <v>965.5</v>
      </c>
      <c r="AJ392" s="33">
        <v>965.5</v>
      </c>
      <c r="AK392" s="33">
        <v>965.5</v>
      </c>
      <c r="AL392" s="33">
        <v>965.5</v>
      </c>
      <c r="AM392" s="33">
        <v>948</v>
      </c>
      <c r="AN392" s="33">
        <v>948</v>
      </c>
      <c r="AO392" s="33">
        <v>948</v>
      </c>
      <c r="AP392" s="33">
        <v>948</v>
      </c>
      <c r="AQ392" s="33">
        <v>948</v>
      </c>
      <c r="AR392" s="33">
        <v>930.5</v>
      </c>
      <c r="AS392" s="33">
        <v>930.5</v>
      </c>
      <c r="AT392" s="33">
        <v>930.5</v>
      </c>
      <c r="AU392" s="33">
        <v>930.5</v>
      </c>
      <c r="AV392" s="33">
        <v>930.5</v>
      </c>
      <c r="AW392" s="33">
        <v>913</v>
      </c>
      <c r="AX392" s="33">
        <v>744</v>
      </c>
      <c r="AY392" s="33">
        <v>744</v>
      </c>
      <c r="AZ392" s="33">
        <v>744</v>
      </c>
      <c r="BA392" s="33">
        <v>744</v>
      </c>
      <c r="BB392" s="33">
        <v>744</v>
      </c>
      <c r="BC392" s="33">
        <v>744</v>
      </c>
      <c r="BD392" s="33">
        <v>744</v>
      </c>
      <c r="BE392" s="33">
        <v>744</v>
      </c>
      <c r="BF392" s="33">
        <v>744</v>
      </c>
      <c r="BG392" s="33">
        <v>744</v>
      </c>
      <c r="BH392" s="33">
        <v>744</v>
      </c>
      <c r="BI392" s="33">
        <v>744</v>
      </c>
      <c r="BJ392" s="33">
        <v>744</v>
      </c>
      <c r="BK392" s="33">
        <v>744</v>
      </c>
      <c r="BL392" s="33">
        <v>744</v>
      </c>
      <c r="BM392" s="33">
        <v>744</v>
      </c>
      <c r="BN392" s="33">
        <v>744</v>
      </c>
      <c r="BO392" s="33">
        <v>744</v>
      </c>
      <c r="BP392" s="33">
        <v>744</v>
      </c>
      <c r="BQ392" s="33">
        <v>744</v>
      </c>
    </row>
    <row r="393" spans="1:69" s="34" customFormat="1" hidden="1" x14ac:dyDescent="0.25">
      <c r="A393" s="33">
        <v>39</v>
      </c>
      <c r="B393" s="33" t="s">
        <v>166</v>
      </c>
      <c r="C393" s="36" t="s">
        <v>167</v>
      </c>
      <c r="D393" s="33">
        <v>2</v>
      </c>
      <c r="E393" s="36" t="s">
        <v>491</v>
      </c>
      <c r="F393" s="33"/>
      <c r="G393" s="33" t="s">
        <v>500</v>
      </c>
      <c r="H393" s="33">
        <v>0</v>
      </c>
      <c r="I393" s="33">
        <v>21.7</v>
      </c>
      <c r="J393" s="33">
        <v>21.7</v>
      </c>
      <c r="K393" s="33">
        <v>21.7</v>
      </c>
      <c r="L393" s="33">
        <v>21.7</v>
      </c>
      <c r="M393" s="33">
        <v>21.7</v>
      </c>
      <c r="N393" s="33">
        <v>21.7</v>
      </c>
      <c r="O393" s="33">
        <v>21.7</v>
      </c>
      <c r="P393" s="33">
        <v>21.7</v>
      </c>
      <c r="Q393" s="33">
        <v>21.7</v>
      </c>
      <c r="R393" s="33">
        <v>21.7</v>
      </c>
      <c r="S393" s="33">
        <v>21.1</v>
      </c>
      <c r="T393" s="33">
        <v>21.1</v>
      </c>
      <c r="U393" s="33">
        <v>21.1</v>
      </c>
      <c r="V393" s="33">
        <v>21.1</v>
      </c>
      <c r="W393" s="33">
        <v>21.1</v>
      </c>
      <c r="X393" s="33">
        <v>20.6</v>
      </c>
      <c r="Y393" s="33">
        <v>20.6</v>
      </c>
      <c r="Z393" s="33">
        <v>20.6</v>
      </c>
      <c r="AA393" s="33">
        <v>20.6</v>
      </c>
      <c r="AB393" s="33">
        <v>20.6</v>
      </c>
      <c r="AC393" s="33">
        <v>20.100000000000001</v>
      </c>
      <c r="AD393" s="33">
        <v>20.100000000000001</v>
      </c>
      <c r="AE393" s="33">
        <v>20.100000000000001</v>
      </c>
      <c r="AF393" s="33">
        <v>20.100000000000001</v>
      </c>
      <c r="AG393" s="33">
        <v>20.100000000000001</v>
      </c>
      <c r="AH393" s="33">
        <v>19.7</v>
      </c>
      <c r="AI393" s="33">
        <v>19.7</v>
      </c>
      <c r="AJ393" s="33">
        <v>19.7</v>
      </c>
      <c r="AK393" s="33">
        <v>19.7</v>
      </c>
      <c r="AL393" s="33">
        <v>19.7</v>
      </c>
      <c r="AM393" s="33">
        <v>19.399999999999999</v>
      </c>
      <c r="AN393" s="33">
        <v>19.399999999999999</v>
      </c>
      <c r="AO393" s="33">
        <v>19.399999999999999</v>
      </c>
      <c r="AP393" s="33">
        <v>19.399999999999999</v>
      </c>
      <c r="AQ393" s="33">
        <v>19.399999999999999</v>
      </c>
      <c r="AR393" s="33">
        <v>19</v>
      </c>
      <c r="AS393" s="33">
        <v>19</v>
      </c>
      <c r="AT393" s="33">
        <v>19</v>
      </c>
      <c r="AU393" s="33">
        <v>19</v>
      </c>
      <c r="AV393" s="33">
        <v>19</v>
      </c>
      <c r="AW393" s="33">
        <v>18.600000000000001</v>
      </c>
      <c r="AX393" s="33">
        <v>18.600000000000001</v>
      </c>
      <c r="AY393" s="33">
        <v>18.600000000000001</v>
      </c>
      <c r="AZ393" s="33">
        <v>18.600000000000001</v>
      </c>
      <c r="BA393" s="33">
        <v>18.600000000000001</v>
      </c>
      <c r="BB393" s="33">
        <v>18.600000000000001</v>
      </c>
      <c r="BC393" s="33">
        <v>18.600000000000001</v>
      </c>
      <c r="BD393" s="33">
        <v>18.600000000000001</v>
      </c>
      <c r="BE393" s="33">
        <v>18.600000000000001</v>
      </c>
      <c r="BF393" s="33">
        <v>18.600000000000001</v>
      </c>
      <c r="BG393" s="33">
        <v>18.600000000000001</v>
      </c>
      <c r="BH393" s="33">
        <v>18.600000000000001</v>
      </c>
      <c r="BI393" s="33">
        <v>18.600000000000001</v>
      </c>
      <c r="BJ393" s="33">
        <v>18.600000000000001</v>
      </c>
      <c r="BK393" s="33">
        <v>18.600000000000001</v>
      </c>
      <c r="BL393" s="33">
        <v>18.600000000000001</v>
      </c>
      <c r="BM393" s="33">
        <v>18.600000000000001</v>
      </c>
      <c r="BN393" s="33">
        <v>18.600000000000001</v>
      </c>
      <c r="BO393" s="33">
        <v>18.600000000000001</v>
      </c>
      <c r="BP393" s="33">
        <v>18.600000000000001</v>
      </c>
      <c r="BQ393" s="33">
        <v>18.600000000000001</v>
      </c>
    </row>
    <row r="394" spans="1:69" s="34" customFormat="1" hidden="1" x14ac:dyDescent="0.25">
      <c r="A394" s="33">
        <v>39</v>
      </c>
      <c r="B394" s="33" t="s">
        <v>166</v>
      </c>
      <c r="C394" s="36" t="s">
        <v>167</v>
      </c>
      <c r="D394" s="33">
        <v>3</v>
      </c>
      <c r="E394" s="36" t="s">
        <v>492</v>
      </c>
      <c r="F394" s="33"/>
      <c r="G394" s="33" t="s">
        <v>501</v>
      </c>
      <c r="H394" s="33">
        <v>0</v>
      </c>
      <c r="I394" s="33">
        <v>18.899999999999999</v>
      </c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</row>
    <row r="395" spans="1:69" s="34" customFormat="1" hidden="1" x14ac:dyDescent="0.25">
      <c r="A395" s="33">
        <v>39</v>
      </c>
      <c r="B395" s="33" t="s">
        <v>166</v>
      </c>
      <c r="C395" s="36" t="s">
        <v>167</v>
      </c>
      <c r="D395" s="33">
        <v>4</v>
      </c>
      <c r="E395" s="36" t="s">
        <v>493</v>
      </c>
      <c r="F395" s="33"/>
      <c r="G395" s="33" t="s">
        <v>500</v>
      </c>
      <c r="H395" s="33">
        <v>0</v>
      </c>
      <c r="I395" s="33">
        <v>0.15910160069999998</v>
      </c>
      <c r="J395" s="33">
        <v>0.16203850151999999</v>
      </c>
      <c r="K395" s="33">
        <v>0.17592508961999997</v>
      </c>
      <c r="L395" s="33">
        <v>0.17715046061999998</v>
      </c>
      <c r="M395" s="33">
        <v>0.18760031051999998</v>
      </c>
      <c r="N395" s="33">
        <v>0.19414322171999995</v>
      </c>
      <c r="O395" s="33">
        <v>0.20438846315999998</v>
      </c>
      <c r="P395" s="33">
        <v>0.19010291705999999</v>
      </c>
      <c r="Q395" s="33">
        <v>0.19107200000000002</v>
      </c>
      <c r="R395" s="33">
        <v>0.19107200000000002</v>
      </c>
      <c r="S395" s="33">
        <v>0.19107200000000002</v>
      </c>
      <c r="T395" s="33">
        <v>0.19107200000000002</v>
      </c>
      <c r="U395" s="33">
        <v>0.19107200000000002</v>
      </c>
      <c r="V395" s="33">
        <v>0.19107200000000002</v>
      </c>
      <c r="W395" s="33">
        <v>0.19107200000000002</v>
      </c>
      <c r="X395" s="33">
        <v>0.19107200000000002</v>
      </c>
      <c r="Y395" s="33">
        <v>0.19107200000000002</v>
      </c>
      <c r="Z395" s="33">
        <v>0.19107200000000002</v>
      </c>
      <c r="AA395" s="33">
        <v>0.19107200000000002</v>
      </c>
      <c r="AB395" s="33">
        <v>0.19107200000000002</v>
      </c>
      <c r="AC395" s="33">
        <v>0.19107200000000002</v>
      </c>
      <c r="AD395" s="33">
        <v>0.19107200000000002</v>
      </c>
      <c r="AE395" s="33">
        <v>0.19107200000000002</v>
      </c>
      <c r="AF395" s="33">
        <v>0.19107200000000002</v>
      </c>
      <c r="AG395" s="33">
        <v>0.19107200000000002</v>
      </c>
      <c r="AH395" s="33">
        <v>0.19107200000000002</v>
      </c>
      <c r="AI395" s="33">
        <v>0.19107200000000002</v>
      </c>
      <c r="AJ395" s="33">
        <v>0.19107200000000002</v>
      </c>
      <c r="AK395" s="33">
        <v>0.19107200000000002</v>
      </c>
      <c r="AL395" s="33">
        <v>0.19107200000000002</v>
      </c>
      <c r="AM395" s="33">
        <v>0.19107200000000002</v>
      </c>
      <c r="AN395" s="33">
        <v>0.19107200000000002</v>
      </c>
      <c r="AO395" s="33">
        <v>0.19107200000000002</v>
      </c>
      <c r="AP395" s="33">
        <v>0.19107200000000002</v>
      </c>
      <c r="AQ395" s="33">
        <v>0.19107200000000002</v>
      </c>
      <c r="AR395" s="33">
        <v>0.19107200000000002</v>
      </c>
      <c r="AS395" s="33">
        <v>0.19107200000000002</v>
      </c>
      <c r="AT395" s="33">
        <v>0.19107200000000002</v>
      </c>
      <c r="AU395" s="33">
        <v>0.19107200000000002</v>
      </c>
      <c r="AV395" s="33">
        <v>0.19107200000000002</v>
      </c>
      <c r="AW395" s="33">
        <v>0.19107200000000002</v>
      </c>
      <c r="AX395" s="33">
        <v>0.19107200000000002</v>
      </c>
      <c r="AY395" s="33">
        <v>0.19107200000000002</v>
      </c>
      <c r="AZ395" s="33">
        <v>0.19107200000000002</v>
      </c>
      <c r="BA395" s="33">
        <v>0.19107200000000002</v>
      </c>
      <c r="BB395" s="33">
        <v>0.19107200000000002</v>
      </c>
      <c r="BC395" s="33">
        <v>0.19107200000000002</v>
      </c>
      <c r="BD395" s="33">
        <v>0.19107200000000002</v>
      </c>
      <c r="BE395" s="33">
        <v>0.19107200000000002</v>
      </c>
      <c r="BF395" s="33">
        <v>0.19107200000000002</v>
      </c>
      <c r="BG395" s="33">
        <v>0.19107200000000002</v>
      </c>
      <c r="BH395" s="33">
        <v>0.19107200000000002</v>
      </c>
      <c r="BI395" s="33">
        <v>0.19107200000000002</v>
      </c>
      <c r="BJ395" s="33">
        <v>0.19107200000000002</v>
      </c>
      <c r="BK395" s="33">
        <v>0.19107200000000002</v>
      </c>
      <c r="BL395" s="33">
        <v>0.19107200000000002</v>
      </c>
      <c r="BM395" s="33">
        <v>0.19107200000000002</v>
      </c>
      <c r="BN395" s="33">
        <v>0.19107200000000002</v>
      </c>
      <c r="BO395" s="33">
        <v>0.19107200000000002</v>
      </c>
      <c r="BP395" s="33">
        <v>0.19107200000000002</v>
      </c>
      <c r="BQ395" s="33">
        <v>0.19107200000000002</v>
      </c>
    </row>
    <row r="396" spans="1:69" s="34" customFormat="1" hidden="1" x14ac:dyDescent="0.25">
      <c r="A396" s="33">
        <v>39</v>
      </c>
      <c r="B396" s="33" t="s">
        <v>166</v>
      </c>
      <c r="C396" s="36" t="s">
        <v>167</v>
      </c>
      <c r="D396" s="33">
        <v>5</v>
      </c>
      <c r="E396" s="36" t="s">
        <v>494</v>
      </c>
      <c r="F396" s="33"/>
      <c r="G396" s="33" t="s">
        <v>500</v>
      </c>
      <c r="H396" s="33">
        <v>0</v>
      </c>
      <c r="I396" s="33">
        <v>0.15910160069999998</v>
      </c>
      <c r="J396" s="33">
        <v>0.16203850151999999</v>
      </c>
      <c r="K396" s="33">
        <v>0.17592508961999997</v>
      </c>
      <c r="L396" s="33">
        <v>0.17715046061999998</v>
      </c>
      <c r="M396" s="33">
        <v>0.18760031051999998</v>
      </c>
      <c r="N396" s="33">
        <v>0.19414322171999995</v>
      </c>
      <c r="O396" s="33">
        <v>0.20438846315999998</v>
      </c>
      <c r="P396" s="33">
        <v>0.19010291705999999</v>
      </c>
      <c r="Q396" s="33">
        <v>0.19107200000000002</v>
      </c>
      <c r="R396" s="33">
        <v>0.19634200000000007</v>
      </c>
      <c r="S396" s="33">
        <v>0.19789000000000001</v>
      </c>
      <c r="T396" s="33">
        <v>0.19789000000000001</v>
      </c>
      <c r="U396" s="33">
        <v>0.19789000000000001</v>
      </c>
      <c r="V396" s="33">
        <v>0.19789000000000001</v>
      </c>
      <c r="W396" s="33">
        <v>0.19789000000000001</v>
      </c>
      <c r="X396" s="33">
        <v>0.19789000000000001</v>
      </c>
      <c r="Y396" s="33">
        <v>0.19789000000000001</v>
      </c>
      <c r="Z396" s="33">
        <v>0.19789000000000001</v>
      </c>
      <c r="AA396" s="33">
        <v>0.19789000000000001</v>
      </c>
      <c r="AB396" s="33">
        <v>0.19789000000000001</v>
      </c>
      <c r="AC396" s="33">
        <v>0.19789000000000001</v>
      </c>
      <c r="AD396" s="33">
        <v>0.19789000000000001</v>
      </c>
      <c r="AE396" s="33">
        <v>0.19789000000000001</v>
      </c>
      <c r="AF396" s="33">
        <v>0.19789000000000001</v>
      </c>
      <c r="AG396" s="33">
        <v>0.19789000000000001</v>
      </c>
      <c r="AH396" s="33">
        <v>0.19789000000000001</v>
      </c>
      <c r="AI396" s="33">
        <v>0.19789000000000001</v>
      </c>
      <c r="AJ396" s="33">
        <v>0.19789000000000001</v>
      </c>
      <c r="AK396" s="33">
        <v>0.19789000000000001</v>
      </c>
      <c r="AL396" s="33">
        <v>0.19789000000000001</v>
      </c>
      <c r="AM396" s="33">
        <v>0.19789000000000001</v>
      </c>
      <c r="AN396" s="33">
        <v>0.19789000000000001</v>
      </c>
      <c r="AO396" s="33">
        <v>0.19789000000000001</v>
      </c>
      <c r="AP396" s="33">
        <v>0.19789000000000001</v>
      </c>
      <c r="AQ396" s="33">
        <v>0.19789000000000001</v>
      </c>
      <c r="AR396" s="33">
        <v>0.19789000000000001</v>
      </c>
      <c r="AS396" s="33">
        <v>0.19789000000000001</v>
      </c>
      <c r="AT396" s="33">
        <v>0.19789000000000001</v>
      </c>
      <c r="AU396" s="33">
        <v>0.19789000000000001</v>
      </c>
      <c r="AV396" s="33">
        <v>0.19789000000000001</v>
      </c>
      <c r="AW396" s="33">
        <v>0.19789000000000001</v>
      </c>
      <c r="AX396" s="33">
        <v>0.19789000000000001</v>
      </c>
      <c r="AY396" s="33">
        <v>0.19789000000000001</v>
      </c>
      <c r="AZ396" s="33">
        <v>0.19789000000000001</v>
      </c>
      <c r="BA396" s="33">
        <v>0.19789000000000001</v>
      </c>
      <c r="BB396" s="33">
        <v>0.19789000000000001</v>
      </c>
      <c r="BC396" s="33">
        <v>0.19789000000000001</v>
      </c>
      <c r="BD396" s="33">
        <v>0.19789000000000001</v>
      </c>
      <c r="BE396" s="33">
        <v>0.19789000000000001</v>
      </c>
      <c r="BF396" s="33">
        <v>0.19789000000000001</v>
      </c>
      <c r="BG396" s="33">
        <v>0.19789000000000001</v>
      </c>
      <c r="BH396" s="33">
        <v>0.19789000000000001</v>
      </c>
      <c r="BI396" s="33">
        <v>0.19789000000000001</v>
      </c>
      <c r="BJ396" s="33">
        <v>0.19789000000000001</v>
      </c>
      <c r="BK396" s="33">
        <v>0.19789000000000001</v>
      </c>
      <c r="BL396" s="33">
        <v>0.19789000000000001</v>
      </c>
      <c r="BM396" s="33">
        <v>0.19789000000000001</v>
      </c>
      <c r="BN396" s="33">
        <v>0.19789000000000001</v>
      </c>
      <c r="BO396" s="33">
        <v>0.19789000000000001</v>
      </c>
      <c r="BP396" s="33">
        <v>0.19789000000000001</v>
      </c>
      <c r="BQ396" s="33">
        <v>0.19789000000000001</v>
      </c>
    </row>
    <row r="397" spans="1:69" s="34" customFormat="1" hidden="1" x14ac:dyDescent="0.25">
      <c r="A397" s="33">
        <v>39</v>
      </c>
      <c r="B397" s="33" t="s">
        <v>166</v>
      </c>
      <c r="C397" s="36" t="s">
        <v>167</v>
      </c>
      <c r="D397" s="33">
        <v>6</v>
      </c>
      <c r="E397" s="36" t="s">
        <v>495</v>
      </c>
      <c r="F397" s="33"/>
      <c r="G397" s="33" t="s">
        <v>490</v>
      </c>
      <c r="H397" s="33">
        <v>0</v>
      </c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</row>
    <row r="398" spans="1:69" s="34" customFormat="1" hidden="1" x14ac:dyDescent="0.25">
      <c r="A398" s="33">
        <v>39</v>
      </c>
      <c r="B398" s="33" t="s">
        <v>166</v>
      </c>
      <c r="C398" s="36" t="s">
        <v>167</v>
      </c>
      <c r="D398" s="33">
        <v>7</v>
      </c>
      <c r="E398" s="36" t="s">
        <v>496</v>
      </c>
      <c r="F398" s="33"/>
      <c r="G398" s="33" t="s">
        <v>500</v>
      </c>
      <c r="H398" s="33">
        <v>0</v>
      </c>
      <c r="I398" s="33">
        <v>3.31777763553885</v>
      </c>
      <c r="J398" s="33">
        <v>2.8482219329353167</v>
      </c>
      <c r="K398" s="33">
        <v>3.2170025578372283</v>
      </c>
      <c r="L398" s="33">
        <v>3.7018461205255271</v>
      </c>
      <c r="M398" s="33">
        <v>3.8544127242286015</v>
      </c>
      <c r="N398" s="33">
        <v>3.8409968470113576</v>
      </c>
      <c r="O398" s="33">
        <v>3.3907849673722232</v>
      </c>
      <c r="P398" s="33">
        <v>2.3009789413296051</v>
      </c>
      <c r="Q398" s="33">
        <v>2.1347999999999998</v>
      </c>
      <c r="R398" s="33">
        <v>2.0259999999999998</v>
      </c>
      <c r="S398" s="33">
        <v>1.9598</v>
      </c>
      <c r="T398" s="33">
        <v>2.1863999999999999</v>
      </c>
      <c r="U398" s="33">
        <v>1.9776891455401198</v>
      </c>
      <c r="V398" s="33">
        <v>1.9776891455401198</v>
      </c>
      <c r="W398" s="33">
        <v>1.9776891455401198</v>
      </c>
      <c r="X398" s="33">
        <v>1.9776891455401198</v>
      </c>
      <c r="Y398" s="33">
        <v>1.9776891455401198</v>
      </c>
      <c r="Z398" s="33">
        <v>1.9776891455401198</v>
      </c>
      <c r="AA398" s="33">
        <v>1.9776891455401198</v>
      </c>
      <c r="AB398" s="33">
        <v>1.9776891455401198</v>
      </c>
      <c r="AC398" s="33">
        <v>1.9776891455401198</v>
      </c>
      <c r="AD398" s="33">
        <v>1.9776891455401198</v>
      </c>
      <c r="AE398" s="33">
        <v>1.9776891455401198</v>
      </c>
      <c r="AF398" s="33">
        <v>1.9776891455401198</v>
      </c>
      <c r="AG398" s="33">
        <v>1.9776891455401198</v>
      </c>
      <c r="AH398" s="33">
        <v>1.9776891455401198</v>
      </c>
      <c r="AI398" s="33">
        <v>1.9776891455401198</v>
      </c>
      <c r="AJ398" s="33">
        <v>1.9776891455401198</v>
      </c>
      <c r="AK398" s="33">
        <v>1.9776891455401198</v>
      </c>
      <c r="AL398" s="33">
        <v>1.9776891455401198</v>
      </c>
      <c r="AM398" s="33">
        <v>1.9776891455401198</v>
      </c>
      <c r="AN398" s="33">
        <v>1.9776891455401198</v>
      </c>
      <c r="AO398" s="33">
        <v>1.9776891455401198</v>
      </c>
      <c r="AP398" s="33">
        <v>1.9776891455401198</v>
      </c>
      <c r="AQ398" s="33">
        <v>1.9776891455401198</v>
      </c>
      <c r="AR398" s="33">
        <v>1.9776891455401198</v>
      </c>
      <c r="AS398" s="33">
        <v>1.9776891455401198</v>
      </c>
      <c r="AT398" s="33">
        <v>1.9776891455401198</v>
      </c>
      <c r="AU398" s="33">
        <v>1.9776891455401198</v>
      </c>
      <c r="AV398" s="33">
        <v>1.9776891455401198</v>
      </c>
      <c r="AW398" s="33">
        <v>1.9776891455401198</v>
      </c>
      <c r="AX398" s="33">
        <v>1.9776891455401198</v>
      </c>
      <c r="AY398" s="33">
        <v>1.9776891455401198</v>
      </c>
      <c r="AZ398" s="33">
        <v>1.9776891455401198</v>
      </c>
      <c r="BA398" s="33">
        <v>1.9776891455401198</v>
      </c>
      <c r="BB398" s="33">
        <v>1.9776891455401198</v>
      </c>
      <c r="BC398" s="33">
        <v>1.9776891455401198</v>
      </c>
      <c r="BD398" s="33">
        <v>1.9776891455401198</v>
      </c>
      <c r="BE398" s="33">
        <v>1.9776891455401198</v>
      </c>
      <c r="BF398" s="33">
        <v>1.9776891455401198</v>
      </c>
      <c r="BG398" s="33">
        <v>1.9776891455401198</v>
      </c>
      <c r="BH398" s="33">
        <v>1.9776891455401198</v>
      </c>
      <c r="BI398" s="33">
        <v>1.9776891455401198</v>
      </c>
      <c r="BJ398" s="33">
        <v>1.9776891455401198</v>
      </c>
      <c r="BK398" s="33">
        <v>1.9776891455401198</v>
      </c>
      <c r="BL398" s="33">
        <v>1.9776891455401198</v>
      </c>
      <c r="BM398" s="33">
        <v>1.9776891455401198</v>
      </c>
      <c r="BN398" s="33">
        <v>1.9776891455401198</v>
      </c>
      <c r="BO398" s="33">
        <v>1.9776891455401198</v>
      </c>
      <c r="BP398" s="33">
        <v>1.9776891455401198</v>
      </c>
      <c r="BQ398" s="33">
        <v>1.9776891455401198</v>
      </c>
    </row>
    <row r="399" spans="1:69" s="34" customFormat="1" hidden="1" x14ac:dyDescent="0.25">
      <c r="A399" s="33">
        <v>39</v>
      </c>
      <c r="B399" s="33" t="s">
        <v>166</v>
      </c>
      <c r="C399" s="36" t="s">
        <v>167</v>
      </c>
      <c r="D399" s="33">
        <v>8</v>
      </c>
      <c r="E399" s="36" t="s">
        <v>497</v>
      </c>
      <c r="F399" s="33"/>
      <c r="G399" s="33" t="s">
        <v>490</v>
      </c>
      <c r="H399" s="33">
        <v>0</v>
      </c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</row>
    <row r="400" spans="1:69" s="34" customFormat="1" hidden="1" x14ac:dyDescent="0.25">
      <c r="A400" s="33">
        <v>39</v>
      </c>
      <c r="B400" s="33" t="s">
        <v>166</v>
      </c>
      <c r="C400" s="36" t="s">
        <v>167</v>
      </c>
      <c r="D400" s="33">
        <v>9</v>
      </c>
      <c r="E400" s="36" t="s">
        <v>498</v>
      </c>
      <c r="F400" s="33"/>
      <c r="G400" s="33" t="s">
        <v>500</v>
      </c>
      <c r="H400" s="33">
        <v>0</v>
      </c>
      <c r="I400" s="33">
        <v>0.70309999999999995</v>
      </c>
      <c r="J400" s="33">
        <v>0.59260000000000002</v>
      </c>
      <c r="K400" s="33">
        <v>0.61650000000000005</v>
      </c>
      <c r="L400" s="33">
        <v>0.70450000000000002</v>
      </c>
      <c r="M400" s="33">
        <v>0.69269999999999998</v>
      </c>
      <c r="N400" s="33">
        <v>0.66700000000000004</v>
      </c>
      <c r="O400" s="33">
        <v>0.55930000000000002</v>
      </c>
      <c r="P400" s="33">
        <v>0.40810000000000002</v>
      </c>
      <c r="Q400" s="33">
        <v>0.37669999999999998</v>
      </c>
      <c r="R400" s="33">
        <v>0.34789999999999999</v>
      </c>
      <c r="S400" s="33">
        <v>0.33389999999999997</v>
      </c>
      <c r="T400" s="33">
        <v>0.37369999999999998</v>
      </c>
      <c r="U400" s="33">
        <v>0.38</v>
      </c>
      <c r="V400" s="33">
        <v>0.38</v>
      </c>
      <c r="W400" s="33">
        <v>0.38</v>
      </c>
      <c r="X400" s="33">
        <v>0.38</v>
      </c>
      <c r="Y400" s="33">
        <v>0.38</v>
      </c>
      <c r="Z400" s="33">
        <v>0.38</v>
      </c>
      <c r="AA400" s="33">
        <v>0.38</v>
      </c>
      <c r="AB400" s="33">
        <v>0.38</v>
      </c>
      <c r="AC400" s="33">
        <v>0.38</v>
      </c>
      <c r="AD400" s="33">
        <v>0.38</v>
      </c>
      <c r="AE400" s="33">
        <v>0.38</v>
      </c>
      <c r="AF400" s="33">
        <v>0.38</v>
      </c>
      <c r="AG400" s="33">
        <v>0.38</v>
      </c>
      <c r="AH400" s="33">
        <v>0.38</v>
      </c>
      <c r="AI400" s="33">
        <v>0.38</v>
      </c>
      <c r="AJ400" s="33">
        <v>0.38</v>
      </c>
      <c r="AK400" s="33">
        <v>0.38</v>
      </c>
      <c r="AL400" s="33">
        <v>0.38</v>
      </c>
      <c r="AM400" s="33">
        <v>0.38</v>
      </c>
      <c r="AN400" s="33">
        <v>0.38</v>
      </c>
      <c r="AO400" s="33">
        <v>0.38</v>
      </c>
      <c r="AP400" s="33">
        <v>0.38</v>
      </c>
      <c r="AQ400" s="33">
        <v>0.38</v>
      </c>
      <c r="AR400" s="33">
        <v>0.38</v>
      </c>
      <c r="AS400" s="33">
        <v>0.38</v>
      </c>
      <c r="AT400" s="33">
        <v>0.38</v>
      </c>
      <c r="AU400" s="33">
        <v>0.38</v>
      </c>
      <c r="AV400" s="33">
        <v>0.38</v>
      </c>
      <c r="AW400" s="33">
        <v>0.38</v>
      </c>
      <c r="AX400" s="33">
        <v>0.38</v>
      </c>
      <c r="AY400" s="33">
        <v>0.38</v>
      </c>
      <c r="AZ400" s="33">
        <v>0.38</v>
      </c>
      <c r="BA400" s="33">
        <v>0.38</v>
      </c>
      <c r="BB400" s="33">
        <v>0.38</v>
      </c>
      <c r="BC400" s="33">
        <v>0.38</v>
      </c>
      <c r="BD400" s="33">
        <v>0.38</v>
      </c>
      <c r="BE400" s="33">
        <v>0.38</v>
      </c>
      <c r="BF400" s="33">
        <v>0.38</v>
      </c>
      <c r="BG400" s="33">
        <v>0.38</v>
      </c>
      <c r="BH400" s="33">
        <v>0.38</v>
      </c>
      <c r="BI400" s="33">
        <v>0.38</v>
      </c>
      <c r="BJ400" s="33">
        <v>0.38</v>
      </c>
      <c r="BK400" s="33">
        <v>0.38</v>
      </c>
      <c r="BL400" s="33">
        <v>0.38</v>
      </c>
      <c r="BM400" s="33">
        <v>0.38</v>
      </c>
      <c r="BN400" s="33">
        <v>0.38</v>
      </c>
      <c r="BO400" s="33">
        <v>0.38</v>
      </c>
      <c r="BP400" s="33">
        <v>0.38</v>
      </c>
      <c r="BQ400" s="33">
        <v>0.38</v>
      </c>
    </row>
    <row r="401" spans="1:69" s="34" customFormat="1" hidden="1" x14ac:dyDescent="0.25">
      <c r="A401" s="33">
        <v>39</v>
      </c>
      <c r="B401" s="33" t="s">
        <v>166</v>
      </c>
      <c r="C401" s="36" t="s">
        <v>167</v>
      </c>
      <c r="D401" s="33">
        <v>10</v>
      </c>
      <c r="E401" s="36" t="s">
        <v>499</v>
      </c>
      <c r="F401" s="33"/>
      <c r="G401" s="33" t="s">
        <v>501</v>
      </c>
      <c r="H401" s="33">
        <v>0</v>
      </c>
      <c r="I401" s="33">
        <v>0.95</v>
      </c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</row>
    <row r="402" spans="1:69" s="44" customFormat="1" hidden="1" x14ac:dyDescent="0.25">
      <c r="A402" s="43">
        <v>40</v>
      </c>
      <c r="B402" s="43" t="s">
        <v>168</v>
      </c>
      <c r="C402" s="20" t="s">
        <v>169</v>
      </c>
      <c r="D402" s="43">
        <v>1</v>
      </c>
      <c r="E402" s="20" t="s">
        <v>489</v>
      </c>
      <c r="F402" s="43"/>
      <c r="G402" s="43" t="s">
        <v>500</v>
      </c>
      <c r="H402" s="43">
        <v>0</v>
      </c>
      <c r="I402" s="43">
        <v>1190</v>
      </c>
      <c r="J402" s="43">
        <v>1190</v>
      </c>
      <c r="K402" s="43">
        <v>1190</v>
      </c>
      <c r="L402" s="43">
        <v>1190</v>
      </c>
      <c r="M402" s="43">
        <v>1190</v>
      </c>
      <c r="N402" s="43">
        <v>1190</v>
      </c>
      <c r="O402" s="43">
        <v>1190</v>
      </c>
      <c r="P402" s="43">
        <v>1190</v>
      </c>
      <c r="Q402" s="43">
        <v>1190</v>
      </c>
      <c r="R402" s="43">
        <v>1000</v>
      </c>
      <c r="S402" s="43">
        <v>1000</v>
      </c>
      <c r="T402" s="43">
        <v>1000</v>
      </c>
      <c r="U402" s="43">
        <v>1000</v>
      </c>
      <c r="V402" s="43">
        <v>1000</v>
      </c>
      <c r="W402" s="43">
        <v>1000</v>
      </c>
      <c r="X402" s="43">
        <v>991.5</v>
      </c>
      <c r="Y402" s="43">
        <v>991.5</v>
      </c>
      <c r="Z402" s="43">
        <v>991.5</v>
      </c>
      <c r="AA402" s="43">
        <v>991.5</v>
      </c>
      <c r="AB402" s="43">
        <v>991.5</v>
      </c>
      <c r="AC402" s="43">
        <v>983</v>
      </c>
      <c r="AD402" s="43">
        <v>983</v>
      </c>
      <c r="AE402" s="43">
        <v>983</v>
      </c>
      <c r="AF402" s="43">
        <v>983</v>
      </c>
      <c r="AG402" s="43">
        <v>983</v>
      </c>
      <c r="AH402" s="43">
        <v>965.5</v>
      </c>
      <c r="AI402" s="43">
        <v>965.5</v>
      </c>
      <c r="AJ402" s="43">
        <v>965.5</v>
      </c>
      <c r="AK402" s="43">
        <v>965.5</v>
      </c>
      <c r="AL402" s="43">
        <v>965.5</v>
      </c>
      <c r="AM402" s="43">
        <v>948</v>
      </c>
      <c r="AN402" s="43">
        <v>948</v>
      </c>
      <c r="AO402" s="43">
        <v>948</v>
      </c>
      <c r="AP402" s="43">
        <v>948</v>
      </c>
      <c r="AQ402" s="43">
        <v>948</v>
      </c>
      <c r="AR402" s="43">
        <v>930.5</v>
      </c>
      <c r="AS402" s="43">
        <v>930.5</v>
      </c>
      <c r="AT402" s="43">
        <v>930.5</v>
      </c>
      <c r="AU402" s="43">
        <v>930.5</v>
      </c>
      <c r="AV402" s="43">
        <v>930.5</v>
      </c>
      <c r="AW402" s="43">
        <v>913</v>
      </c>
      <c r="AX402" s="43">
        <v>744</v>
      </c>
      <c r="AY402" s="43">
        <v>744</v>
      </c>
      <c r="AZ402" s="43">
        <v>744</v>
      </c>
      <c r="BA402" s="43">
        <v>744</v>
      </c>
      <c r="BB402" s="43">
        <v>744</v>
      </c>
      <c r="BC402" s="43">
        <v>744</v>
      </c>
      <c r="BD402" s="43">
        <v>744</v>
      </c>
      <c r="BE402" s="43">
        <v>744</v>
      </c>
      <c r="BF402" s="43">
        <v>744</v>
      </c>
      <c r="BG402" s="43">
        <v>744</v>
      </c>
      <c r="BH402" s="43">
        <v>744</v>
      </c>
      <c r="BI402" s="43">
        <v>744</v>
      </c>
      <c r="BJ402" s="43">
        <v>744</v>
      </c>
      <c r="BK402" s="43">
        <v>744</v>
      </c>
      <c r="BL402" s="43">
        <v>744</v>
      </c>
      <c r="BM402" s="43">
        <v>744</v>
      </c>
      <c r="BN402" s="43">
        <v>744</v>
      </c>
      <c r="BO402" s="43">
        <v>744</v>
      </c>
      <c r="BP402" s="43">
        <v>744</v>
      </c>
      <c r="BQ402" s="43">
        <v>744</v>
      </c>
    </row>
    <row r="403" spans="1:69" s="44" customFormat="1" hidden="1" x14ac:dyDescent="0.25">
      <c r="A403" s="43">
        <v>40</v>
      </c>
      <c r="B403" s="43" t="s">
        <v>168</v>
      </c>
      <c r="C403" s="20" t="s">
        <v>169</v>
      </c>
      <c r="D403" s="43">
        <v>2</v>
      </c>
      <c r="E403" s="20" t="s">
        <v>491</v>
      </c>
      <c r="F403" s="43"/>
      <c r="G403" s="43" t="s">
        <v>500</v>
      </c>
      <c r="H403" s="43">
        <v>0</v>
      </c>
      <c r="I403" s="43">
        <v>21.7</v>
      </c>
      <c r="J403" s="43">
        <v>21.7</v>
      </c>
      <c r="K403" s="43">
        <v>21.7</v>
      </c>
      <c r="L403" s="43">
        <v>21.7</v>
      </c>
      <c r="M403" s="43">
        <v>21.7</v>
      </c>
      <c r="N403" s="43">
        <v>21.7</v>
      </c>
      <c r="O403" s="43">
        <v>21.7</v>
      </c>
      <c r="P403" s="43">
        <v>21.7</v>
      </c>
      <c r="Q403" s="43">
        <v>21.7</v>
      </c>
      <c r="R403" s="43">
        <v>21.7</v>
      </c>
      <c r="S403" s="43">
        <v>21.1</v>
      </c>
      <c r="T403" s="43">
        <v>21.1</v>
      </c>
      <c r="U403" s="43">
        <v>21.1</v>
      </c>
      <c r="V403" s="43">
        <v>21.1</v>
      </c>
      <c r="W403" s="43">
        <v>21.1</v>
      </c>
      <c r="X403" s="43">
        <v>20.6</v>
      </c>
      <c r="Y403" s="43">
        <v>20.6</v>
      </c>
      <c r="Z403" s="43">
        <v>20.6</v>
      </c>
      <c r="AA403" s="43">
        <v>20.6</v>
      </c>
      <c r="AB403" s="43">
        <v>20.6</v>
      </c>
      <c r="AC403" s="43">
        <v>20.100000000000001</v>
      </c>
      <c r="AD403" s="43">
        <v>20.100000000000001</v>
      </c>
      <c r="AE403" s="43">
        <v>20.100000000000001</v>
      </c>
      <c r="AF403" s="43">
        <v>20.100000000000001</v>
      </c>
      <c r="AG403" s="43">
        <v>20.100000000000001</v>
      </c>
      <c r="AH403" s="43">
        <v>19.7</v>
      </c>
      <c r="AI403" s="43">
        <v>19.7</v>
      </c>
      <c r="AJ403" s="43">
        <v>19.7</v>
      </c>
      <c r="AK403" s="43">
        <v>19.7</v>
      </c>
      <c r="AL403" s="43">
        <v>19.7</v>
      </c>
      <c r="AM403" s="43">
        <v>19.399999999999999</v>
      </c>
      <c r="AN403" s="43">
        <v>19.399999999999999</v>
      </c>
      <c r="AO403" s="43">
        <v>19.399999999999999</v>
      </c>
      <c r="AP403" s="43">
        <v>19.399999999999999</v>
      </c>
      <c r="AQ403" s="43">
        <v>19.399999999999999</v>
      </c>
      <c r="AR403" s="43">
        <v>19</v>
      </c>
      <c r="AS403" s="43">
        <v>19</v>
      </c>
      <c r="AT403" s="43">
        <v>19</v>
      </c>
      <c r="AU403" s="43">
        <v>19</v>
      </c>
      <c r="AV403" s="43">
        <v>19</v>
      </c>
      <c r="AW403" s="43">
        <v>18.600000000000001</v>
      </c>
      <c r="AX403" s="43">
        <v>18.600000000000001</v>
      </c>
      <c r="AY403" s="43">
        <v>18.600000000000001</v>
      </c>
      <c r="AZ403" s="43">
        <v>18.600000000000001</v>
      </c>
      <c r="BA403" s="43">
        <v>18.600000000000001</v>
      </c>
      <c r="BB403" s="43">
        <v>18.600000000000001</v>
      </c>
      <c r="BC403" s="43">
        <v>18.600000000000001</v>
      </c>
      <c r="BD403" s="43">
        <v>18.600000000000001</v>
      </c>
      <c r="BE403" s="43">
        <v>18.600000000000001</v>
      </c>
      <c r="BF403" s="43">
        <v>18.600000000000001</v>
      </c>
      <c r="BG403" s="43">
        <v>18.600000000000001</v>
      </c>
      <c r="BH403" s="43">
        <v>18.600000000000001</v>
      </c>
      <c r="BI403" s="43">
        <v>18.600000000000001</v>
      </c>
      <c r="BJ403" s="43">
        <v>18.600000000000001</v>
      </c>
      <c r="BK403" s="43">
        <v>18.600000000000001</v>
      </c>
      <c r="BL403" s="43">
        <v>18.600000000000001</v>
      </c>
      <c r="BM403" s="43">
        <v>18.600000000000001</v>
      </c>
      <c r="BN403" s="43">
        <v>18.600000000000001</v>
      </c>
      <c r="BO403" s="43">
        <v>18.600000000000001</v>
      </c>
      <c r="BP403" s="43">
        <v>18.600000000000001</v>
      </c>
      <c r="BQ403" s="43">
        <v>18.600000000000001</v>
      </c>
    </row>
    <row r="404" spans="1:69" s="44" customFormat="1" hidden="1" x14ac:dyDescent="0.25">
      <c r="A404" s="43">
        <v>40</v>
      </c>
      <c r="B404" s="43" t="s">
        <v>168</v>
      </c>
      <c r="C404" s="20" t="s">
        <v>169</v>
      </c>
      <c r="D404" s="43">
        <v>3</v>
      </c>
      <c r="E404" s="20" t="s">
        <v>492</v>
      </c>
      <c r="F404" s="43"/>
      <c r="G404" s="43" t="s">
        <v>501</v>
      </c>
      <c r="H404" s="43">
        <v>0</v>
      </c>
      <c r="I404" s="45">
        <v>18.899999999999999</v>
      </c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</row>
    <row r="405" spans="1:69" s="44" customFormat="1" hidden="1" x14ac:dyDescent="0.25">
      <c r="A405" s="43">
        <v>40</v>
      </c>
      <c r="B405" s="43" t="s">
        <v>168</v>
      </c>
      <c r="C405" s="20" t="s">
        <v>169</v>
      </c>
      <c r="D405" s="43">
        <v>4</v>
      </c>
      <c r="E405" s="20" t="s">
        <v>493</v>
      </c>
      <c r="F405" s="43"/>
      <c r="G405" s="43" t="s">
        <v>500</v>
      </c>
      <c r="H405" s="43">
        <v>0</v>
      </c>
      <c r="I405" s="43">
        <v>5.6726305916000024E-2</v>
      </c>
      <c r="J405" s="43">
        <v>5.7773432617600005E-2</v>
      </c>
      <c r="K405" s="43">
        <v>6.2724576045600014E-2</v>
      </c>
      <c r="L405" s="43">
        <v>6.3161471525600019E-2</v>
      </c>
      <c r="M405" s="43">
        <v>6.6887275537600016E-2</v>
      </c>
      <c r="N405" s="43">
        <v>6.9220094193600021E-2</v>
      </c>
      <c r="O405" s="43">
        <v>7.2872946820800005E-2</v>
      </c>
      <c r="P405" s="43">
        <v>6.7779558352800015E-2</v>
      </c>
      <c r="Q405" s="43">
        <v>4.5850000000000002E-2</v>
      </c>
      <c r="R405" s="43">
        <v>4.5850000000000002E-2</v>
      </c>
      <c r="S405" s="43">
        <v>4.5850000000000002E-2</v>
      </c>
      <c r="T405" s="43">
        <v>4.5850000000000002E-2</v>
      </c>
      <c r="U405" s="43">
        <v>4.5850000000000002E-2</v>
      </c>
      <c r="V405" s="43">
        <v>4.5850000000000002E-2</v>
      </c>
      <c r="W405" s="43">
        <v>4.5850000000000002E-2</v>
      </c>
      <c r="X405" s="43">
        <v>4.5850000000000002E-2</v>
      </c>
      <c r="Y405" s="43">
        <v>4.5850000000000002E-2</v>
      </c>
      <c r="Z405" s="43">
        <v>4.5850000000000002E-2</v>
      </c>
      <c r="AA405" s="43">
        <v>4.5850000000000002E-2</v>
      </c>
      <c r="AB405" s="43">
        <v>4.5850000000000002E-2</v>
      </c>
      <c r="AC405" s="43">
        <v>4.5850000000000002E-2</v>
      </c>
      <c r="AD405" s="43">
        <v>4.5850000000000002E-2</v>
      </c>
      <c r="AE405" s="43">
        <v>4.5850000000000002E-2</v>
      </c>
      <c r="AF405" s="43">
        <v>4.5850000000000002E-2</v>
      </c>
      <c r="AG405" s="43">
        <v>4.5850000000000002E-2</v>
      </c>
      <c r="AH405" s="43">
        <v>4.5850000000000002E-2</v>
      </c>
      <c r="AI405" s="43">
        <v>4.5850000000000002E-2</v>
      </c>
      <c r="AJ405" s="43">
        <v>4.5850000000000002E-2</v>
      </c>
      <c r="AK405" s="43">
        <v>4.5850000000000002E-2</v>
      </c>
      <c r="AL405" s="43">
        <v>4.5850000000000002E-2</v>
      </c>
      <c r="AM405" s="43">
        <v>4.5850000000000002E-2</v>
      </c>
      <c r="AN405" s="43">
        <v>4.5850000000000002E-2</v>
      </c>
      <c r="AO405" s="43">
        <v>4.5850000000000002E-2</v>
      </c>
      <c r="AP405" s="43">
        <v>4.5850000000000002E-2</v>
      </c>
      <c r="AQ405" s="43">
        <v>4.5850000000000002E-2</v>
      </c>
      <c r="AR405" s="43">
        <v>4.5850000000000002E-2</v>
      </c>
      <c r="AS405" s="43">
        <v>4.5850000000000002E-2</v>
      </c>
      <c r="AT405" s="43">
        <v>4.5850000000000002E-2</v>
      </c>
      <c r="AU405" s="43">
        <v>4.5850000000000002E-2</v>
      </c>
      <c r="AV405" s="43">
        <v>4.5850000000000002E-2</v>
      </c>
      <c r="AW405" s="43">
        <v>4.5850000000000002E-2</v>
      </c>
      <c r="AX405" s="43">
        <v>4.5850000000000002E-2</v>
      </c>
      <c r="AY405" s="43">
        <v>4.5850000000000002E-2</v>
      </c>
      <c r="AZ405" s="43">
        <v>4.5850000000000002E-2</v>
      </c>
      <c r="BA405" s="43">
        <v>4.5850000000000002E-2</v>
      </c>
      <c r="BB405" s="43">
        <v>4.5850000000000002E-2</v>
      </c>
      <c r="BC405" s="43">
        <v>4.5850000000000002E-2</v>
      </c>
      <c r="BD405" s="43">
        <v>4.5850000000000002E-2</v>
      </c>
      <c r="BE405" s="43">
        <v>4.5850000000000002E-2</v>
      </c>
      <c r="BF405" s="43">
        <v>4.5850000000000002E-2</v>
      </c>
      <c r="BG405" s="43">
        <v>4.5850000000000002E-2</v>
      </c>
      <c r="BH405" s="43">
        <v>4.5850000000000002E-2</v>
      </c>
      <c r="BI405" s="43">
        <v>4.5850000000000002E-2</v>
      </c>
      <c r="BJ405" s="43">
        <v>4.5850000000000002E-2</v>
      </c>
      <c r="BK405" s="43">
        <v>4.5850000000000002E-2</v>
      </c>
      <c r="BL405" s="43">
        <v>4.5850000000000002E-2</v>
      </c>
      <c r="BM405" s="43">
        <v>4.5850000000000002E-2</v>
      </c>
      <c r="BN405" s="43">
        <v>4.5850000000000002E-2</v>
      </c>
      <c r="BO405" s="43">
        <v>4.5850000000000002E-2</v>
      </c>
      <c r="BP405" s="43">
        <v>4.5850000000000002E-2</v>
      </c>
      <c r="BQ405" s="43">
        <v>4.5850000000000002E-2</v>
      </c>
    </row>
    <row r="406" spans="1:69" s="44" customFormat="1" hidden="1" x14ac:dyDescent="0.25">
      <c r="A406" s="43">
        <v>40</v>
      </c>
      <c r="B406" s="43" t="s">
        <v>168</v>
      </c>
      <c r="C406" s="20" t="s">
        <v>169</v>
      </c>
      <c r="D406" s="43">
        <v>5</v>
      </c>
      <c r="E406" s="20" t="s">
        <v>494</v>
      </c>
      <c r="F406" s="43"/>
      <c r="G406" s="43" t="s">
        <v>500</v>
      </c>
      <c r="H406" s="43">
        <v>0</v>
      </c>
      <c r="I406" s="43">
        <v>5.6726305916000024E-2</v>
      </c>
      <c r="J406" s="43">
        <v>5.7773432617600005E-2</v>
      </c>
      <c r="K406" s="43">
        <v>6.2724576045600014E-2</v>
      </c>
      <c r="L406" s="43">
        <v>6.3161471525600019E-2</v>
      </c>
      <c r="M406" s="43">
        <v>6.6887275537600016E-2</v>
      </c>
      <c r="N406" s="43">
        <v>6.9220094193600021E-2</v>
      </c>
      <c r="O406" s="43">
        <v>7.2872946820800005E-2</v>
      </c>
      <c r="P406" s="43">
        <v>6.7779558352800015E-2</v>
      </c>
      <c r="Q406" s="43">
        <v>4.5850000000000002E-2</v>
      </c>
      <c r="R406" s="43">
        <v>4.5850000000000002E-2</v>
      </c>
      <c r="S406" s="43">
        <v>4.5850000000000002E-2</v>
      </c>
      <c r="T406" s="43">
        <v>6.8650000000000003E-2</v>
      </c>
      <c r="U406" s="43">
        <v>6.8650000000000003E-2</v>
      </c>
      <c r="V406" s="43">
        <v>6.8650000000000003E-2</v>
      </c>
      <c r="W406" s="43">
        <v>6.8650000000000003E-2</v>
      </c>
      <c r="X406" s="43">
        <v>6.8650000000000003E-2</v>
      </c>
      <c r="Y406" s="43">
        <v>6.8650000000000003E-2</v>
      </c>
      <c r="Z406" s="43">
        <v>6.8650000000000003E-2</v>
      </c>
      <c r="AA406" s="43">
        <v>6.8650000000000003E-2</v>
      </c>
      <c r="AB406" s="43">
        <v>6.8650000000000003E-2</v>
      </c>
      <c r="AC406" s="43">
        <v>6.8650000000000003E-2</v>
      </c>
      <c r="AD406" s="43">
        <v>6.8650000000000003E-2</v>
      </c>
      <c r="AE406" s="43">
        <v>6.8650000000000003E-2</v>
      </c>
      <c r="AF406" s="43">
        <v>6.8650000000000003E-2</v>
      </c>
      <c r="AG406" s="43">
        <v>6.8650000000000003E-2</v>
      </c>
      <c r="AH406" s="43">
        <v>6.8650000000000003E-2</v>
      </c>
      <c r="AI406" s="43">
        <v>6.8650000000000003E-2</v>
      </c>
      <c r="AJ406" s="43">
        <v>6.8650000000000003E-2</v>
      </c>
      <c r="AK406" s="43">
        <v>6.8650000000000003E-2</v>
      </c>
      <c r="AL406" s="43">
        <v>6.8650000000000003E-2</v>
      </c>
      <c r="AM406" s="43">
        <v>6.8650000000000003E-2</v>
      </c>
      <c r="AN406" s="43">
        <v>6.8650000000000003E-2</v>
      </c>
      <c r="AO406" s="43">
        <v>6.8650000000000003E-2</v>
      </c>
      <c r="AP406" s="43">
        <v>6.8650000000000003E-2</v>
      </c>
      <c r="AQ406" s="43">
        <v>6.8650000000000003E-2</v>
      </c>
      <c r="AR406" s="43">
        <v>6.8650000000000003E-2</v>
      </c>
      <c r="AS406" s="43">
        <v>6.8650000000000003E-2</v>
      </c>
      <c r="AT406" s="43">
        <v>6.8650000000000003E-2</v>
      </c>
      <c r="AU406" s="43">
        <v>6.8650000000000003E-2</v>
      </c>
      <c r="AV406" s="43">
        <v>6.8650000000000003E-2</v>
      </c>
      <c r="AW406" s="43">
        <v>6.8650000000000003E-2</v>
      </c>
      <c r="AX406" s="43">
        <v>6.8650000000000003E-2</v>
      </c>
      <c r="AY406" s="43">
        <v>6.8650000000000003E-2</v>
      </c>
      <c r="AZ406" s="43">
        <v>6.8650000000000003E-2</v>
      </c>
      <c r="BA406" s="43">
        <v>6.8650000000000003E-2</v>
      </c>
      <c r="BB406" s="43">
        <v>6.8650000000000003E-2</v>
      </c>
      <c r="BC406" s="43">
        <v>6.8650000000000003E-2</v>
      </c>
      <c r="BD406" s="43">
        <v>6.8650000000000003E-2</v>
      </c>
      <c r="BE406" s="43">
        <v>6.8650000000000003E-2</v>
      </c>
      <c r="BF406" s="43">
        <v>6.8650000000000003E-2</v>
      </c>
      <c r="BG406" s="43">
        <v>6.8650000000000003E-2</v>
      </c>
      <c r="BH406" s="43">
        <v>6.8650000000000003E-2</v>
      </c>
      <c r="BI406" s="43">
        <v>6.8650000000000003E-2</v>
      </c>
      <c r="BJ406" s="43">
        <v>6.8650000000000003E-2</v>
      </c>
      <c r="BK406" s="43">
        <v>6.8650000000000003E-2</v>
      </c>
      <c r="BL406" s="43">
        <v>6.8650000000000003E-2</v>
      </c>
      <c r="BM406" s="43">
        <v>6.8650000000000003E-2</v>
      </c>
      <c r="BN406" s="43">
        <v>6.8650000000000003E-2</v>
      </c>
      <c r="BO406" s="43">
        <v>6.8650000000000003E-2</v>
      </c>
      <c r="BP406" s="43">
        <v>6.8650000000000003E-2</v>
      </c>
      <c r="BQ406" s="43">
        <v>6.8650000000000003E-2</v>
      </c>
    </row>
    <row r="407" spans="1:69" s="44" customFormat="1" hidden="1" x14ac:dyDescent="0.25">
      <c r="A407" s="43">
        <v>40</v>
      </c>
      <c r="B407" s="43" t="s">
        <v>168</v>
      </c>
      <c r="C407" s="20" t="s">
        <v>169</v>
      </c>
      <c r="D407" s="43">
        <v>6</v>
      </c>
      <c r="E407" s="20" t="s">
        <v>495</v>
      </c>
      <c r="F407" s="43"/>
      <c r="G407" s="43" t="s">
        <v>490</v>
      </c>
      <c r="H407" s="43">
        <v>0</v>
      </c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</row>
    <row r="408" spans="1:69" s="44" customFormat="1" hidden="1" x14ac:dyDescent="0.25">
      <c r="A408" s="43">
        <v>40</v>
      </c>
      <c r="B408" s="43" t="s">
        <v>168</v>
      </c>
      <c r="C408" s="20" t="s">
        <v>169</v>
      </c>
      <c r="D408" s="43">
        <v>7</v>
      </c>
      <c r="E408" s="20" t="s">
        <v>496</v>
      </c>
      <c r="F408" s="43"/>
      <c r="G408" s="43" t="s">
        <v>500</v>
      </c>
      <c r="H408" s="43">
        <v>0</v>
      </c>
      <c r="I408" s="43">
        <v>0.71585264941902338</v>
      </c>
      <c r="J408" s="43">
        <v>0.61454004481345359</v>
      </c>
      <c r="K408" s="43">
        <v>0.69410914690234626</v>
      </c>
      <c r="L408" s="43">
        <v>0.79872030142530692</v>
      </c>
      <c r="M408" s="43">
        <v>0.83163848325396039</v>
      </c>
      <c r="N408" s="43">
        <v>0.82874383740808699</v>
      </c>
      <c r="O408" s="43">
        <v>0.73160490820819513</v>
      </c>
      <c r="P408" s="43">
        <v>0.49646542123991894</v>
      </c>
      <c r="Q408" s="43">
        <v>0.53010000000000002</v>
      </c>
      <c r="R408" s="43">
        <v>0.48280000000000001</v>
      </c>
      <c r="S408" s="43">
        <v>0.46179999999999999</v>
      </c>
      <c r="T408" s="43">
        <v>0.62470000000000003</v>
      </c>
      <c r="U408" s="43">
        <v>0.44385356786635954</v>
      </c>
      <c r="V408" s="43">
        <v>0.44385356786635954</v>
      </c>
      <c r="W408" s="43">
        <v>0.44385356786635954</v>
      </c>
      <c r="X408" s="43">
        <v>0.44385356786635954</v>
      </c>
      <c r="Y408" s="43">
        <v>0.44385356786635954</v>
      </c>
      <c r="Z408" s="43">
        <v>0.44385356786635954</v>
      </c>
      <c r="AA408" s="43">
        <v>0.44385356786635954</v>
      </c>
      <c r="AB408" s="43">
        <v>0.44385356786635954</v>
      </c>
      <c r="AC408" s="43">
        <v>0.44385356786635954</v>
      </c>
      <c r="AD408" s="43">
        <v>0.44385356786635954</v>
      </c>
      <c r="AE408" s="43">
        <v>0.44385356786635954</v>
      </c>
      <c r="AF408" s="43">
        <v>0.44385356786635954</v>
      </c>
      <c r="AG408" s="43">
        <v>0.44385356786635954</v>
      </c>
      <c r="AH408" s="43">
        <v>0.44385356786635954</v>
      </c>
      <c r="AI408" s="43">
        <v>0.44385356786635954</v>
      </c>
      <c r="AJ408" s="43">
        <v>0.44385356786635954</v>
      </c>
      <c r="AK408" s="43">
        <v>0.44385356786635954</v>
      </c>
      <c r="AL408" s="43">
        <v>0.44385356786635954</v>
      </c>
      <c r="AM408" s="43">
        <v>0.44385356786635954</v>
      </c>
      <c r="AN408" s="43">
        <v>0.44385356786635954</v>
      </c>
      <c r="AO408" s="43">
        <v>0.44385356786635954</v>
      </c>
      <c r="AP408" s="43">
        <v>0.44385356786635954</v>
      </c>
      <c r="AQ408" s="43">
        <v>0.44385356786635954</v>
      </c>
      <c r="AR408" s="43">
        <v>0.44385356786635954</v>
      </c>
      <c r="AS408" s="43">
        <v>0.44385356786635954</v>
      </c>
      <c r="AT408" s="43">
        <v>0.44385356786635954</v>
      </c>
      <c r="AU408" s="43">
        <v>0.44385356786635954</v>
      </c>
      <c r="AV408" s="43">
        <v>0.44385356786635954</v>
      </c>
      <c r="AW408" s="43">
        <v>0.44385356786635954</v>
      </c>
      <c r="AX408" s="43">
        <v>0.44385356786635954</v>
      </c>
      <c r="AY408" s="43">
        <v>0.44385356786635954</v>
      </c>
      <c r="AZ408" s="43">
        <v>0.44385356786635954</v>
      </c>
      <c r="BA408" s="43">
        <v>0.44385356786635954</v>
      </c>
      <c r="BB408" s="43">
        <v>0.44385356786635954</v>
      </c>
      <c r="BC408" s="43">
        <v>0.44385356786635954</v>
      </c>
      <c r="BD408" s="43">
        <v>0.44385356786635954</v>
      </c>
      <c r="BE408" s="43">
        <v>0.44385356786635954</v>
      </c>
      <c r="BF408" s="43">
        <v>0.44385356786635954</v>
      </c>
      <c r="BG408" s="43">
        <v>0.44385356786635954</v>
      </c>
      <c r="BH408" s="43">
        <v>0.44385356786635954</v>
      </c>
      <c r="BI408" s="43">
        <v>0.44385356786635954</v>
      </c>
      <c r="BJ408" s="43">
        <v>0.44385356786635954</v>
      </c>
      <c r="BK408" s="43">
        <v>0.44385356786635954</v>
      </c>
      <c r="BL408" s="43">
        <v>0.44385356786635954</v>
      </c>
      <c r="BM408" s="43">
        <v>0.44385356786635954</v>
      </c>
      <c r="BN408" s="43">
        <v>0.44385356786635954</v>
      </c>
      <c r="BO408" s="43">
        <v>0.44385356786635954</v>
      </c>
      <c r="BP408" s="43">
        <v>0.44385356786635954</v>
      </c>
      <c r="BQ408" s="43">
        <v>0.44385356786635954</v>
      </c>
    </row>
    <row r="409" spans="1:69" s="44" customFormat="1" hidden="1" x14ac:dyDescent="0.25">
      <c r="A409" s="43">
        <v>40</v>
      </c>
      <c r="B409" s="43" t="s">
        <v>168</v>
      </c>
      <c r="C409" s="20" t="s">
        <v>169</v>
      </c>
      <c r="D409" s="43">
        <v>8</v>
      </c>
      <c r="E409" s="20" t="s">
        <v>497</v>
      </c>
      <c r="F409" s="43"/>
      <c r="G409" s="43" t="s">
        <v>490</v>
      </c>
      <c r="H409" s="43">
        <v>0</v>
      </c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</row>
    <row r="410" spans="1:69" s="44" customFormat="1" hidden="1" x14ac:dyDescent="0.25">
      <c r="A410" s="43">
        <v>40</v>
      </c>
      <c r="B410" s="43" t="s">
        <v>168</v>
      </c>
      <c r="C410" s="20" t="s">
        <v>169</v>
      </c>
      <c r="D410" s="43">
        <v>9</v>
      </c>
      <c r="E410" s="20" t="s">
        <v>498</v>
      </c>
      <c r="F410" s="43"/>
      <c r="G410" s="43" t="s">
        <v>500</v>
      </c>
      <c r="H410" s="43">
        <v>0</v>
      </c>
      <c r="I410" s="43">
        <v>0.42549999999999999</v>
      </c>
      <c r="J410" s="43">
        <v>0.35859999999999997</v>
      </c>
      <c r="K410" s="43">
        <v>0.37309999999999999</v>
      </c>
      <c r="L410" s="43">
        <v>0.4264</v>
      </c>
      <c r="M410" s="43">
        <v>0.41920000000000002</v>
      </c>
      <c r="N410" s="43">
        <v>0.4037</v>
      </c>
      <c r="O410" s="43">
        <v>0.33850000000000002</v>
      </c>
      <c r="P410" s="43">
        <v>0.247</v>
      </c>
      <c r="Q410" s="43">
        <v>0.38979999999999998</v>
      </c>
      <c r="R410" s="43">
        <v>0.35499999999999998</v>
      </c>
      <c r="S410" s="43">
        <v>0.33960000000000001</v>
      </c>
      <c r="T410" s="43">
        <v>0.30680000000000002</v>
      </c>
      <c r="U410" s="43">
        <v>0.39</v>
      </c>
      <c r="V410" s="43">
        <v>0.39</v>
      </c>
      <c r="W410" s="43">
        <v>0.39</v>
      </c>
      <c r="X410" s="43">
        <v>0.39</v>
      </c>
      <c r="Y410" s="43">
        <v>0.39</v>
      </c>
      <c r="Z410" s="43">
        <v>0.39</v>
      </c>
      <c r="AA410" s="43">
        <v>0.39</v>
      </c>
      <c r="AB410" s="43">
        <v>0.39</v>
      </c>
      <c r="AC410" s="43">
        <v>0.39</v>
      </c>
      <c r="AD410" s="43">
        <v>0.39</v>
      </c>
      <c r="AE410" s="43">
        <v>0.39</v>
      </c>
      <c r="AF410" s="43">
        <v>0.39</v>
      </c>
      <c r="AG410" s="43">
        <v>0.39</v>
      </c>
      <c r="AH410" s="43">
        <v>0.39</v>
      </c>
      <c r="AI410" s="43">
        <v>0.39</v>
      </c>
      <c r="AJ410" s="43">
        <v>0.39</v>
      </c>
      <c r="AK410" s="43">
        <v>0.39</v>
      </c>
      <c r="AL410" s="43">
        <v>0.39</v>
      </c>
      <c r="AM410" s="43">
        <v>0.39</v>
      </c>
      <c r="AN410" s="43">
        <v>0.39</v>
      </c>
      <c r="AO410" s="43">
        <v>0.39</v>
      </c>
      <c r="AP410" s="43">
        <v>0.39</v>
      </c>
      <c r="AQ410" s="43">
        <v>0.39</v>
      </c>
      <c r="AR410" s="43">
        <v>0.39</v>
      </c>
      <c r="AS410" s="43">
        <v>0.39</v>
      </c>
      <c r="AT410" s="43">
        <v>0.39</v>
      </c>
      <c r="AU410" s="43">
        <v>0.39</v>
      </c>
      <c r="AV410" s="43">
        <v>0.39</v>
      </c>
      <c r="AW410" s="43">
        <v>0.39</v>
      </c>
      <c r="AX410" s="43">
        <v>0.39</v>
      </c>
      <c r="AY410" s="43">
        <v>0.39</v>
      </c>
      <c r="AZ410" s="43">
        <v>0.39</v>
      </c>
      <c r="BA410" s="43">
        <v>0.39</v>
      </c>
      <c r="BB410" s="43">
        <v>0.39</v>
      </c>
      <c r="BC410" s="43">
        <v>0.39</v>
      </c>
      <c r="BD410" s="43">
        <v>0.39</v>
      </c>
      <c r="BE410" s="43">
        <v>0.39</v>
      </c>
      <c r="BF410" s="43">
        <v>0.39</v>
      </c>
      <c r="BG410" s="43">
        <v>0.39</v>
      </c>
      <c r="BH410" s="43">
        <v>0.39</v>
      </c>
      <c r="BI410" s="43">
        <v>0.39</v>
      </c>
      <c r="BJ410" s="43">
        <v>0.39</v>
      </c>
      <c r="BK410" s="43">
        <v>0.39</v>
      </c>
      <c r="BL410" s="43">
        <v>0.39</v>
      </c>
      <c r="BM410" s="43">
        <v>0.39</v>
      </c>
      <c r="BN410" s="43">
        <v>0.39</v>
      </c>
      <c r="BO410" s="43">
        <v>0.39</v>
      </c>
      <c r="BP410" s="43">
        <v>0.39</v>
      </c>
      <c r="BQ410" s="43">
        <v>0.39</v>
      </c>
    </row>
    <row r="411" spans="1:69" s="44" customFormat="1" hidden="1" x14ac:dyDescent="0.25">
      <c r="A411" s="43">
        <v>40</v>
      </c>
      <c r="B411" s="43" t="s">
        <v>168</v>
      </c>
      <c r="C411" s="20" t="s">
        <v>169</v>
      </c>
      <c r="D411" s="43">
        <v>10</v>
      </c>
      <c r="E411" s="20" t="s">
        <v>499</v>
      </c>
      <c r="F411" s="43"/>
      <c r="G411" s="43" t="s">
        <v>501</v>
      </c>
      <c r="H411" s="43">
        <v>0</v>
      </c>
      <c r="I411" s="43">
        <v>0.95</v>
      </c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</row>
    <row r="412" spans="1:69" s="34" customFormat="1" hidden="1" x14ac:dyDescent="0.25">
      <c r="A412" s="33">
        <v>41</v>
      </c>
      <c r="B412" s="33" t="s">
        <v>170</v>
      </c>
      <c r="C412" s="36" t="s">
        <v>171</v>
      </c>
      <c r="D412" s="33">
        <v>1</v>
      </c>
      <c r="E412" s="36" t="s">
        <v>489</v>
      </c>
      <c r="F412" s="33"/>
      <c r="G412" s="33" t="s">
        <v>490</v>
      </c>
      <c r="H412" s="33">
        <v>0</v>
      </c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</row>
    <row r="413" spans="1:69" s="34" customFormat="1" hidden="1" x14ac:dyDescent="0.25">
      <c r="A413" s="33">
        <v>41</v>
      </c>
      <c r="B413" s="33" t="s">
        <v>170</v>
      </c>
      <c r="C413" s="36" t="s">
        <v>171</v>
      </c>
      <c r="D413" s="33">
        <v>2</v>
      </c>
      <c r="E413" s="36" t="s">
        <v>491</v>
      </c>
      <c r="F413" s="33"/>
      <c r="G413" s="33" t="s">
        <v>490</v>
      </c>
      <c r="H413" s="33">
        <v>0</v>
      </c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</row>
    <row r="414" spans="1:69" s="34" customFormat="1" hidden="1" x14ac:dyDescent="0.25">
      <c r="A414" s="33">
        <v>41</v>
      </c>
      <c r="B414" s="33" t="s">
        <v>170</v>
      </c>
      <c r="C414" s="36" t="s">
        <v>171</v>
      </c>
      <c r="D414" s="33">
        <v>3</v>
      </c>
      <c r="E414" s="36" t="s">
        <v>492</v>
      </c>
      <c r="F414" s="33"/>
      <c r="G414" s="33" t="s">
        <v>490</v>
      </c>
      <c r="H414" s="33">
        <v>0</v>
      </c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</row>
    <row r="415" spans="1:69" s="34" customFormat="1" hidden="1" x14ac:dyDescent="0.25">
      <c r="A415" s="33">
        <v>41</v>
      </c>
      <c r="B415" s="33" t="s">
        <v>170</v>
      </c>
      <c r="C415" s="36" t="s">
        <v>171</v>
      </c>
      <c r="D415" s="33">
        <v>4</v>
      </c>
      <c r="E415" s="36" t="s">
        <v>493</v>
      </c>
      <c r="F415" s="33"/>
      <c r="G415" s="33" t="s">
        <v>490</v>
      </c>
      <c r="H415" s="33">
        <v>0</v>
      </c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</row>
    <row r="416" spans="1:69" s="34" customFormat="1" hidden="1" x14ac:dyDescent="0.25">
      <c r="A416" s="33">
        <v>41</v>
      </c>
      <c r="B416" s="33" t="s">
        <v>170</v>
      </c>
      <c r="C416" s="36" t="s">
        <v>171</v>
      </c>
      <c r="D416" s="33">
        <v>5</v>
      </c>
      <c r="E416" s="36" t="s">
        <v>494</v>
      </c>
      <c r="F416" s="33"/>
      <c r="G416" s="33" t="s">
        <v>490</v>
      </c>
      <c r="H416" s="33">
        <v>0</v>
      </c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</row>
    <row r="417" spans="1:69" s="34" customFormat="1" hidden="1" x14ac:dyDescent="0.25">
      <c r="A417" s="33">
        <v>41</v>
      </c>
      <c r="B417" s="33" t="s">
        <v>170</v>
      </c>
      <c r="C417" s="36" t="s">
        <v>171</v>
      </c>
      <c r="D417" s="33">
        <v>6</v>
      </c>
      <c r="E417" s="36" t="s">
        <v>495</v>
      </c>
      <c r="F417" s="33"/>
      <c r="G417" s="33" t="s">
        <v>490</v>
      </c>
      <c r="H417" s="33">
        <v>0</v>
      </c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</row>
    <row r="418" spans="1:69" s="34" customFormat="1" hidden="1" x14ac:dyDescent="0.25">
      <c r="A418" s="33">
        <v>41</v>
      </c>
      <c r="B418" s="33" t="s">
        <v>170</v>
      </c>
      <c r="C418" s="36" t="s">
        <v>171</v>
      </c>
      <c r="D418" s="33">
        <v>7</v>
      </c>
      <c r="E418" s="36" t="s">
        <v>496</v>
      </c>
      <c r="F418" s="33"/>
      <c r="G418" s="33" t="s">
        <v>490</v>
      </c>
      <c r="H418" s="33">
        <v>0</v>
      </c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</row>
    <row r="419" spans="1:69" s="34" customFormat="1" hidden="1" x14ac:dyDescent="0.25">
      <c r="A419" s="33">
        <v>41</v>
      </c>
      <c r="B419" s="33" t="s">
        <v>170</v>
      </c>
      <c r="C419" s="36" t="s">
        <v>171</v>
      </c>
      <c r="D419" s="33">
        <v>8</v>
      </c>
      <c r="E419" s="36" t="s">
        <v>497</v>
      </c>
      <c r="F419" s="33"/>
      <c r="G419" s="33" t="s">
        <v>490</v>
      </c>
      <c r="H419" s="33">
        <v>0</v>
      </c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</row>
    <row r="420" spans="1:69" s="34" customFormat="1" hidden="1" x14ac:dyDescent="0.25">
      <c r="A420" s="33">
        <v>41</v>
      </c>
      <c r="B420" s="33" t="s">
        <v>170</v>
      </c>
      <c r="C420" s="36" t="s">
        <v>171</v>
      </c>
      <c r="D420" s="33">
        <v>9</v>
      </c>
      <c r="E420" s="36" t="s">
        <v>498</v>
      </c>
      <c r="F420" s="33"/>
      <c r="G420" s="33" t="s">
        <v>490</v>
      </c>
      <c r="H420" s="33">
        <v>0</v>
      </c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</row>
    <row r="421" spans="1:69" s="34" customFormat="1" hidden="1" x14ac:dyDescent="0.25">
      <c r="A421" s="33">
        <v>41</v>
      </c>
      <c r="B421" s="33" t="s">
        <v>170</v>
      </c>
      <c r="C421" s="36" t="s">
        <v>171</v>
      </c>
      <c r="D421" s="33">
        <v>10</v>
      </c>
      <c r="E421" s="36" t="s">
        <v>499</v>
      </c>
      <c r="F421" s="33"/>
      <c r="G421" s="33" t="s">
        <v>490</v>
      </c>
      <c r="H421" s="33">
        <v>0</v>
      </c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</row>
    <row r="422" spans="1:69" s="44" customFormat="1" hidden="1" x14ac:dyDescent="0.25">
      <c r="A422" s="43">
        <v>42</v>
      </c>
      <c r="B422" s="43" t="s">
        <v>173</v>
      </c>
      <c r="C422" s="20" t="s">
        <v>174</v>
      </c>
      <c r="D422" s="43">
        <v>1</v>
      </c>
      <c r="E422" s="20" t="s">
        <v>489</v>
      </c>
      <c r="F422" s="43"/>
      <c r="G422" s="43" t="s">
        <v>490</v>
      </c>
      <c r="H422" s="43">
        <v>0</v>
      </c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</row>
    <row r="423" spans="1:69" s="44" customFormat="1" hidden="1" x14ac:dyDescent="0.25">
      <c r="A423" s="43">
        <v>42</v>
      </c>
      <c r="B423" s="43" t="s">
        <v>173</v>
      </c>
      <c r="C423" s="20" t="s">
        <v>174</v>
      </c>
      <c r="D423" s="43">
        <v>2</v>
      </c>
      <c r="E423" s="20" t="s">
        <v>491</v>
      </c>
      <c r="F423" s="43"/>
      <c r="G423" s="43" t="s">
        <v>490</v>
      </c>
      <c r="H423" s="43">
        <v>0</v>
      </c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</row>
    <row r="424" spans="1:69" s="44" customFormat="1" hidden="1" x14ac:dyDescent="0.25">
      <c r="A424" s="43">
        <v>42</v>
      </c>
      <c r="B424" s="43" t="s">
        <v>173</v>
      </c>
      <c r="C424" s="20" t="s">
        <v>174</v>
      </c>
      <c r="D424" s="43">
        <v>3</v>
      </c>
      <c r="E424" s="20" t="s">
        <v>492</v>
      </c>
      <c r="F424" s="43"/>
      <c r="G424" s="43" t="s">
        <v>490</v>
      </c>
      <c r="H424" s="43">
        <v>0</v>
      </c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</row>
    <row r="425" spans="1:69" s="44" customFormat="1" hidden="1" x14ac:dyDescent="0.25">
      <c r="A425" s="43">
        <v>42</v>
      </c>
      <c r="B425" s="43" t="s">
        <v>173</v>
      </c>
      <c r="C425" s="20" t="s">
        <v>174</v>
      </c>
      <c r="D425" s="43">
        <v>4</v>
      </c>
      <c r="E425" s="20" t="s">
        <v>493</v>
      </c>
      <c r="F425" s="43"/>
      <c r="G425" s="43" t="s">
        <v>490</v>
      </c>
      <c r="H425" s="43">
        <v>0</v>
      </c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</row>
    <row r="426" spans="1:69" s="44" customFormat="1" hidden="1" x14ac:dyDescent="0.25">
      <c r="A426" s="43">
        <v>42</v>
      </c>
      <c r="B426" s="43" t="s">
        <v>173</v>
      </c>
      <c r="C426" s="20" t="s">
        <v>174</v>
      </c>
      <c r="D426" s="43">
        <v>5</v>
      </c>
      <c r="E426" s="20" t="s">
        <v>494</v>
      </c>
      <c r="F426" s="43"/>
      <c r="G426" s="43" t="s">
        <v>490</v>
      </c>
      <c r="H426" s="43">
        <v>0</v>
      </c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</row>
    <row r="427" spans="1:69" s="44" customFormat="1" hidden="1" x14ac:dyDescent="0.25">
      <c r="A427" s="43">
        <v>42</v>
      </c>
      <c r="B427" s="43" t="s">
        <v>173</v>
      </c>
      <c r="C427" s="20" t="s">
        <v>174</v>
      </c>
      <c r="D427" s="43">
        <v>6</v>
      </c>
      <c r="E427" s="20" t="s">
        <v>495</v>
      </c>
      <c r="F427" s="43"/>
      <c r="G427" s="43" t="s">
        <v>490</v>
      </c>
      <c r="H427" s="43">
        <v>0</v>
      </c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</row>
    <row r="428" spans="1:69" s="44" customFormat="1" hidden="1" x14ac:dyDescent="0.25">
      <c r="A428" s="43">
        <v>42</v>
      </c>
      <c r="B428" s="43" t="s">
        <v>173</v>
      </c>
      <c r="C428" s="20" t="s">
        <v>174</v>
      </c>
      <c r="D428" s="43">
        <v>7</v>
      </c>
      <c r="E428" s="20" t="s">
        <v>496</v>
      </c>
      <c r="F428" s="43"/>
      <c r="G428" s="43" t="s">
        <v>490</v>
      </c>
      <c r="H428" s="43">
        <v>0</v>
      </c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</row>
    <row r="429" spans="1:69" s="44" customFormat="1" hidden="1" x14ac:dyDescent="0.25">
      <c r="A429" s="43">
        <v>42</v>
      </c>
      <c r="B429" s="43" t="s">
        <v>173</v>
      </c>
      <c r="C429" s="20" t="s">
        <v>174</v>
      </c>
      <c r="D429" s="43">
        <v>8</v>
      </c>
      <c r="E429" s="20" t="s">
        <v>497</v>
      </c>
      <c r="F429" s="43"/>
      <c r="G429" s="43" t="s">
        <v>490</v>
      </c>
      <c r="H429" s="43">
        <v>0</v>
      </c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</row>
    <row r="430" spans="1:69" s="44" customFormat="1" hidden="1" x14ac:dyDescent="0.25">
      <c r="A430" s="43">
        <v>42</v>
      </c>
      <c r="B430" s="43" t="s">
        <v>173</v>
      </c>
      <c r="C430" s="20" t="s">
        <v>174</v>
      </c>
      <c r="D430" s="43">
        <v>9</v>
      </c>
      <c r="E430" s="20" t="s">
        <v>498</v>
      </c>
      <c r="F430" s="43"/>
      <c r="G430" s="43" t="s">
        <v>490</v>
      </c>
      <c r="H430" s="43">
        <v>0</v>
      </c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</row>
    <row r="431" spans="1:69" s="44" customFormat="1" hidden="1" x14ac:dyDescent="0.25">
      <c r="A431" s="43">
        <v>42</v>
      </c>
      <c r="B431" s="43" t="s">
        <v>173</v>
      </c>
      <c r="C431" s="20" t="s">
        <v>174</v>
      </c>
      <c r="D431" s="43">
        <v>10</v>
      </c>
      <c r="E431" s="20" t="s">
        <v>499</v>
      </c>
      <c r="F431" s="43"/>
      <c r="G431" s="43" t="s">
        <v>490</v>
      </c>
      <c r="H431" s="43">
        <v>0</v>
      </c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</row>
    <row r="432" spans="1:69" s="34" customFormat="1" hidden="1" x14ac:dyDescent="0.25">
      <c r="A432" s="33">
        <v>43</v>
      </c>
      <c r="B432" s="33" t="s">
        <v>175</v>
      </c>
      <c r="C432" s="36" t="s">
        <v>176</v>
      </c>
      <c r="D432" s="33">
        <v>1</v>
      </c>
      <c r="E432" s="36" t="s">
        <v>489</v>
      </c>
      <c r="F432" s="33"/>
      <c r="G432" s="33" t="s">
        <v>490</v>
      </c>
      <c r="H432" s="33">
        <v>0</v>
      </c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</row>
    <row r="433" spans="1:69" s="34" customFormat="1" hidden="1" x14ac:dyDescent="0.25">
      <c r="A433" s="33">
        <v>43</v>
      </c>
      <c r="B433" s="33" t="s">
        <v>175</v>
      </c>
      <c r="C433" s="36" t="s">
        <v>176</v>
      </c>
      <c r="D433" s="33">
        <v>2</v>
      </c>
      <c r="E433" s="36" t="s">
        <v>491</v>
      </c>
      <c r="F433" s="33"/>
      <c r="G433" s="33" t="s">
        <v>490</v>
      </c>
      <c r="H433" s="33">
        <v>0</v>
      </c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</row>
    <row r="434" spans="1:69" s="34" customFormat="1" hidden="1" x14ac:dyDescent="0.25">
      <c r="A434" s="33">
        <v>43</v>
      </c>
      <c r="B434" s="33" t="s">
        <v>175</v>
      </c>
      <c r="C434" s="36" t="s">
        <v>176</v>
      </c>
      <c r="D434" s="33">
        <v>3</v>
      </c>
      <c r="E434" s="36" t="s">
        <v>492</v>
      </c>
      <c r="F434" s="33"/>
      <c r="G434" s="33" t="s">
        <v>490</v>
      </c>
      <c r="H434" s="33">
        <v>0</v>
      </c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</row>
    <row r="435" spans="1:69" s="34" customFormat="1" hidden="1" x14ac:dyDescent="0.25">
      <c r="A435" s="33">
        <v>43</v>
      </c>
      <c r="B435" s="33" t="s">
        <v>175</v>
      </c>
      <c r="C435" s="36" t="s">
        <v>176</v>
      </c>
      <c r="D435" s="33">
        <v>4</v>
      </c>
      <c r="E435" s="36" t="s">
        <v>493</v>
      </c>
      <c r="F435" s="33"/>
      <c r="G435" s="33" t="s">
        <v>490</v>
      </c>
      <c r="H435" s="33">
        <v>0</v>
      </c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</row>
    <row r="436" spans="1:69" s="34" customFormat="1" hidden="1" x14ac:dyDescent="0.25">
      <c r="A436" s="33">
        <v>43</v>
      </c>
      <c r="B436" s="33" t="s">
        <v>175</v>
      </c>
      <c r="C436" s="36" t="s">
        <v>176</v>
      </c>
      <c r="D436" s="33">
        <v>5</v>
      </c>
      <c r="E436" s="36" t="s">
        <v>494</v>
      </c>
      <c r="F436" s="33"/>
      <c r="G436" s="33" t="s">
        <v>490</v>
      </c>
      <c r="H436" s="33">
        <v>0</v>
      </c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</row>
    <row r="437" spans="1:69" s="34" customFormat="1" hidden="1" x14ac:dyDescent="0.25">
      <c r="A437" s="33">
        <v>43</v>
      </c>
      <c r="B437" s="33" t="s">
        <v>175</v>
      </c>
      <c r="C437" s="36" t="s">
        <v>176</v>
      </c>
      <c r="D437" s="33">
        <v>6</v>
      </c>
      <c r="E437" s="36" t="s">
        <v>495</v>
      </c>
      <c r="F437" s="33"/>
      <c r="G437" s="33" t="s">
        <v>490</v>
      </c>
      <c r="H437" s="33">
        <v>0</v>
      </c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</row>
    <row r="438" spans="1:69" s="34" customFormat="1" hidden="1" x14ac:dyDescent="0.25">
      <c r="A438" s="33">
        <v>43</v>
      </c>
      <c r="B438" s="33" t="s">
        <v>175</v>
      </c>
      <c r="C438" s="36" t="s">
        <v>176</v>
      </c>
      <c r="D438" s="33">
        <v>7</v>
      </c>
      <c r="E438" s="36" t="s">
        <v>496</v>
      </c>
      <c r="F438" s="33"/>
      <c r="G438" s="33" t="s">
        <v>490</v>
      </c>
      <c r="H438" s="33">
        <v>0</v>
      </c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</row>
    <row r="439" spans="1:69" s="34" customFormat="1" hidden="1" x14ac:dyDescent="0.25">
      <c r="A439" s="33">
        <v>43</v>
      </c>
      <c r="B439" s="33" t="s">
        <v>175</v>
      </c>
      <c r="C439" s="36" t="s">
        <v>176</v>
      </c>
      <c r="D439" s="33">
        <v>8</v>
      </c>
      <c r="E439" s="36" t="s">
        <v>497</v>
      </c>
      <c r="F439" s="33"/>
      <c r="G439" s="33" t="s">
        <v>490</v>
      </c>
      <c r="H439" s="33">
        <v>0</v>
      </c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</row>
    <row r="440" spans="1:69" s="34" customFormat="1" hidden="1" x14ac:dyDescent="0.25">
      <c r="A440" s="33">
        <v>43</v>
      </c>
      <c r="B440" s="33" t="s">
        <v>175</v>
      </c>
      <c r="C440" s="36" t="s">
        <v>176</v>
      </c>
      <c r="D440" s="33">
        <v>9</v>
      </c>
      <c r="E440" s="36" t="s">
        <v>498</v>
      </c>
      <c r="F440" s="33"/>
      <c r="G440" s="33" t="s">
        <v>490</v>
      </c>
      <c r="H440" s="33">
        <v>0</v>
      </c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</row>
    <row r="441" spans="1:69" s="34" customFormat="1" hidden="1" x14ac:dyDescent="0.25">
      <c r="A441" s="33">
        <v>43</v>
      </c>
      <c r="B441" s="33" t="s">
        <v>175</v>
      </c>
      <c r="C441" s="36" t="s">
        <v>176</v>
      </c>
      <c r="D441" s="33">
        <v>10</v>
      </c>
      <c r="E441" s="36" t="s">
        <v>499</v>
      </c>
      <c r="F441" s="33"/>
      <c r="G441" s="33" t="s">
        <v>490</v>
      </c>
      <c r="H441" s="33">
        <v>0</v>
      </c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</row>
    <row r="442" spans="1:69" s="44" customFormat="1" hidden="1" x14ac:dyDescent="0.25">
      <c r="A442" s="43">
        <v>44</v>
      </c>
      <c r="B442" s="43" t="s">
        <v>177</v>
      </c>
      <c r="C442" s="20" t="s">
        <v>178</v>
      </c>
      <c r="D442" s="43">
        <v>1</v>
      </c>
      <c r="E442" s="20" t="s">
        <v>489</v>
      </c>
      <c r="F442" s="43"/>
      <c r="G442" s="43" t="s">
        <v>490</v>
      </c>
      <c r="H442" s="43">
        <v>0</v>
      </c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</row>
    <row r="443" spans="1:69" s="44" customFormat="1" hidden="1" x14ac:dyDescent="0.25">
      <c r="A443" s="43">
        <v>44</v>
      </c>
      <c r="B443" s="43" t="s">
        <v>177</v>
      </c>
      <c r="C443" s="20" t="s">
        <v>178</v>
      </c>
      <c r="D443" s="43">
        <v>2</v>
      </c>
      <c r="E443" s="20" t="s">
        <v>491</v>
      </c>
      <c r="F443" s="43"/>
      <c r="G443" s="43" t="s">
        <v>490</v>
      </c>
      <c r="H443" s="43">
        <v>0</v>
      </c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</row>
    <row r="444" spans="1:69" s="44" customFormat="1" hidden="1" x14ac:dyDescent="0.25">
      <c r="A444" s="43">
        <v>44</v>
      </c>
      <c r="B444" s="43" t="s">
        <v>177</v>
      </c>
      <c r="C444" s="20" t="s">
        <v>178</v>
      </c>
      <c r="D444" s="43">
        <v>3</v>
      </c>
      <c r="E444" s="20" t="s">
        <v>492</v>
      </c>
      <c r="F444" s="43"/>
      <c r="G444" s="43" t="s">
        <v>490</v>
      </c>
      <c r="H444" s="43">
        <v>0</v>
      </c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</row>
    <row r="445" spans="1:69" s="44" customFormat="1" hidden="1" x14ac:dyDescent="0.25">
      <c r="A445" s="43">
        <v>44</v>
      </c>
      <c r="B445" s="43" t="s">
        <v>177</v>
      </c>
      <c r="C445" s="20" t="s">
        <v>178</v>
      </c>
      <c r="D445" s="43">
        <v>4</v>
      </c>
      <c r="E445" s="20" t="s">
        <v>493</v>
      </c>
      <c r="F445" s="43"/>
      <c r="G445" s="43" t="s">
        <v>490</v>
      </c>
      <c r="H445" s="43">
        <v>0</v>
      </c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</row>
    <row r="446" spans="1:69" s="44" customFormat="1" hidden="1" x14ac:dyDescent="0.25">
      <c r="A446" s="43">
        <v>44</v>
      </c>
      <c r="B446" s="43" t="s">
        <v>177</v>
      </c>
      <c r="C446" s="20" t="s">
        <v>178</v>
      </c>
      <c r="D446" s="43">
        <v>5</v>
      </c>
      <c r="E446" s="20" t="s">
        <v>494</v>
      </c>
      <c r="F446" s="43"/>
      <c r="G446" s="43" t="s">
        <v>490</v>
      </c>
      <c r="H446" s="43">
        <v>0</v>
      </c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</row>
    <row r="447" spans="1:69" s="44" customFormat="1" hidden="1" x14ac:dyDescent="0.25">
      <c r="A447" s="43">
        <v>44</v>
      </c>
      <c r="B447" s="43" t="s">
        <v>177</v>
      </c>
      <c r="C447" s="20" t="s">
        <v>178</v>
      </c>
      <c r="D447" s="43">
        <v>6</v>
      </c>
      <c r="E447" s="20" t="s">
        <v>495</v>
      </c>
      <c r="F447" s="43"/>
      <c r="G447" s="43" t="s">
        <v>490</v>
      </c>
      <c r="H447" s="43">
        <v>0</v>
      </c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</row>
    <row r="448" spans="1:69" s="44" customFormat="1" hidden="1" x14ac:dyDescent="0.25">
      <c r="A448" s="43">
        <v>44</v>
      </c>
      <c r="B448" s="43" t="s">
        <v>177</v>
      </c>
      <c r="C448" s="20" t="s">
        <v>178</v>
      </c>
      <c r="D448" s="43">
        <v>7</v>
      </c>
      <c r="E448" s="20" t="s">
        <v>496</v>
      </c>
      <c r="F448" s="43"/>
      <c r="G448" s="43" t="s">
        <v>490</v>
      </c>
      <c r="H448" s="43">
        <v>0</v>
      </c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</row>
    <row r="449" spans="1:69" s="44" customFormat="1" hidden="1" x14ac:dyDescent="0.25">
      <c r="A449" s="43">
        <v>44</v>
      </c>
      <c r="B449" s="43" t="s">
        <v>177</v>
      </c>
      <c r="C449" s="20" t="s">
        <v>178</v>
      </c>
      <c r="D449" s="43">
        <v>8</v>
      </c>
      <c r="E449" s="20" t="s">
        <v>497</v>
      </c>
      <c r="F449" s="43"/>
      <c r="G449" s="43" t="s">
        <v>490</v>
      </c>
      <c r="H449" s="43">
        <v>0</v>
      </c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</row>
    <row r="450" spans="1:69" s="44" customFormat="1" hidden="1" x14ac:dyDescent="0.25">
      <c r="A450" s="43">
        <v>44</v>
      </c>
      <c r="B450" s="43" t="s">
        <v>177</v>
      </c>
      <c r="C450" s="20" t="s">
        <v>178</v>
      </c>
      <c r="D450" s="43">
        <v>9</v>
      </c>
      <c r="E450" s="20" t="s">
        <v>498</v>
      </c>
      <c r="F450" s="43"/>
      <c r="G450" s="43" t="s">
        <v>490</v>
      </c>
      <c r="H450" s="43">
        <v>0</v>
      </c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</row>
    <row r="451" spans="1:69" s="44" customFormat="1" hidden="1" x14ac:dyDescent="0.25">
      <c r="A451" s="43">
        <v>44</v>
      </c>
      <c r="B451" s="43" t="s">
        <v>177</v>
      </c>
      <c r="C451" s="20" t="s">
        <v>178</v>
      </c>
      <c r="D451" s="43">
        <v>10</v>
      </c>
      <c r="E451" s="20" t="s">
        <v>499</v>
      </c>
      <c r="F451" s="43"/>
      <c r="G451" s="43" t="s">
        <v>490</v>
      </c>
      <c r="H451" s="43">
        <v>0</v>
      </c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</row>
    <row r="452" spans="1:69" s="34" customFormat="1" hidden="1" x14ac:dyDescent="0.25">
      <c r="A452" s="33">
        <v>45</v>
      </c>
      <c r="B452" s="33" t="s">
        <v>179</v>
      </c>
      <c r="C452" s="36" t="s">
        <v>180</v>
      </c>
      <c r="D452" s="33">
        <v>1</v>
      </c>
      <c r="E452" s="36" t="s">
        <v>489</v>
      </c>
      <c r="F452" s="33"/>
      <c r="G452" s="33" t="s">
        <v>500</v>
      </c>
      <c r="H452" s="33">
        <v>0</v>
      </c>
      <c r="I452" s="33">
        <v>35.32</v>
      </c>
      <c r="J452" s="33">
        <v>35.32</v>
      </c>
      <c r="K452" s="33">
        <v>35.32</v>
      </c>
      <c r="L452" s="33">
        <v>35.32</v>
      </c>
      <c r="M452" s="33">
        <v>35.32</v>
      </c>
      <c r="N452" s="33">
        <v>35.32</v>
      </c>
      <c r="O452" s="33">
        <v>35.32</v>
      </c>
      <c r="P452" s="33">
        <v>35.32</v>
      </c>
      <c r="Q452" s="33">
        <v>35.32</v>
      </c>
      <c r="R452" s="33">
        <v>35.32</v>
      </c>
      <c r="S452" s="33">
        <v>34.340000000000003</v>
      </c>
      <c r="T452" s="33">
        <v>34.340000000000003</v>
      </c>
      <c r="U452" s="33">
        <v>34.340000000000003</v>
      </c>
      <c r="V452" s="33">
        <v>34.340000000000003</v>
      </c>
      <c r="W452" s="33">
        <v>34.340000000000003</v>
      </c>
      <c r="X452" s="33">
        <v>33.770000000000003</v>
      </c>
      <c r="Y452" s="33">
        <v>33.770000000000003</v>
      </c>
      <c r="Z452" s="33">
        <v>33.770000000000003</v>
      </c>
      <c r="AA452" s="33">
        <v>33.770000000000003</v>
      </c>
      <c r="AB452" s="33">
        <v>33.770000000000003</v>
      </c>
      <c r="AC452" s="33">
        <v>23.37</v>
      </c>
      <c r="AD452" s="33">
        <v>23.37</v>
      </c>
      <c r="AE452" s="33">
        <v>23.37</v>
      </c>
      <c r="AF452" s="33">
        <v>23.37</v>
      </c>
      <c r="AG452" s="33">
        <v>23.37</v>
      </c>
      <c r="AH452" s="33">
        <v>23.37</v>
      </c>
      <c r="AI452" s="33">
        <v>23.37</v>
      </c>
      <c r="AJ452" s="33">
        <v>23.37</v>
      </c>
      <c r="AK452" s="33">
        <v>23.37</v>
      </c>
      <c r="AL452" s="33">
        <v>23.37</v>
      </c>
      <c r="AM452" s="33">
        <v>23.37</v>
      </c>
      <c r="AN452" s="33">
        <v>23.37</v>
      </c>
      <c r="AO452" s="33">
        <v>23.37</v>
      </c>
      <c r="AP452" s="33">
        <v>23.37</v>
      </c>
      <c r="AQ452" s="33">
        <v>23.37</v>
      </c>
      <c r="AR452" s="33">
        <v>23.37</v>
      </c>
      <c r="AS452" s="33">
        <v>23.37</v>
      </c>
      <c r="AT452" s="33">
        <v>23.37</v>
      </c>
      <c r="AU452" s="33">
        <v>23.37</v>
      </c>
      <c r="AV452" s="33">
        <v>23.37</v>
      </c>
      <c r="AW452" s="33">
        <v>23.37</v>
      </c>
      <c r="AX452" s="33">
        <v>23.37</v>
      </c>
      <c r="AY452" s="33">
        <v>23.37</v>
      </c>
      <c r="AZ452" s="33">
        <v>23.37</v>
      </c>
      <c r="BA452" s="33">
        <v>23.37</v>
      </c>
      <c r="BB452" s="33">
        <v>23.37</v>
      </c>
      <c r="BC452" s="33">
        <v>23.37</v>
      </c>
      <c r="BD452" s="33">
        <v>23.37</v>
      </c>
      <c r="BE452" s="33">
        <v>23.37</v>
      </c>
      <c r="BF452" s="33">
        <v>23.37</v>
      </c>
      <c r="BG452" s="33">
        <v>23.37</v>
      </c>
      <c r="BH452" s="33">
        <v>23.37</v>
      </c>
      <c r="BI452" s="33">
        <v>23.37</v>
      </c>
      <c r="BJ452" s="33">
        <v>23.37</v>
      </c>
      <c r="BK452" s="33">
        <v>23.37</v>
      </c>
      <c r="BL452" s="33">
        <v>23.37</v>
      </c>
      <c r="BM452" s="33">
        <v>23.37</v>
      </c>
      <c r="BN452" s="33">
        <v>23.37</v>
      </c>
      <c r="BO452" s="33">
        <v>23.37</v>
      </c>
      <c r="BP452" s="33">
        <v>23.37</v>
      </c>
      <c r="BQ452" s="33">
        <v>23.37</v>
      </c>
    </row>
    <row r="453" spans="1:69" s="34" customFormat="1" hidden="1" x14ac:dyDescent="0.25">
      <c r="A453" s="33">
        <v>45</v>
      </c>
      <c r="B453" s="33" t="s">
        <v>179</v>
      </c>
      <c r="C453" s="36" t="s">
        <v>180</v>
      </c>
      <c r="D453" s="33">
        <v>2</v>
      </c>
      <c r="E453" s="36" t="s">
        <v>491</v>
      </c>
      <c r="F453" s="33"/>
      <c r="G453" s="33" t="s">
        <v>500</v>
      </c>
      <c r="H453" s="33">
        <v>0</v>
      </c>
      <c r="I453" s="33">
        <v>1.27</v>
      </c>
      <c r="J453" s="33">
        <v>1.27</v>
      </c>
      <c r="K453" s="33">
        <v>1.27</v>
      </c>
      <c r="L453" s="33">
        <v>1.27</v>
      </c>
      <c r="M453" s="33">
        <v>1.27</v>
      </c>
      <c r="N453" s="33">
        <v>1.27</v>
      </c>
      <c r="O453" s="33">
        <v>1.27</v>
      </c>
      <c r="P453" s="33">
        <v>1.27</v>
      </c>
      <c r="Q453" s="33">
        <v>1.27</v>
      </c>
      <c r="R453" s="33">
        <v>1.27</v>
      </c>
      <c r="S453" s="33">
        <v>1.27</v>
      </c>
      <c r="T453" s="33">
        <v>1.27</v>
      </c>
      <c r="U453" s="33">
        <v>1.27</v>
      </c>
      <c r="V453" s="33">
        <v>1.27</v>
      </c>
      <c r="W453" s="33">
        <v>1.27</v>
      </c>
      <c r="X453" s="33">
        <v>1.27</v>
      </c>
      <c r="Y453" s="33">
        <v>1.27</v>
      </c>
      <c r="Z453" s="33">
        <v>1.27</v>
      </c>
      <c r="AA453" s="33">
        <v>1.27</v>
      </c>
      <c r="AB453" s="33">
        <v>1.27</v>
      </c>
      <c r="AC453" s="33">
        <v>1.27</v>
      </c>
      <c r="AD453" s="33">
        <v>1.27</v>
      </c>
      <c r="AE453" s="33">
        <v>1.27</v>
      </c>
      <c r="AF453" s="33">
        <v>1.27</v>
      </c>
      <c r="AG453" s="33">
        <v>1.27</v>
      </c>
      <c r="AH453" s="33">
        <v>1.27</v>
      </c>
      <c r="AI453" s="33">
        <v>1.27</v>
      </c>
      <c r="AJ453" s="33">
        <v>1.27</v>
      </c>
      <c r="AK453" s="33">
        <v>1.27</v>
      </c>
      <c r="AL453" s="33">
        <v>1.27</v>
      </c>
      <c r="AM453" s="33">
        <v>1.27</v>
      </c>
      <c r="AN453" s="33">
        <v>1.27</v>
      </c>
      <c r="AO453" s="33">
        <v>1.27</v>
      </c>
      <c r="AP453" s="33">
        <v>1.27</v>
      </c>
      <c r="AQ453" s="33">
        <v>1.27</v>
      </c>
      <c r="AR453" s="33">
        <v>1.27</v>
      </c>
      <c r="AS453" s="33">
        <v>1.27</v>
      </c>
      <c r="AT453" s="33">
        <v>1.27</v>
      </c>
      <c r="AU453" s="33">
        <v>1.27</v>
      </c>
      <c r="AV453" s="33">
        <v>1.27</v>
      </c>
      <c r="AW453" s="33">
        <v>1.27</v>
      </c>
      <c r="AX453" s="33">
        <v>1.27</v>
      </c>
      <c r="AY453" s="33">
        <v>1.27</v>
      </c>
      <c r="AZ453" s="33">
        <v>1.27</v>
      </c>
      <c r="BA453" s="33">
        <v>1.27</v>
      </c>
      <c r="BB453" s="33">
        <v>1.27</v>
      </c>
      <c r="BC453" s="33">
        <v>1.27</v>
      </c>
      <c r="BD453" s="33">
        <v>1.27</v>
      </c>
      <c r="BE453" s="33">
        <v>1.27</v>
      </c>
      <c r="BF453" s="33">
        <v>1.27</v>
      </c>
      <c r="BG453" s="33">
        <v>1.27</v>
      </c>
      <c r="BH453" s="33">
        <v>1.27</v>
      </c>
      <c r="BI453" s="33">
        <v>1.27</v>
      </c>
      <c r="BJ453" s="33">
        <v>1.27</v>
      </c>
      <c r="BK453" s="33">
        <v>1.27</v>
      </c>
      <c r="BL453" s="33">
        <v>1.27</v>
      </c>
      <c r="BM453" s="33">
        <v>1.27</v>
      </c>
      <c r="BN453" s="33">
        <v>1.27</v>
      </c>
      <c r="BO453" s="33">
        <v>1.27</v>
      </c>
      <c r="BP453" s="33">
        <v>1.27</v>
      </c>
      <c r="BQ453" s="33">
        <v>1.27</v>
      </c>
    </row>
    <row r="454" spans="1:69" s="34" customFormat="1" hidden="1" x14ac:dyDescent="0.25">
      <c r="A454" s="33">
        <v>45</v>
      </c>
      <c r="B454" s="33" t="s">
        <v>179</v>
      </c>
      <c r="C454" s="36" t="s">
        <v>180</v>
      </c>
      <c r="D454" s="33">
        <v>3</v>
      </c>
      <c r="E454" s="36" t="s">
        <v>492</v>
      </c>
      <c r="F454" s="33"/>
      <c r="G454" s="33" t="s">
        <v>500</v>
      </c>
      <c r="H454" s="33">
        <v>0</v>
      </c>
      <c r="I454" s="33">
        <v>0.67</v>
      </c>
      <c r="J454" s="33">
        <v>0.67</v>
      </c>
      <c r="K454" s="33">
        <v>0.67</v>
      </c>
      <c r="L454" s="33">
        <v>0.67</v>
      </c>
      <c r="M454" s="33">
        <v>0.67</v>
      </c>
      <c r="N454" s="33">
        <v>0.67</v>
      </c>
      <c r="O454" s="33">
        <v>0.67</v>
      </c>
      <c r="P454" s="33">
        <v>0.67</v>
      </c>
      <c r="Q454" s="33">
        <v>0.67</v>
      </c>
      <c r="R454" s="33">
        <v>0.67</v>
      </c>
      <c r="S454" s="33">
        <v>0.67</v>
      </c>
      <c r="T454" s="33">
        <v>0.67</v>
      </c>
      <c r="U454" s="33">
        <v>0.67</v>
      </c>
      <c r="V454" s="33">
        <v>0.67</v>
      </c>
      <c r="W454" s="33">
        <v>0.67</v>
      </c>
      <c r="X454" s="33">
        <v>0.67</v>
      </c>
      <c r="Y454" s="33">
        <v>0.67</v>
      </c>
      <c r="Z454" s="33">
        <v>0.67</v>
      </c>
      <c r="AA454" s="33">
        <v>0.67</v>
      </c>
      <c r="AB454" s="33">
        <v>0.67</v>
      </c>
      <c r="AC454" s="33">
        <v>0.67</v>
      </c>
      <c r="AD454" s="33">
        <v>0.67</v>
      </c>
      <c r="AE454" s="33">
        <v>0.67</v>
      </c>
      <c r="AF454" s="33">
        <v>0.67</v>
      </c>
      <c r="AG454" s="33">
        <v>0.67</v>
      </c>
      <c r="AH454" s="33">
        <v>0.67</v>
      </c>
      <c r="AI454" s="33">
        <v>0.67</v>
      </c>
      <c r="AJ454" s="33">
        <v>0.67</v>
      </c>
      <c r="AK454" s="33">
        <v>0.67</v>
      </c>
      <c r="AL454" s="33">
        <v>0.67</v>
      </c>
      <c r="AM454" s="33">
        <v>0.67</v>
      </c>
      <c r="AN454" s="33">
        <v>0.67</v>
      </c>
      <c r="AO454" s="33">
        <v>0.67</v>
      </c>
      <c r="AP454" s="33">
        <v>0.67</v>
      </c>
      <c r="AQ454" s="33">
        <v>0.67</v>
      </c>
      <c r="AR454" s="33">
        <v>0.67</v>
      </c>
      <c r="AS454" s="33">
        <v>0.67</v>
      </c>
      <c r="AT454" s="33">
        <v>0.67</v>
      </c>
      <c r="AU454" s="33">
        <v>0.67</v>
      </c>
      <c r="AV454" s="33">
        <v>0.67</v>
      </c>
      <c r="AW454" s="33">
        <v>0.67</v>
      </c>
      <c r="AX454" s="33">
        <v>0.67</v>
      </c>
      <c r="AY454" s="33">
        <v>0.67</v>
      </c>
      <c r="AZ454" s="33">
        <v>0.67</v>
      </c>
      <c r="BA454" s="33">
        <v>0.67</v>
      </c>
      <c r="BB454" s="33">
        <v>0.67</v>
      </c>
      <c r="BC454" s="33">
        <v>0.67</v>
      </c>
      <c r="BD454" s="33">
        <v>0.67</v>
      </c>
      <c r="BE454" s="33">
        <v>0.67</v>
      </c>
      <c r="BF454" s="33">
        <v>0.67</v>
      </c>
      <c r="BG454" s="33">
        <v>0.67</v>
      </c>
      <c r="BH454" s="33">
        <v>0.67</v>
      </c>
      <c r="BI454" s="33">
        <v>0.67</v>
      </c>
      <c r="BJ454" s="33">
        <v>0.67</v>
      </c>
      <c r="BK454" s="33">
        <v>0.67</v>
      </c>
      <c r="BL454" s="33">
        <v>0.67</v>
      </c>
      <c r="BM454" s="33">
        <v>0.67</v>
      </c>
      <c r="BN454" s="33">
        <v>0.67</v>
      </c>
      <c r="BO454" s="33">
        <v>0.67</v>
      </c>
      <c r="BP454" s="33">
        <v>0.67</v>
      </c>
      <c r="BQ454" s="33">
        <v>0.67</v>
      </c>
    </row>
    <row r="455" spans="1:69" s="34" customFormat="1" hidden="1" x14ac:dyDescent="0.25">
      <c r="A455" s="33">
        <v>45</v>
      </c>
      <c r="B455" s="33" t="s">
        <v>179</v>
      </c>
      <c r="C455" s="36" t="s">
        <v>180</v>
      </c>
      <c r="D455" s="33">
        <v>4</v>
      </c>
      <c r="E455" s="36" t="s">
        <v>493</v>
      </c>
      <c r="F455" s="33"/>
      <c r="G455" s="33" t="s">
        <v>490</v>
      </c>
      <c r="H455" s="33">
        <v>0</v>
      </c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</row>
    <row r="456" spans="1:69" s="34" customFormat="1" hidden="1" x14ac:dyDescent="0.25">
      <c r="A456" s="33">
        <v>45</v>
      </c>
      <c r="B456" s="33" t="s">
        <v>179</v>
      </c>
      <c r="C456" s="36" t="s">
        <v>180</v>
      </c>
      <c r="D456" s="33">
        <v>5</v>
      </c>
      <c r="E456" s="36" t="s">
        <v>494</v>
      </c>
      <c r="F456" s="33"/>
      <c r="G456" s="33" t="s">
        <v>490</v>
      </c>
      <c r="H456" s="33">
        <v>0</v>
      </c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</row>
    <row r="457" spans="1:69" s="34" customFormat="1" hidden="1" x14ac:dyDescent="0.25">
      <c r="A457" s="33">
        <v>45</v>
      </c>
      <c r="B457" s="33" t="s">
        <v>179</v>
      </c>
      <c r="C457" s="36" t="s">
        <v>180</v>
      </c>
      <c r="D457" s="33">
        <v>6</v>
      </c>
      <c r="E457" s="36" t="s">
        <v>495</v>
      </c>
      <c r="F457" s="33"/>
      <c r="G457" s="33" t="s">
        <v>490</v>
      </c>
      <c r="H457" s="33">
        <v>0</v>
      </c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</row>
    <row r="458" spans="1:69" s="34" customFormat="1" hidden="1" x14ac:dyDescent="0.25">
      <c r="A458" s="33">
        <v>45</v>
      </c>
      <c r="B458" s="33" t="s">
        <v>179</v>
      </c>
      <c r="C458" s="36" t="s">
        <v>180</v>
      </c>
      <c r="D458" s="33">
        <v>7</v>
      </c>
      <c r="E458" s="36" t="s">
        <v>496</v>
      </c>
      <c r="F458" s="33"/>
      <c r="G458" s="33" t="s">
        <v>490</v>
      </c>
      <c r="H458" s="33">
        <v>0</v>
      </c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</row>
    <row r="459" spans="1:69" s="34" customFormat="1" hidden="1" x14ac:dyDescent="0.25">
      <c r="A459" s="33">
        <v>45</v>
      </c>
      <c r="B459" s="33" t="s">
        <v>179</v>
      </c>
      <c r="C459" s="36" t="s">
        <v>180</v>
      </c>
      <c r="D459" s="33">
        <v>8</v>
      </c>
      <c r="E459" s="36" t="s">
        <v>497</v>
      </c>
      <c r="F459" s="33"/>
      <c r="G459" s="33" t="s">
        <v>490</v>
      </c>
      <c r="H459" s="33">
        <v>0</v>
      </c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</row>
    <row r="460" spans="1:69" s="34" customFormat="1" hidden="1" x14ac:dyDescent="0.25">
      <c r="A460" s="33">
        <v>45</v>
      </c>
      <c r="B460" s="33" t="s">
        <v>179</v>
      </c>
      <c r="C460" s="36" t="s">
        <v>180</v>
      </c>
      <c r="D460" s="33">
        <v>9</v>
      </c>
      <c r="E460" s="36" t="s">
        <v>498</v>
      </c>
      <c r="F460" s="33"/>
      <c r="G460" s="33" t="s">
        <v>490</v>
      </c>
      <c r="H460" s="33">
        <v>0</v>
      </c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</row>
    <row r="461" spans="1:69" s="34" customFormat="1" hidden="1" x14ac:dyDescent="0.25">
      <c r="A461" s="33">
        <v>45</v>
      </c>
      <c r="B461" s="33" t="s">
        <v>179</v>
      </c>
      <c r="C461" s="36" t="s">
        <v>180</v>
      </c>
      <c r="D461" s="33">
        <v>10</v>
      </c>
      <c r="E461" s="36" t="s">
        <v>499</v>
      </c>
      <c r="F461" s="33"/>
      <c r="G461" s="33" t="s">
        <v>490</v>
      </c>
      <c r="H461" s="33">
        <v>0</v>
      </c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</row>
    <row r="462" spans="1:69" s="44" customFormat="1" hidden="1" x14ac:dyDescent="0.25">
      <c r="A462" s="43">
        <v>46</v>
      </c>
      <c r="B462" s="43" t="s">
        <v>181</v>
      </c>
      <c r="C462" s="20" t="s">
        <v>182</v>
      </c>
      <c r="D462" s="43">
        <v>1</v>
      </c>
      <c r="E462" s="20" t="s">
        <v>489</v>
      </c>
      <c r="F462" s="43"/>
      <c r="G462" s="43" t="s">
        <v>500</v>
      </c>
      <c r="H462" s="43">
        <v>0</v>
      </c>
      <c r="I462" s="43">
        <v>35.32</v>
      </c>
      <c r="J462" s="43">
        <v>35.32</v>
      </c>
      <c r="K462" s="43">
        <v>35.32</v>
      </c>
      <c r="L462" s="43">
        <v>35.32</v>
      </c>
      <c r="M462" s="43">
        <v>35.32</v>
      </c>
      <c r="N462" s="43">
        <v>35.32</v>
      </c>
      <c r="O462" s="43">
        <v>35.32</v>
      </c>
      <c r="P462" s="43">
        <v>35.32</v>
      </c>
      <c r="Q462" s="43">
        <v>35.32</v>
      </c>
      <c r="R462" s="43">
        <v>35.32</v>
      </c>
      <c r="S462" s="43">
        <v>34.340000000000003</v>
      </c>
      <c r="T462" s="43">
        <v>34.340000000000003</v>
      </c>
      <c r="U462" s="43">
        <v>34.340000000000003</v>
      </c>
      <c r="V462" s="43">
        <v>34.340000000000003</v>
      </c>
      <c r="W462" s="43">
        <v>34.340000000000003</v>
      </c>
      <c r="X462" s="43">
        <v>33.770000000000003</v>
      </c>
      <c r="Y462" s="43">
        <v>33.770000000000003</v>
      </c>
      <c r="Z462" s="43">
        <v>33.770000000000003</v>
      </c>
      <c r="AA462" s="43">
        <v>33.770000000000003</v>
      </c>
      <c r="AB462" s="43">
        <v>33.770000000000003</v>
      </c>
      <c r="AC462" s="43">
        <v>23.37</v>
      </c>
      <c r="AD462" s="43">
        <v>23.37</v>
      </c>
      <c r="AE462" s="43">
        <v>23.37</v>
      </c>
      <c r="AF462" s="43">
        <v>23.37</v>
      </c>
      <c r="AG462" s="43">
        <v>23.37</v>
      </c>
      <c r="AH462" s="43">
        <v>23.37</v>
      </c>
      <c r="AI462" s="43">
        <v>23.37</v>
      </c>
      <c r="AJ462" s="43">
        <v>23.37</v>
      </c>
      <c r="AK462" s="43">
        <v>23.37</v>
      </c>
      <c r="AL462" s="43">
        <v>23.37</v>
      </c>
      <c r="AM462" s="43">
        <v>23.37</v>
      </c>
      <c r="AN462" s="43">
        <v>23.37</v>
      </c>
      <c r="AO462" s="43">
        <v>23.37</v>
      </c>
      <c r="AP462" s="43">
        <v>23.37</v>
      </c>
      <c r="AQ462" s="43">
        <v>23.37</v>
      </c>
      <c r="AR462" s="43">
        <v>23.37</v>
      </c>
      <c r="AS462" s="43">
        <v>23.37</v>
      </c>
      <c r="AT462" s="43">
        <v>23.37</v>
      </c>
      <c r="AU462" s="43">
        <v>23.37</v>
      </c>
      <c r="AV462" s="43">
        <v>23.37</v>
      </c>
      <c r="AW462" s="43">
        <v>23.37</v>
      </c>
      <c r="AX462" s="43">
        <v>23.37</v>
      </c>
      <c r="AY462" s="43">
        <v>23.37</v>
      </c>
      <c r="AZ462" s="43">
        <v>23.37</v>
      </c>
      <c r="BA462" s="43">
        <v>23.37</v>
      </c>
      <c r="BB462" s="43">
        <v>23.37</v>
      </c>
      <c r="BC462" s="43">
        <v>23.37</v>
      </c>
      <c r="BD462" s="43">
        <v>23.37</v>
      </c>
      <c r="BE462" s="43">
        <v>23.37</v>
      </c>
      <c r="BF462" s="43">
        <v>23.37</v>
      </c>
      <c r="BG462" s="43">
        <v>23.37</v>
      </c>
      <c r="BH462" s="43">
        <v>23.37</v>
      </c>
      <c r="BI462" s="43">
        <v>23.37</v>
      </c>
      <c r="BJ462" s="43">
        <v>23.37</v>
      </c>
      <c r="BK462" s="43">
        <v>23.37</v>
      </c>
      <c r="BL462" s="43">
        <v>23.37</v>
      </c>
      <c r="BM462" s="43">
        <v>23.37</v>
      </c>
      <c r="BN462" s="43">
        <v>23.37</v>
      </c>
      <c r="BO462" s="43">
        <v>23.37</v>
      </c>
      <c r="BP462" s="43">
        <v>23.37</v>
      </c>
      <c r="BQ462" s="43">
        <v>23.37</v>
      </c>
    </row>
    <row r="463" spans="1:69" s="44" customFormat="1" hidden="1" x14ac:dyDescent="0.25">
      <c r="A463" s="43">
        <v>46</v>
      </c>
      <c r="B463" s="43" t="s">
        <v>181</v>
      </c>
      <c r="C463" s="20" t="s">
        <v>182</v>
      </c>
      <c r="D463" s="43">
        <v>2</v>
      </c>
      <c r="E463" s="20" t="s">
        <v>491</v>
      </c>
      <c r="F463" s="43"/>
      <c r="G463" s="43" t="s">
        <v>500</v>
      </c>
      <c r="H463" s="43">
        <v>0</v>
      </c>
      <c r="I463" s="43">
        <v>1.27</v>
      </c>
      <c r="J463" s="43">
        <v>1.27</v>
      </c>
      <c r="K463" s="43">
        <v>1.27</v>
      </c>
      <c r="L463" s="43">
        <v>1.27</v>
      </c>
      <c r="M463" s="43">
        <v>1.27</v>
      </c>
      <c r="N463" s="43">
        <v>1.27</v>
      </c>
      <c r="O463" s="43">
        <v>1.27</v>
      </c>
      <c r="P463" s="43">
        <v>1.27</v>
      </c>
      <c r="Q463" s="43">
        <v>1.27</v>
      </c>
      <c r="R463" s="43">
        <v>1.27</v>
      </c>
      <c r="S463" s="43">
        <v>1.27</v>
      </c>
      <c r="T463" s="43">
        <v>1.27</v>
      </c>
      <c r="U463" s="43">
        <v>1.27</v>
      </c>
      <c r="V463" s="43">
        <v>1.27</v>
      </c>
      <c r="W463" s="43">
        <v>1.27</v>
      </c>
      <c r="X463" s="43">
        <v>1.27</v>
      </c>
      <c r="Y463" s="43">
        <v>1.27</v>
      </c>
      <c r="Z463" s="43">
        <v>1.27</v>
      </c>
      <c r="AA463" s="43">
        <v>1.27</v>
      </c>
      <c r="AB463" s="43">
        <v>1.27</v>
      </c>
      <c r="AC463" s="43">
        <v>1.27</v>
      </c>
      <c r="AD463" s="43">
        <v>1.27</v>
      </c>
      <c r="AE463" s="43">
        <v>1.27</v>
      </c>
      <c r="AF463" s="43">
        <v>1.27</v>
      </c>
      <c r="AG463" s="43">
        <v>1.27</v>
      </c>
      <c r="AH463" s="43">
        <v>1.27</v>
      </c>
      <c r="AI463" s="43">
        <v>1.27</v>
      </c>
      <c r="AJ463" s="43">
        <v>1.27</v>
      </c>
      <c r="AK463" s="43">
        <v>1.27</v>
      </c>
      <c r="AL463" s="43">
        <v>1.27</v>
      </c>
      <c r="AM463" s="43">
        <v>1.27</v>
      </c>
      <c r="AN463" s="43">
        <v>1.27</v>
      </c>
      <c r="AO463" s="43">
        <v>1.27</v>
      </c>
      <c r="AP463" s="43">
        <v>1.27</v>
      </c>
      <c r="AQ463" s="43">
        <v>1.27</v>
      </c>
      <c r="AR463" s="43">
        <v>1.27</v>
      </c>
      <c r="AS463" s="43">
        <v>1.27</v>
      </c>
      <c r="AT463" s="43">
        <v>1.27</v>
      </c>
      <c r="AU463" s="43">
        <v>1.27</v>
      </c>
      <c r="AV463" s="43">
        <v>1.27</v>
      </c>
      <c r="AW463" s="43">
        <v>1.27</v>
      </c>
      <c r="AX463" s="43">
        <v>1.27</v>
      </c>
      <c r="AY463" s="43">
        <v>1.27</v>
      </c>
      <c r="AZ463" s="43">
        <v>1.27</v>
      </c>
      <c r="BA463" s="43">
        <v>1.27</v>
      </c>
      <c r="BB463" s="43">
        <v>1.27</v>
      </c>
      <c r="BC463" s="43">
        <v>1.27</v>
      </c>
      <c r="BD463" s="43">
        <v>1.27</v>
      </c>
      <c r="BE463" s="43">
        <v>1.27</v>
      </c>
      <c r="BF463" s="43">
        <v>1.27</v>
      </c>
      <c r="BG463" s="43">
        <v>1.27</v>
      </c>
      <c r="BH463" s="43">
        <v>1.27</v>
      </c>
      <c r="BI463" s="43">
        <v>1.27</v>
      </c>
      <c r="BJ463" s="43">
        <v>1.27</v>
      </c>
      <c r="BK463" s="43">
        <v>1.27</v>
      </c>
      <c r="BL463" s="43">
        <v>1.27</v>
      </c>
      <c r="BM463" s="43">
        <v>1.27</v>
      </c>
      <c r="BN463" s="43">
        <v>1.27</v>
      </c>
      <c r="BO463" s="43">
        <v>1.27</v>
      </c>
      <c r="BP463" s="43">
        <v>1.27</v>
      </c>
      <c r="BQ463" s="43">
        <v>1.27</v>
      </c>
    </row>
    <row r="464" spans="1:69" s="44" customFormat="1" hidden="1" x14ac:dyDescent="0.25">
      <c r="A464" s="43">
        <v>46</v>
      </c>
      <c r="B464" s="43" t="s">
        <v>181</v>
      </c>
      <c r="C464" s="20" t="s">
        <v>182</v>
      </c>
      <c r="D464" s="43">
        <v>3</v>
      </c>
      <c r="E464" s="20" t="s">
        <v>492</v>
      </c>
      <c r="F464" s="43"/>
      <c r="G464" s="43" t="s">
        <v>500</v>
      </c>
      <c r="H464" s="43">
        <v>0</v>
      </c>
      <c r="I464" s="45">
        <v>0.67</v>
      </c>
      <c r="J464" s="45">
        <v>0.67</v>
      </c>
      <c r="K464" s="45">
        <v>0.67</v>
      </c>
      <c r="L464" s="45">
        <v>0.67</v>
      </c>
      <c r="M464" s="45">
        <v>0.67</v>
      </c>
      <c r="N464" s="45">
        <v>0.67</v>
      </c>
      <c r="O464" s="45">
        <v>0.67</v>
      </c>
      <c r="P464" s="45">
        <v>0.67</v>
      </c>
      <c r="Q464" s="45">
        <v>0.67</v>
      </c>
      <c r="R464" s="45">
        <v>0.67</v>
      </c>
      <c r="S464" s="45">
        <v>0.67</v>
      </c>
      <c r="T464" s="45">
        <v>0.67</v>
      </c>
      <c r="U464" s="45">
        <v>0.67</v>
      </c>
      <c r="V464" s="45">
        <v>0.67</v>
      </c>
      <c r="W464" s="45">
        <v>0.67</v>
      </c>
      <c r="X464" s="45">
        <v>0.67</v>
      </c>
      <c r="Y464" s="45">
        <v>0.67</v>
      </c>
      <c r="Z464" s="45">
        <v>0.67</v>
      </c>
      <c r="AA464" s="45">
        <v>0.67</v>
      </c>
      <c r="AB464" s="45">
        <v>0.67</v>
      </c>
      <c r="AC464" s="45">
        <v>0.67</v>
      </c>
      <c r="AD464" s="45">
        <v>0.67</v>
      </c>
      <c r="AE464" s="45">
        <v>0.67</v>
      </c>
      <c r="AF464" s="45">
        <v>0.67</v>
      </c>
      <c r="AG464" s="45">
        <v>0.67</v>
      </c>
      <c r="AH464" s="45">
        <v>0.67</v>
      </c>
      <c r="AI464" s="45">
        <v>0.67</v>
      </c>
      <c r="AJ464" s="45">
        <v>0.67</v>
      </c>
      <c r="AK464" s="45">
        <v>0.67</v>
      </c>
      <c r="AL464" s="45">
        <v>0.67</v>
      </c>
      <c r="AM464" s="45">
        <v>0.67</v>
      </c>
      <c r="AN464" s="45">
        <v>0.67</v>
      </c>
      <c r="AO464" s="45">
        <v>0.67</v>
      </c>
      <c r="AP464" s="45">
        <v>0.67</v>
      </c>
      <c r="AQ464" s="45">
        <v>0.67</v>
      </c>
      <c r="AR464" s="45">
        <v>0.67</v>
      </c>
      <c r="AS464" s="45">
        <v>0.67</v>
      </c>
      <c r="AT464" s="45">
        <v>0.67</v>
      </c>
      <c r="AU464" s="45">
        <v>0.67</v>
      </c>
      <c r="AV464" s="45">
        <v>0.67</v>
      </c>
      <c r="AW464" s="45">
        <v>0.67</v>
      </c>
      <c r="AX464" s="45">
        <v>0.67</v>
      </c>
      <c r="AY464" s="45">
        <v>0.67</v>
      </c>
      <c r="AZ464" s="45">
        <v>0.67</v>
      </c>
      <c r="BA464" s="45">
        <v>0.67</v>
      </c>
      <c r="BB464" s="45">
        <v>0.67</v>
      </c>
      <c r="BC464" s="45">
        <v>0.67</v>
      </c>
      <c r="BD464" s="45">
        <v>0.67</v>
      </c>
      <c r="BE464" s="45">
        <v>0.67</v>
      </c>
      <c r="BF464" s="45">
        <v>0.67</v>
      </c>
      <c r="BG464" s="45">
        <v>0.67</v>
      </c>
      <c r="BH464" s="45">
        <v>0.67</v>
      </c>
      <c r="BI464" s="45">
        <v>0.67</v>
      </c>
      <c r="BJ464" s="45">
        <v>0.67</v>
      </c>
      <c r="BK464" s="45">
        <v>0.67</v>
      </c>
      <c r="BL464" s="45">
        <v>0.67</v>
      </c>
      <c r="BM464" s="45">
        <v>0.67</v>
      </c>
      <c r="BN464" s="45">
        <v>0.67</v>
      </c>
      <c r="BO464" s="45">
        <v>0.67</v>
      </c>
      <c r="BP464" s="45">
        <v>0.67</v>
      </c>
      <c r="BQ464" s="45">
        <v>0.67</v>
      </c>
    </row>
    <row r="465" spans="1:69" s="44" customFormat="1" hidden="1" x14ac:dyDescent="0.25">
      <c r="A465" s="43">
        <v>46</v>
      </c>
      <c r="B465" s="43" t="s">
        <v>181</v>
      </c>
      <c r="C465" s="20" t="s">
        <v>182</v>
      </c>
      <c r="D465" s="43">
        <v>4</v>
      </c>
      <c r="E465" s="20" t="s">
        <v>493</v>
      </c>
      <c r="F465" s="43"/>
      <c r="G465" s="43" t="s">
        <v>490</v>
      </c>
      <c r="H465" s="43">
        <v>0</v>
      </c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</row>
    <row r="466" spans="1:69" s="44" customFormat="1" hidden="1" x14ac:dyDescent="0.25">
      <c r="A466" s="43">
        <v>46</v>
      </c>
      <c r="B466" s="43" t="s">
        <v>181</v>
      </c>
      <c r="C466" s="20" t="s">
        <v>182</v>
      </c>
      <c r="D466" s="43">
        <v>5</v>
      </c>
      <c r="E466" s="20" t="s">
        <v>494</v>
      </c>
      <c r="F466" s="43"/>
      <c r="G466" s="43" t="s">
        <v>490</v>
      </c>
      <c r="H466" s="43">
        <v>0</v>
      </c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</row>
    <row r="467" spans="1:69" s="44" customFormat="1" hidden="1" x14ac:dyDescent="0.25">
      <c r="A467" s="43">
        <v>46</v>
      </c>
      <c r="B467" s="43" t="s">
        <v>181</v>
      </c>
      <c r="C467" s="20" t="s">
        <v>182</v>
      </c>
      <c r="D467" s="43">
        <v>6</v>
      </c>
      <c r="E467" s="20" t="s">
        <v>495</v>
      </c>
      <c r="F467" s="43"/>
      <c r="G467" s="43" t="s">
        <v>490</v>
      </c>
      <c r="H467" s="43">
        <v>0</v>
      </c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</row>
    <row r="468" spans="1:69" s="44" customFormat="1" hidden="1" x14ac:dyDescent="0.25">
      <c r="A468" s="43">
        <v>46</v>
      </c>
      <c r="B468" s="43" t="s">
        <v>181</v>
      </c>
      <c r="C468" s="20" t="s">
        <v>182</v>
      </c>
      <c r="D468" s="43">
        <v>7</v>
      </c>
      <c r="E468" s="20" t="s">
        <v>496</v>
      </c>
      <c r="F468" s="43"/>
      <c r="G468" s="43" t="s">
        <v>490</v>
      </c>
      <c r="H468" s="43">
        <v>0</v>
      </c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</row>
    <row r="469" spans="1:69" s="44" customFormat="1" hidden="1" x14ac:dyDescent="0.25">
      <c r="A469" s="43">
        <v>46</v>
      </c>
      <c r="B469" s="43" t="s">
        <v>181</v>
      </c>
      <c r="C469" s="20" t="s">
        <v>182</v>
      </c>
      <c r="D469" s="43">
        <v>8</v>
      </c>
      <c r="E469" s="20" t="s">
        <v>497</v>
      </c>
      <c r="F469" s="43"/>
      <c r="G469" s="43" t="s">
        <v>490</v>
      </c>
      <c r="H469" s="43">
        <v>0</v>
      </c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</row>
    <row r="470" spans="1:69" s="44" customFormat="1" hidden="1" x14ac:dyDescent="0.25">
      <c r="A470" s="43">
        <v>46</v>
      </c>
      <c r="B470" s="43" t="s">
        <v>181</v>
      </c>
      <c r="C470" s="20" t="s">
        <v>182</v>
      </c>
      <c r="D470" s="43">
        <v>9</v>
      </c>
      <c r="E470" s="20" t="s">
        <v>498</v>
      </c>
      <c r="F470" s="43"/>
      <c r="G470" s="43" t="s">
        <v>490</v>
      </c>
      <c r="H470" s="43">
        <v>0</v>
      </c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</row>
    <row r="471" spans="1:69" s="44" customFormat="1" hidden="1" x14ac:dyDescent="0.25">
      <c r="A471" s="43">
        <v>46</v>
      </c>
      <c r="B471" s="43" t="s">
        <v>181</v>
      </c>
      <c r="C471" s="20" t="s">
        <v>182</v>
      </c>
      <c r="D471" s="43">
        <v>10</v>
      </c>
      <c r="E471" s="20" t="s">
        <v>499</v>
      </c>
      <c r="F471" s="43"/>
      <c r="G471" s="43" t="s">
        <v>490</v>
      </c>
      <c r="H471" s="43">
        <v>0</v>
      </c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</row>
    <row r="472" spans="1:69" s="34" customFormat="1" hidden="1" x14ac:dyDescent="0.25">
      <c r="A472" s="33">
        <v>47</v>
      </c>
      <c r="B472" s="33" t="s">
        <v>183</v>
      </c>
      <c r="C472" s="36" t="s">
        <v>184</v>
      </c>
      <c r="D472" s="33">
        <v>1</v>
      </c>
      <c r="E472" s="36" t="s">
        <v>489</v>
      </c>
      <c r="F472" s="33"/>
      <c r="G472" s="33" t="s">
        <v>490</v>
      </c>
      <c r="H472" s="33">
        <v>0</v>
      </c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</row>
    <row r="473" spans="1:69" s="34" customFormat="1" hidden="1" x14ac:dyDescent="0.25">
      <c r="A473" s="33">
        <v>47</v>
      </c>
      <c r="B473" s="33" t="s">
        <v>183</v>
      </c>
      <c r="C473" s="36" t="s">
        <v>184</v>
      </c>
      <c r="D473" s="33">
        <v>2</v>
      </c>
      <c r="E473" s="36" t="s">
        <v>491</v>
      </c>
      <c r="F473" s="33"/>
      <c r="G473" s="33" t="s">
        <v>490</v>
      </c>
      <c r="H473" s="33">
        <v>0</v>
      </c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</row>
    <row r="474" spans="1:69" s="34" customFormat="1" hidden="1" x14ac:dyDescent="0.25">
      <c r="A474" s="33">
        <v>47</v>
      </c>
      <c r="B474" s="33" t="s">
        <v>183</v>
      </c>
      <c r="C474" s="36" t="s">
        <v>184</v>
      </c>
      <c r="D474" s="33">
        <v>3</v>
      </c>
      <c r="E474" s="36" t="s">
        <v>492</v>
      </c>
      <c r="F474" s="33"/>
      <c r="G474" s="33" t="s">
        <v>490</v>
      </c>
      <c r="H474" s="33">
        <v>0</v>
      </c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</row>
    <row r="475" spans="1:69" s="34" customFormat="1" hidden="1" x14ac:dyDescent="0.25">
      <c r="A475" s="33">
        <v>47</v>
      </c>
      <c r="B475" s="33" t="s">
        <v>183</v>
      </c>
      <c r="C475" s="36" t="s">
        <v>184</v>
      </c>
      <c r="D475" s="33">
        <v>4</v>
      </c>
      <c r="E475" s="36" t="s">
        <v>493</v>
      </c>
      <c r="F475" s="33"/>
      <c r="G475" s="33" t="s">
        <v>490</v>
      </c>
      <c r="H475" s="33">
        <v>0</v>
      </c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</row>
    <row r="476" spans="1:69" s="34" customFormat="1" hidden="1" x14ac:dyDescent="0.25">
      <c r="A476" s="33">
        <v>47</v>
      </c>
      <c r="B476" s="33" t="s">
        <v>183</v>
      </c>
      <c r="C476" s="36" t="s">
        <v>184</v>
      </c>
      <c r="D476" s="33">
        <v>5</v>
      </c>
      <c r="E476" s="36" t="s">
        <v>494</v>
      </c>
      <c r="F476" s="33"/>
      <c r="G476" s="33" t="s">
        <v>490</v>
      </c>
      <c r="H476" s="33">
        <v>0</v>
      </c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</row>
    <row r="477" spans="1:69" s="34" customFormat="1" hidden="1" x14ac:dyDescent="0.25">
      <c r="A477" s="33">
        <v>47</v>
      </c>
      <c r="B477" s="33" t="s">
        <v>183</v>
      </c>
      <c r="C477" s="36" t="s">
        <v>184</v>
      </c>
      <c r="D477" s="33">
        <v>6</v>
      </c>
      <c r="E477" s="36" t="s">
        <v>495</v>
      </c>
      <c r="F477" s="33"/>
      <c r="G477" s="33" t="s">
        <v>501</v>
      </c>
      <c r="H477" s="33">
        <v>0</v>
      </c>
      <c r="I477" s="33">
        <v>0</v>
      </c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</row>
    <row r="478" spans="1:69" s="34" customFormat="1" hidden="1" x14ac:dyDescent="0.25">
      <c r="A478" s="33">
        <v>47</v>
      </c>
      <c r="B478" s="33" t="s">
        <v>183</v>
      </c>
      <c r="C478" s="36" t="s">
        <v>184</v>
      </c>
      <c r="D478" s="33">
        <v>7</v>
      </c>
      <c r="E478" s="36" t="s">
        <v>496</v>
      </c>
      <c r="F478" s="33"/>
      <c r="G478" s="33" t="s">
        <v>490</v>
      </c>
      <c r="H478" s="33">
        <v>0</v>
      </c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</row>
    <row r="479" spans="1:69" s="34" customFormat="1" hidden="1" x14ac:dyDescent="0.25">
      <c r="A479" s="33">
        <v>47</v>
      </c>
      <c r="B479" s="33" t="s">
        <v>183</v>
      </c>
      <c r="C479" s="36" t="s">
        <v>184</v>
      </c>
      <c r="D479" s="33">
        <v>8</v>
      </c>
      <c r="E479" s="36" t="s">
        <v>497</v>
      </c>
      <c r="F479" s="33"/>
      <c r="G479" s="33" t="s">
        <v>490</v>
      </c>
      <c r="H479" s="33">
        <v>0</v>
      </c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</row>
    <row r="480" spans="1:69" s="34" customFormat="1" hidden="1" x14ac:dyDescent="0.25">
      <c r="A480" s="33">
        <v>47</v>
      </c>
      <c r="B480" s="33" t="s">
        <v>183</v>
      </c>
      <c r="C480" s="36" t="s">
        <v>184</v>
      </c>
      <c r="D480" s="33">
        <v>9</v>
      </c>
      <c r="E480" s="36" t="s">
        <v>498</v>
      </c>
      <c r="F480" s="33"/>
      <c r="G480" s="33" t="s">
        <v>490</v>
      </c>
      <c r="H480" s="33">
        <v>0</v>
      </c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</row>
    <row r="481" spans="1:69" s="34" customFormat="1" hidden="1" x14ac:dyDescent="0.25">
      <c r="A481" s="33">
        <v>47</v>
      </c>
      <c r="B481" s="33" t="s">
        <v>183</v>
      </c>
      <c r="C481" s="36" t="s">
        <v>184</v>
      </c>
      <c r="D481" s="33">
        <v>10</v>
      </c>
      <c r="E481" s="36" t="s">
        <v>499</v>
      </c>
      <c r="F481" s="33"/>
      <c r="G481" s="33" t="s">
        <v>490</v>
      </c>
      <c r="H481" s="33">
        <v>0</v>
      </c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</row>
    <row r="482" spans="1:69" s="44" customFormat="1" hidden="1" x14ac:dyDescent="0.25">
      <c r="A482" s="43">
        <v>48</v>
      </c>
      <c r="B482" s="43" t="s">
        <v>185</v>
      </c>
      <c r="C482" s="20" t="s">
        <v>186</v>
      </c>
      <c r="D482" s="43">
        <v>1</v>
      </c>
      <c r="E482" s="20" t="s">
        <v>489</v>
      </c>
      <c r="F482" s="43"/>
      <c r="G482" s="43" t="s">
        <v>490</v>
      </c>
      <c r="H482" s="43">
        <v>0</v>
      </c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</row>
    <row r="483" spans="1:69" s="44" customFormat="1" hidden="1" x14ac:dyDescent="0.25">
      <c r="A483" s="43">
        <v>48</v>
      </c>
      <c r="B483" s="43" t="s">
        <v>185</v>
      </c>
      <c r="C483" s="20" t="s">
        <v>186</v>
      </c>
      <c r="D483" s="43">
        <v>2</v>
      </c>
      <c r="E483" s="20" t="s">
        <v>491</v>
      </c>
      <c r="F483" s="43"/>
      <c r="G483" s="43" t="s">
        <v>490</v>
      </c>
      <c r="H483" s="43">
        <v>0</v>
      </c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</row>
    <row r="484" spans="1:69" s="44" customFormat="1" hidden="1" x14ac:dyDescent="0.25">
      <c r="A484" s="43">
        <v>48</v>
      </c>
      <c r="B484" s="43" t="s">
        <v>185</v>
      </c>
      <c r="C484" s="20" t="s">
        <v>186</v>
      </c>
      <c r="D484" s="43">
        <v>3</v>
      </c>
      <c r="E484" s="20" t="s">
        <v>492</v>
      </c>
      <c r="F484" s="43"/>
      <c r="G484" s="43" t="s">
        <v>490</v>
      </c>
      <c r="H484" s="43">
        <v>0</v>
      </c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</row>
    <row r="485" spans="1:69" s="44" customFormat="1" hidden="1" x14ac:dyDescent="0.25">
      <c r="A485" s="43">
        <v>48</v>
      </c>
      <c r="B485" s="43" t="s">
        <v>185</v>
      </c>
      <c r="C485" s="20" t="s">
        <v>186</v>
      </c>
      <c r="D485" s="43">
        <v>4</v>
      </c>
      <c r="E485" s="20" t="s">
        <v>493</v>
      </c>
      <c r="F485" s="43"/>
      <c r="G485" s="43" t="s">
        <v>490</v>
      </c>
      <c r="H485" s="43">
        <v>0</v>
      </c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</row>
    <row r="486" spans="1:69" s="44" customFormat="1" hidden="1" x14ac:dyDescent="0.25">
      <c r="A486" s="43">
        <v>48</v>
      </c>
      <c r="B486" s="43" t="s">
        <v>185</v>
      </c>
      <c r="C486" s="20" t="s">
        <v>186</v>
      </c>
      <c r="D486" s="43">
        <v>5</v>
      </c>
      <c r="E486" s="20" t="s">
        <v>494</v>
      </c>
      <c r="F486" s="43"/>
      <c r="G486" s="43" t="s">
        <v>490</v>
      </c>
      <c r="H486" s="43">
        <v>0</v>
      </c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</row>
    <row r="487" spans="1:69" s="44" customFormat="1" hidden="1" x14ac:dyDescent="0.25">
      <c r="A487" s="43">
        <v>48</v>
      </c>
      <c r="B487" s="43" t="s">
        <v>185</v>
      </c>
      <c r="C487" s="20" t="s">
        <v>186</v>
      </c>
      <c r="D487" s="43">
        <v>6</v>
      </c>
      <c r="E487" s="20" t="s">
        <v>495</v>
      </c>
      <c r="F487" s="43"/>
      <c r="G487" s="43" t="s">
        <v>501</v>
      </c>
      <c r="H487" s="43">
        <v>0</v>
      </c>
      <c r="I487" s="43">
        <v>0</v>
      </c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</row>
    <row r="488" spans="1:69" s="44" customFormat="1" hidden="1" x14ac:dyDescent="0.25">
      <c r="A488" s="43">
        <v>48</v>
      </c>
      <c r="B488" s="43" t="s">
        <v>185</v>
      </c>
      <c r="C488" s="20" t="s">
        <v>186</v>
      </c>
      <c r="D488" s="43">
        <v>7</v>
      </c>
      <c r="E488" s="20" t="s">
        <v>496</v>
      </c>
      <c r="F488" s="43"/>
      <c r="G488" s="43" t="s">
        <v>490</v>
      </c>
      <c r="H488" s="43">
        <v>0</v>
      </c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</row>
    <row r="489" spans="1:69" s="44" customFormat="1" hidden="1" x14ac:dyDescent="0.25">
      <c r="A489" s="43">
        <v>48</v>
      </c>
      <c r="B489" s="43" t="s">
        <v>185</v>
      </c>
      <c r="C489" s="20" t="s">
        <v>186</v>
      </c>
      <c r="D489" s="43">
        <v>8</v>
      </c>
      <c r="E489" s="20" t="s">
        <v>497</v>
      </c>
      <c r="F489" s="43"/>
      <c r="G489" s="43" t="s">
        <v>490</v>
      </c>
      <c r="H489" s="43">
        <v>0</v>
      </c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</row>
    <row r="490" spans="1:69" s="44" customFormat="1" hidden="1" x14ac:dyDescent="0.25">
      <c r="A490" s="43">
        <v>48</v>
      </c>
      <c r="B490" s="43" t="s">
        <v>185</v>
      </c>
      <c r="C490" s="20" t="s">
        <v>186</v>
      </c>
      <c r="D490" s="43">
        <v>9</v>
      </c>
      <c r="E490" s="20" t="s">
        <v>498</v>
      </c>
      <c r="F490" s="43"/>
      <c r="G490" s="43" t="s">
        <v>490</v>
      </c>
      <c r="H490" s="43">
        <v>0</v>
      </c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</row>
    <row r="491" spans="1:69" s="44" customFormat="1" hidden="1" x14ac:dyDescent="0.25">
      <c r="A491" s="43">
        <v>48</v>
      </c>
      <c r="B491" s="43" t="s">
        <v>185</v>
      </c>
      <c r="C491" s="20" t="s">
        <v>186</v>
      </c>
      <c r="D491" s="43">
        <v>10</v>
      </c>
      <c r="E491" s="20" t="s">
        <v>499</v>
      </c>
      <c r="F491" s="43"/>
      <c r="G491" s="43" t="s">
        <v>490</v>
      </c>
      <c r="H491" s="43">
        <v>0</v>
      </c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</row>
    <row r="492" spans="1:69" s="34" customFormat="1" hidden="1" x14ac:dyDescent="0.25">
      <c r="A492" s="33">
        <v>49</v>
      </c>
      <c r="B492" s="33" t="s">
        <v>187</v>
      </c>
      <c r="C492" s="36" t="s">
        <v>188</v>
      </c>
      <c r="D492" s="33">
        <v>1</v>
      </c>
      <c r="E492" s="36" t="s">
        <v>489</v>
      </c>
      <c r="F492" s="33"/>
      <c r="G492" s="33" t="s">
        <v>490</v>
      </c>
      <c r="H492" s="33">
        <v>0</v>
      </c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</row>
    <row r="493" spans="1:69" s="34" customFormat="1" hidden="1" x14ac:dyDescent="0.25">
      <c r="A493" s="33">
        <v>49</v>
      </c>
      <c r="B493" s="33" t="s">
        <v>187</v>
      </c>
      <c r="C493" s="36" t="s">
        <v>188</v>
      </c>
      <c r="D493" s="33">
        <v>2</v>
      </c>
      <c r="E493" s="36" t="s">
        <v>491</v>
      </c>
      <c r="F493" s="33"/>
      <c r="G493" s="33" t="s">
        <v>490</v>
      </c>
      <c r="H493" s="33">
        <v>0</v>
      </c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</row>
    <row r="494" spans="1:69" s="34" customFormat="1" hidden="1" x14ac:dyDescent="0.25">
      <c r="A494" s="33">
        <v>49</v>
      </c>
      <c r="B494" s="33" t="s">
        <v>187</v>
      </c>
      <c r="C494" s="36" t="s">
        <v>188</v>
      </c>
      <c r="D494" s="33">
        <v>3</v>
      </c>
      <c r="E494" s="36" t="s">
        <v>492</v>
      </c>
      <c r="F494" s="33"/>
      <c r="G494" s="33" t="s">
        <v>500</v>
      </c>
      <c r="H494" s="33">
        <v>0</v>
      </c>
      <c r="I494" s="33">
        <v>38.369999999999997</v>
      </c>
      <c r="J494" s="33">
        <v>38.369999999999997</v>
      </c>
      <c r="K494" s="33">
        <v>38.369999999999997</v>
      </c>
      <c r="L494" s="33">
        <v>38.369999999999997</v>
      </c>
      <c r="M494" s="33">
        <v>38.369999999999997</v>
      </c>
      <c r="N494" s="33">
        <v>38.369999999999997</v>
      </c>
      <c r="O494" s="33">
        <v>38.369999999999997</v>
      </c>
      <c r="P494" s="33">
        <v>38.369999999999997</v>
      </c>
      <c r="Q494" s="33">
        <v>38.369999999999997</v>
      </c>
      <c r="R494" s="33">
        <v>38.369999999999997</v>
      </c>
      <c r="S494" s="33">
        <v>38.369999999999997</v>
      </c>
      <c r="T494" s="33">
        <v>38.369999999999997</v>
      </c>
      <c r="U494" s="33">
        <v>35.479999999999997</v>
      </c>
      <c r="V494" s="33">
        <v>32.590000000000003</v>
      </c>
      <c r="W494" s="33">
        <v>29.71</v>
      </c>
      <c r="X494" s="33">
        <v>26.82</v>
      </c>
      <c r="Y494" s="33">
        <v>23.93</v>
      </c>
      <c r="Z494" s="33">
        <v>21.04</v>
      </c>
      <c r="AA494" s="33">
        <v>18.16</v>
      </c>
      <c r="AB494" s="33">
        <v>15.27</v>
      </c>
      <c r="AC494" s="33">
        <v>12.38</v>
      </c>
      <c r="AD494" s="33">
        <v>12.09</v>
      </c>
      <c r="AE494" s="33">
        <v>11.8</v>
      </c>
      <c r="AF494" s="33">
        <v>11.51</v>
      </c>
      <c r="AG494" s="33">
        <v>11.22</v>
      </c>
      <c r="AH494" s="33">
        <v>10.94</v>
      </c>
      <c r="AI494" s="33">
        <v>10.65</v>
      </c>
      <c r="AJ494" s="33">
        <v>10.36</v>
      </c>
      <c r="AK494" s="33">
        <v>10.07</v>
      </c>
      <c r="AL494" s="33">
        <v>9.7799999999999994</v>
      </c>
      <c r="AM494" s="33">
        <v>9.49</v>
      </c>
      <c r="AN494" s="33">
        <v>9.1999999999999993</v>
      </c>
      <c r="AO494" s="33">
        <v>8.91</v>
      </c>
      <c r="AP494" s="33">
        <v>8.6199999999999992</v>
      </c>
      <c r="AQ494" s="33">
        <v>8.33</v>
      </c>
      <c r="AR494" s="33">
        <v>8.0500000000000007</v>
      </c>
      <c r="AS494" s="33">
        <v>7.76</v>
      </c>
      <c r="AT494" s="33">
        <v>7.47</v>
      </c>
      <c r="AU494" s="33">
        <v>7.18</v>
      </c>
      <c r="AV494" s="33">
        <v>6.89</v>
      </c>
      <c r="AW494" s="33">
        <v>6.6</v>
      </c>
      <c r="AX494" s="33">
        <v>6.6</v>
      </c>
      <c r="AY494" s="33">
        <v>6.6</v>
      </c>
      <c r="AZ494" s="33">
        <v>6.6</v>
      </c>
      <c r="BA494" s="33">
        <v>6.6</v>
      </c>
      <c r="BB494" s="33">
        <v>6.6</v>
      </c>
      <c r="BC494" s="33">
        <v>6.6</v>
      </c>
      <c r="BD494" s="33">
        <v>6.6</v>
      </c>
      <c r="BE494" s="33">
        <v>6.6</v>
      </c>
      <c r="BF494" s="33">
        <v>6.6</v>
      </c>
      <c r="BG494" s="33">
        <v>6.6</v>
      </c>
      <c r="BH494" s="33">
        <v>6.6</v>
      </c>
      <c r="BI494" s="33">
        <v>6.6</v>
      </c>
      <c r="BJ494" s="33">
        <v>6.6</v>
      </c>
      <c r="BK494" s="33">
        <v>6.6</v>
      </c>
      <c r="BL494" s="33">
        <v>6.6</v>
      </c>
      <c r="BM494" s="33">
        <v>6.6</v>
      </c>
      <c r="BN494" s="33">
        <v>6.6</v>
      </c>
      <c r="BO494" s="33">
        <v>6.6</v>
      </c>
      <c r="BP494" s="33">
        <v>6.6</v>
      </c>
      <c r="BQ494" s="33">
        <v>6.6</v>
      </c>
    </row>
    <row r="495" spans="1:69" s="34" customFormat="1" hidden="1" x14ac:dyDescent="0.25">
      <c r="A495" s="33">
        <v>49</v>
      </c>
      <c r="B495" s="33" t="s">
        <v>187</v>
      </c>
      <c r="C495" s="36" t="s">
        <v>188</v>
      </c>
      <c r="D495" s="33">
        <v>4</v>
      </c>
      <c r="E495" s="36" t="s">
        <v>493</v>
      </c>
      <c r="F495" s="33"/>
      <c r="G495" s="33" t="s">
        <v>490</v>
      </c>
      <c r="H495" s="33">
        <v>0</v>
      </c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</row>
    <row r="496" spans="1:69" s="34" customFormat="1" hidden="1" x14ac:dyDescent="0.25">
      <c r="A496" s="33">
        <v>49</v>
      </c>
      <c r="B496" s="33" t="s">
        <v>187</v>
      </c>
      <c r="C496" s="36" t="s">
        <v>188</v>
      </c>
      <c r="D496" s="33">
        <v>5</v>
      </c>
      <c r="E496" s="36" t="s">
        <v>494</v>
      </c>
      <c r="F496" s="33"/>
      <c r="G496" s="33" t="s">
        <v>490</v>
      </c>
      <c r="H496" s="33">
        <v>0</v>
      </c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</row>
    <row r="497" spans="1:69" s="34" customFormat="1" hidden="1" x14ac:dyDescent="0.25">
      <c r="A497" s="33">
        <v>49</v>
      </c>
      <c r="B497" s="33" t="s">
        <v>187</v>
      </c>
      <c r="C497" s="36" t="s">
        <v>188</v>
      </c>
      <c r="D497" s="33">
        <v>6</v>
      </c>
      <c r="E497" s="36" t="s">
        <v>495</v>
      </c>
      <c r="F497" s="33"/>
      <c r="G497" s="33" t="s">
        <v>490</v>
      </c>
      <c r="H497" s="33">
        <v>0</v>
      </c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</row>
    <row r="498" spans="1:69" s="34" customFormat="1" hidden="1" x14ac:dyDescent="0.25">
      <c r="A498" s="33">
        <v>49</v>
      </c>
      <c r="B498" s="33" t="s">
        <v>187</v>
      </c>
      <c r="C498" s="36" t="s">
        <v>188</v>
      </c>
      <c r="D498" s="33">
        <v>7</v>
      </c>
      <c r="E498" s="36" t="s">
        <v>496</v>
      </c>
      <c r="F498" s="33"/>
      <c r="G498" s="33" t="s">
        <v>490</v>
      </c>
      <c r="H498" s="33">
        <v>0</v>
      </c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</row>
    <row r="499" spans="1:69" s="34" customFormat="1" hidden="1" x14ac:dyDescent="0.25">
      <c r="A499" s="33">
        <v>49</v>
      </c>
      <c r="B499" s="33" t="s">
        <v>187</v>
      </c>
      <c r="C499" s="36" t="s">
        <v>188</v>
      </c>
      <c r="D499" s="33">
        <v>8</v>
      </c>
      <c r="E499" s="36" t="s">
        <v>497</v>
      </c>
      <c r="F499" s="33"/>
      <c r="G499" s="33" t="s">
        <v>490</v>
      </c>
      <c r="H499" s="33">
        <v>0</v>
      </c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</row>
    <row r="500" spans="1:69" s="34" customFormat="1" hidden="1" x14ac:dyDescent="0.25">
      <c r="A500" s="33">
        <v>49</v>
      </c>
      <c r="B500" s="33" t="s">
        <v>187</v>
      </c>
      <c r="C500" s="36" t="s">
        <v>188</v>
      </c>
      <c r="D500" s="33">
        <v>9</v>
      </c>
      <c r="E500" s="36" t="s">
        <v>498</v>
      </c>
      <c r="F500" s="33"/>
      <c r="G500" s="33" t="s">
        <v>490</v>
      </c>
      <c r="H500" s="33">
        <v>0</v>
      </c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</row>
    <row r="501" spans="1:69" s="34" customFormat="1" hidden="1" x14ac:dyDescent="0.25">
      <c r="A501" s="33">
        <v>49</v>
      </c>
      <c r="B501" s="33" t="s">
        <v>187</v>
      </c>
      <c r="C501" s="36" t="s">
        <v>188</v>
      </c>
      <c r="D501" s="33">
        <v>10</v>
      </c>
      <c r="E501" s="36" t="s">
        <v>499</v>
      </c>
      <c r="F501" s="33"/>
      <c r="G501" s="33" t="s">
        <v>490</v>
      </c>
      <c r="H501" s="33">
        <v>0</v>
      </c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</row>
    <row r="502" spans="1:69" s="44" customFormat="1" hidden="1" x14ac:dyDescent="0.25">
      <c r="A502" s="43">
        <v>50</v>
      </c>
      <c r="B502" s="43" t="s">
        <v>526</v>
      </c>
      <c r="C502" s="20" t="s">
        <v>489</v>
      </c>
      <c r="D502" s="43">
        <v>1</v>
      </c>
      <c r="E502" s="20" t="s">
        <v>489</v>
      </c>
      <c r="F502" s="43"/>
      <c r="G502" s="43" t="s">
        <v>501</v>
      </c>
      <c r="H502" s="43">
        <v>0</v>
      </c>
      <c r="I502" s="43">
        <v>1070</v>
      </c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</row>
    <row r="503" spans="1:69" s="44" customFormat="1" hidden="1" x14ac:dyDescent="0.25">
      <c r="A503" s="43">
        <v>50</v>
      </c>
      <c r="B503" s="43" t="s">
        <v>526</v>
      </c>
      <c r="C503" s="20" t="s">
        <v>491</v>
      </c>
      <c r="D503" s="43">
        <v>2</v>
      </c>
      <c r="E503" s="20" t="s">
        <v>491</v>
      </c>
      <c r="F503" s="43"/>
      <c r="G503" s="43" t="s">
        <v>501</v>
      </c>
      <c r="H503" s="43">
        <v>0</v>
      </c>
      <c r="I503" s="43">
        <v>20</v>
      </c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</row>
    <row r="504" spans="1:69" s="44" customFormat="1" hidden="1" x14ac:dyDescent="0.25">
      <c r="A504" s="43">
        <v>50</v>
      </c>
      <c r="B504" s="43" t="s">
        <v>526</v>
      </c>
      <c r="C504" s="20" t="s">
        <v>492</v>
      </c>
      <c r="D504" s="43">
        <v>3</v>
      </c>
      <c r="E504" s="20" t="s">
        <v>492</v>
      </c>
      <c r="F504" s="43"/>
      <c r="G504" s="43" t="s">
        <v>500</v>
      </c>
      <c r="H504" s="43">
        <v>0</v>
      </c>
      <c r="I504" s="45">
        <v>9.09</v>
      </c>
      <c r="J504" s="45">
        <v>9.09</v>
      </c>
      <c r="K504" s="45">
        <v>9.09</v>
      </c>
      <c r="L504" s="45">
        <v>9.09</v>
      </c>
      <c r="M504" s="45">
        <v>9.09</v>
      </c>
      <c r="N504" s="45">
        <v>9.09</v>
      </c>
      <c r="O504" s="45">
        <v>9.09</v>
      </c>
      <c r="P504" s="45">
        <v>9.09</v>
      </c>
      <c r="Q504" s="45">
        <v>9.09</v>
      </c>
      <c r="R504" s="45">
        <v>9.09</v>
      </c>
      <c r="S504" s="45">
        <v>5.6841862884691281</v>
      </c>
      <c r="T504" s="45">
        <v>5.5648829122732453</v>
      </c>
      <c r="U504" s="45">
        <v>5.674309977103098</v>
      </c>
      <c r="V504" s="45">
        <v>5.5648937610992757</v>
      </c>
      <c r="W504" s="45">
        <v>5.5648885140799118</v>
      </c>
      <c r="X504" s="45">
        <v>5.56489843505714</v>
      </c>
      <c r="Y504" s="45">
        <v>5.5648890517176079</v>
      </c>
      <c r="Z504" s="45">
        <v>5.5648948523983286</v>
      </c>
      <c r="AA504" s="45">
        <v>5.5648973305218465</v>
      </c>
      <c r="AB504" s="45">
        <v>5.5648916622058282</v>
      </c>
      <c r="AC504" s="45">
        <v>5.5648965433336341</v>
      </c>
      <c r="AD504" s="45">
        <v>5.5649015745012305</v>
      </c>
      <c r="AE504" s="45">
        <v>5.5648971974512937</v>
      </c>
      <c r="AF504" s="45">
        <v>5.5648922379657835</v>
      </c>
      <c r="AG504" s="45">
        <v>5.5648844202172336</v>
      </c>
      <c r="AH504" s="45">
        <v>5.5648951361044956</v>
      </c>
      <c r="AI504" s="45">
        <v>5.5648955289885773</v>
      </c>
      <c r="AJ504" s="45">
        <v>5.5648955289885773</v>
      </c>
      <c r="AK504" s="45">
        <v>5.5648955289885773</v>
      </c>
      <c r="AL504" s="45">
        <v>5.5648955289885773</v>
      </c>
      <c r="AM504" s="45">
        <v>5.5648955289885773</v>
      </c>
      <c r="AN504" s="45">
        <v>5.5648955289885773</v>
      </c>
      <c r="AO504" s="45">
        <v>5.5648955289885773</v>
      </c>
      <c r="AP504" s="45">
        <v>5.5648955289885773</v>
      </c>
      <c r="AQ504" s="45">
        <v>5.5648955289885773</v>
      </c>
      <c r="AR504" s="45">
        <v>5.5648955289885773</v>
      </c>
      <c r="AS504" s="45">
        <v>5.5648955289885773</v>
      </c>
      <c r="AT504" s="45">
        <v>5.5648955289885773</v>
      </c>
      <c r="AU504" s="45">
        <v>5.5648955289885773</v>
      </c>
      <c r="AV504" s="45">
        <v>5.5648955289885773</v>
      </c>
      <c r="AW504" s="45">
        <v>5.5648955289885773</v>
      </c>
      <c r="AX504" s="45">
        <v>5.5648955289885773</v>
      </c>
      <c r="AY504" s="45">
        <v>5.5648955289885773</v>
      </c>
      <c r="AZ504" s="45">
        <v>5.5648955289885773</v>
      </c>
      <c r="BA504" s="45">
        <v>5.5648955289885773</v>
      </c>
      <c r="BB504" s="45">
        <v>5.5648955289885773</v>
      </c>
      <c r="BC504" s="45">
        <v>5.5648955289885773</v>
      </c>
      <c r="BD504" s="45">
        <v>5.5648955289885773</v>
      </c>
      <c r="BE504" s="45">
        <v>5.5648955289885773</v>
      </c>
      <c r="BF504" s="45">
        <v>5.5648955289885773</v>
      </c>
      <c r="BG504" s="45">
        <v>5.5648955289885773</v>
      </c>
      <c r="BH504" s="45">
        <v>5.5648955289885773</v>
      </c>
      <c r="BI504" s="45">
        <v>5.5648955289885773</v>
      </c>
      <c r="BJ504" s="45">
        <v>5.5648955289885773</v>
      </c>
      <c r="BK504" s="45">
        <v>5.5648955289885773</v>
      </c>
      <c r="BL504" s="45">
        <v>5.5648955289885773</v>
      </c>
      <c r="BM504" s="45">
        <v>5.5648955289885773</v>
      </c>
      <c r="BN504" s="45">
        <v>5.5648955289885773</v>
      </c>
      <c r="BO504" s="45">
        <v>5.5648955289885773</v>
      </c>
      <c r="BP504" s="45">
        <v>5.5648955289885773</v>
      </c>
      <c r="BQ504" s="45">
        <v>5.5648955289885773</v>
      </c>
    </row>
    <row r="505" spans="1:69" s="44" customFormat="1" hidden="1" x14ac:dyDescent="0.25">
      <c r="A505" s="43">
        <v>50</v>
      </c>
      <c r="B505" s="43" t="s">
        <v>526</v>
      </c>
      <c r="C505" s="20" t="s">
        <v>493</v>
      </c>
      <c r="D505" s="43">
        <v>4</v>
      </c>
      <c r="E505" s="20" t="s">
        <v>493</v>
      </c>
      <c r="F505" s="43"/>
      <c r="G505" s="43" t="s">
        <v>500</v>
      </c>
      <c r="H505" s="43">
        <v>0</v>
      </c>
      <c r="I505" s="43">
        <v>1.1858504399999999E-2</v>
      </c>
      <c r="J505" s="43">
        <v>1.2077403839999999E-2</v>
      </c>
      <c r="K505" s="43">
        <v>1.3112429039999998E-2</v>
      </c>
      <c r="L505" s="43">
        <v>1.3203761039999999E-2</v>
      </c>
      <c r="M505" s="43">
        <v>1.3982631839999999E-2</v>
      </c>
      <c r="N505" s="43">
        <v>1.4470302239999996E-2</v>
      </c>
      <c r="O505" s="43">
        <v>1.5233922719999999E-2</v>
      </c>
      <c r="P505" s="43">
        <v>1.4169161519999999E-2</v>
      </c>
      <c r="Q505" s="43">
        <v>1.44E-2</v>
      </c>
      <c r="R505" s="43">
        <v>1.44E-2</v>
      </c>
      <c r="S505" s="43">
        <v>1.44E-2</v>
      </c>
      <c r="T505" s="43">
        <v>1.44E-2</v>
      </c>
      <c r="U505" s="43">
        <v>1.44E-2</v>
      </c>
      <c r="V505" s="43">
        <v>1.44E-2</v>
      </c>
      <c r="W505" s="43">
        <v>1.44E-2</v>
      </c>
      <c r="X505" s="43">
        <v>1.44E-2</v>
      </c>
      <c r="Y505" s="43">
        <v>1.44E-2</v>
      </c>
      <c r="Z505" s="43">
        <v>1.44E-2</v>
      </c>
      <c r="AA505" s="43">
        <v>1.44E-2</v>
      </c>
      <c r="AB505" s="43">
        <v>1.44E-2</v>
      </c>
      <c r="AC505" s="43">
        <v>1.44E-2</v>
      </c>
      <c r="AD505" s="43">
        <v>1.44E-2</v>
      </c>
      <c r="AE505" s="43">
        <v>1.44E-2</v>
      </c>
      <c r="AF505" s="43">
        <v>1.44E-2</v>
      </c>
      <c r="AG505" s="43">
        <v>1.44E-2</v>
      </c>
      <c r="AH505" s="43">
        <v>1.44E-2</v>
      </c>
      <c r="AI505" s="43">
        <v>1.44E-2</v>
      </c>
      <c r="AJ505" s="43">
        <v>1.44E-2</v>
      </c>
      <c r="AK505" s="43">
        <v>1.44E-2</v>
      </c>
      <c r="AL505" s="43">
        <v>1.44E-2</v>
      </c>
      <c r="AM505" s="43">
        <v>1.44E-2</v>
      </c>
      <c r="AN505" s="43">
        <v>1.44E-2</v>
      </c>
      <c r="AO505" s="43">
        <v>1.44E-2</v>
      </c>
      <c r="AP505" s="43">
        <v>1.44E-2</v>
      </c>
      <c r="AQ505" s="43">
        <v>1.44E-2</v>
      </c>
      <c r="AR505" s="43">
        <v>1.44E-2</v>
      </c>
      <c r="AS505" s="43">
        <v>1.44E-2</v>
      </c>
      <c r="AT505" s="43">
        <v>1.44E-2</v>
      </c>
      <c r="AU505" s="43">
        <v>1.44E-2</v>
      </c>
      <c r="AV505" s="43">
        <v>1.44E-2</v>
      </c>
      <c r="AW505" s="43">
        <v>1.44E-2</v>
      </c>
      <c r="AX505" s="43">
        <v>1.44E-2</v>
      </c>
      <c r="AY505" s="43">
        <v>1.44E-2</v>
      </c>
      <c r="AZ505" s="43">
        <v>1.44E-2</v>
      </c>
      <c r="BA505" s="43">
        <v>1.44E-2</v>
      </c>
      <c r="BB505" s="43">
        <v>1.44E-2</v>
      </c>
      <c r="BC505" s="43">
        <v>1.44E-2</v>
      </c>
      <c r="BD505" s="43">
        <v>1.44E-2</v>
      </c>
      <c r="BE505" s="43">
        <v>1.44E-2</v>
      </c>
      <c r="BF505" s="43">
        <v>1.44E-2</v>
      </c>
      <c r="BG505" s="43">
        <v>1.44E-2</v>
      </c>
      <c r="BH505" s="43">
        <v>1.44E-2</v>
      </c>
      <c r="BI505" s="43">
        <v>1.44E-2</v>
      </c>
      <c r="BJ505" s="43">
        <v>1.44E-2</v>
      </c>
      <c r="BK505" s="43">
        <v>1.44E-2</v>
      </c>
      <c r="BL505" s="43">
        <v>1.44E-2</v>
      </c>
      <c r="BM505" s="43">
        <v>1.44E-2</v>
      </c>
      <c r="BN505" s="43">
        <v>1.44E-2</v>
      </c>
      <c r="BO505" s="43">
        <v>1.44E-2</v>
      </c>
      <c r="BP505" s="43">
        <v>1.44E-2</v>
      </c>
      <c r="BQ505" s="43">
        <v>1.44E-2</v>
      </c>
    </row>
    <row r="506" spans="1:69" s="44" customFormat="1" hidden="1" x14ac:dyDescent="0.25">
      <c r="A506" s="43">
        <v>50</v>
      </c>
      <c r="B506" s="43" t="s">
        <v>526</v>
      </c>
      <c r="C506" s="20" t="s">
        <v>550</v>
      </c>
      <c r="D506" s="43">
        <v>5</v>
      </c>
      <c r="E506" s="20" t="s">
        <v>494</v>
      </c>
      <c r="F506" s="43"/>
      <c r="G506" s="43" t="s">
        <v>500</v>
      </c>
      <c r="H506" s="43">
        <v>0</v>
      </c>
      <c r="I506" s="43">
        <v>1.1858504399999999E-2</v>
      </c>
      <c r="J506" s="43">
        <v>1.2077403839999999E-2</v>
      </c>
      <c r="K506" s="43">
        <v>1.3112429039999998E-2</v>
      </c>
      <c r="L506" s="43">
        <v>1.3203761039999999E-2</v>
      </c>
      <c r="M506" s="43">
        <v>1.3982631839999999E-2</v>
      </c>
      <c r="N506" s="43">
        <v>1.4470302239999996E-2</v>
      </c>
      <c r="O506" s="43">
        <v>1.5233922719999999E-2</v>
      </c>
      <c r="P506" s="43">
        <v>1.4169161519999999E-2</v>
      </c>
      <c r="Q506" s="43">
        <v>1.44E-2</v>
      </c>
      <c r="R506" s="43">
        <v>1.44E-2</v>
      </c>
      <c r="S506" s="43">
        <v>1.44E-2</v>
      </c>
      <c r="T506" s="43">
        <v>1.44E-2</v>
      </c>
      <c r="U506" s="43">
        <v>1.44E-2</v>
      </c>
      <c r="V506" s="43">
        <v>1.44E-2</v>
      </c>
      <c r="W506" s="43">
        <v>1.44E-2</v>
      </c>
      <c r="X506" s="43">
        <v>1.44E-2</v>
      </c>
      <c r="Y506" s="43">
        <v>1.44E-2</v>
      </c>
      <c r="Z506" s="43">
        <v>1.44E-2</v>
      </c>
      <c r="AA506" s="43">
        <v>1.44E-2</v>
      </c>
      <c r="AB506" s="43">
        <v>1.44E-2</v>
      </c>
      <c r="AC506" s="43">
        <v>1.44E-2</v>
      </c>
      <c r="AD506" s="43">
        <v>1.44E-2</v>
      </c>
      <c r="AE506" s="43">
        <v>1.44E-2</v>
      </c>
      <c r="AF506" s="43">
        <v>1.44E-2</v>
      </c>
      <c r="AG506" s="43">
        <v>1.44E-2</v>
      </c>
      <c r="AH506" s="43">
        <v>1.44E-2</v>
      </c>
      <c r="AI506" s="43">
        <v>1.44E-2</v>
      </c>
      <c r="AJ506" s="43">
        <v>1.44E-2</v>
      </c>
      <c r="AK506" s="43">
        <v>1.44E-2</v>
      </c>
      <c r="AL506" s="43">
        <v>1.44E-2</v>
      </c>
      <c r="AM506" s="43">
        <v>1.44E-2</v>
      </c>
      <c r="AN506" s="43">
        <v>1.44E-2</v>
      </c>
      <c r="AO506" s="43">
        <v>1.44E-2</v>
      </c>
      <c r="AP506" s="43">
        <v>1.44E-2</v>
      </c>
      <c r="AQ506" s="43">
        <v>1.44E-2</v>
      </c>
      <c r="AR506" s="43">
        <v>1.44E-2</v>
      </c>
      <c r="AS506" s="43">
        <v>1.44E-2</v>
      </c>
      <c r="AT506" s="43">
        <v>1.44E-2</v>
      </c>
      <c r="AU506" s="43">
        <v>1.44E-2</v>
      </c>
      <c r="AV506" s="43">
        <v>1.44E-2</v>
      </c>
      <c r="AW506" s="43">
        <v>1.44E-2</v>
      </c>
      <c r="AX506" s="43">
        <v>1.44E-2</v>
      </c>
      <c r="AY506" s="43">
        <v>1.44E-2</v>
      </c>
      <c r="AZ506" s="43">
        <v>1.44E-2</v>
      </c>
      <c r="BA506" s="43">
        <v>1.44E-2</v>
      </c>
      <c r="BB506" s="43">
        <v>1.44E-2</v>
      </c>
      <c r="BC506" s="43">
        <v>1.44E-2</v>
      </c>
      <c r="BD506" s="43">
        <v>1.44E-2</v>
      </c>
      <c r="BE506" s="43">
        <v>1.44E-2</v>
      </c>
      <c r="BF506" s="43">
        <v>1.44E-2</v>
      </c>
      <c r="BG506" s="43">
        <v>1.44E-2</v>
      </c>
      <c r="BH506" s="43">
        <v>1.44E-2</v>
      </c>
      <c r="BI506" s="43">
        <v>1.44E-2</v>
      </c>
      <c r="BJ506" s="43">
        <v>1.44E-2</v>
      </c>
      <c r="BK506" s="43">
        <v>1.44E-2</v>
      </c>
      <c r="BL506" s="43">
        <v>1.44E-2</v>
      </c>
      <c r="BM506" s="43">
        <v>1.44E-2</v>
      </c>
      <c r="BN506" s="43">
        <v>1.44E-2</v>
      </c>
      <c r="BO506" s="43">
        <v>1.44E-2</v>
      </c>
      <c r="BP506" s="43">
        <v>1.44E-2</v>
      </c>
      <c r="BQ506" s="43">
        <v>1.44E-2</v>
      </c>
    </row>
    <row r="507" spans="1:69" s="44" customFormat="1" hidden="1" x14ac:dyDescent="0.25">
      <c r="A507" s="43">
        <v>50</v>
      </c>
      <c r="B507" s="43" t="s">
        <v>526</v>
      </c>
      <c r="C507" s="20" t="s">
        <v>495</v>
      </c>
      <c r="D507" s="43">
        <v>6</v>
      </c>
      <c r="E507" s="20" t="s">
        <v>495</v>
      </c>
      <c r="F507" s="43"/>
      <c r="G507" s="43" t="s">
        <v>490</v>
      </c>
      <c r="H507" s="43">
        <v>0</v>
      </c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</row>
    <row r="508" spans="1:69" s="44" customFormat="1" hidden="1" x14ac:dyDescent="0.25">
      <c r="A508" s="43">
        <v>50</v>
      </c>
      <c r="B508" s="43" t="s">
        <v>526</v>
      </c>
      <c r="C508" s="20" t="s">
        <v>496</v>
      </c>
      <c r="D508" s="43">
        <v>7</v>
      </c>
      <c r="E508" s="20" t="s">
        <v>496</v>
      </c>
      <c r="F508" s="43"/>
      <c r="G508" s="43" t="s">
        <v>500</v>
      </c>
      <c r="H508" s="43">
        <v>0</v>
      </c>
      <c r="I508" s="43">
        <v>0.41484371068704773</v>
      </c>
      <c r="J508" s="43">
        <v>0.35613205142580956</v>
      </c>
      <c r="K508" s="43">
        <v>0.40224313531071554</v>
      </c>
      <c r="L508" s="43">
        <v>0.46286633696650564</v>
      </c>
      <c r="M508" s="43">
        <v>0.48194274984274849</v>
      </c>
      <c r="N508" s="43">
        <v>0.48026527386385592</v>
      </c>
      <c r="O508" s="43">
        <v>0.42397230089776516</v>
      </c>
      <c r="P508" s="43">
        <v>0.28770663591470541</v>
      </c>
      <c r="Q508" s="43">
        <v>0.25490000000000002</v>
      </c>
      <c r="R508" s="43">
        <v>0.23549999999999999</v>
      </c>
      <c r="S508" s="43">
        <v>0.24729999999999999</v>
      </c>
      <c r="T508" s="43">
        <v>0.25280000000000002</v>
      </c>
      <c r="U508" s="43">
        <v>0.24728357166953693</v>
      </c>
      <c r="V508" s="43">
        <v>0.24728357166953693</v>
      </c>
      <c r="W508" s="43">
        <v>0.24728357166953693</v>
      </c>
      <c r="X508" s="43">
        <v>0.24728357166953693</v>
      </c>
      <c r="Y508" s="43">
        <v>0.24728357166953693</v>
      </c>
      <c r="Z508" s="43">
        <v>0.24728357166953693</v>
      </c>
      <c r="AA508" s="43">
        <v>0.24728357166953693</v>
      </c>
      <c r="AB508" s="43">
        <v>0.24728357166953693</v>
      </c>
      <c r="AC508" s="43">
        <v>0.24728357166953693</v>
      </c>
      <c r="AD508" s="43">
        <v>0.24728357166953693</v>
      </c>
      <c r="AE508" s="43">
        <v>0.24728357166953693</v>
      </c>
      <c r="AF508" s="43">
        <v>0.24728357166953693</v>
      </c>
      <c r="AG508" s="43">
        <v>0.24728357166953693</v>
      </c>
      <c r="AH508" s="43">
        <v>0.24728357166953693</v>
      </c>
      <c r="AI508" s="43">
        <v>0.24728357166953693</v>
      </c>
      <c r="AJ508" s="43">
        <v>0.24728357166953693</v>
      </c>
      <c r="AK508" s="43">
        <v>0.24728357166953693</v>
      </c>
      <c r="AL508" s="43">
        <v>0.24728357166953693</v>
      </c>
      <c r="AM508" s="43">
        <v>0.24728357166953693</v>
      </c>
      <c r="AN508" s="43">
        <v>0.24728357166953693</v>
      </c>
      <c r="AO508" s="43">
        <v>0.24728357166953693</v>
      </c>
      <c r="AP508" s="43">
        <v>0.24728357166953693</v>
      </c>
      <c r="AQ508" s="43">
        <v>0.24728357166953693</v>
      </c>
      <c r="AR508" s="43">
        <v>0.24728357166953693</v>
      </c>
      <c r="AS508" s="43">
        <v>0.24728357166953693</v>
      </c>
      <c r="AT508" s="43">
        <v>0.24728357166953693</v>
      </c>
      <c r="AU508" s="43">
        <v>0.24728357166953693</v>
      </c>
      <c r="AV508" s="43">
        <v>0.24728357166953693</v>
      </c>
      <c r="AW508" s="43">
        <v>0.24728357166953693</v>
      </c>
      <c r="AX508" s="43">
        <v>0.24728357166953693</v>
      </c>
      <c r="AY508" s="43">
        <v>0.24728357166953693</v>
      </c>
      <c r="AZ508" s="43">
        <v>0.24728357166953693</v>
      </c>
      <c r="BA508" s="43">
        <v>0.24728357166953693</v>
      </c>
      <c r="BB508" s="43">
        <v>0.24728357166953693</v>
      </c>
      <c r="BC508" s="43">
        <v>0.24728357166953693</v>
      </c>
      <c r="BD508" s="43">
        <v>0.24728357166953693</v>
      </c>
      <c r="BE508" s="43">
        <v>0.24728357166953693</v>
      </c>
      <c r="BF508" s="43">
        <v>0.24728357166953693</v>
      </c>
      <c r="BG508" s="43">
        <v>0.24728357166953693</v>
      </c>
      <c r="BH508" s="43">
        <v>0.24728357166953693</v>
      </c>
      <c r="BI508" s="43">
        <v>0.24728357166953693</v>
      </c>
      <c r="BJ508" s="43">
        <v>0.24728357166953693</v>
      </c>
      <c r="BK508" s="43">
        <v>0.24728357166953693</v>
      </c>
      <c r="BL508" s="43">
        <v>0.24728357166953693</v>
      </c>
      <c r="BM508" s="43">
        <v>0.24728357166953693</v>
      </c>
      <c r="BN508" s="43">
        <v>0.24728357166953693</v>
      </c>
      <c r="BO508" s="43">
        <v>0.24728357166953693</v>
      </c>
      <c r="BP508" s="43">
        <v>0.24728357166953693</v>
      </c>
      <c r="BQ508" s="43">
        <v>0.24728357166953693</v>
      </c>
    </row>
    <row r="509" spans="1:69" s="44" customFormat="1" hidden="1" x14ac:dyDescent="0.25">
      <c r="A509" s="43">
        <v>50</v>
      </c>
      <c r="B509" s="43" t="s">
        <v>526</v>
      </c>
      <c r="C509" s="20" t="s">
        <v>497</v>
      </c>
      <c r="D509" s="43">
        <v>8</v>
      </c>
      <c r="E509" s="20" t="s">
        <v>497</v>
      </c>
      <c r="F509" s="43"/>
      <c r="G509" s="43" t="s">
        <v>490</v>
      </c>
      <c r="H509" s="43">
        <v>0</v>
      </c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</row>
    <row r="510" spans="1:69" s="44" customFormat="1" hidden="1" x14ac:dyDescent="0.25">
      <c r="A510" s="43">
        <v>50</v>
      </c>
      <c r="B510" s="43" t="s">
        <v>526</v>
      </c>
      <c r="C510" s="20" t="s">
        <v>498</v>
      </c>
      <c r="D510" s="43">
        <v>9</v>
      </c>
      <c r="E510" s="20" t="s">
        <v>498</v>
      </c>
      <c r="F510" s="43"/>
      <c r="G510" s="43" t="s">
        <v>500</v>
      </c>
      <c r="H510" s="43">
        <v>0</v>
      </c>
      <c r="I510" s="43">
        <v>1.1795</v>
      </c>
      <c r="J510" s="43">
        <v>0.99419999999999997</v>
      </c>
      <c r="K510" s="43">
        <v>1.0343</v>
      </c>
      <c r="L510" s="43">
        <v>1.1819</v>
      </c>
      <c r="M510" s="43">
        <v>1.1620999999999999</v>
      </c>
      <c r="N510" s="43">
        <v>1.119</v>
      </c>
      <c r="O510" s="43">
        <v>0.93830000000000002</v>
      </c>
      <c r="P510" s="43">
        <v>0.68459999999999999</v>
      </c>
      <c r="Q510" s="43">
        <v>0.59689999999999999</v>
      </c>
      <c r="R510" s="43">
        <v>0.55130000000000001</v>
      </c>
      <c r="S510" s="43">
        <v>0.57899999999999996</v>
      </c>
      <c r="T510" s="43">
        <v>0.59189999999999998</v>
      </c>
      <c r="U510" s="43">
        <v>0.6</v>
      </c>
      <c r="V510" s="43">
        <v>0.6</v>
      </c>
      <c r="W510" s="43">
        <v>0.6</v>
      </c>
      <c r="X510" s="43">
        <v>0.6</v>
      </c>
      <c r="Y510" s="43">
        <v>0.6</v>
      </c>
      <c r="Z510" s="43">
        <v>0.6</v>
      </c>
      <c r="AA510" s="43">
        <v>0.6</v>
      </c>
      <c r="AB510" s="43">
        <v>0.6</v>
      </c>
      <c r="AC510" s="43">
        <v>0.6</v>
      </c>
      <c r="AD510" s="43">
        <v>0.6</v>
      </c>
      <c r="AE510" s="43">
        <v>0.6</v>
      </c>
      <c r="AF510" s="43">
        <v>0.6</v>
      </c>
      <c r="AG510" s="43">
        <v>0.6</v>
      </c>
      <c r="AH510" s="43">
        <v>0.6</v>
      </c>
      <c r="AI510" s="43">
        <v>0.6</v>
      </c>
      <c r="AJ510" s="43">
        <v>0.6</v>
      </c>
      <c r="AK510" s="43">
        <v>0.6</v>
      </c>
      <c r="AL510" s="43">
        <v>0.6</v>
      </c>
      <c r="AM510" s="43">
        <v>0.6</v>
      </c>
      <c r="AN510" s="43">
        <v>0.6</v>
      </c>
      <c r="AO510" s="43">
        <v>0.6</v>
      </c>
      <c r="AP510" s="43">
        <v>0.6</v>
      </c>
      <c r="AQ510" s="43">
        <v>0.6</v>
      </c>
      <c r="AR510" s="43">
        <v>0.6</v>
      </c>
      <c r="AS510" s="43">
        <v>0.6</v>
      </c>
      <c r="AT510" s="43">
        <v>0.6</v>
      </c>
      <c r="AU510" s="43">
        <v>0.6</v>
      </c>
      <c r="AV510" s="43">
        <v>0.6</v>
      </c>
      <c r="AW510" s="43">
        <v>0.6</v>
      </c>
      <c r="AX510" s="43">
        <v>0.6</v>
      </c>
      <c r="AY510" s="43">
        <v>0.6</v>
      </c>
      <c r="AZ510" s="43">
        <v>0.6</v>
      </c>
      <c r="BA510" s="43">
        <v>0.6</v>
      </c>
      <c r="BB510" s="43">
        <v>0.6</v>
      </c>
      <c r="BC510" s="43">
        <v>0.6</v>
      </c>
      <c r="BD510" s="43">
        <v>0.6</v>
      </c>
      <c r="BE510" s="43">
        <v>0.6</v>
      </c>
      <c r="BF510" s="43">
        <v>0.6</v>
      </c>
      <c r="BG510" s="43">
        <v>0.6</v>
      </c>
      <c r="BH510" s="43">
        <v>0.6</v>
      </c>
      <c r="BI510" s="43">
        <v>0.6</v>
      </c>
      <c r="BJ510" s="43">
        <v>0.6</v>
      </c>
      <c r="BK510" s="43">
        <v>0.6</v>
      </c>
      <c r="BL510" s="43">
        <v>0.6</v>
      </c>
      <c r="BM510" s="43">
        <v>0.6</v>
      </c>
      <c r="BN510" s="43">
        <v>0.6</v>
      </c>
      <c r="BO510" s="43">
        <v>0.6</v>
      </c>
      <c r="BP510" s="43">
        <v>0.6</v>
      </c>
      <c r="BQ510" s="43">
        <v>0.6</v>
      </c>
    </row>
    <row r="511" spans="1:69" s="44" customFormat="1" hidden="1" x14ac:dyDescent="0.25">
      <c r="A511" s="43">
        <v>50</v>
      </c>
      <c r="B511" s="43" t="s">
        <v>526</v>
      </c>
      <c r="C511" s="20" t="s">
        <v>499</v>
      </c>
      <c r="D511" s="43">
        <v>10</v>
      </c>
      <c r="E511" s="20" t="s">
        <v>499</v>
      </c>
      <c r="F511" s="43"/>
      <c r="G511" s="43" t="s">
        <v>501</v>
      </c>
      <c r="H511" s="43">
        <v>0</v>
      </c>
      <c r="I511" s="43">
        <v>0.95</v>
      </c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</row>
    <row r="512" spans="1:69" s="34" customFormat="1" hidden="1" x14ac:dyDescent="0.25">
      <c r="A512" s="33">
        <v>51</v>
      </c>
      <c r="B512" s="33" t="s">
        <v>564</v>
      </c>
      <c r="C512" s="36" t="s">
        <v>489</v>
      </c>
      <c r="D512" s="33">
        <v>1</v>
      </c>
      <c r="E512" s="36" t="s">
        <v>489</v>
      </c>
      <c r="F512" s="33"/>
      <c r="G512" s="33" t="s">
        <v>490</v>
      </c>
      <c r="H512" s="33">
        <v>0</v>
      </c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</row>
    <row r="513" spans="1:69" s="34" customFormat="1" hidden="1" x14ac:dyDescent="0.25">
      <c r="A513" s="33">
        <v>51</v>
      </c>
      <c r="B513" s="33" t="s">
        <v>564</v>
      </c>
      <c r="C513" s="36" t="s">
        <v>491</v>
      </c>
      <c r="D513" s="33">
        <v>2</v>
      </c>
      <c r="E513" s="36" t="s">
        <v>491</v>
      </c>
      <c r="F513" s="33"/>
      <c r="G513" s="33" t="s">
        <v>490</v>
      </c>
      <c r="H513" s="33">
        <v>0</v>
      </c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</row>
    <row r="514" spans="1:69" s="34" customFormat="1" hidden="1" x14ac:dyDescent="0.25">
      <c r="A514" s="33">
        <v>51</v>
      </c>
      <c r="B514" s="33" t="s">
        <v>564</v>
      </c>
      <c r="C514" s="36" t="s">
        <v>492</v>
      </c>
      <c r="D514" s="33">
        <v>3</v>
      </c>
      <c r="E514" s="36" t="s">
        <v>492</v>
      </c>
      <c r="F514" s="33"/>
      <c r="G514" s="33" t="s">
        <v>501</v>
      </c>
      <c r="H514" s="33">
        <v>0</v>
      </c>
      <c r="I514" s="33">
        <v>0.210091269</v>
      </c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</row>
    <row r="515" spans="1:69" s="34" customFormat="1" hidden="1" x14ac:dyDescent="0.25">
      <c r="A515" s="33">
        <v>51</v>
      </c>
      <c r="B515" s="33" t="s">
        <v>564</v>
      </c>
      <c r="C515" s="36" t="s">
        <v>493</v>
      </c>
      <c r="D515" s="33">
        <v>4</v>
      </c>
      <c r="E515" s="36" t="s">
        <v>493</v>
      </c>
      <c r="F515" s="33"/>
      <c r="G515" s="33" t="s">
        <v>490</v>
      </c>
      <c r="H515" s="33">
        <v>0</v>
      </c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</row>
    <row r="516" spans="1:69" s="34" customFormat="1" hidden="1" x14ac:dyDescent="0.25">
      <c r="A516" s="33">
        <v>51</v>
      </c>
      <c r="B516" s="33" t="s">
        <v>564</v>
      </c>
      <c r="C516" s="36" t="s">
        <v>550</v>
      </c>
      <c r="D516" s="33">
        <v>5</v>
      </c>
      <c r="E516" s="36" t="s">
        <v>494</v>
      </c>
      <c r="F516" s="33"/>
      <c r="G516" s="33" t="s">
        <v>490</v>
      </c>
      <c r="H516" s="33">
        <v>0</v>
      </c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</row>
    <row r="517" spans="1:69" s="34" customFormat="1" hidden="1" x14ac:dyDescent="0.25">
      <c r="A517" s="33">
        <v>51</v>
      </c>
      <c r="B517" s="33" t="s">
        <v>564</v>
      </c>
      <c r="C517" s="36" t="s">
        <v>495</v>
      </c>
      <c r="D517" s="33">
        <v>6</v>
      </c>
      <c r="E517" s="36" t="s">
        <v>495</v>
      </c>
      <c r="F517" s="33"/>
      <c r="G517" s="33" t="s">
        <v>490</v>
      </c>
      <c r="H517" s="33">
        <v>0</v>
      </c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</row>
    <row r="518" spans="1:69" s="34" customFormat="1" hidden="1" x14ac:dyDescent="0.25">
      <c r="A518" s="33">
        <v>51</v>
      </c>
      <c r="B518" s="33" t="s">
        <v>564</v>
      </c>
      <c r="C518" s="36" t="s">
        <v>496</v>
      </c>
      <c r="D518" s="33">
        <v>7</v>
      </c>
      <c r="E518" s="36" t="s">
        <v>496</v>
      </c>
      <c r="F518" s="33"/>
      <c r="G518" s="33" t="s">
        <v>490</v>
      </c>
      <c r="H518" s="33">
        <v>0</v>
      </c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</row>
    <row r="519" spans="1:69" s="34" customFormat="1" hidden="1" x14ac:dyDescent="0.25">
      <c r="A519" s="33">
        <v>51</v>
      </c>
      <c r="B519" s="33" t="s">
        <v>564</v>
      </c>
      <c r="C519" s="36" t="s">
        <v>497</v>
      </c>
      <c r="D519" s="33">
        <v>8</v>
      </c>
      <c r="E519" s="36" t="s">
        <v>497</v>
      </c>
      <c r="F519" s="33"/>
      <c r="G519" s="33" t="s">
        <v>490</v>
      </c>
      <c r="H519" s="33">
        <v>0</v>
      </c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</row>
    <row r="520" spans="1:69" s="34" customFormat="1" hidden="1" x14ac:dyDescent="0.25">
      <c r="A520" s="33">
        <v>51</v>
      </c>
      <c r="B520" s="33" t="s">
        <v>564</v>
      </c>
      <c r="C520" s="36" t="s">
        <v>498</v>
      </c>
      <c r="D520" s="33">
        <v>9</v>
      </c>
      <c r="E520" s="36" t="s">
        <v>498</v>
      </c>
      <c r="F520" s="33"/>
      <c r="G520" s="33" t="s">
        <v>490</v>
      </c>
      <c r="H520" s="33">
        <v>0</v>
      </c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</row>
    <row r="521" spans="1:69" s="34" customFormat="1" hidden="1" x14ac:dyDescent="0.25">
      <c r="A521" s="33">
        <v>51</v>
      </c>
      <c r="B521" s="33" t="s">
        <v>564</v>
      </c>
      <c r="C521" s="36" t="s">
        <v>499</v>
      </c>
      <c r="D521" s="33">
        <v>10</v>
      </c>
      <c r="E521" s="36" t="s">
        <v>499</v>
      </c>
      <c r="F521" s="33"/>
      <c r="G521" s="33" t="s">
        <v>490</v>
      </c>
      <c r="H521" s="33">
        <v>0</v>
      </c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</row>
    <row r="525" spans="1:69" x14ac:dyDescent="0.25">
      <c r="Q525" s="32"/>
      <c r="R525" s="32"/>
      <c r="S525" s="32"/>
      <c r="T525" s="32"/>
      <c r="U525" s="32"/>
      <c r="V525" s="32"/>
      <c r="W525" s="32"/>
      <c r="X525" s="32"/>
    </row>
  </sheetData>
  <autoFilter ref="A1:BQ521" xr:uid="{00000000-0001-0000-0200-000000000000}">
    <filterColumn colId="1">
      <filters>
        <filter val="PP_FOIICE"/>
      </filters>
    </filterColumn>
  </autoFilter>
  <sortState xmlns:xlrd2="http://schemas.microsoft.com/office/spreadsheetml/2017/richdata2" ref="A2:BQ521">
    <sortCondition descending="1" ref="A2:A521"/>
    <sortCondition ref="D2:D521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72"/>
  <sheetViews>
    <sheetView workbookViewId="0">
      <pane ySplit="1" topLeftCell="A11" activePane="bottomLeft" state="frozen"/>
      <selection pane="bottomLeft" activeCell="K179" sqref="K179"/>
    </sheetView>
  </sheetViews>
  <sheetFormatPr baseColWidth="10" defaultColWidth="8.85546875" defaultRowHeight="15" x14ac:dyDescent="0.25"/>
  <cols>
    <col min="1" max="1" width="7.28515625" bestFit="1" customWidth="1"/>
    <col min="2" max="2" width="16.28515625" bestFit="1" customWidth="1"/>
    <col min="3" max="3" width="41.85546875" bestFit="1" customWidth="1"/>
    <col min="4" max="4" width="15.140625" bestFit="1" customWidth="1"/>
    <col min="5" max="5" width="38.28515625" bestFit="1" customWidth="1"/>
    <col min="6" max="6" width="4.5703125" bestFit="1" customWidth="1"/>
    <col min="7" max="7" width="15.140625" bestFit="1" customWidth="1"/>
    <col min="8" max="8" width="19.140625" bestFit="1" customWidth="1"/>
    <col min="9" max="15" width="19.140625" customWidth="1"/>
    <col min="16" max="16" width="6.7109375" customWidth="1"/>
    <col min="17" max="69" width="4.85546875" bestFit="1" customWidth="1"/>
  </cols>
  <sheetData>
    <row r="1" spans="1:69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487</v>
      </c>
      <c r="H1" s="1" t="s">
        <v>488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25">
      <c r="A2" s="6">
        <v>1</v>
      </c>
      <c r="B2" s="6" t="s">
        <v>190</v>
      </c>
      <c r="C2" s="6" t="s">
        <v>191</v>
      </c>
      <c r="D2" s="6">
        <v>1</v>
      </c>
      <c r="E2" s="6" t="s">
        <v>489</v>
      </c>
      <c r="F2" s="6"/>
      <c r="G2" s="6" t="s">
        <v>490</v>
      </c>
      <c r="H2" s="6">
        <v>0</v>
      </c>
      <c r="I2" s="6"/>
      <c r="J2" s="6"/>
      <c r="K2" s="6"/>
      <c r="L2" s="6"/>
      <c r="M2" s="6"/>
      <c r="N2" s="6"/>
      <c r="O2" s="6"/>
      <c r="P2" s="6"/>
      <c r="Q2" s="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x14ac:dyDescent="0.25">
      <c r="A3" s="6">
        <v>1</v>
      </c>
      <c r="B3" s="6" t="s">
        <v>190</v>
      </c>
      <c r="C3" s="6" t="s">
        <v>191</v>
      </c>
      <c r="D3" s="6">
        <v>2</v>
      </c>
      <c r="E3" s="6" t="s">
        <v>491</v>
      </c>
      <c r="F3" s="6"/>
      <c r="G3" s="6" t="s">
        <v>490</v>
      </c>
      <c r="H3" s="6">
        <v>0</v>
      </c>
      <c r="I3" s="6"/>
      <c r="J3" s="6"/>
      <c r="K3" s="6"/>
      <c r="L3" s="6"/>
      <c r="M3" s="6"/>
      <c r="N3" s="6"/>
      <c r="O3" s="6"/>
      <c r="P3" s="6"/>
      <c r="Q3" s="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x14ac:dyDescent="0.25">
      <c r="A4" s="6">
        <v>1</v>
      </c>
      <c r="B4" s="6" t="s">
        <v>190</v>
      </c>
      <c r="C4" s="6" t="s">
        <v>191</v>
      </c>
      <c r="D4" s="6">
        <v>3</v>
      </c>
      <c r="E4" s="6" t="s">
        <v>493</v>
      </c>
      <c r="F4" s="6"/>
      <c r="G4" s="6" t="s">
        <v>490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x14ac:dyDescent="0.25">
      <c r="A5" s="7">
        <v>2</v>
      </c>
      <c r="B5" s="7" t="s">
        <v>192</v>
      </c>
      <c r="C5" s="7" t="s">
        <v>193</v>
      </c>
      <c r="D5" s="7">
        <v>1</v>
      </c>
      <c r="E5" s="7" t="s">
        <v>489</v>
      </c>
      <c r="F5" s="7"/>
      <c r="G5" s="7" t="s">
        <v>490</v>
      </c>
      <c r="H5" s="7">
        <v>0</v>
      </c>
      <c r="I5" s="7"/>
      <c r="J5" s="7"/>
      <c r="K5" s="7"/>
      <c r="L5" s="7"/>
      <c r="M5" s="7"/>
      <c r="N5" s="7"/>
      <c r="O5" s="7"/>
      <c r="P5" s="7"/>
      <c r="Q5" s="7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x14ac:dyDescent="0.25">
      <c r="A6" s="7">
        <v>2</v>
      </c>
      <c r="B6" s="7" t="s">
        <v>192</v>
      </c>
      <c r="C6" s="7" t="s">
        <v>193</v>
      </c>
      <c r="D6" s="7">
        <v>2</v>
      </c>
      <c r="E6" s="7" t="s">
        <v>491</v>
      </c>
      <c r="F6" s="7"/>
      <c r="G6" s="7" t="s">
        <v>490</v>
      </c>
      <c r="H6" s="7">
        <v>0</v>
      </c>
      <c r="I6" s="7"/>
      <c r="J6" s="7"/>
      <c r="K6" s="7"/>
      <c r="L6" s="7"/>
      <c r="M6" s="7"/>
      <c r="N6" s="7"/>
      <c r="O6" s="7"/>
      <c r="P6" s="7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x14ac:dyDescent="0.25">
      <c r="A7" s="7">
        <v>2</v>
      </c>
      <c r="B7" s="7" t="s">
        <v>192</v>
      </c>
      <c r="C7" s="7" t="s">
        <v>193</v>
      </c>
      <c r="D7" s="7">
        <v>3</v>
      </c>
      <c r="E7" s="7" t="s">
        <v>493</v>
      </c>
      <c r="F7" s="7"/>
      <c r="G7" s="7" t="s">
        <v>490</v>
      </c>
      <c r="H7" s="7">
        <v>0</v>
      </c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x14ac:dyDescent="0.25">
      <c r="A8" s="6">
        <v>3</v>
      </c>
      <c r="B8" s="6" t="s">
        <v>194</v>
      </c>
      <c r="C8" s="6" t="s">
        <v>195</v>
      </c>
      <c r="D8" s="6">
        <v>1</v>
      </c>
      <c r="E8" s="6" t="s">
        <v>489</v>
      </c>
      <c r="F8" s="6"/>
      <c r="G8" s="6" t="s">
        <v>490</v>
      </c>
      <c r="H8" s="6">
        <v>0</v>
      </c>
      <c r="I8" s="6"/>
      <c r="J8" s="6"/>
      <c r="K8" s="6"/>
      <c r="L8" s="6"/>
      <c r="M8" s="6"/>
      <c r="N8" s="6"/>
      <c r="O8" s="6"/>
      <c r="P8" s="6"/>
      <c r="Q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x14ac:dyDescent="0.25">
      <c r="A9" s="6">
        <v>3</v>
      </c>
      <c r="B9" s="6" t="s">
        <v>194</v>
      </c>
      <c r="C9" s="6" t="s">
        <v>195</v>
      </c>
      <c r="D9" s="6">
        <v>2</v>
      </c>
      <c r="E9" s="6" t="s">
        <v>491</v>
      </c>
      <c r="F9" s="6"/>
      <c r="G9" s="6" t="s">
        <v>490</v>
      </c>
      <c r="H9" s="6">
        <v>0</v>
      </c>
      <c r="I9" s="6"/>
      <c r="J9" s="6"/>
      <c r="K9" s="6"/>
      <c r="L9" s="6"/>
      <c r="M9" s="6"/>
      <c r="N9" s="6"/>
      <c r="O9" s="6"/>
      <c r="P9" s="6"/>
      <c r="Q9" s="6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x14ac:dyDescent="0.25">
      <c r="A10" s="6">
        <v>3</v>
      </c>
      <c r="B10" s="6" t="s">
        <v>194</v>
      </c>
      <c r="C10" s="6" t="s">
        <v>195</v>
      </c>
      <c r="D10" s="6">
        <v>3</v>
      </c>
      <c r="E10" s="6" t="s">
        <v>493</v>
      </c>
      <c r="F10" s="6"/>
      <c r="G10" s="6" t="s">
        <v>490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x14ac:dyDescent="0.25">
      <c r="A11" s="7">
        <v>4</v>
      </c>
      <c r="B11" s="7" t="s">
        <v>196</v>
      </c>
      <c r="C11" s="7" t="s">
        <v>197</v>
      </c>
      <c r="D11" s="7">
        <v>1</v>
      </c>
      <c r="E11" s="7" t="s">
        <v>489</v>
      </c>
      <c r="F11" s="7"/>
      <c r="G11" s="7" t="s">
        <v>490</v>
      </c>
      <c r="H11" s="7">
        <v>0</v>
      </c>
      <c r="I11" s="7"/>
      <c r="J11" s="7"/>
      <c r="K11" s="7"/>
      <c r="L11" s="7"/>
      <c r="M11" s="7"/>
      <c r="N11" s="7"/>
      <c r="O11" s="7"/>
      <c r="P11" s="7"/>
      <c r="Q11" s="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x14ac:dyDescent="0.25">
      <c r="A12" s="7">
        <v>4</v>
      </c>
      <c r="B12" s="7" t="s">
        <v>196</v>
      </c>
      <c r="C12" s="7" t="s">
        <v>197</v>
      </c>
      <c r="D12" s="7">
        <v>2</v>
      </c>
      <c r="E12" s="7" t="s">
        <v>491</v>
      </c>
      <c r="F12" s="7"/>
      <c r="G12" s="7" t="s">
        <v>490</v>
      </c>
      <c r="H12" s="7">
        <v>0</v>
      </c>
      <c r="I12" s="7"/>
      <c r="J12" s="7"/>
      <c r="K12" s="7"/>
      <c r="L12" s="7"/>
      <c r="M12" s="7"/>
      <c r="N12" s="7"/>
      <c r="O12" s="7"/>
      <c r="P12" s="7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x14ac:dyDescent="0.25">
      <c r="A13" s="7">
        <v>4</v>
      </c>
      <c r="B13" s="7" t="s">
        <v>196</v>
      </c>
      <c r="C13" s="7" t="s">
        <v>197</v>
      </c>
      <c r="D13" s="7">
        <v>3</v>
      </c>
      <c r="E13" s="7" t="s">
        <v>493</v>
      </c>
      <c r="F13" s="7"/>
      <c r="G13" s="7" t="s">
        <v>490</v>
      </c>
      <c r="H13" s="7">
        <v>0</v>
      </c>
      <c r="I13" s="7"/>
      <c r="J13" s="7"/>
      <c r="K13" s="7"/>
      <c r="L13" s="7"/>
      <c r="M13" s="7"/>
      <c r="N13" s="7"/>
      <c r="O13" s="7"/>
      <c r="P13" s="7"/>
      <c r="Q13" s="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x14ac:dyDescent="0.25">
      <c r="A14" s="6">
        <v>5</v>
      </c>
      <c r="B14" s="6" t="s">
        <v>522</v>
      </c>
      <c r="C14" s="6" t="s">
        <v>523</v>
      </c>
      <c r="D14" s="6">
        <v>1</v>
      </c>
      <c r="E14" s="6" t="s">
        <v>489</v>
      </c>
      <c r="F14" s="6"/>
      <c r="G14" s="6" t="s">
        <v>490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x14ac:dyDescent="0.25">
      <c r="A15" s="6">
        <v>5</v>
      </c>
      <c r="B15" s="6" t="s">
        <v>522</v>
      </c>
      <c r="C15" s="6" t="s">
        <v>523</v>
      </c>
      <c r="D15" s="6">
        <v>2</v>
      </c>
      <c r="E15" s="6" t="s">
        <v>491</v>
      </c>
      <c r="F15" s="6"/>
      <c r="G15" s="6" t="s">
        <v>490</v>
      </c>
      <c r="H15" s="6">
        <v>0</v>
      </c>
      <c r="I15" s="6"/>
      <c r="J15" s="6"/>
      <c r="K15" s="6"/>
      <c r="L15" s="6"/>
      <c r="M15" s="6"/>
      <c r="N15" s="6"/>
      <c r="O15" s="6"/>
      <c r="P15" s="6"/>
      <c r="Q15" s="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x14ac:dyDescent="0.25">
      <c r="A16" s="6">
        <v>5</v>
      </c>
      <c r="B16" s="6" t="s">
        <v>522</v>
      </c>
      <c r="C16" s="6" t="s">
        <v>523</v>
      </c>
      <c r="D16" s="6">
        <v>3</v>
      </c>
      <c r="E16" s="6" t="s">
        <v>493</v>
      </c>
      <c r="F16" s="6"/>
      <c r="G16" s="6" t="s">
        <v>490</v>
      </c>
      <c r="H16" s="6">
        <v>0</v>
      </c>
      <c r="I16" s="6"/>
      <c r="J16" s="6"/>
      <c r="K16" s="6"/>
      <c r="L16" s="6"/>
      <c r="M16" s="6"/>
      <c r="N16" s="6"/>
      <c r="O16" s="6"/>
      <c r="P16" s="6"/>
      <c r="Q16" s="6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x14ac:dyDescent="0.25">
      <c r="A17" s="7">
        <v>6</v>
      </c>
      <c r="B17" s="7" t="s">
        <v>198</v>
      </c>
      <c r="C17" s="7" t="s">
        <v>199</v>
      </c>
      <c r="D17" s="7">
        <v>1</v>
      </c>
      <c r="E17" s="7" t="s">
        <v>489</v>
      </c>
      <c r="F17" s="7"/>
      <c r="G17" s="7" t="s">
        <v>490</v>
      </c>
      <c r="H17" s="7">
        <v>0</v>
      </c>
      <c r="I17" s="7"/>
      <c r="J17" s="7"/>
      <c r="K17" s="7"/>
      <c r="L17" s="7"/>
      <c r="M17" s="7"/>
      <c r="N17" s="7"/>
      <c r="O17" s="7"/>
      <c r="P17" s="7"/>
      <c r="Q17" s="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x14ac:dyDescent="0.25">
      <c r="A18" s="7">
        <v>6</v>
      </c>
      <c r="B18" s="7" t="s">
        <v>198</v>
      </c>
      <c r="C18" s="7" t="s">
        <v>199</v>
      </c>
      <c r="D18" s="7">
        <v>2</v>
      </c>
      <c r="E18" s="7" t="s">
        <v>491</v>
      </c>
      <c r="F18" s="7"/>
      <c r="G18" s="7" t="s">
        <v>490</v>
      </c>
      <c r="H18" s="7">
        <v>0</v>
      </c>
      <c r="I18" s="7"/>
      <c r="J18" s="7"/>
      <c r="K18" s="7"/>
      <c r="L18" s="7"/>
      <c r="M18" s="7"/>
      <c r="N18" s="7"/>
      <c r="O18" s="7"/>
      <c r="P18" s="7"/>
      <c r="Q18" s="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x14ac:dyDescent="0.25">
      <c r="A19" s="7">
        <v>6</v>
      </c>
      <c r="B19" s="7" t="s">
        <v>198</v>
      </c>
      <c r="C19" s="7" t="s">
        <v>199</v>
      </c>
      <c r="D19" s="7">
        <v>3</v>
      </c>
      <c r="E19" s="7" t="s">
        <v>493</v>
      </c>
      <c r="F19" s="7"/>
      <c r="G19" s="7" t="s">
        <v>490</v>
      </c>
      <c r="H19" s="7">
        <v>0</v>
      </c>
      <c r="I19" s="7"/>
      <c r="J19" s="7"/>
      <c r="K19" s="7"/>
      <c r="L19" s="7"/>
      <c r="M19" s="7"/>
      <c r="N19" s="7"/>
      <c r="O19" s="7"/>
      <c r="P19" s="7"/>
      <c r="Q19" s="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x14ac:dyDescent="0.25">
      <c r="A20" s="6">
        <v>7</v>
      </c>
      <c r="B20" s="6" t="s">
        <v>200</v>
      </c>
      <c r="C20" s="6" t="s">
        <v>201</v>
      </c>
      <c r="D20" s="6">
        <v>1</v>
      </c>
      <c r="E20" s="6" t="s">
        <v>489</v>
      </c>
      <c r="F20" s="6"/>
      <c r="G20" s="6" t="s">
        <v>490</v>
      </c>
      <c r="H20" s="6">
        <v>0</v>
      </c>
      <c r="I20" s="6"/>
      <c r="J20" s="6"/>
      <c r="K20" s="6"/>
      <c r="L20" s="6"/>
      <c r="M20" s="6"/>
      <c r="N20" s="6"/>
      <c r="O20" s="6"/>
      <c r="P20" s="6"/>
      <c r="Q20" s="6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x14ac:dyDescent="0.25">
      <c r="A21" s="6">
        <v>7</v>
      </c>
      <c r="B21" s="6" t="s">
        <v>200</v>
      </c>
      <c r="C21" s="6" t="s">
        <v>201</v>
      </c>
      <c r="D21" s="6">
        <v>2</v>
      </c>
      <c r="E21" s="6" t="s">
        <v>491</v>
      </c>
      <c r="F21" s="6"/>
      <c r="G21" s="6" t="s">
        <v>490</v>
      </c>
      <c r="H21" s="6">
        <v>0</v>
      </c>
      <c r="I21" s="6"/>
      <c r="J21" s="6"/>
      <c r="K21" s="6"/>
      <c r="L21" s="6"/>
      <c r="M21" s="6"/>
      <c r="N21" s="6"/>
      <c r="O21" s="6"/>
      <c r="P21" s="6"/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x14ac:dyDescent="0.25">
      <c r="A22" s="6">
        <v>7</v>
      </c>
      <c r="B22" s="6" t="s">
        <v>200</v>
      </c>
      <c r="C22" s="6" t="s">
        <v>201</v>
      </c>
      <c r="D22" s="6">
        <v>3</v>
      </c>
      <c r="E22" s="6" t="s">
        <v>493</v>
      </c>
      <c r="F22" s="6"/>
      <c r="G22" s="6" t="s">
        <v>490</v>
      </c>
      <c r="H22" s="6">
        <v>0</v>
      </c>
      <c r="I22" s="6"/>
      <c r="J22" s="6"/>
      <c r="K22" s="6"/>
      <c r="L22" s="6"/>
      <c r="M22" s="6"/>
      <c r="N22" s="6"/>
      <c r="O22" s="6"/>
      <c r="P22" s="6"/>
      <c r="Q22" s="6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x14ac:dyDescent="0.25">
      <c r="A23" s="7">
        <v>8</v>
      </c>
      <c r="B23" s="7" t="s">
        <v>202</v>
      </c>
      <c r="C23" s="7" t="s">
        <v>203</v>
      </c>
      <c r="D23" s="7">
        <v>1</v>
      </c>
      <c r="E23" s="7" t="s">
        <v>489</v>
      </c>
      <c r="F23" s="7"/>
      <c r="G23" s="7" t="s">
        <v>490</v>
      </c>
      <c r="H23" s="7">
        <v>0</v>
      </c>
      <c r="I23" s="7"/>
      <c r="J23" s="7"/>
      <c r="K23" s="7"/>
      <c r="L23" s="7"/>
      <c r="M23" s="7"/>
      <c r="N23" s="7"/>
      <c r="O23" s="7"/>
      <c r="P23" s="7"/>
      <c r="Q23" s="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25">
      <c r="A24" s="7">
        <v>8</v>
      </c>
      <c r="B24" s="7" t="s">
        <v>202</v>
      </c>
      <c r="C24" s="7" t="s">
        <v>203</v>
      </c>
      <c r="D24" s="7">
        <v>2</v>
      </c>
      <c r="E24" s="7" t="s">
        <v>491</v>
      </c>
      <c r="F24" s="7"/>
      <c r="G24" s="7" t="s">
        <v>490</v>
      </c>
      <c r="H24" s="7">
        <v>0</v>
      </c>
      <c r="I24" s="7"/>
      <c r="J24" s="7"/>
      <c r="K24" s="7"/>
      <c r="L24" s="7"/>
      <c r="M24" s="7"/>
      <c r="N24" s="7"/>
      <c r="O24" s="7"/>
      <c r="P24" s="7"/>
      <c r="Q24" s="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x14ac:dyDescent="0.25">
      <c r="A25" s="7">
        <v>8</v>
      </c>
      <c r="B25" s="7" t="s">
        <v>202</v>
      </c>
      <c r="C25" s="7" t="s">
        <v>203</v>
      </c>
      <c r="D25" s="7">
        <v>3</v>
      </c>
      <c r="E25" s="7" t="s">
        <v>493</v>
      </c>
      <c r="F25" s="7"/>
      <c r="G25" s="7" t="s">
        <v>490</v>
      </c>
      <c r="H25" s="7">
        <v>0</v>
      </c>
      <c r="I25" s="7"/>
      <c r="J25" s="7"/>
      <c r="K25" s="7"/>
      <c r="L25" s="7"/>
      <c r="M25" s="7"/>
      <c r="N25" s="7"/>
      <c r="O25" s="7"/>
      <c r="P25" s="7"/>
      <c r="Q25" s="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x14ac:dyDescent="0.25">
      <c r="A26" s="6">
        <v>9</v>
      </c>
      <c r="B26" s="6" t="s">
        <v>204</v>
      </c>
      <c r="C26" s="6" t="s">
        <v>205</v>
      </c>
      <c r="D26" s="6">
        <v>1</v>
      </c>
      <c r="E26" s="6" t="s">
        <v>489</v>
      </c>
      <c r="F26" s="6"/>
      <c r="G26" s="6" t="s">
        <v>490</v>
      </c>
      <c r="H26" s="6">
        <v>0</v>
      </c>
      <c r="I26" s="6"/>
      <c r="J26" s="6"/>
      <c r="K26" s="6"/>
      <c r="L26" s="6"/>
      <c r="M26" s="6"/>
      <c r="N26" s="6"/>
      <c r="O26" s="6"/>
      <c r="P26" s="6"/>
      <c r="Q26" s="6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x14ac:dyDescent="0.25">
      <c r="A27" s="6">
        <v>9</v>
      </c>
      <c r="B27" s="6" t="s">
        <v>204</v>
      </c>
      <c r="C27" s="6" t="s">
        <v>205</v>
      </c>
      <c r="D27" s="6">
        <v>2</v>
      </c>
      <c r="E27" s="6" t="s">
        <v>491</v>
      </c>
      <c r="F27" s="6"/>
      <c r="G27" s="6" t="s">
        <v>490</v>
      </c>
      <c r="H27" s="6">
        <v>0</v>
      </c>
      <c r="I27" s="6"/>
      <c r="J27" s="6"/>
      <c r="K27" s="6"/>
      <c r="L27" s="6"/>
      <c r="M27" s="6"/>
      <c r="N27" s="6"/>
      <c r="O27" s="6"/>
      <c r="P27" s="6"/>
      <c r="Q27" s="6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x14ac:dyDescent="0.25">
      <c r="A28" s="6">
        <v>9</v>
      </c>
      <c r="B28" s="6" t="s">
        <v>204</v>
      </c>
      <c r="C28" s="6" t="s">
        <v>205</v>
      </c>
      <c r="D28" s="6">
        <v>3</v>
      </c>
      <c r="E28" s="6" t="s">
        <v>493</v>
      </c>
      <c r="F28" s="6"/>
      <c r="G28" s="6" t="s">
        <v>490</v>
      </c>
      <c r="H28" s="6">
        <v>0</v>
      </c>
      <c r="I28" s="6"/>
      <c r="J28" s="6"/>
      <c r="K28" s="6"/>
      <c r="L28" s="6"/>
      <c r="M28" s="6"/>
      <c r="N28" s="6"/>
      <c r="O28" s="6"/>
      <c r="P28" s="6"/>
      <c r="Q28" s="6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x14ac:dyDescent="0.25">
      <c r="A29" s="7">
        <v>10</v>
      </c>
      <c r="B29" s="7" t="s">
        <v>206</v>
      </c>
      <c r="C29" s="7" t="s">
        <v>207</v>
      </c>
      <c r="D29" s="7">
        <v>1</v>
      </c>
      <c r="E29" s="7" t="s">
        <v>489</v>
      </c>
      <c r="F29" s="7"/>
      <c r="G29" s="7" t="s">
        <v>490</v>
      </c>
      <c r="H29" s="7">
        <v>0</v>
      </c>
      <c r="I29" s="7"/>
      <c r="J29" s="7"/>
      <c r="K29" s="7"/>
      <c r="L29" s="7"/>
      <c r="M29" s="7"/>
      <c r="N29" s="7"/>
      <c r="O29" s="7"/>
      <c r="P29" s="7"/>
      <c r="Q29" s="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x14ac:dyDescent="0.25">
      <c r="A30" s="7">
        <v>10</v>
      </c>
      <c r="B30" s="7" t="s">
        <v>206</v>
      </c>
      <c r="C30" s="7" t="s">
        <v>207</v>
      </c>
      <c r="D30" s="7">
        <v>2</v>
      </c>
      <c r="E30" s="7" t="s">
        <v>491</v>
      </c>
      <c r="F30" s="7"/>
      <c r="G30" s="7" t="s">
        <v>490</v>
      </c>
      <c r="H30" s="7">
        <v>0</v>
      </c>
      <c r="I30" s="7"/>
      <c r="J30" s="7"/>
      <c r="K30" s="7"/>
      <c r="L30" s="7"/>
      <c r="M30" s="7"/>
      <c r="N30" s="7"/>
      <c r="O30" s="7"/>
      <c r="P30" s="7"/>
      <c r="Q30" s="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x14ac:dyDescent="0.25">
      <c r="A31" s="7">
        <v>10</v>
      </c>
      <c r="B31" s="7" t="s">
        <v>206</v>
      </c>
      <c r="C31" s="7" t="s">
        <v>207</v>
      </c>
      <c r="D31" s="7">
        <v>3</v>
      </c>
      <c r="E31" s="7" t="s">
        <v>493</v>
      </c>
      <c r="F31" s="7"/>
      <c r="G31" s="7" t="s">
        <v>490</v>
      </c>
      <c r="H31" s="7">
        <v>0</v>
      </c>
      <c r="I31" s="7"/>
      <c r="J31" s="7"/>
      <c r="K31" s="7"/>
      <c r="L31" s="7"/>
      <c r="M31" s="7"/>
      <c r="N31" s="7"/>
      <c r="O31" s="7"/>
      <c r="P31" s="7"/>
      <c r="Q31" s="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x14ac:dyDescent="0.25">
      <c r="A32" s="6">
        <v>11</v>
      </c>
      <c r="B32" s="6" t="s">
        <v>208</v>
      </c>
      <c r="C32" s="6" t="s">
        <v>209</v>
      </c>
      <c r="D32" s="6">
        <v>1</v>
      </c>
      <c r="E32" s="6" t="s">
        <v>489</v>
      </c>
      <c r="F32" s="6"/>
      <c r="G32" s="6" t="s">
        <v>490</v>
      </c>
      <c r="H32" s="6">
        <v>0</v>
      </c>
      <c r="I32" s="6"/>
      <c r="J32" s="6"/>
      <c r="K32" s="6"/>
      <c r="L32" s="6"/>
      <c r="M32" s="6"/>
      <c r="N32" s="6"/>
      <c r="O32" s="6"/>
      <c r="P32" s="6"/>
      <c r="Q32" s="6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x14ac:dyDescent="0.25">
      <c r="A33" s="6">
        <v>11</v>
      </c>
      <c r="B33" s="6" t="s">
        <v>208</v>
      </c>
      <c r="C33" s="6" t="s">
        <v>209</v>
      </c>
      <c r="D33" s="6">
        <v>2</v>
      </c>
      <c r="E33" s="6" t="s">
        <v>491</v>
      </c>
      <c r="F33" s="6"/>
      <c r="G33" s="6" t="s">
        <v>490</v>
      </c>
      <c r="H33" s="6">
        <v>0</v>
      </c>
      <c r="I33" s="6"/>
      <c r="J33" s="6"/>
      <c r="K33" s="6"/>
      <c r="L33" s="6"/>
      <c r="M33" s="6"/>
      <c r="N33" s="6"/>
      <c r="O33" s="6"/>
      <c r="P33" s="6"/>
      <c r="Q33" s="6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x14ac:dyDescent="0.25">
      <c r="A34" s="6">
        <v>11</v>
      </c>
      <c r="B34" s="6" t="s">
        <v>208</v>
      </c>
      <c r="C34" s="6" t="s">
        <v>209</v>
      </c>
      <c r="D34" s="6">
        <v>3</v>
      </c>
      <c r="E34" s="6" t="s">
        <v>493</v>
      </c>
      <c r="F34" s="6"/>
      <c r="G34" s="6" t="s">
        <v>490</v>
      </c>
      <c r="H34" s="6">
        <v>0</v>
      </c>
      <c r="I34" s="6"/>
      <c r="J34" s="6"/>
      <c r="K34" s="6"/>
      <c r="L34" s="6"/>
      <c r="M34" s="6"/>
      <c r="N34" s="6"/>
      <c r="O34" s="6"/>
      <c r="P34" s="6"/>
      <c r="Q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x14ac:dyDescent="0.25">
      <c r="A35" s="7">
        <v>12</v>
      </c>
      <c r="B35" s="7" t="s">
        <v>210</v>
      </c>
      <c r="C35" s="7" t="s">
        <v>211</v>
      </c>
      <c r="D35" s="7">
        <v>1</v>
      </c>
      <c r="E35" s="7" t="s">
        <v>489</v>
      </c>
      <c r="F35" s="7"/>
      <c r="G35" s="7" t="s">
        <v>490</v>
      </c>
      <c r="H35" s="7">
        <v>0</v>
      </c>
      <c r="I35" s="7"/>
      <c r="J35" s="7"/>
      <c r="K35" s="7"/>
      <c r="L35" s="7"/>
      <c r="M35" s="7"/>
      <c r="N35" s="7"/>
      <c r="O35" s="7"/>
      <c r="P35" s="7"/>
      <c r="Q35" s="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x14ac:dyDescent="0.25">
      <c r="A36" s="7">
        <v>12</v>
      </c>
      <c r="B36" s="7" t="s">
        <v>210</v>
      </c>
      <c r="C36" s="7" t="s">
        <v>211</v>
      </c>
      <c r="D36" s="7">
        <v>2</v>
      </c>
      <c r="E36" s="7" t="s">
        <v>491</v>
      </c>
      <c r="F36" s="7"/>
      <c r="G36" s="7" t="s">
        <v>490</v>
      </c>
      <c r="H36" s="7">
        <v>0</v>
      </c>
      <c r="I36" s="7"/>
      <c r="J36" s="7"/>
      <c r="K36" s="7"/>
      <c r="L36" s="7"/>
      <c r="M36" s="7"/>
      <c r="N36" s="7"/>
      <c r="O36" s="7"/>
      <c r="P36" s="7"/>
      <c r="Q36" s="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x14ac:dyDescent="0.25">
      <c r="A37" s="7">
        <v>12</v>
      </c>
      <c r="B37" s="7" t="s">
        <v>210</v>
      </c>
      <c r="C37" s="7" t="s">
        <v>211</v>
      </c>
      <c r="D37" s="7">
        <v>3</v>
      </c>
      <c r="E37" s="7" t="s">
        <v>493</v>
      </c>
      <c r="F37" s="7"/>
      <c r="G37" s="7" t="s">
        <v>490</v>
      </c>
      <c r="H37" s="7">
        <v>0</v>
      </c>
      <c r="I37" s="7"/>
      <c r="J37" s="7"/>
      <c r="K37" s="7"/>
      <c r="L37" s="7"/>
      <c r="M37" s="7"/>
      <c r="N37" s="7"/>
      <c r="O37" s="7"/>
      <c r="P37" s="7"/>
      <c r="Q37" s="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x14ac:dyDescent="0.25">
      <c r="A38" s="6">
        <v>13</v>
      </c>
      <c r="B38" s="6" t="s">
        <v>212</v>
      </c>
      <c r="C38" s="6" t="s">
        <v>213</v>
      </c>
      <c r="D38" s="6">
        <v>1</v>
      </c>
      <c r="E38" s="6" t="s">
        <v>489</v>
      </c>
      <c r="F38" s="6"/>
      <c r="G38" s="6" t="s">
        <v>490</v>
      </c>
      <c r="H38" s="6">
        <v>0</v>
      </c>
      <c r="I38" s="6"/>
      <c r="J38" s="6"/>
      <c r="K38" s="6"/>
      <c r="L38" s="6"/>
      <c r="M38" s="6"/>
      <c r="N38" s="6"/>
      <c r="O38" s="6"/>
      <c r="P38" s="6"/>
      <c r="Q38" s="6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x14ac:dyDescent="0.25">
      <c r="A39" s="6">
        <v>13</v>
      </c>
      <c r="B39" s="6" t="s">
        <v>212</v>
      </c>
      <c r="C39" s="6" t="s">
        <v>213</v>
      </c>
      <c r="D39" s="6">
        <v>2</v>
      </c>
      <c r="E39" s="6" t="s">
        <v>491</v>
      </c>
      <c r="F39" s="6"/>
      <c r="G39" s="6" t="s">
        <v>490</v>
      </c>
      <c r="H39" s="6">
        <v>0</v>
      </c>
      <c r="I39" s="6"/>
      <c r="J39" s="6"/>
      <c r="K39" s="6"/>
      <c r="L39" s="6"/>
      <c r="M39" s="6"/>
      <c r="N39" s="6"/>
      <c r="O39" s="6"/>
      <c r="P39" s="6"/>
      <c r="Q39" s="6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25">
      <c r="A40" s="6">
        <v>13</v>
      </c>
      <c r="B40" s="6" t="s">
        <v>212</v>
      </c>
      <c r="C40" s="6" t="s">
        <v>213</v>
      </c>
      <c r="D40" s="6">
        <v>3</v>
      </c>
      <c r="E40" s="6" t="s">
        <v>493</v>
      </c>
      <c r="F40" s="6"/>
      <c r="G40" s="6" t="s">
        <v>490</v>
      </c>
      <c r="H40" s="6">
        <v>0</v>
      </c>
      <c r="I40" s="6"/>
      <c r="J40" s="6"/>
      <c r="K40" s="6"/>
      <c r="L40" s="6"/>
      <c r="M40" s="6"/>
      <c r="N40" s="6"/>
      <c r="O40" s="6"/>
      <c r="P40" s="6"/>
      <c r="Q40" s="6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25">
      <c r="A41" s="7">
        <v>14</v>
      </c>
      <c r="B41" s="7" t="s">
        <v>214</v>
      </c>
      <c r="C41" s="7" t="s">
        <v>215</v>
      </c>
      <c r="D41" s="7">
        <v>1</v>
      </c>
      <c r="E41" s="7" t="s">
        <v>489</v>
      </c>
      <c r="F41" s="7"/>
      <c r="G41" s="7" t="s">
        <v>490</v>
      </c>
      <c r="H41" s="7">
        <v>0</v>
      </c>
      <c r="I41" s="7"/>
      <c r="J41" s="7"/>
      <c r="K41" s="7"/>
      <c r="L41" s="7"/>
      <c r="M41" s="7"/>
      <c r="N41" s="7"/>
      <c r="O41" s="7"/>
      <c r="P41" s="7"/>
      <c r="Q41" s="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25">
      <c r="A42" s="7">
        <v>14</v>
      </c>
      <c r="B42" s="7" t="s">
        <v>214</v>
      </c>
      <c r="C42" s="7" t="s">
        <v>215</v>
      </c>
      <c r="D42" s="7">
        <v>2</v>
      </c>
      <c r="E42" s="7" t="s">
        <v>491</v>
      </c>
      <c r="F42" s="7"/>
      <c r="G42" s="7" t="s">
        <v>490</v>
      </c>
      <c r="H42" s="7">
        <v>0</v>
      </c>
      <c r="I42" s="7"/>
      <c r="J42" s="7"/>
      <c r="K42" s="7"/>
      <c r="L42" s="7"/>
      <c r="M42" s="7"/>
      <c r="N42" s="7"/>
      <c r="O42" s="7"/>
      <c r="P42" s="7"/>
      <c r="Q42" s="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25">
      <c r="A43" s="7">
        <v>14</v>
      </c>
      <c r="B43" s="7" t="s">
        <v>214</v>
      </c>
      <c r="C43" s="7" t="s">
        <v>215</v>
      </c>
      <c r="D43" s="7">
        <v>3</v>
      </c>
      <c r="E43" s="7" t="s">
        <v>493</v>
      </c>
      <c r="F43" s="7"/>
      <c r="G43" s="7" t="s">
        <v>490</v>
      </c>
      <c r="H43" s="7">
        <v>0</v>
      </c>
      <c r="I43" s="7"/>
      <c r="J43" s="7"/>
      <c r="K43" s="7"/>
      <c r="L43" s="7"/>
      <c r="M43" s="7"/>
      <c r="N43" s="7"/>
      <c r="O43" s="7"/>
      <c r="P43" s="7"/>
      <c r="Q43" s="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25">
      <c r="A44" s="6">
        <v>15</v>
      </c>
      <c r="B44" s="6" t="s">
        <v>216</v>
      </c>
      <c r="C44" s="6" t="s">
        <v>217</v>
      </c>
      <c r="D44" s="6">
        <v>1</v>
      </c>
      <c r="E44" s="6" t="s">
        <v>489</v>
      </c>
      <c r="F44" s="6"/>
      <c r="G44" s="6" t="s">
        <v>490</v>
      </c>
      <c r="H44" s="6">
        <v>0</v>
      </c>
      <c r="I44" s="6"/>
      <c r="J44" s="6"/>
      <c r="K44" s="6"/>
      <c r="L44" s="6"/>
      <c r="M44" s="6"/>
      <c r="N44" s="6"/>
      <c r="O44" s="6"/>
      <c r="P44" s="6"/>
      <c r="Q44" s="6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x14ac:dyDescent="0.25">
      <c r="A45" s="6">
        <v>15</v>
      </c>
      <c r="B45" s="6" t="s">
        <v>216</v>
      </c>
      <c r="C45" s="6" t="s">
        <v>217</v>
      </c>
      <c r="D45" s="6">
        <v>2</v>
      </c>
      <c r="E45" s="6" t="s">
        <v>491</v>
      </c>
      <c r="F45" s="6"/>
      <c r="G45" s="6" t="s">
        <v>490</v>
      </c>
      <c r="H45" s="6">
        <v>0</v>
      </c>
      <c r="I45" s="6"/>
      <c r="J45" s="6"/>
      <c r="K45" s="6"/>
      <c r="L45" s="6"/>
      <c r="M45" s="6"/>
      <c r="N45" s="6"/>
      <c r="O45" s="6"/>
      <c r="P45" s="6"/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25">
      <c r="A46" s="6">
        <v>15</v>
      </c>
      <c r="B46" s="6" t="s">
        <v>216</v>
      </c>
      <c r="C46" s="6" t="s">
        <v>217</v>
      </c>
      <c r="D46" s="6">
        <v>3</v>
      </c>
      <c r="E46" s="6" t="s">
        <v>493</v>
      </c>
      <c r="F46" s="6"/>
      <c r="G46" s="6" t="s">
        <v>490</v>
      </c>
      <c r="H46" s="6">
        <v>0</v>
      </c>
      <c r="I46" s="6"/>
      <c r="J46" s="6"/>
      <c r="K46" s="6"/>
      <c r="L46" s="6"/>
      <c r="M46" s="6"/>
      <c r="N46" s="6"/>
      <c r="O46" s="6"/>
      <c r="P46" s="6"/>
      <c r="Q46" s="6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25">
      <c r="A47" s="7">
        <v>16</v>
      </c>
      <c r="B47" s="7" t="s">
        <v>218</v>
      </c>
      <c r="C47" s="7" t="s">
        <v>219</v>
      </c>
      <c r="D47" s="7">
        <v>1</v>
      </c>
      <c r="E47" s="7" t="s">
        <v>489</v>
      </c>
      <c r="F47" s="7"/>
      <c r="G47" s="7" t="s">
        <v>490</v>
      </c>
      <c r="H47" s="7">
        <v>0</v>
      </c>
      <c r="I47" s="7"/>
      <c r="J47" s="7"/>
      <c r="K47" s="7"/>
      <c r="L47" s="7"/>
      <c r="M47" s="7"/>
      <c r="N47" s="7"/>
      <c r="O47" s="7"/>
      <c r="P47" s="7"/>
      <c r="Q47" s="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25">
      <c r="A48" s="7">
        <v>16</v>
      </c>
      <c r="B48" s="7" t="s">
        <v>218</v>
      </c>
      <c r="C48" s="7" t="s">
        <v>219</v>
      </c>
      <c r="D48" s="7">
        <v>2</v>
      </c>
      <c r="E48" s="7" t="s">
        <v>491</v>
      </c>
      <c r="F48" s="7"/>
      <c r="G48" s="7" t="s">
        <v>490</v>
      </c>
      <c r="H48" s="7">
        <v>0</v>
      </c>
      <c r="I48" s="7"/>
      <c r="J48" s="7"/>
      <c r="K48" s="7"/>
      <c r="L48" s="7"/>
      <c r="M48" s="7"/>
      <c r="N48" s="7"/>
      <c r="O48" s="7"/>
      <c r="P48" s="7"/>
      <c r="Q48" s="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x14ac:dyDescent="0.25">
      <c r="A49" s="7">
        <v>16</v>
      </c>
      <c r="B49" s="7" t="s">
        <v>218</v>
      </c>
      <c r="C49" s="7" t="s">
        <v>219</v>
      </c>
      <c r="D49" s="7">
        <v>3</v>
      </c>
      <c r="E49" s="7" t="s">
        <v>493</v>
      </c>
      <c r="F49" s="7"/>
      <c r="G49" s="7" t="s">
        <v>490</v>
      </c>
      <c r="H49" s="7">
        <v>0</v>
      </c>
      <c r="I49" s="7"/>
      <c r="J49" s="7"/>
      <c r="K49" s="7"/>
      <c r="L49" s="7"/>
      <c r="M49" s="7"/>
      <c r="N49" s="7"/>
      <c r="O49" s="7"/>
      <c r="P49" s="7"/>
      <c r="Q49" s="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x14ac:dyDescent="0.25">
      <c r="A50" s="6">
        <v>17</v>
      </c>
      <c r="B50" s="6" t="s">
        <v>220</v>
      </c>
      <c r="C50" s="6" t="s">
        <v>221</v>
      </c>
      <c r="D50" s="6">
        <v>1</v>
      </c>
      <c r="E50" s="6" t="s">
        <v>489</v>
      </c>
      <c r="F50" s="6"/>
      <c r="G50" s="6" t="s">
        <v>490</v>
      </c>
      <c r="H50" s="6">
        <v>0</v>
      </c>
      <c r="I50" s="6"/>
      <c r="J50" s="6"/>
      <c r="K50" s="6"/>
      <c r="L50" s="6"/>
      <c r="M50" s="6"/>
      <c r="N50" s="6"/>
      <c r="O50" s="6"/>
      <c r="P50" s="6"/>
      <c r="Q50" s="6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x14ac:dyDescent="0.25">
      <c r="A51" s="6">
        <v>17</v>
      </c>
      <c r="B51" s="6" t="s">
        <v>220</v>
      </c>
      <c r="C51" s="6" t="s">
        <v>221</v>
      </c>
      <c r="D51" s="6">
        <v>2</v>
      </c>
      <c r="E51" s="6" t="s">
        <v>491</v>
      </c>
      <c r="F51" s="6"/>
      <c r="G51" s="6" t="s">
        <v>490</v>
      </c>
      <c r="H51" s="6">
        <v>0</v>
      </c>
      <c r="I51" s="6"/>
      <c r="J51" s="6"/>
      <c r="K51" s="6"/>
      <c r="L51" s="6"/>
      <c r="M51" s="6"/>
      <c r="N51" s="6"/>
      <c r="O51" s="6"/>
      <c r="P51" s="6"/>
      <c r="Q51" s="6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x14ac:dyDescent="0.25">
      <c r="A52" s="6">
        <v>17</v>
      </c>
      <c r="B52" s="6" t="s">
        <v>220</v>
      </c>
      <c r="C52" s="6" t="s">
        <v>221</v>
      </c>
      <c r="D52" s="6">
        <v>3</v>
      </c>
      <c r="E52" s="6" t="s">
        <v>493</v>
      </c>
      <c r="F52" s="6"/>
      <c r="G52" s="6" t="s">
        <v>490</v>
      </c>
      <c r="H52" s="6">
        <v>0</v>
      </c>
      <c r="I52" s="6"/>
      <c r="J52" s="6"/>
      <c r="K52" s="6"/>
      <c r="L52" s="6"/>
      <c r="M52" s="6"/>
      <c r="N52" s="6"/>
      <c r="O52" s="6"/>
      <c r="P52" s="6"/>
      <c r="Q52" s="6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x14ac:dyDescent="0.25">
      <c r="A53" s="7">
        <v>18</v>
      </c>
      <c r="B53" s="7" t="s">
        <v>222</v>
      </c>
      <c r="C53" s="7" t="s">
        <v>223</v>
      </c>
      <c r="D53" s="7">
        <v>1</v>
      </c>
      <c r="E53" s="7" t="s">
        <v>489</v>
      </c>
      <c r="F53" s="7"/>
      <c r="G53" s="7" t="s">
        <v>490</v>
      </c>
      <c r="H53" s="7">
        <v>0</v>
      </c>
      <c r="I53" s="7"/>
      <c r="J53" s="7"/>
      <c r="K53" s="7"/>
      <c r="L53" s="7"/>
      <c r="M53" s="7"/>
      <c r="N53" s="7"/>
      <c r="O53" s="7"/>
      <c r="P53" s="7"/>
      <c r="Q53" s="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x14ac:dyDescent="0.25">
      <c r="A54" s="7">
        <v>18</v>
      </c>
      <c r="B54" s="7" t="s">
        <v>222</v>
      </c>
      <c r="C54" s="7" t="s">
        <v>223</v>
      </c>
      <c r="D54" s="7">
        <v>2</v>
      </c>
      <c r="E54" s="7" t="s">
        <v>491</v>
      </c>
      <c r="F54" s="7"/>
      <c r="G54" s="7" t="s">
        <v>490</v>
      </c>
      <c r="H54" s="7">
        <v>0</v>
      </c>
      <c r="I54" s="7"/>
      <c r="J54" s="7"/>
      <c r="K54" s="7"/>
      <c r="L54" s="7"/>
      <c r="M54" s="7"/>
      <c r="N54" s="7"/>
      <c r="O54" s="7"/>
      <c r="P54" s="7"/>
      <c r="Q54" s="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x14ac:dyDescent="0.25">
      <c r="A55" s="7">
        <v>18</v>
      </c>
      <c r="B55" s="7" t="s">
        <v>222</v>
      </c>
      <c r="C55" s="7" t="s">
        <v>223</v>
      </c>
      <c r="D55" s="7">
        <v>3</v>
      </c>
      <c r="E55" s="7" t="s">
        <v>493</v>
      </c>
      <c r="F55" s="7"/>
      <c r="G55" s="7" t="s">
        <v>490</v>
      </c>
      <c r="H55" s="7">
        <v>0</v>
      </c>
      <c r="I55" s="7"/>
      <c r="J55" s="7"/>
      <c r="K55" s="7"/>
      <c r="L55" s="7"/>
      <c r="M55" s="7"/>
      <c r="N55" s="7"/>
      <c r="O55" s="7"/>
      <c r="P55" s="7"/>
      <c r="Q55" s="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x14ac:dyDescent="0.25">
      <c r="A56" s="6">
        <v>19</v>
      </c>
      <c r="B56" s="6" t="s">
        <v>224</v>
      </c>
      <c r="C56" s="6" t="s">
        <v>225</v>
      </c>
      <c r="D56" s="6">
        <v>1</v>
      </c>
      <c r="E56" s="6" t="s">
        <v>489</v>
      </c>
      <c r="F56" s="6"/>
      <c r="G56" s="6" t="s">
        <v>490</v>
      </c>
      <c r="H56" s="6">
        <v>0</v>
      </c>
      <c r="I56" s="6"/>
      <c r="J56" s="6"/>
      <c r="K56" s="6"/>
      <c r="L56" s="6"/>
      <c r="M56" s="6"/>
      <c r="N56" s="6"/>
      <c r="O56" s="6"/>
      <c r="P56" s="6"/>
      <c r="Q56" s="6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x14ac:dyDescent="0.25">
      <c r="A57" s="6">
        <v>19</v>
      </c>
      <c r="B57" s="6" t="s">
        <v>224</v>
      </c>
      <c r="C57" s="6" t="s">
        <v>225</v>
      </c>
      <c r="D57" s="6">
        <v>2</v>
      </c>
      <c r="E57" s="6" t="s">
        <v>491</v>
      </c>
      <c r="F57" s="6"/>
      <c r="G57" s="6" t="s">
        <v>490</v>
      </c>
      <c r="H57" s="6">
        <v>0</v>
      </c>
      <c r="I57" s="6"/>
      <c r="J57" s="6"/>
      <c r="K57" s="6"/>
      <c r="L57" s="6"/>
      <c r="M57" s="6"/>
      <c r="N57" s="6"/>
      <c r="O57" s="6"/>
      <c r="P57" s="6"/>
      <c r="Q57" s="6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x14ac:dyDescent="0.25">
      <c r="A58" s="6">
        <v>19</v>
      </c>
      <c r="B58" s="6" t="s">
        <v>224</v>
      </c>
      <c r="C58" s="6" t="s">
        <v>225</v>
      </c>
      <c r="D58" s="6">
        <v>3</v>
      </c>
      <c r="E58" s="6" t="s">
        <v>493</v>
      </c>
      <c r="F58" s="6"/>
      <c r="G58" s="6" t="s">
        <v>490</v>
      </c>
      <c r="H58" s="6">
        <v>0</v>
      </c>
      <c r="I58" s="6"/>
      <c r="J58" s="6"/>
      <c r="K58" s="6"/>
      <c r="L58" s="6"/>
      <c r="M58" s="6"/>
      <c r="N58" s="6"/>
      <c r="O58" s="6"/>
      <c r="P58" s="6"/>
      <c r="Q58" s="6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x14ac:dyDescent="0.25">
      <c r="A59" s="7">
        <v>20</v>
      </c>
      <c r="B59" s="7" t="s">
        <v>226</v>
      </c>
      <c r="C59" s="7" t="s">
        <v>227</v>
      </c>
      <c r="D59" s="7">
        <v>1</v>
      </c>
      <c r="E59" s="7" t="s">
        <v>489</v>
      </c>
      <c r="F59" s="7"/>
      <c r="G59" s="7" t="s">
        <v>490</v>
      </c>
      <c r="H59" s="7">
        <v>0</v>
      </c>
      <c r="I59" s="7"/>
      <c r="J59" s="7"/>
      <c r="K59" s="7"/>
      <c r="L59" s="7"/>
      <c r="M59" s="7"/>
      <c r="N59" s="7"/>
      <c r="O59" s="7"/>
      <c r="P59" s="7"/>
      <c r="Q59" s="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x14ac:dyDescent="0.25">
      <c r="A60" s="7">
        <v>20</v>
      </c>
      <c r="B60" s="7" t="s">
        <v>226</v>
      </c>
      <c r="C60" s="7" t="s">
        <v>227</v>
      </c>
      <c r="D60" s="7">
        <v>2</v>
      </c>
      <c r="E60" s="7" t="s">
        <v>491</v>
      </c>
      <c r="F60" s="7"/>
      <c r="G60" s="7" t="s">
        <v>490</v>
      </c>
      <c r="H60" s="7">
        <v>0</v>
      </c>
      <c r="I60" s="7"/>
      <c r="J60" s="7"/>
      <c r="K60" s="7"/>
      <c r="L60" s="7"/>
      <c r="M60" s="7"/>
      <c r="N60" s="7"/>
      <c r="O60" s="7"/>
      <c r="P60" s="7"/>
      <c r="Q60" s="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x14ac:dyDescent="0.25">
      <c r="A61" s="7">
        <v>20</v>
      </c>
      <c r="B61" s="7" t="s">
        <v>226</v>
      </c>
      <c r="C61" s="7" t="s">
        <v>227</v>
      </c>
      <c r="D61" s="7">
        <v>3</v>
      </c>
      <c r="E61" s="7" t="s">
        <v>493</v>
      </c>
      <c r="F61" s="7"/>
      <c r="G61" s="7" t="s">
        <v>490</v>
      </c>
      <c r="H61" s="7">
        <v>0</v>
      </c>
      <c r="I61" s="7"/>
      <c r="J61" s="7"/>
      <c r="K61" s="7"/>
      <c r="L61" s="7"/>
      <c r="M61" s="7"/>
      <c r="N61" s="7"/>
      <c r="O61" s="7"/>
      <c r="P61" s="7"/>
      <c r="Q61" s="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x14ac:dyDescent="0.25">
      <c r="A62" s="6">
        <v>21</v>
      </c>
      <c r="B62" s="6" t="s">
        <v>228</v>
      </c>
      <c r="C62" s="6" t="s">
        <v>229</v>
      </c>
      <c r="D62" s="6">
        <v>1</v>
      </c>
      <c r="E62" s="6" t="s">
        <v>489</v>
      </c>
      <c r="F62" s="6"/>
      <c r="G62" s="6" t="s">
        <v>490</v>
      </c>
      <c r="H62" s="6">
        <v>0</v>
      </c>
      <c r="I62" s="6"/>
      <c r="J62" s="6"/>
      <c r="K62" s="6"/>
      <c r="L62" s="6"/>
      <c r="M62" s="6"/>
      <c r="N62" s="6"/>
      <c r="O62" s="6"/>
      <c r="P62" s="6"/>
      <c r="Q62" s="6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x14ac:dyDescent="0.25">
      <c r="A63" s="6">
        <v>21</v>
      </c>
      <c r="B63" s="6" t="s">
        <v>228</v>
      </c>
      <c r="C63" s="6" t="s">
        <v>229</v>
      </c>
      <c r="D63" s="6">
        <v>2</v>
      </c>
      <c r="E63" s="6" t="s">
        <v>491</v>
      </c>
      <c r="F63" s="6"/>
      <c r="G63" s="6" t="s">
        <v>490</v>
      </c>
      <c r="H63" s="6">
        <v>0</v>
      </c>
      <c r="I63" s="6"/>
      <c r="J63" s="6"/>
      <c r="K63" s="6"/>
      <c r="L63" s="6"/>
      <c r="M63" s="6"/>
      <c r="N63" s="6"/>
      <c r="O63" s="6"/>
      <c r="P63" s="6"/>
      <c r="Q63" s="6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x14ac:dyDescent="0.25">
      <c r="A64" s="6">
        <v>21</v>
      </c>
      <c r="B64" s="6" t="s">
        <v>228</v>
      </c>
      <c r="C64" s="6" t="s">
        <v>229</v>
      </c>
      <c r="D64" s="6">
        <v>3</v>
      </c>
      <c r="E64" s="6" t="s">
        <v>493</v>
      </c>
      <c r="F64" s="6"/>
      <c r="G64" s="6" t="s">
        <v>490</v>
      </c>
      <c r="H64" s="6">
        <v>0</v>
      </c>
      <c r="I64" s="6"/>
      <c r="J64" s="6"/>
      <c r="K64" s="6"/>
      <c r="L64" s="6"/>
      <c r="M64" s="6"/>
      <c r="N64" s="6"/>
      <c r="O64" s="6"/>
      <c r="P64" s="6"/>
      <c r="Q64" s="6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x14ac:dyDescent="0.25">
      <c r="A65" s="7">
        <v>22</v>
      </c>
      <c r="B65" s="7" t="s">
        <v>230</v>
      </c>
      <c r="C65" s="7" t="s">
        <v>231</v>
      </c>
      <c r="D65" s="7">
        <v>1</v>
      </c>
      <c r="E65" s="7" t="s">
        <v>489</v>
      </c>
      <c r="F65" s="7"/>
      <c r="G65" s="7" t="s">
        <v>490</v>
      </c>
      <c r="H65" s="7">
        <v>0</v>
      </c>
      <c r="I65" s="7"/>
      <c r="J65" s="7"/>
      <c r="K65" s="7"/>
      <c r="L65" s="7"/>
      <c r="M65" s="7"/>
      <c r="N65" s="7"/>
      <c r="O65" s="7"/>
      <c r="P65" s="7"/>
      <c r="Q65" s="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x14ac:dyDescent="0.25">
      <c r="A66" s="7">
        <v>22</v>
      </c>
      <c r="B66" s="7" t="s">
        <v>230</v>
      </c>
      <c r="C66" s="7" t="s">
        <v>231</v>
      </c>
      <c r="D66" s="7">
        <v>2</v>
      </c>
      <c r="E66" s="7" t="s">
        <v>491</v>
      </c>
      <c r="F66" s="7"/>
      <c r="G66" s="7" t="s">
        <v>490</v>
      </c>
      <c r="H66" s="7">
        <v>0</v>
      </c>
      <c r="I66" s="7"/>
      <c r="J66" s="7"/>
      <c r="K66" s="7"/>
      <c r="L66" s="7"/>
      <c r="M66" s="7"/>
      <c r="N66" s="7"/>
      <c r="O66" s="7"/>
      <c r="P66" s="7"/>
      <c r="Q66" s="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x14ac:dyDescent="0.25">
      <c r="A67" s="7">
        <v>22</v>
      </c>
      <c r="B67" s="7" t="s">
        <v>230</v>
      </c>
      <c r="C67" s="7" t="s">
        <v>231</v>
      </c>
      <c r="D67" s="7">
        <v>3</v>
      </c>
      <c r="E67" s="7" t="s">
        <v>493</v>
      </c>
      <c r="F67" s="7"/>
      <c r="G67" s="7" t="s">
        <v>490</v>
      </c>
      <c r="H67" s="7">
        <v>0</v>
      </c>
      <c r="I67" s="7"/>
      <c r="J67" s="7"/>
      <c r="K67" s="7"/>
      <c r="L67" s="7"/>
      <c r="M67" s="7"/>
      <c r="N67" s="7"/>
      <c r="O67" s="7"/>
      <c r="P67" s="7"/>
      <c r="Q67" s="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x14ac:dyDescent="0.25">
      <c r="A68" s="6">
        <v>23</v>
      </c>
      <c r="B68" s="6" t="s">
        <v>232</v>
      </c>
      <c r="C68" s="6" t="s">
        <v>233</v>
      </c>
      <c r="D68" s="6">
        <v>1</v>
      </c>
      <c r="E68" s="6" t="s">
        <v>489</v>
      </c>
      <c r="F68" s="6"/>
      <c r="G68" s="6" t="s">
        <v>490</v>
      </c>
      <c r="H68" s="6">
        <v>0</v>
      </c>
      <c r="I68" s="6"/>
      <c r="J68" s="6"/>
      <c r="K68" s="6"/>
      <c r="L68" s="6"/>
      <c r="M68" s="6"/>
      <c r="N68" s="6"/>
      <c r="O68" s="6"/>
      <c r="P68" s="6"/>
      <c r="Q68" s="6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x14ac:dyDescent="0.25">
      <c r="A69" s="6">
        <v>23</v>
      </c>
      <c r="B69" s="6" t="s">
        <v>232</v>
      </c>
      <c r="C69" s="6" t="s">
        <v>233</v>
      </c>
      <c r="D69" s="6">
        <v>2</v>
      </c>
      <c r="E69" s="6" t="s">
        <v>491</v>
      </c>
      <c r="F69" s="6"/>
      <c r="G69" s="6" t="s">
        <v>490</v>
      </c>
      <c r="H69" s="6">
        <v>0</v>
      </c>
      <c r="I69" s="6"/>
      <c r="J69" s="6"/>
      <c r="K69" s="6"/>
      <c r="L69" s="6"/>
      <c r="M69" s="6"/>
      <c r="N69" s="6"/>
      <c r="O69" s="6"/>
      <c r="P69" s="6"/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x14ac:dyDescent="0.25">
      <c r="A70" s="6">
        <v>23</v>
      </c>
      <c r="B70" s="6" t="s">
        <v>232</v>
      </c>
      <c r="C70" s="6" t="s">
        <v>233</v>
      </c>
      <c r="D70" s="6">
        <v>3</v>
      </c>
      <c r="E70" s="6" t="s">
        <v>493</v>
      </c>
      <c r="F70" s="6"/>
      <c r="G70" s="6" t="s">
        <v>490</v>
      </c>
      <c r="H70" s="6">
        <v>0</v>
      </c>
      <c r="I70" s="6"/>
      <c r="J70" s="6"/>
      <c r="K70" s="6"/>
      <c r="L70" s="6"/>
      <c r="M70" s="6"/>
      <c r="N70" s="6"/>
      <c r="O70" s="6"/>
      <c r="P70" s="6"/>
      <c r="Q70" s="6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x14ac:dyDescent="0.25">
      <c r="A71" s="7">
        <v>24</v>
      </c>
      <c r="B71" s="7" t="s">
        <v>234</v>
      </c>
      <c r="C71" s="7" t="s">
        <v>235</v>
      </c>
      <c r="D71" s="7">
        <v>1</v>
      </c>
      <c r="E71" s="7" t="s">
        <v>489</v>
      </c>
      <c r="F71" s="7"/>
      <c r="G71" s="7" t="s">
        <v>490</v>
      </c>
      <c r="H71" s="7">
        <v>0</v>
      </c>
      <c r="I71" s="7"/>
      <c r="J71" s="7"/>
      <c r="K71" s="7"/>
      <c r="L71" s="7"/>
      <c r="M71" s="7"/>
      <c r="N71" s="7"/>
      <c r="O71" s="7"/>
      <c r="P71" s="7"/>
      <c r="Q71" s="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x14ac:dyDescent="0.25">
      <c r="A72" s="7">
        <v>24</v>
      </c>
      <c r="B72" s="7" t="s">
        <v>234</v>
      </c>
      <c r="C72" s="7" t="s">
        <v>235</v>
      </c>
      <c r="D72" s="7">
        <v>2</v>
      </c>
      <c r="E72" s="7" t="s">
        <v>491</v>
      </c>
      <c r="F72" s="7"/>
      <c r="G72" s="7" t="s">
        <v>490</v>
      </c>
      <c r="H72" s="7">
        <v>0</v>
      </c>
      <c r="I72" s="7"/>
      <c r="J72" s="7"/>
      <c r="K72" s="7"/>
      <c r="L72" s="7"/>
      <c r="M72" s="7"/>
      <c r="N72" s="7"/>
      <c r="O72" s="7"/>
      <c r="P72" s="7"/>
      <c r="Q72" s="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25">
      <c r="A73" s="7">
        <v>24</v>
      </c>
      <c r="B73" s="7" t="s">
        <v>234</v>
      </c>
      <c r="C73" s="7" t="s">
        <v>235</v>
      </c>
      <c r="D73" s="7">
        <v>3</v>
      </c>
      <c r="E73" s="7" t="s">
        <v>493</v>
      </c>
      <c r="F73" s="7"/>
      <c r="G73" s="7" t="s">
        <v>490</v>
      </c>
      <c r="H73" s="7">
        <v>0</v>
      </c>
      <c r="I73" s="7"/>
      <c r="J73" s="7"/>
      <c r="K73" s="7"/>
      <c r="L73" s="7"/>
      <c r="M73" s="7"/>
      <c r="N73" s="7"/>
      <c r="O73" s="7"/>
      <c r="P73" s="7"/>
      <c r="Q73" s="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x14ac:dyDescent="0.25">
      <c r="A74" s="6">
        <v>25</v>
      </c>
      <c r="B74" s="6" t="s">
        <v>236</v>
      </c>
      <c r="C74" s="6" t="s">
        <v>237</v>
      </c>
      <c r="D74" s="6">
        <v>1</v>
      </c>
      <c r="E74" s="6" t="s">
        <v>489</v>
      </c>
      <c r="F74" s="6"/>
      <c r="G74" s="6" t="s">
        <v>490</v>
      </c>
      <c r="H74" s="6">
        <v>0</v>
      </c>
      <c r="I74" s="6"/>
      <c r="J74" s="6"/>
      <c r="K74" s="6"/>
      <c r="L74" s="6"/>
      <c r="M74" s="6"/>
      <c r="N74" s="6"/>
      <c r="O74" s="6"/>
      <c r="P74" s="6"/>
      <c r="Q74" s="6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x14ac:dyDescent="0.25">
      <c r="A75" s="6">
        <v>25</v>
      </c>
      <c r="B75" s="6" t="s">
        <v>236</v>
      </c>
      <c r="C75" s="6" t="s">
        <v>237</v>
      </c>
      <c r="D75" s="6">
        <v>2</v>
      </c>
      <c r="E75" s="6" t="s">
        <v>491</v>
      </c>
      <c r="F75" s="6"/>
      <c r="G75" s="6" t="s">
        <v>490</v>
      </c>
      <c r="H75" s="6">
        <v>0</v>
      </c>
      <c r="I75" s="6"/>
      <c r="J75" s="6"/>
      <c r="K75" s="6"/>
      <c r="L75" s="6"/>
      <c r="M75" s="6"/>
      <c r="N75" s="6"/>
      <c r="O75" s="6"/>
      <c r="P75" s="6"/>
      <c r="Q75" s="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x14ac:dyDescent="0.25">
      <c r="A76" s="6">
        <v>25</v>
      </c>
      <c r="B76" s="6" t="s">
        <v>236</v>
      </c>
      <c r="C76" s="6" t="s">
        <v>237</v>
      </c>
      <c r="D76" s="6">
        <v>3</v>
      </c>
      <c r="E76" s="6" t="s">
        <v>493</v>
      </c>
      <c r="F76" s="6"/>
      <c r="G76" s="6" t="s">
        <v>490</v>
      </c>
      <c r="H76" s="6">
        <v>0</v>
      </c>
      <c r="I76" s="6"/>
      <c r="J76" s="6"/>
      <c r="K76" s="6"/>
      <c r="L76" s="6"/>
      <c r="M76" s="6"/>
      <c r="N76" s="6"/>
      <c r="O76" s="6"/>
      <c r="P76" s="6"/>
      <c r="Q76" s="6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x14ac:dyDescent="0.25">
      <c r="A77" s="7">
        <v>26</v>
      </c>
      <c r="B77" s="7" t="s">
        <v>238</v>
      </c>
      <c r="C77" s="7" t="s">
        <v>239</v>
      </c>
      <c r="D77" s="7">
        <v>1</v>
      </c>
      <c r="E77" s="7" t="s">
        <v>489</v>
      </c>
      <c r="F77" s="7"/>
      <c r="G77" s="7" t="s">
        <v>490</v>
      </c>
      <c r="H77" s="7">
        <v>0</v>
      </c>
      <c r="I77" s="7"/>
      <c r="J77" s="7"/>
      <c r="K77" s="7"/>
      <c r="L77" s="7"/>
      <c r="M77" s="7"/>
      <c r="N77" s="7"/>
      <c r="O77" s="7"/>
      <c r="P77" s="7"/>
      <c r="Q77" s="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x14ac:dyDescent="0.25">
      <c r="A78" s="7">
        <v>26</v>
      </c>
      <c r="B78" s="7" t="s">
        <v>238</v>
      </c>
      <c r="C78" s="7" t="s">
        <v>239</v>
      </c>
      <c r="D78" s="7">
        <v>2</v>
      </c>
      <c r="E78" s="7" t="s">
        <v>491</v>
      </c>
      <c r="F78" s="7"/>
      <c r="G78" s="7" t="s">
        <v>490</v>
      </c>
      <c r="H78" s="7">
        <v>0</v>
      </c>
      <c r="I78" s="7"/>
      <c r="J78" s="7"/>
      <c r="K78" s="7"/>
      <c r="L78" s="7"/>
      <c r="M78" s="7"/>
      <c r="N78" s="7"/>
      <c r="O78" s="7"/>
      <c r="P78" s="7"/>
      <c r="Q78" s="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x14ac:dyDescent="0.25">
      <c r="A79" s="7">
        <v>26</v>
      </c>
      <c r="B79" s="7" t="s">
        <v>238</v>
      </c>
      <c r="C79" s="7" t="s">
        <v>239</v>
      </c>
      <c r="D79" s="7">
        <v>3</v>
      </c>
      <c r="E79" s="7" t="s">
        <v>493</v>
      </c>
      <c r="F79" s="7"/>
      <c r="G79" s="7" t="s">
        <v>490</v>
      </c>
      <c r="H79" s="7">
        <v>0</v>
      </c>
      <c r="I79" s="7"/>
      <c r="J79" s="7"/>
      <c r="K79" s="7"/>
      <c r="L79" s="7"/>
      <c r="M79" s="7"/>
      <c r="N79" s="7"/>
      <c r="O79" s="7"/>
      <c r="P79" s="7"/>
      <c r="Q79" s="7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x14ac:dyDescent="0.25">
      <c r="A80" s="6">
        <v>27</v>
      </c>
      <c r="B80" s="6" t="s">
        <v>240</v>
      </c>
      <c r="C80" s="6" t="s">
        <v>241</v>
      </c>
      <c r="D80" s="6">
        <v>1</v>
      </c>
      <c r="E80" s="6" t="s">
        <v>489</v>
      </c>
      <c r="F80" s="6"/>
      <c r="G80" s="6" t="s">
        <v>490</v>
      </c>
      <c r="H80" s="6">
        <v>0</v>
      </c>
      <c r="I80" s="6"/>
      <c r="J80" s="6"/>
      <c r="K80" s="6"/>
      <c r="L80" s="6"/>
      <c r="M80" s="6"/>
      <c r="N80" s="6"/>
      <c r="O80" s="6"/>
      <c r="P80" s="6"/>
      <c r="Q80" s="6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x14ac:dyDescent="0.25">
      <c r="A81" s="6">
        <v>27</v>
      </c>
      <c r="B81" s="6" t="s">
        <v>240</v>
      </c>
      <c r="C81" s="6" t="s">
        <v>241</v>
      </c>
      <c r="D81" s="6">
        <v>2</v>
      </c>
      <c r="E81" s="6" t="s">
        <v>491</v>
      </c>
      <c r="F81" s="6"/>
      <c r="G81" s="6" t="s">
        <v>490</v>
      </c>
      <c r="H81" s="6">
        <v>0</v>
      </c>
      <c r="I81" s="6"/>
      <c r="J81" s="6"/>
      <c r="K81" s="6"/>
      <c r="L81" s="6"/>
      <c r="M81" s="6"/>
      <c r="N81" s="6"/>
      <c r="O81" s="6"/>
      <c r="P81" s="6"/>
      <c r="Q81" s="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x14ac:dyDescent="0.25">
      <c r="A82" s="6">
        <v>27</v>
      </c>
      <c r="B82" s="6" t="s">
        <v>240</v>
      </c>
      <c r="C82" s="6" t="s">
        <v>241</v>
      </c>
      <c r="D82" s="6">
        <v>3</v>
      </c>
      <c r="E82" s="6" t="s">
        <v>493</v>
      </c>
      <c r="F82" s="6"/>
      <c r="G82" s="6" t="s">
        <v>490</v>
      </c>
      <c r="H82" s="6">
        <v>0</v>
      </c>
      <c r="I82" s="6"/>
      <c r="J82" s="6"/>
      <c r="K82" s="6"/>
      <c r="L82" s="6"/>
      <c r="M82" s="6"/>
      <c r="N82" s="6"/>
      <c r="O82" s="6"/>
      <c r="P82" s="6"/>
      <c r="Q82" s="6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x14ac:dyDescent="0.25">
      <c r="A83" s="7">
        <v>28</v>
      </c>
      <c r="B83" s="7" t="s">
        <v>242</v>
      </c>
      <c r="C83" s="7" t="s">
        <v>243</v>
      </c>
      <c r="D83" s="7">
        <v>1</v>
      </c>
      <c r="E83" s="7" t="s">
        <v>489</v>
      </c>
      <c r="F83" s="7"/>
      <c r="G83" s="7" t="s">
        <v>490</v>
      </c>
      <c r="H83" s="7">
        <v>0</v>
      </c>
      <c r="I83" s="7"/>
      <c r="J83" s="7"/>
      <c r="K83" s="7"/>
      <c r="L83" s="7"/>
      <c r="M83" s="7"/>
      <c r="N83" s="7"/>
      <c r="O83" s="7"/>
      <c r="P83" s="7"/>
      <c r="Q83" s="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x14ac:dyDescent="0.25">
      <c r="A84" s="7">
        <v>28</v>
      </c>
      <c r="B84" s="7" t="s">
        <v>242</v>
      </c>
      <c r="C84" s="7" t="s">
        <v>243</v>
      </c>
      <c r="D84" s="7">
        <v>2</v>
      </c>
      <c r="E84" s="7" t="s">
        <v>491</v>
      </c>
      <c r="F84" s="7"/>
      <c r="G84" s="7" t="s">
        <v>490</v>
      </c>
      <c r="H84" s="7">
        <v>0</v>
      </c>
      <c r="I84" s="7"/>
      <c r="J84" s="7"/>
      <c r="K84" s="7"/>
      <c r="L84" s="7"/>
      <c r="M84" s="7"/>
      <c r="N84" s="7"/>
      <c r="O84" s="7"/>
      <c r="P84" s="7"/>
      <c r="Q84" s="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x14ac:dyDescent="0.25">
      <c r="A85" s="7">
        <v>28</v>
      </c>
      <c r="B85" s="7" t="s">
        <v>242</v>
      </c>
      <c r="C85" s="7" t="s">
        <v>243</v>
      </c>
      <c r="D85" s="7">
        <v>3</v>
      </c>
      <c r="E85" s="7" t="s">
        <v>493</v>
      </c>
      <c r="F85" s="7"/>
      <c r="G85" s="7" t="s">
        <v>490</v>
      </c>
      <c r="H85" s="7">
        <v>0</v>
      </c>
      <c r="I85" s="7"/>
      <c r="J85" s="7"/>
      <c r="K85" s="7"/>
      <c r="L85" s="7"/>
      <c r="M85" s="7"/>
      <c r="N85" s="7"/>
      <c r="O85" s="7"/>
      <c r="P85" s="7"/>
      <c r="Q85" s="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x14ac:dyDescent="0.25">
      <c r="A86" s="6">
        <v>29</v>
      </c>
      <c r="B86" s="6" t="s">
        <v>244</v>
      </c>
      <c r="C86" s="6" t="s">
        <v>245</v>
      </c>
      <c r="D86" s="6">
        <v>1</v>
      </c>
      <c r="E86" s="6" t="s">
        <v>489</v>
      </c>
      <c r="F86" s="6"/>
      <c r="G86" s="6" t="s">
        <v>490</v>
      </c>
      <c r="H86" s="6">
        <v>0</v>
      </c>
      <c r="I86" s="6"/>
      <c r="J86" s="6"/>
      <c r="K86" s="6"/>
      <c r="L86" s="6"/>
      <c r="M86" s="6"/>
      <c r="N86" s="6"/>
      <c r="O86" s="6"/>
      <c r="P86" s="6"/>
      <c r="Q86" s="6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x14ac:dyDescent="0.25">
      <c r="A87" s="6">
        <v>29</v>
      </c>
      <c r="B87" s="6" t="s">
        <v>244</v>
      </c>
      <c r="C87" s="6" t="s">
        <v>245</v>
      </c>
      <c r="D87" s="6">
        <v>2</v>
      </c>
      <c r="E87" s="6" t="s">
        <v>491</v>
      </c>
      <c r="F87" s="6"/>
      <c r="G87" s="6" t="s">
        <v>490</v>
      </c>
      <c r="H87" s="6">
        <v>0</v>
      </c>
      <c r="I87" s="6"/>
      <c r="J87" s="6"/>
      <c r="K87" s="6"/>
      <c r="L87" s="6"/>
      <c r="M87" s="6"/>
      <c r="N87" s="6"/>
      <c r="O87" s="6"/>
      <c r="P87" s="6"/>
      <c r="Q87" s="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x14ac:dyDescent="0.25">
      <c r="A88" s="6">
        <v>29</v>
      </c>
      <c r="B88" s="6" t="s">
        <v>244</v>
      </c>
      <c r="C88" s="6" t="s">
        <v>245</v>
      </c>
      <c r="D88" s="6">
        <v>3</v>
      </c>
      <c r="E88" s="6" t="s">
        <v>493</v>
      </c>
      <c r="F88" s="6"/>
      <c r="G88" s="6" t="s">
        <v>490</v>
      </c>
      <c r="H88" s="6">
        <v>0</v>
      </c>
      <c r="I88" s="6"/>
      <c r="J88" s="6"/>
      <c r="K88" s="6"/>
      <c r="L88" s="6"/>
      <c r="M88" s="6"/>
      <c r="N88" s="6"/>
      <c r="O88" s="6"/>
      <c r="P88" s="6"/>
      <c r="Q88" s="6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25">
      <c r="A89" s="7">
        <v>30</v>
      </c>
      <c r="B89" s="7" t="s">
        <v>246</v>
      </c>
      <c r="C89" s="7" t="s">
        <v>247</v>
      </c>
      <c r="D89" s="7">
        <v>1</v>
      </c>
      <c r="E89" s="7" t="s">
        <v>489</v>
      </c>
      <c r="F89" s="7"/>
      <c r="G89" s="7" t="s">
        <v>490</v>
      </c>
      <c r="H89" s="7">
        <v>0</v>
      </c>
      <c r="I89" s="7"/>
      <c r="J89" s="7"/>
      <c r="K89" s="7"/>
      <c r="L89" s="7"/>
      <c r="M89" s="7"/>
      <c r="N89" s="7"/>
      <c r="O89" s="7"/>
      <c r="P89" s="7"/>
      <c r="Q89" s="7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x14ac:dyDescent="0.25">
      <c r="A90" s="7">
        <v>30</v>
      </c>
      <c r="B90" s="7" t="s">
        <v>246</v>
      </c>
      <c r="C90" s="7" t="s">
        <v>247</v>
      </c>
      <c r="D90" s="7">
        <v>2</v>
      </c>
      <c r="E90" s="7" t="s">
        <v>491</v>
      </c>
      <c r="F90" s="7"/>
      <c r="G90" s="7" t="s">
        <v>490</v>
      </c>
      <c r="H90" s="7">
        <v>0</v>
      </c>
      <c r="I90" s="7"/>
      <c r="J90" s="7"/>
      <c r="K90" s="7"/>
      <c r="L90" s="7"/>
      <c r="M90" s="7"/>
      <c r="N90" s="7"/>
      <c r="O90" s="7"/>
      <c r="P90" s="7"/>
      <c r="Q90" s="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x14ac:dyDescent="0.25">
      <c r="A91" s="7">
        <v>30</v>
      </c>
      <c r="B91" s="7" t="s">
        <v>246</v>
      </c>
      <c r="C91" s="7" t="s">
        <v>247</v>
      </c>
      <c r="D91" s="7">
        <v>3</v>
      </c>
      <c r="E91" s="7" t="s">
        <v>493</v>
      </c>
      <c r="F91" s="7"/>
      <c r="G91" s="7" t="s">
        <v>490</v>
      </c>
      <c r="H91" s="7">
        <v>0</v>
      </c>
      <c r="I91" s="7"/>
      <c r="J91" s="7"/>
      <c r="K91" s="7"/>
      <c r="L91" s="7"/>
      <c r="M91" s="7"/>
      <c r="N91" s="7"/>
      <c r="O91" s="7"/>
      <c r="P91" s="7"/>
      <c r="Q91" s="7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x14ac:dyDescent="0.25">
      <c r="A92" s="6">
        <v>31</v>
      </c>
      <c r="B92" s="6" t="s">
        <v>248</v>
      </c>
      <c r="C92" s="6" t="s">
        <v>249</v>
      </c>
      <c r="D92" s="6">
        <v>1</v>
      </c>
      <c r="E92" s="6" t="s">
        <v>489</v>
      </c>
      <c r="F92" s="6"/>
      <c r="G92" s="6" t="s">
        <v>490</v>
      </c>
      <c r="H92" s="6">
        <v>0</v>
      </c>
      <c r="I92" s="6"/>
      <c r="J92" s="6"/>
      <c r="K92" s="6"/>
      <c r="L92" s="6"/>
      <c r="M92" s="6"/>
      <c r="N92" s="6"/>
      <c r="O92" s="6"/>
      <c r="P92" s="6"/>
      <c r="Q92" s="6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x14ac:dyDescent="0.25">
      <c r="A93" s="6">
        <v>31</v>
      </c>
      <c r="B93" s="6" t="s">
        <v>248</v>
      </c>
      <c r="C93" s="6" t="s">
        <v>249</v>
      </c>
      <c r="D93" s="6">
        <v>2</v>
      </c>
      <c r="E93" s="6" t="s">
        <v>491</v>
      </c>
      <c r="F93" s="6"/>
      <c r="G93" s="6" t="s">
        <v>490</v>
      </c>
      <c r="H93" s="6">
        <v>0</v>
      </c>
      <c r="I93" s="6"/>
      <c r="J93" s="6"/>
      <c r="K93" s="6"/>
      <c r="L93" s="6"/>
      <c r="M93" s="6"/>
      <c r="N93" s="6"/>
      <c r="O93" s="6"/>
      <c r="P93" s="6"/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x14ac:dyDescent="0.25">
      <c r="A94" s="6">
        <v>31</v>
      </c>
      <c r="B94" s="6" t="s">
        <v>248</v>
      </c>
      <c r="C94" s="6" t="s">
        <v>249</v>
      </c>
      <c r="D94" s="6">
        <v>3</v>
      </c>
      <c r="E94" s="6" t="s">
        <v>493</v>
      </c>
      <c r="F94" s="6"/>
      <c r="G94" s="6" t="s">
        <v>490</v>
      </c>
      <c r="H94" s="6">
        <v>0</v>
      </c>
      <c r="I94" s="6"/>
      <c r="J94" s="6"/>
      <c r="K94" s="6"/>
      <c r="L94" s="6"/>
      <c r="M94" s="6"/>
      <c r="N94" s="6"/>
      <c r="O94" s="6"/>
      <c r="P94" s="6"/>
      <c r="Q94" s="6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x14ac:dyDescent="0.25">
      <c r="A95" s="7">
        <v>32</v>
      </c>
      <c r="B95" s="7" t="s">
        <v>250</v>
      </c>
      <c r="C95" s="7" t="s">
        <v>251</v>
      </c>
      <c r="D95" s="7">
        <v>1</v>
      </c>
      <c r="E95" s="7" t="s">
        <v>489</v>
      </c>
      <c r="F95" s="7"/>
      <c r="G95" s="7" t="s">
        <v>490</v>
      </c>
      <c r="H95" s="7">
        <v>0</v>
      </c>
      <c r="I95" s="7"/>
      <c r="J95" s="7"/>
      <c r="K95" s="7"/>
      <c r="L95" s="7"/>
      <c r="M95" s="7"/>
      <c r="N95" s="7"/>
      <c r="O95" s="7"/>
      <c r="P95" s="7"/>
      <c r="Q95" s="7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x14ac:dyDescent="0.25">
      <c r="A96" s="7">
        <v>32</v>
      </c>
      <c r="B96" s="7" t="s">
        <v>250</v>
      </c>
      <c r="C96" s="7" t="s">
        <v>251</v>
      </c>
      <c r="D96" s="7">
        <v>2</v>
      </c>
      <c r="E96" s="7" t="s">
        <v>491</v>
      </c>
      <c r="F96" s="7"/>
      <c r="G96" s="7" t="s">
        <v>490</v>
      </c>
      <c r="H96" s="7">
        <v>0</v>
      </c>
      <c r="I96" s="7"/>
      <c r="J96" s="7"/>
      <c r="K96" s="7"/>
      <c r="L96" s="7"/>
      <c r="M96" s="7"/>
      <c r="N96" s="7"/>
      <c r="O96" s="7"/>
      <c r="P96" s="7"/>
      <c r="Q96" s="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x14ac:dyDescent="0.25">
      <c r="A97" s="7">
        <v>32</v>
      </c>
      <c r="B97" s="7" t="s">
        <v>250</v>
      </c>
      <c r="C97" s="7" t="s">
        <v>251</v>
      </c>
      <c r="D97" s="7">
        <v>3</v>
      </c>
      <c r="E97" s="7" t="s">
        <v>493</v>
      </c>
      <c r="F97" s="7"/>
      <c r="G97" s="7" t="s">
        <v>490</v>
      </c>
      <c r="H97" s="7">
        <v>0</v>
      </c>
      <c r="I97" s="7"/>
      <c r="J97" s="7"/>
      <c r="K97" s="7"/>
      <c r="L97" s="7"/>
      <c r="M97" s="7"/>
      <c r="N97" s="7"/>
      <c r="O97" s="7"/>
      <c r="P97" s="7"/>
      <c r="Q97" s="7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x14ac:dyDescent="0.25">
      <c r="A98" s="6">
        <v>33</v>
      </c>
      <c r="B98" s="6" t="s">
        <v>252</v>
      </c>
      <c r="C98" s="6" t="s">
        <v>253</v>
      </c>
      <c r="D98" s="6">
        <v>1</v>
      </c>
      <c r="E98" s="6" t="s">
        <v>489</v>
      </c>
      <c r="F98" s="6"/>
      <c r="G98" s="6" t="s">
        <v>490</v>
      </c>
      <c r="H98" s="6">
        <v>0</v>
      </c>
      <c r="I98" s="6"/>
      <c r="J98" s="6"/>
      <c r="K98" s="6"/>
      <c r="L98" s="6"/>
      <c r="M98" s="6"/>
      <c r="N98" s="6"/>
      <c r="O98" s="6"/>
      <c r="P98" s="6"/>
      <c r="Q98" s="6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x14ac:dyDescent="0.25">
      <c r="A99" s="6">
        <v>33</v>
      </c>
      <c r="B99" s="6" t="s">
        <v>252</v>
      </c>
      <c r="C99" s="6" t="s">
        <v>253</v>
      </c>
      <c r="D99" s="6">
        <v>2</v>
      </c>
      <c r="E99" s="6" t="s">
        <v>491</v>
      </c>
      <c r="F99" s="6"/>
      <c r="G99" s="6" t="s">
        <v>490</v>
      </c>
      <c r="H99" s="6">
        <v>0</v>
      </c>
      <c r="I99" s="6"/>
      <c r="J99" s="6"/>
      <c r="K99" s="6"/>
      <c r="L99" s="6"/>
      <c r="M99" s="6"/>
      <c r="N99" s="6"/>
      <c r="O99" s="6"/>
      <c r="P99" s="6"/>
      <c r="Q99" s="6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x14ac:dyDescent="0.25">
      <c r="A100" s="6">
        <v>33</v>
      </c>
      <c r="B100" s="6" t="s">
        <v>252</v>
      </c>
      <c r="C100" s="6" t="s">
        <v>253</v>
      </c>
      <c r="D100" s="6">
        <v>3</v>
      </c>
      <c r="E100" s="6" t="s">
        <v>493</v>
      </c>
      <c r="F100" s="6"/>
      <c r="G100" s="6" t="s">
        <v>490</v>
      </c>
      <c r="H100" s="6"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x14ac:dyDescent="0.25">
      <c r="A101" s="7">
        <v>34</v>
      </c>
      <c r="B101" s="7" t="s">
        <v>254</v>
      </c>
      <c r="C101" s="7" t="s">
        <v>255</v>
      </c>
      <c r="D101" s="7">
        <v>1</v>
      </c>
      <c r="E101" s="7" t="s">
        <v>489</v>
      </c>
      <c r="F101" s="7"/>
      <c r="G101" s="7" t="s">
        <v>490</v>
      </c>
      <c r="H101" s="7">
        <v>0</v>
      </c>
      <c r="I101" s="7"/>
      <c r="J101" s="7"/>
      <c r="K101" s="7"/>
      <c r="L101" s="7"/>
      <c r="M101" s="7"/>
      <c r="N101" s="7"/>
      <c r="O101" s="7"/>
      <c r="P101" s="7"/>
      <c r="Q101" s="7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x14ac:dyDescent="0.25">
      <c r="A102" s="7">
        <v>34</v>
      </c>
      <c r="B102" s="7" t="s">
        <v>254</v>
      </c>
      <c r="C102" s="7" t="s">
        <v>255</v>
      </c>
      <c r="D102" s="7">
        <v>2</v>
      </c>
      <c r="E102" s="7" t="s">
        <v>491</v>
      </c>
      <c r="F102" s="7"/>
      <c r="G102" s="7" t="s">
        <v>490</v>
      </c>
      <c r="H102" s="7">
        <v>0</v>
      </c>
      <c r="I102" s="7"/>
      <c r="J102" s="7"/>
      <c r="K102" s="7"/>
      <c r="L102" s="7"/>
      <c r="M102" s="7"/>
      <c r="N102" s="7"/>
      <c r="O102" s="7"/>
      <c r="P102" s="7"/>
      <c r="Q102" s="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x14ac:dyDescent="0.25">
      <c r="A103" s="7">
        <v>34</v>
      </c>
      <c r="B103" s="7" t="s">
        <v>254</v>
      </c>
      <c r="C103" s="7" t="s">
        <v>255</v>
      </c>
      <c r="D103" s="7">
        <v>3</v>
      </c>
      <c r="E103" s="7" t="s">
        <v>493</v>
      </c>
      <c r="F103" s="7"/>
      <c r="G103" s="7" t="s">
        <v>490</v>
      </c>
      <c r="H103" s="7">
        <v>0</v>
      </c>
      <c r="I103" s="7"/>
      <c r="J103" s="7"/>
      <c r="K103" s="7"/>
      <c r="L103" s="7"/>
      <c r="M103" s="7"/>
      <c r="N103" s="7"/>
      <c r="O103" s="7"/>
      <c r="P103" s="7"/>
      <c r="Q103" s="7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x14ac:dyDescent="0.25">
      <c r="A104" s="6">
        <v>35</v>
      </c>
      <c r="B104" s="6" t="s">
        <v>256</v>
      </c>
      <c r="C104" s="6" t="s">
        <v>257</v>
      </c>
      <c r="D104" s="6">
        <v>1</v>
      </c>
      <c r="E104" s="6" t="s">
        <v>489</v>
      </c>
      <c r="F104" s="6"/>
      <c r="G104" s="6" t="s">
        <v>490</v>
      </c>
      <c r="H104" s="6"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x14ac:dyDescent="0.25">
      <c r="A105" s="6">
        <v>35</v>
      </c>
      <c r="B105" s="6" t="s">
        <v>256</v>
      </c>
      <c r="C105" s="6" t="s">
        <v>257</v>
      </c>
      <c r="D105" s="6">
        <v>2</v>
      </c>
      <c r="E105" s="6" t="s">
        <v>491</v>
      </c>
      <c r="F105" s="6"/>
      <c r="G105" s="6" t="s">
        <v>490</v>
      </c>
      <c r="H105" s="6"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x14ac:dyDescent="0.25">
      <c r="A106" s="6">
        <v>35</v>
      </c>
      <c r="B106" s="6" t="s">
        <v>256</v>
      </c>
      <c r="C106" s="6" t="s">
        <v>257</v>
      </c>
      <c r="D106" s="6">
        <v>3</v>
      </c>
      <c r="E106" s="6" t="s">
        <v>493</v>
      </c>
      <c r="F106" s="6"/>
      <c r="G106" s="6" t="s">
        <v>490</v>
      </c>
      <c r="H106" s="6"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x14ac:dyDescent="0.25">
      <c r="A107" s="7">
        <v>36</v>
      </c>
      <c r="B107" s="7" t="s">
        <v>258</v>
      </c>
      <c r="C107" s="7" t="s">
        <v>259</v>
      </c>
      <c r="D107" s="7">
        <v>1</v>
      </c>
      <c r="E107" s="7" t="s">
        <v>489</v>
      </c>
      <c r="F107" s="7"/>
      <c r="G107" s="7" t="s">
        <v>490</v>
      </c>
      <c r="H107" s="7">
        <v>0</v>
      </c>
      <c r="I107" s="7"/>
      <c r="J107" s="7"/>
      <c r="K107" s="7"/>
      <c r="L107" s="7"/>
      <c r="M107" s="7"/>
      <c r="N107" s="7"/>
      <c r="O107" s="7"/>
      <c r="P107" s="7"/>
      <c r="Q107" s="7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x14ac:dyDescent="0.25">
      <c r="A108" s="7">
        <v>36</v>
      </c>
      <c r="B108" s="7" t="s">
        <v>258</v>
      </c>
      <c r="C108" s="7" t="s">
        <v>259</v>
      </c>
      <c r="D108" s="7">
        <v>2</v>
      </c>
      <c r="E108" s="7" t="s">
        <v>491</v>
      </c>
      <c r="F108" s="7"/>
      <c r="G108" s="7" t="s">
        <v>490</v>
      </c>
      <c r="H108" s="7">
        <v>0</v>
      </c>
      <c r="I108" s="7"/>
      <c r="J108" s="7"/>
      <c r="K108" s="7"/>
      <c r="L108" s="7"/>
      <c r="M108" s="7"/>
      <c r="N108" s="7"/>
      <c r="O108" s="7"/>
      <c r="P108" s="7"/>
      <c r="Q108" s="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x14ac:dyDescent="0.25">
      <c r="A109" s="7">
        <v>36</v>
      </c>
      <c r="B109" s="7" t="s">
        <v>258</v>
      </c>
      <c r="C109" s="7" t="s">
        <v>259</v>
      </c>
      <c r="D109" s="7">
        <v>3</v>
      </c>
      <c r="E109" s="7" t="s">
        <v>493</v>
      </c>
      <c r="F109" s="7"/>
      <c r="G109" s="7" t="s">
        <v>490</v>
      </c>
      <c r="H109" s="7">
        <v>0</v>
      </c>
      <c r="I109" s="7"/>
      <c r="J109" s="7"/>
      <c r="K109" s="7"/>
      <c r="L109" s="7"/>
      <c r="M109" s="7"/>
      <c r="N109" s="7"/>
      <c r="O109" s="7"/>
      <c r="P109" s="7"/>
      <c r="Q109" s="7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x14ac:dyDescent="0.25">
      <c r="A110" s="6">
        <v>37</v>
      </c>
      <c r="B110" s="6" t="s">
        <v>260</v>
      </c>
      <c r="C110" s="6" t="s">
        <v>261</v>
      </c>
      <c r="D110" s="6">
        <v>1</v>
      </c>
      <c r="E110" s="6" t="s">
        <v>489</v>
      </c>
      <c r="F110" s="6"/>
      <c r="G110" s="6" t="s">
        <v>490</v>
      </c>
      <c r="H110" s="6"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x14ac:dyDescent="0.25">
      <c r="A111" s="6">
        <v>37</v>
      </c>
      <c r="B111" s="6" t="s">
        <v>260</v>
      </c>
      <c r="C111" s="6" t="s">
        <v>261</v>
      </c>
      <c r="D111" s="6">
        <v>2</v>
      </c>
      <c r="E111" s="6" t="s">
        <v>491</v>
      </c>
      <c r="F111" s="6"/>
      <c r="G111" s="6" t="s">
        <v>490</v>
      </c>
      <c r="H111" s="6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x14ac:dyDescent="0.25">
      <c r="A112" s="6">
        <v>37</v>
      </c>
      <c r="B112" s="6" t="s">
        <v>260</v>
      </c>
      <c r="C112" s="6" t="s">
        <v>261</v>
      </c>
      <c r="D112" s="6">
        <v>3</v>
      </c>
      <c r="E112" s="6" t="s">
        <v>493</v>
      </c>
      <c r="F112" s="6"/>
      <c r="G112" s="6" t="s">
        <v>490</v>
      </c>
      <c r="H112" s="6"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x14ac:dyDescent="0.25">
      <c r="A113" s="7">
        <v>38</v>
      </c>
      <c r="B113" s="7" t="s">
        <v>262</v>
      </c>
      <c r="C113" s="7" t="s">
        <v>263</v>
      </c>
      <c r="D113" s="7">
        <v>1</v>
      </c>
      <c r="E113" s="7" t="s">
        <v>489</v>
      </c>
      <c r="F113" s="7"/>
      <c r="G113" s="7" t="s">
        <v>490</v>
      </c>
      <c r="H113" s="7">
        <v>0</v>
      </c>
      <c r="I113" s="7"/>
      <c r="J113" s="7"/>
      <c r="K113" s="7"/>
      <c r="L113" s="7"/>
      <c r="M113" s="7"/>
      <c r="N113" s="7"/>
      <c r="O113" s="7"/>
      <c r="P113" s="7"/>
      <c r="Q113" s="7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x14ac:dyDescent="0.25">
      <c r="A114" s="7">
        <v>38</v>
      </c>
      <c r="B114" s="7" t="s">
        <v>262</v>
      </c>
      <c r="C114" s="7" t="s">
        <v>263</v>
      </c>
      <c r="D114" s="7">
        <v>2</v>
      </c>
      <c r="E114" s="7" t="s">
        <v>491</v>
      </c>
      <c r="F114" s="7"/>
      <c r="G114" s="7" t="s">
        <v>490</v>
      </c>
      <c r="H114" s="7">
        <v>0</v>
      </c>
      <c r="I114" s="7"/>
      <c r="J114" s="7"/>
      <c r="K114" s="7"/>
      <c r="L114" s="7"/>
      <c r="M114" s="7"/>
      <c r="N114" s="7"/>
      <c r="O114" s="7"/>
      <c r="P114" s="7"/>
      <c r="Q114" s="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25">
      <c r="A115" s="7">
        <v>38</v>
      </c>
      <c r="B115" s="7" t="s">
        <v>262</v>
      </c>
      <c r="C115" s="7" t="s">
        <v>263</v>
      </c>
      <c r="D115" s="7">
        <v>3</v>
      </c>
      <c r="E115" s="7" t="s">
        <v>493</v>
      </c>
      <c r="F115" s="7"/>
      <c r="G115" s="7" t="s">
        <v>490</v>
      </c>
      <c r="H115" s="7">
        <v>0</v>
      </c>
      <c r="I115" s="7"/>
      <c r="J115" s="7"/>
      <c r="K115" s="7"/>
      <c r="L115" s="7"/>
      <c r="M115" s="7"/>
      <c r="N115" s="7"/>
      <c r="O115" s="7"/>
      <c r="P115" s="7"/>
      <c r="Q115" s="7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x14ac:dyDescent="0.25">
      <c r="A116" s="6">
        <v>39</v>
      </c>
      <c r="B116" s="6" t="s">
        <v>264</v>
      </c>
      <c r="C116" s="6" t="s">
        <v>265</v>
      </c>
      <c r="D116" s="6">
        <v>1</v>
      </c>
      <c r="E116" s="6" t="s">
        <v>489</v>
      </c>
      <c r="F116" s="6"/>
      <c r="G116" s="6" t="s">
        <v>490</v>
      </c>
      <c r="H116" s="6"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x14ac:dyDescent="0.25">
      <c r="A117" s="6">
        <v>39</v>
      </c>
      <c r="B117" s="6" t="s">
        <v>264</v>
      </c>
      <c r="C117" s="6" t="s">
        <v>265</v>
      </c>
      <c r="D117" s="6">
        <v>2</v>
      </c>
      <c r="E117" s="6" t="s">
        <v>491</v>
      </c>
      <c r="F117" s="6"/>
      <c r="G117" s="6" t="s">
        <v>490</v>
      </c>
      <c r="H117" s="6"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x14ac:dyDescent="0.25">
      <c r="A118" s="6">
        <v>39</v>
      </c>
      <c r="B118" s="6" t="s">
        <v>264</v>
      </c>
      <c r="C118" s="6" t="s">
        <v>265</v>
      </c>
      <c r="D118" s="6">
        <v>3</v>
      </c>
      <c r="E118" s="6" t="s">
        <v>493</v>
      </c>
      <c r="F118" s="6"/>
      <c r="G118" s="6" t="s">
        <v>490</v>
      </c>
      <c r="H118" s="6"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x14ac:dyDescent="0.25">
      <c r="A119" s="7">
        <v>40</v>
      </c>
      <c r="B119" s="7" t="s">
        <v>266</v>
      </c>
      <c r="C119" s="7" t="s">
        <v>267</v>
      </c>
      <c r="D119" s="7">
        <v>1</v>
      </c>
      <c r="E119" s="7" t="s">
        <v>489</v>
      </c>
      <c r="F119" s="7"/>
      <c r="G119" s="7" t="s">
        <v>490</v>
      </c>
      <c r="H119" s="7">
        <v>0</v>
      </c>
      <c r="I119" s="7"/>
      <c r="J119" s="7"/>
      <c r="K119" s="7"/>
      <c r="L119" s="7"/>
      <c r="M119" s="7"/>
      <c r="N119" s="7"/>
      <c r="O119" s="7"/>
      <c r="P119" s="7"/>
      <c r="Q119" s="7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x14ac:dyDescent="0.25">
      <c r="A120" s="7">
        <v>40</v>
      </c>
      <c r="B120" s="7" t="s">
        <v>266</v>
      </c>
      <c r="C120" s="7" t="s">
        <v>267</v>
      </c>
      <c r="D120" s="7">
        <v>2</v>
      </c>
      <c r="E120" s="7" t="s">
        <v>491</v>
      </c>
      <c r="F120" s="7"/>
      <c r="G120" s="7" t="s">
        <v>490</v>
      </c>
      <c r="H120" s="7">
        <v>0</v>
      </c>
      <c r="I120" s="7"/>
      <c r="J120" s="7"/>
      <c r="K120" s="7"/>
      <c r="L120" s="7"/>
      <c r="M120" s="7"/>
      <c r="N120" s="7"/>
      <c r="O120" s="7"/>
      <c r="P120" s="7"/>
      <c r="Q120" s="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x14ac:dyDescent="0.25">
      <c r="A121" s="7">
        <v>40</v>
      </c>
      <c r="B121" s="7" t="s">
        <v>266</v>
      </c>
      <c r="C121" s="7" t="s">
        <v>267</v>
      </c>
      <c r="D121" s="7">
        <v>3</v>
      </c>
      <c r="E121" s="7" t="s">
        <v>493</v>
      </c>
      <c r="F121" s="7"/>
      <c r="G121" s="7" t="s">
        <v>490</v>
      </c>
      <c r="H121" s="7">
        <v>0</v>
      </c>
      <c r="I121" s="7"/>
      <c r="J121" s="7"/>
      <c r="K121" s="7"/>
      <c r="L121" s="7"/>
      <c r="M121" s="7"/>
      <c r="N121" s="7"/>
      <c r="O121" s="7"/>
      <c r="P121" s="7"/>
      <c r="Q121" s="7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x14ac:dyDescent="0.25">
      <c r="A122" s="6">
        <v>41</v>
      </c>
      <c r="B122" s="6" t="s">
        <v>268</v>
      </c>
      <c r="C122" s="6" t="s">
        <v>269</v>
      </c>
      <c r="D122" s="6">
        <v>1</v>
      </c>
      <c r="E122" s="6" t="s">
        <v>489</v>
      </c>
      <c r="F122" s="6"/>
      <c r="G122" s="6" t="s">
        <v>490</v>
      </c>
      <c r="H122" s="6"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x14ac:dyDescent="0.25">
      <c r="A123" s="6">
        <v>41</v>
      </c>
      <c r="B123" s="6" t="s">
        <v>268</v>
      </c>
      <c r="C123" s="6" t="s">
        <v>269</v>
      </c>
      <c r="D123" s="6">
        <v>2</v>
      </c>
      <c r="E123" s="6" t="s">
        <v>491</v>
      </c>
      <c r="F123" s="6"/>
      <c r="G123" s="6" t="s">
        <v>490</v>
      </c>
      <c r="H123" s="6"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x14ac:dyDescent="0.25">
      <c r="A124" s="6">
        <v>41</v>
      </c>
      <c r="B124" s="6" t="s">
        <v>268</v>
      </c>
      <c r="C124" s="6" t="s">
        <v>269</v>
      </c>
      <c r="D124" s="6">
        <v>3</v>
      </c>
      <c r="E124" s="6" t="s">
        <v>493</v>
      </c>
      <c r="F124" s="6"/>
      <c r="G124" s="6" t="s">
        <v>490</v>
      </c>
      <c r="H124" s="6"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x14ac:dyDescent="0.25">
      <c r="A125" s="7">
        <v>42</v>
      </c>
      <c r="B125" s="7" t="s">
        <v>270</v>
      </c>
      <c r="C125" s="7" t="s">
        <v>271</v>
      </c>
      <c r="D125" s="7">
        <v>1</v>
      </c>
      <c r="E125" s="7" t="s">
        <v>489</v>
      </c>
      <c r="F125" s="7"/>
      <c r="G125" s="7" t="s">
        <v>490</v>
      </c>
      <c r="H125" s="7">
        <v>0</v>
      </c>
      <c r="I125" s="7"/>
      <c r="J125" s="7"/>
      <c r="K125" s="7"/>
      <c r="L125" s="7"/>
      <c r="M125" s="7"/>
      <c r="N125" s="7"/>
      <c r="O125" s="7"/>
      <c r="P125" s="7"/>
      <c r="Q125" s="7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x14ac:dyDescent="0.25">
      <c r="A126" s="7">
        <v>42</v>
      </c>
      <c r="B126" s="7" t="s">
        <v>270</v>
      </c>
      <c r="C126" s="7" t="s">
        <v>271</v>
      </c>
      <c r="D126" s="7">
        <v>2</v>
      </c>
      <c r="E126" s="7" t="s">
        <v>491</v>
      </c>
      <c r="F126" s="7"/>
      <c r="G126" s="7" t="s">
        <v>490</v>
      </c>
      <c r="H126" s="7">
        <v>0</v>
      </c>
      <c r="I126" s="7"/>
      <c r="J126" s="7"/>
      <c r="K126" s="7"/>
      <c r="L126" s="7"/>
      <c r="M126" s="7"/>
      <c r="N126" s="7"/>
      <c r="O126" s="7"/>
      <c r="P126" s="7"/>
      <c r="Q126" s="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x14ac:dyDescent="0.25">
      <c r="A127" s="7">
        <v>42</v>
      </c>
      <c r="B127" s="7" t="s">
        <v>270</v>
      </c>
      <c r="C127" s="7" t="s">
        <v>271</v>
      </c>
      <c r="D127" s="7">
        <v>3</v>
      </c>
      <c r="E127" s="7" t="s">
        <v>493</v>
      </c>
      <c r="F127" s="7"/>
      <c r="G127" s="7" t="s">
        <v>490</v>
      </c>
      <c r="H127" s="7">
        <v>0</v>
      </c>
      <c r="I127" s="7"/>
      <c r="J127" s="7"/>
      <c r="K127" s="7"/>
      <c r="L127" s="7"/>
      <c r="M127" s="7"/>
      <c r="N127" s="7"/>
      <c r="O127" s="7"/>
      <c r="P127" s="7"/>
      <c r="Q127" s="7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x14ac:dyDescent="0.25">
      <c r="A128" s="6">
        <v>43</v>
      </c>
      <c r="B128" s="6" t="s">
        <v>272</v>
      </c>
      <c r="C128" s="6" t="s">
        <v>273</v>
      </c>
      <c r="D128" s="6">
        <v>1</v>
      </c>
      <c r="E128" s="6" t="s">
        <v>489</v>
      </c>
      <c r="F128" s="6"/>
      <c r="G128" s="6" t="s">
        <v>490</v>
      </c>
      <c r="H128" s="6"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x14ac:dyDescent="0.25">
      <c r="A129" s="6">
        <v>43</v>
      </c>
      <c r="B129" s="6" t="s">
        <v>272</v>
      </c>
      <c r="C129" s="6" t="s">
        <v>273</v>
      </c>
      <c r="D129" s="6">
        <v>2</v>
      </c>
      <c r="E129" s="6" t="s">
        <v>491</v>
      </c>
      <c r="F129" s="6"/>
      <c r="G129" s="6" t="s">
        <v>490</v>
      </c>
      <c r="H129" s="6"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x14ac:dyDescent="0.25">
      <c r="A130" s="6">
        <v>43</v>
      </c>
      <c r="B130" s="6" t="s">
        <v>272</v>
      </c>
      <c r="C130" s="6" t="s">
        <v>273</v>
      </c>
      <c r="D130" s="6">
        <v>3</v>
      </c>
      <c r="E130" s="6" t="s">
        <v>493</v>
      </c>
      <c r="F130" s="6"/>
      <c r="G130" s="6" t="s">
        <v>490</v>
      </c>
      <c r="H130" s="6"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x14ac:dyDescent="0.25">
      <c r="A131" s="7">
        <v>44</v>
      </c>
      <c r="B131" s="7" t="s">
        <v>532</v>
      </c>
      <c r="C131" s="7" t="s">
        <v>533</v>
      </c>
      <c r="D131" s="7">
        <v>1</v>
      </c>
      <c r="E131" s="7" t="s">
        <v>489</v>
      </c>
      <c r="F131" s="7"/>
      <c r="G131" s="7" t="s">
        <v>490</v>
      </c>
      <c r="H131" s="7">
        <v>0</v>
      </c>
      <c r="I131" s="7"/>
      <c r="J131" s="7"/>
      <c r="K131" s="7"/>
      <c r="L131" s="7"/>
      <c r="M131" s="7"/>
      <c r="N131" s="7"/>
      <c r="O131" s="7"/>
      <c r="P131" s="7"/>
      <c r="Q131" s="7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x14ac:dyDescent="0.25">
      <c r="A132" s="7">
        <v>44</v>
      </c>
      <c r="B132" s="7" t="s">
        <v>532</v>
      </c>
      <c r="C132" s="7" t="s">
        <v>533</v>
      </c>
      <c r="D132" s="7">
        <v>2</v>
      </c>
      <c r="E132" s="7" t="s">
        <v>491</v>
      </c>
      <c r="F132" s="7"/>
      <c r="G132" s="7" t="s">
        <v>490</v>
      </c>
      <c r="H132" s="7">
        <v>0</v>
      </c>
      <c r="I132" s="7"/>
      <c r="J132" s="7"/>
      <c r="K132" s="7"/>
      <c r="L132" s="7"/>
      <c r="M132" s="7"/>
      <c r="N132" s="7"/>
      <c r="O132" s="7"/>
      <c r="P132" s="7"/>
      <c r="Q132" s="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x14ac:dyDescent="0.25">
      <c r="A133" s="7">
        <v>44</v>
      </c>
      <c r="B133" s="7" t="s">
        <v>532</v>
      </c>
      <c r="C133" s="7" t="s">
        <v>533</v>
      </c>
      <c r="D133" s="7">
        <v>3</v>
      </c>
      <c r="E133" s="7" t="s">
        <v>493</v>
      </c>
      <c r="F133" s="7"/>
      <c r="G133" s="7" t="s">
        <v>490</v>
      </c>
      <c r="H133" s="7">
        <v>0</v>
      </c>
      <c r="I133" s="7"/>
      <c r="J133" s="7"/>
      <c r="K133" s="7"/>
      <c r="L133" s="7"/>
      <c r="M133" s="7"/>
      <c r="N133" s="7"/>
      <c r="O133" s="7"/>
      <c r="P133" s="7"/>
      <c r="Q133" s="7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x14ac:dyDescent="0.25">
      <c r="A134" s="6">
        <v>45</v>
      </c>
      <c r="B134" s="6" t="s">
        <v>556</v>
      </c>
      <c r="C134" s="6" t="s">
        <v>539</v>
      </c>
      <c r="D134" s="6">
        <v>1</v>
      </c>
      <c r="E134" s="6" t="s">
        <v>489</v>
      </c>
      <c r="F134" s="6"/>
      <c r="G134" s="6" t="s">
        <v>490</v>
      </c>
      <c r="H134" s="6"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x14ac:dyDescent="0.25">
      <c r="A135" s="6">
        <v>45</v>
      </c>
      <c r="B135" s="6" t="s">
        <v>556</v>
      </c>
      <c r="C135" s="6" t="s">
        <v>539</v>
      </c>
      <c r="D135" s="6">
        <v>2</v>
      </c>
      <c r="E135" s="6" t="s">
        <v>491</v>
      </c>
      <c r="F135" s="6"/>
      <c r="G135" s="6" t="s">
        <v>490</v>
      </c>
      <c r="H135" s="6"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x14ac:dyDescent="0.25">
      <c r="A136" s="6">
        <v>45</v>
      </c>
      <c r="B136" s="6" t="s">
        <v>556</v>
      </c>
      <c r="C136" s="6" t="s">
        <v>539</v>
      </c>
      <c r="D136" s="6">
        <v>3</v>
      </c>
      <c r="E136" s="6" t="s">
        <v>493</v>
      </c>
      <c r="F136" s="6"/>
      <c r="G136" s="6" t="s">
        <v>490</v>
      </c>
      <c r="H136" s="6"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x14ac:dyDescent="0.25">
      <c r="A137" s="7">
        <v>45</v>
      </c>
      <c r="B137" s="7" t="s">
        <v>556</v>
      </c>
      <c r="C137" s="7" t="s">
        <v>539</v>
      </c>
      <c r="D137" s="7">
        <v>4</v>
      </c>
      <c r="E137" s="7" t="s">
        <v>495</v>
      </c>
      <c r="F137" s="7"/>
      <c r="G137" s="7" t="s">
        <v>490</v>
      </c>
      <c r="H137" s="7">
        <v>0</v>
      </c>
      <c r="I137" s="7"/>
      <c r="J137" s="7"/>
      <c r="K137" s="7"/>
      <c r="L137" s="7"/>
      <c r="M137" s="7"/>
      <c r="N137" s="7"/>
      <c r="O137" s="7"/>
      <c r="P137" s="7"/>
      <c r="Q137" s="7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x14ac:dyDescent="0.25">
      <c r="A138" s="7">
        <v>46</v>
      </c>
      <c r="B138" s="7" t="s">
        <v>557</v>
      </c>
      <c r="C138" s="7" t="s">
        <v>539</v>
      </c>
      <c r="D138" s="7">
        <v>1</v>
      </c>
      <c r="E138" s="7" t="s">
        <v>489</v>
      </c>
      <c r="F138" s="7"/>
      <c r="G138" s="7" t="s">
        <v>490</v>
      </c>
      <c r="H138" s="7">
        <v>0</v>
      </c>
      <c r="I138" s="7"/>
      <c r="J138" s="7"/>
      <c r="K138" s="7"/>
      <c r="L138" s="7"/>
      <c r="M138" s="7"/>
      <c r="N138" s="7"/>
      <c r="O138" s="7"/>
      <c r="P138" s="7"/>
      <c r="Q138" s="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x14ac:dyDescent="0.25">
      <c r="A139" s="7">
        <v>46</v>
      </c>
      <c r="B139" s="7" t="s">
        <v>557</v>
      </c>
      <c r="C139" s="7" t="s">
        <v>539</v>
      </c>
      <c r="D139" s="7">
        <v>2</v>
      </c>
      <c r="E139" s="7" t="s">
        <v>491</v>
      </c>
      <c r="F139" s="7"/>
      <c r="G139" s="7" t="s">
        <v>490</v>
      </c>
      <c r="H139" s="7">
        <v>0</v>
      </c>
      <c r="I139" s="7"/>
      <c r="J139" s="7"/>
      <c r="K139" s="7"/>
      <c r="L139" s="7"/>
      <c r="M139" s="7"/>
      <c r="N139" s="7"/>
      <c r="O139" s="7"/>
      <c r="P139" s="7"/>
      <c r="Q139" s="7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x14ac:dyDescent="0.25">
      <c r="A140" s="6">
        <v>46</v>
      </c>
      <c r="B140" s="6" t="s">
        <v>557</v>
      </c>
      <c r="C140" s="6" t="s">
        <v>539</v>
      </c>
      <c r="D140" s="6">
        <v>3</v>
      </c>
      <c r="E140" s="6" t="s">
        <v>493</v>
      </c>
      <c r="F140" s="6"/>
      <c r="G140" s="6" t="s">
        <v>490</v>
      </c>
      <c r="H140" s="6"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x14ac:dyDescent="0.25">
      <c r="A141" s="6">
        <v>46</v>
      </c>
      <c r="B141" s="6" t="s">
        <v>557</v>
      </c>
      <c r="C141" s="6" t="s">
        <v>539</v>
      </c>
      <c r="D141" s="6">
        <v>4</v>
      </c>
      <c r="E141" s="6" t="s">
        <v>495</v>
      </c>
      <c r="F141" s="6"/>
      <c r="G141" s="6" t="s">
        <v>500</v>
      </c>
      <c r="H141" s="6">
        <v>0</v>
      </c>
      <c r="I141" s="6">
        <v>6.081900000000001</v>
      </c>
      <c r="J141" s="6">
        <v>6.081900000000001</v>
      </c>
      <c r="K141" s="6">
        <v>6.081900000000001</v>
      </c>
      <c r="L141" s="6">
        <v>6.081900000000001</v>
      </c>
      <c r="M141" s="6">
        <v>6.081900000000001</v>
      </c>
      <c r="N141" s="6">
        <v>6.081900000000001</v>
      </c>
      <c r="O141" s="6">
        <v>6.081900000000001</v>
      </c>
      <c r="P141" s="6">
        <v>6.081900000000001</v>
      </c>
      <c r="Q141" s="6">
        <v>6.081900000000001</v>
      </c>
      <c r="R141" s="3">
        <v>6.6057000000000006</v>
      </c>
      <c r="S141" s="3">
        <v>6.1866599999999998</v>
      </c>
      <c r="T141" s="3">
        <v>5.9538600000000006</v>
      </c>
      <c r="U141" s="3">
        <v>6.2070299999999996</v>
      </c>
      <c r="V141" s="3">
        <v>6.2070299999999996</v>
      </c>
      <c r="W141" s="3">
        <v>6.2070299999999996</v>
      </c>
      <c r="X141" s="3">
        <v>6.2070299999999996</v>
      </c>
      <c r="Y141" s="3">
        <v>6.2070299999999996</v>
      </c>
      <c r="Z141" s="3">
        <v>6.2070299999999996</v>
      </c>
      <c r="AA141" s="3">
        <v>6.2070299999999996</v>
      </c>
      <c r="AB141" s="3">
        <v>6.2070299999999996</v>
      </c>
      <c r="AC141" s="3">
        <v>6.2070299999999996</v>
      </c>
      <c r="AD141" s="3">
        <v>6.2070299999999996</v>
      </c>
      <c r="AE141" s="3">
        <v>6.2070299999999996</v>
      </c>
      <c r="AF141" s="3">
        <v>6.2070299999999996</v>
      </c>
      <c r="AG141" s="3">
        <v>6.2070299999999996</v>
      </c>
      <c r="AH141" s="3">
        <v>6.2070299999999996</v>
      </c>
      <c r="AI141" s="3">
        <v>6.2070299999999996</v>
      </c>
      <c r="AJ141" s="3">
        <v>6.2070299999999996</v>
      </c>
      <c r="AK141" s="3">
        <v>6.2070299999999996</v>
      </c>
      <c r="AL141" s="3">
        <v>6.2070299999999996</v>
      </c>
      <c r="AM141" s="3">
        <v>6.2070299999999996</v>
      </c>
      <c r="AN141" s="3">
        <v>6.2070299999999996</v>
      </c>
      <c r="AO141" s="3">
        <v>6.2070299999999996</v>
      </c>
      <c r="AP141" s="3">
        <v>6.2070299999999996</v>
      </c>
      <c r="AQ141" s="3">
        <v>6.2070299999999996</v>
      </c>
      <c r="AR141" s="3">
        <v>6.2070299999999996</v>
      </c>
      <c r="AS141" s="3">
        <v>6.2070299999999996</v>
      </c>
      <c r="AT141" s="3">
        <v>6.2070299999999996</v>
      </c>
      <c r="AU141" s="3">
        <v>6.2070299999999996</v>
      </c>
      <c r="AV141" s="3">
        <v>6.2070299999999996</v>
      </c>
      <c r="AW141" s="3">
        <v>6.2070299999999996</v>
      </c>
      <c r="AX141" s="3">
        <v>6.2070299999999996</v>
      </c>
      <c r="AY141" s="3">
        <v>6.2070299999999996</v>
      </c>
      <c r="AZ141" s="3">
        <v>6.2070299999999996</v>
      </c>
      <c r="BA141" s="3">
        <v>6.2070299999999996</v>
      </c>
      <c r="BB141" s="3">
        <v>6.2070299999999996</v>
      </c>
      <c r="BC141" s="3">
        <v>6.2070299999999996</v>
      </c>
      <c r="BD141" s="3">
        <v>6.2070299999999996</v>
      </c>
      <c r="BE141" s="3">
        <v>6.2070299999999996</v>
      </c>
      <c r="BF141" s="3">
        <v>6.2070299999999996</v>
      </c>
      <c r="BG141" s="3">
        <v>6.2070299999999996</v>
      </c>
      <c r="BH141" s="3">
        <v>6.2070299999999996</v>
      </c>
      <c r="BI141" s="3">
        <v>6.2070299999999996</v>
      </c>
      <c r="BJ141" s="3">
        <v>6.2070299999999996</v>
      </c>
      <c r="BK141" s="3">
        <v>6.2070299999999996</v>
      </c>
      <c r="BL141" s="3">
        <v>6.2070299999999996</v>
      </c>
      <c r="BM141" s="3">
        <v>6.2070299999999996</v>
      </c>
      <c r="BN141" s="3">
        <v>6.2070299999999996</v>
      </c>
      <c r="BO141" s="3">
        <v>6.2070299999999996</v>
      </c>
      <c r="BP141" s="3">
        <v>6.2070299999999996</v>
      </c>
      <c r="BQ141" s="3">
        <v>6.2070299999999996</v>
      </c>
    </row>
    <row r="142" spans="1:69" x14ac:dyDescent="0.25">
      <c r="A142" s="6">
        <v>47</v>
      </c>
      <c r="B142" s="6" t="s">
        <v>559</v>
      </c>
      <c r="C142" s="6" t="s">
        <v>539</v>
      </c>
      <c r="D142" s="6">
        <v>1</v>
      </c>
      <c r="E142" s="6" t="s">
        <v>489</v>
      </c>
      <c r="F142" s="6"/>
      <c r="G142" s="6" t="s">
        <v>490</v>
      </c>
      <c r="H142" s="6"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x14ac:dyDescent="0.25">
      <c r="A143" s="7">
        <v>47</v>
      </c>
      <c r="B143" s="7" t="s">
        <v>559</v>
      </c>
      <c r="C143" s="7" t="s">
        <v>539</v>
      </c>
      <c r="D143" s="7">
        <v>2</v>
      </c>
      <c r="E143" s="7" t="s">
        <v>491</v>
      </c>
      <c r="F143" s="7"/>
      <c r="G143" s="7" t="s">
        <v>490</v>
      </c>
      <c r="H143" s="7">
        <v>0</v>
      </c>
      <c r="I143" s="7"/>
      <c r="J143" s="7"/>
      <c r="K143" s="7"/>
      <c r="L143" s="7"/>
      <c r="M143" s="7"/>
      <c r="N143" s="7"/>
      <c r="O143" s="7"/>
      <c r="P143" s="7"/>
      <c r="Q143" s="7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x14ac:dyDescent="0.25">
      <c r="A144" s="7">
        <v>47</v>
      </c>
      <c r="B144" s="7" t="s">
        <v>559</v>
      </c>
      <c r="C144" s="7" t="s">
        <v>539</v>
      </c>
      <c r="D144" s="7">
        <v>3</v>
      </c>
      <c r="E144" s="7" t="s">
        <v>493</v>
      </c>
      <c r="F144" s="7"/>
      <c r="G144" s="7" t="s">
        <v>490</v>
      </c>
      <c r="H144" s="7">
        <v>0</v>
      </c>
      <c r="I144" s="7"/>
      <c r="J144" s="7"/>
      <c r="K144" s="7"/>
      <c r="L144" s="7"/>
      <c r="M144" s="7"/>
      <c r="N144" s="7"/>
      <c r="O144" s="7"/>
      <c r="P144" s="7"/>
      <c r="Q144" s="7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x14ac:dyDescent="0.25">
      <c r="A145" s="7">
        <v>47</v>
      </c>
      <c r="B145" s="7" t="s">
        <v>559</v>
      </c>
      <c r="C145" s="7" t="s">
        <v>539</v>
      </c>
      <c r="D145" s="7">
        <v>4</v>
      </c>
      <c r="E145" s="7" t="s">
        <v>495</v>
      </c>
      <c r="F145" s="7"/>
      <c r="G145" s="7" t="s">
        <v>490</v>
      </c>
      <c r="H145" s="7">
        <v>0</v>
      </c>
      <c r="I145" s="7"/>
      <c r="J145" s="7"/>
      <c r="K145" s="7"/>
      <c r="L145" s="7"/>
      <c r="M145" s="7"/>
      <c r="N145" s="7"/>
      <c r="O145" s="7"/>
      <c r="P145" s="7"/>
      <c r="Q145" s="7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x14ac:dyDescent="0.25">
      <c r="A146" s="6">
        <v>48</v>
      </c>
      <c r="B146" s="6" t="s">
        <v>558</v>
      </c>
      <c r="C146" s="6" t="s">
        <v>539</v>
      </c>
      <c r="D146" s="6">
        <v>1</v>
      </c>
      <c r="E146" s="6" t="s">
        <v>489</v>
      </c>
      <c r="F146" s="6"/>
      <c r="G146" s="6" t="s">
        <v>490</v>
      </c>
      <c r="H146" s="6"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x14ac:dyDescent="0.25">
      <c r="A147" s="6">
        <v>48</v>
      </c>
      <c r="B147" s="6" t="s">
        <v>558</v>
      </c>
      <c r="C147" s="6" t="s">
        <v>539</v>
      </c>
      <c r="D147" s="6">
        <v>2</v>
      </c>
      <c r="E147" s="6" t="s">
        <v>491</v>
      </c>
      <c r="F147" s="6"/>
      <c r="G147" s="6" t="s">
        <v>490</v>
      </c>
      <c r="H147" s="6">
        <v>0</v>
      </c>
      <c r="I147" s="6"/>
      <c r="J147" s="6"/>
      <c r="K147" s="6"/>
      <c r="L147" s="6"/>
      <c r="M147" s="6"/>
      <c r="N147" s="6"/>
      <c r="O147" s="6"/>
      <c r="P147" s="6"/>
      <c r="Q147" s="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x14ac:dyDescent="0.25">
      <c r="A148" s="6">
        <v>48</v>
      </c>
      <c r="B148" s="6" t="s">
        <v>558</v>
      </c>
      <c r="C148" s="6" t="s">
        <v>539</v>
      </c>
      <c r="D148" s="6">
        <v>3</v>
      </c>
      <c r="E148" s="6" t="s">
        <v>493</v>
      </c>
      <c r="F148" s="6"/>
      <c r="G148" s="6" t="s">
        <v>490</v>
      </c>
      <c r="H148" s="6">
        <v>0</v>
      </c>
      <c r="I148" s="6"/>
      <c r="J148" s="6"/>
      <c r="K148" s="6"/>
      <c r="L148" s="6"/>
      <c r="M148" s="6"/>
      <c r="N148" s="6"/>
      <c r="O148" s="6"/>
      <c r="P148" s="6"/>
      <c r="Q148" s="6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x14ac:dyDescent="0.25">
      <c r="A149" s="7">
        <v>48</v>
      </c>
      <c r="B149" s="7" t="s">
        <v>558</v>
      </c>
      <c r="C149" s="7" t="s">
        <v>539</v>
      </c>
      <c r="D149" s="7">
        <v>4</v>
      </c>
      <c r="E149" s="7" t="s">
        <v>495</v>
      </c>
      <c r="F149" s="7"/>
      <c r="G149" s="7" t="s">
        <v>490</v>
      </c>
      <c r="H149" s="7">
        <v>0</v>
      </c>
      <c r="I149" s="7"/>
      <c r="J149" s="7"/>
      <c r="K149" s="7"/>
      <c r="L149" s="7"/>
      <c r="M149" s="7"/>
      <c r="N149" s="7"/>
      <c r="O149" s="7"/>
      <c r="P149" s="7"/>
      <c r="Q149" s="7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x14ac:dyDescent="0.25">
      <c r="A150" s="7">
        <v>49</v>
      </c>
      <c r="B150" s="7" t="s">
        <v>540</v>
      </c>
      <c r="C150" s="7" t="s">
        <v>541</v>
      </c>
      <c r="D150" s="7">
        <v>1</v>
      </c>
      <c r="E150" s="7" t="s">
        <v>489</v>
      </c>
      <c r="F150" s="7"/>
      <c r="G150" s="7" t="s">
        <v>490</v>
      </c>
      <c r="H150" s="7">
        <v>0</v>
      </c>
      <c r="I150" s="7"/>
      <c r="J150" s="7"/>
      <c r="K150" s="7"/>
      <c r="L150" s="7"/>
      <c r="M150" s="7"/>
      <c r="N150" s="7"/>
      <c r="O150" s="7"/>
      <c r="P150" s="7"/>
      <c r="Q150" s="7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x14ac:dyDescent="0.25">
      <c r="A151" s="7">
        <v>49</v>
      </c>
      <c r="B151" s="7" t="s">
        <v>540</v>
      </c>
      <c r="C151" s="7" t="s">
        <v>541</v>
      </c>
      <c r="D151" s="7">
        <v>2</v>
      </c>
      <c r="E151" s="7" t="s">
        <v>491</v>
      </c>
      <c r="F151" s="7"/>
      <c r="G151" s="7" t="s">
        <v>490</v>
      </c>
      <c r="H151" s="7">
        <v>0</v>
      </c>
      <c r="I151" s="7"/>
      <c r="J151" s="7"/>
      <c r="K151" s="7"/>
      <c r="L151" s="7"/>
      <c r="M151" s="7"/>
      <c r="N151" s="7"/>
      <c r="O151" s="7"/>
      <c r="P151" s="7"/>
      <c r="Q151" s="7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x14ac:dyDescent="0.25">
      <c r="A152" s="6">
        <v>49</v>
      </c>
      <c r="B152" s="6" t="s">
        <v>540</v>
      </c>
      <c r="C152" s="6" t="s">
        <v>541</v>
      </c>
      <c r="D152" s="6">
        <v>3</v>
      </c>
      <c r="E152" s="6" t="s">
        <v>493</v>
      </c>
      <c r="F152" s="6"/>
      <c r="G152" s="6" t="s">
        <v>490</v>
      </c>
      <c r="H152" s="6">
        <v>0</v>
      </c>
      <c r="I152" s="6"/>
      <c r="J152" s="6"/>
      <c r="K152" s="6"/>
      <c r="L152" s="6"/>
      <c r="M152" s="6"/>
      <c r="N152" s="6"/>
      <c r="O152" s="6"/>
      <c r="P152" s="6"/>
      <c r="Q152" s="6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x14ac:dyDescent="0.25">
      <c r="A153" s="6">
        <v>49</v>
      </c>
      <c r="B153" s="6" t="s">
        <v>540</v>
      </c>
      <c r="C153" s="6" t="s">
        <v>541</v>
      </c>
      <c r="D153" s="6">
        <v>4</v>
      </c>
      <c r="E153" s="6" t="s">
        <v>496</v>
      </c>
      <c r="F153" s="6"/>
      <c r="G153" s="6" t="s">
        <v>500</v>
      </c>
      <c r="H153" s="6">
        <v>0</v>
      </c>
      <c r="I153" s="6">
        <v>0.66656115542855987</v>
      </c>
      <c r="J153" s="6">
        <v>0.66656115542855987</v>
      </c>
      <c r="K153" s="6">
        <v>0.66656115542855987</v>
      </c>
      <c r="L153" s="6">
        <v>0.66656115542855987</v>
      </c>
      <c r="M153" s="6">
        <v>0.66656115542855987</v>
      </c>
      <c r="N153" s="6">
        <v>0.66656115542855987</v>
      </c>
      <c r="O153" s="6">
        <v>0.66656115542855987</v>
      </c>
      <c r="P153" s="6">
        <v>0.66656115542855987</v>
      </c>
      <c r="Q153" s="6">
        <v>0.66656115542855987</v>
      </c>
      <c r="R153" s="3">
        <v>0.66656115542855987</v>
      </c>
      <c r="S153" s="3">
        <v>0.66656115542855987</v>
      </c>
      <c r="T153" s="3">
        <v>0.66656115542855987</v>
      </c>
      <c r="U153" s="3">
        <v>0.66656115542855987</v>
      </c>
      <c r="V153" s="3">
        <v>0.66656115542855987</v>
      </c>
      <c r="W153" s="3">
        <v>0.66656115542855987</v>
      </c>
      <c r="X153" s="3">
        <v>0.66656115542855987</v>
      </c>
      <c r="Y153" s="3">
        <v>0.66656115542855987</v>
      </c>
      <c r="Z153" s="3">
        <v>0.66656115542855987</v>
      </c>
      <c r="AA153" s="3">
        <v>0.66656115542855987</v>
      </c>
      <c r="AB153" s="3">
        <v>0.66656115542855987</v>
      </c>
      <c r="AC153" s="3">
        <v>0.66656115542855987</v>
      </c>
      <c r="AD153" s="3">
        <v>0.66656115542855987</v>
      </c>
      <c r="AE153" s="3">
        <v>0.66656115542855987</v>
      </c>
      <c r="AF153" s="3">
        <v>0.66656115542855987</v>
      </c>
      <c r="AG153" s="3">
        <v>0.66656115542855987</v>
      </c>
      <c r="AH153" s="3">
        <v>0.66656115542855987</v>
      </c>
      <c r="AI153" s="3">
        <v>0.66656115542855987</v>
      </c>
      <c r="AJ153" s="3">
        <v>0.66656115542855987</v>
      </c>
      <c r="AK153" s="3">
        <v>0.66656115542855987</v>
      </c>
      <c r="AL153" s="3">
        <v>0.66656115542855987</v>
      </c>
      <c r="AM153" s="3">
        <v>0.66656115542855987</v>
      </c>
      <c r="AN153" s="3">
        <v>0.66656115542855987</v>
      </c>
      <c r="AO153" s="3">
        <v>0.66656115542855987</v>
      </c>
      <c r="AP153" s="3">
        <v>0.66656115542855987</v>
      </c>
      <c r="AQ153" s="3">
        <v>0.66656115542855987</v>
      </c>
      <c r="AR153" s="3">
        <v>0.66656115542855987</v>
      </c>
      <c r="AS153" s="3">
        <v>0.66656115542855987</v>
      </c>
      <c r="AT153" s="3">
        <v>0.66656115542855987</v>
      </c>
      <c r="AU153" s="3">
        <v>0.66656115542855987</v>
      </c>
      <c r="AV153" s="3">
        <v>0.66656115542855987</v>
      </c>
      <c r="AW153" s="3">
        <v>0.66656115542855987</v>
      </c>
      <c r="AX153" s="3">
        <v>0.66656115542855987</v>
      </c>
      <c r="AY153" s="3">
        <v>0.66656115542855987</v>
      </c>
      <c r="AZ153" s="3">
        <v>0.66656115542855987</v>
      </c>
      <c r="BA153" s="3">
        <v>0.66656115542855987</v>
      </c>
      <c r="BB153" s="3">
        <v>0.66656115542855987</v>
      </c>
      <c r="BC153" s="3">
        <v>0.66656115542855987</v>
      </c>
      <c r="BD153" s="3">
        <v>0.66656115542855987</v>
      </c>
      <c r="BE153" s="3">
        <v>0.66656115542855987</v>
      </c>
      <c r="BF153" s="3">
        <v>0.66656115542855987</v>
      </c>
      <c r="BG153" s="3">
        <v>0.66656115542855987</v>
      </c>
      <c r="BH153" s="3">
        <v>0.66656115542855987</v>
      </c>
      <c r="BI153" s="3">
        <v>0.66656115542855987</v>
      </c>
      <c r="BJ153" s="3">
        <v>0.66656115542855987</v>
      </c>
      <c r="BK153" s="3">
        <v>0.66656115542855987</v>
      </c>
      <c r="BL153" s="3">
        <v>0.66656115542855987</v>
      </c>
      <c r="BM153" s="3">
        <v>0.66656115542855987</v>
      </c>
      <c r="BN153" s="3">
        <v>0.66656115542855987</v>
      </c>
      <c r="BO153" s="3">
        <v>0.66656115542855987</v>
      </c>
      <c r="BP153" s="3">
        <v>0.66656115542855987</v>
      </c>
      <c r="BQ153" s="3">
        <v>0.66656115542855987</v>
      </c>
    </row>
    <row r="154" spans="1:69" x14ac:dyDescent="0.25">
      <c r="A154" s="6">
        <v>50</v>
      </c>
      <c r="B154" s="6" t="s">
        <v>542</v>
      </c>
      <c r="C154" s="6" t="s">
        <v>543</v>
      </c>
      <c r="D154" s="6">
        <v>1</v>
      </c>
      <c r="E154" s="6" t="s">
        <v>489</v>
      </c>
      <c r="F154" s="6"/>
      <c r="G154" s="6" t="s">
        <v>490</v>
      </c>
      <c r="H154" s="6">
        <v>0</v>
      </c>
      <c r="I154" s="6"/>
      <c r="J154" s="6"/>
      <c r="K154" s="6"/>
      <c r="L154" s="6"/>
      <c r="M154" s="6"/>
      <c r="N154" s="6"/>
      <c r="O154" s="6"/>
      <c r="P154" s="6"/>
      <c r="Q154" s="6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x14ac:dyDescent="0.25">
      <c r="A155" s="7">
        <v>50</v>
      </c>
      <c r="B155" s="7" t="s">
        <v>542</v>
      </c>
      <c r="C155" s="7" t="s">
        <v>543</v>
      </c>
      <c r="D155" s="7">
        <v>2</v>
      </c>
      <c r="E155" s="7" t="s">
        <v>491</v>
      </c>
      <c r="F155" s="7"/>
      <c r="G155" s="7" t="s">
        <v>490</v>
      </c>
      <c r="H155" s="7">
        <v>0</v>
      </c>
      <c r="I155" s="7"/>
      <c r="J155" s="7"/>
      <c r="K155" s="7"/>
      <c r="L155" s="7"/>
      <c r="M155" s="7"/>
      <c r="N155" s="7"/>
      <c r="O155" s="7"/>
      <c r="P155" s="7"/>
      <c r="Q155" s="7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x14ac:dyDescent="0.25">
      <c r="A156" s="7">
        <v>50</v>
      </c>
      <c r="B156" s="7" t="s">
        <v>542</v>
      </c>
      <c r="C156" s="7" t="s">
        <v>543</v>
      </c>
      <c r="D156" s="7">
        <v>3</v>
      </c>
      <c r="E156" s="7" t="s">
        <v>493</v>
      </c>
      <c r="F156" s="7"/>
      <c r="G156" s="7" t="s">
        <v>490</v>
      </c>
      <c r="H156" s="7">
        <v>0</v>
      </c>
      <c r="I156" s="7"/>
      <c r="J156" s="7"/>
      <c r="K156" s="7"/>
      <c r="L156" s="7"/>
      <c r="M156" s="7"/>
      <c r="N156" s="7"/>
      <c r="O156" s="7"/>
      <c r="P156" s="7"/>
      <c r="Q156" s="7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x14ac:dyDescent="0.25">
      <c r="A157" s="7">
        <v>50</v>
      </c>
      <c r="B157" s="7" t="s">
        <v>542</v>
      </c>
      <c r="C157" s="7" t="s">
        <v>543</v>
      </c>
      <c r="D157" s="7">
        <v>4</v>
      </c>
      <c r="E157" s="7" t="s">
        <v>496</v>
      </c>
      <c r="F157" s="7"/>
      <c r="G157" s="7" t="s">
        <v>500</v>
      </c>
      <c r="H157" s="7">
        <v>0</v>
      </c>
      <c r="I157" s="7">
        <v>0.12449428627999999</v>
      </c>
      <c r="J157" s="7">
        <v>0.12449428627999999</v>
      </c>
      <c r="K157" s="7">
        <v>0.12449428627999999</v>
      </c>
      <c r="L157" s="7">
        <v>0.12449428627999999</v>
      </c>
      <c r="M157" s="7">
        <v>0.12449428627999999</v>
      </c>
      <c r="N157" s="7">
        <v>0.12449428627999999</v>
      </c>
      <c r="O157" s="7">
        <v>0.12449428627999999</v>
      </c>
      <c r="P157" s="7">
        <v>0.12449428627999999</v>
      </c>
      <c r="Q157" s="7">
        <v>0.12449428627999999</v>
      </c>
      <c r="R157" s="3">
        <v>0.12449428627999999</v>
      </c>
      <c r="S157" s="3">
        <v>0.12449428627999999</v>
      </c>
      <c r="T157" s="3">
        <v>0.12449428627999999</v>
      </c>
      <c r="U157" s="3">
        <v>0.12449428627999999</v>
      </c>
      <c r="V157" s="3">
        <v>0.12449428627999999</v>
      </c>
      <c r="W157" s="3">
        <v>0.12449428627999999</v>
      </c>
      <c r="X157" s="3">
        <v>0.12449428627999999</v>
      </c>
      <c r="Y157" s="3">
        <v>0.12449428627999999</v>
      </c>
      <c r="Z157" s="3">
        <v>0.12449428627999999</v>
      </c>
      <c r="AA157" s="3">
        <v>0.12449428627999999</v>
      </c>
      <c r="AB157" s="3">
        <v>0.12449428627999999</v>
      </c>
      <c r="AC157" s="3">
        <v>0.12449428627999999</v>
      </c>
      <c r="AD157" s="3">
        <v>0.12449428627999999</v>
      </c>
      <c r="AE157" s="3">
        <v>0.12449428627999999</v>
      </c>
      <c r="AF157" s="3">
        <v>0.12449428627999999</v>
      </c>
      <c r="AG157" s="3">
        <v>0.12449428627999999</v>
      </c>
      <c r="AH157" s="3">
        <v>0.12449428627999999</v>
      </c>
      <c r="AI157" s="3">
        <v>0.12449428627999999</v>
      </c>
      <c r="AJ157" s="3">
        <v>0.12449428627999999</v>
      </c>
      <c r="AK157" s="3">
        <v>0.12449428627999999</v>
      </c>
      <c r="AL157" s="3">
        <v>0.12449428627999999</v>
      </c>
      <c r="AM157" s="3">
        <v>0.12449428627999999</v>
      </c>
      <c r="AN157" s="3">
        <v>0.12449428627999999</v>
      </c>
      <c r="AO157" s="3">
        <v>0.12449428627999999</v>
      </c>
      <c r="AP157" s="3">
        <v>0.12449428627999999</v>
      </c>
      <c r="AQ157" s="3">
        <v>0.12449428627999999</v>
      </c>
      <c r="AR157" s="3">
        <v>0.12449428627999999</v>
      </c>
      <c r="AS157" s="3">
        <v>0.12449428627999999</v>
      </c>
      <c r="AT157" s="3">
        <v>0.12449428627999999</v>
      </c>
      <c r="AU157" s="3">
        <v>0.12449428627999999</v>
      </c>
      <c r="AV157" s="3">
        <v>0.12449428627999999</v>
      </c>
      <c r="AW157" s="3">
        <v>0.12449428627999999</v>
      </c>
      <c r="AX157" s="3">
        <v>0.12449428627999999</v>
      </c>
      <c r="AY157" s="3">
        <v>0.12449428627999999</v>
      </c>
      <c r="AZ157" s="3">
        <v>0.12449428627999999</v>
      </c>
      <c r="BA157" s="3">
        <v>0.12449428627999999</v>
      </c>
      <c r="BB157" s="3">
        <v>0.12449428627999999</v>
      </c>
      <c r="BC157" s="3">
        <v>0.12449428627999999</v>
      </c>
      <c r="BD157" s="3">
        <v>0.12449428627999999</v>
      </c>
      <c r="BE157" s="3">
        <v>0.12449428627999999</v>
      </c>
      <c r="BF157" s="3">
        <v>0.12449428627999999</v>
      </c>
      <c r="BG157" s="3">
        <v>0.12449428627999999</v>
      </c>
      <c r="BH157" s="3">
        <v>0.12449428627999999</v>
      </c>
      <c r="BI157" s="3">
        <v>0.12449428627999999</v>
      </c>
      <c r="BJ157" s="3">
        <v>0.12449428627999999</v>
      </c>
      <c r="BK157" s="3">
        <v>0.12449428627999999</v>
      </c>
      <c r="BL157" s="3">
        <v>0.12449428627999999</v>
      </c>
      <c r="BM157" s="3">
        <v>0.12449428627999999</v>
      </c>
      <c r="BN157" s="3">
        <v>0.12449428627999999</v>
      </c>
      <c r="BO157" s="3">
        <v>0.12449428627999999</v>
      </c>
      <c r="BP157" s="3">
        <v>0.12449428627999999</v>
      </c>
      <c r="BQ157" s="3">
        <v>0.12449428627999999</v>
      </c>
    </row>
    <row r="158" spans="1:69" x14ac:dyDescent="0.25">
      <c r="A158" s="6">
        <v>51</v>
      </c>
      <c r="B158" s="6" t="s">
        <v>544</v>
      </c>
      <c r="C158" s="6" t="s">
        <v>545</v>
      </c>
      <c r="D158" s="6">
        <v>1</v>
      </c>
      <c r="E158" s="6" t="s">
        <v>489</v>
      </c>
      <c r="F158" s="6"/>
      <c r="G158" s="6" t="s">
        <v>490</v>
      </c>
      <c r="H158" s="6">
        <v>0</v>
      </c>
      <c r="I158" s="6"/>
      <c r="J158" s="6"/>
      <c r="K158" s="6"/>
      <c r="L158" s="6"/>
      <c r="M158" s="6"/>
      <c r="N158" s="6"/>
      <c r="O158" s="6"/>
      <c r="P158" s="6"/>
      <c r="Q158" s="6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x14ac:dyDescent="0.25">
      <c r="A159" s="6">
        <v>51</v>
      </c>
      <c r="B159" s="6" t="s">
        <v>544</v>
      </c>
      <c r="C159" s="6" t="s">
        <v>545</v>
      </c>
      <c r="D159" s="6">
        <v>2</v>
      </c>
      <c r="E159" s="6" t="s">
        <v>491</v>
      </c>
      <c r="F159" s="6"/>
      <c r="G159" s="6" t="s">
        <v>490</v>
      </c>
      <c r="H159" s="6">
        <v>0</v>
      </c>
      <c r="I159" s="6"/>
      <c r="J159" s="6"/>
      <c r="K159" s="6"/>
      <c r="L159" s="6"/>
      <c r="M159" s="6"/>
      <c r="N159" s="6"/>
      <c r="O159" s="6"/>
      <c r="P159" s="6"/>
      <c r="Q159" s="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x14ac:dyDescent="0.25">
      <c r="A160" s="6">
        <v>51</v>
      </c>
      <c r="B160" s="6" t="s">
        <v>544</v>
      </c>
      <c r="C160" s="6" t="s">
        <v>545</v>
      </c>
      <c r="D160" s="6">
        <v>3</v>
      </c>
      <c r="E160" s="6" t="s">
        <v>493</v>
      </c>
      <c r="F160" s="6"/>
      <c r="G160" s="6" t="s">
        <v>490</v>
      </c>
      <c r="H160" s="6">
        <v>0</v>
      </c>
      <c r="I160" s="6"/>
      <c r="J160" s="6"/>
      <c r="K160" s="6"/>
      <c r="L160" s="6"/>
      <c r="M160" s="6"/>
      <c r="N160" s="6"/>
      <c r="O160" s="6"/>
      <c r="P160" s="6"/>
      <c r="Q160" s="6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x14ac:dyDescent="0.25">
      <c r="A161" s="7">
        <v>51</v>
      </c>
      <c r="B161" s="7" t="s">
        <v>544</v>
      </c>
      <c r="C161" s="7" t="s">
        <v>545</v>
      </c>
      <c r="D161" s="7">
        <v>4</v>
      </c>
      <c r="E161" s="7" t="s">
        <v>496</v>
      </c>
      <c r="F161" s="7"/>
      <c r="G161" s="7" t="s">
        <v>500</v>
      </c>
      <c r="H161" s="7">
        <v>0</v>
      </c>
      <c r="I161" s="7">
        <v>4.7646591417862503</v>
      </c>
      <c r="J161" s="7">
        <v>4.7646591417862503</v>
      </c>
      <c r="K161" s="7">
        <v>4.7646591417862503</v>
      </c>
      <c r="L161" s="7">
        <v>4.7646591417862503</v>
      </c>
      <c r="M161" s="7">
        <v>4.7646591417862503</v>
      </c>
      <c r="N161" s="7">
        <v>4.7646591417862503</v>
      </c>
      <c r="O161" s="7">
        <v>4.7646591417862503</v>
      </c>
      <c r="P161" s="7">
        <v>4.7646591417862503</v>
      </c>
      <c r="Q161" s="7">
        <v>4.7646591417862503</v>
      </c>
      <c r="R161" s="3">
        <v>4.7646591417862503</v>
      </c>
      <c r="S161" s="3">
        <v>4.7646591417862503</v>
      </c>
      <c r="T161" s="3">
        <v>4.7646591417862503</v>
      </c>
      <c r="U161" s="3">
        <v>4.7646591417862503</v>
      </c>
      <c r="V161" s="3">
        <v>4.7646591417862503</v>
      </c>
      <c r="W161" s="3">
        <v>4.7646591417862503</v>
      </c>
      <c r="X161" s="3">
        <v>4.7646591417862503</v>
      </c>
      <c r="Y161" s="3">
        <v>4.7646591417862503</v>
      </c>
      <c r="Z161" s="3">
        <v>4.7646591417862503</v>
      </c>
      <c r="AA161" s="3">
        <v>4.7646591417862503</v>
      </c>
      <c r="AB161" s="3">
        <v>4.7646591417862503</v>
      </c>
      <c r="AC161" s="3">
        <v>4.7646591417862503</v>
      </c>
      <c r="AD161" s="3">
        <v>4.7646591417862503</v>
      </c>
      <c r="AE161" s="3">
        <v>4.7646591417862503</v>
      </c>
      <c r="AF161" s="3">
        <v>4.7646591417862503</v>
      </c>
      <c r="AG161" s="3">
        <v>4.7646591417862503</v>
      </c>
      <c r="AH161" s="3">
        <v>4.7646591417862503</v>
      </c>
      <c r="AI161" s="3">
        <v>4.7646591417862503</v>
      </c>
      <c r="AJ161" s="3">
        <v>4.7646591417862503</v>
      </c>
      <c r="AK161" s="3">
        <v>4.7646591417862503</v>
      </c>
      <c r="AL161" s="3">
        <v>4.7646591417862503</v>
      </c>
      <c r="AM161" s="3">
        <v>4.7646591417862503</v>
      </c>
      <c r="AN161" s="3">
        <v>4.7646591417862503</v>
      </c>
      <c r="AO161" s="3">
        <v>4.7646591417862503</v>
      </c>
      <c r="AP161" s="3">
        <v>4.7646591417862503</v>
      </c>
      <c r="AQ161" s="3">
        <v>4.7646591417862503</v>
      </c>
      <c r="AR161" s="3">
        <v>4.7646591417862503</v>
      </c>
      <c r="AS161" s="3">
        <v>4.7646591417862503</v>
      </c>
      <c r="AT161" s="3">
        <v>4.7646591417862503</v>
      </c>
      <c r="AU161" s="3">
        <v>4.7646591417862503</v>
      </c>
      <c r="AV161" s="3">
        <v>4.7646591417862503</v>
      </c>
      <c r="AW161" s="3">
        <v>4.7646591417862503</v>
      </c>
      <c r="AX161" s="3">
        <v>4.7646591417862503</v>
      </c>
      <c r="AY161" s="3">
        <v>4.7646591417862503</v>
      </c>
      <c r="AZ161" s="3">
        <v>4.7646591417862503</v>
      </c>
      <c r="BA161" s="3">
        <v>4.7646591417862503</v>
      </c>
      <c r="BB161" s="3">
        <v>4.7646591417862503</v>
      </c>
      <c r="BC161" s="3">
        <v>4.7646591417862503</v>
      </c>
      <c r="BD161" s="3">
        <v>4.7646591417862503</v>
      </c>
      <c r="BE161" s="3">
        <v>4.7646591417862503</v>
      </c>
      <c r="BF161" s="3">
        <v>4.7646591417862503</v>
      </c>
      <c r="BG161" s="3">
        <v>4.7646591417862503</v>
      </c>
      <c r="BH161" s="3">
        <v>4.7646591417862503</v>
      </c>
      <c r="BI161" s="3">
        <v>4.7646591417862503</v>
      </c>
      <c r="BJ161" s="3">
        <v>4.7646591417862503</v>
      </c>
      <c r="BK161" s="3">
        <v>4.7646591417862503</v>
      </c>
      <c r="BL161" s="3">
        <v>4.7646591417862503</v>
      </c>
      <c r="BM161" s="3">
        <v>4.7646591417862503</v>
      </c>
      <c r="BN161" s="3">
        <v>4.7646591417862503</v>
      </c>
      <c r="BO161" s="3">
        <v>4.7646591417862503</v>
      </c>
      <c r="BP161" s="3">
        <v>4.7646591417862503</v>
      </c>
      <c r="BQ161" s="3">
        <v>4.7646591417862503</v>
      </c>
    </row>
    <row r="162" spans="1:69" x14ac:dyDescent="0.25">
      <c r="A162" s="7">
        <v>52</v>
      </c>
      <c r="B162" s="7" t="s">
        <v>546</v>
      </c>
      <c r="C162" s="7" t="s">
        <v>547</v>
      </c>
      <c r="D162" s="7">
        <v>1</v>
      </c>
      <c r="E162" s="7" t="s">
        <v>489</v>
      </c>
      <c r="F162" s="7"/>
      <c r="G162" s="7" t="s">
        <v>490</v>
      </c>
      <c r="H162" s="7">
        <v>0</v>
      </c>
      <c r="I162" s="7"/>
      <c r="J162" s="7"/>
      <c r="K162" s="7"/>
      <c r="L162" s="7"/>
      <c r="M162" s="7"/>
      <c r="N162" s="7"/>
      <c r="O162" s="7"/>
      <c r="P162" s="7"/>
      <c r="Q162" s="7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x14ac:dyDescent="0.25">
      <c r="A163" s="7">
        <v>52</v>
      </c>
      <c r="B163" s="7" t="s">
        <v>546</v>
      </c>
      <c r="C163" s="7" t="s">
        <v>547</v>
      </c>
      <c r="D163" s="7">
        <v>2</v>
      </c>
      <c r="E163" s="7" t="s">
        <v>491</v>
      </c>
      <c r="F163" s="7"/>
      <c r="G163" s="7" t="s">
        <v>490</v>
      </c>
      <c r="H163" s="7">
        <v>0</v>
      </c>
      <c r="I163" s="7"/>
      <c r="J163" s="7"/>
      <c r="K163" s="7"/>
      <c r="L163" s="7"/>
      <c r="M163" s="7"/>
      <c r="N163" s="7"/>
      <c r="O163" s="7"/>
      <c r="P163" s="7"/>
      <c r="Q163" s="7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x14ac:dyDescent="0.25">
      <c r="A164" s="6">
        <v>52</v>
      </c>
      <c r="B164" s="6" t="s">
        <v>546</v>
      </c>
      <c r="C164" s="6" t="s">
        <v>547</v>
      </c>
      <c r="D164" s="6">
        <v>3</v>
      </c>
      <c r="E164" s="6" t="s">
        <v>493</v>
      </c>
      <c r="F164" s="6"/>
      <c r="G164" s="6" t="s">
        <v>490</v>
      </c>
      <c r="H164" s="6">
        <v>0</v>
      </c>
      <c r="I164" s="6"/>
      <c r="J164" s="6"/>
      <c r="K164" s="6"/>
      <c r="L164" s="6"/>
      <c r="M164" s="6"/>
      <c r="N164" s="6"/>
      <c r="O164" s="6"/>
      <c r="P164" s="6"/>
      <c r="Q164" s="6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x14ac:dyDescent="0.25">
      <c r="A165" s="6">
        <v>52</v>
      </c>
      <c r="B165" s="6" t="s">
        <v>546</v>
      </c>
      <c r="C165" s="6" t="s">
        <v>547</v>
      </c>
      <c r="D165" s="6">
        <v>4</v>
      </c>
      <c r="E165" s="6" t="s">
        <v>496</v>
      </c>
      <c r="F165" s="6"/>
      <c r="G165" s="6" t="s">
        <v>500</v>
      </c>
      <c r="H165" s="6">
        <v>0</v>
      </c>
      <c r="I165" s="6">
        <v>8.2876644123526386</v>
      </c>
      <c r="J165" s="6">
        <v>8.2876644123526386</v>
      </c>
      <c r="K165" s="6">
        <v>8.2876644123526386</v>
      </c>
      <c r="L165" s="6">
        <v>8.2876644123526386</v>
      </c>
      <c r="M165" s="6">
        <v>8.2876644123526386</v>
      </c>
      <c r="N165" s="6">
        <v>8.2876644123526386</v>
      </c>
      <c r="O165" s="6">
        <v>8.2876644123526386</v>
      </c>
      <c r="P165" s="6">
        <v>8.2876644123526386</v>
      </c>
      <c r="Q165" s="6">
        <v>8.2876644123526386</v>
      </c>
      <c r="R165" s="3">
        <v>8.2876644123526386</v>
      </c>
      <c r="S165" s="3">
        <v>8.2876644123526386</v>
      </c>
      <c r="T165" s="3">
        <v>8.2876644123526386</v>
      </c>
      <c r="U165" s="3">
        <v>8.2876644123526386</v>
      </c>
      <c r="V165" s="3">
        <v>8.2876644123526386</v>
      </c>
      <c r="W165" s="3">
        <v>8.2876644123526386</v>
      </c>
      <c r="X165" s="3">
        <v>8.2876644123526386</v>
      </c>
      <c r="Y165" s="3">
        <v>8.2876644123526386</v>
      </c>
      <c r="Z165" s="3">
        <v>8.2876644123526386</v>
      </c>
      <c r="AA165" s="3">
        <v>8.2876644123526386</v>
      </c>
      <c r="AB165" s="3">
        <v>8.2876644123526386</v>
      </c>
      <c r="AC165" s="3">
        <v>8.2876644123526386</v>
      </c>
      <c r="AD165" s="3">
        <v>8.2876644123526386</v>
      </c>
      <c r="AE165" s="3">
        <v>8.2876644123526386</v>
      </c>
      <c r="AF165" s="3">
        <v>8.2876644123526386</v>
      </c>
      <c r="AG165" s="3">
        <v>8.2876644123526386</v>
      </c>
      <c r="AH165" s="3">
        <v>8.2876644123526386</v>
      </c>
      <c r="AI165" s="3">
        <v>8.2876644123526386</v>
      </c>
      <c r="AJ165" s="3">
        <v>8.2876644123526386</v>
      </c>
      <c r="AK165" s="3">
        <v>8.2876644123526386</v>
      </c>
      <c r="AL165" s="3">
        <v>8.2876644123526386</v>
      </c>
      <c r="AM165" s="3">
        <v>8.2876644123526386</v>
      </c>
      <c r="AN165" s="3">
        <v>8.2876644123526386</v>
      </c>
      <c r="AO165" s="3">
        <v>8.2876644123526386</v>
      </c>
      <c r="AP165" s="3">
        <v>8.2876644123526386</v>
      </c>
      <c r="AQ165" s="3">
        <v>8.2876644123526386</v>
      </c>
      <c r="AR165" s="3">
        <v>8.2876644123526386</v>
      </c>
      <c r="AS165" s="3">
        <v>8.2876644123526386</v>
      </c>
      <c r="AT165" s="3">
        <v>8.2876644123526386</v>
      </c>
      <c r="AU165" s="3">
        <v>8.2876644123526386</v>
      </c>
      <c r="AV165" s="3">
        <v>8.2876644123526386</v>
      </c>
      <c r="AW165" s="3">
        <v>8.2876644123526386</v>
      </c>
      <c r="AX165" s="3">
        <v>8.2876644123526386</v>
      </c>
      <c r="AY165" s="3">
        <v>8.2876644123526386</v>
      </c>
      <c r="AZ165" s="3">
        <v>8.2876644123526386</v>
      </c>
      <c r="BA165" s="3">
        <v>8.2876644123526386</v>
      </c>
      <c r="BB165" s="3">
        <v>8.2876644123526386</v>
      </c>
      <c r="BC165" s="3">
        <v>8.2876644123526386</v>
      </c>
      <c r="BD165" s="3">
        <v>8.2876644123526386</v>
      </c>
      <c r="BE165" s="3">
        <v>8.2876644123526386</v>
      </c>
      <c r="BF165" s="3">
        <v>8.2876644123526386</v>
      </c>
      <c r="BG165" s="3">
        <v>8.2876644123526386</v>
      </c>
      <c r="BH165" s="3">
        <v>8.2876644123526386</v>
      </c>
      <c r="BI165" s="3">
        <v>8.2876644123526386</v>
      </c>
      <c r="BJ165" s="3">
        <v>8.2876644123526386</v>
      </c>
      <c r="BK165" s="3">
        <v>8.2876644123526386</v>
      </c>
      <c r="BL165" s="3">
        <v>8.2876644123526386</v>
      </c>
      <c r="BM165" s="3">
        <v>8.2876644123526386</v>
      </c>
      <c r="BN165" s="3">
        <v>8.2876644123526386</v>
      </c>
      <c r="BO165" s="3">
        <v>8.2876644123526386</v>
      </c>
      <c r="BP165" s="3">
        <v>8.2876644123526386</v>
      </c>
      <c r="BQ165" s="3">
        <v>8.2876644123526386</v>
      </c>
    </row>
    <row r="166" spans="1:69" x14ac:dyDescent="0.25">
      <c r="A166" s="6">
        <v>53</v>
      </c>
      <c r="B166" s="6" t="s">
        <v>548</v>
      </c>
      <c r="C166" s="6" t="s">
        <v>549</v>
      </c>
      <c r="D166" s="6">
        <v>1</v>
      </c>
      <c r="E166" s="6" t="s">
        <v>489</v>
      </c>
      <c r="F166" s="6"/>
      <c r="G166" s="6" t="s">
        <v>490</v>
      </c>
      <c r="H166" s="6">
        <v>0</v>
      </c>
      <c r="I166" s="6"/>
      <c r="J166" s="6"/>
      <c r="K166" s="6"/>
      <c r="L166" s="6"/>
      <c r="M166" s="6"/>
      <c r="N166" s="6"/>
      <c r="O166" s="6"/>
      <c r="P166" s="6"/>
      <c r="Q166" s="6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x14ac:dyDescent="0.25">
      <c r="A167" s="7">
        <v>53</v>
      </c>
      <c r="B167" s="7" t="s">
        <v>548</v>
      </c>
      <c r="C167" s="7" t="s">
        <v>549</v>
      </c>
      <c r="D167" s="7">
        <v>2</v>
      </c>
      <c r="E167" s="7" t="s">
        <v>491</v>
      </c>
      <c r="F167" s="7"/>
      <c r="G167" s="7" t="s">
        <v>490</v>
      </c>
      <c r="H167" s="7">
        <v>0</v>
      </c>
      <c r="I167" s="7"/>
      <c r="J167" s="7"/>
      <c r="K167" s="7"/>
      <c r="L167" s="7"/>
      <c r="M167" s="7"/>
      <c r="N167" s="7"/>
      <c r="O167" s="7"/>
      <c r="P167" s="7"/>
      <c r="Q167" s="7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x14ac:dyDescent="0.25">
      <c r="A168" s="7">
        <v>53</v>
      </c>
      <c r="B168" s="7" t="s">
        <v>548</v>
      </c>
      <c r="C168" s="7" t="s">
        <v>549</v>
      </c>
      <c r="D168" s="7">
        <v>3</v>
      </c>
      <c r="E168" s="7" t="s">
        <v>493</v>
      </c>
      <c r="F168" s="7"/>
      <c r="G168" s="7" t="s">
        <v>490</v>
      </c>
      <c r="H168" s="7">
        <v>0</v>
      </c>
      <c r="I168" s="7"/>
      <c r="J168" s="7"/>
      <c r="K168" s="7"/>
      <c r="L168" s="7"/>
      <c r="M168" s="7"/>
      <c r="N168" s="7"/>
      <c r="O168" s="7"/>
      <c r="P168" s="7"/>
      <c r="Q168" s="7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x14ac:dyDescent="0.25">
      <c r="A169" s="7">
        <v>53</v>
      </c>
      <c r="B169" s="7" t="s">
        <v>548</v>
      </c>
      <c r="C169" s="7" t="s">
        <v>549</v>
      </c>
      <c r="D169" s="7">
        <v>4</v>
      </c>
      <c r="E169" s="7" t="s">
        <v>496</v>
      </c>
      <c r="F169" s="7"/>
      <c r="G169" s="7" t="s">
        <v>500</v>
      </c>
      <c r="H169" s="7">
        <v>0</v>
      </c>
      <c r="I169" s="7">
        <v>2.4573512022027399</v>
      </c>
      <c r="J169" s="7">
        <v>2.4573512022027399</v>
      </c>
      <c r="K169" s="7">
        <v>2.4573512022027399</v>
      </c>
      <c r="L169" s="7">
        <v>2.4573512022027399</v>
      </c>
      <c r="M169" s="7">
        <v>2.4573512022027399</v>
      </c>
      <c r="N169" s="7">
        <v>2.4573512022027399</v>
      </c>
      <c r="O169" s="7">
        <v>2.4573512022027399</v>
      </c>
      <c r="P169" s="7">
        <v>2.4573512022027399</v>
      </c>
      <c r="Q169" s="7">
        <v>2.4573512022027399</v>
      </c>
      <c r="R169" s="3">
        <v>2.4573512022027399</v>
      </c>
      <c r="S169" s="3">
        <v>2.4573512022027399</v>
      </c>
      <c r="T169" s="3">
        <v>2.4573512022027399</v>
      </c>
      <c r="U169" s="3">
        <v>2.4573512022027399</v>
      </c>
      <c r="V169" s="3">
        <v>2.4573512022027399</v>
      </c>
      <c r="W169" s="3">
        <v>2.4573512022027399</v>
      </c>
      <c r="X169" s="3">
        <v>2.4573512022027399</v>
      </c>
      <c r="Y169" s="3">
        <v>2.4573512022027399</v>
      </c>
      <c r="Z169" s="3">
        <v>2.4573512022027399</v>
      </c>
      <c r="AA169" s="3">
        <v>2.4573512022027399</v>
      </c>
      <c r="AB169" s="3">
        <v>2.4573512022027399</v>
      </c>
      <c r="AC169" s="3">
        <v>2.4573512022027399</v>
      </c>
      <c r="AD169" s="3">
        <v>2.4573512022027399</v>
      </c>
      <c r="AE169" s="3">
        <v>2.4573512022027399</v>
      </c>
      <c r="AF169" s="3">
        <v>2.4573512022027399</v>
      </c>
      <c r="AG169" s="3">
        <v>2.4573512022027399</v>
      </c>
      <c r="AH169" s="3">
        <v>2.4573512022027399</v>
      </c>
      <c r="AI169" s="3">
        <v>2.4573512022027399</v>
      </c>
      <c r="AJ169" s="3">
        <v>2.4573512022027399</v>
      </c>
      <c r="AK169" s="3">
        <v>2.4573512022027399</v>
      </c>
      <c r="AL169" s="3">
        <v>2.4573512022027399</v>
      </c>
      <c r="AM169" s="3">
        <v>2.4573512022027399</v>
      </c>
      <c r="AN169" s="3">
        <v>2.4573512022027399</v>
      </c>
      <c r="AO169" s="3">
        <v>2.4573512022027399</v>
      </c>
      <c r="AP169" s="3">
        <v>2.4573512022027399</v>
      </c>
      <c r="AQ169" s="3">
        <v>2.4573512022027399</v>
      </c>
      <c r="AR169" s="3">
        <v>2.4573512022027399</v>
      </c>
      <c r="AS169" s="3">
        <v>2.4573512022027399</v>
      </c>
      <c r="AT169" s="3">
        <v>2.4573512022027399</v>
      </c>
      <c r="AU169" s="3">
        <v>2.4573512022027399</v>
      </c>
      <c r="AV169" s="3">
        <v>2.4573512022027399</v>
      </c>
      <c r="AW169" s="3">
        <v>2.4573512022027399</v>
      </c>
      <c r="AX169" s="3">
        <v>2.4573512022027399</v>
      </c>
      <c r="AY169" s="3">
        <v>2.4573512022027399</v>
      </c>
      <c r="AZ169" s="3">
        <v>2.4573512022027399</v>
      </c>
      <c r="BA169" s="3">
        <v>2.4573512022027399</v>
      </c>
      <c r="BB169" s="3">
        <v>2.4573512022027399</v>
      </c>
      <c r="BC169" s="3">
        <v>2.4573512022027399</v>
      </c>
      <c r="BD169" s="3">
        <v>2.4573512022027399</v>
      </c>
      <c r="BE169" s="3">
        <v>2.4573512022027399</v>
      </c>
      <c r="BF169" s="3">
        <v>2.4573512022027399</v>
      </c>
      <c r="BG169" s="3">
        <v>2.4573512022027399</v>
      </c>
      <c r="BH169" s="3">
        <v>2.4573512022027399</v>
      </c>
      <c r="BI169" s="3">
        <v>2.4573512022027399</v>
      </c>
      <c r="BJ169" s="3">
        <v>2.4573512022027399</v>
      </c>
      <c r="BK169" s="3">
        <v>2.4573512022027399</v>
      </c>
      <c r="BL169" s="3">
        <v>2.4573512022027399</v>
      </c>
      <c r="BM169" s="3">
        <v>2.4573512022027399</v>
      </c>
      <c r="BN169" s="3">
        <v>2.4573512022027399</v>
      </c>
      <c r="BO169" s="3">
        <v>2.4573512022027399</v>
      </c>
      <c r="BP169" s="3">
        <v>2.4573512022027399</v>
      </c>
      <c r="BQ169" s="3">
        <v>2.4573512022027399</v>
      </c>
    </row>
    <row r="170" spans="1:69" x14ac:dyDescent="0.25">
      <c r="A170" s="6">
        <v>54</v>
      </c>
      <c r="B170" s="6" t="s">
        <v>554</v>
      </c>
      <c r="C170" s="6" t="s">
        <v>555</v>
      </c>
      <c r="D170" s="6">
        <v>1</v>
      </c>
      <c r="E170" s="6" t="s">
        <v>489</v>
      </c>
      <c r="F170" s="6"/>
      <c r="G170" s="6" t="s">
        <v>490</v>
      </c>
      <c r="H170" s="6">
        <v>0</v>
      </c>
      <c r="I170" s="6"/>
      <c r="J170" s="6"/>
      <c r="K170" s="6"/>
      <c r="L170" s="6"/>
      <c r="M170" s="6"/>
      <c r="N170" s="6"/>
      <c r="O170" s="6"/>
      <c r="P170" s="6"/>
      <c r="Q170" s="6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x14ac:dyDescent="0.25">
      <c r="A171" s="6">
        <v>54</v>
      </c>
      <c r="B171" s="6" t="s">
        <v>554</v>
      </c>
      <c r="C171" s="6" t="s">
        <v>555</v>
      </c>
      <c r="D171" s="6">
        <v>2</v>
      </c>
      <c r="E171" s="6" t="s">
        <v>491</v>
      </c>
      <c r="F171" s="6"/>
      <c r="G171" s="6" t="s">
        <v>490</v>
      </c>
      <c r="H171" s="6">
        <v>0</v>
      </c>
      <c r="I171" s="6"/>
      <c r="J171" s="6"/>
      <c r="K171" s="6"/>
      <c r="L171" s="6"/>
      <c r="M171" s="6"/>
      <c r="N171" s="6"/>
      <c r="O171" s="6"/>
      <c r="P171" s="6"/>
      <c r="Q171" s="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x14ac:dyDescent="0.25">
      <c r="A172" s="6">
        <v>54</v>
      </c>
      <c r="B172" s="6" t="s">
        <v>554</v>
      </c>
      <c r="C172" s="6" t="s">
        <v>555</v>
      </c>
      <c r="D172" s="6">
        <v>3</v>
      </c>
      <c r="E172" s="6" t="s">
        <v>493</v>
      </c>
      <c r="F172" s="6"/>
      <c r="G172" s="6" t="s">
        <v>490</v>
      </c>
      <c r="H172" s="6">
        <v>0</v>
      </c>
      <c r="I172" s="6"/>
      <c r="J172" s="6"/>
      <c r="K172" s="6"/>
      <c r="L172" s="6"/>
      <c r="M172" s="6"/>
      <c r="N172" s="6"/>
      <c r="O172" s="6"/>
      <c r="P172" s="6"/>
      <c r="Q172" s="6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87"/>
  <sheetViews>
    <sheetView topLeftCell="C1" workbookViewId="0">
      <pane ySplit="1" topLeftCell="A83" activePane="bottomLeft" state="frozen"/>
      <selection pane="bottomLeft" activeCell="L78" sqref="L78"/>
    </sheetView>
  </sheetViews>
  <sheetFormatPr baseColWidth="10" defaultColWidth="8.85546875" defaultRowHeight="15" x14ac:dyDescent="0.25"/>
  <cols>
    <col min="1" max="1" width="7.140625" bestFit="1" customWidth="1"/>
    <col min="2" max="2" width="11.28515625" bestFit="1" customWidth="1"/>
    <col min="3" max="3" width="36.7109375" bestFit="1" customWidth="1"/>
    <col min="4" max="4" width="11.85546875" bestFit="1" customWidth="1"/>
    <col min="5" max="5" width="37.140625" bestFit="1" customWidth="1"/>
    <col min="6" max="6" width="4.5703125" bestFit="1" customWidth="1"/>
    <col min="7" max="7" width="15.140625" bestFit="1" customWidth="1"/>
    <col min="8" max="8" width="19.140625" bestFit="1" customWidth="1"/>
    <col min="9" max="15" width="19.140625" customWidth="1"/>
    <col min="16" max="16" width="10.28515625" customWidth="1"/>
    <col min="17" max="17" width="9" customWidth="1"/>
    <col min="18" max="69" width="5.85546875" bestFit="1" customWidth="1"/>
  </cols>
  <sheetData>
    <row r="1" spans="1:69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487</v>
      </c>
      <c r="H1" s="1" t="s">
        <v>488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5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 x14ac:dyDescent="0.25">
      <c r="A2" s="6">
        <v>1</v>
      </c>
      <c r="B2" s="6" t="s">
        <v>275</v>
      </c>
      <c r="C2" s="6" t="s">
        <v>276</v>
      </c>
      <c r="D2" s="6">
        <v>1</v>
      </c>
      <c r="E2" s="6" t="s">
        <v>489</v>
      </c>
      <c r="F2" s="6"/>
      <c r="G2" s="6" t="s">
        <v>490</v>
      </c>
      <c r="H2" s="6">
        <v>0</v>
      </c>
      <c r="I2" s="6"/>
      <c r="J2" s="6"/>
      <c r="K2" s="6"/>
      <c r="L2" s="6"/>
      <c r="M2" s="6"/>
      <c r="N2" s="6"/>
      <c r="O2" s="6"/>
      <c r="P2" s="6"/>
      <c r="Q2" s="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69" x14ac:dyDescent="0.25">
      <c r="A3" s="6">
        <v>1</v>
      </c>
      <c r="B3" s="6" t="s">
        <v>275</v>
      </c>
      <c r="C3" s="6" t="s">
        <v>276</v>
      </c>
      <c r="D3" s="6">
        <v>2</v>
      </c>
      <c r="E3" s="6" t="s">
        <v>491</v>
      </c>
      <c r="F3" s="6"/>
      <c r="G3" s="6" t="s">
        <v>490</v>
      </c>
      <c r="H3" s="6">
        <v>0</v>
      </c>
      <c r="I3" s="6"/>
      <c r="J3" s="6"/>
      <c r="K3" s="6"/>
      <c r="L3" s="6"/>
      <c r="M3" s="6"/>
      <c r="N3" s="6"/>
      <c r="O3" s="6"/>
      <c r="P3" s="6"/>
      <c r="Q3" s="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69" x14ac:dyDescent="0.25">
      <c r="A4" s="6">
        <v>1</v>
      </c>
      <c r="B4" s="6" t="s">
        <v>275</v>
      </c>
      <c r="C4" s="6" t="s">
        <v>276</v>
      </c>
      <c r="D4" s="6">
        <v>3</v>
      </c>
      <c r="E4" s="6" t="s">
        <v>493</v>
      </c>
      <c r="F4" s="6"/>
      <c r="G4" s="6" t="s">
        <v>490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69" x14ac:dyDescent="0.25">
      <c r="A5" s="6">
        <v>1</v>
      </c>
      <c r="B5" s="6" t="s">
        <v>275</v>
      </c>
      <c r="C5" s="6" t="s">
        <v>276</v>
      </c>
      <c r="D5" s="6">
        <v>4</v>
      </c>
      <c r="E5" s="6" t="s">
        <v>495</v>
      </c>
      <c r="F5" s="6"/>
      <c r="G5" s="6" t="s">
        <v>500</v>
      </c>
      <c r="H5" s="6">
        <v>0</v>
      </c>
      <c r="I5" s="6">
        <v>99999</v>
      </c>
      <c r="J5" s="6">
        <v>99999</v>
      </c>
      <c r="K5" s="6">
        <v>99999</v>
      </c>
      <c r="L5" s="6">
        <v>99999</v>
      </c>
      <c r="M5" s="6">
        <v>99999</v>
      </c>
      <c r="N5" s="6">
        <v>99999</v>
      </c>
      <c r="O5" s="6">
        <v>99999</v>
      </c>
      <c r="P5" s="6">
        <v>99999</v>
      </c>
      <c r="Q5" s="6">
        <v>99999</v>
      </c>
      <c r="R5" s="3">
        <v>99999</v>
      </c>
      <c r="S5" s="3">
        <v>99999</v>
      </c>
      <c r="T5" s="3">
        <v>99999</v>
      </c>
      <c r="U5" s="3">
        <v>99999</v>
      </c>
      <c r="V5" s="3">
        <v>99999</v>
      </c>
      <c r="W5" s="3">
        <v>99999</v>
      </c>
      <c r="X5" s="3">
        <v>99999</v>
      </c>
      <c r="Y5" s="3">
        <v>99999</v>
      </c>
      <c r="Z5" s="3">
        <v>99999</v>
      </c>
      <c r="AA5" s="3">
        <v>99999</v>
      </c>
      <c r="AB5" s="3">
        <v>99999</v>
      </c>
      <c r="AC5" s="3">
        <v>99999</v>
      </c>
      <c r="AD5" s="3">
        <v>99999</v>
      </c>
      <c r="AE5" s="3">
        <v>99999</v>
      </c>
      <c r="AF5" s="3">
        <v>99999</v>
      </c>
      <c r="AG5" s="3">
        <v>99999</v>
      </c>
      <c r="AH5" s="3">
        <v>99999</v>
      </c>
      <c r="AI5" s="3">
        <v>99999</v>
      </c>
      <c r="AJ5" s="3">
        <v>99999</v>
      </c>
      <c r="AK5" s="3">
        <v>99999</v>
      </c>
      <c r="AL5" s="3">
        <v>99999</v>
      </c>
      <c r="AM5" s="3">
        <v>99999</v>
      </c>
      <c r="AN5" s="3">
        <v>99999</v>
      </c>
      <c r="AO5" s="3">
        <v>99999</v>
      </c>
      <c r="AP5" s="3">
        <v>99999</v>
      </c>
      <c r="AQ5" s="3">
        <v>99999</v>
      </c>
      <c r="AR5" s="3">
        <v>99999</v>
      </c>
      <c r="AS5" s="3">
        <v>99999</v>
      </c>
      <c r="AT5" s="3">
        <v>99999</v>
      </c>
      <c r="AU5" s="3">
        <v>99999</v>
      </c>
      <c r="AV5" s="3">
        <v>99999</v>
      </c>
      <c r="AW5" s="3">
        <v>99999</v>
      </c>
      <c r="AX5" s="3">
        <v>99999</v>
      </c>
      <c r="AY5" s="3">
        <v>99999</v>
      </c>
      <c r="AZ5" s="3">
        <v>99999</v>
      </c>
      <c r="BA5" s="3">
        <v>99999</v>
      </c>
      <c r="BB5" s="3">
        <v>99999</v>
      </c>
      <c r="BC5" s="3">
        <v>99999</v>
      </c>
      <c r="BD5" s="3">
        <v>99999</v>
      </c>
      <c r="BE5" s="3">
        <v>99999</v>
      </c>
      <c r="BF5" s="3">
        <v>99999</v>
      </c>
      <c r="BG5" s="3">
        <v>99999</v>
      </c>
      <c r="BH5" s="3">
        <v>99999</v>
      </c>
      <c r="BI5" s="3">
        <v>99999</v>
      </c>
      <c r="BJ5" s="3">
        <v>99999</v>
      </c>
      <c r="BK5" s="3">
        <v>99999</v>
      </c>
      <c r="BL5" s="3">
        <v>99999</v>
      </c>
      <c r="BM5" s="3">
        <v>99999</v>
      </c>
      <c r="BN5" s="3">
        <v>99999</v>
      </c>
      <c r="BO5" s="3">
        <v>99999</v>
      </c>
      <c r="BP5" s="3">
        <v>99999</v>
      </c>
      <c r="BQ5" s="3">
        <v>99999</v>
      </c>
    </row>
    <row r="6" spans="1:69" x14ac:dyDescent="0.25">
      <c r="A6" s="7">
        <v>2</v>
      </c>
      <c r="B6" s="7" t="s">
        <v>277</v>
      </c>
      <c r="C6" s="7" t="s">
        <v>278</v>
      </c>
      <c r="D6" s="7">
        <v>1</v>
      </c>
      <c r="E6" s="7" t="s">
        <v>489</v>
      </c>
      <c r="F6" s="7"/>
      <c r="G6" s="7" t="s">
        <v>490</v>
      </c>
      <c r="H6" s="7">
        <v>0</v>
      </c>
      <c r="I6" s="7"/>
      <c r="J6" s="7"/>
      <c r="K6" s="7"/>
      <c r="L6" s="7"/>
      <c r="M6" s="7"/>
      <c r="N6" s="7"/>
      <c r="O6" s="7"/>
      <c r="P6" s="7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69" x14ac:dyDescent="0.25">
      <c r="A7" s="7">
        <v>2</v>
      </c>
      <c r="B7" s="7" t="s">
        <v>277</v>
      </c>
      <c r="C7" s="7" t="s">
        <v>278</v>
      </c>
      <c r="D7" s="7">
        <v>2</v>
      </c>
      <c r="E7" s="7" t="s">
        <v>491</v>
      </c>
      <c r="F7" s="7"/>
      <c r="G7" s="7" t="s">
        <v>490</v>
      </c>
      <c r="H7" s="7">
        <v>0</v>
      </c>
      <c r="I7" s="7"/>
      <c r="J7" s="7"/>
      <c r="K7" s="7"/>
      <c r="L7" s="7"/>
      <c r="M7" s="7"/>
      <c r="N7" s="7"/>
      <c r="O7" s="7"/>
      <c r="P7" s="7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69" x14ac:dyDescent="0.25">
      <c r="A8" s="7">
        <v>2</v>
      </c>
      <c r="B8" s="7" t="s">
        <v>277</v>
      </c>
      <c r="C8" s="7" t="s">
        <v>278</v>
      </c>
      <c r="D8" s="7">
        <v>3</v>
      </c>
      <c r="E8" s="7" t="s">
        <v>493</v>
      </c>
      <c r="F8" s="7"/>
      <c r="G8" s="7" t="s">
        <v>490</v>
      </c>
      <c r="H8" s="7">
        <v>0</v>
      </c>
      <c r="I8" s="7"/>
      <c r="J8" s="7"/>
      <c r="K8" s="7"/>
      <c r="L8" s="7"/>
      <c r="M8" s="7"/>
      <c r="N8" s="7"/>
      <c r="O8" s="7"/>
      <c r="P8" s="7"/>
      <c r="Q8" s="7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69" x14ac:dyDescent="0.25">
      <c r="A9" s="6">
        <v>3</v>
      </c>
      <c r="B9" s="6" t="s">
        <v>279</v>
      </c>
      <c r="C9" s="6" t="s">
        <v>280</v>
      </c>
      <c r="D9" s="6">
        <v>1</v>
      </c>
      <c r="E9" s="6" t="s">
        <v>489</v>
      </c>
      <c r="F9" s="6"/>
      <c r="G9" s="6" t="s">
        <v>490</v>
      </c>
      <c r="H9" s="6">
        <v>0</v>
      </c>
      <c r="I9" s="6"/>
      <c r="J9" s="6"/>
      <c r="K9" s="6"/>
      <c r="L9" s="6"/>
      <c r="M9" s="6"/>
      <c r="N9" s="6"/>
      <c r="O9" s="6"/>
      <c r="P9" s="6"/>
      <c r="Q9" s="6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69" x14ac:dyDescent="0.25">
      <c r="A10" s="6">
        <v>3</v>
      </c>
      <c r="B10" s="6" t="s">
        <v>279</v>
      </c>
      <c r="C10" s="6" t="s">
        <v>280</v>
      </c>
      <c r="D10" s="6">
        <v>2</v>
      </c>
      <c r="E10" s="6" t="s">
        <v>491</v>
      </c>
      <c r="F10" s="6"/>
      <c r="G10" s="6" t="s">
        <v>490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69" x14ac:dyDescent="0.25">
      <c r="A11" s="6">
        <v>3</v>
      </c>
      <c r="B11" s="6" t="s">
        <v>279</v>
      </c>
      <c r="C11" s="6" t="s">
        <v>280</v>
      </c>
      <c r="D11" s="6">
        <v>3</v>
      </c>
      <c r="E11" s="6" t="s">
        <v>493</v>
      </c>
      <c r="F11" s="6"/>
      <c r="G11" s="6" t="s">
        <v>490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69" x14ac:dyDescent="0.25">
      <c r="A12" s="7">
        <v>4</v>
      </c>
      <c r="B12" s="7" t="s">
        <v>281</v>
      </c>
      <c r="C12" s="7" t="s">
        <v>282</v>
      </c>
      <c r="D12" s="7">
        <v>1</v>
      </c>
      <c r="E12" s="7" t="s">
        <v>489</v>
      </c>
      <c r="F12" s="7"/>
      <c r="G12" s="7" t="s">
        <v>490</v>
      </c>
      <c r="H12" s="7">
        <v>0</v>
      </c>
      <c r="I12" s="7"/>
      <c r="J12" s="7"/>
      <c r="K12" s="7"/>
      <c r="L12" s="7"/>
      <c r="M12" s="7"/>
      <c r="N12" s="7"/>
      <c r="O12" s="7"/>
      <c r="P12" s="7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69" x14ac:dyDescent="0.25">
      <c r="A13" s="7">
        <v>4</v>
      </c>
      <c r="B13" s="7" t="s">
        <v>281</v>
      </c>
      <c r="C13" s="7" t="s">
        <v>282</v>
      </c>
      <c r="D13" s="7">
        <v>2</v>
      </c>
      <c r="E13" s="7" t="s">
        <v>491</v>
      </c>
      <c r="F13" s="7"/>
      <c r="G13" s="7" t="s">
        <v>490</v>
      </c>
      <c r="H13" s="7">
        <v>0</v>
      </c>
      <c r="I13" s="7"/>
      <c r="J13" s="7"/>
      <c r="K13" s="7"/>
      <c r="L13" s="7"/>
      <c r="M13" s="7"/>
      <c r="N13" s="7"/>
      <c r="O13" s="7"/>
      <c r="P13" s="7"/>
      <c r="Q13" s="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69" x14ac:dyDescent="0.25">
      <c r="A14" s="7">
        <v>4</v>
      </c>
      <c r="B14" s="7" t="s">
        <v>281</v>
      </c>
      <c r="C14" s="7" t="s">
        <v>282</v>
      </c>
      <c r="D14" s="7">
        <v>3</v>
      </c>
      <c r="E14" s="7" t="s">
        <v>493</v>
      </c>
      <c r="F14" s="7"/>
      <c r="G14" s="7" t="s">
        <v>490</v>
      </c>
      <c r="H14" s="7">
        <v>0</v>
      </c>
      <c r="I14" s="7"/>
      <c r="J14" s="7"/>
      <c r="K14" s="7"/>
      <c r="L14" s="7"/>
      <c r="M14" s="7"/>
      <c r="N14" s="7"/>
      <c r="O14" s="7"/>
      <c r="P14" s="7"/>
      <c r="Q14" s="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69" x14ac:dyDescent="0.25">
      <c r="A15" s="6">
        <v>5</v>
      </c>
      <c r="B15" s="6" t="s">
        <v>283</v>
      </c>
      <c r="C15" s="6" t="s">
        <v>284</v>
      </c>
      <c r="D15" s="6">
        <v>1</v>
      </c>
      <c r="E15" s="6" t="s">
        <v>489</v>
      </c>
      <c r="F15" s="6"/>
      <c r="G15" s="6" t="s">
        <v>490</v>
      </c>
      <c r="H15" s="6">
        <v>0</v>
      </c>
      <c r="I15" s="6"/>
      <c r="J15" s="6"/>
      <c r="K15" s="6"/>
      <c r="L15" s="6"/>
      <c r="M15" s="6"/>
      <c r="N15" s="6"/>
      <c r="O15" s="6"/>
      <c r="P15" s="6"/>
      <c r="Q15" s="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69" x14ac:dyDescent="0.25">
      <c r="A16" s="6">
        <v>5</v>
      </c>
      <c r="B16" s="6" t="s">
        <v>283</v>
      </c>
      <c r="C16" s="6" t="s">
        <v>284</v>
      </c>
      <c r="D16" s="6">
        <v>2</v>
      </c>
      <c r="E16" s="6" t="s">
        <v>491</v>
      </c>
      <c r="F16" s="6"/>
      <c r="G16" s="6" t="s">
        <v>490</v>
      </c>
      <c r="H16" s="6">
        <v>0</v>
      </c>
      <c r="I16" s="6"/>
      <c r="J16" s="6"/>
      <c r="K16" s="6"/>
      <c r="L16" s="6"/>
      <c r="M16" s="6"/>
      <c r="N16" s="6"/>
      <c r="O16" s="6"/>
      <c r="P16" s="6"/>
      <c r="Q16" s="6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69" x14ac:dyDescent="0.25">
      <c r="A17" s="6">
        <v>5</v>
      </c>
      <c r="B17" s="6" t="s">
        <v>283</v>
      </c>
      <c r="C17" s="6" t="s">
        <v>284</v>
      </c>
      <c r="D17" s="6">
        <v>3</v>
      </c>
      <c r="E17" s="6" t="s">
        <v>493</v>
      </c>
      <c r="F17" s="6"/>
      <c r="G17" s="6" t="s">
        <v>490</v>
      </c>
      <c r="H17" s="6">
        <v>0</v>
      </c>
      <c r="I17" s="6"/>
      <c r="J17" s="6"/>
      <c r="K17" s="6"/>
      <c r="L17" s="6"/>
      <c r="M17" s="6"/>
      <c r="N17" s="6"/>
      <c r="O17" s="6"/>
      <c r="P17" s="6"/>
      <c r="Q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69" x14ac:dyDescent="0.25">
      <c r="A18" s="7">
        <v>6</v>
      </c>
      <c r="B18" s="7" t="s">
        <v>285</v>
      </c>
      <c r="C18" s="7" t="s">
        <v>286</v>
      </c>
      <c r="D18" s="7">
        <v>1</v>
      </c>
      <c r="E18" s="7" t="s">
        <v>489</v>
      </c>
      <c r="F18" s="7"/>
      <c r="G18" s="7" t="s">
        <v>490</v>
      </c>
      <c r="H18" s="7">
        <v>0</v>
      </c>
      <c r="I18" s="7"/>
      <c r="J18" s="7"/>
      <c r="K18" s="7"/>
      <c r="L18" s="7"/>
      <c r="M18" s="7"/>
      <c r="N18" s="7"/>
      <c r="O18" s="7"/>
      <c r="P18" s="7"/>
      <c r="Q18" s="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69" x14ac:dyDescent="0.25">
      <c r="A19" s="7">
        <v>6</v>
      </c>
      <c r="B19" s="7" t="s">
        <v>285</v>
      </c>
      <c r="C19" s="7" t="s">
        <v>286</v>
      </c>
      <c r="D19" s="7">
        <v>2</v>
      </c>
      <c r="E19" s="7" t="s">
        <v>491</v>
      </c>
      <c r="F19" s="7"/>
      <c r="G19" s="7" t="s">
        <v>490</v>
      </c>
      <c r="H19" s="7">
        <v>0</v>
      </c>
      <c r="I19" s="7"/>
      <c r="J19" s="7"/>
      <c r="K19" s="7"/>
      <c r="L19" s="7"/>
      <c r="M19" s="7"/>
      <c r="N19" s="7"/>
      <c r="O19" s="7"/>
      <c r="P19" s="7"/>
      <c r="Q19" s="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69" x14ac:dyDescent="0.25">
      <c r="A20" s="7">
        <v>6</v>
      </c>
      <c r="B20" s="7" t="s">
        <v>285</v>
      </c>
      <c r="C20" s="7" t="s">
        <v>286</v>
      </c>
      <c r="D20" s="7">
        <v>3</v>
      </c>
      <c r="E20" s="7" t="s">
        <v>493</v>
      </c>
      <c r="F20" s="7"/>
      <c r="G20" s="7" t="s">
        <v>490</v>
      </c>
      <c r="H20" s="7">
        <v>0</v>
      </c>
      <c r="I20" s="7"/>
      <c r="J20" s="7"/>
      <c r="K20" s="7"/>
      <c r="L20" s="7"/>
      <c r="M20" s="7"/>
      <c r="N20" s="7"/>
      <c r="O20" s="7"/>
      <c r="P20" s="7"/>
      <c r="Q20" s="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69" x14ac:dyDescent="0.25">
      <c r="A21" s="6">
        <v>7</v>
      </c>
      <c r="B21" s="6" t="s">
        <v>287</v>
      </c>
      <c r="C21" s="6" t="s">
        <v>288</v>
      </c>
      <c r="D21" s="6">
        <v>1</v>
      </c>
      <c r="E21" s="6" t="s">
        <v>489</v>
      </c>
      <c r="F21" s="6"/>
      <c r="G21" s="6" t="s">
        <v>490</v>
      </c>
      <c r="H21" s="6">
        <v>0</v>
      </c>
      <c r="I21" s="6"/>
      <c r="J21" s="6"/>
      <c r="K21" s="6"/>
      <c r="L21" s="6"/>
      <c r="M21" s="6"/>
      <c r="N21" s="6"/>
      <c r="O21" s="6"/>
      <c r="P21" s="6"/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69" x14ac:dyDescent="0.25">
      <c r="A22" s="6">
        <v>7</v>
      </c>
      <c r="B22" s="6" t="s">
        <v>287</v>
      </c>
      <c r="C22" s="6" t="s">
        <v>288</v>
      </c>
      <c r="D22" s="6">
        <v>2</v>
      </c>
      <c r="E22" s="6" t="s">
        <v>491</v>
      </c>
      <c r="F22" s="6"/>
      <c r="G22" s="6" t="s">
        <v>490</v>
      </c>
      <c r="H22" s="6">
        <v>0</v>
      </c>
      <c r="I22" s="6"/>
      <c r="J22" s="6"/>
      <c r="K22" s="6"/>
      <c r="L22" s="6"/>
      <c r="M22" s="6"/>
      <c r="N22" s="6"/>
      <c r="O22" s="6"/>
      <c r="P22" s="6"/>
      <c r="Q22" s="6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69" x14ac:dyDescent="0.25">
      <c r="A23" s="6">
        <v>7</v>
      </c>
      <c r="B23" s="6" t="s">
        <v>287</v>
      </c>
      <c r="C23" s="6" t="s">
        <v>288</v>
      </c>
      <c r="D23" s="6">
        <v>3</v>
      </c>
      <c r="E23" s="6" t="s">
        <v>493</v>
      </c>
      <c r="F23" s="6"/>
      <c r="G23" s="6" t="s">
        <v>490</v>
      </c>
      <c r="H23" s="6">
        <v>0</v>
      </c>
      <c r="I23" s="6"/>
      <c r="J23" s="6"/>
      <c r="K23" s="6"/>
      <c r="L23" s="6"/>
      <c r="M23" s="6"/>
      <c r="N23" s="6"/>
      <c r="O23" s="6"/>
      <c r="P23" s="6"/>
      <c r="Q23" s="6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69" x14ac:dyDescent="0.25">
      <c r="A24" s="7">
        <v>8</v>
      </c>
      <c r="B24" s="7" t="s">
        <v>289</v>
      </c>
      <c r="C24" s="7" t="s">
        <v>290</v>
      </c>
      <c r="D24" s="7">
        <v>1</v>
      </c>
      <c r="E24" s="7" t="s">
        <v>489</v>
      </c>
      <c r="F24" s="7"/>
      <c r="G24" s="7" t="s">
        <v>490</v>
      </c>
      <c r="H24" s="7">
        <v>0</v>
      </c>
      <c r="I24" s="7"/>
      <c r="J24" s="7"/>
      <c r="K24" s="7"/>
      <c r="L24" s="7"/>
      <c r="M24" s="7"/>
      <c r="N24" s="7"/>
      <c r="O24" s="7"/>
      <c r="P24" s="7"/>
      <c r="Q24" s="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69" x14ac:dyDescent="0.25">
      <c r="A25" s="7">
        <v>8</v>
      </c>
      <c r="B25" s="7" t="s">
        <v>289</v>
      </c>
      <c r="C25" s="7" t="s">
        <v>290</v>
      </c>
      <c r="D25" s="7">
        <v>2</v>
      </c>
      <c r="E25" s="7" t="s">
        <v>491</v>
      </c>
      <c r="F25" s="7"/>
      <c r="G25" s="7" t="s">
        <v>490</v>
      </c>
      <c r="H25" s="7">
        <v>0</v>
      </c>
      <c r="I25" s="7"/>
      <c r="J25" s="7"/>
      <c r="K25" s="7"/>
      <c r="L25" s="7"/>
      <c r="M25" s="7"/>
      <c r="N25" s="7"/>
      <c r="O25" s="7"/>
      <c r="P25" s="7"/>
      <c r="Q25" s="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69" x14ac:dyDescent="0.25">
      <c r="A26" s="7">
        <v>8</v>
      </c>
      <c r="B26" s="7" t="s">
        <v>289</v>
      </c>
      <c r="C26" s="7" t="s">
        <v>290</v>
      </c>
      <c r="D26" s="7">
        <v>3</v>
      </c>
      <c r="E26" s="7" t="s">
        <v>493</v>
      </c>
      <c r="F26" s="7"/>
      <c r="G26" s="7" t="s">
        <v>490</v>
      </c>
      <c r="H26" s="7">
        <v>0</v>
      </c>
      <c r="I26" s="7"/>
      <c r="J26" s="7"/>
      <c r="K26" s="7"/>
      <c r="L26" s="7"/>
      <c r="M26" s="7"/>
      <c r="N26" s="7"/>
      <c r="O26" s="7"/>
      <c r="P26" s="7"/>
      <c r="Q26" s="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69" x14ac:dyDescent="0.25">
      <c r="A27" s="6">
        <v>9</v>
      </c>
      <c r="B27" s="6" t="s">
        <v>291</v>
      </c>
      <c r="C27" s="6" t="s">
        <v>292</v>
      </c>
      <c r="D27" s="6">
        <v>1</v>
      </c>
      <c r="E27" s="6" t="s">
        <v>489</v>
      </c>
      <c r="F27" s="6"/>
      <c r="G27" s="6" t="s">
        <v>490</v>
      </c>
      <c r="H27" s="6">
        <v>0</v>
      </c>
      <c r="I27" s="6"/>
      <c r="J27" s="6"/>
      <c r="K27" s="6"/>
      <c r="L27" s="6"/>
      <c r="M27" s="6"/>
      <c r="N27" s="6"/>
      <c r="O27" s="6"/>
      <c r="P27" s="6"/>
      <c r="Q27" s="6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69" x14ac:dyDescent="0.25">
      <c r="A28" s="6">
        <v>9</v>
      </c>
      <c r="B28" s="6" t="s">
        <v>291</v>
      </c>
      <c r="C28" s="6" t="s">
        <v>292</v>
      </c>
      <c r="D28" s="6">
        <v>2</v>
      </c>
      <c r="E28" s="6" t="s">
        <v>491</v>
      </c>
      <c r="F28" s="6"/>
      <c r="G28" s="6" t="s">
        <v>490</v>
      </c>
      <c r="H28" s="6">
        <v>0</v>
      </c>
      <c r="I28" s="6"/>
      <c r="J28" s="6"/>
      <c r="K28" s="6"/>
      <c r="L28" s="6"/>
      <c r="M28" s="6"/>
      <c r="N28" s="6"/>
      <c r="O28" s="6"/>
      <c r="P28" s="6"/>
      <c r="Q28" s="6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69" x14ac:dyDescent="0.25">
      <c r="A29" s="6">
        <v>9</v>
      </c>
      <c r="B29" s="6" t="s">
        <v>291</v>
      </c>
      <c r="C29" s="6" t="s">
        <v>292</v>
      </c>
      <c r="D29" s="6">
        <v>3</v>
      </c>
      <c r="E29" s="6" t="s">
        <v>493</v>
      </c>
      <c r="F29" s="6"/>
      <c r="G29" s="6" t="s">
        <v>490</v>
      </c>
      <c r="H29" s="6">
        <v>0</v>
      </c>
      <c r="I29" s="6"/>
      <c r="J29" s="6"/>
      <c r="K29" s="6"/>
      <c r="L29" s="6"/>
      <c r="M29" s="6"/>
      <c r="N29" s="6"/>
      <c r="O29" s="6"/>
      <c r="P29" s="6"/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69" x14ac:dyDescent="0.25">
      <c r="A30" s="6">
        <v>9</v>
      </c>
      <c r="B30" s="6" t="s">
        <v>291</v>
      </c>
      <c r="C30" s="6" t="s">
        <v>292</v>
      </c>
      <c r="D30" s="6">
        <v>4</v>
      </c>
      <c r="E30" s="6" t="s">
        <v>495</v>
      </c>
      <c r="F30" s="6"/>
      <c r="G30" s="6" t="s">
        <v>500</v>
      </c>
      <c r="H30" s="6">
        <v>0</v>
      </c>
      <c r="I30" s="6">
        <v>99999</v>
      </c>
      <c r="J30" s="6">
        <v>99999</v>
      </c>
      <c r="K30" s="6">
        <v>99999</v>
      </c>
      <c r="L30" s="6">
        <v>99999</v>
      </c>
      <c r="M30" s="6">
        <v>99999</v>
      </c>
      <c r="N30" s="6">
        <v>99999</v>
      </c>
      <c r="O30" s="6">
        <v>99999</v>
      </c>
      <c r="P30" s="6">
        <v>99999</v>
      </c>
      <c r="Q30" s="6">
        <v>99999</v>
      </c>
      <c r="R30" s="3">
        <v>99999</v>
      </c>
      <c r="S30" s="3">
        <v>99999</v>
      </c>
      <c r="T30" s="3">
        <v>99999</v>
      </c>
      <c r="U30" s="3">
        <v>99999</v>
      </c>
      <c r="V30" s="3">
        <v>99999</v>
      </c>
      <c r="W30" s="3">
        <v>99999</v>
      </c>
      <c r="X30" s="3">
        <v>99999</v>
      </c>
      <c r="Y30" s="3">
        <v>99999</v>
      </c>
      <c r="Z30" s="3">
        <v>99999</v>
      </c>
      <c r="AA30" s="3">
        <v>99999</v>
      </c>
      <c r="AB30" s="3">
        <v>99999</v>
      </c>
      <c r="AC30" s="3">
        <v>99999</v>
      </c>
      <c r="AD30" s="3">
        <v>99999</v>
      </c>
      <c r="AE30" s="3">
        <v>99999</v>
      </c>
      <c r="AF30" s="3">
        <v>99999</v>
      </c>
      <c r="AG30" s="3">
        <v>99999</v>
      </c>
      <c r="AH30" s="3">
        <v>99999</v>
      </c>
      <c r="AI30" s="3">
        <v>99999</v>
      </c>
      <c r="AJ30" s="3">
        <v>99999</v>
      </c>
      <c r="AK30" s="3">
        <v>99999</v>
      </c>
      <c r="AL30" s="3">
        <v>99999</v>
      </c>
      <c r="AM30" s="3">
        <v>99999</v>
      </c>
      <c r="AN30" s="3">
        <v>99999</v>
      </c>
      <c r="AO30" s="3">
        <v>99999</v>
      </c>
      <c r="AP30" s="3">
        <v>99999</v>
      </c>
      <c r="AQ30" s="3">
        <v>99999</v>
      </c>
      <c r="AR30" s="3">
        <v>99999</v>
      </c>
      <c r="AS30" s="3">
        <v>99999</v>
      </c>
      <c r="AT30" s="3">
        <v>99999</v>
      </c>
      <c r="AU30" s="3">
        <v>99999</v>
      </c>
      <c r="AV30" s="3">
        <v>99999</v>
      </c>
      <c r="AW30" s="3">
        <v>99999</v>
      </c>
      <c r="AX30" s="3">
        <v>99999</v>
      </c>
      <c r="AY30">
        <v>99999</v>
      </c>
      <c r="AZ30">
        <v>99999</v>
      </c>
      <c r="BA30">
        <v>99999</v>
      </c>
      <c r="BB30">
        <v>99999</v>
      </c>
      <c r="BC30">
        <v>99999</v>
      </c>
      <c r="BD30">
        <v>99999</v>
      </c>
      <c r="BE30">
        <v>99999</v>
      </c>
      <c r="BF30">
        <v>99999</v>
      </c>
      <c r="BG30">
        <v>99999</v>
      </c>
      <c r="BH30">
        <v>99999</v>
      </c>
      <c r="BI30">
        <v>99999</v>
      </c>
      <c r="BJ30">
        <v>99999</v>
      </c>
      <c r="BK30">
        <v>99999</v>
      </c>
      <c r="BL30">
        <v>99999</v>
      </c>
      <c r="BM30">
        <v>99999</v>
      </c>
      <c r="BN30">
        <v>99999</v>
      </c>
      <c r="BO30">
        <v>99999</v>
      </c>
      <c r="BP30">
        <v>99999</v>
      </c>
      <c r="BQ30">
        <v>99999</v>
      </c>
    </row>
    <row r="31" spans="1:69" x14ac:dyDescent="0.25">
      <c r="A31" s="7">
        <v>10</v>
      </c>
      <c r="B31" s="7" t="s">
        <v>293</v>
      </c>
      <c r="C31" s="7" t="s">
        <v>294</v>
      </c>
      <c r="D31" s="7">
        <v>1</v>
      </c>
      <c r="E31" s="7" t="s">
        <v>489</v>
      </c>
      <c r="F31" s="7"/>
      <c r="G31" s="7" t="s">
        <v>490</v>
      </c>
      <c r="H31" s="7">
        <v>0</v>
      </c>
      <c r="I31" s="7"/>
      <c r="J31" s="7"/>
      <c r="K31" s="7"/>
      <c r="L31" s="7"/>
      <c r="M31" s="7"/>
      <c r="N31" s="7"/>
      <c r="O31" s="7"/>
      <c r="P31" s="7"/>
      <c r="Q31" s="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69" x14ac:dyDescent="0.25">
      <c r="A32" s="7">
        <v>10</v>
      </c>
      <c r="B32" s="7" t="s">
        <v>293</v>
      </c>
      <c r="C32" s="7" t="s">
        <v>294</v>
      </c>
      <c r="D32" s="7">
        <v>2</v>
      </c>
      <c r="E32" s="7" t="s">
        <v>491</v>
      </c>
      <c r="F32" s="7"/>
      <c r="G32" s="7" t="s">
        <v>490</v>
      </c>
      <c r="H32" s="7">
        <v>0</v>
      </c>
      <c r="I32" s="7"/>
      <c r="J32" s="7"/>
      <c r="K32" s="7"/>
      <c r="L32" s="7"/>
      <c r="M32" s="7"/>
      <c r="N32" s="7"/>
      <c r="O32" s="7"/>
      <c r="P32" s="7"/>
      <c r="Q32" s="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69" x14ac:dyDescent="0.25">
      <c r="A33" s="7">
        <v>10</v>
      </c>
      <c r="B33" s="7" t="s">
        <v>293</v>
      </c>
      <c r="C33" s="7" t="s">
        <v>294</v>
      </c>
      <c r="D33" s="7">
        <v>3</v>
      </c>
      <c r="E33" s="7" t="s">
        <v>493</v>
      </c>
      <c r="F33" s="7"/>
      <c r="G33" s="7" t="s">
        <v>490</v>
      </c>
      <c r="H33" s="7">
        <v>0</v>
      </c>
      <c r="I33" s="7"/>
      <c r="J33" s="7"/>
      <c r="K33" s="7"/>
      <c r="L33" s="7"/>
      <c r="M33" s="7"/>
      <c r="N33" s="7"/>
      <c r="O33" s="7"/>
      <c r="P33" s="7"/>
      <c r="Q33" s="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69" x14ac:dyDescent="0.25">
      <c r="A34" s="6">
        <v>11</v>
      </c>
      <c r="B34" s="6" t="s">
        <v>295</v>
      </c>
      <c r="C34" s="6" t="s">
        <v>296</v>
      </c>
      <c r="D34" s="6">
        <v>1</v>
      </c>
      <c r="E34" s="6" t="s">
        <v>489</v>
      </c>
      <c r="F34" s="6"/>
      <c r="G34" s="6" t="s">
        <v>490</v>
      </c>
      <c r="H34" s="6">
        <v>0</v>
      </c>
      <c r="I34" s="6"/>
      <c r="J34" s="6"/>
      <c r="K34" s="6"/>
      <c r="L34" s="6"/>
      <c r="M34" s="6"/>
      <c r="N34" s="6"/>
      <c r="O34" s="6"/>
      <c r="P34" s="6"/>
      <c r="Q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69" x14ac:dyDescent="0.25">
      <c r="A35" s="6">
        <v>11</v>
      </c>
      <c r="B35" s="6" t="s">
        <v>295</v>
      </c>
      <c r="C35" s="6" t="s">
        <v>296</v>
      </c>
      <c r="D35" s="6">
        <v>2</v>
      </c>
      <c r="E35" s="6" t="s">
        <v>491</v>
      </c>
      <c r="F35" s="6"/>
      <c r="G35" s="6" t="s">
        <v>490</v>
      </c>
      <c r="H35" s="6">
        <v>0</v>
      </c>
      <c r="I35" s="6"/>
      <c r="J35" s="6"/>
      <c r="K35" s="6"/>
      <c r="L35" s="6"/>
      <c r="M35" s="6"/>
      <c r="N35" s="6"/>
      <c r="O35" s="6"/>
      <c r="P35" s="6"/>
      <c r="Q35" s="6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69" x14ac:dyDescent="0.25">
      <c r="A36" s="6">
        <v>11</v>
      </c>
      <c r="B36" s="6" t="s">
        <v>295</v>
      </c>
      <c r="C36" s="6" t="s">
        <v>296</v>
      </c>
      <c r="D36" s="6">
        <v>3</v>
      </c>
      <c r="E36" s="6" t="s">
        <v>493</v>
      </c>
      <c r="F36" s="6"/>
      <c r="G36" s="6" t="s">
        <v>490</v>
      </c>
      <c r="H36" s="6">
        <v>0</v>
      </c>
      <c r="I36" s="6"/>
      <c r="J36" s="6"/>
      <c r="K36" s="6"/>
      <c r="L36" s="6"/>
      <c r="M36" s="6"/>
      <c r="N36" s="6"/>
      <c r="O36" s="6"/>
      <c r="P36" s="6"/>
      <c r="Q36" s="6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69" x14ac:dyDescent="0.25">
      <c r="A37" s="7">
        <v>12</v>
      </c>
      <c r="B37" s="7" t="s">
        <v>297</v>
      </c>
      <c r="C37" s="7" t="s">
        <v>298</v>
      </c>
      <c r="D37" s="7">
        <v>1</v>
      </c>
      <c r="E37" s="7" t="s">
        <v>489</v>
      </c>
      <c r="F37" s="7"/>
      <c r="G37" s="7" t="s">
        <v>490</v>
      </c>
      <c r="H37" s="7">
        <v>0</v>
      </c>
      <c r="I37" s="7"/>
      <c r="J37" s="7"/>
      <c r="K37" s="7"/>
      <c r="L37" s="7"/>
      <c r="M37" s="7"/>
      <c r="N37" s="7"/>
      <c r="O37" s="7"/>
      <c r="P37" s="7"/>
      <c r="Q37" s="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69" x14ac:dyDescent="0.25">
      <c r="A38" s="7">
        <v>12</v>
      </c>
      <c r="B38" s="7" t="s">
        <v>297</v>
      </c>
      <c r="C38" s="7" t="s">
        <v>298</v>
      </c>
      <c r="D38" s="7">
        <v>2</v>
      </c>
      <c r="E38" s="7" t="s">
        <v>491</v>
      </c>
      <c r="F38" s="7"/>
      <c r="G38" s="7" t="s">
        <v>490</v>
      </c>
      <c r="H38" s="7">
        <v>0</v>
      </c>
      <c r="I38" s="7"/>
      <c r="J38" s="7"/>
      <c r="K38" s="7"/>
      <c r="L38" s="7"/>
      <c r="M38" s="7"/>
      <c r="N38" s="7"/>
      <c r="O38" s="7"/>
      <c r="P38" s="7"/>
      <c r="Q38" s="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69" x14ac:dyDescent="0.25">
      <c r="A39" s="7">
        <v>12</v>
      </c>
      <c r="B39" s="7" t="s">
        <v>297</v>
      </c>
      <c r="C39" s="7" t="s">
        <v>298</v>
      </c>
      <c r="D39" s="7">
        <v>3</v>
      </c>
      <c r="E39" s="7" t="s">
        <v>493</v>
      </c>
      <c r="F39" s="7"/>
      <c r="G39" s="7" t="s">
        <v>490</v>
      </c>
      <c r="H39" s="7">
        <v>0</v>
      </c>
      <c r="I39" s="7"/>
      <c r="J39" s="7"/>
      <c r="K39" s="7"/>
      <c r="L39" s="7"/>
      <c r="M39" s="7"/>
      <c r="N39" s="7"/>
      <c r="O39" s="7"/>
      <c r="P39" s="7"/>
      <c r="Q39" s="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69" x14ac:dyDescent="0.25">
      <c r="A40" s="7">
        <v>12</v>
      </c>
      <c r="B40" s="7" t="s">
        <v>297</v>
      </c>
      <c r="C40" s="7" t="s">
        <v>298</v>
      </c>
      <c r="D40" s="7">
        <v>4</v>
      </c>
      <c r="E40" s="7" t="s">
        <v>495</v>
      </c>
      <c r="F40" s="7"/>
      <c r="G40" s="7" t="s">
        <v>500</v>
      </c>
      <c r="H40" s="7">
        <v>0</v>
      </c>
      <c r="I40" s="7">
        <v>99999</v>
      </c>
      <c r="J40" s="7">
        <v>99999</v>
      </c>
      <c r="K40" s="7">
        <v>99999</v>
      </c>
      <c r="L40" s="7">
        <v>99999</v>
      </c>
      <c r="M40" s="7">
        <v>99999</v>
      </c>
      <c r="N40" s="7">
        <v>99999</v>
      </c>
      <c r="O40" s="7">
        <v>99999</v>
      </c>
      <c r="P40" s="7">
        <v>99999</v>
      </c>
      <c r="Q40" s="7">
        <v>99999</v>
      </c>
      <c r="R40" s="3">
        <v>99999</v>
      </c>
      <c r="S40" s="3">
        <v>99999</v>
      </c>
      <c r="T40" s="3">
        <v>99999</v>
      </c>
      <c r="U40" s="3">
        <v>99999</v>
      </c>
      <c r="V40" s="3">
        <v>99999</v>
      </c>
      <c r="W40" s="3">
        <v>99999</v>
      </c>
      <c r="X40" s="3">
        <v>99999</v>
      </c>
      <c r="Y40" s="3">
        <v>99999</v>
      </c>
      <c r="Z40" s="3">
        <v>99999</v>
      </c>
      <c r="AA40" s="3">
        <v>99999</v>
      </c>
      <c r="AB40" s="3">
        <v>99999</v>
      </c>
      <c r="AC40" s="3">
        <v>99999</v>
      </c>
      <c r="AD40" s="3">
        <v>99999</v>
      </c>
      <c r="AE40" s="3">
        <v>99999</v>
      </c>
      <c r="AF40" s="3">
        <v>99999</v>
      </c>
      <c r="AG40" s="3">
        <v>99999</v>
      </c>
      <c r="AH40" s="3">
        <v>99999</v>
      </c>
      <c r="AI40" s="3">
        <v>99999</v>
      </c>
      <c r="AJ40" s="3">
        <v>99999</v>
      </c>
      <c r="AK40" s="3">
        <v>99999</v>
      </c>
      <c r="AL40" s="3">
        <v>99999</v>
      </c>
      <c r="AM40" s="3">
        <v>99999</v>
      </c>
      <c r="AN40" s="3">
        <v>99999</v>
      </c>
      <c r="AO40" s="3">
        <v>99999</v>
      </c>
      <c r="AP40" s="3">
        <v>99999</v>
      </c>
      <c r="AQ40" s="3">
        <v>99999</v>
      </c>
      <c r="AR40" s="3">
        <v>99999</v>
      </c>
      <c r="AS40" s="3">
        <v>99999</v>
      </c>
      <c r="AT40" s="3">
        <v>99999</v>
      </c>
      <c r="AU40" s="3">
        <v>99999</v>
      </c>
      <c r="AV40" s="3">
        <v>99999</v>
      </c>
      <c r="AW40" s="3">
        <v>99999</v>
      </c>
      <c r="AX40" s="3">
        <v>99999</v>
      </c>
      <c r="AY40">
        <v>99999</v>
      </c>
      <c r="AZ40">
        <v>99999</v>
      </c>
      <c r="BA40">
        <v>99999</v>
      </c>
      <c r="BB40">
        <v>99999</v>
      </c>
      <c r="BC40">
        <v>99999</v>
      </c>
      <c r="BD40">
        <v>99999</v>
      </c>
      <c r="BE40">
        <v>99999</v>
      </c>
      <c r="BF40">
        <v>99999</v>
      </c>
      <c r="BG40">
        <v>99999</v>
      </c>
      <c r="BH40">
        <v>99999</v>
      </c>
      <c r="BI40">
        <v>99999</v>
      </c>
      <c r="BJ40">
        <v>99999</v>
      </c>
      <c r="BK40">
        <v>99999</v>
      </c>
      <c r="BL40">
        <v>99999</v>
      </c>
      <c r="BM40">
        <v>99999</v>
      </c>
      <c r="BN40">
        <v>99999</v>
      </c>
      <c r="BO40">
        <v>99999</v>
      </c>
      <c r="BP40">
        <v>99999</v>
      </c>
      <c r="BQ40">
        <v>99999</v>
      </c>
    </row>
    <row r="41" spans="1:69" x14ac:dyDescent="0.25">
      <c r="A41" s="6">
        <v>13</v>
      </c>
      <c r="B41" s="6" t="s">
        <v>299</v>
      </c>
      <c r="C41" s="6" t="s">
        <v>300</v>
      </c>
      <c r="D41" s="6">
        <v>1</v>
      </c>
      <c r="E41" s="6" t="s">
        <v>489</v>
      </c>
      <c r="F41" s="6"/>
      <c r="G41" s="6" t="s">
        <v>490</v>
      </c>
      <c r="H41" s="6">
        <v>0</v>
      </c>
      <c r="I41" s="6"/>
      <c r="J41" s="6"/>
      <c r="K41" s="6"/>
      <c r="L41" s="6"/>
      <c r="M41" s="6"/>
      <c r="N41" s="6"/>
      <c r="O41" s="6"/>
      <c r="P41" s="6"/>
      <c r="Q41" s="6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69" x14ac:dyDescent="0.25">
      <c r="A42" s="6">
        <v>13</v>
      </c>
      <c r="B42" s="6" t="s">
        <v>299</v>
      </c>
      <c r="C42" s="6" t="s">
        <v>300</v>
      </c>
      <c r="D42" s="6">
        <v>2</v>
      </c>
      <c r="E42" s="6" t="s">
        <v>491</v>
      </c>
      <c r="F42" s="6"/>
      <c r="G42" s="6" t="s">
        <v>490</v>
      </c>
      <c r="H42" s="6">
        <v>0</v>
      </c>
      <c r="I42" s="6"/>
      <c r="J42" s="6"/>
      <c r="K42" s="6"/>
      <c r="L42" s="6"/>
      <c r="M42" s="6"/>
      <c r="N42" s="6"/>
      <c r="O42" s="6"/>
      <c r="P42" s="6"/>
      <c r="Q42" s="6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69" x14ac:dyDescent="0.25">
      <c r="A43" s="6">
        <v>13</v>
      </c>
      <c r="B43" s="6" t="s">
        <v>299</v>
      </c>
      <c r="C43" s="6" t="s">
        <v>300</v>
      </c>
      <c r="D43" s="6">
        <v>3</v>
      </c>
      <c r="E43" s="6" t="s">
        <v>493</v>
      </c>
      <c r="F43" s="6"/>
      <c r="G43" s="6" t="s">
        <v>490</v>
      </c>
      <c r="H43" s="6">
        <v>0</v>
      </c>
      <c r="I43" s="6"/>
      <c r="J43" s="6"/>
      <c r="K43" s="6"/>
      <c r="L43" s="6"/>
      <c r="M43" s="6"/>
      <c r="N43" s="6"/>
      <c r="O43" s="6"/>
      <c r="P43" s="6"/>
      <c r="Q43" s="6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69" x14ac:dyDescent="0.25">
      <c r="A44" s="7">
        <v>14</v>
      </c>
      <c r="B44" s="7" t="s">
        <v>301</v>
      </c>
      <c r="C44" s="7" t="s">
        <v>302</v>
      </c>
      <c r="D44" s="7">
        <v>1</v>
      </c>
      <c r="E44" s="7" t="s">
        <v>489</v>
      </c>
      <c r="F44" s="7"/>
      <c r="G44" s="7" t="s">
        <v>490</v>
      </c>
      <c r="H44" s="7">
        <v>0</v>
      </c>
      <c r="I44" s="7"/>
      <c r="J44" s="7"/>
      <c r="K44" s="7"/>
      <c r="L44" s="7"/>
      <c r="M44" s="7"/>
      <c r="N44" s="7"/>
      <c r="O44" s="7"/>
      <c r="P44" s="7"/>
      <c r="Q44" s="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69" x14ac:dyDescent="0.25">
      <c r="A45" s="7">
        <v>14</v>
      </c>
      <c r="B45" s="7" t="s">
        <v>301</v>
      </c>
      <c r="C45" s="7" t="s">
        <v>302</v>
      </c>
      <c r="D45" s="7">
        <v>2</v>
      </c>
      <c r="E45" s="7" t="s">
        <v>491</v>
      </c>
      <c r="F45" s="7"/>
      <c r="G45" s="7" t="s">
        <v>490</v>
      </c>
      <c r="H45" s="7">
        <v>0</v>
      </c>
      <c r="I45" s="7"/>
      <c r="J45" s="7"/>
      <c r="K45" s="7"/>
      <c r="L45" s="7"/>
      <c r="M45" s="7"/>
      <c r="N45" s="7"/>
      <c r="O45" s="7"/>
      <c r="P45" s="7"/>
      <c r="Q45" s="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69" x14ac:dyDescent="0.25">
      <c r="A46" s="7">
        <v>14</v>
      </c>
      <c r="B46" s="7" t="s">
        <v>301</v>
      </c>
      <c r="C46" s="7" t="s">
        <v>302</v>
      </c>
      <c r="D46" s="7">
        <v>3</v>
      </c>
      <c r="E46" s="7" t="s">
        <v>493</v>
      </c>
      <c r="F46" s="7"/>
      <c r="G46" s="7" t="s">
        <v>490</v>
      </c>
      <c r="H46" s="7">
        <v>0</v>
      </c>
      <c r="I46" s="7"/>
      <c r="J46" s="7"/>
      <c r="K46" s="7"/>
      <c r="L46" s="7"/>
      <c r="M46" s="7"/>
      <c r="N46" s="7"/>
      <c r="O46" s="7"/>
      <c r="P46" s="7"/>
      <c r="Q46" s="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69" x14ac:dyDescent="0.25">
      <c r="A47" s="6">
        <v>15</v>
      </c>
      <c r="B47" s="6" t="s">
        <v>303</v>
      </c>
      <c r="C47" s="6" t="s">
        <v>304</v>
      </c>
      <c r="D47" s="6">
        <v>1</v>
      </c>
      <c r="E47" s="6" t="s">
        <v>489</v>
      </c>
      <c r="F47" s="6"/>
      <c r="G47" s="6" t="s">
        <v>490</v>
      </c>
      <c r="H47" s="6">
        <v>0</v>
      </c>
      <c r="I47" s="6"/>
      <c r="J47" s="6"/>
      <c r="K47" s="6"/>
      <c r="L47" s="6"/>
      <c r="M47" s="6"/>
      <c r="N47" s="6"/>
      <c r="O47" s="6"/>
      <c r="P47" s="6"/>
      <c r="Q47" s="6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69" x14ac:dyDescent="0.25">
      <c r="A48" s="6">
        <v>15</v>
      </c>
      <c r="B48" s="6" t="s">
        <v>303</v>
      </c>
      <c r="C48" s="6" t="s">
        <v>304</v>
      </c>
      <c r="D48" s="6">
        <v>2</v>
      </c>
      <c r="E48" s="6" t="s">
        <v>491</v>
      </c>
      <c r="F48" s="6"/>
      <c r="G48" s="6" t="s">
        <v>490</v>
      </c>
      <c r="H48" s="6">
        <v>0</v>
      </c>
      <c r="I48" s="6"/>
      <c r="J48" s="6"/>
      <c r="K48" s="6"/>
      <c r="L48" s="6"/>
      <c r="M48" s="6"/>
      <c r="N48" s="6"/>
      <c r="O48" s="6"/>
      <c r="P48" s="6"/>
      <c r="Q48" s="6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69" x14ac:dyDescent="0.25">
      <c r="A49" s="6">
        <v>15</v>
      </c>
      <c r="B49" s="6" t="s">
        <v>303</v>
      </c>
      <c r="C49" s="6" t="s">
        <v>304</v>
      </c>
      <c r="D49" s="6">
        <v>3</v>
      </c>
      <c r="E49" s="6" t="s">
        <v>493</v>
      </c>
      <c r="F49" s="6"/>
      <c r="G49" s="6" t="s">
        <v>490</v>
      </c>
      <c r="H49" s="6">
        <v>0</v>
      </c>
      <c r="I49" s="6"/>
      <c r="J49" s="6"/>
      <c r="K49" s="6"/>
      <c r="L49" s="6"/>
      <c r="M49" s="6"/>
      <c r="N49" s="6"/>
      <c r="O49" s="6"/>
      <c r="P49" s="6"/>
      <c r="Q49" s="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69" x14ac:dyDescent="0.25">
      <c r="A50" s="7">
        <v>16</v>
      </c>
      <c r="B50" s="7" t="s">
        <v>305</v>
      </c>
      <c r="C50" s="7" t="s">
        <v>306</v>
      </c>
      <c r="D50" s="7">
        <v>1</v>
      </c>
      <c r="E50" s="7" t="s">
        <v>489</v>
      </c>
      <c r="F50" s="7"/>
      <c r="G50" s="7" t="s">
        <v>490</v>
      </c>
      <c r="H50" s="7">
        <v>0</v>
      </c>
      <c r="I50" s="7"/>
      <c r="J50" s="7"/>
      <c r="K50" s="7"/>
      <c r="L50" s="7"/>
      <c r="M50" s="7"/>
      <c r="N50" s="7"/>
      <c r="O50" s="7"/>
      <c r="P50" s="7"/>
      <c r="Q50" s="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69" x14ac:dyDescent="0.25">
      <c r="A51" s="7">
        <v>16</v>
      </c>
      <c r="B51" s="7" t="s">
        <v>305</v>
      </c>
      <c r="C51" s="7" t="s">
        <v>306</v>
      </c>
      <c r="D51" s="7">
        <v>2</v>
      </c>
      <c r="E51" s="7" t="s">
        <v>491</v>
      </c>
      <c r="F51" s="7"/>
      <c r="G51" s="7" t="s">
        <v>490</v>
      </c>
      <c r="H51" s="7">
        <v>0</v>
      </c>
      <c r="I51" s="7"/>
      <c r="J51" s="7"/>
      <c r="K51" s="7"/>
      <c r="L51" s="7"/>
      <c r="M51" s="7"/>
      <c r="N51" s="7"/>
      <c r="O51" s="7"/>
      <c r="P51" s="7"/>
      <c r="Q51" s="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69" x14ac:dyDescent="0.25">
      <c r="A52" s="7">
        <v>16</v>
      </c>
      <c r="B52" s="7" t="s">
        <v>305</v>
      </c>
      <c r="C52" s="7" t="s">
        <v>306</v>
      </c>
      <c r="D52" s="7">
        <v>3</v>
      </c>
      <c r="E52" s="7" t="s">
        <v>493</v>
      </c>
      <c r="F52" s="7"/>
      <c r="G52" s="7" t="s">
        <v>490</v>
      </c>
      <c r="H52" s="7">
        <v>0</v>
      </c>
      <c r="I52" s="7"/>
      <c r="J52" s="7"/>
      <c r="K52" s="7"/>
      <c r="L52" s="7"/>
      <c r="M52" s="7"/>
      <c r="N52" s="7"/>
      <c r="O52" s="7"/>
      <c r="P52" s="7"/>
      <c r="Q52" s="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69" x14ac:dyDescent="0.25">
      <c r="A53" s="6">
        <v>17</v>
      </c>
      <c r="B53" s="6" t="s">
        <v>307</v>
      </c>
      <c r="C53" s="6" t="s">
        <v>308</v>
      </c>
      <c r="D53" s="6">
        <v>1</v>
      </c>
      <c r="E53" s="6" t="s">
        <v>489</v>
      </c>
      <c r="F53" s="6"/>
      <c r="G53" s="6" t="s">
        <v>490</v>
      </c>
      <c r="H53" s="6">
        <v>0</v>
      </c>
      <c r="I53" s="6"/>
      <c r="J53" s="6"/>
      <c r="K53" s="6"/>
      <c r="L53" s="6"/>
      <c r="M53" s="6"/>
      <c r="N53" s="6"/>
      <c r="O53" s="6"/>
      <c r="P53" s="6"/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69" x14ac:dyDescent="0.25">
      <c r="A54" s="6">
        <v>17</v>
      </c>
      <c r="B54" s="6" t="s">
        <v>307</v>
      </c>
      <c r="C54" s="6" t="s">
        <v>308</v>
      </c>
      <c r="D54" s="6">
        <v>2</v>
      </c>
      <c r="E54" s="6" t="s">
        <v>491</v>
      </c>
      <c r="F54" s="6"/>
      <c r="G54" s="6" t="s">
        <v>490</v>
      </c>
      <c r="H54" s="6">
        <v>0</v>
      </c>
      <c r="I54" s="6"/>
      <c r="J54" s="6"/>
      <c r="K54" s="6"/>
      <c r="L54" s="6"/>
      <c r="M54" s="6"/>
      <c r="N54" s="6"/>
      <c r="O54" s="6"/>
      <c r="P54" s="6"/>
      <c r="Q54" s="6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69" x14ac:dyDescent="0.25">
      <c r="A55" s="6">
        <v>17</v>
      </c>
      <c r="B55" s="6" t="s">
        <v>307</v>
      </c>
      <c r="C55" s="6" t="s">
        <v>308</v>
      </c>
      <c r="D55" s="6">
        <v>3</v>
      </c>
      <c r="E55" s="6" t="s">
        <v>493</v>
      </c>
      <c r="F55" s="6"/>
      <c r="G55" s="6" t="s">
        <v>490</v>
      </c>
      <c r="H55" s="6">
        <v>0</v>
      </c>
      <c r="I55" s="6"/>
      <c r="J55" s="6"/>
      <c r="K55" s="6"/>
      <c r="L55" s="6"/>
      <c r="M55" s="6"/>
      <c r="N55" s="6"/>
      <c r="O55" s="6"/>
      <c r="P55" s="6"/>
      <c r="Q55" s="6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69" x14ac:dyDescent="0.25">
      <c r="A56" s="6">
        <v>17</v>
      </c>
      <c r="B56" s="6" t="s">
        <v>307</v>
      </c>
      <c r="C56" s="6" t="s">
        <v>308</v>
      </c>
      <c r="D56" s="6">
        <v>4</v>
      </c>
      <c r="E56" s="6" t="s">
        <v>495</v>
      </c>
      <c r="F56" s="6"/>
      <c r="G56" s="6" t="s">
        <v>500</v>
      </c>
      <c r="H56" s="6">
        <v>0</v>
      </c>
      <c r="I56" s="6">
        <v>99999</v>
      </c>
      <c r="J56" s="6">
        <v>99999</v>
      </c>
      <c r="K56" s="6">
        <v>99999</v>
      </c>
      <c r="L56" s="6">
        <v>99999</v>
      </c>
      <c r="M56" s="6">
        <v>99999</v>
      </c>
      <c r="N56" s="6">
        <v>99999</v>
      </c>
      <c r="O56" s="6">
        <v>99999</v>
      </c>
      <c r="P56" s="6">
        <v>99999</v>
      </c>
      <c r="Q56" s="6">
        <v>99999</v>
      </c>
      <c r="R56" s="3">
        <v>99999</v>
      </c>
      <c r="S56" s="3">
        <v>99999</v>
      </c>
      <c r="T56" s="3">
        <v>99999</v>
      </c>
      <c r="U56" s="3">
        <v>99999</v>
      </c>
      <c r="V56" s="3">
        <v>99999</v>
      </c>
      <c r="W56" s="3">
        <v>99999</v>
      </c>
      <c r="X56" s="3">
        <v>99999</v>
      </c>
      <c r="Y56" s="3">
        <v>99999</v>
      </c>
      <c r="Z56" s="3">
        <v>99999</v>
      </c>
      <c r="AA56" s="3">
        <v>99999</v>
      </c>
      <c r="AB56" s="3">
        <v>99999</v>
      </c>
      <c r="AC56" s="3">
        <v>99999</v>
      </c>
      <c r="AD56" s="3">
        <v>99999</v>
      </c>
      <c r="AE56" s="3">
        <v>99999</v>
      </c>
      <c r="AF56" s="3">
        <v>99999</v>
      </c>
      <c r="AG56" s="3">
        <v>99999</v>
      </c>
      <c r="AH56" s="3">
        <v>99999</v>
      </c>
      <c r="AI56" s="3">
        <v>99999</v>
      </c>
      <c r="AJ56" s="3">
        <v>99999</v>
      </c>
      <c r="AK56" s="3">
        <v>99999</v>
      </c>
      <c r="AL56" s="3">
        <v>99999</v>
      </c>
      <c r="AM56" s="3">
        <v>99999</v>
      </c>
      <c r="AN56" s="3">
        <v>99999</v>
      </c>
      <c r="AO56" s="3">
        <v>99999</v>
      </c>
      <c r="AP56" s="3">
        <v>99999</v>
      </c>
      <c r="AQ56" s="3">
        <v>99999</v>
      </c>
      <c r="AR56" s="3">
        <v>99999</v>
      </c>
      <c r="AS56" s="3">
        <v>99999</v>
      </c>
      <c r="AT56" s="3">
        <v>99999</v>
      </c>
      <c r="AU56" s="3">
        <v>99999</v>
      </c>
      <c r="AV56" s="3">
        <v>99999</v>
      </c>
      <c r="AW56" s="3">
        <v>99999</v>
      </c>
      <c r="AX56" s="3">
        <v>99999</v>
      </c>
      <c r="AY56">
        <v>99999</v>
      </c>
      <c r="AZ56">
        <v>99999</v>
      </c>
      <c r="BA56">
        <v>99999</v>
      </c>
      <c r="BB56">
        <v>99999</v>
      </c>
      <c r="BC56">
        <v>99999</v>
      </c>
      <c r="BD56">
        <v>99999</v>
      </c>
      <c r="BE56">
        <v>99999</v>
      </c>
      <c r="BF56">
        <v>99999</v>
      </c>
      <c r="BG56">
        <v>99999</v>
      </c>
      <c r="BH56">
        <v>99999</v>
      </c>
      <c r="BI56">
        <v>99999</v>
      </c>
      <c r="BJ56">
        <v>99999</v>
      </c>
      <c r="BK56">
        <v>99999</v>
      </c>
      <c r="BL56">
        <v>99999</v>
      </c>
      <c r="BM56">
        <v>99999</v>
      </c>
      <c r="BN56">
        <v>99999</v>
      </c>
      <c r="BO56">
        <v>99999</v>
      </c>
      <c r="BP56">
        <v>99999</v>
      </c>
      <c r="BQ56">
        <v>99999</v>
      </c>
    </row>
    <row r="57" spans="1:69" x14ac:dyDescent="0.25">
      <c r="A57" s="7">
        <v>18</v>
      </c>
      <c r="B57" s="7" t="s">
        <v>309</v>
      </c>
      <c r="C57" s="7" t="s">
        <v>310</v>
      </c>
      <c r="D57" s="7">
        <v>1</v>
      </c>
      <c r="E57" s="7" t="s">
        <v>489</v>
      </c>
      <c r="F57" s="7"/>
      <c r="G57" s="7" t="s">
        <v>490</v>
      </c>
      <c r="H57" s="7">
        <v>0</v>
      </c>
      <c r="I57" s="7"/>
      <c r="J57" s="7"/>
      <c r="K57" s="7"/>
      <c r="L57" s="7"/>
      <c r="M57" s="7"/>
      <c r="N57" s="7"/>
      <c r="O57" s="7"/>
      <c r="P57" s="7"/>
      <c r="Q57" s="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69" x14ac:dyDescent="0.25">
      <c r="A58" s="7">
        <v>18</v>
      </c>
      <c r="B58" s="7" t="s">
        <v>309</v>
      </c>
      <c r="C58" s="7" t="s">
        <v>310</v>
      </c>
      <c r="D58" s="7">
        <v>2</v>
      </c>
      <c r="E58" s="7" t="s">
        <v>491</v>
      </c>
      <c r="F58" s="7"/>
      <c r="G58" s="7" t="s">
        <v>490</v>
      </c>
      <c r="H58" s="7">
        <v>0</v>
      </c>
      <c r="I58" s="7"/>
      <c r="J58" s="7"/>
      <c r="K58" s="7"/>
      <c r="L58" s="7"/>
      <c r="M58" s="7"/>
      <c r="N58" s="7"/>
      <c r="O58" s="7"/>
      <c r="P58" s="7"/>
      <c r="Q58" s="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69" x14ac:dyDescent="0.25">
      <c r="A59" s="7">
        <v>18</v>
      </c>
      <c r="B59" s="7" t="s">
        <v>309</v>
      </c>
      <c r="C59" s="7" t="s">
        <v>310</v>
      </c>
      <c r="D59" s="7">
        <v>3</v>
      </c>
      <c r="E59" s="7" t="s">
        <v>493</v>
      </c>
      <c r="F59" s="7"/>
      <c r="G59" s="7" t="s">
        <v>490</v>
      </c>
      <c r="H59" s="7">
        <v>0</v>
      </c>
      <c r="I59" s="7"/>
      <c r="J59" s="7"/>
      <c r="K59" s="7"/>
      <c r="L59" s="7"/>
      <c r="M59" s="7"/>
      <c r="N59" s="7"/>
      <c r="O59" s="7"/>
      <c r="P59" s="7"/>
      <c r="Q59" s="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69" x14ac:dyDescent="0.25">
      <c r="A60" s="6">
        <v>19</v>
      </c>
      <c r="B60" s="6" t="s">
        <v>311</v>
      </c>
      <c r="C60" s="6" t="s">
        <v>312</v>
      </c>
      <c r="D60" s="6">
        <v>1</v>
      </c>
      <c r="E60" s="6" t="s">
        <v>489</v>
      </c>
      <c r="F60" s="6"/>
      <c r="G60" s="6" t="s">
        <v>490</v>
      </c>
      <c r="H60" s="6">
        <v>0</v>
      </c>
      <c r="I60" s="6"/>
      <c r="J60" s="6"/>
      <c r="K60" s="6"/>
      <c r="L60" s="6"/>
      <c r="M60" s="6"/>
      <c r="N60" s="6"/>
      <c r="O60" s="6"/>
      <c r="P60" s="6"/>
      <c r="Q60" s="6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69" x14ac:dyDescent="0.25">
      <c r="A61" s="6">
        <v>19</v>
      </c>
      <c r="B61" s="6" t="s">
        <v>311</v>
      </c>
      <c r="C61" s="6" t="s">
        <v>312</v>
      </c>
      <c r="D61" s="6">
        <v>2</v>
      </c>
      <c r="E61" s="6" t="s">
        <v>491</v>
      </c>
      <c r="F61" s="6"/>
      <c r="G61" s="6" t="s">
        <v>490</v>
      </c>
      <c r="H61" s="6">
        <v>0</v>
      </c>
      <c r="I61" s="6"/>
      <c r="J61" s="6"/>
      <c r="K61" s="6"/>
      <c r="L61" s="6"/>
      <c r="M61" s="6"/>
      <c r="N61" s="6"/>
      <c r="O61" s="6"/>
      <c r="P61" s="6"/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69" x14ac:dyDescent="0.25">
      <c r="A62" s="6">
        <v>19</v>
      </c>
      <c r="B62" s="6" t="s">
        <v>311</v>
      </c>
      <c r="C62" s="6" t="s">
        <v>312</v>
      </c>
      <c r="D62" s="6">
        <v>3</v>
      </c>
      <c r="E62" s="6" t="s">
        <v>493</v>
      </c>
      <c r="F62" s="6"/>
      <c r="G62" s="6" t="s">
        <v>490</v>
      </c>
      <c r="H62" s="6">
        <v>0</v>
      </c>
      <c r="I62" s="6"/>
      <c r="J62" s="6"/>
      <c r="K62" s="6"/>
      <c r="L62" s="6"/>
      <c r="M62" s="6"/>
      <c r="N62" s="6"/>
      <c r="O62" s="6"/>
      <c r="P62" s="6"/>
      <c r="Q62" s="6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69" x14ac:dyDescent="0.25">
      <c r="A63" s="7">
        <v>20</v>
      </c>
      <c r="B63" s="7" t="s">
        <v>313</v>
      </c>
      <c r="C63" s="7" t="s">
        <v>314</v>
      </c>
      <c r="D63" s="7">
        <v>1</v>
      </c>
      <c r="E63" s="7" t="s">
        <v>489</v>
      </c>
      <c r="F63" s="7"/>
      <c r="G63" s="7" t="s">
        <v>490</v>
      </c>
      <c r="H63" s="7">
        <v>0</v>
      </c>
      <c r="I63" s="7"/>
      <c r="J63" s="7"/>
      <c r="K63" s="7"/>
      <c r="L63" s="7"/>
      <c r="M63" s="7"/>
      <c r="N63" s="7"/>
      <c r="O63" s="7"/>
      <c r="P63" s="7"/>
      <c r="Q63" s="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69" x14ac:dyDescent="0.25">
      <c r="A64" s="7">
        <v>20</v>
      </c>
      <c r="B64" s="7" t="s">
        <v>313</v>
      </c>
      <c r="C64" s="7" t="s">
        <v>314</v>
      </c>
      <c r="D64" s="7">
        <v>2</v>
      </c>
      <c r="E64" s="7" t="s">
        <v>491</v>
      </c>
      <c r="F64" s="7"/>
      <c r="G64" s="7" t="s">
        <v>490</v>
      </c>
      <c r="H64" s="7">
        <v>0</v>
      </c>
      <c r="I64" s="7"/>
      <c r="J64" s="7"/>
      <c r="K64" s="7"/>
      <c r="L64" s="7"/>
      <c r="M64" s="7"/>
      <c r="N64" s="7"/>
      <c r="O64" s="7"/>
      <c r="P64" s="7"/>
      <c r="Q64" s="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69" x14ac:dyDescent="0.25">
      <c r="A65" s="7">
        <v>20</v>
      </c>
      <c r="B65" s="7" t="s">
        <v>313</v>
      </c>
      <c r="C65" s="7" t="s">
        <v>314</v>
      </c>
      <c r="D65" s="7">
        <v>3</v>
      </c>
      <c r="E65" s="7" t="s">
        <v>493</v>
      </c>
      <c r="F65" s="7"/>
      <c r="G65" s="7" t="s">
        <v>490</v>
      </c>
      <c r="H65" s="7">
        <v>0</v>
      </c>
      <c r="I65" s="7"/>
      <c r="J65" s="7"/>
      <c r="K65" s="7"/>
      <c r="L65" s="7"/>
      <c r="M65" s="7"/>
      <c r="N65" s="7"/>
      <c r="O65" s="7"/>
      <c r="P65" s="7"/>
      <c r="Q65" s="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69" x14ac:dyDescent="0.25">
      <c r="A66" s="6">
        <v>21</v>
      </c>
      <c r="B66" s="6" t="s">
        <v>315</v>
      </c>
      <c r="C66" s="6" t="s">
        <v>316</v>
      </c>
      <c r="D66" s="6">
        <v>1</v>
      </c>
      <c r="E66" s="6" t="s">
        <v>489</v>
      </c>
      <c r="F66" s="6"/>
      <c r="G66" s="6" t="s">
        <v>490</v>
      </c>
      <c r="H66" s="6">
        <v>0</v>
      </c>
      <c r="I66" s="6"/>
      <c r="J66" s="6"/>
      <c r="K66" s="6"/>
      <c r="L66" s="6"/>
      <c r="M66" s="6"/>
      <c r="N66" s="6"/>
      <c r="O66" s="6"/>
      <c r="P66" s="6"/>
      <c r="Q66" s="6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69" x14ac:dyDescent="0.25">
      <c r="A67" s="6">
        <v>21</v>
      </c>
      <c r="B67" s="6" t="s">
        <v>315</v>
      </c>
      <c r="C67" s="6" t="s">
        <v>316</v>
      </c>
      <c r="D67" s="6">
        <v>2</v>
      </c>
      <c r="E67" s="6" t="s">
        <v>491</v>
      </c>
      <c r="F67" s="6"/>
      <c r="G67" s="6" t="s">
        <v>490</v>
      </c>
      <c r="H67" s="6">
        <v>0</v>
      </c>
      <c r="I67" s="6"/>
      <c r="J67" s="6"/>
      <c r="K67" s="6"/>
      <c r="L67" s="6"/>
      <c r="M67" s="6"/>
      <c r="N67" s="6"/>
      <c r="O67" s="6"/>
      <c r="P67" s="6"/>
      <c r="Q67" s="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69" x14ac:dyDescent="0.25">
      <c r="A68" s="6">
        <v>21</v>
      </c>
      <c r="B68" s="6" t="s">
        <v>315</v>
      </c>
      <c r="C68" s="6" t="s">
        <v>316</v>
      </c>
      <c r="D68" s="6">
        <v>3</v>
      </c>
      <c r="E68" s="6" t="s">
        <v>493</v>
      </c>
      <c r="F68" s="6"/>
      <c r="G68" s="6" t="s">
        <v>490</v>
      </c>
      <c r="H68" s="6">
        <v>0</v>
      </c>
      <c r="I68" s="6"/>
      <c r="J68" s="6"/>
      <c r="K68" s="6"/>
      <c r="L68" s="6"/>
      <c r="M68" s="6"/>
      <c r="N68" s="6"/>
      <c r="O68" s="6"/>
      <c r="P68" s="6"/>
      <c r="Q68" s="6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69" x14ac:dyDescent="0.25">
      <c r="A69" s="7">
        <v>22</v>
      </c>
      <c r="B69" s="7" t="s">
        <v>317</v>
      </c>
      <c r="C69" s="7" t="s">
        <v>318</v>
      </c>
      <c r="D69" s="7">
        <v>1</v>
      </c>
      <c r="E69" s="7" t="s">
        <v>489</v>
      </c>
      <c r="F69" s="7"/>
      <c r="G69" s="7" t="s">
        <v>490</v>
      </c>
      <c r="H69" s="7">
        <v>0</v>
      </c>
      <c r="I69" s="7"/>
      <c r="J69" s="7"/>
      <c r="K69" s="7"/>
      <c r="L69" s="7"/>
      <c r="M69" s="7"/>
      <c r="N69" s="7"/>
      <c r="O69" s="7"/>
      <c r="P69" s="7"/>
      <c r="Q69" s="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69" x14ac:dyDescent="0.25">
      <c r="A70" s="7">
        <v>22</v>
      </c>
      <c r="B70" s="7" t="s">
        <v>317</v>
      </c>
      <c r="C70" s="7" t="s">
        <v>318</v>
      </c>
      <c r="D70" s="7">
        <v>2</v>
      </c>
      <c r="E70" s="7" t="s">
        <v>491</v>
      </c>
      <c r="F70" s="7"/>
      <c r="G70" s="7" t="s">
        <v>490</v>
      </c>
      <c r="H70" s="7">
        <v>0</v>
      </c>
      <c r="I70" s="7"/>
      <c r="J70" s="7"/>
      <c r="K70" s="7"/>
      <c r="L70" s="7"/>
      <c r="M70" s="7"/>
      <c r="N70" s="7"/>
      <c r="O70" s="7"/>
      <c r="P70" s="7"/>
      <c r="Q70" s="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69" x14ac:dyDescent="0.25">
      <c r="A71" s="7">
        <v>22</v>
      </c>
      <c r="B71" s="7" t="s">
        <v>317</v>
      </c>
      <c r="C71" s="7" t="s">
        <v>318</v>
      </c>
      <c r="D71" s="7">
        <v>3</v>
      </c>
      <c r="E71" s="7" t="s">
        <v>493</v>
      </c>
      <c r="F71" s="7"/>
      <c r="G71" s="7" t="s">
        <v>490</v>
      </c>
      <c r="H71" s="7">
        <v>0</v>
      </c>
      <c r="I71" s="7"/>
      <c r="J71" s="7"/>
      <c r="K71" s="7"/>
      <c r="L71" s="7"/>
      <c r="M71" s="7"/>
      <c r="N71" s="7"/>
      <c r="O71" s="7"/>
      <c r="P71" s="7"/>
      <c r="Q71" s="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69" x14ac:dyDescent="0.25">
      <c r="A72" s="6">
        <v>23</v>
      </c>
      <c r="B72" s="6" t="s">
        <v>319</v>
      </c>
      <c r="C72" s="6" t="s">
        <v>320</v>
      </c>
      <c r="D72" s="6">
        <v>1</v>
      </c>
      <c r="E72" s="6" t="s">
        <v>489</v>
      </c>
      <c r="F72" s="6"/>
      <c r="G72" s="6" t="s">
        <v>490</v>
      </c>
      <c r="H72" s="6">
        <v>0</v>
      </c>
      <c r="I72" s="6"/>
      <c r="J72" s="6"/>
      <c r="K72" s="6"/>
      <c r="L72" s="6"/>
      <c r="M72" s="6"/>
      <c r="N72" s="6"/>
      <c r="O72" s="6"/>
      <c r="P72" s="6"/>
      <c r="Q72" s="6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69" x14ac:dyDescent="0.25">
      <c r="A73" s="6">
        <v>23</v>
      </c>
      <c r="B73" s="6" t="s">
        <v>319</v>
      </c>
      <c r="C73" s="6" t="s">
        <v>320</v>
      </c>
      <c r="D73" s="6">
        <v>2</v>
      </c>
      <c r="E73" s="6" t="s">
        <v>491</v>
      </c>
      <c r="F73" s="6"/>
      <c r="G73" s="6" t="s">
        <v>490</v>
      </c>
      <c r="H73" s="6">
        <v>0</v>
      </c>
      <c r="I73" s="6"/>
      <c r="J73" s="6"/>
      <c r="K73" s="6"/>
      <c r="L73" s="6"/>
      <c r="M73" s="6"/>
      <c r="N73" s="6"/>
      <c r="O73" s="6"/>
      <c r="P73" s="6"/>
      <c r="Q73" s="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69" x14ac:dyDescent="0.25">
      <c r="A74" s="6">
        <v>23</v>
      </c>
      <c r="B74" s="6" t="s">
        <v>319</v>
      </c>
      <c r="C74" s="6" t="s">
        <v>320</v>
      </c>
      <c r="D74" s="6">
        <v>3</v>
      </c>
      <c r="E74" s="6" t="s">
        <v>493</v>
      </c>
      <c r="F74" s="6"/>
      <c r="G74" s="6" t="s">
        <v>490</v>
      </c>
      <c r="H74" s="6">
        <v>0</v>
      </c>
      <c r="I74" s="6"/>
      <c r="J74" s="6"/>
      <c r="K74" s="6"/>
      <c r="L74" s="6"/>
      <c r="M74" s="6"/>
      <c r="N74" s="6"/>
      <c r="O74" s="6"/>
      <c r="P74" s="6"/>
      <c r="Q74" s="6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69" x14ac:dyDescent="0.25">
      <c r="A75" s="6">
        <v>23</v>
      </c>
      <c r="B75" s="6" t="s">
        <v>319</v>
      </c>
      <c r="C75" s="6" t="s">
        <v>320</v>
      </c>
      <c r="D75" s="6">
        <v>4</v>
      </c>
      <c r="E75" s="6" t="s">
        <v>495</v>
      </c>
      <c r="F75" s="6"/>
      <c r="G75" s="6" t="s">
        <v>500</v>
      </c>
      <c r="H75" s="6">
        <v>0</v>
      </c>
      <c r="I75" s="6">
        <v>99999</v>
      </c>
      <c r="J75" s="6">
        <v>99999</v>
      </c>
      <c r="K75" s="6">
        <v>99999</v>
      </c>
      <c r="L75" s="6">
        <v>99999</v>
      </c>
      <c r="M75" s="6">
        <v>99999</v>
      </c>
      <c r="N75" s="6">
        <v>99999</v>
      </c>
      <c r="O75" s="6">
        <v>99999</v>
      </c>
      <c r="P75" s="6">
        <v>99999</v>
      </c>
      <c r="Q75" s="6">
        <v>99999</v>
      </c>
      <c r="R75" s="3">
        <v>99999</v>
      </c>
      <c r="S75" s="3">
        <v>99999</v>
      </c>
      <c r="T75" s="3">
        <v>99999</v>
      </c>
      <c r="U75" s="3">
        <v>99999</v>
      </c>
      <c r="V75" s="3">
        <v>99999</v>
      </c>
      <c r="W75" s="3">
        <v>99999</v>
      </c>
      <c r="X75" s="3">
        <v>99999</v>
      </c>
      <c r="Y75" s="3">
        <v>99999</v>
      </c>
      <c r="Z75" s="3">
        <v>99999</v>
      </c>
      <c r="AA75" s="3">
        <v>99999</v>
      </c>
      <c r="AB75" s="3">
        <v>99999</v>
      </c>
      <c r="AC75" s="3">
        <v>99999</v>
      </c>
      <c r="AD75" s="3">
        <v>99999</v>
      </c>
      <c r="AE75" s="3">
        <v>99999</v>
      </c>
      <c r="AF75" s="3">
        <v>99999</v>
      </c>
      <c r="AG75" s="3">
        <v>99999</v>
      </c>
      <c r="AH75" s="3">
        <v>99999</v>
      </c>
      <c r="AI75" s="3">
        <v>99999</v>
      </c>
      <c r="AJ75" s="3">
        <v>99999</v>
      </c>
      <c r="AK75" s="3">
        <v>99999</v>
      </c>
      <c r="AL75" s="3">
        <v>99999</v>
      </c>
      <c r="AM75" s="3">
        <v>99999</v>
      </c>
      <c r="AN75" s="3">
        <v>99999</v>
      </c>
      <c r="AO75" s="3">
        <v>99999</v>
      </c>
      <c r="AP75" s="3">
        <v>99999</v>
      </c>
      <c r="AQ75" s="3">
        <v>99999</v>
      </c>
      <c r="AR75" s="3">
        <v>99999</v>
      </c>
      <c r="AS75" s="3">
        <v>99999</v>
      </c>
      <c r="AT75" s="3">
        <v>99999</v>
      </c>
      <c r="AU75" s="3">
        <v>99999</v>
      </c>
      <c r="AV75" s="3">
        <v>99999</v>
      </c>
      <c r="AW75" s="3">
        <v>99999</v>
      </c>
      <c r="AX75" s="3">
        <v>99999</v>
      </c>
      <c r="AY75">
        <v>99999</v>
      </c>
      <c r="AZ75">
        <v>99999</v>
      </c>
      <c r="BA75">
        <v>99999</v>
      </c>
      <c r="BB75">
        <v>99999</v>
      </c>
      <c r="BC75">
        <v>99999</v>
      </c>
      <c r="BD75">
        <v>99999</v>
      </c>
      <c r="BE75">
        <v>99999</v>
      </c>
      <c r="BF75">
        <v>99999</v>
      </c>
      <c r="BG75">
        <v>99999</v>
      </c>
      <c r="BH75">
        <v>99999</v>
      </c>
      <c r="BI75">
        <v>99999</v>
      </c>
      <c r="BJ75">
        <v>99999</v>
      </c>
      <c r="BK75">
        <v>99999</v>
      </c>
      <c r="BL75">
        <v>99999</v>
      </c>
      <c r="BM75">
        <v>99999</v>
      </c>
      <c r="BN75">
        <v>99999</v>
      </c>
      <c r="BO75">
        <v>99999</v>
      </c>
      <c r="BP75">
        <v>99999</v>
      </c>
      <c r="BQ75">
        <v>99999</v>
      </c>
    </row>
    <row r="76" spans="1:69" x14ac:dyDescent="0.25">
      <c r="A76" s="7">
        <v>24</v>
      </c>
      <c r="B76" s="7" t="s">
        <v>321</v>
      </c>
      <c r="C76" s="7" t="s">
        <v>322</v>
      </c>
      <c r="D76" s="7">
        <v>1</v>
      </c>
      <c r="E76" s="7" t="s">
        <v>489</v>
      </c>
      <c r="F76" s="7"/>
      <c r="G76" s="7" t="s">
        <v>490</v>
      </c>
      <c r="H76" s="7">
        <v>0</v>
      </c>
      <c r="I76" s="7"/>
      <c r="J76" s="7"/>
      <c r="K76" s="7"/>
      <c r="L76" s="7"/>
      <c r="M76" s="7"/>
      <c r="N76" s="7"/>
      <c r="O76" s="7"/>
      <c r="P76" s="7"/>
      <c r="Q76" s="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69" x14ac:dyDescent="0.25">
      <c r="A77" s="7">
        <v>24</v>
      </c>
      <c r="B77" s="7" t="s">
        <v>321</v>
      </c>
      <c r="C77" s="7" t="s">
        <v>322</v>
      </c>
      <c r="D77" s="7">
        <v>2</v>
      </c>
      <c r="E77" s="7" t="s">
        <v>491</v>
      </c>
      <c r="F77" s="7"/>
      <c r="G77" s="7" t="s">
        <v>490</v>
      </c>
      <c r="H77" s="7">
        <v>0</v>
      </c>
      <c r="I77" s="7"/>
      <c r="J77" s="7"/>
      <c r="K77" s="7"/>
      <c r="L77" s="7"/>
      <c r="M77" s="7"/>
      <c r="N77" s="7"/>
      <c r="O77" s="7"/>
      <c r="P77" s="7"/>
      <c r="Q77" s="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69" x14ac:dyDescent="0.25">
      <c r="A78" s="7">
        <v>24</v>
      </c>
      <c r="B78" s="7" t="s">
        <v>321</v>
      </c>
      <c r="C78" s="7" t="s">
        <v>322</v>
      </c>
      <c r="D78" s="7">
        <v>3</v>
      </c>
      <c r="E78" s="7" t="s">
        <v>493</v>
      </c>
      <c r="F78" s="7"/>
      <c r="G78" s="7" t="s">
        <v>490</v>
      </c>
      <c r="H78" s="7">
        <v>0</v>
      </c>
      <c r="I78" s="7"/>
      <c r="J78" s="7"/>
      <c r="K78" s="7"/>
      <c r="L78" s="7"/>
      <c r="M78" s="7"/>
      <c r="N78" s="7"/>
      <c r="O78" s="7"/>
      <c r="P78" s="7"/>
      <c r="Q78" s="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69" x14ac:dyDescent="0.25">
      <c r="A79" s="6">
        <v>25</v>
      </c>
      <c r="B79" s="6" t="s">
        <v>323</v>
      </c>
      <c r="C79" s="6" t="s">
        <v>324</v>
      </c>
      <c r="D79" s="6">
        <v>1</v>
      </c>
      <c r="E79" s="6" t="s">
        <v>489</v>
      </c>
      <c r="F79" s="6"/>
      <c r="G79" s="6" t="s">
        <v>490</v>
      </c>
      <c r="H79" s="6">
        <v>0</v>
      </c>
      <c r="I79" s="6"/>
      <c r="J79" s="6"/>
      <c r="K79" s="6"/>
      <c r="L79" s="6"/>
      <c r="M79" s="6"/>
      <c r="N79" s="6"/>
      <c r="O79" s="6"/>
      <c r="P79" s="6"/>
      <c r="Q79" s="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69" x14ac:dyDescent="0.25">
      <c r="A80" s="6">
        <v>25</v>
      </c>
      <c r="B80" s="6" t="s">
        <v>323</v>
      </c>
      <c r="C80" s="6" t="s">
        <v>324</v>
      </c>
      <c r="D80" s="6">
        <v>2</v>
      </c>
      <c r="E80" s="6" t="s">
        <v>491</v>
      </c>
      <c r="F80" s="6"/>
      <c r="G80" s="6" t="s">
        <v>490</v>
      </c>
      <c r="H80" s="6">
        <v>0</v>
      </c>
      <c r="I80" s="6"/>
      <c r="J80" s="6"/>
      <c r="K80" s="6"/>
      <c r="L80" s="6"/>
      <c r="M80" s="6"/>
      <c r="N80" s="6"/>
      <c r="O80" s="6"/>
      <c r="P80" s="6"/>
      <c r="Q80" s="6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25">
      <c r="A81" s="6">
        <v>25</v>
      </c>
      <c r="B81" s="6" t="s">
        <v>323</v>
      </c>
      <c r="C81" s="6" t="s">
        <v>324</v>
      </c>
      <c r="D81" s="6">
        <v>3</v>
      </c>
      <c r="E81" s="6" t="s">
        <v>493</v>
      </c>
      <c r="F81" s="6"/>
      <c r="G81" s="6" t="s">
        <v>490</v>
      </c>
      <c r="H81" s="6">
        <v>0</v>
      </c>
      <c r="I81" s="6"/>
      <c r="J81" s="6"/>
      <c r="K81" s="6"/>
      <c r="L81" s="6"/>
      <c r="M81" s="6"/>
      <c r="N81" s="6"/>
      <c r="O81" s="6"/>
      <c r="P81" s="6"/>
      <c r="Q81" s="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25">
      <c r="A82" s="7">
        <v>26</v>
      </c>
      <c r="B82" s="7" t="s">
        <v>325</v>
      </c>
      <c r="C82" s="7" t="s">
        <v>326</v>
      </c>
      <c r="D82" s="7">
        <v>1</v>
      </c>
      <c r="E82" s="7" t="s">
        <v>489</v>
      </c>
      <c r="F82" s="7"/>
      <c r="G82" s="7" t="s">
        <v>490</v>
      </c>
      <c r="H82" s="7">
        <v>0</v>
      </c>
      <c r="I82" s="7"/>
      <c r="J82" s="7"/>
      <c r="K82" s="7"/>
      <c r="L82" s="7"/>
      <c r="M82" s="7"/>
      <c r="N82" s="7"/>
      <c r="O82" s="7"/>
      <c r="P82" s="7"/>
      <c r="Q82" s="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25">
      <c r="A83" s="7">
        <v>26</v>
      </c>
      <c r="B83" s="7" t="s">
        <v>325</v>
      </c>
      <c r="C83" s="7" t="s">
        <v>326</v>
      </c>
      <c r="D83" s="7">
        <v>2</v>
      </c>
      <c r="E83" s="7" t="s">
        <v>491</v>
      </c>
      <c r="F83" s="7"/>
      <c r="G83" s="7" t="s">
        <v>490</v>
      </c>
      <c r="H83" s="7">
        <v>0</v>
      </c>
      <c r="I83" s="7"/>
      <c r="J83" s="7"/>
      <c r="K83" s="7"/>
      <c r="L83" s="7"/>
      <c r="M83" s="7"/>
      <c r="N83" s="7"/>
      <c r="O83" s="7"/>
      <c r="P83" s="7"/>
      <c r="Q83" s="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25">
      <c r="A84" s="7">
        <v>26</v>
      </c>
      <c r="B84" s="7" t="s">
        <v>325</v>
      </c>
      <c r="C84" s="7" t="s">
        <v>326</v>
      </c>
      <c r="D84" s="7">
        <v>3</v>
      </c>
      <c r="E84" s="7" t="s">
        <v>493</v>
      </c>
      <c r="F84" s="7"/>
      <c r="G84" s="7" t="s">
        <v>490</v>
      </c>
      <c r="H84" s="7">
        <v>0</v>
      </c>
      <c r="I84" s="7"/>
      <c r="J84" s="7"/>
      <c r="K84" s="7"/>
      <c r="L84" s="7"/>
      <c r="M84" s="7"/>
      <c r="N84" s="7"/>
      <c r="O84" s="7"/>
      <c r="P84" s="7"/>
      <c r="Q84" s="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25">
      <c r="A85" s="6">
        <v>27</v>
      </c>
      <c r="B85" s="6" t="s">
        <v>327</v>
      </c>
      <c r="C85" s="6" t="s">
        <v>328</v>
      </c>
      <c r="D85" s="6">
        <v>1</v>
      </c>
      <c r="E85" s="6" t="s">
        <v>489</v>
      </c>
      <c r="F85" s="6"/>
      <c r="G85" s="6" t="s">
        <v>490</v>
      </c>
      <c r="H85" s="6">
        <v>0</v>
      </c>
      <c r="I85" s="6"/>
      <c r="J85" s="6"/>
      <c r="K85" s="6"/>
      <c r="L85" s="6"/>
      <c r="M85" s="6"/>
      <c r="N85" s="6"/>
      <c r="O85" s="6"/>
      <c r="P85" s="6"/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25">
      <c r="A86" s="6">
        <v>27</v>
      </c>
      <c r="B86" s="6" t="s">
        <v>327</v>
      </c>
      <c r="C86" s="6" t="s">
        <v>328</v>
      </c>
      <c r="D86" s="6">
        <v>2</v>
      </c>
      <c r="E86" s="6" t="s">
        <v>491</v>
      </c>
      <c r="F86" s="6"/>
      <c r="G86" s="6" t="s">
        <v>490</v>
      </c>
      <c r="H86" s="6">
        <v>0</v>
      </c>
      <c r="I86" s="6"/>
      <c r="J86" s="6"/>
      <c r="K86" s="6"/>
      <c r="L86" s="6"/>
      <c r="M86" s="6"/>
      <c r="N86" s="6"/>
      <c r="O86" s="6"/>
      <c r="P86" s="6"/>
      <c r="Q86" s="6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x14ac:dyDescent="0.25">
      <c r="A87" s="6">
        <v>27</v>
      </c>
      <c r="B87" s="6" t="s">
        <v>327</v>
      </c>
      <c r="C87" s="6" t="s">
        <v>328</v>
      </c>
      <c r="D87" s="6">
        <v>3</v>
      </c>
      <c r="E87" s="6" t="s">
        <v>493</v>
      </c>
      <c r="F87" s="6"/>
      <c r="G87" s="6" t="s">
        <v>490</v>
      </c>
      <c r="H87" s="6">
        <v>0</v>
      </c>
      <c r="I87" s="6"/>
      <c r="J87" s="6"/>
      <c r="K87" s="6"/>
      <c r="L87" s="6"/>
      <c r="M87" s="6"/>
      <c r="N87" s="6"/>
      <c r="O87" s="6"/>
      <c r="P87" s="6"/>
      <c r="Q87" s="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BS331"/>
  <sheetViews>
    <sheetView topLeftCell="D1" zoomScale="70" zoomScaleNormal="70" workbookViewId="0">
      <pane ySplit="1" topLeftCell="A112" activePane="bottomLeft" state="frozen"/>
      <selection pane="bottomLeft" activeCell="G342" sqref="G342"/>
    </sheetView>
  </sheetViews>
  <sheetFormatPr baseColWidth="10" defaultColWidth="8.85546875" defaultRowHeight="15" x14ac:dyDescent="0.25"/>
  <cols>
    <col min="1" max="1" width="9.85546875" bestFit="1" customWidth="1"/>
    <col min="2" max="2" width="21.140625" bestFit="1" customWidth="1"/>
    <col min="3" max="3" width="34.7109375" customWidth="1"/>
    <col min="4" max="4" width="15.7109375" bestFit="1" customWidth="1"/>
    <col min="5" max="5" width="39.5703125" customWidth="1"/>
    <col min="6" max="6" width="18.42578125" customWidth="1"/>
    <col min="7" max="7" width="14.85546875" customWidth="1"/>
    <col min="8" max="8" width="19.28515625" customWidth="1"/>
    <col min="9" max="17" width="24.7109375" customWidth="1"/>
    <col min="18" max="18" width="11.85546875" style="42" customWidth="1"/>
    <col min="19" max="19" width="13.42578125" bestFit="1" customWidth="1"/>
    <col min="20" max="20" width="11.5703125" customWidth="1"/>
    <col min="21" max="40" width="13.42578125" bestFit="1" customWidth="1"/>
    <col min="41" max="70" width="11.28515625" bestFit="1" customWidth="1"/>
  </cols>
  <sheetData>
    <row r="1" spans="1:71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503</v>
      </c>
      <c r="G1" s="1" t="s">
        <v>7</v>
      </c>
      <c r="H1" s="1" t="s">
        <v>487</v>
      </c>
      <c r="I1" s="1" t="s">
        <v>488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  <c r="AJ1" s="1">
        <v>2036</v>
      </c>
      <c r="AK1" s="1">
        <v>2037</v>
      </c>
      <c r="AL1" s="1">
        <v>2038</v>
      </c>
      <c r="AM1" s="1">
        <v>2039</v>
      </c>
      <c r="AN1" s="1">
        <v>2040</v>
      </c>
      <c r="AO1" s="1">
        <v>2041</v>
      </c>
      <c r="AP1" s="1">
        <v>2042</v>
      </c>
      <c r="AQ1" s="1">
        <v>2043</v>
      </c>
      <c r="AR1" s="1">
        <v>2044</v>
      </c>
      <c r="AS1" s="1">
        <v>2045</v>
      </c>
      <c r="AT1" s="1">
        <v>2046</v>
      </c>
      <c r="AU1" s="1">
        <v>2047</v>
      </c>
      <c r="AV1" s="1">
        <v>2048</v>
      </c>
      <c r="AW1" s="1">
        <v>2049</v>
      </c>
      <c r="AX1" s="1">
        <v>2050</v>
      </c>
      <c r="AY1" s="1">
        <v>2051</v>
      </c>
      <c r="AZ1" s="5">
        <v>2052</v>
      </c>
      <c r="BA1" s="1">
        <v>2053</v>
      </c>
      <c r="BB1" s="1">
        <v>2054</v>
      </c>
      <c r="BC1" s="1">
        <v>2055</v>
      </c>
      <c r="BD1" s="1">
        <v>2056</v>
      </c>
      <c r="BE1" s="1">
        <v>2057</v>
      </c>
      <c r="BF1" s="1">
        <v>2058</v>
      </c>
      <c r="BG1" s="1">
        <v>2059</v>
      </c>
      <c r="BH1" s="1">
        <v>2060</v>
      </c>
      <c r="BI1" s="1">
        <v>2061</v>
      </c>
      <c r="BJ1" s="1">
        <v>2062</v>
      </c>
      <c r="BK1" s="1">
        <v>2063</v>
      </c>
      <c r="BL1" s="1">
        <v>2064</v>
      </c>
      <c r="BM1" s="1">
        <v>2065</v>
      </c>
      <c r="BN1" s="1">
        <v>2066</v>
      </c>
      <c r="BO1" s="1">
        <v>2067</v>
      </c>
      <c r="BP1" s="1">
        <v>2068</v>
      </c>
      <c r="BQ1" s="1">
        <v>2069</v>
      </c>
      <c r="BR1" s="1">
        <v>2070</v>
      </c>
      <c r="BS1" s="1"/>
    </row>
    <row r="2" spans="1:71" hidden="1" x14ac:dyDescent="0.25">
      <c r="A2" s="6">
        <v>1</v>
      </c>
      <c r="B2" s="6" t="s">
        <v>330</v>
      </c>
      <c r="C2" s="6" t="s">
        <v>331</v>
      </c>
      <c r="D2" s="6">
        <v>1</v>
      </c>
      <c r="E2" s="6" t="s">
        <v>489</v>
      </c>
      <c r="F2" s="6" t="s">
        <v>504</v>
      </c>
      <c r="G2" s="6" t="s">
        <v>505</v>
      </c>
      <c r="H2" s="6" t="s">
        <v>500</v>
      </c>
      <c r="I2" s="6">
        <v>0</v>
      </c>
      <c r="J2" s="40">
        <v>71400</v>
      </c>
      <c r="K2" s="40">
        <v>71400</v>
      </c>
      <c r="L2" s="40">
        <v>71400</v>
      </c>
      <c r="M2" s="40">
        <v>71400</v>
      </c>
      <c r="N2" s="40">
        <v>71400</v>
      </c>
      <c r="O2" s="40">
        <v>71400</v>
      </c>
      <c r="P2" s="40">
        <v>71400</v>
      </c>
      <c r="Q2" s="40">
        <v>71400</v>
      </c>
      <c r="R2" s="40">
        <v>71400</v>
      </c>
      <c r="S2" s="8">
        <v>71046.25</v>
      </c>
      <c r="T2" s="3">
        <v>70692.5</v>
      </c>
      <c r="U2" s="3">
        <v>70338.75</v>
      </c>
      <c r="V2" s="3">
        <v>69985</v>
      </c>
      <c r="W2" s="3">
        <v>69631.25</v>
      </c>
      <c r="X2" s="3">
        <v>69277.5</v>
      </c>
      <c r="Y2" s="3">
        <v>68923.75</v>
      </c>
      <c r="Z2" s="3">
        <v>68570</v>
      </c>
      <c r="AA2" s="3">
        <v>68216.25</v>
      </c>
      <c r="AB2" s="3">
        <v>67862.5</v>
      </c>
      <c r="AC2" s="3">
        <v>67508.75</v>
      </c>
      <c r="AD2" s="3">
        <v>67155</v>
      </c>
      <c r="AE2" s="3">
        <v>66605.25</v>
      </c>
      <c r="AF2" s="3">
        <v>66055.5</v>
      </c>
      <c r="AG2" s="3">
        <v>65505.75</v>
      </c>
      <c r="AH2" s="3">
        <v>64956</v>
      </c>
      <c r="AI2" s="3">
        <v>64406.25</v>
      </c>
      <c r="AJ2" s="3">
        <v>63856.5</v>
      </c>
      <c r="AK2" s="3">
        <v>63306.75</v>
      </c>
      <c r="AL2" s="3">
        <v>62757</v>
      </c>
      <c r="AM2" s="3">
        <v>62207.25</v>
      </c>
      <c r="AN2" s="3">
        <v>61657.5</v>
      </c>
      <c r="AO2" s="3">
        <v>61107.75</v>
      </c>
      <c r="AP2" s="3">
        <v>60558</v>
      </c>
      <c r="AQ2" s="3">
        <v>60008.25</v>
      </c>
      <c r="AR2" s="3">
        <v>59458.5</v>
      </c>
      <c r="AS2" s="3">
        <v>58908.75</v>
      </c>
      <c r="AT2" s="3">
        <v>58359</v>
      </c>
      <c r="AU2" s="3">
        <v>57809.25</v>
      </c>
      <c r="AV2" s="3">
        <v>57259.5</v>
      </c>
      <c r="AW2" s="3">
        <v>56709.75</v>
      </c>
      <c r="AX2" s="3">
        <v>56160</v>
      </c>
      <c r="AY2" s="3">
        <f t="shared" ref="AY2:BR2" si="0">AX2</f>
        <v>56160</v>
      </c>
      <c r="AZ2" s="3">
        <f t="shared" si="0"/>
        <v>56160</v>
      </c>
      <c r="BA2" s="3">
        <f t="shared" si="0"/>
        <v>56160</v>
      </c>
      <c r="BB2" s="3">
        <f t="shared" si="0"/>
        <v>56160</v>
      </c>
      <c r="BC2" s="3">
        <f t="shared" si="0"/>
        <v>56160</v>
      </c>
      <c r="BD2" s="3">
        <f t="shared" si="0"/>
        <v>56160</v>
      </c>
      <c r="BE2" s="3">
        <f t="shared" si="0"/>
        <v>56160</v>
      </c>
      <c r="BF2" s="3">
        <f t="shared" si="0"/>
        <v>56160</v>
      </c>
      <c r="BG2" s="3">
        <f t="shared" si="0"/>
        <v>56160</v>
      </c>
      <c r="BH2" s="3">
        <f t="shared" si="0"/>
        <v>56160</v>
      </c>
      <c r="BI2" s="3">
        <f t="shared" si="0"/>
        <v>56160</v>
      </c>
      <c r="BJ2" s="3">
        <f t="shared" si="0"/>
        <v>56160</v>
      </c>
      <c r="BK2" s="3">
        <f t="shared" si="0"/>
        <v>56160</v>
      </c>
      <c r="BL2" s="3">
        <f t="shared" si="0"/>
        <v>56160</v>
      </c>
      <c r="BM2" s="3">
        <f t="shared" si="0"/>
        <v>56160</v>
      </c>
      <c r="BN2" s="3">
        <f t="shared" si="0"/>
        <v>56160</v>
      </c>
      <c r="BO2" s="3">
        <f t="shared" si="0"/>
        <v>56160</v>
      </c>
      <c r="BP2" s="3">
        <f t="shared" si="0"/>
        <v>56160</v>
      </c>
      <c r="BQ2" s="3">
        <f t="shared" si="0"/>
        <v>56160</v>
      </c>
      <c r="BR2" s="3">
        <f t="shared" si="0"/>
        <v>56160</v>
      </c>
    </row>
    <row r="3" spans="1:71" hidden="1" x14ac:dyDescent="0.25">
      <c r="A3" s="6">
        <v>1</v>
      </c>
      <c r="B3" s="6" t="s">
        <v>330</v>
      </c>
      <c r="C3" s="6" t="s">
        <v>331</v>
      </c>
      <c r="D3" s="6">
        <v>2</v>
      </c>
      <c r="E3" s="6" t="s">
        <v>491</v>
      </c>
      <c r="F3" s="6" t="s">
        <v>553</v>
      </c>
      <c r="G3" s="6" t="s">
        <v>505</v>
      </c>
      <c r="H3" s="6" t="s">
        <v>501</v>
      </c>
      <c r="I3" s="6">
        <v>0</v>
      </c>
      <c r="J3" s="6">
        <v>98</v>
      </c>
      <c r="K3" s="6"/>
      <c r="L3" s="6"/>
      <c r="M3" s="6"/>
      <c r="N3" s="6"/>
      <c r="O3" s="6"/>
      <c r="P3" s="6"/>
      <c r="Q3" s="6"/>
      <c r="R3" s="6"/>
      <c r="S3" s="6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1" hidden="1" x14ac:dyDescent="0.25">
      <c r="A4" s="6">
        <v>1</v>
      </c>
      <c r="B4" s="6" t="s">
        <v>330</v>
      </c>
      <c r="C4" s="6" t="s">
        <v>331</v>
      </c>
      <c r="D4" s="6">
        <v>3</v>
      </c>
      <c r="E4" s="6" t="s">
        <v>493</v>
      </c>
      <c r="F4" s="6" t="s">
        <v>506</v>
      </c>
      <c r="G4" s="6" t="s">
        <v>507</v>
      </c>
      <c r="H4" s="6" t="s">
        <v>500</v>
      </c>
      <c r="I4" s="6">
        <v>0</v>
      </c>
      <c r="J4" s="9">
        <v>3</v>
      </c>
      <c r="K4" s="9">
        <v>3</v>
      </c>
      <c r="L4" s="9">
        <v>3</v>
      </c>
      <c r="M4" s="9">
        <v>3</v>
      </c>
      <c r="N4" s="9">
        <v>3</v>
      </c>
      <c r="O4" s="9">
        <v>3</v>
      </c>
      <c r="P4" s="9">
        <v>3</v>
      </c>
      <c r="Q4" s="9">
        <v>3</v>
      </c>
      <c r="R4" s="9">
        <v>3</v>
      </c>
      <c r="S4" s="14">
        <v>3</v>
      </c>
      <c r="T4" s="10">
        <v>2</v>
      </c>
      <c r="U4" s="10">
        <f t="shared" ref="U4:AN4" si="1">T4-$T4/20</f>
        <v>1.9</v>
      </c>
      <c r="V4" s="10">
        <f t="shared" si="1"/>
        <v>1.7999999999999998</v>
      </c>
      <c r="W4" s="10">
        <f t="shared" si="1"/>
        <v>1.6999999999999997</v>
      </c>
      <c r="X4" s="10">
        <f t="shared" si="1"/>
        <v>1.5999999999999996</v>
      </c>
      <c r="Y4" s="10">
        <f t="shared" si="1"/>
        <v>1.4999999999999996</v>
      </c>
      <c r="Z4" s="10">
        <f t="shared" si="1"/>
        <v>1.3999999999999995</v>
      </c>
      <c r="AA4" s="10">
        <f t="shared" si="1"/>
        <v>1.2999999999999994</v>
      </c>
      <c r="AB4" s="10">
        <f t="shared" si="1"/>
        <v>1.1999999999999993</v>
      </c>
      <c r="AC4" s="10">
        <f t="shared" si="1"/>
        <v>1.0999999999999992</v>
      </c>
      <c r="AD4" s="10">
        <f t="shared" si="1"/>
        <v>0.99999999999999922</v>
      </c>
      <c r="AE4" s="10">
        <f t="shared" si="1"/>
        <v>0.89999999999999925</v>
      </c>
      <c r="AF4" s="10">
        <f t="shared" si="1"/>
        <v>0.79999999999999927</v>
      </c>
      <c r="AG4" s="10">
        <f t="shared" si="1"/>
        <v>0.69999999999999929</v>
      </c>
      <c r="AH4" s="10">
        <f t="shared" si="1"/>
        <v>0.59999999999999931</v>
      </c>
      <c r="AI4" s="10">
        <f t="shared" si="1"/>
        <v>0.49999999999999933</v>
      </c>
      <c r="AJ4" s="10">
        <f t="shared" si="1"/>
        <v>0.39999999999999936</v>
      </c>
      <c r="AK4" s="10">
        <f t="shared" si="1"/>
        <v>0.29999999999999938</v>
      </c>
      <c r="AL4" s="10">
        <f t="shared" si="1"/>
        <v>0.19999999999999937</v>
      </c>
      <c r="AM4" s="10">
        <f t="shared" si="1"/>
        <v>9.9999999999999367E-2</v>
      </c>
      <c r="AN4" s="10">
        <f t="shared" si="1"/>
        <v>-6.3837823915946501E-16</v>
      </c>
      <c r="AO4" s="10">
        <v>-6.3837823915946501E-16</v>
      </c>
      <c r="AP4" s="10">
        <v>-6.3837823915946501E-16</v>
      </c>
      <c r="AQ4" s="10">
        <v>-6.3837823915946501E-16</v>
      </c>
      <c r="AR4" s="10">
        <v>-6.3837823915946501E-16</v>
      </c>
      <c r="AS4" s="10">
        <v>-6.3837823915946501E-16</v>
      </c>
      <c r="AT4" s="10">
        <v>-6.3837823915946501E-16</v>
      </c>
      <c r="AU4" s="10">
        <v>-6.3837823915946501E-16</v>
      </c>
      <c r="AV4" s="10">
        <v>-6.3837823915946501E-16</v>
      </c>
      <c r="AW4" s="10">
        <v>-6.3837823915946501E-16</v>
      </c>
      <c r="AX4" s="10">
        <v>-6.3837823915946501E-16</v>
      </c>
      <c r="AY4" s="10">
        <v>-6.3837823915946501E-16</v>
      </c>
      <c r="AZ4" s="10">
        <v>-6.3837823915946501E-16</v>
      </c>
      <c r="BA4" s="10">
        <v>-6.3837823915946501E-16</v>
      </c>
      <c r="BB4" s="10">
        <v>-6.3837823915946501E-16</v>
      </c>
      <c r="BC4" s="10">
        <v>-6.3837823915946501E-16</v>
      </c>
      <c r="BD4" s="10">
        <v>-6.3837823915946501E-16</v>
      </c>
      <c r="BE4" s="10">
        <v>-6.3837823915946501E-16</v>
      </c>
      <c r="BF4" s="10">
        <v>-6.3837823915946501E-16</v>
      </c>
      <c r="BG4" s="10">
        <v>-6.3837823915946501E-16</v>
      </c>
      <c r="BH4" s="10">
        <v>-6.3837823915946501E-16</v>
      </c>
      <c r="BI4" s="10">
        <v>-6.3837823915946501E-16</v>
      </c>
      <c r="BJ4" s="10">
        <v>-6.3837823915946501E-16</v>
      </c>
      <c r="BK4" s="10">
        <v>-6.3837823915946501E-16</v>
      </c>
      <c r="BL4" s="10">
        <v>-6.3837823915946501E-16</v>
      </c>
      <c r="BM4" s="10">
        <v>-6.3837823915946501E-16</v>
      </c>
      <c r="BN4" s="10">
        <v>-6.3837823915946501E-16</v>
      </c>
      <c r="BO4" s="10">
        <v>-6.3837823915946501E-16</v>
      </c>
      <c r="BP4" s="10">
        <v>-6.3837823915946501E-16</v>
      </c>
      <c r="BQ4" s="10">
        <v>-6.3837823915946501E-16</v>
      </c>
      <c r="BR4" s="10">
        <v>-6.3837823915946501E-16</v>
      </c>
    </row>
    <row r="5" spans="1:71" hidden="1" x14ac:dyDescent="0.25">
      <c r="A5" s="6">
        <v>1</v>
      </c>
      <c r="B5" s="6" t="s">
        <v>330</v>
      </c>
      <c r="C5" s="6" t="s">
        <v>331</v>
      </c>
      <c r="D5" s="6">
        <v>4</v>
      </c>
      <c r="E5" s="6" t="s">
        <v>494</v>
      </c>
      <c r="F5" s="6"/>
      <c r="G5" s="6"/>
      <c r="H5" s="6"/>
      <c r="I5" s="6">
        <v>0</v>
      </c>
      <c r="J5" s="6"/>
      <c r="K5" s="6"/>
      <c r="L5" s="6"/>
      <c r="M5" s="6"/>
      <c r="N5" s="6"/>
      <c r="O5" s="6"/>
      <c r="P5" s="6"/>
      <c r="Q5" s="6"/>
      <c r="R5" s="6"/>
      <c r="S5" s="6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1" hidden="1" x14ac:dyDescent="0.25">
      <c r="A6" s="6">
        <v>1</v>
      </c>
      <c r="B6" s="6" t="s">
        <v>330</v>
      </c>
      <c r="C6" s="6" t="s">
        <v>331</v>
      </c>
      <c r="D6" s="6">
        <v>5</v>
      </c>
      <c r="E6" s="6" t="s">
        <v>496</v>
      </c>
      <c r="F6" s="6"/>
      <c r="G6" s="6"/>
      <c r="H6" s="6"/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</row>
    <row r="7" spans="1:71" hidden="1" x14ac:dyDescent="0.25">
      <c r="A7" s="7">
        <v>2</v>
      </c>
      <c r="B7" s="7" t="s">
        <v>537</v>
      </c>
      <c r="C7" s="7" t="s">
        <v>538</v>
      </c>
      <c r="D7" s="7">
        <v>1</v>
      </c>
      <c r="E7" s="7" t="s">
        <v>489</v>
      </c>
      <c r="F7" s="7" t="s">
        <v>504</v>
      </c>
      <c r="G7" s="7" t="s">
        <v>505</v>
      </c>
      <c r="H7" s="7" t="s">
        <v>500</v>
      </c>
      <c r="I7" s="7">
        <v>0</v>
      </c>
      <c r="J7" s="41">
        <v>39639.639639639638</v>
      </c>
      <c r="K7" s="41">
        <v>39639.639639639638</v>
      </c>
      <c r="L7" s="41">
        <v>39639.639639639638</v>
      </c>
      <c r="M7" s="41">
        <v>39639.639639639638</v>
      </c>
      <c r="N7" s="41">
        <v>39639.639639639638</v>
      </c>
      <c r="O7" s="41">
        <v>39639.639639639638</v>
      </c>
      <c r="P7" s="41">
        <v>39639.639639639638</v>
      </c>
      <c r="Q7" s="41">
        <v>39639.639639639638</v>
      </c>
      <c r="R7" s="41">
        <v>39639.639639639638</v>
      </c>
      <c r="S7" s="11">
        <v>40069.069069069068</v>
      </c>
      <c r="T7" s="3">
        <v>40498.498498498506</v>
      </c>
      <c r="U7" s="3">
        <v>40927.927927927929</v>
      </c>
      <c r="V7" s="3">
        <v>41357.357357357367</v>
      </c>
      <c r="W7" s="3">
        <v>41786.78678678679</v>
      </c>
      <c r="X7" s="3">
        <v>42216.216216216228</v>
      </c>
      <c r="Y7" s="3">
        <v>42645.645645645658</v>
      </c>
      <c r="Z7" s="3">
        <v>43075.075075075089</v>
      </c>
      <c r="AA7" s="3">
        <v>43504.504504504519</v>
      </c>
      <c r="AB7" s="3">
        <v>43933.933933933949</v>
      </c>
      <c r="AC7" s="3">
        <v>44363.36336336338</v>
      </c>
      <c r="AD7" s="3">
        <v>44792.792792792789</v>
      </c>
      <c r="AE7" s="3">
        <v>44938.369369369364</v>
      </c>
      <c r="AF7" s="3">
        <v>45083.945945945939</v>
      </c>
      <c r="AG7" s="3">
        <v>45229.522522522522</v>
      </c>
      <c r="AH7" s="3">
        <v>45375.099099099105</v>
      </c>
      <c r="AI7" s="3">
        <v>45520.67567567568</v>
      </c>
      <c r="AJ7" s="3">
        <v>45666.252252252256</v>
      </c>
      <c r="AK7" s="3">
        <v>45811.828828828839</v>
      </c>
      <c r="AL7" s="3">
        <v>45957.405405405414</v>
      </c>
      <c r="AM7" s="3">
        <v>46102.981981981997</v>
      </c>
      <c r="AN7" s="3">
        <v>46248.558558558572</v>
      </c>
      <c r="AO7" s="3">
        <v>46394.135135135148</v>
      </c>
      <c r="AP7" s="3">
        <v>46539.71171171173</v>
      </c>
      <c r="AQ7" s="3">
        <v>46685.288288288306</v>
      </c>
      <c r="AR7" s="3">
        <v>46830.864864864889</v>
      </c>
      <c r="AS7" s="3">
        <v>46976.441441441471</v>
      </c>
      <c r="AT7" s="3">
        <v>47122.01801801804</v>
      </c>
      <c r="AU7" s="3">
        <v>47267.594594594615</v>
      </c>
      <c r="AV7" s="3">
        <v>47413.171171171198</v>
      </c>
      <c r="AW7" s="3">
        <v>47558.747747747773</v>
      </c>
      <c r="AX7" s="3">
        <v>47704.324324324312</v>
      </c>
      <c r="AY7" s="3">
        <f t="shared" ref="AY7:BR7" si="2">AX7</f>
        <v>47704.324324324312</v>
      </c>
      <c r="AZ7" s="3">
        <f t="shared" si="2"/>
        <v>47704.324324324312</v>
      </c>
      <c r="BA7" s="3">
        <f t="shared" si="2"/>
        <v>47704.324324324312</v>
      </c>
      <c r="BB7" s="3">
        <f t="shared" si="2"/>
        <v>47704.324324324312</v>
      </c>
      <c r="BC7" s="3">
        <f t="shared" si="2"/>
        <v>47704.324324324312</v>
      </c>
      <c r="BD7" s="3">
        <f t="shared" si="2"/>
        <v>47704.324324324312</v>
      </c>
      <c r="BE7" s="3">
        <f t="shared" si="2"/>
        <v>47704.324324324312</v>
      </c>
      <c r="BF7" s="3">
        <f t="shared" si="2"/>
        <v>47704.324324324312</v>
      </c>
      <c r="BG7" s="3">
        <f t="shared" si="2"/>
        <v>47704.324324324312</v>
      </c>
      <c r="BH7" s="3">
        <f t="shared" si="2"/>
        <v>47704.324324324312</v>
      </c>
      <c r="BI7" s="3">
        <f t="shared" si="2"/>
        <v>47704.324324324312</v>
      </c>
      <c r="BJ7" s="3">
        <f t="shared" si="2"/>
        <v>47704.324324324312</v>
      </c>
      <c r="BK7" s="3">
        <f t="shared" si="2"/>
        <v>47704.324324324312</v>
      </c>
      <c r="BL7" s="3">
        <f t="shared" si="2"/>
        <v>47704.324324324312</v>
      </c>
      <c r="BM7" s="3">
        <f t="shared" si="2"/>
        <v>47704.324324324312</v>
      </c>
      <c r="BN7" s="3">
        <f t="shared" si="2"/>
        <v>47704.324324324312</v>
      </c>
      <c r="BO7" s="3">
        <f t="shared" si="2"/>
        <v>47704.324324324312</v>
      </c>
      <c r="BP7" s="3">
        <f t="shared" si="2"/>
        <v>47704.324324324312</v>
      </c>
      <c r="BQ7" s="3">
        <f t="shared" si="2"/>
        <v>47704.324324324312</v>
      </c>
      <c r="BR7" s="3">
        <f t="shared" si="2"/>
        <v>47704.324324324312</v>
      </c>
    </row>
    <row r="8" spans="1:71" hidden="1" x14ac:dyDescent="0.25">
      <c r="A8" s="7">
        <v>2</v>
      </c>
      <c r="B8" s="7" t="s">
        <v>537</v>
      </c>
      <c r="C8" s="7" t="s">
        <v>538</v>
      </c>
      <c r="D8" s="7">
        <v>2</v>
      </c>
      <c r="E8" s="7" t="s">
        <v>491</v>
      </c>
      <c r="F8" s="7" t="s">
        <v>553</v>
      </c>
      <c r="G8" s="7" t="s">
        <v>505</v>
      </c>
      <c r="H8" s="7" t="s">
        <v>501</v>
      </c>
      <c r="I8" s="7">
        <v>0</v>
      </c>
      <c r="J8" s="7">
        <v>95</v>
      </c>
      <c r="K8" s="7"/>
      <c r="L8" s="7"/>
      <c r="M8" s="7"/>
      <c r="N8" s="7"/>
      <c r="O8" s="7"/>
      <c r="P8" s="7"/>
      <c r="Q8" s="7"/>
      <c r="R8" s="7"/>
      <c r="S8" s="7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1" hidden="1" x14ac:dyDescent="0.25">
      <c r="A9" s="7">
        <v>2</v>
      </c>
      <c r="B9" s="7" t="s">
        <v>537</v>
      </c>
      <c r="C9" s="7" t="s">
        <v>538</v>
      </c>
      <c r="D9" s="7">
        <v>3</v>
      </c>
      <c r="E9" s="7" t="s">
        <v>493</v>
      </c>
      <c r="F9" s="7" t="s">
        <v>506</v>
      </c>
      <c r="G9" s="7" t="s">
        <v>507</v>
      </c>
      <c r="H9" s="7" t="s">
        <v>500</v>
      </c>
      <c r="I9" s="7">
        <v>0</v>
      </c>
      <c r="J9" s="12">
        <v>29717</v>
      </c>
      <c r="K9" s="12">
        <v>29717</v>
      </c>
      <c r="L9" s="12">
        <v>29717</v>
      </c>
      <c r="M9" s="12">
        <v>29717</v>
      </c>
      <c r="N9" s="12">
        <v>29717</v>
      </c>
      <c r="O9" s="12">
        <v>29717</v>
      </c>
      <c r="P9" s="12">
        <v>29717</v>
      </c>
      <c r="Q9" s="12">
        <v>29717</v>
      </c>
      <c r="R9" s="12">
        <v>29717</v>
      </c>
      <c r="S9" s="12">
        <v>24606</v>
      </c>
      <c r="T9" s="10">
        <v>23228</v>
      </c>
      <c r="U9" s="10">
        <f t="shared" ref="U9:AN9" si="3">T9-$T9/20</f>
        <v>22066.6</v>
      </c>
      <c r="V9" s="10">
        <f t="shared" si="3"/>
        <v>20905.199999999997</v>
      </c>
      <c r="W9" s="10">
        <f t="shared" si="3"/>
        <v>19743.799999999996</v>
      </c>
      <c r="X9" s="10">
        <f t="shared" si="3"/>
        <v>18582.399999999994</v>
      </c>
      <c r="Y9" s="10">
        <f t="shared" si="3"/>
        <v>17420.999999999993</v>
      </c>
      <c r="Z9" s="10">
        <f t="shared" si="3"/>
        <v>16259.599999999993</v>
      </c>
      <c r="AA9" s="10">
        <f t="shared" si="3"/>
        <v>15098.199999999993</v>
      </c>
      <c r="AB9" s="10">
        <f t="shared" si="3"/>
        <v>13936.799999999994</v>
      </c>
      <c r="AC9" s="10">
        <f t="shared" si="3"/>
        <v>12775.399999999994</v>
      </c>
      <c r="AD9" s="10">
        <f t="shared" si="3"/>
        <v>11613.999999999995</v>
      </c>
      <c r="AE9" s="10">
        <f t="shared" si="3"/>
        <v>10452.599999999995</v>
      </c>
      <c r="AF9" s="10">
        <f t="shared" si="3"/>
        <v>9291.1999999999953</v>
      </c>
      <c r="AG9" s="10">
        <f t="shared" si="3"/>
        <v>8129.7999999999956</v>
      </c>
      <c r="AH9" s="10">
        <f t="shared" si="3"/>
        <v>6968.399999999996</v>
      </c>
      <c r="AI9" s="10">
        <f t="shared" si="3"/>
        <v>5806.9999999999964</v>
      </c>
      <c r="AJ9" s="10">
        <f t="shared" si="3"/>
        <v>4645.5999999999967</v>
      </c>
      <c r="AK9" s="10">
        <f t="shared" si="3"/>
        <v>3484.1999999999966</v>
      </c>
      <c r="AL9" s="10">
        <f t="shared" si="3"/>
        <v>2322.7999999999965</v>
      </c>
      <c r="AM9" s="10">
        <f t="shared" si="3"/>
        <v>1161.3999999999965</v>
      </c>
      <c r="AN9" s="10">
        <f t="shared" si="3"/>
        <v>-3.637978807091713E-12</v>
      </c>
      <c r="AO9" s="10">
        <v>-3.637978807091713E-12</v>
      </c>
      <c r="AP9" s="10">
        <v>-3.637978807091713E-12</v>
      </c>
      <c r="AQ9" s="10">
        <v>-3.637978807091713E-12</v>
      </c>
      <c r="AR9" s="10">
        <v>-3.637978807091713E-12</v>
      </c>
      <c r="AS9" s="10">
        <v>-3.637978807091713E-12</v>
      </c>
      <c r="AT9" s="10">
        <v>-3.637978807091713E-12</v>
      </c>
      <c r="AU9" s="10">
        <v>-3.637978807091713E-12</v>
      </c>
      <c r="AV9" s="10">
        <v>-3.637978807091713E-12</v>
      </c>
      <c r="AW9" s="10">
        <v>-3.637978807091713E-12</v>
      </c>
      <c r="AX9" s="10">
        <v>-3.637978807091713E-12</v>
      </c>
      <c r="AY9" s="10">
        <v>-3.637978807091713E-12</v>
      </c>
      <c r="AZ9" s="10">
        <v>-3.637978807091713E-12</v>
      </c>
      <c r="BA9" s="10">
        <v>-3.637978807091713E-12</v>
      </c>
      <c r="BB9" s="10">
        <v>-3.637978807091713E-12</v>
      </c>
      <c r="BC9" s="10">
        <v>-3.637978807091713E-12</v>
      </c>
      <c r="BD9" s="10">
        <v>-3.637978807091713E-12</v>
      </c>
      <c r="BE9" s="10">
        <v>-3.637978807091713E-12</v>
      </c>
      <c r="BF9" s="10">
        <v>-3.637978807091713E-12</v>
      </c>
      <c r="BG9" s="10">
        <v>-3.637978807091713E-12</v>
      </c>
      <c r="BH9" s="10">
        <v>-3.637978807091713E-12</v>
      </c>
      <c r="BI9" s="10">
        <v>-3.637978807091713E-12</v>
      </c>
      <c r="BJ9" s="10">
        <v>-3.637978807091713E-12</v>
      </c>
      <c r="BK9" s="10">
        <v>-3.637978807091713E-12</v>
      </c>
      <c r="BL9" s="10">
        <v>-3.637978807091713E-12</v>
      </c>
      <c r="BM9" s="10">
        <v>-3.637978807091713E-12</v>
      </c>
      <c r="BN9" s="10">
        <v>-3.637978807091713E-12</v>
      </c>
      <c r="BO9" s="10">
        <v>-3.637978807091713E-12</v>
      </c>
      <c r="BP9" s="10">
        <v>-3.637978807091713E-12</v>
      </c>
      <c r="BQ9" s="10">
        <v>-3.637978807091713E-12</v>
      </c>
      <c r="BR9" s="10">
        <v>-3.637978807091713E-12</v>
      </c>
    </row>
    <row r="10" spans="1:71" hidden="1" x14ac:dyDescent="0.25">
      <c r="A10" s="7">
        <v>2</v>
      </c>
      <c r="B10" s="7" t="s">
        <v>537</v>
      </c>
      <c r="C10" s="7" t="s">
        <v>538</v>
      </c>
      <c r="D10" s="7">
        <v>4</v>
      </c>
      <c r="E10" s="7" t="s">
        <v>494</v>
      </c>
      <c r="F10" s="7"/>
      <c r="G10" s="7"/>
      <c r="H10" s="7"/>
      <c r="I10" s="7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 spans="1:71" hidden="1" x14ac:dyDescent="0.25">
      <c r="A11" s="7">
        <v>2</v>
      </c>
      <c r="B11" s="7" t="s">
        <v>537</v>
      </c>
      <c r="C11" s="7" t="s">
        <v>538</v>
      </c>
      <c r="D11" s="7">
        <v>5</v>
      </c>
      <c r="E11" s="7" t="s">
        <v>496</v>
      </c>
      <c r="F11" s="7"/>
      <c r="G11" s="7"/>
      <c r="H11" s="7"/>
      <c r="I11" s="7"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</row>
    <row r="12" spans="1:71" hidden="1" x14ac:dyDescent="0.25">
      <c r="A12" s="6">
        <v>3</v>
      </c>
      <c r="B12" s="6" t="s">
        <v>332</v>
      </c>
      <c r="C12" s="6" t="s">
        <v>333</v>
      </c>
      <c r="D12" s="6">
        <v>1</v>
      </c>
      <c r="E12" s="6" t="s">
        <v>489</v>
      </c>
      <c r="F12" s="6" t="s">
        <v>504</v>
      </c>
      <c r="G12" s="6" t="s">
        <v>505</v>
      </c>
      <c r="H12" s="6" t="s">
        <v>500</v>
      </c>
      <c r="I12" s="6">
        <v>0</v>
      </c>
      <c r="J12" s="40">
        <v>153000.00000000003</v>
      </c>
      <c r="K12" s="40">
        <v>153000.00000000003</v>
      </c>
      <c r="L12" s="40">
        <v>153000.00000000003</v>
      </c>
      <c r="M12" s="40">
        <v>153000.00000000003</v>
      </c>
      <c r="N12" s="40">
        <v>153000.00000000003</v>
      </c>
      <c r="O12" s="40">
        <v>153000.00000000003</v>
      </c>
      <c r="P12" s="40">
        <v>153000.00000000003</v>
      </c>
      <c r="Q12" s="40">
        <v>153000.00000000003</v>
      </c>
      <c r="R12" s="40">
        <v>153000.00000000003</v>
      </c>
      <c r="S12" s="8">
        <v>148366.56118143463</v>
      </c>
      <c r="T12" s="3">
        <v>143722.15592680994</v>
      </c>
      <c r="U12" s="3">
        <v>139065.52044609672</v>
      </c>
      <c r="V12" s="3">
        <v>134395.18900343654</v>
      </c>
      <c r="W12" s="3">
        <v>129709.45190156614</v>
      </c>
      <c r="X12" s="3">
        <v>125006.30252100856</v>
      </c>
      <c r="Y12" s="3">
        <v>120283.36993655458</v>
      </c>
      <c r="Z12" s="3">
        <v>115537.83231083862</v>
      </c>
      <c r="AA12" s="3">
        <v>110766.30434782628</v>
      </c>
      <c r="AB12" s="3">
        <v>105964.68926553693</v>
      </c>
      <c r="AC12" s="3">
        <v>101127.98151460964</v>
      </c>
      <c r="AD12" s="3">
        <v>96250</v>
      </c>
      <c r="AE12" s="3">
        <v>92201.571428571435</v>
      </c>
      <c r="AF12" s="3">
        <v>88145.600000000006</v>
      </c>
      <c r="AG12" s="3">
        <v>84080.894736842107</v>
      </c>
      <c r="AH12" s="3">
        <v>80006</v>
      </c>
      <c r="AI12" s="3">
        <v>75919.117647058825</v>
      </c>
      <c r="AJ12" s="3">
        <v>71818</v>
      </c>
      <c r="AK12" s="3">
        <v>67699.8</v>
      </c>
      <c r="AL12" s="3">
        <v>63560.857142857145</v>
      </c>
      <c r="AM12" s="3">
        <v>59396.384615384617</v>
      </c>
      <c r="AN12" s="3">
        <v>55200</v>
      </c>
      <c r="AO12" s="3">
        <v>55057.118644067799</v>
      </c>
      <c r="AP12" s="3">
        <v>54918.620689655174</v>
      </c>
      <c r="AQ12" s="3">
        <v>54784.73684210526</v>
      </c>
      <c r="AR12" s="3">
        <v>54655.714285714283</v>
      </c>
      <c r="AS12" s="3">
        <v>54531.818181818184</v>
      </c>
      <c r="AT12" s="3">
        <v>54413.333333333336</v>
      </c>
      <c r="AU12" s="3">
        <v>54300.566037735851</v>
      </c>
      <c r="AV12" s="3">
        <v>54193.846153846156</v>
      </c>
      <c r="AW12" s="3">
        <v>54093.529411764706</v>
      </c>
      <c r="AX12" s="3">
        <v>54000</v>
      </c>
      <c r="AY12" s="3">
        <f t="shared" ref="AY12:BR12" si="4">AX12</f>
        <v>54000</v>
      </c>
      <c r="AZ12" s="3">
        <f t="shared" si="4"/>
        <v>54000</v>
      </c>
      <c r="BA12" s="3">
        <f t="shared" si="4"/>
        <v>54000</v>
      </c>
      <c r="BB12" s="3">
        <f t="shared" si="4"/>
        <v>54000</v>
      </c>
      <c r="BC12" s="3">
        <f t="shared" si="4"/>
        <v>54000</v>
      </c>
      <c r="BD12" s="3">
        <f t="shared" si="4"/>
        <v>54000</v>
      </c>
      <c r="BE12" s="3">
        <f t="shared" si="4"/>
        <v>54000</v>
      </c>
      <c r="BF12" s="3">
        <f t="shared" si="4"/>
        <v>54000</v>
      </c>
      <c r="BG12" s="3">
        <f t="shared" si="4"/>
        <v>54000</v>
      </c>
      <c r="BH12" s="3">
        <f t="shared" si="4"/>
        <v>54000</v>
      </c>
      <c r="BI12" s="3">
        <f t="shared" si="4"/>
        <v>54000</v>
      </c>
      <c r="BJ12" s="3">
        <f t="shared" si="4"/>
        <v>54000</v>
      </c>
      <c r="BK12" s="3">
        <f t="shared" si="4"/>
        <v>54000</v>
      </c>
      <c r="BL12" s="3">
        <f t="shared" si="4"/>
        <v>54000</v>
      </c>
      <c r="BM12" s="3">
        <f t="shared" si="4"/>
        <v>54000</v>
      </c>
      <c r="BN12" s="3">
        <f t="shared" si="4"/>
        <v>54000</v>
      </c>
      <c r="BO12" s="3">
        <f t="shared" si="4"/>
        <v>54000</v>
      </c>
      <c r="BP12" s="3">
        <f t="shared" si="4"/>
        <v>54000</v>
      </c>
      <c r="BQ12" s="3">
        <f t="shared" si="4"/>
        <v>54000</v>
      </c>
      <c r="BR12" s="3">
        <f t="shared" si="4"/>
        <v>54000</v>
      </c>
    </row>
    <row r="13" spans="1:71" hidden="1" x14ac:dyDescent="0.25">
      <c r="A13" s="6">
        <v>3</v>
      </c>
      <c r="B13" s="6" t="s">
        <v>332</v>
      </c>
      <c r="C13" s="6" t="s">
        <v>333</v>
      </c>
      <c r="D13" s="6">
        <v>2</v>
      </c>
      <c r="E13" s="6" t="s">
        <v>491</v>
      </c>
      <c r="F13" s="6" t="s">
        <v>553</v>
      </c>
      <c r="G13" s="6" t="s">
        <v>505</v>
      </c>
      <c r="H13" s="6" t="s">
        <v>501</v>
      </c>
      <c r="I13" s="6">
        <v>0</v>
      </c>
      <c r="J13" s="6">
        <v>105</v>
      </c>
      <c r="K13" s="6"/>
      <c r="L13" s="6"/>
      <c r="M13" s="6"/>
      <c r="N13" s="6"/>
      <c r="O13" s="6"/>
      <c r="P13" s="6"/>
      <c r="Q13" s="6"/>
      <c r="R13" s="6"/>
      <c r="S13" s="6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</row>
    <row r="14" spans="1:71" hidden="1" x14ac:dyDescent="0.25">
      <c r="A14" s="6">
        <v>3</v>
      </c>
      <c r="B14" s="6" t="s">
        <v>332</v>
      </c>
      <c r="C14" s="6" t="s">
        <v>333</v>
      </c>
      <c r="D14" s="6">
        <v>3</v>
      </c>
      <c r="E14" s="6" t="s">
        <v>493</v>
      </c>
      <c r="F14" s="6" t="s">
        <v>506</v>
      </c>
      <c r="G14" s="6" t="s">
        <v>507</v>
      </c>
      <c r="H14" s="6"/>
      <c r="I14" s="6">
        <v>0</v>
      </c>
      <c r="J14" s="9"/>
      <c r="K14" s="9"/>
      <c r="L14" s="9"/>
      <c r="M14" s="9"/>
      <c r="N14" s="9"/>
      <c r="O14" s="9"/>
      <c r="P14" s="9"/>
      <c r="Q14" s="9"/>
      <c r="R14" s="9"/>
      <c r="S14" s="14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</row>
    <row r="15" spans="1:71" hidden="1" x14ac:dyDescent="0.25">
      <c r="A15" s="6">
        <v>3</v>
      </c>
      <c r="B15" s="6" t="s">
        <v>332</v>
      </c>
      <c r="C15" s="6" t="s">
        <v>333</v>
      </c>
      <c r="D15" s="6">
        <v>4</v>
      </c>
      <c r="E15" s="6" t="s">
        <v>494</v>
      </c>
      <c r="F15" s="6"/>
      <c r="G15" s="6"/>
      <c r="H15" s="6"/>
      <c r="I15" s="6">
        <v>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</row>
    <row r="16" spans="1:71" hidden="1" x14ac:dyDescent="0.25">
      <c r="A16" s="6">
        <v>3</v>
      </c>
      <c r="B16" s="6" t="s">
        <v>332</v>
      </c>
      <c r="C16" s="6" t="s">
        <v>333</v>
      </c>
      <c r="D16" s="6">
        <v>5</v>
      </c>
      <c r="E16" s="6" t="s">
        <v>496</v>
      </c>
      <c r="F16" s="6"/>
      <c r="G16" s="6"/>
      <c r="H16" s="6"/>
      <c r="I16" s="6"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</row>
    <row r="17" spans="1:70" hidden="1" x14ac:dyDescent="0.25">
      <c r="A17" s="7">
        <v>4</v>
      </c>
      <c r="B17" s="7" t="s">
        <v>334</v>
      </c>
      <c r="C17" s="7" t="s">
        <v>335</v>
      </c>
      <c r="D17" s="7">
        <v>1</v>
      </c>
      <c r="E17" s="7" t="s">
        <v>489</v>
      </c>
      <c r="F17" s="7" t="s">
        <v>504</v>
      </c>
      <c r="G17" s="7" t="s">
        <v>505</v>
      </c>
      <c r="H17" s="7" t="s">
        <v>500</v>
      </c>
      <c r="I17" s="7">
        <v>0</v>
      </c>
      <c r="J17" s="41">
        <v>112500</v>
      </c>
      <c r="K17" s="41">
        <v>112500</v>
      </c>
      <c r="L17" s="41">
        <v>112500</v>
      </c>
      <c r="M17" s="41">
        <v>112500</v>
      </c>
      <c r="N17" s="41">
        <v>112500</v>
      </c>
      <c r="O17" s="41">
        <v>112500</v>
      </c>
      <c r="P17" s="41">
        <v>112500</v>
      </c>
      <c r="Q17" s="41">
        <v>112500</v>
      </c>
      <c r="R17" s="41">
        <v>112500</v>
      </c>
      <c r="S17" s="11">
        <v>109541.66666666667</v>
      </c>
      <c r="T17" s="3">
        <v>106583.33333333334</v>
      </c>
      <c r="U17" s="3">
        <v>103625.00000000001</v>
      </c>
      <c r="V17" s="3">
        <v>100666.66666666669</v>
      </c>
      <c r="W17" s="3">
        <v>97708.333333333358</v>
      </c>
      <c r="X17" s="3">
        <v>94750.000000000029</v>
      </c>
      <c r="Y17" s="3">
        <v>91791.666666666701</v>
      </c>
      <c r="Z17" s="3">
        <v>88833.333333333372</v>
      </c>
      <c r="AA17" s="3">
        <v>85875.000000000044</v>
      </c>
      <c r="AB17" s="3">
        <v>82916.666666666715</v>
      </c>
      <c r="AC17" s="3">
        <v>79958.333333333387</v>
      </c>
      <c r="AD17" s="3">
        <v>77000</v>
      </c>
      <c r="AE17" s="3">
        <v>74100</v>
      </c>
      <c r="AF17" s="3">
        <v>71200</v>
      </c>
      <c r="AG17" s="3">
        <v>68300</v>
      </c>
      <c r="AH17" s="3">
        <v>65400</v>
      </c>
      <c r="AI17" s="3">
        <v>62500</v>
      </c>
      <c r="AJ17" s="3">
        <v>59600</v>
      </c>
      <c r="AK17" s="3">
        <v>56700</v>
      </c>
      <c r="AL17" s="3">
        <v>53800</v>
      </c>
      <c r="AM17" s="3">
        <v>50900</v>
      </c>
      <c r="AN17" s="3">
        <v>48000</v>
      </c>
      <c r="AO17" s="3">
        <v>47700</v>
      </c>
      <c r="AP17" s="3">
        <v>47400</v>
      </c>
      <c r="AQ17" s="3">
        <v>47100</v>
      </c>
      <c r="AR17" s="3">
        <v>46800</v>
      </c>
      <c r="AS17" s="3">
        <v>46500</v>
      </c>
      <c r="AT17" s="3">
        <v>46200</v>
      </c>
      <c r="AU17" s="3">
        <v>45900</v>
      </c>
      <c r="AV17" s="3">
        <v>45600</v>
      </c>
      <c r="AW17" s="3">
        <v>45300</v>
      </c>
      <c r="AX17" s="3">
        <v>45000</v>
      </c>
      <c r="AY17" s="3">
        <f t="shared" ref="AY17:BR17" si="5">AX17</f>
        <v>45000</v>
      </c>
      <c r="AZ17" s="3">
        <f t="shared" si="5"/>
        <v>45000</v>
      </c>
      <c r="BA17" s="3">
        <f t="shared" si="5"/>
        <v>45000</v>
      </c>
      <c r="BB17" s="3">
        <f t="shared" si="5"/>
        <v>45000</v>
      </c>
      <c r="BC17" s="3">
        <f t="shared" si="5"/>
        <v>45000</v>
      </c>
      <c r="BD17" s="3">
        <f t="shared" si="5"/>
        <v>45000</v>
      </c>
      <c r="BE17" s="3">
        <f t="shared" si="5"/>
        <v>45000</v>
      </c>
      <c r="BF17" s="3">
        <f t="shared" si="5"/>
        <v>45000</v>
      </c>
      <c r="BG17" s="3">
        <f t="shared" si="5"/>
        <v>45000</v>
      </c>
      <c r="BH17" s="3">
        <f t="shared" si="5"/>
        <v>45000</v>
      </c>
      <c r="BI17" s="3">
        <f t="shared" si="5"/>
        <v>45000</v>
      </c>
      <c r="BJ17" s="3">
        <f t="shared" si="5"/>
        <v>45000</v>
      </c>
      <c r="BK17" s="3">
        <f t="shared" si="5"/>
        <v>45000</v>
      </c>
      <c r="BL17" s="3">
        <f t="shared" si="5"/>
        <v>45000</v>
      </c>
      <c r="BM17" s="3">
        <f t="shared" si="5"/>
        <v>45000</v>
      </c>
      <c r="BN17" s="3">
        <f t="shared" si="5"/>
        <v>45000</v>
      </c>
      <c r="BO17" s="3">
        <f t="shared" si="5"/>
        <v>45000</v>
      </c>
      <c r="BP17" s="3">
        <f t="shared" si="5"/>
        <v>45000</v>
      </c>
      <c r="BQ17" s="3">
        <f t="shared" si="5"/>
        <v>45000</v>
      </c>
      <c r="BR17" s="3">
        <f t="shared" si="5"/>
        <v>45000</v>
      </c>
    </row>
    <row r="18" spans="1:70" hidden="1" x14ac:dyDescent="0.25">
      <c r="A18" s="7">
        <v>4</v>
      </c>
      <c r="B18" s="7" t="s">
        <v>334</v>
      </c>
      <c r="C18" s="7" t="s">
        <v>335</v>
      </c>
      <c r="D18" s="7">
        <v>2</v>
      </c>
      <c r="E18" s="7" t="s">
        <v>491</v>
      </c>
      <c r="F18" s="7" t="s">
        <v>553</v>
      </c>
      <c r="G18" s="7" t="s">
        <v>505</v>
      </c>
      <c r="H18" s="7" t="s">
        <v>501</v>
      </c>
      <c r="I18" s="7">
        <v>0</v>
      </c>
      <c r="J18" s="7">
        <v>40</v>
      </c>
      <c r="K18" s="7"/>
      <c r="L18" s="7"/>
      <c r="M18" s="7"/>
      <c r="N18" s="7"/>
      <c r="O18" s="7"/>
      <c r="P18" s="7"/>
      <c r="Q18" s="7"/>
      <c r="R18" s="7"/>
      <c r="S18" s="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hidden="1" x14ac:dyDescent="0.25">
      <c r="A19" s="7">
        <v>4</v>
      </c>
      <c r="B19" s="7" t="s">
        <v>334</v>
      </c>
      <c r="C19" s="7" t="s">
        <v>335</v>
      </c>
      <c r="D19" s="7">
        <v>3</v>
      </c>
      <c r="E19" s="7" t="s">
        <v>493</v>
      </c>
      <c r="F19" s="7" t="s">
        <v>506</v>
      </c>
      <c r="G19" s="7" t="s">
        <v>507</v>
      </c>
      <c r="H19" s="7" t="s">
        <v>500</v>
      </c>
      <c r="I19" s="7">
        <v>0</v>
      </c>
      <c r="J19" s="12">
        <v>2</v>
      </c>
      <c r="K19" s="12">
        <v>2</v>
      </c>
      <c r="L19" s="12">
        <v>2</v>
      </c>
      <c r="M19" s="12">
        <v>2</v>
      </c>
      <c r="N19" s="12">
        <v>2</v>
      </c>
      <c r="O19" s="12">
        <v>2</v>
      </c>
      <c r="P19" s="12">
        <v>2</v>
      </c>
      <c r="Q19" s="12">
        <v>2</v>
      </c>
      <c r="R19" s="12">
        <v>2</v>
      </c>
      <c r="S19" s="12">
        <v>2</v>
      </c>
      <c r="T19" s="10">
        <v>2</v>
      </c>
      <c r="U19" s="10">
        <f t="shared" ref="U19:AN19" si="6">T19-$T19/20</f>
        <v>1.9</v>
      </c>
      <c r="V19" s="10">
        <f t="shared" si="6"/>
        <v>1.7999999999999998</v>
      </c>
      <c r="W19" s="10">
        <f t="shared" si="6"/>
        <v>1.6999999999999997</v>
      </c>
      <c r="X19" s="10">
        <f t="shared" si="6"/>
        <v>1.5999999999999996</v>
      </c>
      <c r="Y19" s="10">
        <f t="shared" si="6"/>
        <v>1.4999999999999996</v>
      </c>
      <c r="Z19" s="10">
        <f t="shared" si="6"/>
        <v>1.3999999999999995</v>
      </c>
      <c r="AA19" s="10">
        <f t="shared" si="6"/>
        <v>1.2999999999999994</v>
      </c>
      <c r="AB19" s="10">
        <f t="shared" si="6"/>
        <v>1.1999999999999993</v>
      </c>
      <c r="AC19" s="10">
        <f t="shared" si="6"/>
        <v>1.0999999999999992</v>
      </c>
      <c r="AD19" s="10">
        <f t="shared" si="6"/>
        <v>0.99999999999999922</v>
      </c>
      <c r="AE19" s="10">
        <f t="shared" si="6"/>
        <v>0.89999999999999925</v>
      </c>
      <c r="AF19" s="10">
        <f t="shared" si="6"/>
        <v>0.79999999999999927</v>
      </c>
      <c r="AG19" s="10">
        <f t="shared" si="6"/>
        <v>0.69999999999999929</v>
      </c>
      <c r="AH19" s="10">
        <f t="shared" si="6"/>
        <v>0.59999999999999931</v>
      </c>
      <c r="AI19" s="10">
        <f t="shared" si="6"/>
        <v>0.49999999999999933</v>
      </c>
      <c r="AJ19" s="10">
        <f t="shared" si="6"/>
        <v>0.39999999999999936</v>
      </c>
      <c r="AK19" s="10">
        <f t="shared" si="6"/>
        <v>0.29999999999999938</v>
      </c>
      <c r="AL19" s="10">
        <f t="shared" si="6"/>
        <v>0.19999999999999937</v>
      </c>
      <c r="AM19" s="10">
        <f t="shared" si="6"/>
        <v>9.9999999999999367E-2</v>
      </c>
      <c r="AN19" s="10">
        <f t="shared" si="6"/>
        <v>-6.3837823915946501E-16</v>
      </c>
      <c r="AO19" s="10">
        <v>-6.3837823915946501E-16</v>
      </c>
      <c r="AP19" s="10">
        <v>-6.3837823915946501E-16</v>
      </c>
      <c r="AQ19" s="10">
        <v>-6.3837823915946501E-16</v>
      </c>
      <c r="AR19" s="10">
        <v>-6.3837823915946501E-16</v>
      </c>
      <c r="AS19" s="10">
        <v>-6.3837823915946501E-16</v>
      </c>
      <c r="AT19" s="10">
        <v>-6.3837823915946501E-16</v>
      </c>
      <c r="AU19" s="10">
        <v>-6.3837823915946501E-16</v>
      </c>
      <c r="AV19" s="10">
        <v>-6.3837823915946501E-16</v>
      </c>
      <c r="AW19" s="10">
        <v>-6.3837823915946501E-16</v>
      </c>
      <c r="AX19" s="10">
        <v>-6.3837823915946501E-16</v>
      </c>
      <c r="AY19" s="10">
        <v>-6.3837823915946501E-16</v>
      </c>
      <c r="AZ19" s="10">
        <v>-6.3837823915946501E-16</v>
      </c>
      <c r="BA19" s="10">
        <v>-6.3837823915946501E-16</v>
      </c>
      <c r="BB19" s="10">
        <v>-6.3837823915946501E-16</v>
      </c>
      <c r="BC19" s="10">
        <v>-6.3837823915946501E-16</v>
      </c>
      <c r="BD19" s="10">
        <v>-6.3837823915946501E-16</v>
      </c>
      <c r="BE19" s="10">
        <v>-6.3837823915946501E-16</v>
      </c>
      <c r="BF19" s="10">
        <v>-6.3837823915946501E-16</v>
      </c>
      <c r="BG19" s="10">
        <v>-6.3837823915946501E-16</v>
      </c>
      <c r="BH19" s="10">
        <v>-6.3837823915946501E-16</v>
      </c>
      <c r="BI19" s="10">
        <v>-6.3837823915946501E-16</v>
      </c>
      <c r="BJ19" s="10">
        <v>-6.3837823915946501E-16</v>
      </c>
      <c r="BK19" s="10">
        <v>-6.3837823915946501E-16</v>
      </c>
      <c r="BL19" s="10">
        <v>-6.3837823915946501E-16</v>
      </c>
      <c r="BM19" s="10">
        <v>-6.3837823915946501E-16</v>
      </c>
      <c r="BN19" s="10">
        <v>-6.3837823915946501E-16</v>
      </c>
      <c r="BO19" s="10">
        <v>-6.3837823915946501E-16</v>
      </c>
      <c r="BP19" s="10">
        <v>-6.3837823915946501E-16</v>
      </c>
      <c r="BQ19" s="10">
        <v>-6.3837823915946501E-16</v>
      </c>
      <c r="BR19" s="10">
        <v>-6.3837823915946501E-16</v>
      </c>
    </row>
    <row r="20" spans="1:70" hidden="1" x14ac:dyDescent="0.25">
      <c r="A20" s="7">
        <v>4</v>
      </c>
      <c r="B20" s="7" t="s">
        <v>334</v>
      </c>
      <c r="C20" s="7" t="s">
        <v>335</v>
      </c>
      <c r="D20" s="7">
        <v>4</v>
      </c>
      <c r="E20" s="7" t="s">
        <v>494</v>
      </c>
      <c r="F20" s="7"/>
      <c r="G20" s="7"/>
      <c r="H20" s="7"/>
      <c r="I20" s="7"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</row>
    <row r="21" spans="1:70" hidden="1" x14ac:dyDescent="0.25">
      <c r="A21" s="7">
        <v>4</v>
      </c>
      <c r="B21" s="7" t="s">
        <v>334</v>
      </c>
      <c r="C21" s="7" t="s">
        <v>335</v>
      </c>
      <c r="D21" s="7">
        <v>5</v>
      </c>
      <c r="E21" s="7" t="s">
        <v>496</v>
      </c>
      <c r="F21" s="7"/>
      <c r="G21" s="7"/>
      <c r="H21" s="7"/>
      <c r="I21" s="7"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</row>
    <row r="22" spans="1:70" hidden="1" x14ac:dyDescent="0.25">
      <c r="A22" s="6">
        <v>5</v>
      </c>
      <c r="B22" s="6" t="s">
        <v>336</v>
      </c>
      <c r="C22" s="6" t="s">
        <v>337</v>
      </c>
      <c r="D22" s="6">
        <v>1</v>
      </c>
      <c r="E22" s="6" t="s">
        <v>489</v>
      </c>
      <c r="F22" s="6" t="s">
        <v>504</v>
      </c>
      <c r="G22" s="6" t="s">
        <v>505</v>
      </c>
      <c r="H22" s="6" t="s">
        <v>500</v>
      </c>
      <c r="I22" s="6">
        <v>0</v>
      </c>
      <c r="J22" s="40">
        <v>44000</v>
      </c>
      <c r="K22" s="40">
        <v>44000</v>
      </c>
      <c r="L22" s="40">
        <v>44000</v>
      </c>
      <c r="M22" s="40">
        <v>44000</v>
      </c>
      <c r="N22" s="40">
        <v>44000</v>
      </c>
      <c r="O22" s="40">
        <v>44000</v>
      </c>
      <c r="P22" s="40">
        <v>44000</v>
      </c>
      <c r="Q22" s="40">
        <v>44000</v>
      </c>
      <c r="R22" s="40">
        <v>44000</v>
      </c>
      <c r="S22" s="8">
        <v>44476.666666666672</v>
      </c>
      <c r="T22" s="3">
        <v>44953.333333333343</v>
      </c>
      <c r="U22" s="3">
        <v>45430.000000000007</v>
      </c>
      <c r="V22" s="3">
        <v>45906.666666666679</v>
      </c>
      <c r="W22" s="3">
        <v>46383.333333333343</v>
      </c>
      <c r="X22" s="3">
        <v>46860.000000000015</v>
      </c>
      <c r="Y22" s="3">
        <v>47336.666666666686</v>
      </c>
      <c r="Z22" s="3">
        <v>47813.33333333335</v>
      </c>
      <c r="AA22" s="3">
        <v>48290.000000000022</v>
      </c>
      <c r="AB22" s="3">
        <v>48766.666666666686</v>
      </c>
      <c r="AC22" s="3">
        <v>49243.333333333358</v>
      </c>
      <c r="AD22" s="3">
        <v>49720</v>
      </c>
      <c r="AE22" s="3">
        <v>49881.59</v>
      </c>
      <c r="AF22" s="3">
        <v>50043.18</v>
      </c>
      <c r="AG22" s="3">
        <v>50204.770000000004</v>
      </c>
      <c r="AH22" s="3">
        <v>50366.360000000008</v>
      </c>
      <c r="AI22" s="3">
        <v>50527.950000000012</v>
      </c>
      <c r="AJ22" s="3">
        <v>50689.540000000008</v>
      </c>
      <c r="AK22" s="3">
        <v>50851.130000000012</v>
      </c>
      <c r="AL22" s="3">
        <v>51012.720000000016</v>
      </c>
      <c r="AM22" s="3">
        <v>51174.310000000019</v>
      </c>
      <c r="AN22" s="3">
        <v>51335.900000000023</v>
      </c>
      <c r="AO22" s="3">
        <v>51497.49000000002</v>
      </c>
      <c r="AP22" s="3">
        <v>51659.080000000024</v>
      </c>
      <c r="AQ22" s="3">
        <v>51820.670000000027</v>
      </c>
      <c r="AR22" s="3">
        <v>51982.260000000031</v>
      </c>
      <c r="AS22" s="3">
        <v>52143.850000000035</v>
      </c>
      <c r="AT22" s="3">
        <v>52305.440000000031</v>
      </c>
      <c r="AU22" s="3">
        <v>52467.030000000028</v>
      </c>
      <c r="AV22" s="3">
        <v>52628.620000000032</v>
      </c>
      <c r="AW22" s="3">
        <v>52790.210000000036</v>
      </c>
      <c r="AX22" s="3">
        <v>52951.799999999988</v>
      </c>
      <c r="AY22" s="3">
        <f t="shared" ref="AY22:BR22" si="7">AX22</f>
        <v>52951.799999999988</v>
      </c>
      <c r="AZ22" s="3">
        <f t="shared" si="7"/>
        <v>52951.799999999988</v>
      </c>
      <c r="BA22" s="3">
        <f t="shared" si="7"/>
        <v>52951.799999999988</v>
      </c>
      <c r="BB22" s="3">
        <f t="shared" si="7"/>
        <v>52951.799999999988</v>
      </c>
      <c r="BC22" s="3">
        <f t="shared" si="7"/>
        <v>52951.799999999988</v>
      </c>
      <c r="BD22" s="3">
        <f t="shared" si="7"/>
        <v>52951.799999999988</v>
      </c>
      <c r="BE22" s="3">
        <f t="shared" si="7"/>
        <v>52951.799999999988</v>
      </c>
      <c r="BF22" s="3">
        <f t="shared" si="7"/>
        <v>52951.799999999988</v>
      </c>
      <c r="BG22" s="3">
        <f t="shared" si="7"/>
        <v>52951.799999999988</v>
      </c>
      <c r="BH22" s="3">
        <f t="shared" si="7"/>
        <v>52951.799999999988</v>
      </c>
      <c r="BI22" s="3">
        <f t="shared" si="7"/>
        <v>52951.799999999988</v>
      </c>
      <c r="BJ22" s="3">
        <f t="shared" si="7"/>
        <v>52951.799999999988</v>
      </c>
      <c r="BK22" s="3">
        <f t="shared" si="7"/>
        <v>52951.799999999988</v>
      </c>
      <c r="BL22" s="3">
        <f t="shared" si="7"/>
        <v>52951.799999999988</v>
      </c>
      <c r="BM22" s="3">
        <f t="shared" si="7"/>
        <v>52951.799999999988</v>
      </c>
      <c r="BN22" s="3">
        <f t="shared" si="7"/>
        <v>52951.799999999988</v>
      </c>
      <c r="BO22" s="3">
        <f t="shared" si="7"/>
        <v>52951.799999999988</v>
      </c>
      <c r="BP22" s="3">
        <f t="shared" si="7"/>
        <v>52951.799999999988</v>
      </c>
      <c r="BQ22" s="3">
        <f t="shared" si="7"/>
        <v>52951.799999999988</v>
      </c>
      <c r="BR22" s="3">
        <f t="shared" si="7"/>
        <v>52951.799999999988</v>
      </c>
    </row>
    <row r="23" spans="1:70" hidden="1" x14ac:dyDescent="0.25">
      <c r="A23" s="6">
        <v>5</v>
      </c>
      <c r="B23" s="6" t="s">
        <v>336</v>
      </c>
      <c r="C23" s="6" t="s">
        <v>337</v>
      </c>
      <c r="D23" s="6">
        <v>2</v>
      </c>
      <c r="E23" s="6" t="s">
        <v>491</v>
      </c>
      <c r="F23" s="6" t="s">
        <v>553</v>
      </c>
      <c r="G23" s="6" t="s">
        <v>505</v>
      </c>
      <c r="H23" s="6" t="s">
        <v>501</v>
      </c>
      <c r="I23" s="6">
        <v>0</v>
      </c>
      <c r="J23" s="6">
        <v>98</v>
      </c>
      <c r="K23" s="6"/>
      <c r="L23" s="6"/>
      <c r="M23" s="6"/>
      <c r="N23" s="6"/>
      <c r="O23" s="6"/>
      <c r="P23" s="6"/>
      <c r="Q23" s="6"/>
      <c r="R23" s="6"/>
      <c r="S23" s="6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</row>
    <row r="24" spans="1:70" hidden="1" x14ac:dyDescent="0.25">
      <c r="A24" s="6">
        <v>5</v>
      </c>
      <c r="B24" s="6" t="s">
        <v>336</v>
      </c>
      <c r="C24" s="6" t="s">
        <v>337</v>
      </c>
      <c r="D24" s="6">
        <v>3</v>
      </c>
      <c r="E24" s="6" t="s">
        <v>493</v>
      </c>
      <c r="F24" s="6" t="s">
        <v>506</v>
      </c>
      <c r="G24" s="6" t="s">
        <v>507</v>
      </c>
      <c r="H24" s="6" t="s">
        <v>500</v>
      </c>
      <c r="I24" s="6">
        <v>0</v>
      </c>
      <c r="J24" s="9">
        <v>23006</v>
      </c>
      <c r="K24" s="9">
        <v>23006</v>
      </c>
      <c r="L24" s="9">
        <v>23006</v>
      </c>
      <c r="M24" s="9">
        <v>23006</v>
      </c>
      <c r="N24" s="9">
        <v>23006</v>
      </c>
      <c r="O24" s="9">
        <v>23006</v>
      </c>
      <c r="P24" s="9">
        <v>23006</v>
      </c>
      <c r="Q24" s="9">
        <v>23006</v>
      </c>
      <c r="R24" s="9">
        <v>23006</v>
      </c>
      <c r="S24" s="14">
        <v>21865</v>
      </c>
      <c r="T24" s="10">
        <v>19463</v>
      </c>
      <c r="U24" s="10">
        <f t="shared" ref="U24:AN24" si="8">T24-$T24/20</f>
        <v>18489.849999999999</v>
      </c>
      <c r="V24" s="10">
        <f t="shared" si="8"/>
        <v>17516.699999999997</v>
      </c>
      <c r="W24" s="10">
        <f t="shared" si="8"/>
        <v>16543.549999999996</v>
      </c>
      <c r="X24" s="10">
        <f t="shared" si="8"/>
        <v>15570.399999999996</v>
      </c>
      <c r="Y24" s="10">
        <f t="shared" si="8"/>
        <v>14597.249999999996</v>
      </c>
      <c r="Z24" s="10">
        <f t="shared" si="8"/>
        <v>13624.099999999997</v>
      </c>
      <c r="AA24" s="10">
        <f t="shared" si="8"/>
        <v>12650.949999999997</v>
      </c>
      <c r="AB24" s="10">
        <f t="shared" si="8"/>
        <v>11677.799999999997</v>
      </c>
      <c r="AC24" s="10">
        <f t="shared" si="8"/>
        <v>10704.649999999998</v>
      </c>
      <c r="AD24" s="10">
        <f t="shared" si="8"/>
        <v>9731.4999999999982</v>
      </c>
      <c r="AE24" s="10">
        <f t="shared" si="8"/>
        <v>8758.3499999999985</v>
      </c>
      <c r="AF24" s="10">
        <f t="shared" si="8"/>
        <v>7785.1999999999989</v>
      </c>
      <c r="AG24" s="10">
        <f t="shared" si="8"/>
        <v>6812.0499999999993</v>
      </c>
      <c r="AH24" s="10">
        <f t="shared" si="8"/>
        <v>5838.9</v>
      </c>
      <c r="AI24" s="10">
        <f t="shared" si="8"/>
        <v>4865.75</v>
      </c>
      <c r="AJ24" s="10">
        <f t="shared" si="8"/>
        <v>3892.6</v>
      </c>
      <c r="AK24" s="10">
        <f t="shared" si="8"/>
        <v>2919.45</v>
      </c>
      <c r="AL24" s="10">
        <f t="shared" si="8"/>
        <v>1946.2999999999997</v>
      </c>
      <c r="AM24" s="10">
        <f t="shared" si="8"/>
        <v>973.14999999999975</v>
      </c>
      <c r="AN24" s="10">
        <f t="shared" si="8"/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</row>
    <row r="25" spans="1:70" hidden="1" x14ac:dyDescent="0.25">
      <c r="A25" s="6">
        <v>5</v>
      </c>
      <c r="B25" s="6" t="s">
        <v>336</v>
      </c>
      <c r="C25" s="6" t="s">
        <v>337</v>
      </c>
      <c r="D25" s="6">
        <v>4</v>
      </c>
      <c r="E25" s="6" t="s">
        <v>494</v>
      </c>
      <c r="F25" s="6"/>
      <c r="G25" s="6"/>
      <c r="H25" s="6"/>
      <c r="I25" s="6">
        <v>0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</row>
    <row r="26" spans="1:70" hidden="1" x14ac:dyDescent="0.25">
      <c r="A26" s="6">
        <v>5</v>
      </c>
      <c r="B26" s="6" t="s">
        <v>336</v>
      </c>
      <c r="C26" s="6" t="s">
        <v>337</v>
      </c>
      <c r="D26" s="6">
        <v>5</v>
      </c>
      <c r="E26" s="6" t="s">
        <v>496</v>
      </c>
      <c r="F26" s="6"/>
      <c r="G26" s="6"/>
      <c r="H26" s="6"/>
      <c r="I26" s="6">
        <v>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spans="1:70" hidden="1" x14ac:dyDescent="0.25">
      <c r="A27" s="7">
        <v>6</v>
      </c>
      <c r="B27" s="7" t="s">
        <v>338</v>
      </c>
      <c r="C27" s="7" t="s">
        <v>339</v>
      </c>
      <c r="D27" s="7">
        <v>1</v>
      </c>
      <c r="E27" s="7" t="s">
        <v>489</v>
      </c>
      <c r="F27" s="7" t="s">
        <v>504</v>
      </c>
      <c r="G27" s="7" t="s">
        <v>505</v>
      </c>
      <c r="H27" s="7" t="s">
        <v>500</v>
      </c>
      <c r="I27" s="7">
        <v>0</v>
      </c>
      <c r="J27" s="41">
        <v>50599.999999999993</v>
      </c>
      <c r="K27" s="41">
        <v>50599.999999999993</v>
      </c>
      <c r="L27" s="41">
        <v>50599.999999999993</v>
      </c>
      <c r="M27" s="41">
        <v>50599.999999999993</v>
      </c>
      <c r="N27" s="41">
        <v>50599.999999999993</v>
      </c>
      <c r="O27" s="41">
        <v>50599.999999999993</v>
      </c>
      <c r="P27" s="41">
        <v>50599.999999999993</v>
      </c>
      <c r="Q27" s="41">
        <v>50599.999999999993</v>
      </c>
      <c r="R27" s="41">
        <v>50599.999999999993</v>
      </c>
      <c r="S27" s="11">
        <v>50492.420940170938</v>
      </c>
      <c r="T27" s="3">
        <v>50370.786324786335</v>
      </c>
      <c r="U27" s="3">
        <v>50235.096153846171</v>
      </c>
      <c r="V27" s="3">
        <v>50085.350427350444</v>
      </c>
      <c r="W27" s="3">
        <v>49921.549145299163</v>
      </c>
      <c r="X27" s="3">
        <v>49743.692307692334</v>
      </c>
      <c r="Y27" s="3">
        <v>49551.779914529943</v>
      </c>
      <c r="Z27" s="3">
        <v>49345.811965811998</v>
      </c>
      <c r="AA27" s="3">
        <v>49125.78846153849</v>
      </c>
      <c r="AB27" s="3">
        <v>48891.709401709428</v>
      </c>
      <c r="AC27" s="3">
        <v>48643.574786324818</v>
      </c>
      <c r="AD27" s="3">
        <v>48381.384615384603</v>
      </c>
      <c r="AE27" s="3">
        <v>48502.338076923064</v>
      </c>
      <c r="AF27" s="3">
        <v>48623.291538461526</v>
      </c>
      <c r="AG27" s="3">
        <v>48744.244999999988</v>
      </c>
      <c r="AH27" s="3">
        <v>48865.19846153845</v>
      </c>
      <c r="AI27" s="3">
        <v>48986.151923076912</v>
      </c>
      <c r="AJ27" s="3">
        <v>49107.105384615374</v>
      </c>
      <c r="AK27" s="3">
        <v>49228.058846153835</v>
      </c>
      <c r="AL27" s="3">
        <v>49349.012307692297</v>
      </c>
      <c r="AM27" s="3">
        <v>49469.965769230759</v>
      </c>
      <c r="AN27" s="3">
        <v>49590.919230769221</v>
      </c>
      <c r="AO27" s="3">
        <v>49711.872692307683</v>
      </c>
      <c r="AP27" s="3">
        <v>49832.826153846145</v>
      </c>
      <c r="AQ27" s="3">
        <v>49953.779615384607</v>
      </c>
      <c r="AR27" s="3">
        <v>50074.733076923068</v>
      </c>
      <c r="AS27" s="3">
        <v>50195.68653846153</v>
      </c>
      <c r="AT27" s="3">
        <v>50316.639999999992</v>
      </c>
      <c r="AU27" s="3">
        <v>50437.593461538454</v>
      </c>
      <c r="AV27" s="3">
        <v>50558.546923076916</v>
      </c>
      <c r="AW27" s="3">
        <v>50679.500384615378</v>
      </c>
      <c r="AX27" s="3">
        <v>50800.453846153832</v>
      </c>
      <c r="AY27" s="3">
        <f t="shared" ref="AY27:BR27" si="9">AX27</f>
        <v>50800.453846153832</v>
      </c>
      <c r="AZ27" s="3">
        <f t="shared" si="9"/>
        <v>50800.453846153832</v>
      </c>
      <c r="BA27" s="3">
        <f t="shared" si="9"/>
        <v>50800.453846153832</v>
      </c>
      <c r="BB27" s="3">
        <f t="shared" si="9"/>
        <v>50800.453846153832</v>
      </c>
      <c r="BC27" s="3">
        <f t="shared" si="9"/>
        <v>50800.453846153832</v>
      </c>
      <c r="BD27" s="3">
        <f t="shared" si="9"/>
        <v>50800.453846153832</v>
      </c>
      <c r="BE27" s="3">
        <f t="shared" si="9"/>
        <v>50800.453846153832</v>
      </c>
      <c r="BF27" s="3">
        <f t="shared" si="9"/>
        <v>50800.453846153832</v>
      </c>
      <c r="BG27" s="3">
        <f t="shared" si="9"/>
        <v>50800.453846153832</v>
      </c>
      <c r="BH27" s="3">
        <f t="shared" si="9"/>
        <v>50800.453846153832</v>
      </c>
      <c r="BI27" s="3">
        <f t="shared" si="9"/>
        <v>50800.453846153832</v>
      </c>
      <c r="BJ27" s="3">
        <f t="shared" si="9"/>
        <v>50800.453846153832</v>
      </c>
      <c r="BK27" s="3">
        <f t="shared" si="9"/>
        <v>50800.453846153832</v>
      </c>
      <c r="BL27" s="3">
        <f t="shared" si="9"/>
        <v>50800.453846153832</v>
      </c>
      <c r="BM27" s="3">
        <f t="shared" si="9"/>
        <v>50800.453846153832</v>
      </c>
      <c r="BN27" s="3">
        <f t="shared" si="9"/>
        <v>50800.453846153832</v>
      </c>
      <c r="BO27" s="3">
        <f t="shared" si="9"/>
        <v>50800.453846153832</v>
      </c>
      <c r="BP27" s="3">
        <f t="shared" si="9"/>
        <v>50800.453846153832</v>
      </c>
      <c r="BQ27" s="3">
        <f t="shared" si="9"/>
        <v>50800.453846153832</v>
      </c>
      <c r="BR27" s="3">
        <f t="shared" si="9"/>
        <v>50800.453846153832</v>
      </c>
    </row>
    <row r="28" spans="1:70" hidden="1" x14ac:dyDescent="0.25">
      <c r="A28" s="7">
        <v>6</v>
      </c>
      <c r="B28" s="7" t="s">
        <v>338</v>
      </c>
      <c r="C28" s="7" t="s">
        <v>339</v>
      </c>
      <c r="D28" s="7">
        <v>2</v>
      </c>
      <c r="E28" s="7" t="s">
        <v>491</v>
      </c>
      <c r="F28" s="7" t="s">
        <v>553</v>
      </c>
      <c r="G28" s="7" t="s">
        <v>505</v>
      </c>
      <c r="H28" s="7" t="s">
        <v>501</v>
      </c>
      <c r="I28" s="7">
        <v>0</v>
      </c>
      <c r="J28" s="7">
        <v>95</v>
      </c>
      <c r="K28" s="7"/>
      <c r="L28" s="7"/>
      <c r="M28" s="7"/>
      <c r="N28" s="7"/>
      <c r="O28" s="7"/>
      <c r="P28" s="7"/>
      <c r="Q28" s="7"/>
      <c r="R28" s="7"/>
      <c r="S28" s="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1:70" hidden="1" x14ac:dyDescent="0.25">
      <c r="A29" s="7">
        <v>6</v>
      </c>
      <c r="B29" s="7" t="s">
        <v>338</v>
      </c>
      <c r="C29" s="7" t="s">
        <v>339</v>
      </c>
      <c r="D29" s="7">
        <v>3</v>
      </c>
      <c r="E29" s="7" t="s">
        <v>493</v>
      </c>
      <c r="F29" s="7" t="s">
        <v>506</v>
      </c>
      <c r="G29" s="7" t="s">
        <v>507</v>
      </c>
      <c r="H29" s="7" t="s">
        <v>500</v>
      </c>
      <c r="I29" s="7">
        <v>0</v>
      </c>
      <c r="J29" s="12">
        <v>2</v>
      </c>
      <c r="K29" s="12">
        <v>2</v>
      </c>
      <c r="L29" s="12">
        <v>2</v>
      </c>
      <c r="M29" s="12">
        <v>2</v>
      </c>
      <c r="N29" s="12">
        <v>2</v>
      </c>
      <c r="O29" s="12">
        <v>2</v>
      </c>
      <c r="P29" s="12">
        <v>2</v>
      </c>
      <c r="Q29" s="12">
        <v>2</v>
      </c>
      <c r="R29" s="12">
        <v>2</v>
      </c>
      <c r="S29" s="12">
        <v>2</v>
      </c>
      <c r="T29" s="10">
        <v>2</v>
      </c>
      <c r="U29" s="10">
        <f t="shared" ref="U29:AN29" si="10">T29-$T29/20</f>
        <v>1.9</v>
      </c>
      <c r="V29" s="10">
        <f t="shared" si="10"/>
        <v>1.7999999999999998</v>
      </c>
      <c r="W29" s="10">
        <f t="shared" si="10"/>
        <v>1.6999999999999997</v>
      </c>
      <c r="X29" s="10">
        <f t="shared" si="10"/>
        <v>1.5999999999999996</v>
      </c>
      <c r="Y29" s="10">
        <f t="shared" si="10"/>
        <v>1.4999999999999996</v>
      </c>
      <c r="Z29" s="10">
        <f t="shared" si="10"/>
        <v>1.3999999999999995</v>
      </c>
      <c r="AA29" s="10">
        <f t="shared" si="10"/>
        <v>1.2999999999999994</v>
      </c>
      <c r="AB29" s="10">
        <f t="shared" si="10"/>
        <v>1.1999999999999993</v>
      </c>
      <c r="AC29" s="10">
        <f t="shared" si="10"/>
        <v>1.0999999999999992</v>
      </c>
      <c r="AD29" s="10">
        <f t="shared" si="10"/>
        <v>0.99999999999999922</v>
      </c>
      <c r="AE29" s="10">
        <f t="shared" si="10"/>
        <v>0.89999999999999925</v>
      </c>
      <c r="AF29" s="10">
        <f t="shared" si="10"/>
        <v>0.79999999999999927</v>
      </c>
      <c r="AG29" s="10">
        <f t="shared" si="10"/>
        <v>0.69999999999999929</v>
      </c>
      <c r="AH29" s="10">
        <f t="shared" si="10"/>
        <v>0.59999999999999931</v>
      </c>
      <c r="AI29" s="10">
        <f t="shared" si="10"/>
        <v>0.49999999999999933</v>
      </c>
      <c r="AJ29" s="10">
        <f t="shared" si="10"/>
        <v>0.39999999999999936</v>
      </c>
      <c r="AK29" s="10">
        <f t="shared" si="10"/>
        <v>0.29999999999999938</v>
      </c>
      <c r="AL29" s="10">
        <f t="shared" si="10"/>
        <v>0.19999999999999937</v>
      </c>
      <c r="AM29" s="10">
        <f t="shared" si="10"/>
        <v>9.9999999999999367E-2</v>
      </c>
      <c r="AN29" s="10">
        <f t="shared" si="10"/>
        <v>-6.3837823915946501E-16</v>
      </c>
      <c r="AO29" s="10">
        <v>-6.3837823915946501E-16</v>
      </c>
      <c r="AP29" s="10">
        <v>-6.3837823915946501E-16</v>
      </c>
      <c r="AQ29" s="10">
        <v>-6.3837823915946501E-16</v>
      </c>
      <c r="AR29" s="10">
        <v>-6.3837823915946501E-16</v>
      </c>
      <c r="AS29" s="10">
        <v>-6.3837823915946501E-16</v>
      </c>
      <c r="AT29" s="10">
        <v>-6.3837823915946501E-16</v>
      </c>
      <c r="AU29" s="10">
        <v>-6.3837823915946501E-16</v>
      </c>
      <c r="AV29" s="10">
        <v>-6.3837823915946501E-16</v>
      </c>
      <c r="AW29" s="10">
        <v>-6.3837823915946501E-16</v>
      </c>
      <c r="AX29" s="10">
        <v>-6.3837823915946501E-16</v>
      </c>
      <c r="AY29" s="10">
        <v>-6.3837823915946501E-16</v>
      </c>
      <c r="AZ29" s="10">
        <v>-6.3837823915946501E-16</v>
      </c>
      <c r="BA29" s="10">
        <v>-6.3837823915946501E-16</v>
      </c>
      <c r="BB29" s="10">
        <v>-6.3837823915946501E-16</v>
      </c>
      <c r="BC29" s="10">
        <v>-6.3837823915946501E-16</v>
      </c>
      <c r="BD29" s="10">
        <v>-6.3837823915946501E-16</v>
      </c>
      <c r="BE29" s="10">
        <v>-6.3837823915946501E-16</v>
      </c>
      <c r="BF29" s="10">
        <v>-6.3837823915946501E-16</v>
      </c>
      <c r="BG29" s="10">
        <v>-6.3837823915946501E-16</v>
      </c>
      <c r="BH29" s="10">
        <v>-6.3837823915946501E-16</v>
      </c>
      <c r="BI29" s="10">
        <v>-6.3837823915946501E-16</v>
      </c>
      <c r="BJ29" s="10">
        <v>-6.3837823915946501E-16</v>
      </c>
      <c r="BK29" s="10">
        <v>-6.3837823915946501E-16</v>
      </c>
      <c r="BL29" s="10">
        <v>-6.3837823915946501E-16</v>
      </c>
      <c r="BM29" s="10">
        <v>-6.3837823915946501E-16</v>
      </c>
      <c r="BN29" s="10">
        <v>-6.3837823915946501E-16</v>
      </c>
      <c r="BO29" s="10">
        <v>-6.3837823915946501E-16</v>
      </c>
      <c r="BP29" s="10">
        <v>-6.3837823915946501E-16</v>
      </c>
      <c r="BQ29" s="10">
        <v>-6.3837823915946501E-16</v>
      </c>
      <c r="BR29" s="10">
        <v>-6.3837823915946501E-16</v>
      </c>
    </row>
    <row r="30" spans="1:70" hidden="1" x14ac:dyDescent="0.25">
      <c r="A30" s="7">
        <v>6</v>
      </c>
      <c r="B30" s="7" t="s">
        <v>338</v>
      </c>
      <c r="C30" s="7" t="s">
        <v>339</v>
      </c>
      <c r="D30" s="7">
        <v>4</v>
      </c>
      <c r="E30" s="7" t="s">
        <v>494</v>
      </c>
      <c r="F30" s="7"/>
      <c r="G30" s="7"/>
      <c r="H30" s="7"/>
      <c r="I30" s="7">
        <v>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1:70" hidden="1" x14ac:dyDescent="0.25">
      <c r="A31" s="7">
        <v>6</v>
      </c>
      <c r="B31" s="7" t="s">
        <v>338</v>
      </c>
      <c r="C31" s="7" t="s">
        <v>339</v>
      </c>
      <c r="D31" s="7">
        <v>5</v>
      </c>
      <c r="E31" s="7" t="s">
        <v>496</v>
      </c>
      <c r="F31" s="7"/>
      <c r="G31" s="7"/>
      <c r="H31" s="7"/>
      <c r="I31" s="7">
        <v>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1:70" hidden="1" x14ac:dyDescent="0.25">
      <c r="A32" s="6">
        <v>7</v>
      </c>
      <c r="B32" s="6" t="s">
        <v>340</v>
      </c>
      <c r="C32" s="6" t="s">
        <v>341</v>
      </c>
      <c r="D32" s="6">
        <v>1</v>
      </c>
      <c r="E32" s="6" t="s">
        <v>489</v>
      </c>
      <c r="F32" s="6" t="s">
        <v>504</v>
      </c>
      <c r="G32" s="6" t="s">
        <v>505</v>
      </c>
      <c r="H32" s="6" t="s">
        <v>500</v>
      </c>
      <c r="I32" s="6">
        <v>0</v>
      </c>
      <c r="J32" s="40">
        <v>216000</v>
      </c>
      <c r="K32" s="40">
        <v>216000</v>
      </c>
      <c r="L32" s="40">
        <v>216000</v>
      </c>
      <c r="M32" s="40">
        <v>216000</v>
      </c>
      <c r="N32" s="40">
        <v>216000</v>
      </c>
      <c r="O32" s="40">
        <v>216000</v>
      </c>
      <c r="P32" s="40">
        <v>216000</v>
      </c>
      <c r="Q32" s="40">
        <v>216000</v>
      </c>
      <c r="R32" s="40">
        <v>216000</v>
      </c>
      <c r="S32" s="8">
        <v>211750</v>
      </c>
      <c r="T32" s="3">
        <v>207500</v>
      </c>
      <c r="U32" s="3">
        <v>203250</v>
      </c>
      <c r="V32" s="3">
        <v>199000</v>
      </c>
      <c r="W32" s="3">
        <v>194750</v>
      </c>
      <c r="X32" s="3">
        <v>190500</v>
      </c>
      <c r="Y32" s="3">
        <v>186250</v>
      </c>
      <c r="Z32" s="3">
        <v>182000</v>
      </c>
      <c r="AA32" s="3">
        <v>177750</v>
      </c>
      <c r="AB32" s="3">
        <v>173500</v>
      </c>
      <c r="AC32" s="3">
        <v>169250</v>
      </c>
      <c r="AD32" s="3">
        <v>165000</v>
      </c>
      <c r="AE32" s="3">
        <v>164050</v>
      </c>
      <c r="AF32" s="3">
        <v>163100</v>
      </c>
      <c r="AG32" s="3">
        <v>162150</v>
      </c>
      <c r="AH32" s="3">
        <v>161200</v>
      </c>
      <c r="AI32" s="3">
        <v>160250</v>
      </c>
      <c r="AJ32" s="3">
        <v>159300</v>
      </c>
      <c r="AK32" s="3">
        <v>158350</v>
      </c>
      <c r="AL32" s="3">
        <v>157400</v>
      </c>
      <c r="AM32" s="3">
        <v>156450</v>
      </c>
      <c r="AN32" s="3">
        <v>155500</v>
      </c>
      <c r="AO32" s="3">
        <v>154550</v>
      </c>
      <c r="AP32" s="3">
        <v>153600</v>
      </c>
      <c r="AQ32" s="3">
        <v>152650</v>
      </c>
      <c r="AR32" s="3">
        <v>151700</v>
      </c>
      <c r="AS32" s="3">
        <v>150750</v>
      </c>
      <c r="AT32" s="3">
        <v>149800</v>
      </c>
      <c r="AU32" s="3">
        <v>148850</v>
      </c>
      <c r="AV32" s="3">
        <v>147900</v>
      </c>
      <c r="AW32" s="3">
        <v>146950</v>
      </c>
      <c r="AX32" s="3">
        <v>146000</v>
      </c>
      <c r="AY32" s="3">
        <f t="shared" ref="AY32:BR32" si="11">AX32</f>
        <v>146000</v>
      </c>
      <c r="AZ32" s="3">
        <f t="shared" si="11"/>
        <v>146000</v>
      </c>
      <c r="BA32" s="3">
        <f t="shared" si="11"/>
        <v>146000</v>
      </c>
      <c r="BB32" s="3">
        <f t="shared" si="11"/>
        <v>146000</v>
      </c>
      <c r="BC32" s="3">
        <f t="shared" si="11"/>
        <v>146000</v>
      </c>
      <c r="BD32" s="3">
        <f t="shared" si="11"/>
        <v>146000</v>
      </c>
      <c r="BE32" s="3">
        <f t="shared" si="11"/>
        <v>146000</v>
      </c>
      <c r="BF32" s="3">
        <f t="shared" si="11"/>
        <v>146000</v>
      </c>
      <c r="BG32" s="3">
        <f t="shared" si="11"/>
        <v>146000</v>
      </c>
      <c r="BH32" s="3">
        <f t="shared" si="11"/>
        <v>146000</v>
      </c>
      <c r="BI32" s="3">
        <f t="shared" si="11"/>
        <v>146000</v>
      </c>
      <c r="BJ32" s="3">
        <f t="shared" si="11"/>
        <v>146000</v>
      </c>
      <c r="BK32" s="3">
        <f t="shared" si="11"/>
        <v>146000</v>
      </c>
      <c r="BL32" s="3">
        <f t="shared" si="11"/>
        <v>146000</v>
      </c>
      <c r="BM32" s="3">
        <f t="shared" si="11"/>
        <v>146000</v>
      </c>
      <c r="BN32" s="3">
        <f t="shared" si="11"/>
        <v>146000</v>
      </c>
      <c r="BO32" s="3">
        <f t="shared" si="11"/>
        <v>146000</v>
      </c>
      <c r="BP32" s="3">
        <f t="shared" si="11"/>
        <v>146000</v>
      </c>
      <c r="BQ32" s="3">
        <f t="shared" si="11"/>
        <v>146000</v>
      </c>
      <c r="BR32" s="3">
        <f t="shared" si="11"/>
        <v>146000</v>
      </c>
    </row>
    <row r="33" spans="1:70" hidden="1" x14ac:dyDescent="0.25">
      <c r="A33" s="6">
        <v>7</v>
      </c>
      <c r="B33" s="6" t="s">
        <v>340</v>
      </c>
      <c r="C33" s="6" t="s">
        <v>341</v>
      </c>
      <c r="D33" s="6">
        <v>2</v>
      </c>
      <c r="E33" s="6" t="s">
        <v>491</v>
      </c>
      <c r="F33" s="6" t="s">
        <v>553</v>
      </c>
      <c r="G33" s="6" t="s">
        <v>505</v>
      </c>
      <c r="H33" s="6" t="s">
        <v>501</v>
      </c>
      <c r="I33" s="6">
        <v>0</v>
      </c>
      <c r="J33" s="6">
        <v>98</v>
      </c>
      <c r="K33" s="6"/>
      <c r="L33" s="6"/>
      <c r="M33" s="6"/>
      <c r="N33" s="6"/>
      <c r="O33" s="6"/>
      <c r="P33" s="6"/>
      <c r="Q33" s="6"/>
      <c r="R33" s="6"/>
      <c r="S33" s="6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1:70" hidden="1" x14ac:dyDescent="0.25">
      <c r="A34" s="6">
        <v>7</v>
      </c>
      <c r="B34" s="6" t="s">
        <v>340</v>
      </c>
      <c r="C34" s="6" t="s">
        <v>341</v>
      </c>
      <c r="D34" s="6">
        <v>3</v>
      </c>
      <c r="E34" s="6" t="s">
        <v>493</v>
      </c>
      <c r="F34" s="6" t="s">
        <v>506</v>
      </c>
      <c r="G34" s="6" t="s">
        <v>507</v>
      </c>
      <c r="H34" s="6"/>
      <c r="I34" s="6">
        <v>0</v>
      </c>
      <c r="J34" s="9"/>
      <c r="K34" s="9"/>
      <c r="L34" s="9"/>
      <c r="M34" s="9"/>
      <c r="N34" s="9"/>
      <c r="O34" s="9"/>
      <c r="P34" s="9"/>
      <c r="Q34" s="9"/>
      <c r="R34" s="9"/>
      <c r="S34" s="14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</row>
    <row r="35" spans="1:70" hidden="1" x14ac:dyDescent="0.25">
      <c r="A35" s="6">
        <v>7</v>
      </c>
      <c r="B35" s="6" t="s">
        <v>340</v>
      </c>
      <c r="C35" s="6" t="s">
        <v>341</v>
      </c>
      <c r="D35" s="6">
        <v>4</v>
      </c>
      <c r="E35" s="6" t="s">
        <v>494</v>
      </c>
      <c r="F35" s="6"/>
      <c r="G35" s="6"/>
      <c r="H35" s="6"/>
      <c r="I35" s="6">
        <v>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1:70" hidden="1" x14ac:dyDescent="0.25">
      <c r="A36" s="6">
        <v>7</v>
      </c>
      <c r="B36" s="6" t="s">
        <v>340</v>
      </c>
      <c r="C36" s="6" t="s">
        <v>341</v>
      </c>
      <c r="D36" s="6">
        <v>5</v>
      </c>
      <c r="E36" s="6" t="s">
        <v>496</v>
      </c>
      <c r="F36" s="6"/>
      <c r="G36" s="6"/>
      <c r="H36" s="6"/>
      <c r="I36" s="6">
        <v>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1:70" hidden="1" x14ac:dyDescent="0.25">
      <c r="A37" s="7">
        <v>8</v>
      </c>
      <c r="B37" s="7" t="s">
        <v>342</v>
      </c>
      <c r="C37" s="7" t="s">
        <v>343</v>
      </c>
      <c r="D37" s="7">
        <v>1</v>
      </c>
      <c r="E37" s="7" t="s">
        <v>489</v>
      </c>
      <c r="F37" s="7" t="s">
        <v>504</v>
      </c>
      <c r="G37" s="7" t="s">
        <v>505</v>
      </c>
      <c r="H37" s="7" t="s">
        <v>500</v>
      </c>
      <c r="I37" s="7">
        <v>0</v>
      </c>
      <c r="J37" s="41">
        <v>143000</v>
      </c>
      <c r="K37" s="41">
        <v>143000</v>
      </c>
      <c r="L37" s="41">
        <v>143000</v>
      </c>
      <c r="M37" s="41">
        <v>143000</v>
      </c>
      <c r="N37" s="41">
        <v>143000</v>
      </c>
      <c r="O37" s="41">
        <v>143000</v>
      </c>
      <c r="P37" s="41">
        <v>143000</v>
      </c>
      <c r="Q37" s="41">
        <v>143000</v>
      </c>
      <c r="R37" s="41">
        <v>143000</v>
      </c>
      <c r="S37" s="11">
        <v>143389.66984055442</v>
      </c>
      <c r="T37" s="3">
        <v>143064.14445884278</v>
      </c>
      <c r="U37" s="3">
        <v>142698.18017916507</v>
      </c>
      <c r="V37" s="3">
        <v>141655.44537720436</v>
      </c>
      <c r="W37" s="3">
        <v>140585.69966383086</v>
      </c>
      <c r="X37" s="3">
        <v>139496.53501605729</v>
      </c>
      <c r="Y37" s="3">
        <v>138380.46274907512</v>
      </c>
      <c r="Z37" s="3">
        <v>137244.86825548863</v>
      </c>
      <c r="AA37" s="3">
        <v>136086.03301594462</v>
      </c>
      <c r="AB37" s="3">
        <v>134900.44509549841</v>
      </c>
      <c r="AC37" s="3">
        <v>133695.18001014148</v>
      </c>
      <c r="AD37" s="3">
        <v>132463.26553608652</v>
      </c>
      <c r="AE37" s="3">
        <v>132233.80190433262</v>
      </c>
      <c r="AF37" s="3">
        <v>131995.08845568763</v>
      </c>
      <c r="AG37" s="3">
        <v>131747.12519015154</v>
      </c>
      <c r="AH37" s="3">
        <v>131489.91210772435</v>
      </c>
      <c r="AI37" s="3">
        <v>131223.44920840606</v>
      </c>
      <c r="AJ37" s="3">
        <v>130947.73649219669</v>
      </c>
      <c r="AK37" s="3">
        <v>130662.77395909624</v>
      </c>
      <c r="AL37" s="3">
        <v>130368.56160910467</v>
      </c>
      <c r="AM37" s="3">
        <v>130065.09944222202</v>
      </c>
      <c r="AN37" s="3">
        <v>129752.38745844828</v>
      </c>
      <c r="AO37" s="3">
        <v>129430.42565778346</v>
      </c>
      <c r="AP37" s="3">
        <v>129099.21404022754</v>
      </c>
      <c r="AQ37" s="3">
        <v>128758.75260578052</v>
      </c>
      <c r="AR37" s="3">
        <v>128409.04135444242</v>
      </c>
      <c r="AS37" s="3">
        <v>128050.08028621323</v>
      </c>
      <c r="AT37" s="3">
        <v>127678.83261028781</v>
      </c>
      <c r="AU37" s="3">
        <v>127301.39514902238</v>
      </c>
      <c r="AV37" s="3">
        <v>126914.70787086585</v>
      </c>
      <c r="AW37" s="3">
        <v>126518.77077581822</v>
      </c>
      <c r="AX37" s="3">
        <v>126113.58386387968</v>
      </c>
      <c r="AY37" s="3">
        <f t="shared" ref="AY37:BR37" si="12">AX37</f>
        <v>126113.58386387968</v>
      </c>
      <c r="AZ37" s="3">
        <f t="shared" si="12"/>
        <v>126113.58386387968</v>
      </c>
      <c r="BA37" s="3">
        <f t="shared" si="12"/>
        <v>126113.58386387968</v>
      </c>
      <c r="BB37" s="3">
        <f t="shared" si="12"/>
        <v>126113.58386387968</v>
      </c>
      <c r="BC37" s="3">
        <f t="shared" si="12"/>
        <v>126113.58386387968</v>
      </c>
      <c r="BD37" s="3">
        <f t="shared" si="12"/>
        <v>126113.58386387968</v>
      </c>
      <c r="BE37" s="3">
        <f t="shared" si="12"/>
        <v>126113.58386387968</v>
      </c>
      <c r="BF37" s="3">
        <f t="shared" si="12"/>
        <v>126113.58386387968</v>
      </c>
      <c r="BG37" s="3">
        <f t="shared" si="12"/>
        <v>126113.58386387968</v>
      </c>
      <c r="BH37" s="3">
        <f t="shared" si="12"/>
        <v>126113.58386387968</v>
      </c>
      <c r="BI37" s="3">
        <f t="shared" si="12"/>
        <v>126113.58386387968</v>
      </c>
      <c r="BJ37" s="3">
        <f t="shared" si="12"/>
        <v>126113.58386387968</v>
      </c>
      <c r="BK37" s="3">
        <f t="shared" si="12"/>
        <v>126113.58386387968</v>
      </c>
      <c r="BL37" s="3">
        <f t="shared" si="12"/>
        <v>126113.58386387968</v>
      </c>
      <c r="BM37" s="3">
        <f t="shared" si="12"/>
        <v>126113.58386387968</v>
      </c>
      <c r="BN37" s="3">
        <f t="shared" si="12"/>
        <v>126113.58386387968</v>
      </c>
      <c r="BO37" s="3">
        <f t="shared" si="12"/>
        <v>126113.58386387968</v>
      </c>
      <c r="BP37" s="3">
        <f t="shared" si="12"/>
        <v>126113.58386387968</v>
      </c>
      <c r="BQ37" s="3">
        <f t="shared" si="12"/>
        <v>126113.58386387968</v>
      </c>
      <c r="BR37" s="3">
        <f t="shared" si="12"/>
        <v>126113.58386387968</v>
      </c>
    </row>
    <row r="38" spans="1:70" hidden="1" x14ac:dyDescent="0.25">
      <c r="A38" s="7">
        <v>8</v>
      </c>
      <c r="B38" s="7" t="s">
        <v>342</v>
      </c>
      <c r="C38" s="7" t="s">
        <v>343</v>
      </c>
      <c r="D38" s="7">
        <v>2</v>
      </c>
      <c r="E38" s="7" t="s">
        <v>491</v>
      </c>
      <c r="F38" s="7" t="s">
        <v>553</v>
      </c>
      <c r="G38" s="7" t="s">
        <v>505</v>
      </c>
      <c r="H38" s="7" t="s">
        <v>501</v>
      </c>
      <c r="I38" s="7">
        <v>0</v>
      </c>
      <c r="J38" s="7">
        <v>0</v>
      </c>
      <c r="K38" s="7"/>
      <c r="L38" s="7"/>
      <c r="M38" s="7"/>
      <c r="N38" s="7"/>
      <c r="O38" s="7"/>
      <c r="P38" s="7"/>
      <c r="Q38" s="7"/>
      <c r="R38" s="7"/>
      <c r="S38" s="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hidden="1" x14ac:dyDescent="0.25">
      <c r="A39" s="7">
        <v>8</v>
      </c>
      <c r="B39" s="7" t="s">
        <v>342</v>
      </c>
      <c r="C39" s="7" t="s">
        <v>343</v>
      </c>
      <c r="D39" s="7">
        <v>3</v>
      </c>
      <c r="E39" s="7" t="s">
        <v>493</v>
      </c>
      <c r="F39" s="7" t="s">
        <v>506</v>
      </c>
      <c r="G39" s="7" t="s">
        <v>507</v>
      </c>
      <c r="H39" s="7"/>
      <c r="I39" s="7">
        <v>0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</row>
    <row r="40" spans="1:70" hidden="1" x14ac:dyDescent="0.25">
      <c r="A40" s="7">
        <v>8</v>
      </c>
      <c r="B40" s="7" t="s">
        <v>342</v>
      </c>
      <c r="C40" s="7" t="s">
        <v>343</v>
      </c>
      <c r="D40" s="7">
        <v>4</v>
      </c>
      <c r="E40" s="7" t="s">
        <v>494</v>
      </c>
      <c r="F40" s="7"/>
      <c r="G40" s="7"/>
      <c r="H40" s="7"/>
      <c r="I40" s="7">
        <v>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1:70" hidden="1" x14ac:dyDescent="0.25">
      <c r="A41" s="7">
        <v>8</v>
      </c>
      <c r="B41" s="7" t="s">
        <v>342</v>
      </c>
      <c r="C41" s="7" t="s">
        <v>343</v>
      </c>
      <c r="D41" s="7">
        <v>5</v>
      </c>
      <c r="E41" s="7" t="s">
        <v>496</v>
      </c>
      <c r="F41" s="7"/>
      <c r="G41" s="7"/>
      <c r="H41" s="7"/>
      <c r="I41" s="7">
        <v>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1:70" hidden="1" x14ac:dyDescent="0.25">
      <c r="A42" s="6">
        <v>9</v>
      </c>
      <c r="B42" s="6" t="s">
        <v>344</v>
      </c>
      <c r="C42" s="6" t="s">
        <v>345</v>
      </c>
      <c r="D42" s="6">
        <v>1</v>
      </c>
      <c r="E42" s="6" t="s">
        <v>489</v>
      </c>
      <c r="F42" s="6" t="s">
        <v>504</v>
      </c>
      <c r="G42" s="6" t="s">
        <v>505</v>
      </c>
      <c r="H42" s="6" t="s">
        <v>500</v>
      </c>
      <c r="I42" s="6">
        <v>0</v>
      </c>
      <c r="J42" s="40">
        <v>510000.00000000006</v>
      </c>
      <c r="K42" s="40">
        <v>510000.00000000006</v>
      </c>
      <c r="L42" s="40">
        <v>510000.00000000006</v>
      </c>
      <c r="M42" s="40">
        <v>510000.00000000006</v>
      </c>
      <c r="N42" s="40">
        <v>510000.00000000006</v>
      </c>
      <c r="O42" s="40">
        <v>510000.00000000006</v>
      </c>
      <c r="P42" s="40">
        <v>510000.00000000006</v>
      </c>
      <c r="Q42" s="40">
        <v>510000.00000000006</v>
      </c>
      <c r="R42" s="40">
        <v>510000.00000000006</v>
      </c>
      <c r="S42" s="8">
        <v>490416.66666666674</v>
      </c>
      <c r="T42" s="3">
        <v>470833.33333333343</v>
      </c>
      <c r="U42" s="3">
        <v>451250.00000000012</v>
      </c>
      <c r="V42" s="3">
        <v>431666.6666666668</v>
      </c>
      <c r="W42" s="3">
        <v>412083.33333333349</v>
      </c>
      <c r="X42" s="3">
        <v>392500.00000000017</v>
      </c>
      <c r="Y42" s="3">
        <v>372916.66666666686</v>
      </c>
      <c r="Z42" s="3">
        <v>353333.33333333355</v>
      </c>
      <c r="AA42" s="3">
        <v>333750.00000000023</v>
      </c>
      <c r="AB42" s="3">
        <v>314166.66666666692</v>
      </c>
      <c r="AC42" s="3">
        <v>294583.3333333336</v>
      </c>
      <c r="AD42" s="3">
        <v>275000</v>
      </c>
      <c r="AE42" s="3">
        <v>261300</v>
      </c>
      <c r="AF42" s="3">
        <v>247600</v>
      </c>
      <c r="AG42" s="3">
        <v>233900</v>
      </c>
      <c r="AH42" s="3">
        <v>220200</v>
      </c>
      <c r="AI42" s="3">
        <v>206500</v>
      </c>
      <c r="AJ42" s="3">
        <v>192800</v>
      </c>
      <c r="AK42" s="3">
        <v>179100</v>
      </c>
      <c r="AL42" s="3">
        <v>165400</v>
      </c>
      <c r="AM42" s="3">
        <v>151700</v>
      </c>
      <c r="AN42" s="3">
        <v>138000</v>
      </c>
      <c r="AO42" s="3">
        <v>136200</v>
      </c>
      <c r="AP42" s="3">
        <v>134400</v>
      </c>
      <c r="AQ42" s="3">
        <v>132600</v>
      </c>
      <c r="AR42" s="3">
        <v>130800</v>
      </c>
      <c r="AS42" s="3">
        <v>129000</v>
      </c>
      <c r="AT42" s="3">
        <v>127200</v>
      </c>
      <c r="AU42" s="3">
        <v>125400</v>
      </c>
      <c r="AV42" s="3">
        <v>123600</v>
      </c>
      <c r="AW42" s="3">
        <v>121800</v>
      </c>
      <c r="AX42" s="3">
        <v>120000</v>
      </c>
      <c r="AY42" s="3">
        <f t="shared" ref="AY42:BR42" si="13">AX42</f>
        <v>120000</v>
      </c>
      <c r="AZ42" s="3">
        <f t="shared" si="13"/>
        <v>120000</v>
      </c>
      <c r="BA42" s="3">
        <f t="shared" si="13"/>
        <v>120000</v>
      </c>
      <c r="BB42" s="3">
        <f t="shared" si="13"/>
        <v>120000</v>
      </c>
      <c r="BC42" s="3">
        <f t="shared" si="13"/>
        <v>120000</v>
      </c>
      <c r="BD42" s="3">
        <f t="shared" si="13"/>
        <v>120000</v>
      </c>
      <c r="BE42" s="3">
        <f t="shared" si="13"/>
        <v>120000</v>
      </c>
      <c r="BF42" s="3">
        <f t="shared" si="13"/>
        <v>120000</v>
      </c>
      <c r="BG42" s="3">
        <f t="shared" si="13"/>
        <v>120000</v>
      </c>
      <c r="BH42" s="3">
        <f t="shared" si="13"/>
        <v>120000</v>
      </c>
      <c r="BI42" s="3">
        <f t="shared" si="13"/>
        <v>120000</v>
      </c>
      <c r="BJ42" s="3">
        <f t="shared" si="13"/>
        <v>120000</v>
      </c>
      <c r="BK42" s="3">
        <f t="shared" si="13"/>
        <v>120000</v>
      </c>
      <c r="BL42" s="3">
        <f t="shared" si="13"/>
        <v>120000</v>
      </c>
      <c r="BM42" s="3">
        <f t="shared" si="13"/>
        <v>120000</v>
      </c>
      <c r="BN42" s="3">
        <f t="shared" si="13"/>
        <v>120000</v>
      </c>
      <c r="BO42" s="3">
        <f t="shared" si="13"/>
        <v>120000</v>
      </c>
      <c r="BP42" s="3">
        <f t="shared" si="13"/>
        <v>120000</v>
      </c>
      <c r="BQ42" s="3">
        <f t="shared" si="13"/>
        <v>120000</v>
      </c>
      <c r="BR42" s="3">
        <f t="shared" si="13"/>
        <v>120000</v>
      </c>
    </row>
    <row r="43" spans="1:70" hidden="1" x14ac:dyDescent="0.25">
      <c r="A43" s="6">
        <v>9</v>
      </c>
      <c r="B43" s="6" t="s">
        <v>344</v>
      </c>
      <c r="C43" s="6" t="s">
        <v>345</v>
      </c>
      <c r="D43" s="6">
        <v>2</v>
      </c>
      <c r="E43" s="6" t="s">
        <v>491</v>
      </c>
      <c r="F43" s="6" t="s">
        <v>553</v>
      </c>
      <c r="G43" s="6" t="s">
        <v>505</v>
      </c>
      <c r="H43" s="6" t="s">
        <v>501</v>
      </c>
      <c r="I43" s="6">
        <v>0</v>
      </c>
      <c r="J43" s="6">
        <v>105</v>
      </c>
      <c r="K43" s="6"/>
      <c r="L43" s="6"/>
      <c r="M43" s="6"/>
      <c r="N43" s="6"/>
      <c r="O43" s="6"/>
      <c r="P43" s="6"/>
      <c r="Q43" s="6"/>
      <c r="R43" s="6"/>
      <c r="S43" s="6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1:70" hidden="1" x14ac:dyDescent="0.25">
      <c r="A44" s="6">
        <v>9</v>
      </c>
      <c r="B44" s="6" t="s">
        <v>344</v>
      </c>
      <c r="C44" s="6" t="s">
        <v>345</v>
      </c>
      <c r="D44" s="6">
        <v>3</v>
      </c>
      <c r="E44" s="6" t="s">
        <v>493</v>
      </c>
      <c r="F44" s="6" t="s">
        <v>506</v>
      </c>
      <c r="G44" s="6" t="s">
        <v>507</v>
      </c>
      <c r="H44" s="6"/>
      <c r="I44" s="6">
        <v>0</v>
      </c>
      <c r="J44" s="9"/>
      <c r="K44" s="9"/>
      <c r="L44" s="9"/>
      <c r="M44" s="9"/>
      <c r="N44" s="9"/>
      <c r="O44" s="9"/>
      <c r="P44" s="9"/>
      <c r="Q44" s="9"/>
      <c r="R44" s="9"/>
      <c r="S44" s="14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</row>
    <row r="45" spans="1:70" hidden="1" x14ac:dyDescent="0.25">
      <c r="A45" s="6">
        <v>9</v>
      </c>
      <c r="B45" s="6" t="s">
        <v>344</v>
      </c>
      <c r="C45" s="6" t="s">
        <v>345</v>
      </c>
      <c r="D45" s="6">
        <v>4</v>
      </c>
      <c r="E45" s="6" t="s">
        <v>494</v>
      </c>
      <c r="F45" s="6"/>
      <c r="G45" s="6"/>
      <c r="H45" s="6"/>
      <c r="I45" s="6">
        <v>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1:70" hidden="1" x14ac:dyDescent="0.25">
      <c r="A46" s="6">
        <v>9</v>
      </c>
      <c r="B46" s="6" t="s">
        <v>344</v>
      </c>
      <c r="C46" s="6" t="s">
        <v>345</v>
      </c>
      <c r="D46" s="6">
        <v>5</v>
      </c>
      <c r="E46" s="6" t="s">
        <v>496</v>
      </c>
      <c r="F46" s="6"/>
      <c r="G46" s="6"/>
      <c r="H46" s="6"/>
      <c r="I46" s="6">
        <v>0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1:70" hidden="1" x14ac:dyDescent="0.25">
      <c r="A47" s="7">
        <v>10</v>
      </c>
      <c r="B47" s="7" t="s">
        <v>346</v>
      </c>
      <c r="C47" s="7" t="s">
        <v>347</v>
      </c>
      <c r="D47" s="7">
        <v>1</v>
      </c>
      <c r="E47" s="7" t="s">
        <v>489</v>
      </c>
      <c r="F47" s="7" t="s">
        <v>504</v>
      </c>
      <c r="G47" s="7" t="s">
        <v>505</v>
      </c>
      <c r="H47" s="7" t="s">
        <v>500</v>
      </c>
      <c r="I47" s="7">
        <v>0</v>
      </c>
      <c r="J47" s="41">
        <v>375000</v>
      </c>
      <c r="K47" s="41">
        <v>375000</v>
      </c>
      <c r="L47" s="41">
        <v>375000</v>
      </c>
      <c r="M47" s="41">
        <v>375000</v>
      </c>
      <c r="N47" s="41">
        <v>375000</v>
      </c>
      <c r="O47" s="41">
        <v>375000</v>
      </c>
      <c r="P47" s="41">
        <v>375000</v>
      </c>
      <c r="Q47" s="41">
        <v>375000</v>
      </c>
      <c r="R47" s="41">
        <v>375000</v>
      </c>
      <c r="S47" s="11">
        <v>362083.33333333331</v>
      </c>
      <c r="T47" s="3">
        <v>349166.66666666663</v>
      </c>
      <c r="U47" s="3">
        <v>336249.99999999994</v>
      </c>
      <c r="V47" s="3">
        <v>323333.33333333326</v>
      </c>
      <c r="W47" s="3">
        <v>310416.66666666657</v>
      </c>
      <c r="X47" s="3">
        <v>297499.99999999988</v>
      </c>
      <c r="Y47" s="3">
        <v>284583.3333333332</v>
      </c>
      <c r="Z47" s="3">
        <v>271666.66666666651</v>
      </c>
      <c r="AA47" s="3">
        <v>258749.99999999985</v>
      </c>
      <c r="AB47" s="3">
        <v>245833.3333333332</v>
      </c>
      <c r="AC47" s="3">
        <v>232916.66666666654</v>
      </c>
      <c r="AD47" s="3">
        <v>220000</v>
      </c>
      <c r="AE47" s="3">
        <v>210000</v>
      </c>
      <c r="AF47" s="3">
        <v>200000</v>
      </c>
      <c r="AG47" s="3">
        <v>190000</v>
      </c>
      <c r="AH47" s="3">
        <v>180000</v>
      </c>
      <c r="AI47" s="3">
        <v>170000</v>
      </c>
      <c r="AJ47" s="3">
        <v>160000</v>
      </c>
      <c r="AK47" s="3">
        <v>150000</v>
      </c>
      <c r="AL47" s="3">
        <v>140000</v>
      </c>
      <c r="AM47" s="3">
        <v>130000</v>
      </c>
      <c r="AN47" s="3">
        <v>120000</v>
      </c>
      <c r="AO47" s="3">
        <v>118000</v>
      </c>
      <c r="AP47" s="3">
        <v>116000</v>
      </c>
      <c r="AQ47" s="3">
        <v>114000</v>
      </c>
      <c r="AR47" s="3">
        <v>112000</v>
      </c>
      <c r="AS47" s="3">
        <v>110000</v>
      </c>
      <c r="AT47" s="3">
        <v>108000</v>
      </c>
      <c r="AU47" s="3">
        <v>106000</v>
      </c>
      <c r="AV47" s="3">
        <v>104000</v>
      </c>
      <c r="AW47" s="3">
        <v>102000</v>
      </c>
      <c r="AX47" s="3">
        <v>100000</v>
      </c>
      <c r="AY47" s="3">
        <f t="shared" ref="AY47:BR47" si="14">AX47</f>
        <v>100000</v>
      </c>
      <c r="AZ47" s="3">
        <f t="shared" si="14"/>
        <v>100000</v>
      </c>
      <c r="BA47" s="3">
        <f t="shared" si="14"/>
        <v>100000</v>
      </c>
      <c r="BB47" s="3">
        <f t="shared" si="14"/>
        <v>100000</v>
      </c>
      <c r="BC47" s="3">
        <f t="shared" si="14"/>
        <v>100000</v>
      </c>
      <c r="BD47" s="3">
        <f t="shared" si="14"/>
        <v>100000</v>
      </c>
      <c r="BE47" s="3">
        <f t="shared" si="14"/>
        <v>100000</v>
      </c>
      <c r="BF47" s="3">
        <f t="shared" si="14"/>
        <v>100000</v>
      </c>
      <c r="BG47" s="3">
        <f t="shared" si="14"/>
        <v>100000</v>
      </c>
      <c r="BH47" s="3">
        <f t="shared" si="14"/>
        <v>100000</v>
      </c>
      <c r="BI47" s="3">
        <f t="shared" si="14"/>
        <v>100000</v>
      </c>
      <c r="BJ47" s="3">
        <f t="shared" si="14"/>
        <v>100000</v>
      </c>
      <c r="BK47" s="3">
        <f t="shared" si="14"/>
        <v>100000</v>
      </c>
      <c r="BL47" s="3">
        <f t="shared" si="14"/>
        <v>100000</v>
      </c>
      <c r="BM47" s="3">
        <f t="shared" si="14"/>
        <v>100000</v>
      </c>
      <c r="BN47" s="3">
        <f t="shared" si="14"/>
        <v>100000</v>
      </c>
      <c r="BO47" s="3">
        <f t="shared" si="14"/>
        <v>100000</v>
      </c>
      <c r="BP47" s="3">
        <f t="shared" si="14"/>
        <v>100000</v>
      </c>
      <c r="BQ47" s="3">
        <f t="shared" si="14"/>
        <v>100000</v>
      </c>
      <c r="BR47" s="3">
        <f t="shared" si="14"/>
        <v>100000</v>
      </c>
    </row>
    <row r="48" spans="1:70" hidden="1" x14ac:dyDescent="0.25">
      <c r="A48" s="7">
        <v>10</v>
      </c>
      <c r="B48" s="7" t="s">
        <v>346</v>
      </c>
      <c r="C48" s="7" t="s">
        <v>347</v>
      </c>
      <c r="D48" s="7">
        <v>2</v>
      </c>
      <c r="E48" s="7" t="s">
        <v>491</v>
      </c>
      <c r="F48" s="7" t="s">
        <v>553</v>
      </c>
      <c r="G48" s="7" t="s">
        <v>505</v>
      </c>
      <c r="H48" s="7" t="s">
        <v>501</v>
      </c>
      <c r="I48" s="7">
        <v>0</v>
      </c>
      <c r="J48" s="7">
        <v>40</v>
      </c>
      <c r="K48" s="7"/>
      <c r="L48" s="7"/>
      <c r="M48" s="7"/>
      <c r="N48" s="7"/>
      <c r="O48" s="7"/>
      <c r="P48" s="7"/>
      <c r="Q48" s="7"/>
      <c r="R48" s="7"/>
      <c r="S48" s="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70" hidden="1" x14ac:dyDescent="0.25">
      <c r="A49" s="7">
        <v>10</v>
      </c>
      <c r="B49" s="7" t="s">
        <v>346</v>
      </c>
      <c r="C49" s="7" t="s">
        <v>347</v>
      </c>
      <c r="D49" s="7">
        <v>3</v>
      </c>
      <c r="E49" s="7" t="s">
        <v>493</v>
      </c>
      <c r="F49" s="7" t="s">
        <v>506</v>
      </c>
      <c r="G49" s="7" t="s">
        <v>507</v>
      </c>
      <c r="H49" s="7"/>
      <c r="I49" s="7">
        <v>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spans="1:70" hidden="1" x14ac:dyDescent="0.25">
      <c r="A50" s="7">
        <v>10</v>
      </c>
      <c r="B50" s="7" t="s">
        <v>346</v>
      </c>
      <c r="C50" s="7" t="s">
        <v>347</v>
      </c>
      <c r="D50" s="7">
        <v>4</v>
      </c>
      <c r="E50" s="7" t="s">
        <v>494</v>
      </c>
      <c r="F50" s="7"/>
      <c r="G50" s="7"/>
      <c r="H50" s="7"/>
      <c r="I50" s="7">
        <v>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1:70" hidden="1" x14ac:dyDescent="0.25">
      <c r="A51" s="7">
        <v>10</v>
      </c>
      <c r="B51" s="7" t="s">
        <v>346</v>
      </c>
      <c r="C51" s="7" t="s">
        <v>347</v>
      </c>
      <c r="D51" s="7">
        <v>5</v>
      </c>
      <c r="E51" s="7" t="s">
        <v>496</v>
      </c>
      <c r="F51" s="7"/>
      <c r="G51" s="7"/>
      <c r="H51" s="7"/>
      <c r="I51" s="7">
        <v>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1:70" hidden="1" x14ac:dyDescent="0.25">
      <c r="A52" s="6">
        <v>11</v>
      </c>
      <c r="B52" s="6" t="s">
        <v>348</v>
      </c>
      <c r="C52" s="6" t="s">
        <v>349</v>
      </c>
      <c r="D52" s="6">
        <v>1</v>
      </c>
      <c r="E52" s="6" t="s">
        <v>489</v>
      </c>
      <c r="F52" s="6" t="s">
        <v>504</v>
      </c>
      <c r="G52" s="6" t="s">
        <v>505</v>
      </c>
      <c r="H52" s="6" t="s">
        <v>500</v>
      </c>
      <c r="I52" s="6">
        <v>0</v>
      </c>
      <c r="J52" s="40">
        <v>110000</v>
      </c>
      <c r="K52" s="40">
        <v>110000</v>
      </c>
      <c r="L52" s="40">
        <v>110000</v>
      </c>
      <c r="M52" s="40">
        <v>110000</v>
      </c>
      <c r="N52" s="40">
        <v>110000</v>
      </c>
      <c r="O52" s="40">
        <v>110000</v>
      </c>
      <c r="P52" s="40">
        <v>110000</v>
      </c>
      <c r="Q52" s="40">
        <v>110000</v>
      </c>
      <c r="R52" s="40">
        <v>110000</v>
      </c>
      <c r="S52" s="8">
        <v>111732.21026536706</v>
      </c>
      <c r="T52" s="3">
        <v>112945.37720434954</v>
      </c>
      <c r="U52" s="3">
        <v>114158.54414333202</v>
      </c>
      <c r="V52" s="3">
        <v>114855.76652205757</v>
      </c>
      <c r="W52" s="3">
        <v>115549.89013465546</v>
      </c>
      <c r="X52" s="3">
        <v>116247.11251338103</v>
      </c>
      <c r="Y52" s="3">
        <v>116941.23612597892</v>
      </c>
      <c r="Z52" s="3">
        <v>117638.4585047045</v>
      </c>
      <c r="AA52" s="3">
        <v>118335.68088343005</v>
      </c>
      <c r="AB52" s="3">
        <v>119029.80449602794</v>
      </c>
      <c r="AC52" s="3">
        <v>119727.02687475349</v>
      </c>
      <c r="AD52" s="3">
        <v>120421.15048735138</v>
      </c>
      <c r="AE52" s="3">
        <v>121037.80494675755</v>
      </c>
      <c r="AF52" s="3">
        <v>121654.45940616372</v>
      </c>
      <c r="AG52" s="3">
        <v>122271.11386556989</v>
      </c>
      <c r="AH52" s="3">
        <v>122887.76832497604</v>
      </c>
      <c r="AI52" s="3">
        <v>123504.42278438222</v>
      </c>
      <c r="AJ52" s="3">
        <v>124121.07724378837</v>
      </c>
      <c r="AK52" s="3">
        <v>124737.73170319454</v>
      </c>
      <c r="AL52" s="3">
        <v>125354.3861626007</v>
      </c>
      <c r="AM52" s="3">
        <v>125971.04062200685</v>
      </c>
      <c r="AN52" s="3">
        <v>126587.69508141303</v>
      </c>
      <c r="AO52" s="3">
        <v>127204.3495408192</v>
      </c>
      <c r="AP52" s="3">
        <v>127821.00400022537</v>
      </c>
      <c r="AQ52" s="3">
        <v>128437.65845963154</v>
      </c>
      <c r="AR52" s="3">
        <v>129054.31291903771</v>
      </c>
      <c r="AS52" s="3">
        <v>129670.96737844388</v>
      </c>
      <c r="AT52" s="3">
        <v>130284.52307172237</v>
      </c>
      <c r="AU52" s="3">
        <v>130901.17753112855</v>
      </c>
      <c r="AV52" s="3">
        <v>131517.8319905347</v>
      </c>
      <c r="AW52" s="3">
        <v>132134.48644994086</v>
      </c>
      <c r="AX52" s="3">
        <v>132751.14090934704</v>
      </c>
      <c r="AY52" s="3">
        <f t="shared" ref="AY52:BR52" si="15">AX52</f>
        <v>132751.14090934704</v>
      </c>
      <c r="AZ52" s="3">
        <f t="shared" si="15"/>
        <v>132751.14090934704</v>
      </c>
      <c r="BA52" s="3">
        <f t="shared" si="15"/>
        <v>132751.14090934704</v>
      </c>
      <c r="BB52" s="3">
        <f t="shared" si="15"/>
        <v>132751.14090934704</v>
      </c>
      <c r="BC52" s="3">
        <f t="shared" si="15"/>
        <v>132751.14090934704</v>
      </c>
      <c r="BD52" s="3">
        <f t="shared" si="15"/>
        <v>132751.14090934704</v>
      </c>
      <c r="BE52" s="3">
        <f t="shared" si="15"/>
        <v>132751.14090934704</v>
      </c>
      <c r="BF52" s="3">
        <f t="shared" si="15"/>
        <v>132751.14090934704</v>
      </c>
      <c r="BG52" s="3">
        <f t="shared" si="15"/>
        <v>132751.14090934704</v>
      </c>
      <c r="BH52" s="3">
        <f t="shared" si="15"/>
        <v>132751.14090934704</v>
      </c>
      <c r="BI52" s="3">
        <f t="shared" si="15"/>
        <v>132751.14090934704</v>
      </c>
      <c r="BJ52" s="3">
        <f t="shared" si="15"/>
        <v>132751.14090934704</v>
      </c>
      <c r="BK52" s="3">
        <f t="shared" si="15"/>
        <v>132751.14090934704</v>
      </c>
      <c r="BL52" s="3">
        <f t="shared" si="15"/>
        <v>132751.14090934704</v>
      </c>
      <c r="BM52" s="3">
        <f t="shared" si="15"/>
        <v>132751.14090934704</v>
      </c>
      <c r="BN52" s="3">
        <f t="shared" si="15"/>
        <v>132751.14090934704</v>
      </c>
      <c r="BO52" s="3">
        <f t="shared" si="15"/>
        <v>132751.14090934704</v>
      </c>
      <c r="BP52" s="3">
        <f t="shared" si="15"/>
        <v>132751.14090934704</v>
      </c>
      <c r="BQ52" s="3">
        <f t="shared" si="15"/>
        <v>132751.14090934704</v>
      </c>
      <c r="BR52" s="3">
        <f t="shared" si="15"/>
        <v>132751.14090934704</v>
      </c>
    </row>
    <row r="53" spans="1:70" hidden="1" x14ac:dyDescent="0.25">
      <c r="A53" s="6">
        <v>11</v>
      </c>
      <c r="B53" s="6" t="s">
        <v>348</v>
      </c>
      <c r="C53" s="6" t="s">
        <v>349</v>
      </c>
      <c r="D53" s="6">
        <v>2</v>
      </c>
      <c r="E53" s="6" t="s">
        <v>491</v>
      </c>
      <c r="F53" s="6" t="s">
        <v>553</v>
      </c>
      <c r="G53" s="6" t="s">
        <v>505</v>
      </c>
      <c r="H53" s="6" t="s">
        <v>501</v>
      </c>
      <c r="I53" s="6">
        <v>0</v>
      </c>
      <c r="J53" s="6">
        <v>98</v>
      </c>
      <c r="K53" s="6"/>
      <c r="L53" s="6"/>
      <c r="M53" s="6"/>
      <c r="N53" s="6"/>
      <c r="O53" s="6"/>
      <c r="P53" s="6"/>
      <c r="Q53" s="6"/>
      <c r="R53" s="6"/>
      <c r="S53" s="6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1:70" hidden="1" x14ac:dyDescent="0.25">
      <c r="A54" s="6">
        <v>11</v>
      </c>
      <c r="B54" s="6" t="s">
        <v>348</v>
      </c>
      <c r="C54" s="6" t="s">
        <v>349</v>
      </c>
      <c r="D54" s="6">
        <v>3</v>
      </c>
      <c r="E54" s="6" t="s">
        <v>493</v>
      </c>
      <c r="F54" s="6" t="s">
        <v>506</v>
      </c>
      <c r="G54" s="6" t="s">
        <v>507</v>
      </c>
      <c r="H54" s="6" t="s">
        <v>500</v>
      </c>
      <c r="I54" s="6">
        <v>0</v>
      </c>
      <c r="J54" s="9">
        <f t="shared" ref="J54:R54" si="16">27566+271</f>
        <v>27837</v>
      </c>
      <c r="K54" s="9">
        <f t="shared" si="16"/>
        <v>27837</v>
      </c>
      <c r="L54" s="9">
        <f t="shared" si="16"/>
        <v>27837</v>
      </c>
      <c r="M54" s="9">
        <f t="shared" si="16"/>
        <v>27837</v>
      </c>
      <c r="N54" s="9">
        <f t="shared" si="16"/>
        <v>27837</v>
      </c>
      <c r="O54" s="9">
        <f t="shared" si="16"/>
        <v>27837</v>
      </c>
      <c r="P54" s="9">
        <f t="shared" si="16"/>
        <v>27837</v>
      </c>
      <c r="Q54" s="9">
        <f t="shared" si="16"/>
        <v>27837</v>
      </c>
      <c r="R54" s="9">
        <f t="shared" si="16"/>
        <v>27837</v>
      </c>
      <c r="S54" s="14">
        <f>27234+225</f>
        <v>27459</v>
      </c>
      <c r="T54" s="10">
        <f>23612+170</f>
        <v>23782</v>
      </c>
      <c r="U54" s="10">
        <f t="shared" ref="U54:AN54" si="17">T54-$T54/20</f>
        <v>22592.9</v>
      </c>
      <c r="V54" s="10">
        <f t="shared" si="17"/>
        <v>21403.800000000003</v>
      </c>
      <c r="W54" s="10">
        <f t="shared" si="17"/>
        <v>20214.700000000004</v>
      </c>
      <c r="X54" s="10">
        <f t="shared" si="17"/>
        <v>19025.600000000006</v>
      </c>
      <c r="Y54" s="10">
        <f t="shared" si="17"/>
        <v>17836.500000000007</v>
      </c>
      <c r="Z54" s="10">
        <f t="shared" si="17"/>
        <v>16647.400000000009</v>
      </c>
      <c r="AA54" s="10">
        <f t="shared" si="17"/>
        <v>15458.300000000008</v>
      </c>
      <c r="AB54" s="10">
        <f t="shared" si="17"/>
        <v>14269.200000000008</v>
      </c>
      <c r="AC54" s="10">
        <f t="shared" si="17"/>
        <v>13080.100000000008</v>
      </c>
      <c r="AD54" s="10">
        <f t="shared" si="17"/>
        <v>11891.000000000007</v>
      </c>
      <c r="AE54" s="10">
        <f t="shared" si="17"/>
        <v>10701.900000000007</v>
      </c>
      <c r="AF54" s="10">
        <f t="shared" si="17"/>
        <v>9512.8000000000065</v>
      </c>
      <c r="AG54" s="10">
        <f t="shared" si="17"/>
        <v>8323.7000000000062</v>
      </c>
      <c r="AH54" s="10">
        <f t="shared" si="17"/>
        <v>7134.6000000000058</v>
      </c>
      <c r="AI54" s="10">
        <f t="shared" si="17"/>
        <v>5945.5000000000055</v>
      </c>
      <c r="AJ54" s="10">
        <f t="shared" si="17"/>
        <v>4756.4000000000051</v>
      </c>
      <c r="AK54" s="10">
        <f t="shared" si="17"/>
        <v>3567.3000000000052</v>
      </c>
      <c r="AL54" s="10">
        <f t="shared" si="17"/>
        <v>2378.2000000000053</v>
      </c>
      <c r="AM54" s="10">
        <f t="shared" si="17"/>
        <v>1189.1000000000054</v>
      </c>
      <c r="AN54" s="10">
        <f t="shared" si="17"/>
        <v>5.4569682106375694E-12</v>
      </c>
      <c r="AO54" s="10">
        <v>5.4569682106375694E-12</v>
      </c>
      <c r="AP54" s="10">
        <v>5.4569682106375694E-12</v>
      </c>
      <c r="AQ54" s="10">
        <v>5.4569682106375694E-12</v>
      </c>
      <c r="AR54" s="10">
        <v>5.4569682106375694E-12</v>
      </c>
      <c r="AS54" s="10">
        <v>5.4569682106375694E-12</v>
      </c>
      <c r="AT54" s="10">
        <v>5.4569682106375694E-12</v>
      </c>
      <c r="AU54" s="10">
        <v>5.4569682106375694E-12</v>
      </c>
      <c r="AV54" s="10">
        <v>5.4569682106375694E-12</v>
      </c>
      <c r="AW54" s="10">
        <v>5.4569682106375694E-12</v>
      </c>
      <c r="AX54" s="10">
        <v>5.4569682106375694E-12</v>
      </c>
      <c r="AY54" s="10">
        <v>5.4569682106375694E-12</v>
      </c>
      <c r="AZ54" s="10">
        <v>5.4569682106375694E-12</v>
      </c>
      <c r="BA54" s="10">
        <v>5.4569682106375694E-12</v>
      </c>
      <c r="BB54" s="10">
        <v>5.4569682106375694E-12</v>
      </c>
      <c r="BC54" s="10">
        <v>5.4569682106375694E-12</v>
      </c>
      <c r="BD54" s="10">
        <v>5.4569682106375694E-12</v>
      </c>
      <c r="BE54" s="10">
        <v>5.4569682106375694E-12</v>
      </c>
      <c r="BF54" s="10">
        <v>5.4569682106375694E-12</v>
      </c>
      <c r="BG54" s="10">
        <v>5.4569682106375694E-12</v>
      </c>
      <c r="BH54" s="10">
        <v>5.4569682106375694E-12</v>
      </c>
      <c r="BI54" s="10">
        <v>5.4569682106375694E-12</v>
      </c>
      <c r="BJ54" s="10">
        <v>5.4569682106375694E-12</v>
      </c>
      <c r="BK54" s="10">
        <v>5.4569682106375694E-12</v>
      </c>
      <c r="BL54" s="10">
        <v>5.4569682106375694E-12</v>
      </c>
      <c r="BM54" s="10">
        <v>5.4569682106375694E-12</v>
      </c>
      <c r="BN54" s="10">
        <v>5.4569682106375694E-12</v>
      </c>
      <c r="BO54" s="10">
        <v>5.4569682106375694E-12</v>
      </c>
      <c r="BP54" s="10">
        <v>5.4569682106375694E-12</v>
      </c>
      <c r="BQ54" s="10">
        <v>5.4569682106375694E-12</v>
      </c>
      <c r="BR54" s="10">
        <v>5.4569682106375694E-12</v>
      </c>
    </row>
    <row r="55" spans="1:70" hidden="1" x14ac:dyDescent="0.25">
      <c r="A55" s="6">
        <v>11</v>
      </c>
      <c r="B55" s="6" t="s">
        <v>348</v>
      </c>
      <c r="C55" s="6" t="s">
        <v>349</v>
      </c>
      <c r="D55" s="6">
        <v>4</v>
      </c>
      <c r="E55" s="6" t="s">
        <v>494</v>
      </c>
      <c r="F55" s="6"/>
      <c r="G55" s="6"/>
      <c r="H55" s="6"/>
      <c r="I55" s="6">
        <v>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1:70" hidden="1" x14ac:dyDescent="0.25">
      <c r="A56" s="6">
        <v>11</v>
      </c>
      <c r="B56" s="6" t="s">
        <v>348</v>
      </c>
      <c r="C56" s="6" t="s">
        <v>349</v>
      </c>
      <c r="D56" s="6">
        <v>5</v>
      </c>
      <c r="E56" s="6" t="s">
        <v>496</v>
      </c>
      <c r="F56" s="6"/>
      <c r="G56" s="6"/>
      <c r="H56" s="6"/>
      <c r="I56" s="6">
        <v>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1:70" hidden="1" x14ac:dyDescent="0.25">
      <c r="A57" s="7">
        <v>12</v>
      </c>
      <c r="B57" s="7" t="s">
        <v>350</v>
      </c>
      <c r="C57" s="7" t="s">
        <v>351</v>
      </c>
      <c r="D57" s="7">
        <v>1</v>
      </c>
      <c r="E57" s="7" t="s">
        <v>489</v>
      </c>
      <c r="F57" s="7" t="s">
        <v>504</v>
      </c>
      <c r="G57" s="7" t="s">
        <v>505</v>
      </c>
      <c r="H57" s="7" t="s">
        <v>500</v>
      </c>
      <c r="I57" s="7">
        <v>0</v>
      </c>
      <c r="J57" s="41">
        <v>110000</v>
      </c>
      <c r="K57" s="41">
        <v>110000</v>
      </c>
      <c r="L57" s="41">
        <v>110000</v>
      </c>
      <c r="M57" s="41">
        <v>110000</v>
      </c>
      <c r="N57" s="41">
        <v>110000</v>
      </c>
      <c r="O57" s="41">
        <v>110000</v>
      </c>
      <c r="P57" s="41">
        <v>110000</v>
      </c>
      <c r="Q57" s="41">
        <v>110000</v>
      </c>
      <c r="R57" s="41">
        <v>110000</v>
      </c>
      <c r="S57" s="11">
        <v>111732.21026536706</v>
      </c>
      <c r="T57" s="3">
        <v>112945.37720434954</v>
      </c>
      <c r="U57" s="3">
        <v>114158.54414333202</v>
      </c>
      <c r="V57" s="3">
        <v>114855.76652205757</v>
      </c>
      <c r="W57" s="3">
        <v>115549.89013465546</v>
      </c>
      <c r="X57" s="3">
        <v>116247.11251338103</v>
      </c>
      <c r="Y57" s="3">
        <v>116941.23612597892</v>
      </c>
      <c r="Z57" s="3">
        <v>117638.4585047045</v>
      </c>
      <c r="AA57" s="3">
        <v>118335.68088343005</v>
      </c>
      <c r="AB57" s="3">
        <v>119029.80449602794</v>
      </c>
      <c r="AC57" s="3">
        <v>119727.02687475349</v>
      </c>
      <c r="AD57" s="3">
        <v>120421.15048735138</v>
      </c>
      <c r="AE57" s="3">
        <v>121037.80494675755</v>
      </c>
      <c r="AF57" s="3">
        <v>121654.45940616372</v>
      </c>
      <c r="AG57" s="3">
        <v>122271.11386556989</v>
      </c>
      <c r="AH57" s="3">
        <v>122887.76832497604</v>
      </c>
      <c r="AI57" s="3">
        <v>123504.42278438222</v>
      </c>
      <c r="AJ57" s="3">
        <v>124121.07724378837</v>
      </c>
      <c r="AK57" s="3">
        <v>124737.73170319454</v>
      </c>
      <c r="AL57" s="3">
        <v>125354.3861626007</v>
      </c>
      <c r="AM57" s="3">
        <v>125971.04062200685</v>
      </c>
      <c r="AN57" s="3">
        <v>126587.69508141303</v>
      </c>
      <c r="AO57" s="3">
        <v>127204.3495408192</v>
      </c>
      <c r="AP57" s="3">
        <v>127821.00400022537</v>
      </c>
      <c r="AQ57" s="3">
        <v>128437.65845963154</v>
      </c>
      <c r="AR57" s="3">
        <v>129054.31291903771</v>
      </c>
      <c r="AS57" s="3">
        <v>129670.96737844388</v>
      </c>
      <c r="AT57" s="3">
        <v>130284.52307172237</v>
      </c>
      <c r="AU57" s="3">
        <v>130901.17753112855</v>
      </c>
      <c r="AV57" s="3">
        <v>131517.8319905347</v>
      </c>
      <c r="AW57" s="3">
        <v>132134.48644994086</v>
      </c>
      <c r="AX57" s="3">
        <v>132751.14090934704</v>
      </c>
      <c r="AY57" s="3">
        <v>132751.14090934704</v>
      </c>
      <c r="AZ57" s="3">
        <v>132751.14090934704</v>
      </c>
      <c r="BA57" s="3">
        <v>132751.14090934704</v>
      </c>
      <c r="BB57" s="3">
        <v>132751.14090934704</v>
      </c>
      <c r="BC57" s="3">
        <v>132751.14090934704</v>
      </c>
      <c r="BD57" s="3">
        <v>132751.14090934704</v>
      </c>
      <c r="BE57" s="3">
        <v>132751.14090934704</v>
      </c>
      <c r="BF57" s="3">
        <v>132751.14090934704</v>
      </c>
      <c r="BG57" s="3">
        <v>132751.14090934704</v>
      </c>
      <c r="BH57" s="3">
        <v>132751.14090934704</v>
      </c>
      <c r="BI57" s="3">
        <v>132751.14090934704</v>
      </c>
      <c r="BJ57" s="3">
        <v>132751.14090934704</v>
      </c>
      <c r="BK57" s="3">
        <v>132751.14090934704</v>
      </c>
      <c r="BL57" s="3">
        <v>132751.14090934704</v>
      </c>
      <c r="BM57" s="3">
        <v>132751.14090934704</v>
      </c>
      <c r="BN57" s="3">
        <v>132751.14090934704</v>
      </c>
      <c r="BO57" s="3">
        <v>132751.14090934704</v>
      </c>
      <c r="BP57" s="3">
        <v>132751.14090934704</v>
      </c>
      <c r="BQ57" s="3">
        <v>132751.14090934704</v>
      </c>
      <c r="BR57" s="3">
        <v>132751.14090934704</v>
      </c>
    </row>
    <row r="58" spans="1:70" hidden="1" x14ac:dyDescent="0.25">
      <c r="A58" s="7">
        <v>12</v>
      </c>
      <c r="B58" s="7" t="s">
        <v>350</v>
      </c>
      <c r="C58" s="7" t="s">
        <v>351</v>
      </c>
      <c r="D58" s="7">
        <v>2</v>
      </c>
      <c r="E58" s="7" t="s">
        <v>491</v>
      </c>
      <c r="F58" s="7" t="s">
        <v>553</v>
      </c>
      <c r="G58" s="7" t="s">
        <v>505</v>
      </c>
      <c r="H58" s="7" t="s">
        <v>501</v>
      </c>
      <c r="I58" s="7">
        <v>0</v>
      </c>
      <c r="J58" s="7">
        <v>95</v>
      </c>
      <c r="K58" s="7"/>
      <c r="L58" s="7"/>
      <c r="M58" s="7"/>
      <c r="N58" s="7"/>
      <c r="O58" s="7"/>
      <c r="P58" s="7"/>
      <c r="Q58" s="7"/>
      <c r="R58" s="7"/>
      <c r="S58" s="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1:70" hidden="1" x14ac:dyDescent="0.25">
      <c r="A59" s="7">
        <v>12</v>
      </c>
      <c r="B59" s="7" t="s">
        <v>350</v>
      </c>
      <c r="C59" s="7" t="s">
        <v>351</v>
      </c>
      <c r="D59" s="7">
        <v>3</v>
      </c>
      <c r="E59" s="7" t="s">
        <v>493</v>
      </c>
      <c r="F59" s="7" t="s">
        <v>506</v>
      </c>
      <c r="G59" s="7" t="s">
        <v>507</v>
      </c>
      <c r="H59" s="7"/>
      <c r="I59" s="7">
        <v>0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0" hidden="1" x14ac:dyDescent="0.25">
      <c r="A60" s="7">
        <v>12</v>
      </c>
      <c r="B60" s="7" t="s">
        <v>350</v>
      </c>
      <c r="C60" s="7" t="s">
        <v>351</v>
      </c>
      <c r="D60" s="7">
        <v>4</v>
      </c>
      <c r="E60" s="7" t="s">
        <v>494</v>
      </c>
      <c r="F60" s="7"/>
      <c r="G60" s="7"/>
      <c r="H60" s="7"/>
      <c r="I60" s="7">
        <v>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1:70" hidden="1" x14ac:dyDescent="0.25">
      <c r="A61" s="7">
        <v>12</v>
      </c>
      <c r="B61" s="7" t="s">
        <v>350</v>
      </c>
      <c r="C61" s="7" t="s">
        <v>351</v>
      </c>
      <c r="D61" s="7">
        <v>5</v>
      </c>
      <c r="E61" s="7" t="s">
        <v>496</v>
      </c>
      <c r="F61" s="7"/>
      <c r="G61" s="7"/>
      <c r="H61" s="7"/>
      <c r="I61" s="7">
        <v>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1:70" hidden="1" x14ac:dyDescent="0.25">
      <c r="A62" s="6">
        <v>13</v>
      </c>
      <c r="B62" s="6" t="s">
        <v>352</v>
      </c>
      <c r="C62" s="6" t="s">
        <v>353</v>
      </c>
      <c r="D62" s="6">
        <v>1</v>
      </c>
      <c r="E62" s="6" t="s">
        <v>489</v>
      </c>
      <c r="F62" s="6" t="s">
        <v>504</v>
      </c>
      <c r="G62" s="6" t="s">
        <v>505</v>
      </c>
      <c r="H62" s="6" t="s">
        <v>500</v>
      </c>
      <c r="I62" s="6">
        <v>0</v>
      </c>
      <c r="J62" s="40">
        <v>32926.800000000003</v>
      </c>
      <c r="K62" s="40">
        <v>32926.800000000003</v>
      </c>
      <c r="L62" s="40">
        <v>32926.800000000003</v>
      </c>
      <c r="M62" s="40">
        <v>32926.800000000003</v>
      </c>
      <c r="N62" s="40">
        <v>32926.800000000003</v>
      </c>
      <c r="O62" s="40">
        <v>32926.800000000003</v>
      </c>
      <c r="P62" s="40">
        <v>32926.800000000003</v>
      </c>
      <c r="Q62" s="40">
        <v>32926.800000000003</v>
      </c>
      <c r="R62" s="40">
        <v>32926.800000000003</v>
      </c>
      <c r="S62" s="8">
        <v>32135.358333333337</v>
      </c>
      <c r="T62" s="3">
        <v>31343.916666666672</v>
      </c>
      <c r="U62" s="3">
        <v>30552.475000000006</v>
      </c>
      <c r="V62" s="3">
        <v>29761.03333333334</v>
      </c>
      <c r="W62" s="3">
        <v>28969.591666666674</v>
      </c>
      <c r="X62" s="3">
        <v>28178.150000000009</v>
      </c>
      <c r="Y62" s="3">
        <v>27386.708333333343</v>
      </c>
      <c r="Z62" s="3">
        <v>26595.266666666677</v>
      </c>
      <c r="AA62" s="3">
        <v>25803.825000000012</v>
      </c>
      <c r="AB62" s="3">
        <v>25012.383333333346</v>
      </c>
      <c r="AC62" s="3">
        <v>24220.94166666668</v>
      </c>
      <c r="AD62" s="3">
        <v>23429.5</v>
      </c>
      <c r="AE62" s="3">
        <v>23409.467100000002</v>
      </c>
      <c r="AF62" s="3">
        <v>23389.434200000003</v>
      </c>
      <c r="AG62" s="3">
        <v>23369.401300000005</v>
      </c>
      <c r="AH62" s="3">
        <v>23349.368400000007</v>
      </c>
      <c r="AI62" s="3">
        <v>23329.335500000008</v>
      </c>
      <c r="AJ62" s="3">
        <v>23309.30260000001</v>
      </c>
      <c r="AK62" s="3">
        <v>23289.269700000012</v>
      </c>
      <c r="AL62" s="3">
        <v>23269.236800000013</v>
      </c>
      <c r="AM62" s="3">
        <v>23249.203900000015</v>
      </c>
      <c r="AN62" s="3">
        <v>23229.171000000017</v>
      </c>
      <c r="AO62" s="3">
        <v>23209.138100000018</v>
      </c>
      <c r="AP62" s="3">
        <v>23189.10520000002</v>
      </c>
      <c r="AQ62" s="3">
        <v>23169.072300000022</v>
      </c>
      <c r="AR62" s="3">
        <v>23149.039400000023</v>
      </c>
      <c r="AS62" s="3">
        <v>23129.006500000025</v>
      </c>
      <c r="AT62" s="3">
        <v>23108.973600000027</v>
      </c>
      <c r="AU62" s="3">
        <v>23088.940700000028</v>
      </c>
      <c r="AV62" s="3">
        <v>23068.90780000003</v>
      </c>
      <c r="AW62" s="3">
        <v>23048.874900000032</v>
      </c>
      <c r="AX62" s="3">
        <v>23028.842000000001</v>
      </c>
      <c r="AY62" s="3">
        <v>23028.842000000001</v>
      </c>
      <c r="AZ62" s="3">
        <v>23028.842000000001</v>
      </c>
      <c r="BA62" s="3">
        <v>23028.842000000001</v>
      </c>
      <c r="BB62" s="3">
        <v>23028.842000000001</v>
      </c>
      <c r="BC62" s="3">
        <v>23028.842000000001</v>
      </c>
      <c r="BD62" s="3">
        <v>23028.842000000001</v>
      </c>
      <c r="BE62" s="3">
        <v>23028.842000000001</v>
      </c>
      <c r="BF62" s="3">
        <v>23028.842000000001</v>
      </c>
      <c r="BG62" s="3">
        <v>23028.842000000001</v>
      </c>
      <c r="BH62" s="3">
        <v>23028.842000000001</v>
      </c>
      <c r="BI62" s="3">
        <v>23028.842000000001</v>
      </c>
      <c r="BJ62" s="3">
        <v>23028.842000000001</v>
      </c>
      <c r="BK62" s="3">
        <v>23028.842000000001</v>
      </c>
      <c r="BL62" s="3">
        <v>23028.842000000001</v>
      </c>
      <c r="BM62" s="3">
        <v>23028.842000000001</v>
      </c>
      <c r="BN62" s="3">
        <v>23028.842000000001</v>
      </c>
      <c r="BO62" s="3">
        <v>23028.842000000001</v>
      </c>
      <c r="BP62" s="3">
        <v>23028.842000000001</v>
      </c>
      <c r="BQ62" s="3">
        <v>23028.842000000001</v>
      </c>
      <c r="BR62" s="3">
        <v>23028.842000000001</v>
      </c>
    </row>
    <row r="63" spans="1:70" hidden="1" x14ac:dyDescent="0.25">
      <c r="A63" s="6">
        <v>13</v>
      </c>
      <c r="B63" s="6" t="s">
        <v>352</v>
      </c>
      <c r="C63" s="6" t="s">
        <v>353</v>
      </c>
      <c r="D63" s="6">
        <v>2</v>
      </c>
      <c r="E63" s="6" t="s">
        <v>491</v>
      </c>
      <c r="F63" s="6" t="s">
        <v>553</v>
      </c>
      <c r="G63" s="6" t="s">
        <v>505</v>
      </c>
      <c r="H63" s="6" t="s">
        <v>501</v>
      </c>
      <c r="I63" s="6">
        <v>0</v>
      </c>
      <c r="J63" s="6">
        <v>98</v>
      </c>
      <c r="K63" s="6"/>
      <c r="L63" s="6"/>
      <c r="M63" s="6"/>
      <c r="N63" s="6"/>
      <c r="O63" s="6"/>
      <c r="P63" s="6"/>
      <c r="Q63" s="6"/>
      <c r="R63" s="6"/>
      <c r="S63" s="6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1:70" hidden="1" x14ac:dyDescent="0.25">
      <c r="A64" s="6">
        <v>13</v>
      </c>
      <c r="B64" s="6" t="s">
        <v>352</v>
      </c>
      <c r="C64" s="6" t="s">
        <v>353</v>
      </c>
      <c r="D64" s="6">
        <v>3</v>
      </c>
      <c r="E64" s="6" t="s">
        <v>493</v>
      </c>
      <c r="F64" s="6" t="s">
        <v>506</v>
      </c>
      <c r="G64" s="6" t="s">
        <v>507</v>
      </c>
      <c r="H64" s="6"/>
      <c r="I64" s="6">
        <v>0</v>
      </c>
      <c r="J64" s="9"/>
      <c r="K64" s="9"/>
      <c r="L64" s="9"/>
      <c r="M64" s="9"/>
      <c r="N64" s="9"/>
      <c r="O64" s="9"/>
      <c r="P64" s="9"/>
      <c r="Q64" s="9"/>
      <c r="R64" s="9"/>
      <c r="S64" s="14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</row>
    <row r="65" spans="1:70" hidden="1" x14ac:dyDescent="0.25">
      <c r="A65" s="6">
        <v>13</v>
      </c>
      <c r="B65" s="6" t="s">
        <v>352</v>
      </c>
      <c r="C65" s="6" t="s">
        <v>353</v>
      </c>
      <c r="D65" s="6">
        <v>4</v>
      </c>
      <c r="E65" s="6" t="s">
        <v>494</v>
      </c>
      <c r="F65" s="6"/>
      <c r="G65" s="6"/>
      <c r="H65" s="6"/>
      <c r="I65" s="6">
        <v>0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1:70" hidden="1" x14ac:dyDescent="0.25">
      <c r="A66" s="6">
        <v>13</v>
      </c>
      <c r="B66" s="6" t="s">
        <v>352</v>
      </c>
      <c r="C66" s="6" t="s">
        <v>353</v>
      </c>
      <c r="D66" s="6">
        <v>5</v>
      </c>
      <c r="E66" s="6" t="s">
        <v>496</v>
      </c>
      <c r="F66" s="6"/>
      <c r="G66" s="6"/>
      <c r="H66" s="6"/>
      <c r="I66" s="6">
        <v>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1:70" hidden="1" x14ac:dyDescent="0.25">
      <c r="A67" s="7">
        <v>14</v>
      </c>
      <c r="B67" s="7" t="s">
        <v>354</v>
      </c>
      <c r="C67" s="7" t="s">
        <v>355</v>
      </c>
      <c r="D67" s="7">
        <v>1</v>
      </c>
      <c r="E67" s="7" t="s">
        <v>489</v>
      </c>
      <c r="F67" s="7" t="s">
        <v>504</v>
      </c>
      <c r="G67" s="7" t="s">
        <v>505</v>
      </c>
      <c r="H67" s="7" t="s">
        <v>500</v>
      </c>
      <c r="I67" s="7">
        <v>0</v>
      </c>
      <c r="J67" s="41">
        <v>52854</v>
      </c>
      <c r="K67" s="41">
        <v>52854</v>
      </c>
      <c r="L67" s="41">
        <v>52854</v>
      </c>
      <c r="M67" s="41">
        <v>52854</v>
      </c>
      <c r="N67" s="41">
        <v>52854</v>
      </c>
      <c r="O67" s="41">
        <v>52854</v>
      </c>
      <c r="P67" s="41">
        <v>52854</v>
      </c>
      <c r="Q67" s="41">
        <v>52854</v>
      </c>
      <c r="R67" s="41">
        <v>52854</v>
      </c>
      <c r="S67" s="11">
        <v>50717.583333333336</v>
      </c>
      <c r="T67" s="3">
        <v>48581.166666666672</v>
      </c>
      <c r="U67" s="3">
        <v>46444.750000000007</v>
      </c>
      <c r="V67" s="3">
        <v>44308.333333333343</v>
      </c>
      <c r="W67" s="3">
        <v>42171.916666666679</v>
      </c>
      <c r="X67" s="3">
        <v>40035.500000000015</v>
      </c>
      <c r="Y67" s="3">
        <v>37899.08333333335</v>
      </c>
      <c r="Z67" s="3">
        <v>35762.666666666686</v>
      </c>
      <c r="AA67" s="3">
        <v>33626.250000000022</v>
      </c>
      <c r="AB67" s="3">
        <v>31489.833333333354</v>
      </c>
      <c r="AC67" s="3">
        <v>29353.416666666686</v>
      </c>
      <c r="AD67" s="3">
        <v>27217</v>
      </c>
      <c r="AE67" s="3">
        <v>26792.5</v>
      </c>
      <c r="AF67" s="3">
        <v>26368</v>
      </c>
      <c r="AG67" s="3">
        <v>25943.5</v>
      </c>
      <c r="AH67" s="3">
        <v>25519</v>
      </c>
      <c r="AI67" s="3">
        <v>25094.5</v>
      </c>
      <c r="AJ67" s="3">
        <v>24670</v>
      </c>
      <c r="AK67" s="3">
        <v>24245.5</v>
      </c>
      <c r="AL67" s="3">
        <v>23821</v>
      </c>
      <c r="AM67" s="3">
        <v>23396.5</v>
      </c>
      <c r="AN67" s="3">
        <v>22972</v>
      </c>
      <c r="AO67" s="3">
        <v>22547.5</v>
      </c>
      <c r="AP67" s="3">
        <v>22123</v>
      </c>
      <c r="AQ67" s="3">
        <v>21698.5</v>
      </c>
      <c r="AR67" s="3">
        <v>21274</v>
      </c>
      <c r="AS67" s="3">
        <v>20849.5</v>
      </c>
      <c r="AT67" s="3">
        <v>20425</v>
      </c>
      <c r="AU67" s="3">
        <v>20000.5</v>
      </c>
      <c r="AV67" s="3">
        <v>19576</v>
      </c>
      <c r="AW67" s="3">
        <v>19151.5</v>
      </c>
      <c r="AX67" s="3">
        <v>18727</v>
      </c>
      <c r="AY67" s="3">
        <f t="shared" ref="AY67:BR67" si="18">AX67</f>
        <v>18727</v>
      </c>
      <c r="AZ67" s="3">
        <f t="shared" si="18"/>
        <v>18727</v>
      </c>
      <c r="BA67" s="3">
        <f t="shared" si="18"/>
        <v>18727</v>
      </c>
      <c r="BB67" s="3">
        <f t="shared" si="18"/>
        <v>18727</v>
      </c>
      <c r="BC67" s="3">
        <f t="shared" si="18"/>
        <v>18727</v>
      </c>
      <c r="BD67" s="3">
        <f t="shared" si="18"/>
        <v>18727</v>
      </c>
      <c r="BE67" s="3">
        <f t="shared" si="18"/>
        <v>18727</v>
      </c>
      <c r="BF67" s="3">
        <f t="shared" si="18"/>
        <v>18727</v>
      </c>
      <c r="BG67" s="3">
        <f t="shared" si="18"/>
        <v>18727</v>
      </c>
      <c r="BH67" s="3">
        <f t="shared" si="18"/>
        <v>18727</v>
      </c>
      <c r="BI67" s="3">
        <f t="shared" si="18"/>
        <v>18727</v>
      </c>
      <c r="BJ67" s="3">
        <f t="shared" si="18"/>
        <v>18727</v>
      </c>
      <c r="BK67" s="3">
        <f t="shared" si="18"/>
        <v>18727</v>
      </c>
      <c r="BL67" s="3">
        <f t="shared" si="18"/>
        <v>18727</v>
      </c>
      <c r="BM67" s="3">
        <f t="shared" si="18"/>
        <v>18727</v>
      </c>
      <c r="BN67" s="3">
        <f t="shared" si="18"/>
        <v>18727</v>
      </c>
      <c r="BO67" s="3">
        <f t="shared" si="18"/>
        <v>18727</v>
      </c>
      <c r="BP67" s="3">
        <f t="shared" si="18"/>
        <v>18727</v>
      </c>
      <c r="BQ67" s="3">
        <f t="shared" si="18"/>
        <v>18727</v>
      </c>
      <c r="BR67" s="3">
        <f t="shared" si="18"/>
        <v>18727</v>
      </c>
    </row>
    <row r="68" spans="1:70" hidden="1" x14ac:dyDescent="0.25">
      <c r="A68" s="7">
        <v>14</v>
      </c>
      <c r="B68" s="7" t="s">
        <v>354</v>
      </c>
      <c r="C68" s="7" t="s">
        <v>355</v>
      </c>
      <c r="D68" s="7">
        <v>2</v>
      </c>
      <c r="E68" s="7" t="s">
        <v>491</v>
      </c>
      <c r="F68" s="7" t="s">
        <v>553</v>
      </c>
      <c r="G68" s="7" t="s">
        <v>505</v>
      </c>
      <c r="H68" s="7" t="s">
        <v>501</v>
      </c>
      <c r="I68" s="7">
        <v>0</v>
      </c>
      <c r="J68" s="7">
        <v>40</v>
      </c>
      <c r="K68" s="7"/>
      <c r="L68" s="7"/>
      <c r="M68" s="7"/>
      <c r="N68" s="7"/>
      <c r="O68" s="7"/>
      <c r="P68" s="7"/>
      <c r="Q68" s="7"/>
      <c r="R68" s="7"/>
      <c r="S68" s="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1:70" hidden="1" x14ac:dyDescent="0.25">
      <c r="A69" s="7">
        <v>14</v>
      </c>
      <c r="B69" s="7" t="s">
        <v>354</v>
      </c>
      <c r="C69" s="7" t="s">
        <v>355</v>
      </c>
      <c r="D69" s="7">
        <v>3</v>
      </c>
      <c r="E69" s="7" t="s">
        <v>493</v>
      </c>
      <c r="F69" s="7" t="s">
        <v>506</v>
      </c>
      <c r="G69" s="7" t="s">
        <v>507</v>
      </c>
      <c r="H69" s="7" t="s">
        <v>500</v>
      </c>
      <c r="I69" s="7">
        <v>0</v>
      </c>
      <c r="J69" s="12">
        <v>19</v>
      </c>
      <c r="K69" s="12">
        <v>19</v>
      </c>
      <c r="L69" s="12">
        <v>19</v>
      </c>
      <c r="M69" s="12">
        <v>19</v>
      </c>
      <c r="N69" s="12">
        <v>19</v>
      </c>
      <c r="O69" s="12">
        <v>19</v>
      </c>
      <c r="P69" s="12">
        <v>19</v>
      </c>
      <c r="Q69" s="12">
        <v>19</v>
      </c>
      <c r="R69" s="12">
        <v>19</v>
      </c>
      <c r="S69" s="12">
        <v>19</v>
      </c>
      <c r="T69" s="10">
        <v>19</v>
      </c>
      <c r="U69" s="10">
        <f t="shared" ref="U69:AN69" si="19">T69-$T69/20</f>
        <v>18.05</v>
      </c>
      <c r="V69" s="10">
        <f t="shared" si="19"/>
        <v>17.100000000000001</v>
      </c>
      <c r="W69" s="10">
        <f t="shared" si="19"/>
        <v>16.150000000000002</v>
      </c>
      <c r="X69" s="10">
        <f t="shared" si="19"/>
        <v>15.200000000000003</v>
      </c>
      <c r="Y69" s="10">
        <f t="shared" si="19"/>
        <v>14.250000000000004</v>
      </c>
      <c r="Z69" s="10">
        <f t="shared" si="19"/>
        <v>13.300000000000004</v>
      </c>
      <c r="AA69" s="10">
        <f t="shared" si="19"/>
        <v>12.350000000000005</v>
      </c>
      <c r="AB69" s="10">
        <f t="shared" si="19"/>
        <v>11.400000000000006</v>
      </c>
      <c r="AC69" s="10">
        <f t="shared" si="19"/>
        <v>10.450000000000006</v>
      </c>
      <c r="AD69" s="10">
        <f t="shared" si="19"/>
        <v>9.5000000000000071</v>
      </c>
      <c r="AE69" s="10">
        <f t="shared" si="19"/>
        <v>8.5500000000000078</v>
      </c>
      <c r="AF69" s="10">
        <f t="shared" si="19"/>
        <v>7.6000000000000076</v>
      </c>
      <c r="AG69" s="10">
        <f t="shared" si="19"/>
        <v>6.6500000000000075</v>
      </c>
      <c r="AH69" s="10">
        <f t="shared" si="19"/>
        <v>5.7000000000000073</v>
      </c>
      <c r="AI69" s="10">
        <f t="shared" si="19"/>
        <v>4.7500000000000071</v>
      </c>
      <c r="AJ69" s="10">
        <f t="shared" si="19"/>
        <v>3.8000000000000069</v>
      </c>
      <c r="AK69" s="10">
        <f t="shared" si="19"/>
        <v>2.8500000000000068</v>
      </c>
      <c r="AL69" s="10">
        <f t="shared" si="19"/>
        <v>1.9000000000000068</v>
      </c>
      <c r="AM69" s="10">
        <f t="shared" si="19"/>
        <v>0.95000000000000684</v>
      </c>
      <c r="AN69" s="10">
        <f t="shared" si="19"/>
        <v>6.8833827526759706E-15</v>
      </c>
      <c r="AO69" s="10">
        <v>6.8833827526759706E-15</v>
      </c>
      <c r="AP69" s="10">
        <v>6.8833827526759706E-15</v>
      </c>
      <c r="AQ69" s="10">
        <v>6.8833827526759706E-15</v>
      </c>
      <c r="AR69" s="10">
        <v>6.8833827526759706E-15</v>
      </c>
      <c r="AS69" s="10">
        <v>6.8833827526759706E-15</v>
      </c>
      <c r="AT69" s="10">
        <v>6.8833827526759706E-15</v>
      </c>
      <c r="AU69" s="10">
        <v>6.8833827526759706E-15</v>
      </c>
      <c r="AV69" s="10">
        <v>6.8833827526759706E-15</v>
      </c>
      <c r="AW69" s="10">
        <v>6.8833827526759706E-15</v>
      </c>
      <c r="AX69" s="10">
        <v>6.8833827526759706E-15</v>
      </c>
      <c r="AY69" s="10">
        <v>6.8833827526759706E-15</v>
      </c>
      <c r="AZ69" s="10">
        <v>6.8833827526759706E-15</v>
      </c>
      <c r="BA69" s="10">
        <v>6.8833827526759706E-15</v>
      </c>
      <c r="BB69" s="10">
        <v>6.8833827526759706E-15</v>
      </c>
      <c r="BC69" s="10">
        <v>6.8833827526759706E-15</v>
      </c>
      <c r="BD69" s="10">
        <v>6.8833827526759706E-15</v>
      </c>
      <c r="BE69" s="10">
        <v>6.8833827526759706E-15</v>
      </c>
      <c r="BF69" s="10">
        <v>6.8833827526759706E-15</v>
      </c>
      <c r="BG69" s="10">
        <v>6.8833827526759706E-15</v>
      </c>
      <c r="BH69" s="10">
        <v>6.8833827526759706E-15</v>
      </c>
      <c r="BI69" s="10">
        <v>6.8833827526759706E-15</v>
      </c>
      <c r="BJ69" s="10">
        <v>6.8833827526759706E-15</v>
      </c>
      <c r="BK69" s="10">
        <v>6.8833827526759706E-15</v>
      </c>
      <c r="BL69" s="10">
        <v>6.8833827526759706E-15</v>
      </c>
      <c r="BM69" s="10">
        <v>6.8833827526759706E-15</v>
      </c>
      <c r="BN69" s="10">
        <v>6.8833827526759706E-15</v>
      </c>
      <c r="BO69" s="10">
        <v>6.8833827526759706E-15</v>
      </c>
      <c r="BP69" s="10">
        <v>6.8833827526759706E-15</v>
      </c>
      <c r="BQ69" s="10">
        <v>6.8833827526759706E-15</v>
      </c>
      <c r="BR69" s="10">
        <v>6.8833827526759706E-15</v>
      </c>
    </row>
    <row r="70" spans="1:70" hidden="1" x14ac:dyDescent="0.25">
      <c r="A70" s="7">
        <v>14</v>
      </c>
      <c r="B70" s="7" t="s">
        <v>354</v>
      </c>
      <c r="C70" s="7" t="s">
        <v>355</v>
      </c>
      <c r="D70" s="7">
        <v>4</v>
      </c>
      <c r="E70" s="7" t="s">
        <v>494</v>
      </c>
      <c r="F70" s="7"/>
      <c r="G70" s="7"/>
      <c r="H70" s="7"/>
      <c r="I70" s="7">
        <v>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1:70" hidden="1" x14ac:dyDescent="0.25">
      <c r="A71" s="7">
        <v>14</v>
      </c>
      <c r="B71" s="7" t="s">
        <v>354</v>
      </c>
      <c r="C71" s="7" t="s">
        <v>355</v>
      </c>
      <c r="D71" s="7">
        <v>5</v>
      </c>
      <c r="E71" s="7" t="s">
        <v>496</v>
      </c>
      <c r="F71" s="7"/>
      <c r="G71" s="7"/>
      <c r="H71" s="7"/>
      <c r="I71" s="7">
        <v>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1:70" hidden="1" x14ac:dyDescent="0.25">
      <c r="A72" s="6">
        <v>15</v>
      </c>
      <c r="B72" s="6" t="s">
        <v>356</v>
      </c>
      <c r="C72" s="6" t="s">
        <v>357</v>
      </c>
      <c r="D72" s="6">
        <v>1</v>
      </c>
      <c r="E72" s="6" t="s">
        <v>489</v>
      </c>
      <c r="F72" s="6" t="s">
        <v>504</v>
      </c>
      <c r="G72" s="6" t="s">
        <v>505</v>
      </c>
      <c r="H72" s="6" t="s">
        <v>500</v>
      </c>
      <c r="I72" s="6">
        <v>0</v>
      </c>
      <c r="J72" s="40">
        <v>21802.620000000003</v>
      </c>
      <c r="K72" s="40">
        <v>21802.620000000003</v>
      </c>
      <c r="L72" s="40">
        <v>21802.620000000003</v>
      </c>
      <c r="M72" s="40">
        <v>21802.620000000003</v>
      </c>
      <c r="N72" s="40">
        <v>21802.620000000003</v>
      </c>
      <c r="O72" s="40">
        <v>21802.620000000003</v>
      </c>
      <c r="P72" s="40">
        <v>21802.620000000003</v>
      </c>
      <c r="Q72" s="40">
        <v>21802.620000000003</v>
      </c>
      <c r="R72" s="40">
        <v>21802.620000000003</v>
      </c>
      <c r="S72" s="8">
        <v>21847.418333333335</v>
      </c>
      <c r="T72" s="3">
        <v>21892.216666666667</v>
      </c>
      <c r="U72" s="3">
        <v>21937.014999999999</v>
      </c>
      <c r="V72" s="3">
        <v>21981.813333333332</v>
      </c>
      <c r="W72" s="3">
        <v>22026.611666666664</v>
      </c>
      <c r="X72" s="3">
        <v>22071.409999999996</v>
      </c>
      <c r="Y72" s="3">
        <v>22116.208333333328</v>
      </c>
      <c r="Z72" s="3">
        <v>22161.006666666661</v>
      </c>
      <c r="AA72" s="3">
        <v>22205.804999999993</v>
      </c>
      <c r="AB72" s="3">
        <v>22250.603333333325</v>
      </c>
      <c r="AC72" s="3">
        <v>22295.401666666658</v>
      </c>
      <c r="AD72" s="3">
        <v>22340.2</v>
      </c>
      <c r="AE72" s="3">
        <v>22391.165000000001</v>
      </c>
      <c r="AF72" s="3">
        <v>22442.13</v>
      </c>
      <c r="AG72" s="3">
        <v>22493.095000000001</v>
      </c>
      <c r="AH72" s="3">
        <v>22544.06</v>
      </c>
      <c r="AI72" s="3">
        <v>22595.025000000001</v>
      </c>
      <c r="AJ72" s="3">
        <v>22645.99</v>
      </c>
      <c r="AK72" s="3">
        <v>22696.955000000002</v>
      </c>
      <c r="AL72" s="3">
        <v>22747.920000000002</v>
      </c>
      <c r="AM72" s="3">
        <v>22798.885000000002</v>
      </c>
      <c r="AN72" s="3">
        <v>22849.850000000002</v>
      </c>
      <c r="AO72" s="3">
        <v>22900.815000000002</v>
      </c>
      <c r="AP72" s="3">
        <v>22951.780000000002</v>
      </c>
      <c r="AQ72" s="3">
        <v>23002.745000000003</v>
      </c>
      <c r="AR72" s="3">
        <v>23053.710000000003</v>
      </c>
      <c r="AS72" s="3">
        <v>23104.675000000003</v>
      </c>
      <c r="AT72" s="3">
        <v>23155.640000000003</v>
      </c>
      <c r="AU72" s="3">
        <v>23206.605000000003</v>
      </c>
      <c r="AV72" s="3">
        <v>23257.570000000003</v>
      </c>
      <c r="AW72" s="3">
        <v>23308.535000000003</v>
      </c>
      <c r="AX72" s="3">
        <v>23359.5</v>
      </c>
      <c r="AY72" s="3">
        <f t="shared" ref="AY72:BR72" si="20">AX72</f>
        <v>23359.5</v>
      </c>
      <c r="AZ72" s="3">
        <f t="shared" si="20"/>
        <v>23359.5</v>
      </c>
      <c r="BA72" s="3">
        <f t="shared" si="20"/>
        <v>23359.5</v>
      </c>
      <c r="BB72" s="3">
        <f t="shared" si="20"/>
        <v>23359.5</v>
      </c>
      <c r="BC72" s="3">
        <f t="shared" si="20"/>
        <v>23359.5</v>
      </c>
      <c r="BD72" s="3">
        <f t="shared" si="20"/>
        <v>23359.5</v>
      </c>
      <c r="BE72" s="3">
        <f t="shared" si="20"/>
        <v>23359.5</v>
      </c>
      <c r="BF72" s="3">
        <f t="shared" si="20"/>
        <v>23359.5</v>
      </c>
      <c r="BG72" s="3">
        <f t="shared" si="20"/>
        <v>23359.5</v>
      </c>
      <c r="BH72" s="3">
        <f t="shared" si="20"/>
        <v>23359.5</v>
      </c>
      <c r="BI72" s="3">
        <f t="shared" si="20"/>
        <v>23359.5</v>
      </c>
      <c r="BJ72" s="3">
        <f t="shared" si="20"/>
        <v>23359.5</v>
      </c>
      <c r="BK72" s="3">
        <f t="shared" si="20"/>
        <v>23359.5</v>
      </c>
      <c r="BL72" s="3">
        <f t="shared" si="20"/>
        <v>23359.5</v>
      </c>
      <c r="BM72" s="3">
        <f t="shared" si="20"/>
        <v>23359.5</v>
      </c>
      <c r="BN72" s="3">
        <f t="shared" si="20"/>
        <v>23359.5</v>
      </c>
      <c r="BO72" s="3">
        <f t="shared" si="20"/>
        <v>23359.5</v>
      </c>
      <c r="BP72" s="3">
        <f t="shared" si="20"/>
        <v>23359.5</v>
      </c>
      <c r="BQ72" s="3">
        <f t="shared" si="20"/>
        <v>23359.5</v>
      </c>
      <c r="BR72" s="3">
        <f t="shared" si="20"/>
        <v>23359.5</v>
      </c>
    </row>
    <row r="73" spans="1:70" hidden="1" x14ac:dyDescent="0.25">
      <c r="A73" s="6">
        <v>15</v>
      </c>
      <c r="B73" s="6" t="s">
        <v>356</v>
      </c>
      <c r="C73" s="6" t="s">
        <v>357</v>
      </c>
      <c r="D73" s="6">
        <v>2</v>
      </c>
      <c r="E73" s="6" t="s">
        <v>491</v>
      </c>
      <c r="F73" s="6" t="s">
        <v>553</v>
      </c>
      <c r="G73" s="6" t="s">
        <v>505</v>
      </c>
      <c r="H73" s="6" t="s">
        <v>501</v>
      </c>
      <c r="I73" s="6">
        <v>0</v>
      </c>
      <c r="J73" s="6">
        <v>98</v>
      </c>
      <c r="K73" s="6"/>
      <c r="L73" s="6"/>
      <c r="M73" s="6"/>
      <c r="N73" s="6"/>
      <c r="O73" s="6"/>
      <c r="P73" s="6"/>
      <c r="Q73" s="6"/>
      <c r="R73" s="6"/>
      <c r="S73" s="6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spans="1:70" hidden="1" x14ac:dyDescent="0.25">
      <c r="A74" s="6">
        <v>15</v>
      </c>
      <c r="B74" s="6" t="s">
        <v>356</v>
      </c>
      <c r="C74" s="6" t="s">
        <v>357</v>
      </c>
      <c r="D74" s="6">
        <v>3</v>
      </c>
      <c r="E74" s="6" t="s">
        <v>493</v>
      </c>
      <c r="F74" s="6" t="s">
        <v>506</v>
      </c>
      <c r="G74" s="6" t="s">
        <v>507</v>
      </c>
      <c r="H74" s="6" t="s">
        <v>500</v>
      </c>
      <c r="I74" s="6">
        <v>0</v>
      </c>
      <c r="J74" s="9">
        <v>99</v>
      </c>
      <c r="K74" s="9">
        <v>99</v>
      </c>
      <c r="L74" s="9">
        <v>99</v>
      </c>
      <c r="M74" s="9">
        <v>99</v>
      </c>
      <c r="N74" s="9">
        <v>99</v>
      </c>
      <c r="O74" s="9">
        <v>99</v>
      </c>
      <c r="P74" s="9">
        <v>99</v>
      </c>
      <c r="Q74" s="9">
        <v>99</v>
      </c>
      <c r="R74" s="9">
        <v>99</v>
      </c>
      <c r="S74" s="14">
        <f>R74</f>
        <v>99</v>
      </c>
      <c r="T74" s="10">
        <f>S74</f>
        <v>99</v>
      </c>
      <c r="U74" s="10">
        <f t="shared" ref="U74:AN74" si="21">T74-$T74/20</f>
        <v>94.05</v>
      </c>
      <c r="V74" s="10">
        <f t="shared" si="21"/>
        <v>89.1</v>
      </c>
      <c r="W74" s="10">
        <f t="shared" si="21"/>
        <v>84.149999999999991</v>
      </c>
      <c r="X74" s="10">
        <f t="shared" si="21"/>
        <v>79.199999999999989</v>
      </c>
      <c r="Y74" s="10">
        <f t="shared" si="21"/>
        <v>74.249999999999986</v>
      </c>
      <c r="Z74" s="10">
        <f t="shared" si="21"/>
        <v>69.299999999999983</v>
      </c>
      <c r="AA74" s="10">
        <f t="shared" si="21"/>
        <v>64.34999999999998</v>
      </c>
      <c r="AB74" s="10">
        <f t="shared" si="21"/>
        <v>59.399999999999977</v>
      </c>
      <c r="AC74" s="10">
        <f t="shared" si="21"/>
        <v>54.449999999999974</v>
      </c>
      <c r="AD74" s="10">
        <f t="shared" si="21"/>
        <v>49.499999999999972</v>
      </c>
      <c r="AE74" s="10">
        <f t="shared" si="21"/>
        <v>44.549999999999969</v>
      </c>
      <c r="AF74" s="10">
        <f t="shared" si="21"/>
        <v>39.599999999999966</v>
      </c>
      <c r="AG74" s="10">
        <f t="shared" si="21"/>
        <v>34.649999999999963</v>
      </c>
      <c r="AH74" s="10">
        <f t="shared" si="21"/>
        <v>29.699999999999964</v>
      </c>
      <c r="AI74" s="10">
        <f t="shared" si="21"/>
        <v>24.749999999999964</v>
      </c>
      <c r="AJ74" s="10">
        <f t="shared" si="21"/>
        <v>19.799999999999965</v>
      </c>
      <c r="AK74" s="10">
        <f t="shared" si="21"/>
        <v>14.849999999999966</v>
      </c>
      <c r="AL74" s="10">
        <f t="shared" si="21"/>
        <v>9.8999999999999666</v>
      </c>
      <c r="AM74" s="10">
        <f t="shared" si="21"/>
        <v>4.9499999999999664</v>
      </c>
      <c r="AN74" s="10">
        <f t="shared" si="21"/>
        <v>-3.3750779948604759E-14</v>
      </c>
      <c r="AO74" s="10">
        <v>-3.3750779948604759E-14</v>
      </c>
      <c r="AP74" s="10">
        <v>-3.3750779948604759E-14</v>
      </c>
      <c r="AQ74" s="10">
        <v>-3.3750779948604759E-14</v>
      </c>
      <c r="AR74" s="10">
        <v>-3.3750779948604759E-14</v>
      </c>
      <c r="AS74" s="10">
        <v>-3.3750779948604759E-14</v>
      </c>
      <c r="AT74" s="10">
        <v>-3.3750779948604759E-14</v>
      </c>
      <c r="AU74" s="10">
        <v>-3.3750779948604759E-14</v>
      </c>
      <c r="AV74" s="10">
        <v>-3.3750779948604759E-14</v>
      </c>
      <c r="AW74" s="10">
        <v>-3.3750779948604759E-14</v>
      </c>
      <c r="AX74" s="10">
        <v>-3.3750779948604759E-14</v>
      </c>
      <c r="AY74" s="10">
        <v>-3.3750779948604759E-14</v>
      </c>
      <c r="AZ74" s="10">
        <v>-3.3750779948604759E-14</v>
      </c>
      <c r="BA74" s="10">
        <v>-3.3750779948604759E-14</v>
      </c>
      <c r="BB74" s="10">
        <v>-3.3750779948604759E-14</v>
      </c>
      <c r="BC74" s="10">
        <v>-3.3750779948604759E-14</v>
      </c>
      <c r="BD74" s="10">
        <v>-3.3750779948604759E-14</v>
      </c>
      <c r="BE74" s="10">
        <v>-3.3750779948604759E-14</v>
      </c>
      <c r="BF74" s="10">
        <v>-3.3750779948604759E-14</v>
      </c>
      <c r="BG74" s="10">
        <v>-3.3750779948604759E-14</v>
      </c>
      <c r="BH74" s="10">
        <v>-3.3750779948604759E-14</v>
      </c>
      <c r="BI74" s="10">
        <v>-3.3750779948604759E-14</v>
      </c>
      <c r="BJ74" s="10">
        <v>-3.3750779948604759E-14</v>
      </c>
      <c r="BK74" s="10">
        <v>-3.3750779948604759E-14</v>
      </c>
      <c r="BL74" s="10">
        <v>-3.3750779948604759E-14</v>
      </c>
      <c r="BM74" s="10">
        <v>-3.3750779948604759E-14</v>
      </c>
      <c r="BN74" s="10">
        <v>-3.3750779948604759E-14</v>
      </c>
      <c r="BO74" s="10">
        <v>-3.3750779948604759E-14</v>
      </c>
      <c r="BP74" s="10">
        <v>-3.3750779948604759E-14</v>
      </c>
      <c r="BQ74" s="10">
        <v>-3.3750779948604759E-14</v>
      </c>
      <c r="BR74" s="10">
        <v>-3.3750779948604759E-14</v>
      </c>
    </row>
    <row r="75" spans="1:70" hidden="1" x14ac:dyDescent="0.25">
      <c r="A75" s="6">
        <v>15</v>
      </c>
      <c r="B75" s="6" t="s">
        <v>356</v>
      </c>
      <c r="C75" s="6" t="s">
        <v>357</v>
      </c>
      <c r="D75" s="6">
        <v>4</v>
      </c>
      <c r="E75" s="6" t="s">
        <v>494</v>
      </c>
      <c r="F75" s="6"/>
      <c r="G75" s="6"/>
      <c r="H75" s="6"/>
      <c r="I75" s="6">
        <v>0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spans="1:70" hidden="1" x14ac:dyDescent="0.25">
      <c r="A76" s="6">
        <v>15</v>
      </c>
      <c r="B76" s="6" t="s">
        <v>356</v>
      </c>
      <c r="C76" s="6" t="s">
        <v>357</v>
      </c>
      <c r="D76" s="6">
        <v>5</v>
      </c>
      <c r="E76" s="6" t="s">
        <v>496</v>
      </c>
      <c r="F76" s="6"/>
      <c r="G76" s="6"/>
      <c r="H76" s="6"/>
      <c r="I76" s="6">
        <v>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spans="1:70" hidden="1" x14ac:dyDescent="0.25">
      <c r="A77" s="7">
        <v>16</v>
      </c>
      <c r="B77" s="7" t="s">
        <v>358</v>
      </c>
      <c r="C77" s="7" t="s">
        <v>359</v>
      </c>
      <c r="D77" s="7">
        <v>1</v>
      </c>
      <c r="E77" s="7" t="s">
        <v>489</v>
      </c>
      <c r="F77" s="7" t="s">
        <v>504</v>
      </c>
      <c r="G77" s="7" t="s">
        <v>505</v>
      </c>
      <c r="H77" s="7" t="s">
        <v>500</v>
      </c>
      <c r="I77" s="7">
        <v>0</v>
      </c>
      <c r="J77" s="41">
        <v>32926.800000000003</v>
      </c>
      <c r="K77" s="41">
        <v>32926.800000000003</v>
      </c>
      <c r="L77" s="41">
        <v>32926.800000000003</v>
      </c>
      <c r="M77" s="41">
        <v>32926.800000000003</v>
      </c>
      <c r="N77" s="41">
        <v>32926.800000000003</v>
      </c>
      <c r="O77" s="41">
        <v>32926.800000000003</v>
      </c>
      <c r="P77" s="41">
        <v>32926.800000000003</v>
      </c>
      <c r="Q77" s="41">
        <v>32926.800000000003</v>
      </c>
      <c r="R77" s="41">
        <v>32926.800000000003</v>
      </c>
      <c r="S77" s="11">
        <v>32135.358333333337</v>
      </c>
      <c r="T77" s="3">
        <v>31343.916666666672</v>
      </c>
      <c r="U77" s="3">
        <v>30552.475000000006</v>
      </c>
      <c r="V77" s="3">
        <v>29761.03333333334</v>
      </c>
      <c r="W77" s="3">
        <v>28969.591666666674</v>
      </c>
      <c r="X77" s="3">
        <v>28178.150000000009</v>
      </c>
      <c r="Y77" s="3">
        <v>27386.708333333343</v>
      </c>
      <c r="Z77" s="3">
        <v>26595.266666666677</v>
      </c>
      <c r="AA77" s="3">
        <v>25803.825000000012</v>
      </c>
      <c r="AB77" s="3">
        <v>25012.383333333346</v>
      </c>
      <c r="AC77" s="3">
        <v>24220.94166666668</v>
      </c>
      <c r="AD77" s="3">
        <v>23429.5</v>
      </c>
      <c r="AE77" s="3">
        <v>23409.467100000002</v>
      </c>
      <c r="AF77" s="3">
        <v>23389.434200000003</v>
      </c>
      <c r="AG77" s="3">
        <v>23369.401300000005</v>
      </c>
      <c r="AH77" s="3">
        <v>23349.368400000007</v>
      </c>
      <c r="AI77" s="3">
        <v>23329.335500000008</v>
      </c>
      <c r="AJ77" s="3">
        <v>23309.30260000001</v>
      </c>
      <c r="AK77" s="3">
        <v>23289.269700000012</v>
      </c>
      <c r="AL77" s="3">
        <v>23269.236800000013</v>
      </c>
      <c r="AM77" s="3">
        <v>23249.203900000015</v>
      </c>
      <c r="AN77" s="3">
        <v>23229.171000000017</v>
      </c>
      <c r="AO77" s="3">
        <v>23209.138100000018</v>
      </c>
      <c r="AP77" s="3">
        <v>23189.10520000002</v>
      </c>
      <c r="AQ77" s="3">
        <v>23169.072300000022</v>
      </c>
      <c r="AR77" s="3">
        <v>23149.039400000023</v>
      </c>
      <c r="AS77" s="3">
        <v>23129.006500000025</v>
      </c>
      <c r="AT77" s="3">
        <v>23108.973600000027</v>
      </c>
      <c r="AU77" s="3">
        <v>23088.940700000028</v>
      </c>
      <c r="AV77" s="3">
        <v>23068.90780000003</v>
      </c>
      <c r="AW77" s="3">
        <v>23048.874900000032</v>
      </c>
      <c r="AX77" s="3">
        <v>23028.842000000001</v>
      </c>
      <c r="AY77" s="3">
        <f t="shared" ref="AY77:BR77" si="22">AX77</f>
        <v>23028.842000000001</v>
      </c>
      <c r="AZ77" s="3">
        <f t="shared" si="22"/>
        <v>23028.842000000001</v>
      </c>
      <c r="BA77" s="3">
        <f t="shared" si="22"/>
        <v>23028.842000000001</v>
      </c>
      <c r="BB77" s="3">
        <f t="shared" si="22"/>
        <v>23028.842000000001</v>
      </c>
      <c r="BC77" s="3">
        <f t="shared" si="22"/>
        <v>23028.842000000001</v>
      </c>
      <c r="BD77" s="3">
        <f t="shared" si="22"/>
        <v>23028.842000000001</v>
      </c>
      <c r="BE77" s="3">
        <f t="shared" si="22"/>
        <v>23028.842000000001</v>
      </c>
      <c r="BF77" s="3">
        <f t="shared" si="22"/>
        <v>23028.842000000001</v>
      </c>
      <c r="BG77" s="3">
        <f t="shared" si="22"/>
        <v>23028.842000000001</v>
      </c>
      <c r="BH77" s="3">
        <f t="shared" si="22"/>
        <v>23028.842000000001</v>
      </c>
      <c r="BI77" s="3">
        <f t="shared" si="22"/>
        <v>23028.842000000001</v>
      </c>
      <c r="BJ77" s="3">
        <f t="shared" si="22"/>
        <v>23028.842000000001</v>
      </c>
      <c r="BK77" s="3">
        <f t="shared" si="22"/>
        <v>23028.842000000001</v>
      </c>
      <c r="BL77" s="3">
        <f t="shared" si="22"/>
        <v>23028.842000000001</v>
      </c>
      <c r="BM77" s="3">
        <f t="shared" si="22"/>
        <v>23028.842000000001</v>
      </c>
      <c r="BN77" s="3">
        <f t="shared" si="22"/>
        <v>23028.842000000001</v>
      </c>
      <c r="BO77" s="3">
        <f t="shared" si="22"/>
        <v>23028.842000000001</v>
      </c>
      <c r="BP77" s="3">
        <f t="shared" si="22"/>
        <v>23028.842000000001</v>
      </c>
      <c r="BQ77" s="3">
        <f t="shared" si="22"/>
        <v>23028.842000000001</v>
      </c>
      <c r="BR77" s="3">
        <f t="shared" si="22"/>
        <v>23028.842000000001</v>
      </c>
    </row>
    <row r="78" spans="1:70" hidden="1" x14ac:dyDescent="0.25">
      <c r="A78" s="7">
        <v>16</v>
      </c>
      <c r="B78" s="7" t="s">
        <v>358</v>
      </c>
      <c r="C78" s="7" t="s">
        <v>359</v>
      </c>
      <c r="D78" s="7">
        <v>2</v>
      </c>
      <c r="E78" s="7" t="s">
        <v>491</v>
      </c>
      <c r="F78" s="7" t="s">
        <v>553</v>
      </c>
      <c r="G78" s="7" t="s">
        <v>505</v>
      </c>
      <c r="H78" s="7" t="s">
        <v>501</v>
      </c>
      <c r="I78" s="7">
        <v>0</v>
      </c>
      <c r="J78" s="7">
        <v>95</v>
      </c>
      <c r="K78" s="7"/>
      <c r="L78" s="7"/>
      <c r="M78" s="7"/>
      <c r="N78" s="7"/>
      <c r="O78" s="7"/>
      <c r="P78" s="7"/>
      <c r="Q78" s="7"/>
      <c r="R78" s="7"/>
      <c r="S78" s="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spans="1:70" hidden="1" x14ac:dyDescent="0.25">
      <c r="A79" s="7">
        <v>16</v>
      </c>
      <c r="B79" s="7" t="s">
        <v>358</v>
      </c>
      <c r="C79" s="7" t="s">
        <v>359</v>
      </c>
      <c r="D79" s="7">
        <v>3</v>
      </c>
      <c r="E79" s="7" t="s">
        <v>493</v>
      </c>
      <c r="F79" s="7" t="s">
        <v>506</v>
      </c>
      <c r="G79" s="7" t="s">
        <v>507</v>
      </c>
      <c r="H79" s="7" t="s">
        <v>500</v>
      </c>
      <c r="I79" s="7">
        <v>0</v>
      </c>
      <c r="J79" s="12">
        <v>1</v>
      </c>
      <c r="K79" s="12">
        <v>1</v>
      </c>
      <c r="L79" s="12">
        <v>1</v>
      </c>
      <c r="M79" s="12">
        <v>1</v>
      </c>
      <c r="N79" s="12">
        <v>1</v>
      </c>
      <c r="O79" s="12">
        <v>1</v>
      </c>
      <c r="P79" s="12">
        <v>1</v>
      </c>
      <c r="Q79" s="12">
        <v>1</v>
      </c>
      <c r="R79" s="12">
        <v>1</v>
      </c>
      <c r="S79" s="12">
        <v>1</v>
      </c>
      <c r="T79" s="10">
        <v>1</v>
      </c>
      <c r="U79" s="10">
        <f t="shared" ref="U79:AN79" si="23">T79-$T79/20</f>
        <v>0.95</v>
      </c>
      <c r="V79" s="10">
        <f t="shared" si="23"/>
        <v>0.89999999999999991</v>
      </c>
      <c r="W79" s="10">
        <f t="shared" si="23"/>
        <v>0.84999999999999987</v>
      </c>
      <c r="X79" s="10">
        <f t="shared" si="23"/>
        <v>0.79999999999999982</v>
      </c>
      <c r="Y79" s="10">
        <f t="shared" si="23"/>
        <v>0.74999999999999978</v>
      </c>
      <c r="Z79" s="10">
        <f t="shared" si="23"/>
        <v>0.69999999999999973</v>
      </c>
      <c r="AA79" s="10">
        <f t="shared" si="23"/>
        <v>0.64999999999999969</v>
      </c>
      <c r="AB79" s="10">
        <f t="shared" si="23"/>
        <v>0.59999999999999964</v>
      </c>
      <c r="AC79" s="10">
        <f t="shared" si="23"/>
        <v>0.5499999999999996</v>
      </c>
      <c r="AD79" s="10">
        <f t="shared" si="23"/>
        <v>0.49999999999999961</v>
      </c>
      <c r="AE79" s="10">
        <f t="shared" si="23"/>
        <v>0.44999999999999962</v>
      </c>
      <c r="AF79" s="10">
        <f t="shared" si="23"/>
        <v>0.39999999999999963</v>
      </c>
      <c r="AG79" s="10">
        <f t="shared" si="23"/>
        <v>0.34999999999999964</v>
      </c>
      <c r="AH79" s="10">
        <f t="shared" si="23"/>
        <v>0.29999999999999966</v>
      </c>
      <c r="AI79" s="10">
        <f t="shared" si="23"/>
        <v>0.24999999999999967</v>
      </c>
      <c r="AJ79" s="10">
        <f t="shared" si="23"/>
        <v>0.19999999999999968</v>
      </c>
      <c r="AK79" s="10">
        <f t="shared" si="23"/>
        <v>0.14999999999999969</v>
      </c>
      <c r="AL79" s="10">
        <f t="shared" si="23"/>
        <v>9.9999999999999686E-2</v>
      </c>
      <c r="AM79" s="10">
        <f t="shared" si="23"/>
        <v>4.9999999999999684E-2</v>
      </c>
      <c r="AN79" s="10">
        <f t="shared" si="23"/>
        <v>-3.1918911957973251E-16</v>
      </c>
      <c r="AO79" s="10">
        <v>-3.1918911957973251E-16</v>
      </c>
      <c r="AP79" s="10">
        <v>-3.1918911957973251E-16</v>
      </c>
      <c r="AQ79" s="10">
        <v>-3.1918911957973251E-16</v>
      </c>
      <c r="AR79" s="10">
        <v>-3.1918911957973251E-16</v>
      </c>
      <c r="AS79" s="10">
        <v>-3.1918911957973251E-16</v>
      </c>
      <c r="AT79" s="10">
        <v>-3.1918911957973251E-16</v>
      </c>
      <c r="AU79" s="10">
        <v>-3.1918911957973251E-16</v>
      </c>
      <c r="AV79" s="10">
        <v>-3.1918911957973251E-16</v>
      </c>
      <c r="AW79" s="10">
        <v>-3.1918911957973251E-16</v>
      </c>
      <c r="AX79" s="10">
        <v>-3.1918911957973251E-16</v>
      </c>
      <c r="AY79" s="10">
        <v>-3.1918911957973251E-16</v>
      </c>
      <c r="AZ79" s="10">
        <v>-3.1918911957973251E-16</v>
      </c>
      <c r="BA79" s="10">
        <v>-3.1918911957973251E-16</v>
      </c>
      <c r="BB79" s="10">
        <v>-3.1918911957973251E-16</v>
      </c>
      <c r="BC79" s="10">
        <v>-3.1918911957973251E-16</v>
      </c>
      <c r="BD79" s="10">
        <v>-3.1918911957973251E-16</v>
      </c>
      <c r="BE79" s="10">
        <v>-3.1918911957973251E-16</v>
      </c>
      <c r="BF79" s="10">
        <v>-3.1918911957973251E-16</v>
      </c>
      <c r="BG79" s="10">
        <v>-3.1918911957973251E-16</v>
      </c>
      <c r="BH79" s="10">
        <v>-3.1918911957973251E-16</v>
      </c>
      <c r="BI79" s="10">
        <v>-3.1918911957973251E-16</v>
      </c>
      <c r="BJ79" s="10">
        <v>-3.1918911957973251E-16</v>
      </c>
      <c r="BK79" s="10">
        <v>-3.1918911957973251E-16</v>
      </c>
      <c r="BL79" s="10">
        <v>-3.1918911957973251E-16</v>
      </c>
      <c r="BM79" s="10">
        <v>-3.1918911957973251E-16</v>
      </c>
      <c r="BN79" s="10">
        <v>-3.1918911957973251E-16</v>
      </c>
      <c r="BO79" s="10">
        <v>-3.1918911957973251E-16</v>
      </c>
      <c r="BP79" s="10">
        <v>-3.1918911957973251E-16</v>
      </c>
      <c r="BQ79" s="10">
        <v>-3.1918911957973251E-16</v>
      </c>
      <c r="BR79" s="10">
        <v>-3.1918911957973251E-16</v>
      </c>
    </row>
    <row r="80" spans="1:70" hidden="1" x14ac:dyDescent="0.25">
      <c r="A80" s="7">
        <v>16</v>
      </c>
      <c r="B80" s="7" t="s">
        <v>358</v>
      </c>
      <c r="C80" s="7" t="s">
        <v>359</v>
      </c>
      <c r="D80" s="7">
        <v>4</v>
      </c>
      <c r="E80" s="7" t="s">
        <v>494</v>
      </c>
      <c r="F80" s="7"/>
      <c r="G80" s="7"/>
      <c r="H80" s="7"/>
      <c r="I80" s="7">
        <v>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spans="1:70" hidden="1" x14ac:dyDescent="0.25">
      <c r="A81" s="7">
        <v>16</v>
      </c>
      <c r="B81" s="7" t="s">
        <v>358</v>
      </c>
      <c r="C81" s="7" t="s">
        <v>359</v>
      </c>
      <c r="D81" s="7">
        <v>5</v>
      </c>
      <c r="E81" s="7" t="s">
        <v>496</v>
      </c>
      <c r="F81" s="7"/>
      <c r="G81" s="7"/>
      <c r="H81" s="7"/>
      <c r="I81" s="7">
        <v>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spans="1:70" hidden="1" x14ac:dyDescent="0.25">
      <c r="A82" s="6">
        <v>17</v>
      </c>
      <c r="B82" s="6" t="s">
        <v>360</v>
      </c>
      <c r="C82" s="6" t="s">
        <v>361</v>
      </c>
      <c r="D82" s="6">
        <v>1</v>
      </c>
      <c r="E82" s="6" t="s">
        <v>489</v>
      </c>
      <c r="F82" s="6" t="s">
        <v>504</v>
      </c>
      <c r="G82" s="6" t="s">
        <v>505</v>
      </c>
      <c r="H82" s="6" t="s">
        <v>500</v>
      </c>
      <c r="I82" s="6">
        <v>0</v>
      </c>
      <c r="J82" s="40">
        <v>19642</v>
      </c>
      <c r="K82" s="40">
        <v>19642</v>
      </c>
      <c r="L82" s="40">
        <v>19642</v>
      </c>
      <c r="M82" s="40">
        <v>19642</v>
      </c>
      <c r="N82" s="40">
        <v>19642</v>
      </c>
      <c r="O82" s="40">
        <v>19642</v>
      </c>
      <c r="P82" s="40">
        <v>19642</v>
      </c>
      <c r="Q82" s="40">
        <v>19642</v>
      </c>
      <c r="R82" s="40">
        <v>19642</v>
      </c>
      <c r="S82" s="8">
        <v>19658.368333333332</v>
      </c>
      <c r="T82" s="3">
        <v>19674.736666666664</v>
      </c>
      <c r="U82" s="3">
        <v>19691.104999999996</v>
      </c>
      <c r="V82" s="3">
        <v>19707.473333333328</v>
      </c>
      <c r="W82" s="3">
        <v>19723.84166666666</v>
      </c>
      <c r="X82" s="3">
        <v>19740.209999999992</v>
      </c>
      <c r="Y82" s="3">
        <v>19756.578333333324</v>
      </c>
      <c r="Z82" s="3">
        <v>19772.946666666656</v>
      </c>
      <c r="AA82" s="3">
        <v>19789.314999999988</v>
      </c>
      <c r="AB82" s="3">
        <v>19805.68333333332</v>
      </c>
      <c r="AC82" s="3">
        <v>19822.051666666652</v>
      </c>
      <c r="AD82" s="3">
        <v>19838.420000000002</v>
      </c>
      <c r="AE82" s="3">
        <v>19987.208150000002</v>
      </c>
      <c r="AF82" s="3">
        <v>20135.996300000003</v>
      </c>
      <c r="AG82" s="3">
        <v>20284.784450000003</v>
      </c>
      <c r="AH82" s="3">
        <v>20433.572600000003</v>
      </c>
      <c r="AI82" s="3">
        <v>20582.360750000003</v>
      </c>
      <c r="AJ82" s="3">
        <v>20731.148900000004</v>
      </c>
      <c r="AK82" s="3">
        <v>20879.937050000004</v>
      </c>
      <c r="AL82" s="3">
        <v>21028.725200000004</v>
      </c>
      <c r="AM82" s="3">
        <v>21177.513350000005</v>
      </c>
      <c r="AN82" s="3">
        <v>21326.301500000005</v>
      </c>
      <c r="AO82" s="3">
        <v>21475.089650000005</v>
      </c>
      <c r="AP82" s="3">
        <v>21623.877800000006</v>
      </c>
      <c r="AQ82" s="3">
        <v>21772.665950000006</v>
      </c>
      <c r="AR82" s="3">
        <v>21921.454100000006</v>
      </c>
      <c r="AS82" s="3">
        <v>22070.242250000007</v>
      </c>
      <c r="AT82" s="3">
        <v>22219.030400000007</v>
      </c>
      <c r="AU82" s="3">
        <v>22367.818550000007</v>
      </c>
      <c r="AV82" s="3">
        <v>22516.606700000008</v>
      </c>
      <c r="AW82" s="3">
        <v>22665.394850000008</v>
      </c>
      <c r="AX82" s="3">
        <v>22814.183000000001</v>
      </c>
      <c r="AY82" s="3">
        <f t="shared" ref="AY82:BR82" si="24">AX82</f>
        <v>22814.183000000001</v>
      </c>
      <c r="AZ82" s="3">
        <f t="shared" si="24"/>
        <v>22814.183000000001</v>
      </c>
      <c r="BA82" s="3">
        <f t="shared" si="24"/>
        <v>22814.183000000001</v>
      </c>
      <c r="BB82" s="3">
        <f t="shared" si="24"/>
        <v>22814.183000000001</v>
      </c>
      <c r="BC82" s="3">
        <f t="shared" si="24"/>
        <v>22814.183000000001</v>
      </c>
      <c r="BD82" s="3">
        <f t="shared" si="24"/>
        <v>22814.183000000001</v>
      </c>
      <c r="BE82" s="3">
        <f t="shared" si="24"/>
        <v>22814.183000000001</v>
      </c>
      <c r="BF82" s="3">
        <f t="shared" si="24"/>
        <v>22814.183000000001</v>
      </c>
      <c r="BG82" s="3">
        <f t="shared" si="24"/>
        <v>22814.183000000001</v>
      </c>
      <c r="BH82" s="3">
        <f t="shared" si="24"/>
        <v>22814.183000000001</v>
      </c>
      <c r="BI82" s="3">
        <f t="shared" si="24"/>
        <v>22814.183000000001</v>
      </c>
      <c r="BJ82" s="3">
        <f t="shared" si="24"/>
        <v>22814.183000000001</v>
      </c>
      <c r="BK82" s="3">
        <f t="shared" si="24"/>
        <v>22814.183000000001</v>
      </c>
      <c r="BL82" s="3">
        <f t="shared" si="24"/>
        <v>22814.183000000001</v>
      </c>
      <c r="BM82" s="3">
        <f t="shared" si="24"/>
        <v>22814.183000000001</v>
      </c>
      <c r="BN82" s="3">
        <f t="shared" si="24"/>
        <v>22814.183000000001</v>
      </c>
      <c r="BO82" s="3">
        <f t="shared" si="24"/>
        <v>22814.183000000001</v>
      </c>
      <c r="BP82" s="3">
        <f t="shared" si="24"/>
        <v>22814.183000000001</v>
      </c>
      <c r="BQ82" s="3">
        <f t="shared" si="24"/>
        <v>22814.183000000001</v>
      </c>
      <c r="BR82" s="3">
        <f t="shared" si="24"/>
        <v>22814.183000000001</v>
      </c>
    </row>
    <row r="83" spans="1:70" hidden="1" x14ac:dyDescent="0.25">
      <c r="A83" s="6">
        <v>17</v>
      </c>
      <c r="B83" s="6" t="s">
        <v>360</v>
      </c>
      <c r="C83" s="6" t="s">
        <v>361</v>
      </c>
      <c r="D83" s="6">
        <v>2</v>
      </c>
      <c r="E83" s="6" t="s">
        <v>491</v>
      </c>
      <c r="F83" s="6" t="s">
        <v>553</v>
      </c>
      <c r="G83" s="6" t="s">
        <v>505</v>
      </c>
      <c r="H83" s="6" t="s">
        <v>501</v>
      </c>
      <c r="I83" s="6">
        <v>0</v>
      </c>
      <c r="J83" s="6">
        <v>95</v>
      </c>
      <c r="K83" s="6"/>
      <c r="L83" s="6"/>
      <c r="M83" s="6"/>
      <c r="N83" s="6"/>
      <c r="O83" s="6"/>
      <c r="P83" s="6"/>
      <c r="Q83" s="6"/>
      <c r="R83" s="6"/>
      <c r="S83" s="6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1:70" hidden="1" x14ac:dyDescent="0.25">
      <c r="A84" s="6">
        <v>17</v>
      </c>
      <c r="B84" s="6" t="s">
        <v>360</v>
      </c>
      <c r="C84" s="6" t="s">
        <v>361</v>
      </c>
      <c r="D84" s="6">
        <v>3</v>
      </c>
      <c r="E84" s="6" t="s">
        <v>493</v>
      </c>
      <c r="F84" s="6" t="s">
        <v>506</v>
      </c>
      <c r="G84" s="6" t="s">
        <v>507</v>
      </c>
      <c r="H84" s="6" t="s">
        <v>500</v>
      </c>
      <c r="I84" s="6">
        <v>0</v>
      </c>
      <c r="J84" s="9">
        <v>64726</v>
      </c>
      <c r="K84" s="9">
        <v>64726</v>
      </c>
      <c r="L84" s="9">
        <v>64726</v>
      </c>
      <c r="M84" s="9">
        <v>64726</v>
      </c>
      <c r="N84" s="9">
        <v>64726</v>
      </c>
      <c r="O84" s="9">
        <v>64726</v>
      </c>
      <c r="P84" s="9">
        <v>64726</v>
      </c>
      <c r="Q84" s="9">
        <v>64726</v>
      </c>
      <c r="R84" s="9">
        <v>64726</v>
      </c>
      <c r="S84" s="14">
        <v>63500</v>
      </c>
      <c r="T84" s="10">
        <v>58284</v>
      </c>
      <c r="U84" s="10">
        <f t="shared" ref="U84:AN84" si="25">T84-$T84/20</f>
        <v>55369.8</v>
      </c>
      <c r="V84" s="10">
        <f t="shared" si="25"/>
        <v>52455.600000000006</v>
      </c>
      <c r="W84" s="10">
        <f t="shared" si="25"/>
        <v>49541.400000000009</v>
      </c>
      <c r="X84" s="10">
        <f t="shared" si="25"/>
        <v>46627.200000000012</v>
      </c>
      <c r="Y84" s="10">
        <f t="shared" si="25"/>
        <v>43713.000000000015</v>
      </c>
      <c r="Z84" s="10">
        <f t="shared" si="25"/>
        <v>40798.800000000017</v>
      </c>
      <c r="AA84" s="10">
        <f t="shared" si="25"/>
        <v>37884.60000000002</v>
      </c>
      <c r="AB84" s="10">
        <f t="shared" si="25"/>
        <v>34970.400000000023</v>
      </c>
      <c r="AC84" s="10">
        <f t="shared" si="25"/>
        <v>32056.200000000023</v>
      </c>
      <c r="AD84" s="10">
        <f t="shared" si="25"/>
        <v>29142.000000000022</v>
      </c>
      <c r="AE84" s="10">
        <f t="shared" si="25"/>
        <v>26227.800000000021</v>
      </c>
      <c r="AF84" s="10">
        <f t="shared" si="25"/>
        <v>23313.60000000002</v>
      </c>
      <c r="AG84" s="10">
        <f t="shared" si="25"/>
        <v>20399.40000000002</v>
      </c>
      <c r="AH84" s="10">
        <f t="shared" si="25"/>
        <v>17485.200000000019</v>
      </c>
      <c r="AI84" s="10">
        <f t="shared" si="25"/>
        <v>14571.000000000018</v>
      </c>
      <c r="AJ84" s="10">
        <f t="shared" si="25"/>
        <v>11656.800000000017</v>
      </c>
      <c r="AK84" s="10">
        <f t="shared" si="25"/>
        <v>8742.6000000000167</v>
      </c>
      <c r="AL84" s="10">
        <f t="shared" si="25"/>
        <v>5828.4000000000169</v>
      </c>
      <c r="AM84" s="10">
        <f t="shared" si="25"/>
        <v>2914.2000000000171</v>
      </c>
      <c r="AN84" s="10">
        <f t="shared" si="25"/>
        <v>1.7280399333685637E-11</v>
      </c>
      <c r="AO84" s="10">
        <v>1.7280399333685637E-11</v>
      </c>
      <c r="AP84" s="10">
        <v>1.7280399333685637E-11</v>
      </c>
      <c r="AQ84" s="10">
        <v>1.7280399333685637E-11</v>
      </c>
      <c r="AR84" s="10">
        <v>1.7280399333685637E-11</v>
      </c>
      <c r="AS84" s="10">
        <v>1.7280399333685637E-11</v>
      </c>
      <c r="AT84" s="10">
        <v>1.7280399333685637E-11</v>
      </c>
      <c r="AU84" s="10">
        <v>1.7280399333685637E-11</v>
      </c>
      <c r="AV84" s="10">
        <v>1.7280399333685637E-11</v>
      </c>
      <c r="AW84" s="10">
        <v>1.7280399333685637E-11</v>
      </c>
      <c r="AX84" s="10">
        <v>1.7280399333685637E-11</v>
      </c>
      <c r="AY84" s="10">
        <v>1.7280399333685637E-11</v>
      </c>
      <c r="AZ84" s="10">
        <v>1.7280399333685637E-11</v>
      </c>
      <c r="BA84" s="10">
        <v>1.7280399333685637E-11</v>
      </c>
      <c r="BB84" s="10">
        <v>1.7280399333685637E-11</v>
      </c>
      <c r="BC84" s="10">
        <v>1.7280399333685637E-11</v>
      </c>
      <c r="BD84" s="10">
        <v>1.7280399333685637E-11</v>
      </c>
      <c r="BE84" s="10">
        <v>1.7280399333685637E-11</v>
      </c>
      <c r="BF84" s="10">
        <v>1.7280399333685637E-11</v>
      </c>
      <c r="BG84" s="10">
        <v>1.7280399333685637E-11</v>
      </c>
      <c r="BH84" s="10">
        <v>1.7280399333685637E-11</v>
      </c>
      <c r="BI84" s="10">
        <v>1.7280399333685637E-11</v>
      </c>
      <c r="BJ84" s="10">
        <v>1.7280399333685637E-11</v>
      </c>
      <c r="BK84" s="10">
        <v>1.7280399333685637E-11</v>
      </c>
      <c r="BL84" s="10">
        <v>1.7280399333685637E-11</v>
      </c>
      <c r="BM84" s="10">
        <v>1.7280399333685637E-11</v>
      </c>
      <c r="BN84" s="10">
        <v>1.7280399333685637E-11</v>
      </c>
      <c r="BO84" s="10">
        <v>1.7280399333685637E-11</v>
      </c>
      <c r="BP84" s="10">
        <v>1.7280399333685637E-11</v>
      </c>
      <c r="BQ84" s="10">
        <v>1.7280399333685637E-11</v>
      </c>
      <c r="BR84" s="10">
        <v>1.7280399333685637E-11</v>
      </c>
    </row>
    <row r="85" spans="1:70" hidden="1" x14ac:dyDescent="0.25">
      <c r="A85" s="6">
        <v>17</v>
      </c>
      <c r="B85" s="6" t="s">
        <v>360</v>
      </c>
      <c r="C85" s="6" t="s">
        <v>361</v>
      </c>
      <c r="D85" s="6">
        <v>4</v>
      </c>
      <c r="E85" s="6" t="s">
        <v>494</v>
      </c>
      <c r="F85" s="6"/>
      <c r="G85" s="6"/>
      <c r="H85" s="6"/>
      <c r="I85" s="6">
        <v>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spans="1:70" hidden="1" x14ac:dyDescent="0.25">
      <c r="A86" s="6">
        <v>17</v>
      </c>
      <c r="B86" s="6" t="s">
        <v>360</v>
      </c>
      <c r="C86" s="6" t="s">
        <v>361</v>
      </c>
      <c r="D86" s="6">
        <v>5</v>
      </c>
      <c r="E86" s="6" t="s">
        <v>496</v>
      </c>
      <c r="F86" s="6"/>
      <c r="G86" s="6"/>
      <c r="H86" s="6"/>
      <c r="I86" s="6">
        <v>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spans="1:70" hidden="1" x14ac:dyDescent="0.25">
      <c r="A87" s="7">
        <v>18</v>
      </c>
      <c r="B87" s="7" t="s">
        <v>362</v>
      </c>
      <c r="C87" s="7" t="s">
        <v>363</v>
      </c>
      <c r="D87" s="7">
        <v>1</v>
      </c>
      <c r="E87" s="7" t="s">
        <v>489</v>
      </c>
      <c r="F87" s="7" t="s">
        <v>504</v>
      </c>
      <c r="G87" s="7" t="s">
        <v>505</v>
      </c>
      <c r="H87" s="7" t="s">
        <v>500</v>
      </c>
      <c r="I87" s="7">
        <v>0</v>
      </c>
      <c r="J87" s="41">
        <v>22588.3</v>
      </c>
      <c r="K87" s="41">
        <v>22588.3</v>
      </c>
      <c r="L87" s="41">
        <v>22588.3</v>
      </c>
      <c r="M87" s="41">
        <v>22588.3</v>
      </c>
      <c r="N87" s="41">
        <v>22588.3</v>
      </c>
      <c r="O87" s="41">
        <v>22588.3</v>
      </c>
      <c r="P87" s="41">
        <v>22588.3</v>
      </c>
      <c r="Q87" s="41">
        <v>22588.3</v>
      </c>
      <c r="R87" s="41">
        <v>22588.3</v>
      </c>
      <c r="S87" s="11">
        <v>22539.274999999998</v>
      </c>
      <c r="T87" s="3">
        <v>22490.249999999996</v>
      </c>
      <c r="U87" s="3">
        <v>22441.224999999995</v>
      </c>
      <c r="V87" s="3">
        <v>22392.199999999993</v>
      </c>
      <c r="W87" s="3">
        <v>22343.174999999992</v>
      </c>
      <c r="X87" s="3">
        <v>22294.149999999991</v>
      </c>
      <c r="Y87" s="3">
        <v>22245.124999999989</v>
      </c>
      <c r="Z87" s="3">
        <v>22196.099999999988</v>
      </c>
      <c r="AA87" s="3">
        <v>22147.074999999986</v>
      </c>
      <c r="AB87" s="3">
        <v>22098.049999999985</v>
      </c>
      <c r="AC87" s="3">
        <v>22049.024999999983</v>
      </c>
      <c r="AD87" s="3">
        <v>22000</v>
      </c>
      <c r="AE87" s="3">
        <v>22035</v>
      </c>
      <c r="AF87" s="3">
        <v>22070</v>
      </c>
      <c r="AG87" s="3">
        <v>22105</v>
      </c>
      <c r="AH87" s="3">
        <v>22140</v>
      </c>
      <c r="AI87" s="3">
        <v>22175</v>
      </c>
      <c r="AJ87" s="3">
        <v>22210</v>
      </c>
      <c r="AK87" s="3">
        <v>22245</v>
      </c>
      <c r="AL87" s="3">
        <v>22280</v>
      </c>
      <c r="AM87" s="3">
        <v>22315</v>
      </c>
      <c r="AN87" s="3">
        <v>22350</v>
      </c>
      <c r="AO87" s="3">
        <v>22385</v>
      </c>
      <c r="AP87" s="3">
        <v>22420</v>
      </c>
      <c r="AQ87" s="3">
        <v>22455</v>
      </c>
      <c r="AR87" s="3">
        <v>22490</v>
      </c>
      <c r="AS87" s="3">
        <v>22525</v>
      </c>
      <c r="AT87" s="3">
        <v>22560</v>
      </c>
      <c r="AU87" s="3">
        <v>22595</v>
      </c>
      <c r="AV87" s="3">
        <v>22630</v>
      </c>
      <c r="AW87" s="3">
        <v>22665</v>
      </c>
      <c r="AX87" s="3">
        <v>22700</v>
      </c>
      <c r="AY87" s="3">
        <f t="shared" ref="AY87:BR87" si="26">AX87</f>
        <v>22700</v>
      </c>
      <c r="AZ87" s="3">
        <f t="shared" si="26"/>
        <v>22700</v>
      </c>
      <c r="BA87" s="3">
        <f t="shared" si="26"/>
        <v>22700</v>
      </c>
      <c r="BB87" s="3">
        <f t="shared" si="26"/>
        <v>22700</v>
      </c>
      <c r="BC87" s="3">
        <f t="shared" si="26"/>
        <v>22700</v>
      </c>
      <c r="BD87" s="3">
        <f t="shared" si="26"/>
        <v>22700</v>
      </c>
      <c r="BE87" s="3">
        <f t="shared" si="26"/>
        <v>22700</v>
      </c>
      <c r="BF87" s="3">
        <f t="shared" si="26"/>
        <v>22700</v>
      </c>
      <c r="BG87" s="3">
        <f t="shared" si="26"/>
        <v>22700</v>
      </c>
      <c r="BH87" s="3">
        <f t="shared" si="26"/>
        <v>22700</v>
      </c>
      <c r="BI87" s="3">
        <f t="shared" si="26"/>
        <v>22700</v>
      </c>
      <c r="BJ87" s="3">
        <f t="shared" si="26"/>
        <v>22700</v>
      </c>
      <c r="BK87" s="3">
        <f t="shared" si="26"/>
        <v>22700</v>
      </c>
      <c r="BL87" s="3">
        <f t="shared" si="26"/>
        <v>22700</v>
      </c>
      <c r="BM87" s="3">
        <f t="shared" si="26"/>
        <v>22700</v>
      </c>
      <c r="BN87" s="3">
        <f t="shared" si="26"/>
        <v>22700</v>
      </c>
      <c r="BO87" s="3">
        <f t="shared" si="26"/>
        <v>22700</v>
      </c>
      <c r="BP87" s="3">
        <f t="shared" si="26"/>
        <v>22700</v>
      </c>
      <c r="BQ87" s="3">
        <f t="shared" si="26"/>
        <v>22700</v>
      </c>
      <c r="BR87" s="3">
        <f t="shared" si="26"/>
        <v>22700</v>
      </c>
    </row>
    <row r="88" spans="1:70" hidden="1" x14ac:dyDescent="0.25">
      <c r="A88" s="7">
        <v>18</v>
      </c>
      <c r="B88" s="7" t="s">
        <v>362</v>
      </c>
      <c r="C88" s="7" t="s">
        <v>363</v>
      </c>
      <c r="D88" s="7">
        <v>2</v>
      </c>
      <c r="E88" s="7" t="s">
        <v>491</v>
      </c>
      <c r="F88" s="7" t="s">
        <v>553</v>
      </c>
      <c r="G88" s="7" t="s">
        <v>505</v>
      </c>
      <c r="H88" s="7" t="s">
        <v>501</v>
      </c>
      <c r="I88" s="7">
        <v>0</v>
      </c>
      <c r="J88" s="7">
        <v>95</v>
      </c>
      <c r="K88" s="7"/>
      <c r="L88" s="7"/>
      <c r="M88" s="7"/>
      <c r="N88" s="7"/>
      <c r="O88" s="7"/>
      <c r="P88" s="7"/>
      <c r="Q88" s="7"/>
      <c r="R88" s="7"/>
      <c r="S88" s="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spans="1:70" hidden="1" x14ac:dyDescent="0.25">
      <c r="A89" s="7">
        <v>18</v>
      </c>
      <c r="B89" s="7" t="s">
        <v>362</v>
      </c>
      <c r="C89" s="7" t="s">
        <v>363</v>
      </c>
      <c r="D89" s="7">
        <v>3</v>
      </c>
      <c r="E89" s="7" t="s">
        <v>493</v>
      </c>
      <c r="F89" s="7" t="s">
        <v>506</v>
      </c>
      <c r="G89" s="7" t="s">
        <v>507</v>
      </c>
      <c r="H89" s="7" t="s">
        <v>500</v>
      </c>
      <c r="I89" s="7">
        <v>0</v>
      </c>
      <c r="J89" s="12">
        <v>5</v>
      </c>
      <c r="K89" s="12">
        <v>5</v>
      </c>
      <c r="L89" s="12">
        <v>5</v>
      </c>
      <c r="M89" s="12">
        <v>5</v>
      </c>
      <c r="N89" s="12">
        <v>5</v>
      </c>
      <c r="O89" s="12">
        <v>5</v>
      </c>
      <c r="P89" s="12">
        <v>5</v>
      </c>
      <c r="Q89" s="12">
        <v>5</v>
      </c>
      <c r="R89" s="12">
        <v>5</v>
      </c>
      <c r="S89" s="12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</row>
    <row r="90" spans="1:70" hidden="1" x14ac:dyDescent="0.25">
      <c r="A90" s="7">
        <v>18</v>
      </c>
      <c r="B90" s="7" t="s">
        <v>362</v>
      </c>
      <c r="C90" s="7" t="s">
        <v>363</v>
      </c>
      <c r="D90" s="7">
        <v>4</v>
      </c>
      <c r="E90" s="7" t="s">
        <v>494</v>
      </c>
      <c r="F90" s="7"/>
      <c r="G90" s="7"/>
      <c r="H90" s="7"/>
      <c r="I90" s="7">
        <v>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1:70" hidden="1" x14ac:dyDescent="0.25">
      <c r="A91" s="7">
        <v>18</v>
      </c>
      <c r="B91" s="7" t="s">
        <v>362</v>
      </c>
      <c r="C91" s="7" t="s">
        <v>363</v>
      </c>
      <c r="D91" s="7">
        <v>5</v>
      </c>
      <c r="E91" s="7" t="s">
        <v>496</v>
      </c>
      <c r="F91" s="7"/>
      <c r="G91" s="7"/>
      <c r="H91" s="7"/>
      <c r="I91" s="7">
        <v>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spans="1:70" hidden="1" x14ac:dyDescent="0.25">
      <c r="A92" s="6">
        <v>19</v>
      </c>
      <c r="B92" s="6" t="s">
        <v>364</v>
      </c>
      <c r="C92" s="6" t="s">
        <v>365</v>
      </c>
      <c r="D92" s="6">
        <v>1</v>
      </c>
      <c r="E92" s="6" t="s">
        <v>489</v>
      </c>
      <c r="F92" s="6" t="s">
        <v>505</v>
      </c>
      <c r="G92" s="6" t="s">
        <v>505</v>
      </c>
      <c r="H92" s="6" t="s">
        <v>501</v>
      </c>
      <c r="I92" s="6">
        <v>0</v>
      </c>
      <c r="J92" s="40">
        <v>2213.6986301369861</v>
      </c>
      <c r="K92" s="40"/>
      <c r="L92" s="40"/>
      <c r="M92" s="40"/>
      <c r="N92" s="40"/>
      <c r="O92" s="40"/>
      <c r="P92" s="40"/>
      <c r="Q92" s="40"/>
      <c r="R92" s="40"/>
      <c r="S92" s="8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spans="1:70" hidden="1" x14ac:dyDescent="0.25">
      <c r="A93" s="6">
        <v>19</v>
      </c>
      <c r="B93" s="6" t="s">
        <v>364</v>
      </c>
      <c r="C93" s="6" t="s">
        <v>365</v>
      </c>
      <c r="D93" s="6">
        <v>2</v>
      </c>
      <c r="E93" s="6" t="s">
        <v>491</v>
      </c>
      <c r="F93" s="6" t="s">
        <v>553</v>
      </c>
      <c r="G93" s="6" t="s">
        <v>505</v>
      </c>
      <c r="H93" s="6" t="s">
        <v>501</v>
      </c>
      <c r="I93" s="6">
        <v>0</v>
      </c>
      <c r="J93" s="6">
        <v>0.27374999999999999</v>
      </c>
      <c r="K93" s="6"/>
      <c r="L93" s="6"/>
      <c r="M93" s="6"/>
      <c r="N93" s="6"/>
      <c r="O93" s="6"/>
      <c r="P93" s="6"/>
      <c r="Q93" s="6"/>
      <c r="R93" s="6"/>
      <c r="S93" s="6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spans="1:70" hidden="1" x14ac:dyDescent="0.25">
      <c r="A94" s="6">
        <v>19</v>
      </c>
      <c r="B94" s="6" t="s">
        <v>364</v>
      </c>
      <c r="C94" s="6" t="s">
        <v>365</v>
      </c>
      <c r="D94" s="6">
        <v>3</v>
      </c>
      <c r="E94" s="6" t="s">
        <v>493</v>
      </c>
      <c r="F94" s="6" t="s">
        <v>506</v>
      </c>
      <c r="G94" s="6" t="s">
        <v>507</v>
      </c>
      <c r="H94" s="6" t="s">
        <v>501</v>
      </c>
      <c r="I94" s="6">
        <v>0</v>
      </c>
      <c r="J94" s="9">
        <v>0</v>
      </c>
      <c r="K94" s="9"/>
      <c r="L94" s="9"/>
      <c r="M94" s="9"/>
      <c r="N94" s="9"/>
      <c r="O94" s="9"/>
      <c r="P94" s="9"/>
      <c r="Q94" s="9"/>
      <c r="R94" s="9"/>
      <c r="S94" s="14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spans="1:70" hidden="1" x14ac:dyDescent="0.25">
      <c r="A95" s="6">
        <v>19</v>
      </c>
      <c r="B95" s="6" t="s">
        <v>364</v>
      </c>
      <c r="C95" s="6" t="s">
        <v>365</v>
      </c>
      <c r="D95" s="6">
        <v>4</v>
      </c>
      <c r="E95" s="6" t="s">
        <v>494</v>
      </c>
      <c r="F95" s="6"/>
      <c r="G95" s="6"/>
      <c r="H95" s="6"/>
      <c r="I95" s="6">
        <v>0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spans="1:70" hidden="1" x14ac:dyDescent="0.25">
      <c r="A96" s="6">
        <v>19</v>
      </c>
      <c r="B96" s="6" t="s">
        <v>364</v>
      </c>
      <c r="C96" s="6" t="s">
        <v>365</v>
      </c>
      <c r="D96" s="6">
        <v>5</v>
      </c>
      <c r="E96" s="6" t="s">
        <v>496</v>
      </c>
      <c r="F96" s="6"/>
      <c r="G96" s="6"/>
      <c r="H96" s="6"/>
      <c r="I96" s="6">
        <v>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hidden="1" x14ac:dyDescent="0.25">
      <c r="A97" s="7">
        <v>20</v>
      </c>
      <c r="B97" s="7" t="s">
        <v>366</v>
      </c>
      <c r="C97" s="7" t="s">
        <v>367</v>
      </c>
      <c r="D97" s="7">
        <v>1</v>
      </c>
      <c r="E97" s="7" t="s">
        <v>489</v>
      </c>
      <c r="F97" s="7" t="s">
        <v>505</v>
      </c>
      <c r="G97" s="7" t="s">
        <v>505</v>
      </c>
      <c r="H97" s="7" t="s">
        <v>501</v>
      </c>
      <c r="I97" s="7">
        <v>0</v>
      </c>
      <c r="J97" s="41">
        <v>2213.6986301369861</v>
      </c>
      <c r="K97" s="41"/>
      <c r="L97" s="41"/>
      <c r="M97" s="41"/>
      <c r="N97" s="41"/>
      <c r="O97" s="41"/>
      <c r="P97" s="41"/>
      <c r="Q97" s="41"/>
      <c r="R97" s="41"/>
      <c r="S97" s="11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1:70" hidden="1" x14ac:dyDescent="0.25">
      <c r="A98" s="7">
        <v>20</v>
      </c>
      <c r="B98" s="7" t="s">
        <v>366</v>
      </c>
      <c r="C98" s="7" t="s">
        <v>367</v>
      </c>
      <c r="D98" s="7">
        <v>2</v>
      </c>
      <c r="E98" s="7" t="s">
        <v>491</v>
      </c>
      <c r="F98" s="7" t="s">
        <v>553</v>
      </c>
      <c r="G98" s="7" t="s">
        <v>505</v>
      </c>
      <c r="H98" s="7" t="s">
        <v>501</v>
      </c>
      <c r="I98" s="7">
        <v>0</v>
      </c>
      <c r="J98" s="7">
        <v>0.27374999999999999</v>
      </c>
      <c r="K98" s="7"/>
      <c r="L98" s="7"/>
      <c r="M98" s="7"/>
      <c r="N98" s="7"/>
      <c r="O98" s="7"/>
      <c r="P98" s="7"/>
      <c r="Q98" s="7"/>
      <c r="R98" s="7"/>
      <c r="S98" s="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spans="1:70" hidden="1" x14ac:dyDescent="0.25">
      <c r="A99" s="7">
        <v>20</v>
      </c>
      <c r="B99" s="7" t="s">
        <v>366</v>
      </c>
      <c r="C99" s="7" t="s">
        <v>367</v>
      </c>
      <c r="D99" s="7">
        <v>3</v>
      </c>
      <c r="E99" s="7" t="s">
        <v>493</v>
      </c>
      <c r="F99" s="7" t="s">
        <v>506</v>
      </c>
      <c r="G99" s="7" t="s">
        <v>507</v>
      </c>
      <c r="H99" s="7" t="s">
        <v>501</v>
      </c>
      <c r="I99" s="7">
        <v>0</v>
      </c>
      <c r="J99" s="12">
        <v>0</v>
      </c>
      <c r="K99" s="12"/>
      <c r="L99" s="12"/>
      <c r="M99" s="12"/>
      <c r="N99" s="12"/>
      <c r="O99" s="12"/>
      <c r="P99" s="12"/>
      <c r="Q99" s="12"/>
      <c r="R99" s="12"/>
      <c r="S99" s="12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0" spans="1:70" hidden="1" x14ac:dyDescent="0.25">
      <c r="A100" s="7">
        <v>20</v>
      </c>
      <c r="B100" s="7" t="s">
        <v>366</v>
      </c>
      <c r="C100" s="7" t="s">
        <v>367</v>
      </c>
      <c r="D100" s="7">
        <v>4</v>
      </c>
      <c r="E100" s="7" t="s">
        <v>494</v>
      </c>
      <c r="F100" s="7"/>
      <c r="G100" s="7"/>
      <c r="H100" s="7"/>
      <c r="I100" s="7">
        <v>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spans="1:70" hidden="1" x14ac:dyDescent="0.25">
      <c r="A101" s="7">
        <v>20</v>
      </c>
      <c r="B101" s="7" t="s">
        <v>366</v>
      </c>
      <c r="C101" s="7" t="s">
        <v>367</v>
      </c>
      <c r="D101" s="7">
        <v>5</v>
      </c>
      <c r="E101" s="7" t="s">
        <v>496</v>
      </c>
      <c r="F101" s="7"/>
      <c r="G101" s="7"/>
      <c r="H101" s="7"/>
      <c r="I101" s="7">
        <v>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spans="1:70" hidden="1" x14ac:dyDescent="0.25">
      <c r="A102" s="6">
        <v>21</v>
      </c>
      <c r="B102" s="6" t="s">
        <v>368</v>
      </c>
      <c r="C102" s="6" t="s">
        <v>369</v>
      </c>
      <c r="D102" s="6">
        <v>1</v>
      </c>
      <c r="E102" s="6" t="s">
        <v>489</v>
      </c>
      <c r="F102" s="6" t="s">
        <v>505</v>
      </c>
      <c r="G102" s="6" t="s">
        <v>505</v>
      </c>
      <c r="H102" s="6" t="s">
        <v>501</v>
      </c>
      <c r="I102" s="6">
        <v>0</v>
      </c>
      <c r="J102" s="40">
        <v>2213.6986301369861</v>
      </c>
      <c r="K102" s="40"/>
      <c r="L102" s="40"/>
      <c r="M102" s="40"/>
      <c r="N102" s="40"/>
      <c r="O102" s="40"/>
      <c r="P102" s="40"/>
      <c r="Q102" s="40"/>
      <c r="R102" s="40"/>
      <c r="S102" s="8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spans="1:70" hidden="1" x14ac:dyDescent="0.25">
      <c r="A103" s="6">
        <v>21</v>
      </c>
      <c r="B103" s="6" t="s">
        <v>368</v>
      </c>
      <c r="C103" s="6" t="s">
        <v>369</v>
      </c>
      <c r="D103" s="6">
        <v>2</v>
      </c>
      <c r="E103" s="6" t="s">
        <v>491</v>
      </c>
      <c r="F103" s="6" t="s">
        <v>553</v>
      </c>
      <c r="G103" s="6" t="s">
        <v>505</v>
      </c>
      <c r="H103" s="6" t="s">
        <v>501</v>
      </c>
      <c r="I103" s="6">
        <v>0</v>
      </c>
      <c r="J103" s="6">
        <v>0.27374999999999999</v>
      </c>
      <c r="K103" s="6"/>
      <c r="L103" s="6"/>
      <c r="M103" s="6"/>
      <c r="N103" s="6"/>
      <c r="O103" s="6"/>
      <c r="P103" s="6"/>
      <c r="Q103" s="6"/>
      <c r="R103" s="6"/>
      <c r="S103" s="6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spans="1:70" hidden="1" x14ac:dyDescent="0.25">
      <c r="A104" s="6">
        <v>21</v>
      </c>
      <c r="B104" s="6" t="s">
        <v>368</v>
      </c>
      <c r="C104" s="6" t="s">
        <v>369</v>
      </c>
      <c r="D104" s="6">
        <v>3</v>
      </c>
      <c r="E104" s="6" t="s">
        <v>493</v>
      </c>
      <c r="F104" s="6" t="s">
        <v>506</v>
      </c>
      <c r="G104" s="6" t="s">
        <v>507</v>
      </c>
      <c r="H104" s="6" t="s">
        <v>501</v>
      </c>
      <c r="I104" s="6">
        <v>0</v>
      </c>
      <c r="J104" s="9">
        <v>0</v>
      </c>
      <c r="K104" s="9"/>
      <c r="L104" s="9"/>
      <c r="M104" s="9"/>
      <c r="N104" s="9"/>
      <c r="O104" s="9"/>
      <c r="P104" s="9"/>
      <c r="Q104" s="9"/>
      <c r="R104" s="9"/>
      <c r="S104" s="14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</row>
    <row r="105" spans="1:70" hidden="1" x14ac:dyDescent="0.25">
      <c r="A105" s="6">
        <v>21</v>
      </c>
      <c r="B105" s="6" t="s">
        <v>368</v>
      </c>
      <c r="C105" s="6" t="s">
        <v>369</v>
      </c>
      <c r="D105" s="6">
        <v>4</v>
      </c>
      <c r="E105" s="6" t="s">
        <v>494</v>
      </c>
      <c r="F105" s="6"/>
      <c r="G105" s="6"/>
      <c r="H105" s="6"/>
      <c r="I105" s="6">
        <v>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spans="1:70" hidden="1" x14ac:dyDescent="0.25">
      <c r="A106" s="6">
        <v>21</v>
      </c>
      <c r="B106" s="6" t="s">
        <v>368</v>
      </c>
      <c r="C106" s="6" t="s">
        <v>369</v>
      </c>
      <c r="D106" s="6">
        <v>5</v>
      </c>
      <c r="E106" s="6" t="s">
        <v>496</v>
      </c>
      <c r="F106" s="6"/>
      <c r="G106" s="6"/>
      <c r="H106" s="6"/>
      <c r="I106" s="6">
        <v>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spans="1:70" hidden="1" x14ac:dyDescent="0.25">
      <c r="A107" s="7">
        <v>22</v>
      </c>
      <c r="B107" s="7" t="s">
        <v>370</v>
      </c>
      <c r="C107" s="7" t="s">
        <v>371</v>
      </c>
      <c r="D107" s="7">
        <v>1</v>
      </c>
      <c r="E107" s="7" t="s">
        <v>489</v>
      </c>
      <c r="F107" s="7" t="s">
        <v>504</v>
      </c>
      <c r="G107" s="7" t="s">
        <v>505</v>
      </c>
      <c r="H107" s="7" t="s">
        <v>500</v>
      </c>
      <c r="I107" s="7">
        <v>0</v>
      </c>
      <c r="J107" s="41">
        <v>2725.137634408602</v>
      </c>
      <c r="K107" s="41">
        <v>2725.137634408602</v>
      </c>
      <c r="L107" s="41">
        <v>2725.137634408602</v>
      </c>
      <c r="M107" s="41">
        <v>2725.137634408602</v>
      </c>
      <c r="N107" s="41">
        <v>2725.137634408602</v>
      </c>
      <c r="O107" s="41">
        <v>2725.137634408602</v>
      </c>
      <c r="P107" s="41">
        <v>2725.137634408602</v>
      </c>
      <c r="Q107" s="41">
        <v>2725.137634408602</v>
      </c>
      <c r="R107" s="41">
        <v>2725.137634408602</v>
      </c>
      <c r="S107" s="11">
        <v>2622.388202799214</v>
      </c>
      <c r="T107" s="3">
        <v>2519.6387711898255</v>
      </c>
      <c r="U107" s="3">
        <v>2417.1424169981942</v>
      </c>
      <c r="V107" s="3">
        <v>2314.3929853888058</v>
      </c>
      <c r="W107" s="3">
        <v>2211.6435537794177</v>
      </c>
      <c r="X107" s="3">
        <v>2109.1471995877869</v>
      </c>
      <c r="Y107" s="3">
        <v>2006.3977679783989</v>
      </c>
      <c r="Z107" s="3">
        <v>1903.9014137867678</v>
      </c>
      <c r="AA107" s="3">
        <v>1801.1519821773795</v>
      </c>
      <c r="AB107" s="3">
        <v>1698.4025505679913</v>
      </c>
      <c r="AC107" s="3">
        <v>1595.9061963763602</v>
      </c>
      <c r="AD107" s="3">
        <v>1493.1567647669719</v>
      </c>
      <c r="AE107" s="3">
        <v>1480.7559712968734</v>
      </c>
      <c r="AF107" s="3">
        <v>1468.3551778267747</v>
      </c>
      <c r="AG107" s="3">
        <v>1455.9543843566762</v>
      </c>
      <c r="AH107" s="3">
        <v>1443.3005134688206</v>
      </c>
      <c r="AI107" s="3">
        <v>1430.899719998722</v>
      </c>
      <c r="AJ107" s="3">
        <v>1418.4989265286233</v>
      </c>
      <c r="AK107" s="3">
        <v>1406.0981330585248</v>
      </c>
      <c r="AL107" s="3">
        <v>1393.6973395884263</v>
      </c>
      <c r="AM107" s="3">
        <v>1381.2965461183276</v>
      </c>
      <c r="AN107" s="3">
        <v>1368.6426752304719</v>
      </c>
      <c r="AO107" s="3">
        <v>1356.2418817603734</v>
      </c>
      <c r="AP107" s="3">
        <v>1343.8410882902749</v>
      </c>
      <c r="AQ107" s="3">
        <v>1331.4402948201764</v>
      </c>
      <c r="AR107" s="3">
        <v>1319.0395013500777</v>
      </c>
      <c r="AS107" s="3">
        <v>1306.6387078799792</v>
      </c>
      <c r="AT107" s="3">
        <v>1293.9848369921235</v>
      </c>
      <c r="AU107" s="3">
        <v>1281.584043522025</v>
      </c>
      <c r="AV107" s="3">
        <v>1269.1832500519265</v>
      </c>
      <c r="AW107" s="3">
        <v>1256.782456581828</v>
      </c>
      <c r="AX107" s="3">
        <v>1244.3816631117295</v>
      </c>
      <c r="AY107" s="3">
        <f t="shared" ref="AY107:BR107" si="27">AX107</f>
        <v>1244.3816631117295</v>
      </c>
      <c r="AZ107" s="3">
        <f t="shared" si="27"/>
        <v>1244.3816631117295</v>
      </c>
      <c r="BA107" s="3">
        <f t="shared" si="27"/>
        <v>1244.3816631117295</v>
      </c>
      <c r="BB107" s="3">
        <f t="shared" si="27"/>
        <v>1244.3816631117295</v>
      </c>
      <c r="BC107" s="3">
        <f t="shared" si="27"/>
        <v>1244.3816631117295</v>
      </c>
      <c r="BD107" s="3">
        <f t="shared" si="27"/>
        <v>1244.3816631117295</v>
      </c>
      <c r="BE107" s="3">
        <f t="shared" si="27"/>
        <v>1244.3816631117295</v>
      </c>
      <c r="BF107" s="3">
        <f t="shared" si="27"/>
        <v>1244.3816631117295</v>
      </c>
      <c r="BG107" s="3">
        <f t="shared" si="27"/>
        <v>1244.3816631117295</v>
      </c>
      <c r="BH107" s="3">
        <f t="shared" si="27"/>
        <v>1244.3816631117295</v>
      </c>
      <c r="BI107" s="3">
        <f t="shared" si="27"/>
        <v>1244.3816631117295</v>
      </c>
      <c r="BJ107" s="3">
        <f t="shared" si="27"/>
        <v>1244.3816631117295</v>
      </c>
      <c r="BK107" s="3">
        <f t="shared" si="27"/>
        <v>1244.3816631117295</v>
      </c>
      <c r="BL107" s="3">
        <f t="shared" si="27"/>
        <v>1244.3816631117295</v>
      </c>
      <c r="BM107" s="3">
        <f t="shared" si="27"/>
        <v>1244.3816631117295</v>
      </c>
      <c r="BN107" s="3">
        <f t="shared" si="27"/>
        <v>1244.3816631117295</v>
      </c>
      <c r="BO107" s="3">
        <f t="shared" si="27"/>
        <v>1244.3816631117295</v>
      </c>
      <c r="BP107" s="3">
        <f t="shared" si="27"/>
        <v>1244.3816631117295</v>
      </c>
      <c r="BQ107" s="3">
        <f t="shared" si="27"/>
        <v>1244.3816631117295</v>
      </c>
      <c r="BR107" s="3">
        <f t="shared" si="27"/>
        <v>1244.3816631117295</v>
      </c>
    </row>
    <row r="108" spans="1:70" hidden="1" x14ac:dyDescent="0.25">
      <c r="A108" s="7">
        <v>22</v>
      </c>
      <c r="B108" s="7" t="s">
        <v>370</v>
      </c>
      <c r="C108" s="7" t="s">
        <v>371</v>
      </c>
      <c r="D108" s="7">
        <v>2</v>
      </c>
      <c r="E108" s="7" t="s">
        <v>491</v>
      </c>
      <c r="F108" s="7" t="s">
        <v>553</v>
      </c>
      <c r="G108" s="7" t="s">
        <v>505</v>
      </c>
      <c r="H108" s="7" t="s">
        <v>501</v>
      </c>
      <c r="I108" s="7">
        <v>0</v>
      </c>
      <c r="J108" s="7">
        <v>27</v>
      </c>
      <c r="K108" s="7"/>
      <c r="L108" s="7"/>
      <c r="M108" s="7"/>
      <c r="N108" s="7"/>
      <c r="O108" s="7"/>
      <c r="P108" s="7"/>
      <c r="Q108" s="7"/>
      <c r="R108" s="7"/>
      <c r="S108" s="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spans="1:70" hidden="1" x14ac:dyDescent="0.25">
      <c r="A109" s="7">
        <v>22</v>
      </c>
      <c r="B109" s="7" t="s">
        <v>370</v>
      </c>
      <c r="C109" s="7" t="s">
        <v>371</v>
      </c>
      <c r="D109" s="7">
        <v>3</v>
      </c>
      <c r="E109" s="7" t="s">
        <v>493</v>
      </c>
      <c r="F109" s="7" t="s">
        <v>506</v>
      </c>
      <c r="G109" s="7" t="s">
        <v>507</v>
      </c>
      <c r="H109" s="7" t="s">
        <v>500</v>
      </c>
      <c r="I109" s="7">
        <v>0</v>
      </c>
      <c r="J109" s="12">
        <v>10</v>
      </c>
      <c r="K109" s="12">
        <v>10</v>
      </c>
      <c r="L109" s="12">
        <v>10</v>
      </c>
      <c r="M109" s="12">
        <v>10</v>
      </c>
      <c r="N109" s="12">
        <v>10</v>
      </c>
      <c r="O109" s="12">
        <v>10</v>
      </c>
      <c r="P109" s="12">
        <v>10</v>
      </c>
      <c r="Q109" s="12">
        <v>10</v>
      </c>
      <c r="R109" s="12">
        <v>10</v>
      </c>
      <c r="S109" s="12">
        <f>R109</f>
        <v>10</v>
      </c>
      <c r="T109" s="10">
        <f>S109</f>
        <v>10</v>
      </c>
      <c r="U109" s="10">
        <f t="shared" ref="U109:AN109" si="28">T109-$T109/20</f>
        <v>9.5</v>
      </c>
      <c r="V109" s="10">
        <f t="shared" si="28"/>
        <v>9</v>
      </c>
      <c r="W109" s="10">
        <f t="shared" si="28"/>
        <v>8.5</v>
      </c>
      <c r="X109" s="10">
        <f t="shared" si="28"/>
        <v>8</v>
      </c>
      <c r="Y109" s="10">
        <f t="shared" si="28"/>
        <v>7.5</v>
      </c>
      <c r="Z109" s="10">
        <f t="shared" si="28"/>
        <v>7</v>
      </c>
      <c r="AA109" s="10">
        <f t="shared" si="28"/>
        <v>6.5</v>
      </c>
      <c r="AB109" s="10">
        <f t="shared" si="28"/>
        <v>6</v>
      </c>
      <c r="AC109" s="10">
        <f t="shared" si="28"/>
        <v>5.5</v>
      </c>
      <c r="AD109" s="10">
        <f t="shared" si="28"/>
        <v>5</v>
      </c>
      <c r="AE109" s="10">
        <f t="shared" si="28"/>
        <v>4.5</v>
      </c>
      <c r="AF109" s="10">
        <f t="shared" si="28"/>
        <v>4</v>
      </c>
      <c r="AG109" s="10">
        <f t="shared" si="28"/>
        <v>3.5</v>
      </c>
      <c r="AH109" s="10">
        <f t="shared" si="28"/>
        <v>3</v>
      </c>
      <c r="AI109" s="10">
        <f t="shared" si="28"/>
        <v>2.5</v>
      </c>
      <c r="AJ109" s="10">
        <f t="shared" si="28"/>
        <v>2</v>
      </c>
      <c r="AK109" s="10">
        <f t="shared" si="28"/>
        <v>1.5</v>
      </c>
      <c r="AL109" s="10">
        <f t="shared" si="28"/>
        <v>1</v>
      </c>
      <c r="AM109" s="10">
        <f t="shared" si="28"/>
        <v>0.5</v>
      </c>
      <c r="AN109" s="10">
        <f t="shared" si="28"/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</row>
    <row r="110" spans="1:70" hidden="1" x14ac:dyDescent="0.25">
      <c r="A110" s="7">
        <v>22</v>
      </c>
      <c r="B110" s="7" t="s">
        <v>370</v>
      </c>
      <c r="C110" s="7" t="s">
        <v>371</v>
      </c>
      <c r="D110" s="7">
        <v>4</v>
      </c>
      <c r="E110" s="7" t="s">
        <v>494</v>
      </c>
      <c r="F110" s="7"/>
      <c r="G110" s="7"/>
      <c r="H110" s="7"/>
      <c r="I110" s="7">
        <v>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spans="1:70" hidden="1" x14ac:dyDescent="0.25">
      <c r="A111" s="7">
        <v>22</v>
      </c>
      <c r="B111" s="7" t="s">
        <v>370</v>
      </c>
      <c r="C111" s="7" t="s">
        <v>371</v>
      </c>
      <c r="D111" s="7">
        <v>5</v>
      </c>
      <c r="E111" s="7" t="s">
        <v>496</v>
      </c>
      <c r="F111" s="7"/>
      <c r="G111" s="7"/>
      <c r="H111" s="7"/>
      <c r="I111" s="7">
        <v>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spans="1:70" x14ac:dyDescent="0.25">
      <c r="A112" s="6">
        <v>23</v>
      </c>
      <c r="B112" s="6" t="s">
        <v>372</v>
      </c>
      <c r="C112" s="6" t="s">
        <v>373</v>
      </c>
      <c r="D112" s="6">
        <v>1</v>
      </c>
      <c r="E112" s="6" t="s">
        <v>489</v>
      </c>
      <c r="F112" s="6" t="s">
        <v>504</v>
      </c>
      <c r="G112" s="6" t="s">
        <v>505</v>
      </c>
      <c r="H112" s="6" t="s">
        <v>500</v>
      </c>
      <c r="I112" s="6">
        <v>0</v>
      </c>
      <c r="J112" s="40">
        <v>1935.4046534838749</v>
      </c>
      <c r="K112" s="40">
        <v>1935.4046534838749</v>
      </c>
      <c r="L112" s="40">
        <v>1935.4046534838749</v>
      </c>
      <c r="M112" s="40">
        <v>1935.4046534838749</v>
      </c>
      <c r="N112" s="40">
        <v>1935.4046534838749</v>
      </c>
      <c r="O112" s="40">
        <v>1935.4046534838749</v>
      </c>
      <c r="P112" s="40">
        <v>1935.4046534838749</v>
      </c>
      <c r="Q112" s="40">
        <v>1935.4046534838749</v>
      </c>
      <c r="R112" s="40">
        <v>1935.4046534838749</v>
      </c>
      <c r="S112" s="8">
        <v>1941.4527930260119</v>
      </c>
      <c r="T112" s="3">
        <v>1947.500932568149</v>
      </c>
      <c r="U112" s="3">
        <v>1953.549072110286</v>
      </c>
      <c r="V112" s="3">
        <v>1959.5972116524231</v>
      </c>
      <c r="W112" s="3">
        <v>1965.6453511945601</v>
      </c>
      <c r="X112" s="3">
        <v>1971.6934907366972</v>
      </c>
      <c r="Y112" s="3">
        <v>1977.7416302788342</v>
      </c>
      <c r="Z112" s="3">
        <v>1983.7897698209713</v>
      </c>
      <c r="AA112" s="3">
        <v>1989.8379093631083</v>
      </c>
      <c r="AB112" s="3">
        <v>1995.8860489052454</v>
      </c>
      <c r="AC112" s="3">
        <v>2001.9341884473824</v>
      </c>
      <c r="AD112" s="3">
        <v>2007.9823279895195</v>
      </c>
      <c r="AE112" s="3">
        <v>2014.0304675316565</v>
      </c>
      <c r="AF112" s="3">
        <v>2020.0786070737936</v>
      </c>
      <c r="AG112" s="3">
        <v>2026.1267466159306</v>
      </c>
      <c r="AH112" s="3">
        <v>2032.1748861580677</v>
      </c>
      <c r="AI112" s="3">
        <v>2038.2230257002047</v>
      </c>
      <c r="AJ112" s="3">
        <v>2044.2711652423418</v>
      </c>
      <c r="AK112" s="3">
        <v>2050.3193047844788</v>
      </c>
      <c r="AL112" s="3">
        <v>2056.3674443266159</v>
      </c>
      <c r="AM112" s="3">
        <v>2062.4155838687529</v>
      </c>
      <c r="AN112" s="3">
        <v>2068.46372341089</v>
      </c>
      <c r="AO112" s="3">
        <v>2074.511862953027</v>
      </c>
      <c r="AP112" s="3">
        <v>2080.5600024951641</v>
      </c>
      <c r="AQ112" s="3">
        <v>2086.6081420373011</v>
      </c>
      <c r="AR112" s="3">
        <v>2092.6562815794382</v>
      </c>
      <c r="AS112" s="3">
        <v>2098.7044211215753</v>
      </c>
      <c r="AT112" s="3">
        <v>2104.7525606637123</v>
      </c>
      <c r="AU112" s="3">
        <v>2110.8007002058494</v>
      </c>
      <c r="AV112" s="3">
        <v>2116.8488397479864</v>
      </c>
      <c r="AW112" s="3">
        <v>2122.8969792901235</v>
      </c>
      <c r="AX112" s="3">
        <v>2128.9451188322623</v>
      </c>
      <c r="AY112" s="3">
        <f t="shared" ref="AY112:BR112" si="29">AX112</f>
        <v>2128.9451188322623</v>
      </c>
      <c r="AZ112" s="3">
        <f t="shared" si="29"/>
        <v>2128.9451188322623</v>
      </c>
      <c r="BA112" s="3">
        <f t="shared" si="29"/>
        <v>2128.9451188322623</v>
      </c>
      <c r="BB112" s="3">
        <f t="shared" si="29"/>
        <v>2128.9451188322623</v>
      </c>
      <c r="BC112" s="3">
        <f t="shared" si="29"/>
        <v>2128.9451188322623</v>
      </c>
      <c r="BD112" s="3">
        <f t="shared" si="29"/>
        <v>2128.9451188322623</v>
      </c>
      <c r="BE112" s="3">
        <f t="shared" si="29"/>
        <v>2128.9451188322623</v>
      </c>
      <c r="BF112" s="3">
        <f t="shared" si="29"/>
        <v>2128.9451188322623</v>
      </c>
      <c r="BG112" s="3">
        <f t="shared" si="29"/>
        <v>2128.9451188322623</v>
      </c>
      <c r="BH112" s="3">
        <f t="shared" si="29"/>
        <v>2128.9451188322623</v>
      </c>
      <c r="BI112" s="3">
        <f t="shared" si="29"/>
        <v>2128.9451188322623</v>
      </c>
      <c r="BJ112" s="3">
        <f t="shared" si="29"/>
        <v>2128.9451188322623</v>
      </c>
      <c r="BK112" s="3">
        <f t="shared" si="29"/>
        <v>2128.9451188322623</v>
      </c>
      <c r="BL112" s="3">
        <f t="shared" si="29"/>
        <v>2128.9451188322623</v>
      </c>
      <c r="BM112" s="3">
        <f t="shared" si="29"/>
        <v>2128.9451188322623</v>
      </c>
      <c r="BN112" s="3">
        <f t="shared" si="29"/>
        <v>2128.9451188322623</v>
      </c>
      <c r="BO112" s="3">
        <f t="shared" si="29"/>
        <v>2128.9451188322623</v>
      </c>
      <c r="BP112" s="3">
        <f t="shared" si="29"/>
        <v>2128.9451188322623</v>
      </c>
      <c r="BQ112" s="3">
        <f t="shared" si="29"/>
        <v>2128.9451188322623</v>
      </c>
      <c r="BR112" s="3">
        <f t="shared" si="29"/>
        <v>2128.9451188322623</v>
      </c>
    </row>
    <row r="113" spans="1:70" x14ac:dyDescent="0.25">
      <c r="A113" s="6">
        <v>23</v>
      </c>
      <c r="B113" s="6" t="s">
        <v>372</v>
      </c>
      <c r="C113" s="6" t="s">
        <v>373</v>
      </c>
      <c r="D113" s="6">
        <v>2</v>
      </c>
      <c r="E113" s="6" t="s">
        <v>491</v>
      </c>
      <c r="F113" s="6" t="s">
        <v>553</v>
      </c>
      <c r="G113" s="6" t="s">
        <v>505</v>
      </c>
      <c r="H113" s="6" t="s">
        <v>501</v>
      </c>
      <c r="I113" s="6">
        <v>0</v>
      </c>
      <c r="J113" s="6">
        <v>70</v>
      </c>
      <c r="K113" s="6"/>
      <c r="L113" s="6"/>
      <c r="M113" s="6"/>
      <c r="N113" s="6"/>
      <c r="O113" s="6"/>
      <c r="P113" s="6"/>
      <c r="Q113" s="6"/>
      <c r="R113" s="6"/>
      <c r="S113" s="6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spans="1:70" x14ac:dyDescent="0.25">
      <c r="A114" s="6">
        <v>23</v>
      </c>
      <c r="B114" s="6" t="s">
        <v>372</v>
      </c>
      <c r="C114" s="6" t="s">
        <v>373</v>
      </c>
      <c r="D114" s="6">
        <v>3</v>
      </c>
      <c r="E114" s="6" t="s">
        <v>493</v>
      </c>
      <c r="F114" s="6" t="s">
        <v>506</v>
      </c>
      <c r="G114" s="6" t="s">
        <v>507</v>
      </c>
      <c r="H114" s="6" t="s">
        <v>500</v>
      </c>
      <c r="I114" s="6">
        <v>0</v>
      </c>
      <c r="J114" s="9">
        <v>578492</v>
      </c>
      <c r="K114" s="9">
        <v>578492</v>
      </c>
      <c r="L114" s="9">
        <v>578492</v>
      </c>
      <c r="M114" s="9">
        <v>578492</v>
      </c>
      <c r="N114" s="9">
        <v>578492</v>
      </c>
      <c r="O114" s="9">
        <v>578492</v>
      </c>
      <c r="P114" s="9">
        <v>578492</v>
      </c>
      <c r="Q114" s="9">
        <v>578492</v>
      </c>
      <c r="R114" s="9">
        <v>578492</v>
      </c>
      <c r="S114" s="14">
        <v>547665</v>
      </c>
      <c r="T114" s="10">
        <f>S114</f>
        <v>547665</v>
      </c>
      <c r="U114" s="10">
        <f t="shared" ref="U114:AN114" si="30">T114-$T114/20</f>
        <v>520281.75</v>
      </c>
      <c r="V114" s="10">
        <f t="shared" si="30"/>
        <v>492898.5</v>
      </c>
      <c r="W114" s="10">
        <f t="shared" si="30"/>
        <v>465515.25</v>
      </c>
      <c r="X114" s="10">
        <f t="shared" si="30"/>
        <v>438132</v>
      </c>
      <c r="Y114" s="10">
        <f t="shared" si="30"/>
        <v>410748.75</v>
      </c>
      <c r="Z114" s="10">
        <f t="shared" si="30"/>
        <v>383365.5</v>
      </c>
      <c r="AA114" s="10">
        <f t="shared" si="30"/>
        <v>355982.25</v>
      </c>
      <c r="AB114" s="10">
        <f t="shared" si="30"/>
        <v>328599</v>
      </c>
      <c r="AC114" s="10">
        <f t="shared" si="30"/>
        <v>301215.75</v>
      </c>
      <c r="AD114" s="10">
        <f t="shared" si="30"/>
        <v>273832.5</v>
      </c>
      <c r="AE114" s="10">
        <f t="shared" si="30"/>
        <v>246449.25</v>
      </c>
      <c r="AF114" s="10">
        <f t="shared" si="30"/>
        <v>219066</v>
      </c>
      <c r="AG114" s="10">
        <f t="shared" si="30"/>
        <v>191682.75</v>
      </c>
      <c r="AH114" s="10">
        <f t="shared" si="30"/>
        <v>164299.5</v>
      </c>
      <c r="AI114" s="10">
        <f t="shared" si="30"/>
        <v>136916.25</v>
      </c>
      <c r="AJ114" s="10">
        <f t="shared" si="30"/>
        <v>109533</v>
      </c>
      <c r="AK114" s="10">
        <f t="shared" si="30"/>
        <v>82149.75</v>
      </c>
      <c r="AL114" s="10">
        <f t="shared" si="30"/>
        <v>54766.5</v>
      </c>
      <c r="AM114" s="10">
        <f t="shared" si="30"/>
        <v>27383.25</v>
      </c>
      <c r="AN114" s="10">
        <f t="shared" si="30"/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</row>
    <row r="115" spans="1:70" x14ac:dyDescent="0.25">
      <c r="A115" s="6">
        <v>23</v>
      </c>
      <c r="B115" s="6" t="s">
        <v>372</v>
      </c>
      <c r="C115" s="6" t="s">
        <v>373</v>
      </c>
      <c r="D115" s="6">
        <v>4</v>
      </c>
      <c r="E115" s="6" t="s">
        <v>494</v>
      </c>
      <c r="F115" s="6"/>
      <c r="G115" s="6"/>
      <c r="H115" s="6"/>
      <c r="I115" s="6">
        <v>0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spans="1:70" x14ac:dyDescent="0.25">
      <c r="A116" s="6">
        <v>23</v>
      </c>
      <c r="B116" s="6" t="s">
        <v>372</v>
      </c>
      <c r="C116" s="6" t="s">
        <v>373</v>
      </c>
      <c r="D116" s="6">
        <v>5</v>
      </c>
      <c r="E116" s="6" t="s">
        <v>496</v>
      </c>
      <c r="F116" s="6"/>
      <c r="G116" s="6"/>
      <c r="H116" s="6"/>
      <c r="I116" s="6">
        <v>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spans="1:70" hidden="1" x14ac:dyDescent="0.25">
      <c r="A117" s="7">
        <v>24</v>
      </c>
      <c r="B117" s="7" t="s">
        <v>374</v>
      </c>
      <c r="C117" s="7" t="s">
        <v>375</v>
      </c>
      <c r="D117" s="7">
        <v>1</v>
      </c>
      <c r="E117" s="7" t="s">
        <v>489</v>
      </c>
      <c r="F117" s="7" t="s">
        <v>504</v>
      </c>
      <c r="G117" s="7" t="s">
        <v>505</v>
      </c>
      <c r="H117" s="7" t="s">
        <v>500</v>
      </c>
      <c r="I117" s="7">
        <v>0</v>
      </c>
      <c r="J117" s="41">
        <v>52854</v>
      </c>
      <c r="K117" s="41">
        <v>52854</v>
      </c>
      <c r="L117" s="41">
        <v>52854</v>
      </c>
      <c r="M117" s="41">
        <v>52854</v>
      </c>
      <c r="N117" s="41">
        <v>52854</v>
      </c>
      <c r="O117" s="41">
        <v>52854</v>
      </c>
      <c r="P117" s="41">
        <v>52854</v>
      </c>
      <c r="Q117" s="41">
        <v>52854</v>
      </c>
      <c r="R117" s="41">
        <v>52854</v>
      </c>
      <c r="S117" s="11">
        <v>50717.583333333336</v>
      </c>
      <c r="T117" s="3">
        <v>48581.166666666672</v>
      </c>
      <c r="U117" s="3">
        <v>46444.750000000007</v>
      </c>
      <c r="V117" s="3">
        <v>44308.333333333343</v>
      </c>
      <c r="W117" s="3">
        <v>42171.916666666679</v>
      </c>
      <c r="X117" s="3">
        <v>40035.500000000015</v>
      </c>
      <c r="Y117" s="3">
        <v>37899.08333333335</v>
      </c>
      <c r="Z117" s="3">
        <v>35762.666666666686</v>
      </c>
      <c r="AA117" s="3">
        <v>33626.250000000022</v>
      </c>
      <c r="AB117" s="3">
        <v>31489.833333333354</v>
      </c>
      <c r="AC117" s="3">
        <v>29353.416666666686</v>
      </c>
      <c r="AD117" s="3">
        <v>27217</v>
      </c>
      <c r="AE117" s="3">
        <v>26792.5</v>
      </c>
      <c r="AF117" s="3">
        <v>26368</v>
      </c>
      <c r="AG117" s="3">
        <v>25943.5</v>
      </c>
      <c r="AH117" s="3">
        <v>25519</v>
      </c>
      <c r="AI117" s="3">
        <v>25094.5</v>
      </c>
      <c r="AJ117" s="3">
        <v>24670</v>
      </c>
      <c r="AK117" s="3">
        <v>24245.5</v>
      </c>
      <c r="AL117" s="3">
        <v>23821</v>
      </c>
      <c r="AM117" s="3">
        <v>23396.5</v>
      </c>
      <c r="AN117" s="3">
        <v>22972</v>
      </c>
      <c r="AO117" s="3">
        <v>22547.5</v>
      </c>
      <c r="AP117" s="3">
        <v>22123</v>
      </c>
      <c r="AQ117" s="3">
        <v>21698.5</v>
      </c>
      <c r="AR117" s="3">
        <v>21274</v>
      </c>
      <c r="AS117" s="3">
        <v>20849.5</v>
      </c>
      <c r="AT117" s="3">
        <v>20425</v>
      </c>
      <c r="AU117" s="3">
        <v>20000.5</v>
      </c>
      <c r="AV117" s="3">
        <v>19576</v>
      </c>
      <c r="AW117" s="3">
        <v>19151.5</v>
      </c>
      <c r="AX117" s="3">
        <v>18727</v>
      </c>
      <c r="AY117" s="3">
        <f t="shared" ref="AY117:BR117" si="31">AX117</f>
        <v>18727</v>
      </c>
      <c r="AZ117" s="3">
        <f t="shared" si="31"/>
        <v>18727</v>
      </c>
      <c r="BA117" s="3">
        <f t="shared" si="31"/>
        <v>18727</v>
      </c>
      <c r="BB117" s="3">
        <f t="shared" si="31"/>
        <v>18727</v>
      </c>
      <c r="BC117" s="3">
        <f t="shared" si="31"/>
        <v>18727</v>
      </c>
      <c r="BD117" s="3">
        <f t="shared" si="31"/>
        <v>18727</v>
      </c>
      <c r="BE117" s="3">
        <f t="shared" si="31"/>
        <v>18727</v>
      </c>
      <c r="BF117" s="3">
        <f t="shared" si="31"/>
        <v>18727</v>
      </c>
      <c r="BG117" s="3">
        <f t="shared" si="31"/>
        <v>18727</v>
      </c>
      <c r="BH117" s="3">
        <f t="shared" si="31"/>
        <v>18727</v>
      </c>
      <c r="BI117" s="3">
        <f t="shared" si="31"/>
        <v>18727</v>
      </c>
      <c r="BJ117" s="3">
        <f t="shared" si="31"/>
        <v>18727</v>
      </c>
      <c r="BK117" s="3">
        <f t="shared" si="31"/>
        <v>18727</v>
      </c>
      <c r="BL117" s="3">
        <f t="shared" si="31"/>
        <v>18727</v>
      </c>
      <c r="BM117" s="3">
        <f t="shared" si="31"/>
        <v>18727</v>
      </c>
      <c r="BN117" s="3">
        <f t="shared" si="31"/>
        <v>18727</v>
      </c>
      <c r="BO117" s="3">
        <f t="shared" si="31"/>
        <v>18727</v>
      </c>
      <c r="BP117" s="3">
        <f t="shared" si="31"/>
        <v>18727</v>
      </c>
      <c r="BQ117" s="3">
        <f t="shared" si="31"/>
        <v>18727</v>
      </c>
      <c r="BR117" s="3">
        <f t="shared" si="31"/>
        <v>18727</v>
      </c>
    </row>
    <row r="118" spans="1:70" hidden="1" x14ac:dyDescent="0.25">
      <c r="A118" s="7">
        <v>24</v>
      </c>
      <c r="B118" s="7" t="s">
        <v>374</v>
      </c>
      <c r="C118" s="7" t="s">
        <v>375</v>
      </c>
      <c r="D118" s="7">
        <v>2</v>
      </c>
      <c r="E118" s="7" t="s">
        <v>491</v>
      </c>
      <c r="F118" s="7" t="s">
        <v>553</v>
      </c>
      <c r="G118" s="7" t="s">
        <v>505</v>
      </c>
      <c r="H118" s="7" t="s">
        <v>501</v>
      </c>
      <c r="I118" s="7">
        <v>0</v>
      </c>
      <c r="J118" s="7">
        <v>27</v>
      </c>
      <c r="K118" s="7"/>
      <c r="L118" s="7"/>
      <c r="M118" s="7"/>
      <c r="N118" s="7"/>
      <c r="O118" s="7"/>
      <c r="P118" s="7"/>
      <c r="Q118" s="7"/>
      <c r="R118" s="7"/>
      <c r="S118" s="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spans="1:70" hidden="1" x14ac:dyDescent="0.25">
      <c r="A119" s="7">
        <v>24</v>
      </c>
      <c r="B119" s="7" t="s">
        <v>374</v>
      </c>
      <c r="C119" s="7" t="s">
        <v>375</v>
      </c>
      <c r="D119" s="7">
        <v>3</v>
      </c>
      <c r="E119" s="7" t="s">
        <v>493</v>
      </c>
      <c r="F119" s="7" t="s">
        <v>506</v>
      </c>
      <c r="G119" s="7" t="s">
        <v>507</v>
      </c>
      <c r="H119" s="7" t="s">
        <v>500</v>
      </c>
      <c r="I119" s="7">
        <v>0</v>
      </c>
      <c r="J119" s="12">
        <v>130</v>
      </c>
      <c r="K119" s="12">
        <v>130</v>
      </c>
      <c r="L119" s="12">
        <v>130</v>
      </c>
      <c r="M119" s="12">
        <v>130</v>
      </c>
      <c r="N119" s="12">
        <v>130</v>
      </c>
      <c r="O119" s="12">
        <v>130</v>
      </c>
      <c r="P119" s="12">
        <v>130</v>
      </c>
      <c r="Q119" s="12">
        <v>130</v>
      </c>
      <c r="R119" s="12">
        <v>130</v>
      </c>
      <c r="S119" s="12">
        <v>130</v>
      </c>
      <c r="T119" s="10">
        <f>130+132-138</f>
        <v>124</v>
      </c>
      <c r="U119" s="10">
        <f t="shared" ref="U119:AN119" si="32">T119-$T119/20</f>
        <v>117.8</v>
      </c>
      <c r="V119" s="10">
        <f t="shared" si="32"/>
        <v>111.6</v>
      </c>
      <c r="W119" s="10">
        <f t="shared" si="32"/>
        <v>105.39999999999999</v>
      </c>
      <c r="X119" s="10">
        <f t="shared" si="32"/>
        <v>99.199999999999989</v>
      </c>
      <c r="Y119" s="10">
        <f t="shared" si="32"/>
        <v>92.999999999999986</v>
      </c>
      <c r="Z119" s="10">
        <f t="shared" si="32"/>
        <v>86.799999999999983</v>
      </c>
      <c r="AA119" s="10">
        <f t="shared" si="32"/>
        <v>80.59999999999998</v>
      </c>
      <c r="AB119" s="10">
        <f t="shared" si="32"/>
        <v>74.399999999999977</v>
      </c>
      <c r="AC119" s="10">
        <f t="shared" si="32"/>
        <v>68.199999999999974</v>
      </c>
      <c r="AD119" s="10">
        <f t="shared" si="32"/>
        <v>61.999999999999972</v>
      </c>
      <c r="AE119" s="10">
        <f t="shared" si="32"/>
        <v>55.799999999999969</v>
      </c>
      <c r="AF119" s="10">
        <f t="shared" si="32"/>
        <v>49.599999999999966</v>
      </c>
      <c r="AG119" s="10">
        <f t="shared" si="32"/>
        <v>43.399999999999963</v>
      </c>
      <c r="AH119" s="10">
        <f t="shared" si="32"/>
        <v>37.19999999999996</v>
      </c>
      <c r="AI119" s="10">
        <f t="shared" si="32"/>
        <v>30.999999999999961</v>
      </c>
      <c r="AJ119" s="10">
        <f t="shared" si="32"/>
        <v>24.799999999999962</v>
      </c>
      <c r="AK119" s="10">
        <f t="shared" si="32"/>
        <v>18.599999999999962</v>
      </c>
      <c r="AL119" s="10">
        <f t="shared" si="32"/>
        <v>12.399999999999963</v>
      </c>
      <c r="AM119" s="10">
        <f t="shared" si="32"/>
        <v>6.1999999999999629</v>
      </c>
      <c r="AN119" s="10">
        <f t="shared" si="32"/>
        <v>-3.730349362740526E-14</v>
      </c>
      <c r="AO119" s="10">
        <v>-3.730349362740526E-14</v>
      </c>
      <c r="AP119" s="10">
        <v>-3.730349362740526E-14</v>
      </c>
      <c r="AQ119" s="10">
        <v>-3.730349362740526E-14</v>
      </c>
      <c r="AR119" s="10">
        <v>-3.730349362740526E-14</v>
      </c>
      <c r="AS119" s="10">
        <v>-3.730349362740526E-14</v>
      </c>
      <c r="AT119" s="10">
        <v>-3.730349362740526E-14</v>
      </c>
      <c r="AU119" s="10">
        <v>-3.730349362740526E-14</v>
      </c>
      <c r="AV119" s="10">
        <v>-3.730349362740526E-14</v>
      </c>
      <c r="AW119" s="10">
        <v>-3.730349362740526E-14</v>
      </c>
      <c r="AX119" s="10">
        <v>-3.730349362740526E-14</v>
      </c>
      <c r="AY119" s="10">
        <v>-3.730349362740526E-14</v>
      </c>
      <c r="AZ119" s="10">
        <v>-3.730349362740526E-14</v>
      </c>
      <c r="BA119" s="10">
        <v>-3.730349362740526E-14</v>
      </c>
      <c r="BB119" s="10">
        <v>-3.730349362740526E-14</v>
      </c>
      <c r="BC119" s="10">
        <v>-3.730349362740526E-14</v>
      </c>
      <c r="BD119" s="10">
        <v>-3.730349362740526E-14</v>
      </c>
      <c r="BE119" s="10">
        <v>-3.730349362740526E-14</v>
      </c>
      <c r="BF119" s="10">
        <v>-3.730349362740526E-14</v>
      </c>
      <c r="BG119" s="10">
        <v>-3.730349362740526E-14</v>
      </c>
      <c r="BH119" s="10">
        <v>-3.730349362740526E-14</v>
      </c>
      <c r="BI119" s="10">
        <v>-3.730349362740526E-14</v>
      </c>
      <c r="BJ119" s="10">
        <v>-3.730349362740526E-14</v>
      </c>
      <c r="BK119" s="10">
        <v>-3.730349362740526E-14</v>
      </c>
      <c r="BL119" s="10">
        <v>-3.730349362740526E-14</v>
      </c>
      <c r="BM119" s="10">
        <v>-3.730349362740526E-14</v>
      </c>
      <c r="BN119" s="10">
        <v>-3.730349362740526E-14</v>
      </c>
      <c r="BO119" s="10">
        <v>-3.730349362740526E-14</v>
      </c>
      <c r="BP119" s="10">
        <v>-3.730349362740526E-14</v>
      </c>
      <c r="BQ119" s="10">
        <v>-3.730349362740526E-14</v>
      </c>
      <c r="BR119" s="10">
        <v>-3.730349362740526E-14</v>
      </c>
    </row>
    <row r="120" spans="1:70" hidden="1" x14ac:dyDescent="0.25">
      <c r="A120" s="7">
        <v>24</v>
      </c>
      <c r="B120" s="7" t="s">
        <v>374</v>
      </c>
      <c r="C120" s="7" t="s">
        <v>375</v>
      </c>
      <c r="D120" s="7">
        <v>4</v>
      </c>
      <c r="E120" s="7" t="s">
        <v>494</v>
      </c>
      <c r="F120" s="7"/>
      <c r="G120" s="7"/>
      <c r="H120" s="7"/>
      <c r="I120" s="7">
        <v>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spans="1:70" hidden="1" x14ac:dyDescent="0.25">
      <c r="A121" s="7">
        <v>24</v>
      </c>
      <c r="B121" s="7" t="s">
        <v>374</v>
      </c>
      <c r="C121" s="7" t="s">
        <v>375</v>
      </c>
      <c r="D121" s="7">
        <v>5</v>
      </c>
      <c r="E121" s="7" t="s">
        <v>496</v>
      </c>
      <c r="F121" s="7"/>
      <c r="G121" s="7"/>
      <c r="H121" s="7"/>
      <c r="I121" s="7">
        <v>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spans="1:70" hidden="1" x14ac:dyDescent="0.25">
      <c r="A122" s="6">
        <v>25</v>
      </c>
      <c r="B122" s="6" t="s">
        <v>376</v>
      </c>
      <c r="C122" s="6" t="s">
        <v>377</v>
      </c>
      <c r="D122" s="6">
        <v>1</v>
      </c>
      <c r="E122" s="6" t="s">
        <v>489</v>
      </c>
      <c r="F122" s="6" t="s">
        <v>504</v>
      </c>
      <c r="G122" s="6" t="s">
        <v>505</v>
      </c>
      <c r="H122" s="6" t="s">
        <v>500</v>
      </c>
      <c r="I122" s="6">
        <v>0</v>
      </c>
      <c r="J122" s="40">
        <v>21802.620000000003</v>
      </c>
      <c r="K122" s="40">
        <v>21802.620000000003</v>
      </c>
      <c r="L122" s="40">
        <v>21802.620000000003</v>
      </c>
      <c r="M122" s="40">
        <v>21802.620000000003</v>
      </c>
      <c r="N122" s="40">
        <v>21802.620000000003</v>
      </c>
      <c r="O122" s="40">
        <v>21802.620000000003</v>
      </c>
      <c r="P122" s="40">
        <v>21802.620000000003</v>
      </c>
      <c r="Q122" s="40">
        <v>21802.620000000003</v>
      </c>
      <c r="R122" s="40">
        <v>21802.620000000003</v>
      </c>
      <c r="S122" s="8">
        <v>21847.418333333335</v>
      </c>
      <c r="T122" s="3">
        <v>21892.216666666667</v>
      </c>
      <c r="U122" s="3">
        <v>21937.014999999999</v>
      </c>
      <c r="V122" s="3">
        <v>21981.813333333332</v>
      </c>
      <c r="W122" s="3">
        <v>22026.611666666664</v>
      </c>
      <c r="X122" s="3">
        <v>22071.409999999996</v>
      </c>
      <c r="Y122" s="3">
        <v>22116.208333333328</v>
      </c>
      <c r="Z122" s="3">
        <v>22161.006666666661</v>
      </c>
      <c r="AA122" s="3">
        <v>22205.804999999993</v>
      </c>
      <c r="AB122" s="3">
        <v>22250.603333333325</v>
      </c>
      <c r="AC122" s="3">
        <v>22295.401666666658</v>
      </c>
      <c r="AD122" s="3">
        <v>22340.2</v>
      </c>
      <c r="AE122" s="3">
        <v>22391.165000000001</v>
      </c>
      <c r="AF122" s="3">
        <v>22442.13</v>
      </c>
      <c r="AG122" s="3">
        <v>22493.095000000001</v>
      </c>
      <c r="AH122" s="3">
        <v>22544.06</v>
      </c>
      <c r="AI122" s="3">
        <v>22595.025000000001</v>
      </c>
      <c r="AJ122" s="3">
        <v>22645.99</v>
      </c>
      <c r="AK122" s="3">
        <v>22696.955000000002</v>
      </c>
      <c r="AL122" s="3">
        <v>22747.920000000002</v>
      </c>
      <c r="AM122" s="3">
        <v>22798.885000000002</v>
      </c>
      <c r="AN122" s="3">
        <v>22849.850000000002</v>
      </c>
      <c r="AO122" s="3">
        <v>22900.815000000002</v>
      </c>
      <c r="AP122" s="3">
        <v>22951.780000000002</v>
      </c>
      <c r="AQ122" s="3">
        <v>23002.745000000003</v>
      </c>
      <c r="AR122" s="3">
        <v>23053.710000000003</v>
      </c>
      <c r="AS122" s="3">
        <v>23104.675000000003</v>
      </c>
      <c r="AT122" s="3">
        <v>23155.640000000003</v>
      </c>
      <c r="AU122" s="3">
        <v>23206.605000000003</v>
      </c>
      <c r="AV122" s="3">
        <v>23257.570000000003</v>
      </c>
      <c r="AW122" s="3">
        <v>23308.535000000003</v>
      </c>
      <c r="AX122" s="3">
        <v>23359.5</v>
      </c>
      <c r="AY122" s="3">
        <f t="shared" ref="AY122:BR122" si="33">AX122</f>
        <v>23359.5</v>
      </c>
      <c r="AZ122" s="3">
        <f t="shared" si="33"/>
        <v>23359.5</v>
      </c>
      <c r="BA122" s="3">
        <f t="shared" si="33"/>
        <v>23359.5</v>
      </c>
      <c r="BB122" s="3">
        <f t="shared" si="33"/>
        <v>23359.5</v>
      </c>
      <c r="BC122" s="3">
        <f t="shared" si="33"/>
        <v>23359.5</v>
      </c>
      <c r="BD122" s="3">
        <f t="shared" si="33"/>
        <v>23359.5</v>
      </c>
      <c r="BE122" s="3">
        <f t="shared" si="33"/>
        <v>23359.5</v>
      </c>
      <c r="BF122" s="3">
        <f t="shared" si="33"/>
        <v>23359.5</v>
      </c>
      <c r="BG122" s="3">
        <f t="shared" si="33"/>
        <v>23359.5</v>
      </c>
      <c r="BH122" s="3">
        <f t="shared" si="33"/>
        <v>23359.5</v>
      </c>
      <c r="BI122" s="3">
        <f t="shared" si="33"/>
        <v>23359.5</v>
      </c>
      <c r="BJ122" s="3">
        <f t="shared" si="33"/>
        <v>23359.5</v>
      </c>
      <c r="BK122" s="3">
        <f t="shared" si="33"/>
        <v>23359.5</v>
      </c>
      <c r="BL122" s="3">
        <f t="shared" si="33"/>
        <v>23359.5</v>
      </c>
      <c r="BM122" s="3">
        <f t="shared" si="33"/>
        <v>23359.5</v>
      </c>
      <c r="BN122" s="3">
        <f t="shared" si="33"/>
        <v>23359.5</v>
      </c>
      <c r="BO122" s="3">
        <f t="shared" si="33"/>
        <v>23359.5</v>
      </c>
      <c r="BP122" s="3">
        <f t="shared" si="33"/>
        <v>23359.5</v>
      </c>
      <c r="BQ122" s="3">
        <f t="shared" si="33"/>
        <v>23359.5</v>
      </c>
      <c r="BR122" s="3">
        <f t="shared" si="33"/>
        <v>23359.5</v>
      </c>
    </row>
    <row r="123" spans="1:70" hidden="1" x14ac:dyDescent="0.25">
      <c r="A123" s="6">
        <v>25</v>
      </c>
      <c r="B123" s="6" t="s">
        <v>376</v>
      </c>
      <c r="C123" s="6" t="s">
        <v>377</v>
      </c>
      <c r="D123" s="6">
        <v>2</v>
      </c>
      <c r="E123" s="6" t="s">
        <v>491</v>
      </c>
      <c r="F123" s="6" t="s">
        <v>553</v>
      </c>
      <c r="G123" s="6" t="s">
        <v>505</v>
      </c>
      <c r="H123" s="6" t="s">
        <v>501</v>
      </c>
      <c r="I123" s="6">
        <v>0</v>
      </c>
      <c r="J123" s="6">
        <v>73</v>
      </c>
      <c r="K123" s="6"/>
      <c r="L123" s="6"/>
      <c r="M123" s="6"/>
      <c r="N123" s="6"/>
      <c r="O123" s="6"/>
      <c r="P123" s="6"/>
      <c r="Q123" s="6"/>
      <c r="R123" s="6"/>
      <c r="S123" s="6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spans="1:70" hidden="1" x14ac:dyDescent="0.25">
      <c r="A124" s="6">
        <v>25</v>
      </c>
      <c r="B124" s="6" t="s">
        <v>376</v>
      </c>
      <c r="C124" s="6" t="s">
        <v>377</v>
      </c>
      <c r="D124" s="6">
        <v>3</v>
      </c>
      <c r="E124" s="6" t="s">
        <v>493</v>
      </c>
      <c r="F124" s="6" t="s">
        <v>506</v>
      </c>
      <c r="G124" s="6" t="s">
        <v>507</v>
      </c>
      <c r="H124" s="6" t="s">
        <v>500</v>
      </c>
      <c r="I124" s="6">
        <v>0</v>
      </c>
      <c r="J124" s="9">
        <v>2805</v>
      </c>
      <c r="K124" s="9">
        <v>2805</v>
      </c>
      <c r="L124" s="9">
        <v>2805</v>
      </c>
      <c r="M124" s="9">
        <v>2805</v>
      </c>
      <c r="N124" s="9">
        <v>2805</v>
      </c>
      <c r="O124" s="9">
        <v>2805</v>
      </c>
      <c r="P124" s="9">
        <v>2805</v>
      </c>
      <c r="Q124" s="9">
        <v>2805</v>
      </c>
      <c r="R124" s="9">
        <v>2805</v>
      </c>
      <c r="S124" s="14">
        <f>R124</f>
        <v>2805</v>
      </c>
      <c r="T124" s="10">
        <v>3529</v>
      </c>
      <c r="U124" s="10">
        <f t="shared" ref="U124:AN124" si="34">T124-$T124/20</f>
        <v>3352.55</v>
      </c>
      <c r="V124" s="10">
        <f t="shared" si="34"/>
        <v>3176.1000000000004</v>
      </c>
      <c r="W124" s="10">
        <f t="shared" si="34"/>
        <v>2999.6500000000005</v>
      </c>
      <c r="X124" s="10">
        <f t="shared" si="34"/>
        <v>2823.2000000000007</v>
      </c>
      <c r="Y124" s="10">
        <f t="shared" si="34"/>
        <v>2646.7500000000009</v>
      </c>
      <c r="Z124" s="10">
        <f t="shared" si="34"/>
        <v>2470.3000000000011</v>
      </c>
      <c r="AA124" s="10">
        <f t="shared" si="34"/>
        <v>2293.8500000000013</v>
      </c>
      <c r="AB124" s="10">
        <f t="shared" si="34"/>
        <v>2117.4000000000015</v>
      </c>
      <c r="AC124" s="10">
        <f t="shared" si="34"/>
        <v>1940.9500000000014</v>
      </c>
      <c r="AD124" s="10">
        <f t="shared" si="34"/>
        <v>1764.5000000000014</v>
      </c>
      <c r="AE124" s="10">
        <f t="shared" si="34"/>
        <v>1588.0500000000013</v>
      </c>
      <c r="AF124" s="10">
        <f t="shared" si="34"/>
        <v>1411.6000000000013</v>
      </c>
      <c r="AG124" s="10">
        <f t="shared" si="34"/>
        <v>1235.1500000000012</v>
      </c>
      <c r="AH124" s="10">
        <f t="shared" si="34"/>
        <v>1058.7000000000012</v>
      </c>
      <c r="AI124" s="10">
        <f t="shared" si="34"/>
        <v>882.25000000000114</v>
      </c>
      <c r="AJ124" s="10">
        <f t="shared" si="34"/>
        <v>705.80000000000109</v>
      </c>
      <c r="AK124" s="10">
        <f t="shared" si="34"/>
        <v>529.35000000000105</v>
      </c>
      <c r="AL124" s="10">
        <f t="shared" si="34"/>
        <v>352.90000000000106</v>
      </c>
      <c r="AM124" s="10">
        <f t="shared" si="34"/>
        <v>176.45000000000107</v>
      </c>
      <c r="AN124" s="10">
        <f t="shared" si="34"/>
        <v>1.0800249583553523E-12</v>
      </c>
      <c r="AO124" s="10">
        <v>1.0800249583553523E-12</v>
      </c>
      <c r="AP124" s="10">
        <v>1.0800249583553523E-12</v>
      </c>
      <c r="AQ124" s="10">
        <v>1.0800249583553523E-12</v>
      </c>
      <c r="AR124" s="10">
        <v>1.0800249583553523E-12</v>
      </c>
      <c r="AS124" s="10">
        <v>1.0800249583553523E-12</v>
      </c>
      <c r="AT124" s="10">
        <v>1.0800249583553523E-12</v>
      </c>
      <c r="AU124" s="10">
        <v>1.0800249583553523E-12</v>
      </c>
      <c r="AV124" s="10">
        <v>1.0800249583553523E-12</v>
      </c>
      <c r="AW124" s="10">
        <v>1.0800249583553523E-12</v>
      </c>
      <c r="AX124" s="10">
        <v>1.0800249583553523E-12</v>
      </c>
      <c r="AY124" s="10">
        <v>1.0800249583553523E-12</v>
      </c>
      <c r="AZ124" s="10">
        <v>1.0800249583553523E-12</v>
      </c>
      <c r="BA124" s="10">
        <v>1.0800249583553523E-12</v>
      </c>
      <c r="BB124" s="10">
        <v>1.0800249583553523E-12</v>
      </c>
      <c r="BC124" s="10">
        <v>1.0800249583553523E-12</v>
      </c>
      <c r="BD124" s="10">
        <v>1.0800249583553523E-12</v>
      </c>
      <c r="BE124" s="10">
        <v>1.0800249583553523E-12</v>
      </c>
      <c r="BF124" s="10">
        <v>1.0800249583553523E-12</v>
      </c>
      <c r="BG124" s="10">
        <v>1.0800249583553523E-12</v>
      </c>
      <c r="BH124" s="10">
        <v>1.0800249583553523E-12</v>
      </c>
      <c r="BI124" s="10">
        <v>1.0800249583553523E-12</v>
      </c>
      <c r="BJ124" s="10">
        <v>1.0800249583553523E-12</v>
      </c>
      <c r="BK124" s="10">
        <v>1.0800249583553523E-12</v>
      </c>
      <c r="BL124" s="10">
        <v>1.0800249583553523E-12</v>
      </c>
      <c r="BM124" s="10">
        <v>1.0800249583553523E-12</v>
      </c>
      <c r="BN124" s="10">
        <v>1.0800249583553523E-12</v>
      </c>
      <c r="BO124" s="10">
        <v>1.0800249583553523E-12</v>
      </c>
      <c r="BP124" s="10">
        <v>1.0800249583553523E-12</v>
      </c>
      <c r="BQ124" s="10">
        <v>1.0800249583553523E-12</v>
      </c>
      <c r="BR124" s="10">
        <v>1.0800249583553523E-12</v>
      </c>
    </row>
    <row r="125" spans="1:70" hidden="1" x14ac:dyDescent="0.25">
      <c r="A125" s="6">
        <v>25</v>
      </c>
      <c r="B125" s="6" t="s">
        <v>376</v>
      </c>
      <c r="C125" s="6" t="s">
        <v>377</v>
      </c>
      <c r="D125" s="6">
        <v>4</v>
      </c>
      <c r="E125" s="6" t="s">
        <v>494</v>
      </c>
      <c r="F125" s="6"/>
      <c r="G125" s="6"/>
      <c r="H125" s="6"/>
      <c r="I125" s="6">
        <v>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spans="1:70" hidden="1" x14ac:dyDescent="0.25">
      <c r="A126" s="6">
        <v>25</v>
      </c>
      <c r="B126" s="6" t="s">
        <v>376</v>
      </c>
      <c r="C126" s="6" t="s">
        <v>377</v>
      </c>
      <c r="D126" s="6">
        <v>5</v>
      </c>
      <c r="E126" s="6" t="s">
        <v>496</v>
      </c>
      <c r="F126" s="6"/>
      <c r="G126" s="6"/>
      <c r="H126" s="6"/>
      <c r="I126" s="6">
        <v>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spans="1:70" hidden="1" x14ac:dyDescent="0.25">
      <c r="A127" s="7">
        <v>26</v>
      </c>
      <c r="B127" s="7" t="s">
        <v>378</v>
      </c>
      <c r="C127" s="7" t="s">
        <v>379</v>
      </c>
      <c r="D127" s="7">
        <v>1</v>
      </c>
      <c r="E127" s="7" t="s">
        <v>489</v>
      </c>
      <c r="F127" s="7" t="s">
        <v>504</v>
      </c>
      <c r="G127" s="7" t="s">
        <v>505</v>
      </c>
      <c r="H127" s="7" t="s">
        <v>500</v>
      </c>
      <c r="I127" s="7">
        <v>0</v>
      </c>
      <c r="J127" s="41">
        <v>32926.800000000003</v>
      </c>
      <c r="K127" s="41">
        <v>32926.800000000003</v>
      </c>
      <c r="L127" s="41">
        <v>32926.800000000003</v>
      </c>
      <c r="M127" s="41">
        <v>32926.800000000003</v>
      </c>
      <c r="N127" s="41">
        <v>32926.800000000003</v>
      </c>
      <c r="O127" s="41">
        <v>32926.800000000003</v>
      </c>
      <c r="P127" s="41">
        <v>32926.800000000003</v>
      </c>
      <c r="Q127" s="41">
        <v>32926.800000000003</v>
      </c>
      <c r="R127" s="41">
        <v>32926.800000000003</v>
      </c>
      <c r="S127" s="11">
        <v>32135.358333333337</v>
      </c>
      <c r="T127" s="3">
        <v>31343.916666666672</v>
      </c>
      <c r="U127" s="3">
        <v>30552.475000000006</v>
      </c>
      <c r="V127" s="3">
        <v>29761.03333333334</v>
      </c>
      <c r="W127" s="3">
        <v>28969.591666666674</v>
      </c>
      <c r="X127" s="3">
        <v>28178.150000000009</v>
      </c>
      <c r="Y127" s="3">
        <v>27386.708333333343</v>
      </c>
      <c r="Z127" s="3">
        <v>26595.266666666677</v>
      </c>
      <c r="AA127" s="3">
        <v>25803.825000000012</v>
      </c>
      <c r="AB127" s="3">
        <v>25012.383333333346</v>
      </c>
      <c r="AC127" s="3">
        <v>24220.94166666668</v>
      </c>
      <c r="AD127" s="3">
        <v>23429.5</v>
      </c>
      <c r="AE127" s="3">
        <v>23409.467100000002</v>
      </c>
      <c r="AF127" s="3">
        <v>23389.434200000003</v>
      </c>
      <c r="AG127" s="3">
        <v>23369.401300000005</v>
      </c>
      <c r="AH127" s="3">
        <v>23349.368400000007</v>
      </c>
      <c r="AI127" s="3">
        <v>23329.335500000008</v>
      </c>
      <c r="AJ127" s="3">
        <v>23309.30260000001</v>
      </c>
      <c r="AK127" s="3">
        <v>23289.269700000012</v>
      </c>
      <c r="AL127" s="3">
        <v>23269.236800000013</v>
      </c>
      <c r="AM127" s="3">
        <v>23249.203900000015</v>
      </c>
      <c r="AN127" s="3">
        <v>23229.171000000017</v>
      </c>
      <c r="AO127" s="3">
        <v>23209.138100000018</v>
      </c>
      <c r="AP127" s="3">
        <v>23189.10520000002</v>
      </c>
      <c r="AQ127" s="3">
        <v>23169.072300000022</v>
      </c>
      <c r="AR127" s="3">
        <v>23149.039400000023</v>
      </c>
      <c r="AS127" s="3">
        <v>23129.006500000025</v>
      </c>
      <c r="AT127" s="3">
        <v>23108.973600000027</v>
      </c>
      <c r="AU127" s="3">
        <v>23088.940700000028</v>
      </c>
      <c r="AV127" s="3">
        <v>23068.90780000003</v>
      </c>
      <c r="AW127" s="3">
        <v>23048.874900000032</v>
      </c>
      <c r="AX127" s="3">
        <v>23028.842000000001</v>
      </c>
      <c r="AY127" s="3">
        <f t="shared" ref="AY127:BR127" si="35">AX127</f>
        <v>23028.842000000001</v>
      </c>
      <c r="AZ127" s="3">
        <f t="shared" si="35"/>
        <v>23028.842000000001</v>
      </c>
      <c r="BA127" s="3">
        <f t="shared" si="35"/>
        <v>23028.842000000001</v>
      </c>
      <c r="BB127" s="3">
        <f t="shared" si="35"/>
        <v>23028.842000000001</v>
      </c>
      <c r="BC127" s="3">
        <f t="shared" si="35"/>
        <v>23028.842000000001</v>
      </c>
      <c r="BD127" s="3">
        <f t="shared" si="35"/>
        <v>23028.842000000001</v>
      </c>
      <c r="BE127" s="3">
        <f t="shared" si="35"/>
        <v>23028.842000000001</v>
      </c>
      <c r="BF127" s="3">
        <f t="shared" si="35"/>
        <v>23028.842000000001</v>
      </c>
      <c r="BG127" s="3">
        <f t="shared" si="35"/>
        <v>23028.842000000001</v>
      </c>
      <c r="BH127" s="3">
        <f t="shared" si="35"/>
        <v>23028.842000000001</v>
      </c>
      <c r="BI127" s="3">
        <f t="shared" si="35"/>
        <v>23028.842000000001</v>
      </c>
      <c r="BJ127" s="3">
        <f t="shared" si="35"/>
        <v>23028.842000000001</v>
      </c>
      <c r="BK127" s="3">
        <f t="shared" si="35"/>
        <v>23028.842000000001</v>
      </c>
      <c r="BL127" s="3">
        <f t="shared" si="35"/>
        <v>23028.842000000001</v>
      </c>
      <c r="BM127" s="3">
        <f t="shared" si="35"/>
        <v>23028.842000000001</v>
      </c>
      <c r="BN127" s="3">
        <f t="shared" si="35"/>
        <v>23028.842000000001</v>
      </c>
      <c r="BO127" s="3">
        <f t="shared" si="35"/>
        <v>23028.842000000001</v>
      </c>
      <c r="BP127" s="3">
        <f t="shared" si="35"/>
        <v>23028.842000000001</v>
      </c>
      <c r="BQ127" s="3">
        <f t="shared" si="35"/>
        <v>23028.842000000001</v>
      </c>
      <c r="BR127" s="3">
        <f t="shared" si="35"/>
        <v>23028.842000000001</v>
      </c>
    </row>
    <row r="128" spans="1:70" hidden="1" x14ac:dyDescent="0.25">
      <c r="A128" s="7">
        <v>26</v>
      </c>
      <c r="B128" s="7" t="s">
        <v>378</v>
      </c>
      <c r="C128" s="7" t="s">
        <v>379</v>
      </c>
      <c r="D128" s="7">
        <v>2</v>
      </c>
      <c r="E128" s="7" t="s">
        <v>491</v>
      </c>
      <c r="F128" s="7" t="s">
        <v>553</v>
      </c>
      <c r="G128" s="7" t="s">
        <v>505</v>
      </c>
      <c r="H128" s="7" t="s">
        <v>501</v>
      </c>
      <c r="I128" s="7">
        <v>0</v>
      </c>
      <c r="J128" s="7">
        <v>70</v>
      </c>
      <c r="K128" s="7"/>
      <c r="L128" s="7"/>
      <c r="M128" s="7"/>
      <c r="N128" s="7"/>
      <c r="O128" s="7"/>
      <c r="P128" s="7"/>
      <c r="Q128" s="7"/>
      <c r="R128" s="7"/>
      <c r="S128" s="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spans="1:70" hidden="1" x14ac:dyDescent="0.25">
      <c r="A129" s="7">
        <v>26</v>
      </c>
      <c r="B129" s="7" t="s">
        <v>378</v>
      </c>
      <c r="C129" s="7" t="s">
        <v>379</v>
      </c>
      <c r="D129" s="7">
        <v>3</v>
      </c>
      <c r="E129" s="7" t="s">
        <v>493</v>
      </c>
      <c r="F129" s="7" t="s">
        <v>506</v>
      </c>
      <c r="G129" s="7" t="s">
        <v>507</v>
      </c>
      <c r="H129" s="7" t="s">
        <v>500</v>
      </c>
      <c r="I129" s="7">
        <v>0</v>
      </c>
      <c r="J129" s="12">
        <v>6856</v>
      </c>
      <c r="K129" s="12">
        <v>6856</v>
      </c>
      <c r="L129" s="12">
        <v>6856</v>
      </c>
      <c r="M129" s="12">
        <v>6856</v>
      </c>
      <c r="N129" s="12">
        <v>6856</v>
      </c>
      <c r="O129" s="12">
        <v>6856</v>
      </c>
      <c r="P129" s="12">
        <v>6856</v>
      </c>
      <c r="Q129" s="12">
        <v>6856</v>
      </c>
      <c r="R129" s="12">
        <v>6856</v>
      </c>
      <c r="S129" s="12">
        <f>R129</f>
        <v>6856</v>
      </c>
      <c r="T129" s="10">
        <f>S129+7483-7825</f>
        <v>6514</v>
      </c>
      <c r="U129" s="10">
        <f t="shared" ref="U129:AN129" si="36">T129-$T129/20</f>
        <v>6188.3</v>
      </c>
      <c r="V129" s="10">
        <f t="shared" si="36"/>
        <v>5862.6</v>
      </c>
      <c r="W129" s="10">
        <f t="shared" si="36"/>
        <v>5536.9000000000005</v>
      </c>
      <c r="X129" s="10">
        <f t="shared" si="36"/>
        <v>5211.2000000000007</v>
      </c>
      <c r="Y129" s="10">
        <f t="shared" si="36"/>
        <v>4885.5000000000009</v>
      </c>
      <c r="Z129" s="10">
        <f t="shared" si="36"/>
        <v>4559.8000000000011</v>
      </c>
      <c r="AA129" s="10">
        <f t="shared" si="36"/>
        <v>4234.1000000000013</v>
      </c>
      <c r="AB129" s="10">
        <f t="shared" si="36"/>
        <v>3908.4000000000015</v>
      </c>
      <c r="AC129" s="10">
        <f t="shared" si="36"/>
        <v>3582.7000000000016</v>
      </c>
      <c r="AD129" s="10">
        <f t="shared" si="36"/>
        <v>3257.0000000000018</v>
      </c>
      <c r="AE129" s="10">
        <f t="shared" si="36"/>
        <v>2931.300000000002</v>
      </c>
      <c r="AF129" s="10">
        <f t="shared" si="36"/>
        <v>2605.6000000000022</v>
      </c>
      <c r="AG129" s="10">
        <f t="shared" si="36"/>
        <v>2279.9000000000024</v>
      </c>
      <c r="AH129" s="10">
        <f t="shared" si="36"/>
        <v>1954.2000000000023</v>
      </c>
      <c r="AI129" s="10">
        <f t="shared" si="36"/>
        <v>1628.5000000000023</v>
      </c>
      <c r="AJ129" s="10">
        <f t="shared" si="36"/>
        <v>1302.8000000000022</v>
      </c>
      <c r="AK129" s="10">
        <f t="shared" si="36"/>
        <v>977.10000000000218</v>
      </c>
      <c r="AL129" s="10">
        <f t="shared" si="36"/>
        <v>651.40000000000214</v>
      </c>
      <c r="AM129" s="10">
        <f t="shared" si="36"/>
        <v>325.70000000000215</v>
      </c>
      <c r="AN129" s="10">
        <f t="shared" si="36"/>
        <v>2.1600499167107046E-12</v>
      </c>
      <c r="AO129" s="10">
        <v>2.1600499167107046E-12</v>
      </c>
      <c r="AP129" s="10">
        <v>2.1600499167107046E-12</v>
      </c>
      <c r="AQ129" s="10">
        <v>2.1600499167107046E-12</v>
      </c>
      <c r="AR129" s="10">
        <v>2.1600499167107046E-12</v>
      </c>
      <c r="AS129" s="10">
        <v>2.1600499167107046E-12</v>
      </c>
      <c r="AT129" s="10">
        <v>2.1600499167107046E-12</v>
      </c>
      <c r="AU129" s="10">
        <v>2.1600499167107046E-12</v>
      </c>
      <c r="AV129" s="10">
        <v>2.1600499167107046E-12</v>
      </c>
      <c r="AW129" s="10">
        <v>2.1600499167107046E-12</v>
      </c>
      <c r="AX129" s="10">
        <v>2.1600499167107046E-12</v>
      </c>
      <c r="AY129" s="10">
        <v>2.1600499167107046E-12</v>
      </c>
      <c r="AZ129" s="10">
        <v>2.1600499167107046E-12</v>
      </c>
      <c r="BA129" s="10">
        <v>2.1600499167107046E-12</v>
      </c>
      <c r="BB129" s="10">
        <v>2.1600499167107046E-12</v>
      </c>
      <c r="BC129" s="10">
        <v>2.1600499167107046E-12</v>
      </c>
      <c r="BD129" s="10">
        <v>2.1600499167107046E-12</v>
      </c>
      <c r="BE129" s="10">
        <v>2.1600499167107046E-12</v>
      </c>
      <c r="BF129" s="10">
        <v>2.1600499167107046E-12</v>
      </c>
      <c r="BG129" s="10">
        <v>2.1600499167107046E-12</v>
      </c>
      <c r="BH129" s="10">
        <v>2.1600499167107046E-12</v>
      </c>
      <c r="BI129" s="10">
        <v>2.1600499167107046E-12</v>
      </c>
      <c r="BJ129" s="10">
        <v>2.1600499167107046E-12</v>
      </c>
      <c r="BK129" s="10">
        <v>2.1600499167107046E-12</v>
      </c>
      <c r="BL129" s="10">
        <v>2.1600499167107046E-12</v>
      </c>
      <c r="BM129" s="10">
        <v>2.1600499167107046E-12</v>
      </c>
      <c r="BN129" s="10">
        <v>2.1600499167107046E-12</v>
      </c>
      <c r="BO129" s="10">
        <v>2.1600499167107046E-12</v>
      </c>
      <c r="BP129" s="10">
        <v>2.1600499167107046E-12</v>
      </c>
      <c r="BQ129" s="10">
        <v>2.1600499167107046E-12</v>
      </c>
      <c r="BR129" s="10">
        <v>2.1600499167107046E-12</v>
      </c>
    </row>
    <row r="130" spans="1:70" hidden="1" x14ac:dyDescent="0.25">
      <c r="A130" s="7">
        <v>26</v>
      </c>
      <c r="B130" s="7" t="s">
        <v>378</v>
      </c>
      <c r="C130" s="7" t="s">
        <v>379</v>
      </c>
      <c r="D130" s="7">
        <v>4</v>
      </c>
      <c r="E130" s="7" t="s">
        <v>494</v>
      </c>
      <c r="F130" s="7"/>
      <c r="G130" s="7"/>
      <c r="H130" s="7"/>
      <c r="I130" s="7">
        <v>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spans="1:70" hidden="1" x14ac:dyDescent="0.25">
      <c r="A131" s="7">
        <v>26</v>
      </c>
      <c r="B131" s="7" t="s">
        <v>378</v>
      </c>
      <c r="C131" s="7" t="s">
        <v>379</v>
      </c>
      <c r="D131" s="7">
        <v>5</v>
      </c>
      <c r="E131" s="7" t="s">
        <v>496</v>
      </c>
      <c r="F131" s="7"/>
      <c r="G131" s="7"/>
      <c r="H131" s="7"/>
      <c r="I131" s="7">
        <v>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spans="1:70" hidden="1" x14ac:dyDescent="0.25">
      <c r="A132" s="6">
        <v>27</v>
      </c>
      <c r="B132" s="6" t="s">
        <v>380</v>
      </c>
      <c r="C132" s="6" t="s">
        <v>381</v>
      </c>
      <c r="D132" s="6">
        <v>1</v>
      </c>
      <c r="E132" s="6" t="s">
        <v>489</v>
      </c>
      <c r="F132" s="6" t="s">
        <v>504</v>
      </c>
      <c r="G132" s="6" t="s">
        <v>505</v>
      </c>
      <c r="H132" s="6" t="s">
        <v>500</v>
      </c>
      <c r="I132" s="6">
        <v>0</v>
      </c>
      <c r="J132" s="40">
        <v>19642</v>
      </c>
      <c r="K132" s="40">
        <v>19642</v>
      </c>
      <c r="L132" s="40">
        <v>19642</v>
      </c>
      <c r="M132" s="40">
        <v>19642</v>
      </c>
      <c r="N132" s="40">
        <v>19642</v>
      </c>
      <c r="O132" s="40">
        <v>19642</v>
      </c>
      <c r="P132" s="40">
        <v>19642</v>
      </c>
      <c r="Q132" s="40">
        <v>19642</v>
      </c>
      <c r="R132" s="40">
        <v>19642</v>
      </c>
      <c r="S132" s="8">
        <v>19658.368333333332</v>
      </c>
      <c r="T132" s="3">
        <v>19674.736666666664</v>
      </c>
      <c r="U132" s="3">
        <v>19691.104999999996</v>
      </c>
      <c r="V132" s="3">
        <v>19707.473333333328</v>
      </c>
      <c r="W132" s="3">
        <v>19723.84166666666</v>
      </c>
      <c r="X132" s="3">
        <v>19740.209999999992</v>
      </c>
      <c r="Y132" s="3">
        <v>19756.578333333324</v>
      </c>
      <c r="Z132" s="3">
        <v>19772.946666666656</v>
      </c>
      <c r="AA132" s="3">
        <v>19789.314999999988</v>
      </c>
      <c r="AB132" s="3">
        <v>19805.68333333332</v>
      </c>
      <c r="AC132" s="3">
        <v>19822.051666666652</v>
      </c>
      <c r="AD132" s="3">
        <v>19838.420000000002</v>
      </c>
      <c r="AE132" s="3">
        <v>19987.208150000002</v>
      </c>
      <c r="AF132" s="3">
        <v>20135.996300000003</v>
      </c>
      <c r="AG132" s="3">
        <v>20284.784450000003</v>
      </c>
      <c r="AH132" s="3">
        <v>20433.572600000003</v>
      </c>
      <c r="AI132" s="3">
        <v>20582.360750000003</v>
      </c>
      <c r="AJ132" s="3">
        <v>20731.148900000004</v>
      </c>
      <c r="AK132" s="3">
        <v>20879.937050000004</v>
      </c>
      <c r="AL132" s="3">
        <v>21028.725200000004</v>
      </c>
      <c r="AM132" s="3">
        <v>21177.513350000005</v>
      </c>
      <c r="AN132" s="3">
        <v>21326.301500000005</v>
      </c>
      <c r="AO132" s="3">
        <v>21475.089650000005</v>
      </c>
      <c r="AP132" s="3">
        <v>21623.877800000006</v>
      </c>
      <c r="AQ132" s="3">
        <v>21772.665950000006</v>
      </c>
      <c r="AR132" s="3">
        <v>21921.454100000006</v>
      </c>
      <c r="AS132" s="3">
        <v>22070.242250000007</v>
      </c>
      <c r="AT132" s="3">
        <v>22219.030400000007</v>
      </c>
      <c r="AU132" s="3">
        <v>22367.818550000007</v>
      </c>
      <c r="AV132" s="3">
        <v>22516.606700000008</v>
      </c>
      <c r="AW132" s="3">
        <v>22665.394850000008</v>
      </c>
      <c r="AX132" s="3">
        <v>22814.183000000001</v>
      </c>
      <c r="AY132" s="3">
        <f t="shared" ref="AY132:BR132" si="37">AX132</f>
        <v>22814.183000000001</v>
      </c>
      <c r="AZ132" s="3">
        <f t="shared" si="37"/>
        <v>22814.183000000001</v>
      </c>
      <c r="BA132" s="3">
        <f t="shared" si="37"/>
        <v>22814.183000000001</v>
      </c>
      <c r="BB132" s="3">
        <f t="shared" si="37"/>
        <v>22814.183000000001</v>
      </c>
      <c r="BC132" s="3">
        <f t="shared" si="37"/>
        <v>22814.183000000001</v>
      </c>
      <c r="BD132" s="3">
        <f t="shared" si="37"/>
        <v>22814.183000000001</v>
      </c>
      <c r="BE132" s="3">
        <f t="shared" si="37"/>
        <v>22814.183000000001</v>
      </c>
      <c r="BF132" s="3">
        <f t="shared" si="37"/>
        <v>22814.183000000001</v>
      </c>
      <c r="BG132" s="3">
        <f t="shared" si="37"/>
        <v>22814.183000000001</v>
      </c>
      <c r="BH132" s="3">
        <f t="shared" si="37"/>
        <v>22814.183000000001</v>
      </c>
      <c r="BI132" s="3">
        <f t="shared" si="37"/>
        <v>22814.183000000001</v>
      </c>
      <c r="BJ132" s="3">
        <f t="shared" si="37"/>
        <v>22814.183000000001</v>
      </c>
      <c r="BK132" s="3">
        <f t="shared" si="37"/>
        <v>22814.183000000001</v>
      </c>
      <c r="BL132" s="3">
        <f t="shared" si="37"/>
        <v>22814.183000000001</v>
      </c>
      <c r="BM132" s="3">
        <f t="shared" si="37"/>
        <v>22814.183000000001</v>
      </c>
      <c r="BN132" s="3">
        <f t="shared" si="37"/>
        <v>22814.183000000001</v>
      </c>
      <c r="BO132" s="3">
        <f t="shared" si="37"/>
        <v>22814.183000000001</v>
      </c>
      <c r="BP132" s="3">
        <f t="shared" si="37"/>
        <v>22814.183000000001</v>
      </c>
      <c r="BQ132" s="3">
        <f t="shared" si="37"/>
        <v>22814.183000000001</v>
      </c>
      <c r="BR132" s="3">
        <f t="shared" si="37"/>
        <v>22814.183000000001</v>
      </c>
    </row>
    <row r="133" spans="1:70" hidden="1" x14ac:dyDescent="0.25">
      <c r="A133" s="6">
        <v>27</v>
      </c>
      <c r="B133" s="6" t="s">
        <v>380</v>
      </c>
      <c r="C133" s="6" t="s">
        <v>381</v>
      </c>
      <c r="D133" s="6">
        <v>2</v>
      </c>
      <c r="E133" s="6" t="s">
        <v>491</v>
      </c>
      <c r="F133" s="6" t="s">
        <v>553</v>
      </c>
      <c r="G133" s="6" t="s">
        <v>505</v>
      </c>
      <c r="H133" s="6" t="s">
        <v>501</v>
      </c>
      <c r="I133" s="6">
        <v>0</v>
      </c>
      <c r="J133" s="6">
        <v>70</v>
      </c>
      <c r="K133" s="6"/>
      <c r="L133" s="6"/>
      <c r="M133" s="6"/>
      <c r="N133" s="6"/>
      <c r="O133" s="6"/>
      <c r="P133" s="6"/>
      <c r="Q133" s="6"/>
      <c r="R133" s="6"/>
      <c r="S133" s="6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spans="1:70" hidden="1" x14ac:dyDescent="0.25">
      <c r="A134" s="6">
        <v>27</v>
      </c>
      <c r="B134" s="6" t="s">
        <v>380</v>
      </c>
      <c r="C134" s="6" t="s">
        <v>381</v>
      </c>
      <c r="D134" s="6">
        <v>3</v>
      </c>
      <c r="E134" s="6" t="s">
        <v>493</v>
      </c>
      <c r="F134" s="6" t="s">
        <v>506</v>
      </c>
      <c r="G134" s="6" t="s">
        <v>507</v>
      </c>
      <c r="H134" s="6" t="s">
        <v>500</v>
      </c>
      <c r="I134" s="6">
        <v>0</v>
      </c>
      <c r="J134" s="9">
        <v>740364</v>
      </c>
      <c r="K134" s="9">
        <v>740364</v>
      </c>
      <c r="L134" s="9">
        <v>740364</v>
      </c>
      <c r="M134" s="9">
        <v>740364</v>
      </c>
      <c r="N134" s="9">
        <v>740364</v>
      </c>
      <c r="O134" s="9">
        <v>740364</v>
      </c>
      <c r="P134" s="9">
        <v>740364</v>
      </c>
      <c r="Q134" s="9">
        <v>740364</v>
      </c>
      <c r="R134" s="9">
        <v>740364</v>
      </c>
      <c r="S134" s="14">
        <v>724931</v>
      </c>
      <c r="T134" s="10">
        <v>629382</v>
      </c>
      <c r="U134" s="10">
        <f t="shared" ref="U134:AN134" si="38">T134-$T134/20</f>
        <v>597912.9</v>
      </c>
      <c r="V134" s="10">
        <f t="shared" si="38"/>
        <v>566443.80000000005</v>
      </c>
      <c r="W134" s="10">
        <f t="shared" si="38"/>
        <v>534974.70000000007</v>
      </c>
      <c r="X134" s="10">
        <f t="shared" si="38"/>
        <v>503505.60000000009</v>
      </c>
      <c r="Y134" s="10">
        <f t="shared" si="38"/>
        <v>472036.50000000012</v>
      </c>
      <c r="Z134" s="10">
        <f t="shared" si="38"/>
        <v>440567.40000000014</v>
      </c>
      <c r="AA134" s="10">
        <f t="shared" si="38"/>
        <v>409098.30000000016</v>
      </c>
      <c r="AB134" s="10">
        <f t="shared" si="38"/>
        <v>377629.20000000019</v>
      </c>
      <c r="AC134" s="10">
        <f t="shared" si="38"/>
        <v>346160.10000000021</v>
      </c>
      <c r="AD134" s="10">
        <f t="shared" si="38"/>
        <v>314691.00000000023</v>
      </c>
      <c r="AE134" s="10">
        <f t="shared" si="38"/>
        <v>283221.90000000026</v>
      </c>
      <c r="AF134" s="10">
        <f t="shared" si="38"/>
        <v>251752.80000000025</v>
      </c>
      <c r="AG134" s="10">
        <f t="shared" si="38"/>
        <v>220283.70000000024</v>
      </c>
      <c r="AH134" s="10">
        <f t="shared" si="38"/>
        <v>188814.60000000024</v>
      </c>
      <c r="AI134" s="10">
        <f t="shared" si="38"/>
        <v>157345.50000000023</v>
      </c>
      <c r="AJ134" s="10">
        <f t="shared" si="38"/>
        <v>125876.40000000023</v>
      </c>
      <c r="AK134" s="10">
        <f t="shared" si="38"/>
        <v>94407.300000000221</v>
      </c>
      <c r="AL134" s="10">
        <f t="shared" si="38"/>
        <v>62938.200000000223</v>
      </c>
      <c r="AM134" s="10">
        <f t="shared" si="38"/>
        <v>31469.100000000224</v>
      </c>
      <c r="AN134" s="10">
        <f t="shared" si="38"/>
        <v>2.255546860396862E-10</v>
      </c>
      <c r="AO134" s="10">
        <v>2.255546860396862E-10</v>
      </c>
      <c r="AP134" s="10">
        <v>2.255546860396862E-10</v>
      </c>
      <c r="AQ134" s="10">
        <v>2.255546860396862E-10</v>
      </c>
      <c r="AR134" s="10">
        <v>2.255546860396862E-10</v>
      </c>
      <c r="AS134" s="10">
        <v>2.255546860396862E-10</v>
      </c>
      <c r="AT134" s="10">
        <v>2.255546860396862E-10</v>
      </c>
      <c r="AU134" s="10">
        <v>2.255546860396862E-10</v>
      </c>
      <c r="AV134" s="10">
        <v>2.255546860396862E-10</v>
      </c>
      <c r="AW134" s="10">
        <v>2.255546860396862E-10</v>
      </c>
      <c r="AX134" s="10">
        <v>2.255546860396862E-10</v>
      </c>
      <c r="AY134" s="10">
        <v>2.255546860396862E-10</v>
      </c>
      <c r="AZ134" s="10">
        <v>2.255546860396862E-10</v>
      </c>
      <c r="BA134" s="10">
        <v>2.255546860396862E-10</v>
      </c>
      <c r="BB134" s="10">
        <v>2.255546860396862E-10</v>
      </c>
      <c r="BC134" s="10">
        <v>2.255546860396862E-10</v>
      </c>
      <c r="BD134" s="10">
        <v>2.255546860396862E-10</v>
      </c>
      <c r="BE134" s="10">
        <v>2.255546860396862E-10</v>
      </c>
      <c r="BF134" s="10">
        <v>2.255546860396862E-10</v>
      </c>
      <c r="BG134" s="10">
        <v>2.255546860396862E-10</v>
      </c>
      <c r="BH134" s="10">
        <v>2.255546860396862E-10</v>
      </c>
      <c r="BI134" s="10">
        <v>2.255546860396862E-10</v>
      </c>
      <c r="BJ134" s="10">
        <v>2.255546860396862E-10</v>
      </c>
      <c r="BK134" s="10">
        <v>2.255546860396862E-10</v>
      </c>
      <c r="BL134" s="10">
        <v>2.255546860396862E-10</v>
      </c>
      <c r="BM134" s="10">
        <v>2.255546860396862E-10</v>
      </c>
      <c r="BN134" s="10">
        <v>2.255546860396862E-10</v>
      </c>
      <c r="BO134" s="10">
        <v>2.255546860396862E-10</v>
      </c>
      <c r="BP134" s="10">
        <v>2.255546860396862E-10</v>
      </c>
      <c r="BQ134" s="10">
        <v>2.255546860396862E-10</v>
      </c>
      <c r="BR134" s="10">
        <v>2.255546860396862E-10</v>
      </c>
    </row>
    <row r="135" spans="1:70" hidden="1" x14ac:dyDescent="0.25">
      <c r="A135" s="6">
        <v>27</v>
      </c>
      <c r="B135" s="6" t="s">
        <v>380</v>
      </c>
      <c r="C135" s="6" t="s">
        <v>381</v>
      </c>
      <c r="D135" s="6">
        <v>4</v>
      </c>
      <c r="E135" s="6" t="s">
        <v>494</v>
      </c>
      <c r="F135" s="6"/>
      <c r="G135" s="6"/>
      <c r="H135" s="6"/>
      <c r="I135" s="6">
        <v>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spans="1:70" hidden="1" x14ac:dyDescent="0.25">
      <c r="A136" s="6">
        <v>27</v>
      </c>
      <c r="B136" s="6" t="s">
        <v>380</v>
      </c>
      <c r="C136" s="6" t="s">
        <v>381</v>
      </c>
      <c r="D136" s="6">
        <v>5</v>
      </c>
      <c r="E136" s="6" t="s">
        <v>496</v>
      </c>
      <c r="F136" s="6"/>
      <c r="G136" s="6"/>
      <c r="H136" s="6"/>
      <c r="I136" s="6">
        <v>0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spans="1:70" hidden="1" x14ac:dyDescent="0.25">
      <c r="A137" s="7">
        <v>28</v>
      </c>
      <c r="B137" s="7" t="s">
        <v>382</v>
      </c>
      <c r="C137" s="7" t="s">
        <v>383</v>
      </c>
      <c r="D137" s="7">
        <v>1</v>
      </c>
      <c r="E137" s="7" t="s">
        <v>489</v>
      </c>
      <c r="F137" s="7" t="s">
        <v>504</v>
      </c>
      <c r="G137" s="7" t="s">
        <v>505</v>
      </c>
      <c r="H137" s="7" t="s">
        <v>500</v>
      </c>
      <c r="I137" s="7">
        <v>0</v>
      </c>
      <c r="J137" s="41">
        <v>22588.3</v>
      </c>
      <c r="K137" s="41">
        <v>22588.3</v>
      </c>
      <c r="L137" s="41">
        <v>22588.3</v>
      </c>
      <c r="M137" s="41">
        <v>22588.3</v>
      </c>
      <c r="N137" s="41">
        <v>22588.3</v>
      </c>
      <c r="O137" s="41">
        <v>22588.3</v>
      </c>
      <c r="P137" s="41">
        <v>22588.3</v>
      </c>
      <c r="Q137" s="41">
        <v>22588.3</v>
      </c>
      <c r="R137" s="41">
        <v>22588.3</v>
      </c>
      <c r="S137" s="11">
        <v>22539.274999999998</v>
      </c>
      <c r="T137" s="3">
        <v>22490.249999999996</v>
      </c>
      <c r="U137" s="3">
        <v>22441.224999999995</v>
      </c>
      <c r="V137" s="3">
        <v>22392.199999999993</v>
      </c>
      <c r="W137" s="3">
        <v>22343.174999999992</v>
      </c>
      <c r="X137" s="3">
        <v>22294.149999999991</v>
      </c>
      <c r="Y137" s="3">
        <v>22245.124999999989</v>
      </c>
      <c r="Z137" s="3">
        <v>22196.099999999988</v>
      </c>
      <c r="AA137" s="3">
        <v>22147.074999999986</v>
      </c>
      <c r="AB137" s="3">
        <v>22098.049999999985</v>
      </c>
      <c r="AC137" s="3">
        <v>22049.024999999983</v>
      </c>
      <c r="AD137" s="3">
        <v>22000</v>
      </c>
      <c r="AE137" s="3">
        <v>22035</v>
      </c>
      <c r="AF137" s="3">
        <v>22070</v>
      </c>
      <c r="AG137" s="3">
        <v>22105</v>
      </c>
      <c r="AH137" s="3">
        <v>22140</v>
      </c>
      <c r="AI137" s="3">
        <v>22175</v>
      </c>
      <c r="AJ137" s="3">
        <v>22210</v>
      </c>
      <c r="AK137" s="3">
        <v>22245</v>
      </c>
      <c r="AL137" s="3">
        <v>22280</v>
      </c>
      <c r="AM137" s="3">
        <v>22315</v>
      </c>
      <c r="AN137" s="3">
        <v>22350</v>
      </c>
      <c r="AO137" s="3">
        <v>22385</v>
      </c>
      <c r="AP137" s="3">
        <v>22420</v>
      </c>
      <c r="AQ137" s="3">
        <v>22455</v>
      </c>
      <c r="AR137" s="3">
        <v>22490</v>
      </c>
      <c r="AS137" s="3">
        <v>22525</v>
      </c>
      <c r="AT137" s="3">
        <v>22560</v>
      </c>
      <c r="AU137" s="3">
        <v>22595</v>
      </c>
      <c r="AV137" s="3">
        <v>22630</v>
      </c>
      <c r="AW137" s="3">
        <v>22665</v>
      </c>
      <c r="AX137" s="3">
        <v>22700</v>
      </c>
      <c r="AY137" s="3">
        <f t="shared" ref="AY137:BR137" si="39">AX137</f>
        <v>22700</v>
      </c>
      <c r="AZ137" s="3">
        <f t="shared" si="39"/>
        <v>22700</v>
      </c>
      <c r="BA137" s="3">
        <f t="shared" si="39"/>
        <v>22700</v>
      </c>
      <c r="BB137" s="3">
        <f t="shared" si="39"/>
        <v>22700</v>
      </c>
      <c r="BC137" s="3">
        <f t="shared" si="39"/>
        <v>22700</v>
      </c>
      <c r="BD137" s="3">
        <f t="shared" si="39"/>
        <v>22700</v>
      </c>
      <c r="BE137" s="3">
        <f t="shared" si="39"/>
        <v>22700</v>
      </c>
      <c r="BF137" s="3">
        <f t="shared" si="39"/>
        <v>22700</v>
      </c>
      <c r="BG137" s="3">
        <f t="shared" si="39"/>
        <v>22700</v>
      </c>
      <c r="BH137" s="3">
        <f t="shared" si="39"/>
        <v>22700</v>
      </c>
      <c r="BI137" s="3">
        <f t="shared" si="39"/>
        <v>22700</v>
      </c>
      <c r="BJ137" s="3">
        <f t="shared" si="39"/>
        <v>22700</v>
      </c>
      <c r="BK137" s="3">
        <f t="shared" si="39"/>
        <v>22700</v>
      </c>
      <c r="BL137" s="3">
        <f t="shared" si="39"/>
        <v>22700</v>
      </c>
      <c r="BM137" s="3">
        <f t="shared" si="39"/>
        <v>22700</v>
      </c>
      <c r="BN137" s="3">
        <f t="shared" si="39"/>
        <v>22700</v>
      </c>
      <c r="BO137" s="3">
        <f t="shared" si="39"/>
        <v>22700</v>
      </c>
      <c r="BP137" s="3">
        <f t="shared" si="39"/>
        <v>22700</v>
      </c>
      <c r="BQ137" s="3">
        <f t="shared" si="39"/>
        <v>22700</v>
      </c>
      <c r="BR137" s="3">
        <f t="shared" si="39"/>
        <v>22700</v>
      </c>
    </row>
    <row r="138" spans="1:70" hidden="1" x14ac:dyDescent="0.25">
      <c r="A138" s="7">
        <v>28</v>
      </c>
      <c r="B138" s="7" t="s">
        <v>382</v>
      </c>
      <c r="C138" s="7" t="s">
        <v>383</v>
      </c>
      <c r="D138" s="7">
        <v>2</v>
      </c>
      <c r="E138" s="7" t="s">
        <v>491</v>
      </c>
      <c r="F138" s="7" t="s">
        <v>553</v>
      </c>
      <c r="G138" s="7" t="s">
        <v>505</v>
      </c>
      <c r="H138" s="7" t="s">
        <v>501</v>
      </c>
      <c r="I138" s="7">
        <v>0</v>
      </c>
      <c r="J138" s="7">
        <v>70</v>
      </c>
      <c r="K138" s="7"/>
      <c r="L138" s="7"/>
      <c r="M138" s="7"/>
      <c r="N138" s="7"/>
      <c r="O138" s="7"/>
      <c r="P138" s="7"/>
      <c r="Q138" s="7"/>
      <c r="R138" s="7"/>
      <c r="S138" s="7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spans="1:70" hidden="1" x14ac:dyDescent="0.25">
      <c r="A139" s="7">
        <v>28</v>
      </c>
      <c r="B139" s="7" t="s">
        <v>382</v>
      </c>
      <c r="C139" s="7" t="s">
        <v>383</v>
      </c>
      <c r="D139" s="7">
        <v>3</v>
      </c>
      <c r="E139" s="7" t="s">
        <v>493</v>
      </c>
      <c r="F139" s="7" t="s">
        <v>506</v>
      </c>
      <c r="G139" s="7" t="s">
        <v>507</v>
      </c>
      <c r="H139" s="7" t="s">
        <v>500</v>
      </c>
      <c r="I139" s="7">
        <v>0</v>
      </c>
      <c r="J139" s="12">
        <v>70</v>
      </c>
      <c r="K139" s="12">
        <v>70</v>
      </c>
      <c r="L139" s="12">
        <v>70</v>
      </c>
      <c r="M139" s="12">
        <v>70</v>
      </c>
      <c r="N139" s="12">
        <v>70</v>
      </c>
      <c r="O139" s="12">
        <v>70</v>
      </c>
      <c r="P139" s="12">
        <v>70</v>
      </c>
      <c r="Q139" s="12">
        <v>70</v>
      </c>
      <c r="R139" s="12">
        <v>70</v>
      </c>
      <c r="S139" s="12">
        <v>54</v>
      </c>
      <c r="T139" s="10">
        <v>42</v>
      </c>
      <c r="U139" s="10">
        <f t="shared" ref="U139:AN139" si="40">T139-$T139/20</f>
        <v>39.9</v>
      </c>
      <c r="V139" s="10">
        <f t="shared" si="40"/>
        <v>37.799999999999997</v>
      </c>
      <c r="W139" s="10">
        <f t="shared" si="40"/>
        <v>35.699999999999996</v>
      </c>
      <c r="X139" s="10">
        <f t="shared" si="40"/>
        <v>33.599999999999994</v>
      </c>
      <c r="Y139" s="10">
        <f t="shared" si="40"/>
        <v>31.499999999999993</v>
      </c>
      <c r="Z139" s="10">
        <f t="shared" si="40"/>
        <v>29.399999999999991</v>
      </c>
      <c r="AA139" s="10">
        <f t="shared" si="40"/>
        <v>27.29999999999999</v>
      </c>
      <c r="AB139" s="10">
        <f t="shared" si="40"/>
        <v>25.199999999999989</v>
      </c>
      <c r="AC139" s="10">
        <f t="shared" si="40"/>
        <v>23.099999999999987</v>
      </c>
      <c r="AD139" s="10">
        <f t="shared" si="40"/>
        <v>20.999999999999986</v>
      </c>
      <c r="AE139" s="10">
        <f t="shared" si="40"/>
        <v>18.899999999999984</v>
      </c>
      <c r="AF139" s="10">
        <f t="shared" si="40"/>
        <v>16.799999999999983</v>
      </c>
      <c r="AG139" s="10">
        <f t="shared" si="40"/>
        <v>14.699999999999983</v>
      </c>
      <c r="AH139" s="10">
        <f t="shared" si="40"/>
        <v>12.599999999999984</v>
      </c>
      <c r="AI139" s="10">
        <f t="shared" si="40"/>
        <v>10.499999999999984</v>
      </c>
      <c r="AJ139" s="10">
        <f t="shared" si="40"/>
        <v>8.3999999999999844</v>
      </c>
      <c r="AK139" s="10">
        <f t="shared" si="40"/>
        <v>6.2999999999999847</v>
      </c>
      <c r="AL139" s="10">
        <f t="shared" si="40"/>
        <v>4.1999999999999851</v>
      </c>
      <c r="AM139" s="10">
        <f t="shared" si="40"/>
        <v>2.099999999999985</v>
      </c>
      <c r="AN139" s="10">
        <f t="shared" si="40"/>
        <v>-1.5099033134902129E-14</v>
      </c>
      <c r="AO139" s="10">
        <v>-1.5099033134902129E-14</v>
      </c>
      <c r="AP139" s="10">
        <v>-1.5099033134902129E-14</v>
      </c>
      <c r="AQ139" s="10">
        <v>-1.5099033134902129E-14</v>
      </c>
      <c r="AR139" s="10">
        <v>-1.5099033134902129E-14</v>
      </c>
      <c r="AS139" s="10">
        <v>-1.5099033134902129E-14</v>
      </c>
      <c r="AT139" s="10">
        <v>-1.5099033134902129E-14</v>
      </c>
      <c r="AU139" s="10">
        <v>-1.5099033134902129E-14</v>
      </c>
      <c r="AV139" s="10">
        <v>-1.5099033134902129E-14</v>
      </c>
      <c r="AW139" s="10">
        <v>-1.5099033134902129E-14</v>
      </c>
      <c r="AX139" s="10">
        <v>-1.5099033134902129E-14</v>
      </c>
      <c r="AY139" s="10">
        <v>-1.5099033134902129E-14</v>
      </c>
      <c r="AZ139" s="10">
        <v>-1.5099033134902129E-14</v>
      </c>
      <c r="BA139" s="10">
        <v>-1.5099033134902129E-14</v>
      </c>
      <c r="BB139" s="10">
        <v>-1.5099033134902129E-14</v>
      </c>
      <c r="BC139" s="10">
        <v>-1.5099033134902129E-14</v>
      </c>
      <c r="BD139" s="10">
        <v>-1.5099033134902129E-14</v>
      </c>
      <c r="BE139" s="10">
        <v>-1.5099033134902129E-14</v>
      </c>
      <c r="BF139" s="10">
        <v>-1.5099033134902129E-14</v>
      </c>
      <c r="BG139" s="10">
        <v>-1.5099033134902129E-14</v>
      </c>
      <c r="BH139" s="10">
        <v>-1.5099033134902129E-14</v>
      </c>
      <c r="BI139" s="10">
        <v>-1.5099033134902129E-14</v>
      </c>
      <c r="BJ139" s="10">
        <v>-1.5099033134902129E-14</v>
      </c>
      <c r="BK139" s="10">
        <v>-1.5099033134902129E-14</v>
      </c>
      <c r="BL139" s="10">
        <v>-1.5099033134902129E-14</v>
      </c>
      <c r="BM139" s="10">
        <v>-1.5099033134902129E-14</v>
      </c>
      <c r="BN139" s="10">
        <v>-1.5099033134902129E-14</v>
      </c>
      <c r="BO139" s="10">
        <v>-1.5099033134902129E-14</v>
      </c>
      <c r="BP139" s="10">
        <v>-1.5099033134902129E-14</v>
      </c>
      <c r="BQ139" s="10">
        <v>-1.5099033134902129E-14</v>
      </c>
      <c r="BR139" s="10">
        <v>-1.5099033134902129E-14</v>
      </c>
    </row>
    <row r="140" spans="1:70" hidden="1" x14ac:dyDescent="0.25">
      <c r="A140" s="7">
        <v>28</v>
      </c>
      <c r="B140" s="7" t="s">
        <v>382</v>
      </c>
      <c r="C140" s="7" t="s">
        <v>383</v>
      </c>
      <c r="D140" s="7">
        <v>4</v>
      </c>
      <c r="E140" s="7" t="s">
        <v>494</v>
      </c>
      <c r="F140" s="7"/>
      <c r="G140" s="7"/>
      <c r="H140" s="7"/>
      <c r="I140" s="7">
        <v>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spans="1:70" hidden="1" x14ac:dyDescent="0.25">
      <c r="A141" s="7">
        <v>28</v>
      </c>
      <c r="B141" s="7" t="s">
        <v>382</v>
      </c>
      <c r="C141" s="7" t="s">
        <v>383</v>
      </c>
      <c r="D141" s="7">
        <v>5</v>
      </c>
      <c r="E141" s="7" t="s">
        <v>496</v>
      </c>
      <c r="F141" s="7"/>
      <c r="G141" s="7"/>
      <c r="H141" s="7"/>
      <c r="I141" s="7">
        <v>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spans="1:70" hidden="1" x14ac:dyDescent="0.25">
      <c r="A142" s="6">
        <v>29</v>
      </c>
      <c r="B142" s="6" t="s">
        <v>384</v>
      </c>
      <c r="C142" s="6" t="s">
        <v>385</v>
      </c>
      <c r="D142" s="6">
        <v>1</v>
      </c>
      <c r="E142" s="6" t="s">
        <v>489</v>
      </c>
      <c r="F142" s="6" t="s">
        <v>504</v>
      </c>
      <c r="G142" s="6" t="s">
        <v>505</v>
      </c>
      <c r="H142" s="6" t="s">
        <v>500</v>
      </c>
      <c r="I142" s="6">
        <v>0</v>
      </c>
      <c r="J142" s="40">
        <v>41067.806400000009</v>
      </c>
      <c r="K142" s="40">
        <v>41067.806400000009</v>
      </c>
      <c r="L142" s="40">
        <v>41067.806400000009</v>
      </c>
      <c r="M142" s="40">
        <v>41067.806400000009</v>
      </c>
      <c r="N142" s="40">
        <v>41067.806400000009</v>
      </c>
      <c r="O142" s="40">
        <v>41067.806400000009</v>
      </c>
      <c r="P142" s="40">
        <v>41067.806400000009</v>
      </c>
      <c r="Q142" s="40">
        <v>41067.806400000009</v>
      </c>
      <c r="R142" s="40">
        <v>41067.806400000009</v>
      </c>
      <c r="S142" s="8">
        <v>40096.470200000003</v>
      </c>
      <c r="T142" s="3">
        <v>39125.133999999998</v>
      </c>
      <c r="U142" s="3">
        <v>38153.7978</v>
      </c>
      <c r="V142" s="3">
        <v>37182.461599999995</v>
      </c>
      <c r="W142" s="3">
        <v>36211.125399999997</v>
      </c>
      <c r="X142" s="3">
        <v>35239.789199999992</v>
      </c>
      <c r="Y142" s="3">
        <v>34268.452999999987</v>
      </c>
      <c r="Z142" s="3">
        <v>33297.116799999989</v>
      </c>
      <c r="AA142" s="3">
        <v>32325.780599999984</v>
      </c>
      <c r="AB142" s="3">
        <v>31354.444399999982</v>
      </c>
      <c r="AC142" s="3">
        <v>30383.108199999981</v>
      </c>
      <c r="AD142" s="3">
        <v>29411.772000000001</v>
      </c>
      <c r="AE142" s="3">
        <v>29348.399232</v>
      </c>
      <c r="AF142" s="3">
        <v>29285.026464000002</v>
      </c>
      <c r="AG142" s="3">
        <v>29221.653696000001</v>
      </c>
      <c r="AH142" s="3">
        <v>29158.280928000004</v>
      </c>
      <c r="AI142" s="3">
        <v>29094.908160000003</v>
      </c>
      <c r="AJ142" s="3">
        <v>29031.535392000002</v>
      </c>
      <c r="AK142" s="3">
        <v>28968.162624000004</v>
      </c>
      <c r="AL142" s="3">
        <v>28904.789856000003</v>
      </c>
      <c r="AM142" s="3">
        <v>28841.417088000006</v>
      </c>
      <c r="AN142" s="3">
        <v>28778.044320000005</v>
      </c>
      <c r="AO142" s="3">
        <v>28714.671552000003</v>
      </c>
      <c r="AP142" s="3">
        <v>28651.298784000006</v>
      </c>
      <c r="AQ142" s="3">
        <v>28587.926016000005</v>
      </c>
      <c r="AR142" s="3">
        <v>28524.553248000007</v>
      </c>
      <c r="AS142" s="3">
        <v>28461.180480000006</v>
      </c>
      <c r="AT142" s="3">
        <v>28397.807712000005</v>
      </c>
      <c r="AU142" s="3">
        <v>28334.434944000008</v>
      </c>
      <c r="AV142" s="3">
        <v>28271.062176000007</v>
      </c>
      <c r="AW142" s="3">
        <v>28207.689408000009</v>
      </c>
      <c r="AX142" s="3">
        <v>28144.316640000008</v>
      </c>
      <c r="AY142" s="3">
        <f t="shared" ref="AY142:BR142" si="41">AX142</f>
        <v>28144.316640000008</v>
      </c>
      <c r="AZ142" s="3">
        <f t="shared" si="41"/>
        <v>28144.316640000008</v>
      </c>
      <c r="BA142" s="3">
        <f t="shared" si="41"/>
        <v>28144.316640000008</v>
      </c>
      <c r="BB142" s="3">
        <f t="shared" si="41"/>
        <v>28144.316640000008</v>
      </c>
      <c r="BC142" s="3">
        <f t="shared" si="41"/>
        <v>28144.316640000008</v>
      </c>
      <c r="BD142" s="3">
        <f t="shared" si="41"/>
        <v>28144.316640000008</v>
      </c>
      <c r="BE142" s="3">
        <f t="shared" si="41"/>
        <v>28144.316640000008</v>
      </c>
      <c r="BF142" s="3">
        <f t="shared" si="41"/>
        <v>28144.316640000008</v>
      </c>
      <c r="BG142" s="3">
        <f t="shared" si="41"/>
        <v>28144.316640000008</v>
      </c>
      <c r="BH142" s="3">
        <f t="shared" si="41"/>
        <v>28144.316640000008</v>
      </c>
      <c r="BI142" s="3">
        <f t="shared" si="41"/>
        <v>28144.316640000008</v>
      </c>
      <c r="BJ142" s="3">
        <f t="shared" si="41"/>
        <v>28144.316640000008</v>
      </c>
      <c r="BK142" s="3">
        <f t="shared" si="41"/>
        <v>28144.316640000008</v>
      </c>
      <c r="BL142" s="3">
        <f t="shared" si="41"/>
        <v>28144.316640000008</v>
      </c>
      <c r="BM142" s="3">
        <f t="shared" si="41"/>
        <v>28144.316640000008</v>
      </c>
      <c r="BN142" s="3">
        <f t="shared" si="41"/>
        <v>28144.316640000008</v>
      </c>
      <c r="BO142" s="3">
        <f t="shared" si="41"/>
        <v>28144.316640000008</v>
      </c>
      <c r="BP142" s="3">
        <f t="shared" si="41"/>
        <v>28144.316640000008</v>
      </c>
      <c r="BQ142" s="3">
        <f t="shared" si="41"/>
        <v>28144.316640000008</v>
      </c>
      <c r="BR142" s="3">
        <f t="shared" si="41"/>
        <v>28144.316640000008</v>
      </c>
    </row>
    <row r="143" spans="1:70" hidden="1" x14ac:dyDescent="0.25">
      <c r="A143" s="6">
        <v>29</v>
      </c>
      <c r="B143" s="6" t="s">
        <v>384</v>
      </c>
      <c r="C143" s="6" t="s">
        <v>385</v>
      </c>
      <c r="D143" s="6">
        <v>2</v>
      </c>
      <c r="E143" s="6" t="s">
        <v>491</v>
      </c>
      <c r="F143" s="6" t="s">
        <v>553</v>
      </c>
      <c r="G143" s="6" t="s">
        <v>505</v>
      </c>
      <c r="H143" s="6" t="s">
        <v>501</v>
      </c>
      <c r="I143" s="6">
        <v>0</v>
      </c>
      <c r="J143" s="6">
        <v>73</v>
      </c>
      <c r="K143" s="6"/>
      <c r="L143" s="6"/>
      <c r="M143" s="6"/>
      <c r="N143" s="6"/>
      <c r="O143" s="6"/>
      <c r="P143" s="6"/>
      <c r="Q143" s="6"/>
      <c r="R143" s="6"/>
      <c r="S143" s="6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spans="1:70" hidden="1" x14ac:dyDescent="0.25">
      <c r="A144" s="6">
        <v>29</v>
      </c>
      <c r="B144" s="6" t="s">
        <v>384</v>
      </c>
      <c r="C144" s="6" t="s">
        <v>385</v>
      </c>
      <c r="D144" s="6">
        <v>3</v>
      </c>
      <c r="E144" s="6" t="s">
        <v>493</v>
      </c>
      <c r="F144" s="6" t="s">
        <v>506</v>
      </c>
      <c r="G144" s="6" t="s">
        <v>507</v>
      </c>
      <c r="H144" s="6"/>
      <c r="I144" s="6">
        <v>0</v>
      </c>
      <c r="J144" s="9"/>
      <c r="K144" s="9"/>
      <c r="L144" s="9"/>
      <c r="M144" s="9"/>
      <c r="N144" s="9"/>
      <c r="O144" s="9"/>
      <c r="P144" s="9"/>
      <c r="Q144" s="9"/>
      <c r="R144" s="9"/>
      <c r="S144" s="14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</row>
    <row r="145" spans="1:70" hidden="1" x14ac:dyDescent="0.25">
      <c r="A145" s="6">
        <v>29</v>
      </c>
      <c r="B145" s="6" t="s">
        <v>384</v>
      </c>
      <c r="C145" s="6" t="s">
        <v>385</v>
      </c>
      <c r="D145" s="6">
        <v>4</v>
      </c>
      <c r="E145" s="6" t="s">
        <v>494</v>
      </c>
      <c r="F145" s="6"/>
      <c r="G145" s="6"/>
      <c r="H145" s="6"/>
      <c r="I145" s="6">
        <v>0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spans="1:70" hidden="1" x14ac:dyDescent="0.25">
      <c r="A146" s="6">
        <v>29</v>
      </c>
      <c r="B146" s="6" t="s">
        <v>384</v>
      </c>
      <c r="C146" s="6" t="s">
        <v>385</v>
      </c>
      <c r="D146" s="6">
        <v>5</v>
      </c>
      <c r="E146" s="6" t="s">
        <v>496</v>
      </c>
      <c r="F146" s="6"/>
      <c r="G146" s="6"/>
      <c r="H146" s="6"/>
      <c r="I146" s="6">
        <v>0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spans="1:70" hidden="1" x14ac:dyDescent="0.25">
      <c r="A147" s="7">
        <v>30</v>
      </c>
      <c r="B147" s="7" t="s">
        <v>386</v>
      </c>
      <c r="C147" s="7" t="s">
        <v>387</v>
      </c>
      <c r="D147" s="7">
        <v>1</v>
      </c>
      <c r="E147" s="7" t="s">
        <v>489</v>
      </c>
      <c r="F147" s="7" t="s">
        <v>504</v>
      </c>
      <c r="G147" s="7" t="s">
        <v>505</v>
      </c>
      <c r="H147" s="7" t="s">
        <v>500</v>
      </c>
      <c r="I147" s="7">
        <v>0</v>
      </c>
      <c r="J147" s="41">
        <v>31820.04</v>
      </c>
      <c r="K147" s="41">
        <v>31820.04</v>
      </c>
      <c r="L147" s="41">
        <v>31820.04</v>
      </c>
      <c r="M147" s="41">
        <v>31820.04</v>
      </c>
      <c r="N147" s="41">
        <v>31820.04</v>
      </c>
      <c r="O147" s="41">
        <v>31820.04</v>
      </c>
      <c r="P147" s="41">
        <v>31820.04</v>
      </c>
      <c r="Q147" s="41">
        <v>31820.04</v>
      </c>
      <c r="R147" s="41">
        <v>31820.04</v>
      </c>
      <c r="S147" s="11">
        <v>31355.097491666667</v>
      </c>
      <c r="T147" s="3">
        <v>30889.336566666669</v>
      </c>
      <c r="U147" s="3">
        <v>30422.757224999998</v>
      </c>
      <c r="V147" s="3">
        <v>29955.359466666669</v>
      </c>
      <c r="W147" s="3">
        <v>29487.143291666664</v>
      </c>
      <c r="X147" s="3">
        <v>29018.108700000001</v>
      </c>
      <c r="Y147" s="3">
        <v>28548.255691666669</v>
      </c>
      <c r="Z147" s="3">
        <v>28077.584266666665</v>
      </c>
      <c r="AA147" s="3">
        <v>27606.094424999999</v>
      </c>
      <c r="AB147" s="3">
        <v>27133.786166666665</v>
      </c>
      <c r="AC147" s="3">
        <v>26660.659491666665</v>
      </c>
      <c r="AD147" s="3">
        <v>26186.714400000004</v>
      </c>
      <c r="AE147" s="3">
        <v>26203.229884650005</v>
      </c>
      <c r="AF147" s="3">
        <v>26217.067182600003</v>
      </c>
      <c r="AG147" s="3">
        <v>26228.226293850003</v>
      </c>
      <c r="AH147" s="3">
        <v>26236.707218400003</v>
      </c>
      <c r="AI147" s="3">
        <v>26242.50995625</v>
      </c>
      <c r="AJ147" s="3">
        <v>26245.634507399998</v>
      </c>
      <c r="AK147" s="3">
        <v>26246.080871849997</v>
      </c>
      <c r="AL147" s="3">
        <v>26243.849049599998</v>
      </c>
      <c r="AM147" s="3">
        <v>26238.939040649995</v>
      </c>
      <c r="AN147" s="3">
        <v>26231.350844999994</v>
      </c>
      <c r="AO147" s="3">
        <v>26221.084462649993</v>
      </c>
      <c r="AP147" s="3">
        <v>26208.13989359999</v>
      </c>
      <c r="AQ147" s="3">
        <v>26192.517137849991</v>
      </c>
      <c r="AR147" s="3">
        <v>26174.216195399989</v>
      </c>
      <c r="AS147" s="3">
        <v>26153.237066249985</v>
      </c>
      <c r="AT147" s="3">
        <v>26129.579750399986</v>
      </c>
      <c r="AU147" s="3">
        <v>26103.244247849983</v>
      </c>
      <c r="AV147" s="3">
        <v>26074.230558599982</v>
      </c>
      <c r="AW147" s="3">
        <v>26042.538682649982</v>
      </c>
      <c r="AX147" s="3">
        <v>26008.168619999997</v>
      </c>
      <c r="AY147" s="3">
        <f t="shared" ref="AY147:BR147" si="42">AX147</f>
        <v>26008.168619999997</v>
      </c>
      <c r="AZ147" s="3">
        <f t="shared" si="42"/>
        <v>26008.168619999997</v>
      </c>
      <c r="BA147" s="3">
        <f t="shared" si="42"/>
        <v>26008.168619999997</v>
      </c>
      <c r="BB147" s="3">
        <f t="shared" si="42"/>
        <v>26008.168619999997</v>
      </c>
      <c r="BC147" s="3">
        <f t="shared" si="42"/>
        <v>26008.168619999997</v>
      </c>
      <c r="BD147" s="3">
        <f t="shared" si="42"/>
        <v>26008.168619999997</v>
      </c>
      <c r="BE147" s="3">
        <f t="shared" si="42"/>
        <v>26008.168619999997</v>
      </c>
      <c r="BF147" s="3">
        <f t="shared" si="42"/>
        <v>26008.168619999997</v>
      </c>
      <c r="BG147" s="3">
        <f t="shared" si="42"/>
        <v>26008.168619999997</v>
      </c>
      <c r="BH147" s="3">
        <f t="shared" si="42"/>
        <v>26008.168619999997</v>
      </c>
      <c r="BI147" s="3">
        <f t="shared" si="42"/>
        <v>26008.168619999997</v>
      </c>
      <c r="BJ147" s="3">
        <f t="shared" si="42"/>
        <v>26008.168619999997</v>
      </c>
      <c r="BK147" s="3">
        <f t="shared" si="42"/>
        <v>26008.168619999997</v>
      </c>
      <c r="BL147" s="3">
        <f t="shared" si="42"/>
        <v>26008.168619999997</v>
      </c>
      <c r="BM147" s="3">
        <f t="shared" si="42"/>
        <v>26008.168619999997</v>
      </c>
      <c r="BN147" s="3">
        <f t="shared" si="42"/>
        <v>26008.168619999997</v>
      </c>
      <c r="BO147" s="3">
        <f t="shared" si="42"/>
        <v>26008.168619999997</v>
      </c>
      <c r="BP147" s="3">
        <f t="shared" si="42"/>
        <v>26008.168619999997</v>
      </c>
      <c r="BQ147" s="3">
        <f t="shared" si="42"/>
        <v>26008.168619999997</v>
      </c>
      <c r="BR147" s="3">
        <f t="shared" si="42"/>
        <v>26008.168619999997</v>
      </c>
    </row>
    <row r="148" spans="1:70" hidden="1" x14ac:dyDescent="0.25">
      <c r="A148" s="7">
        <v>30</v>
      </c>
      <c r="B148" s="7" t="s">
        <v>386</v>
      </c>
      <c r="C148" s="7" t="s">
        <v>387</v>
      </c>
      <c r="D148" s="7">
        <v>2</v>
      </c>
      <c r="E148" s="7" t="s">
        <v>491</v>
      </c>
      <c r="F148" s="7" t="s">
        <v>553</v>
      </c>
      <c r="G148" s="7" t="s">
        <v>505</v>
      </c>
      <c r="H148" s="7" t="s">
        <v>501</v>
      </c>
      <c r="I148" s="7">
        <v>0</v>
      </c>
      <c r="J148" s="7">
        <v>70</v>
      </c>
      <c r="K148" s="7"/>
      <c r="L148" s="7"/>
      <c r="M148" s="7"/>
      <c r="N148" s="7"/>
      <c r="O148" s="7"/>
      <c r="P148" s="7"/>
      <c r="Q148" s="7"/>
      <c r="R148" s="7"/>
      <c r="S148" s="7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spans="1:70" hidden="1" x14ac:dyDescent="0.25">
      <c r="A149" s="7">
        <v>30</v>
      </c>
      <c r="B149" s="7" t="s">
        <v>386</v>
      </c>
      <c r="C149" s="7" t="s">
        <v>387</v>
      </c>
      <c r="D149" s="7">
        <v>3</v>
      </c>
      <c r="E149" s="7" t="s">
        <v>493</v>
      </c>
      <c r="F149" s="7" t="s">
        <v>506</v>
      </c>
      <c r="G149" s="7" t="s">
        <v>507</v>
      </c>
      <c r="H149" s="7"/>
      <c r="I149" s="7">
        <v>0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</row>
    <row r="150" spans="1:70" hidden="1" x14ac:dyDescent="0.25">
      <c r="A150" s="7">
        <v>30</v>
      </c>
      <c r="B150" s="7" t="s">
        <v>386</v>
      </c>
      <c r="C150" s="7" t="s">
        <v>387</v>
      </c>
      <c r="D150" s="7">
        <v>4</v>
      </c>
      <c r="E150" s="7" t="s">
        <v>494</v>
      </c>
      <c r="F150" s="7"/>
      <c r="G150" s="7"/>
      <c r="H150" s="7"/>
      <c r="I150" s="7">
        <v>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spans="1:70" hidden="1" x14ac:dyDescent="0.25">
      <c r="A151" s="7">
        <v>30</v>
      </c>
      <c r="B151" s="7" t="s">
        <v>386</v>
      </c>
      <c r="C151" s="7" t="s">
        <v>387</v>
      </c>
      <c r="D151" s="7">
        <v>5</v>
      </c>
      <c r="E151" s="7" t="s">
        <v>496</v>
      </c>
      <c r="F151" s="7"/>
      <c r="G151" s="7"/>
      <c r="H151" s="7"/>
      <c r="I151" s="7">
        <v>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spans="1:70" hidden="1" x14ac:dyDescent="0.25">
      <c r="A152" s="6">
        <v>31</v>
      </c>
      <c r="B152" s="6" t="s">
        <v>388</v>
      </c>
      <c r="C152" s="6" t="s">
        <v>389</v>
      </c>
      <c r="D152" s="6">
        <v>1</v>
      </c>
      <c r="E152" s="6" t="s">
        <v>489</v>
      </c>
      <c r="F152" s="6" t="s">
        <v>504</v>
      </c>
      <c r="G152" s="6" t="s">
        <v>505</v>
      </c>
      <c r="H152" s="6" t="s">
        <v>500</v>
      </c>
      <c r="I152" s="6">
        <v>0</v>
      </c>
      <c r="J152" s="40">
        <v>66067.5</v>
      </c>
      <c r="K152" s="40">
        <v>66067.5</v>
      </c>
      <c r="L152" s="40">
        <v>66067.5</v>
      </c>
      <c r="M152" s="40">
        <v>66067.5</v>
      </c>
      <c r="N152" s="40">
        <v>66067.5</v>
      </c>
      <c r="O152" s="40">
        <v>66067.5</v>
      </c>
      <c r="P152" s="40">
        <v>66067.5</v>
      </c>
      <c r="Q152" s="40">
        <v>66067.5</v>
      </c>
      <c r="R152" s="40">
        <v>66067.5</v>
      </c>
      <c r="S152" s="8">
        <v>63396.979166666672</v>
      </c>
      <c r="T152" s="3">
        <v>60726.458333333343</v>
      </c>
      <c r="U152" s="3">
        <v>58055.937500000007</v>
      </c>
      <c r="V152" s="3">
        <v>55385.416666666679</v>
      </c>
      <c r="W152" s="3">
        <v>52714.89583333335</v>
      </c>
      <c r="X152" s="3">
        <v>50044.375000000015</v>
      </c>
      <c r="Y152" s="3">
        <v>47373.854166666686</v>
      </c>
      <c r="Z152" s="3">
        <v>44703.333333333358</v>
      </c>
      <c r="AA152" s="3">
        <v>42032.812500000029</v>
      </c>
      <c r="AB152" s="3">
        <v>39362.291666666693</v>
      </c>
      <c r="AC152" s="3">
        <v>36691.770833333358</v>
      </c>
      <c r="AD152" s="3">
        <v>34021.25</v>
      </c>
      <c r="AE152" s="3">
        <v>33490.625</v>
      </c>
      <c r="AF152" s="3">
        <v>32960</v>
      </c>
      <c r="AG152" s="3">
        <v>32429.375</v>
      </c>
      <c r="AH152" s="3">
        <v>31898.75</v>
      </c>
      <c r="AI152" s="3">
        <v>31368.125</v>
      </c>
      <c r="AJ152" s="3">
        <v>30837.5</v>
      </c>
      <c r="AK152" s="3">
        <v>30306.875</v>
      </c>
      <c r="AL152" s="3">
        <v>29776.25</v>
      </c>
      <c r="AM152" s="3">
        <v>29245.625</v>
      </c>
      <c r="AN152" s="3">
        <v>28715</v>
      </c>
      <c r="AO152" s="3">
        <v>28184.375</v>
      </c>
      <c r="AP152" s="3">
        <v>27653.75</v>
      </c>
      <c r="AQ152" s="3">
        <v>27123.125</v>
      </c>
      <c r="AR152" s="3">
        <v>26592.5</v>
      </c>
      <c r="AS152" s="3">
        <v>26061.875</v>
      </c>
      <c r="AT152" s="3">
        <v>25531.25</v>
      </c>
      <c r="AU152" s="3">
        <v>25000.625</v>
      </c>
      <c r="AV152" s="3">
        <v>24470</v>
      </c>
      <c r="AW152" s="3">
        <v>23939.375</v>
      </c>
      <c r="AX152" s="3">
        <v>23408.75</v>
      </c>
      <c r="AY152" s="3">
        <f t="shared" ref="AY152:BR152" si="43">AX152</f>
        <v>23408.75</v>
      </c>
      <c r="AZ152" s="3">
        <f t="shared" si="43"/>
        <v>23408.75</v>
      </c>
      <c r="BA152" s="3">
        <f t="shared" si="43"/>
        <v>23408.75</v>
      </c>
      <c r="BB152" s="3">
        <f t="shared" si="43"/>
        <v>23408.75</v>
      </c>
      <c r="BC152" s="3">
        <f t="shared" si="43"/>
        <v>23408.75</v>
      </c>
      <c r="BD152" s="3">
        <f t="shared" si="43"/>
        <v>23408.75</v>
      </c>
      <c r="BE152" s="3">
        <f t="shared" si="43"/>
        <v>23408.75</v>
      </c>
      <c r="BF152" s="3">
        <f t="shared" si="43"/>
        <v>23408.75</v>
      </c>
      <c r="BG152" s="3">
        <f t="shared" si="43"/>
        <v>23408.75</v>
      </c>
      <c r="BH152" s="3">
        <f t="shared" si="43"/>
        <v>23408.75</v>
      </c>
      <c r="BI152" s="3">
        <f t="shared" si="43"/>
        <v>23408.75</v>
      </c>
      <c r="BJ152" s="3">
        <f t="shared" si="43"/>
        <v>23408.75</v>
      </c>
      <c r="BK152" s="3">
        <f t="shared" si="43"/>
        <v>23408.75</v>
      </c>
      <c r="BL152" s="3">
        <f t="shared" si="43"/>
        <v>23408.75</v>
      </c>
      <c r="BM152" s="3">
        <f t="shared" si="43"/>
        <v>23408.75</v>
      </c>
      <c r="BN152" s="3">
        <f t="shared" si="43"/>
        <v>23408.75</v>
      </c>
      <c r="BO152" s="3">
        <f t="shared" si="43"/>
        <v>23408.75</v>
      </c>
      <c r="BP152" s="3">
        <f t="shared" si="43"/>
        <v>23408.75</v>
      </c>
      <c r="BQ152" s="3">
        <f t="shared" si="43"/>
        <v>23408.75</v>
      </c>
      <c r="BR152" s="3">
        <f t="shared" si="43"/>
        <v>23408.75</v>
      </c>
    </row>
    <row r="153" spans="1:70" hidden="1" x14ac:dyDescent="0.25">
      <c r="A153" s="6">
        <v>31</v>
      </c>
      <c r="B153" s="6" t="s">
        <v>388</v>
      </c>
      <c r="C153" s="6" t="s">
        <v>389</v>
      </c>
      <c r="D153" s="6">
        <v>2</v>
      </c>
      <c r="E153" s="6" t="s">
        <v>491</v>
      </c>
      <c r="F153" s="6" t="s">
        <v>553</v>
      </c>
      <c r="G153" s="6" t="s">
        <v>505</v>
      </c>
      <c r="H153" s="6" t="s">
        <v>501</v>
      </c>
      <c r="I153" s="6">
        <v>0</v>
      </c>
      <c r="J153" s="6">
        <v>27</v>
      </c>
      <c r="K153" s="6"/>
      <c r="L153" s="6"/>
      <c r="M153" s="6"/>
      <c r="N153" s="6"/>
      <c r="O153" s="6"/>
      <c r="P153" s="6"/>
      <c r="Q153" s="6"/>
      <c r="R153" s="6"/>
      <c r="S153" s="6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spans="1:70" hidden="1" x14ac:dyDescent="0.25">
      <c r="A154" s="6">
        <v>31</v>
      </c>
      <c r="B154" s="6" t="s">
        <v>388</v>
      </c>
      <c r="C154" s="6" t="s">
        <v>389</v>
      </c>
      <c r="D154" s="6">
        <v>3</v>
      </c>
      <c r="E154" s="6" t="s">
        <v>493</v>
      </c>
      <c r="F154" s="6" t="s">
        <v>506</v>
      </c>
      <c r="G154" s="6" t="s">
        <v>507</v>
      </c>
      <c r="H154" s="6" t="s">
        <v>500</v>
      </c>
      <c r="I154" s="6">
        <v>0</v>
      </c>
      <c r="J154" s="9">
        <v>115</v>
      </c>
      <c r="K154" s="9">
        <v>115</v>
      </c>
      <c r="L154" s="9">
        <v>115</v>
      </c>
      <c r="M154" s="9">
        <v>115</v>
      </c>
      <c r="N154" s="9">
        <v>115</v>
      </c>
      <c r="O154" s="9">
        <v>115</v>
      </c>
      <c r="P154" s="9">
        <v>115</v>
      </c>
      <c r="Q154" s="9">
        <v>115</v>
      </c>
      <c r="R154" s="9">
        <v>115</v>
      </c>
      <c r="S154" s="14">
        <v>99</v>
      </c>
      <c r="T154" s="10">
        <f>S154</f>
        <v>99</v>
      </c>
      <c r="U154" s="10">
        <f t="shared" ref="U154:AN154" si="44">T154-$T154/20</f>
        <v>94.05</v>
      </c>
      <c r="V154" s="10">
        <f t="shared" si="44"/>
        <v>89.1</v>
      </c>
      <c r="W154" s="10">
        <f t="shared" si="44"/>
        <v>84.149999999999991</v>
      </c>
      <c r="X154" s="10">
        <f t="shared" si="44"/>
        <v>79.199999999999989</v>
      </c>
      <c r="Y154" s="10">
        <f t="shared" si="44"/>
        <v>74.249999999999986</v>
      </c>
      <c r="Z154" s="10">
        <f t="shared" si="44"/>
        <v>69.299999999999983</v>
      </c>
      <c r="AA154" s="10">
        <f t="shared" si="44"/>
        <v>64.34999999999998</v>
      </c>
      <c r="AB154" s="10">
        <f t="shared" si="44"/>
        <v>59.399999999999977</v>
      </c>
      <c r="AC154" s="10">
        <f t="shared" si="44"/>
        <v>54.449999999999974</v>
      </c>
      <c r="AD154" s="10">
        <f t="shared" si="44"/>
        <v>49.499999999999972</v>
      </c>
      <c r="AE154" s="10">
        <f t="shared" si="44"/>
        <v>44.549999999999969</v>
      </c>
      <c r="AF154" s="10">
        <f t="shared" si="44"/>
        <v>39.599999999999966</v>
      </c>
      <c r="AG154" s="10">
        <f t="shared" si="44"/>
        <v>34.649999999999963</v>
      </c>
      <c r="AH154" s="10">
        <f t="shared" si="44"/>
        <v>29.699999999999964</v>
      </c>
      <c r="AI154" s="10">
        <f t="shared" si="44"/>
        <v>24.749999999999964</v>
      </c>
      <c r="AJ154" s="10">
        <f t="shared" si="44"/>
        <v>19.799999999999965</v>
      </c>
      <c r="AK154" s="10">
        <f t="shared" si="44"/>
        <v>14.849999999999966</v>
      </c>
      <c r="AL154" s="10">
        <f t="shared" si="44"/>
        <v>9.8999999999999666</v>
      </c>
      <c r="AM154" s="10">
        <f t="shared" si="44"/>
        <v>4.9499999999999664</v>
      </c>
      <c r="AN154" s="10">
        <f t="shared" si="44"/>
        <v>-3.3750779948604759E-14</v>
      </c>
      <c r="AO154" s="10">
        <v>-3.3750779948604759E-14</v>
      </c>
      <c r="AP154" s="10">
        <v>-3.3750779948604759E-14</v>
      </c>
      <c r="AQ154" s="10">
        <v>-3.3750779948604759E-14</v>
      </c>
      <c r="AR154" s="10">
        <v>-3.3750779948604759E-14</v>
      </c>
      <c r="AS154" s="10">
        <v>-3.3750779948604759E-14</v>
      </c>
      <c r="AT154" s="10">
        <v>-3.3750779948604759E-14</v>
      </c>
      <c r="AU154" s="10">
        <v>-3.3750779948604759E-14</v>
      </c>
      <c r="AV154" s="10">
        <v>-3.3750779948604759E-14</v>
      </c>
      <c r="AW154" s="10">
        <v>-3.3750779948604759E-14</v>
      </c>
      <c r="AX154" s="10">
        <v>-3.3750779948604759E-14</v>
      </c>
      <c r="AY154" s="10">
        <v>-3.3750779948604759E-14</v>
      </c>
      <c r="AZ154" s="10">
        <v>-3.3750779948604759E-14</v>
      </c>
      <c r="BA154" s="10">
        <v>-3.3750779948604759E-14</v>
      </c>
      <c r="BB154" s="10">
        <v>-3.3750779948604759E-14</v>
      </c>
      <c r="BC154" s="10">
        <v>-3.3750779948604759E-14</v>
      </c>
      <c r="BD154" s="10">
        <v>-3.3750779948604759E-14</v>
      </c>
      <c r="BE154" s="10">
        <v>-3.3750779948604759E-14</v>
      </c>
      <c r="BF154" s="10">
        <v>-3.3750779948604759E-14</v>
      </c>
      <c r="BG154" s="10">
        <v>-3.3750779948604759E-14</v>
      </c>
      <c r="BH154" s="10">
        <v>-3.3750779948604759E-14</v>
      </c>
      <c r="BI154" s="10">
        <v>-3.3750779948604759E-14</v>
      </c>
      <c r="BJ154" s="10">
        <v>-3.3750779948604759E-14</v>
      </c>
      <c r="BK154" s="10">
        <v>-3.3750779948604759E-14</v>
      </c>
      <c r="BL154" s="10">
        <v>-3.3750779948604759E-14</v>
      </c>
      <c r="BM154" s="10">
        <v>-3.3750779948604759E-14</v>
      </c>
      <c r="BN154" s="10">
        <v>-3.3750779948604759E-14</v>
      </c>
      <c r="BO154" s="10">
        <v>-3.3750779948604759E-14</v>
      </c>
      <c r="BP154" s="10">
        <v>-3.3750779948604759E-14</v>
      </c>
      <c r="BQ154" s="10">
        <v>-3.3750779948604759E-14</v>
      </c>
      <c r="BR154" s="10">
        <v>-3.3750779948604759E-14</v>
      </c>
    </row>
    <row r="155" spans="1:70" hidden="1" x14ac:dyDescent="0.25">
      <c r="A155" s="6">
        <v>31</v>
      </c>
      <c r="B155" s="6" t="s">
        <v>388</v>
      </c>
      <c r="C155" s="6" t="s">
        <v>389</v>
      </c>
      <c r="D155" s="6">
        <v>4</v>
      </c>
      <c r="E155" s="6" t="s">
        <v>494</v>
      </c>
      <c r="F155" s="6"/>
      <c r="G155" s="6"/>
      <c r="H155" s="6"/>
      <c r="I155" s="6">
        <v>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spans="1:70" hidden="1" x14ac:dyDescent="0.25">
      <c r="A156" s="6">
        <v>31</v>
      </c>
      <c r="B156" s="6" t="s">
        <v>388</v>
      </c>
      <c r="C156" s="6" t="s">
        <v>389</v>
      </c>
      <c r="D156" s="6">
        <v>5</v>
      </c>
      <c r="E156" s="6" t="s">
        <v>496</v>
      </c>
      <c r="F156" s="6"/>
      <c r="G156" s="6"/>
      <c r="H156" s="6"/>
      <c r="I156" s="6">
        <v>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spans="1:70" hidden="1" x14ac:dyDescent="0.25">
      <c r="A157" s="7">
        <v>32</v>
      </c>
      <c r="B157" s="7" t="s">
        <v>390</v>
      </c>
      <c r="C157" s="7" t="s">
        <v>391</v>
      </c>
      <c r="D157" s="7">
        <v>1</v>
      </c>
      <c r="E157" s="7" t="s">
        <v>489</v>
      </c>
      <c r="F157" s="7" t="s">
        <v>504</v>
      </c>
      <c r="G157" s="7" t="s">
        <v>505</v>
      </c>
      <c r="H157" s="7" t="s">
        <v>500</v>
      </c>
      <c r="I157" s="7">
        <v>0</v>
      </c>
      <c r="J157" s="41">
        <v>26163.144000000004</v>
      </c>
      <c r="K157" s="41">
        <v>26163.144000000004</v>
      </c>
      <c r="L157" s="41">
        <v>26163.144000000004</v>
      </c>
      <c r="M157" s="41">
        <v>26163.144000000004</v>
      </c>
      <c r="N157" s="41">
        <v>26163.144000000004</v>
      </c>
      <c r="O157" s="41">
        <v>26163.144000000004</v>
      </c>
      <c r="P157" s="41">
        <v>26163.144000000004</v>
      </c>
      <c r="Q157" s="41">
        <v>26163.144000000004</v>
      </c>
      <c r="R157" s="41">
        <v>26163.144000000004</v>
      </c>
      <c r="S157" s="11">
        <v>26216.902000000002</v>
      </c>
      <c r="T157" s="3">
        <v>26270.66</v>
      </c>
      <c r="U157" s="3">
        <v>26324.417999999998</v>
      </c>
      <c r="V157" s="3">
        <v>26378.175999999996</v>
      </c>
      <c r="W157" s="3">
        <v>26431.933999999997</v>
      </c>
      <c r="X157" s="3">
        <v>26485.691999999995</v>
      </c>
      <c r="Y157" s="3">
        <v>26539.449999999993</v>
      </c>
      <c r="Z157" s="3">
        <v>26593.207999999991</v>
      </c>
      <c r="AA157" s="3">
        <v>26646.965999999989</v>
      </c>
      <c r="AB157" s="3">
        <v>26700.723999999991</v>
      </c>
      <c r="AC157" s="3">
        <v>26754.481999999989</v>
      </c>
      <c r="AD157" s="3">
        <v>26808.240000000002</v>
      </c>
      <c r="AE157" s="3">
        <v>26869.398000000001</v>
      </c>
      <c r="AF157" s="3">
        <v>26930.556</v>
      </c>
      <c r="AG157" s="3">
        <v>26991.714</v>
      </c>
      <c r="AH157" s="3">
        <v>27052.871999999999</v>
      </c>
      <c r="AI157" s="3">
        <v>27114.030000000002</v>
      </c>
      <c r="AJ157" s="3">
        <v>27175.188000000002</v>
      </c>
      <c r="AK157" s="3">
        <v>27236.346000000001</v>
      </c>
      <c r="AL157" s="3">
        <v>27297.504000000001</v>
      </c>
      <c r="AM157" s="3">
        <v>27358.662</v>
      </c>
      <c r="AN157" s="3">
        <v>27419.820000000003</v>
      </c>
      <c r="AO157" s="3">
        <v>27480.978000000003</v>
      </c>
      <c r="AP157" s="3">
        <v>27542.136000000002</v>
      </c>
      <c r="AQ157" s="3">
        <v>27603.294000000002</v>
      </c>
      <c r="AR157" s="3">
        <v>27664.452000000001</v>
      </c>
      <c r="AS157" s="3">
        <v>27725.610000000004</v>
      </c>
      <c r="AT157" s="3">
        <v>27786.768000000004</v>
      </c>
      <c r="AU157" s="3">
        <v>27847.926000000003</v>
      </c>
      <c r="AV157" s="3">
        <v>27909.084000000003</v>
      </c>
      <c r="AW157" s="3">
        <v>27970.242000000002</v>
      </c>
      <c r="AX157" s="3">
        <v>28031.399999999998</v>
      </c>
      <c r="AY157" s="3">
        <f t="shared" ref="AY157:BR157" si="45">AX157</f>
        <v>28031.399999999998</v>
      </c>
      <c r="AZ157" s="3">
        <f t="shared" si="45"/>
        <v>28031.399999999998</v>
      </c>
      <c r="BA157" s="3">
        <f t="shared" si="45"/>
        <v>28031.399999999998</v>
      </c>
      <c r="BB157" s="3">
        <f t="shared" si="45"/>
        <v>28031.399999999998</v>
      </c>
      <c r="BC157" s="3">
        <f t="shared" si="45"/>
        <v>28031.399999999998</v>
      </c>
      <c r="BD157" s="3">
        <f t="shared" si="45"/>
        <v>28031.399999999998</v>
      </c>
      <c r="BE157" s="3">
        <f t="shared" si="45"/>
        <v>28031.399999999998</v>
      </c>
      <c r="BF157" s="3">
        <f t="shared" si="45"/>
        <v>28031.399999999998</v>
      </c>
      <c r="BG157" s="3">
        <f t="shared" si="45"/>
        <v>28031.399999999998</v>
      </c>
      <c r="BH157" s="3">
        <f t="shared" si="45"/>
        <v>28031.399999999998</v>
      </c>
      <c r="BI157" s="3">
        <f t="shared" si="45"/>
        <v>28031.399999999998</v>
      </c>
      <c r="BJ157" s="3">
        <f t="shared" si="45"/>
        <v>28031.399999999998</v>
      </c>
      <c r="BK157" s="3">
        <f t="shared" si="45"/>
        <v>28031.399999999998</v>
      </c>
      <c r="BL157" s="3">
        <f t="shared" si="45"/>
        <v>28031.399999999998</v>
      </c>
      <c r="BM157" s="3">
        <f t="shared" si="45"/>
        <v>28031.399999999998</v>
      </c>
      <c r="BN157" s="3">
        <f t="shared" si="45"/>
        <v>28031.399999999998</v>
      </c>
      <c r="BO157" s="3">
        <f t="shared" si="45"/>
        <v>28031.399999999998</v>
      </c>
      <c r="BP157" s="3">
        <f t="shared" si="45"/>
        <v>28031.399999999998</v>
      </c>
      <c r="BQ157" s="3">
        <f t="shared" si="45"/>
        <v>28031.399999999998</v>
      </c>
      <c r="BR157" s="3">
        <f t="shared" si="45"/>
        <v>28031.399999999998</v>
      </c>
    </row>
    <row r="158" spans="1:70" hidden="1" x14ac:dyDescent="0.25">
      <c r="A158" s="7">
        <v>32</v>
      </c>
      <c r="B158" s="7" t="s">
        <v>390</v>
      </c>
      <c r="C158" s="7" t="s">
        <v>391</v>
      </c>
      <c r="D158" s="7">
        <v>2</v>
      </c>
      <c r="E158" s="7" t="s">
        <v>491</v>
      </c>
      <c r="F158" s="7" t="s">
        <v>553</v>
      </c>
      <c r="G158" s="7" t="s">
        <v>505</v>
      </c>
      <c r="H158" s="7" t="s">
        <v>501</v>
      </c>
      <c r="I158" s="7">
        <v>0</v>
      </c>
      <c r="J158" s="7">
        <v>73</v>
      </c>
      <c r="K158" s="7"/>
      <c r="L158" s="7"/>
      <c r="M158" s="7"/>
      <c r="N158" s="7"/>
      <c r="O158" s="7"/>
      <c r="P158" s="7"/>
      <c r="Q158" s="7"/>
      <c r="R158" s="7"/>
      <c r="S158" s="7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spans="1:70" hidden="1" x14ac:dyDescent="0.25">
      <c r="A159" s="7">
        <v>32</v>
      </c>
      <c r="B159" s="7" t="s">
        <v>390</v>
      </c>
      <c r="C159" s="7" t="s">
        <v>391</v>
      </c>
      <c r="D159" s="7">
        <v>3</v>
      </c>
      <c r="E159" s="7" t="s">
        <v>493</v>
      </c>
      <c r="F159" s="7" t="s">
        <v>506</v>
      </c>
      <c r="G159" s="7" t="s">
        <v>507</v>
      </c>
      <c r="H159" s="7" t="s">
        <v>500</v>
      </c>
      <c r="I159" s="7">
        <v>0</v>
      </c>
      <c r="J159" s="12">
        <v>9007</v>
      </c>
      <c r="K159" s="12">
        <v>9007</v>
      </c>
      <c r="L159" s="12">
        <v>9007</v>
      </c>
      <c r="M159" s="12">
        <v>9007</v>
      </c>
      <c r="N159" s="12">
        <v>9007</v>
      </c>
      <c r="O159" s="12">
        <v>9007</v>
      </c>
      <c r="P159" s="12">
        <v>9007</v>
      </c>
      <c r="Q159" s="12">
        <v>9007</v>
      </c>
      <c r="R159" s="12">
        <v>9007</v>
      </c>
      <c r="S159" s="12">
        <f>R159</f>
        <v>9007</v>
      </c>
      <c r="T159" s="10">
        <v>8943</v>
      </c>
      <c r="U159" s="10">
        <f t="shared" ref="U159:AN159" si="46">T159-$T159/20</f>
        <v>8495.85</v>
      </c>
      <c r="V159" s="10">
        <f t="shared" si="46"/>
        <v>8048.7000000000007</v>
      </c>
      <c r="W159" s="10">
        <f t="shared" si="46"/>
        <v>7601.5500000000011</v>
      </c>
      <c r="X159" s="10">
        <f t="shared" si="46"/>
        <v>7154.4000000000015</v>
      </c>
      <c r="Y159" s="10">
        <f t="shared" si="46"/>
        <v>6707.2500000000018</v>
      </c>
      <c r="Z159" s="10">
        <f t="shared" si="46"/>
        <v>6260.1000000000022</v>
      </c>
      <c r="AA159" s="10">
        <f t="shared" si="46"/>
        <v>5812.9500000000025</v>
      </c>
      <c r="AB159" s="10">
        <f t="shared" si="46"/>
        <v>5365.8000000000029</v>
      </c>
      <c r="AC159" s="10">
        <f t="shared" si="46"/>
        <v>4918.6500000000033</v>
      </c>
      <c r="AD159" s="10">
        <f t="shared" si="46"/>
        <v>4471.5000000000036</v>
      </c>
      <c r="AE159" s="10">
        <f t="shared" si="46"/>
        <v>4024.3500000000035</v>
      </c>
      <c r="AF159" s="10">
        <f t="shared" si="46"/>
        <v>3577.2000000000035</v>
      </c>
      <c r="AG159" s="10">
        <f t="shared" si="46"/>
        <v>3130.0500000000034</v>
      </c>
      <c r="AH159" s="10">
        <f t="shared" si="46"/>
        <v>2682.9000000000033</v>
      </c>
      <c r="AI159" s="10">
        <f t="shared" si="46"/>
        <v>2235.7500000000032</v>
      </c>
      <c r="AJ159" s="10">
        <f t="shared" si="46"/>
        <v>1788.6000000000031</v>
      </c>
      <c r="AK159" s="10">
        <f t="shared" si="46"/>
        <v>1341.450000000003</v>
      </c>
      <c r="AL159" s="10">
        <f t="shared" si="46"/>
        <v>894.30000000000302</v>
      </c>
      <c r="AM159" s="10">
        <f t="shared" si="46"/>
        <v>447.15000000000305</v>
      </c>
      <c r="AN159" s="10">
        <f t="shared" si="46"/>
        <v>3.0695446184836328E-12</v>
      </c>
      <c r="AO159" s="10">
        <v>3.0695446184836328E-12</v>
      </c>
      <c r="AP159" s="10">
        <v>3.0695446184836328E-12</v>
      </c>
      <c r="AQ159" s="10">
        <v>3.0695446184836328E-12</v>
      </c>
      <c r="AR159" s="10">
        <v>3.0695446184836328E-12</v>
      </c>
      <c r="AS159" s="10">
        <v>3.0695446184836328E-12</v>
      </c>
      <c r="AT159" s="10">
        <v>3.0695446184836328E-12</v>
      </c>
      <c r="AU159" s="10">
        <v>3.0695446184836328E-12</v>
      </c>
      <c r="AV159" s="10">
        <v>3.0695446184836328E-12</v>
      </c>
      <c r="AW159" s="10">
        <v>3.0695446184836328E-12</v>
      </c>
      <c r="AX159" s="10">
        <v>3.0695446184836328E-12</v>
      </c>
      <c r="AY159" s="10">
        <v>3.0695446184836328E-12</v>
      </c>
      <c r="AZ159" s="10">
        <v>3.0695446184836328E-12</v>
      </c>
      <c r="BA159" s="10">
        <v>3.0695446184836328E-12</v>
      </c>
      <c r="BB159" s="10">
        <v>3.0695446184836328E-12</v>
      </c>
      <c r="BC159" s="10">
        <v>3.0695446184836328E-12</v>
      </c>
      <c r="BD159" s="10">
        <v>3.0695446184836328E-12</v>
      </c>
      <c r="BE159" s="10">
        <v>3.0695446184836328E-12</v>
      </c>
      <c r="BF159" s="10">
        <v>3.0695446184836328E-12</v>
      </c>
      <c r="BG159" s="10">
        <v>3.0695446184836328E-12</v>
      </c>
      <c r="BH159" s="10">
        <v>3.0695446184836328E-12</v>
      </c>
      <c r="BI159" s="10">
        <v>3.0695446184836328E-12</v>
      </c>
      <c r="BJ159" s="10">
        <v>3.0695446184836328E-12</v>
      </c>
      <c r="BK159" s="10">
        <v>3.0695446184836328E-12</v>
      </c>
      <c r="BL159" s="10">
        <v>3.0695446184836328E-12</v>
      </c>
      <c r="BM159" s="10">
        <v>3.0695446184836328E-12</v>
      </c>
      <c r="BN159" s="10">
        <v>3.0695446184836328E-12</v>
      </c>
      <c r="BO159" s="10">
        <v>3.0695446184836328E-12</v>
      </c>
      <c r="BP159" s="10">
        <v>3.0695446184836328E-12</v>
      </c>
      <c r="BQ159" s="10">
        <v>3.0695446184836328E-12</v>
      </c>
      <c r="BR159" s="10">
        <v>3.0695446184836328E-12</v>
      </c>
    </row>
    <row r="160" spans="1:70" hidden="1" x14ac:dyDescent="0.25">
      <c r="A160" s="7">
        <v>32</v>
      </c>
      <c r="B160" s="7" t="s">
        <v>390</v>
      </c>
      <c r="C160" s="7" t="s">
        <v>391</v>
      </c>
      <c r="D160" s="7">
        <v>4</v>
      </c>
      <c r="E160" s="7" t="s">
        <v>494</v>
      </c>
      <c r="F160" s="7"/>
      <c r="G160" s="7"/>
      <c r="H160" s="7"/>
      <c r="I160" s="7">
        <v>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spans="1:70" hidden="1" x14ac:dyDescent="0.25">
      <c r="A161" s="7">
        <v>32</v>
      </c>
      <c r="B161" s="7" t="s">
        <v>390</v>
      </c>
      <c r="C161" s="7" t="s">
        <v>391</v>
      </c>
      <c r="D161" s="7">
        <v>5</v>
      </c>
      <c r="E161" s="7" t="s">
        <v>496</v>
      </c>
      <c r="F161" s="7"/>
      <c r="G161" s="7"/>
      <c r="H161" s="7"/>
      <c r="I161" s="7">
        <v>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spans="1:70" hidden="1" x14ac:dyDescent="0.25">
      <c r="A162" s="6">
        <v>33</v>
      </c>
      <c r="B162" s="6" t="s">
        <v>392</v>
      </c>
      <c r="C162" s="6" t="s">
        <v>393</v>
      </c>
      <c r="D162" s="6">
        <v>1</v>
      </c>
      <c r="E162" s="6" t="s">
        <v>489</v>
      </c>
      <c r="F162" s="6" t="s">
        <v>504</v>
      </c>
      <c r="G162" s="6" t="s">
        <v>505</v>
      </c>
      <c r="H162" s="6" t="s">
        <v>500</v>
      </c>
      <c r="I162" s="6">
        <v>0</v>
      </c>
      <c r="J162" s="40">
        <v>39512.160000000003</v>
      </c>
      <c r="K162" s="40">
        <v>39512.160000000003</v>
      </c>
      <c r="L162" s="40">
        <v>39512.160000000003</v>
      </c>
      <c r="M162" s="40">
        <v>39512.160000000003</v>
      </c>
      <c r="N162" s="40">
        <v>39512.160000000003</v>
      </c>
      <c r="O162" s="40">
        <v>39512.160000000003</v>
      </c>
      <c r="P162" s="40">
        <v>39512.160000000003</v>
      </c>
      <c r="Q162" s="40">
        <v>39512.160000000003</v>
      </c>
      <c r="R162" s="40">
        <v>39512.160000000003</v>
      </c>
      <c r="S162" s="8">
        <v>38562.43</v>
      </c>
      <c r="T162" s="3">
        <v>37612.700000000004</v>
      </c>
      <c r="U162" s="3">
        <v>36662.970000000008</v>
      </c>
      <c r="V162" s="3">
        <v>35713.240000000005</v>
      </c>
      <c r="W162" s="3">
        <v>34763.510000000009</v>
      </c>
      <c r="X162" s="3">
        <v>33813.780000000006</v>
      </c>
      <c r="Y162" s="3">
        <v>32864.05000000001</v>
      </c>
      <c r="Z162" s="3">
        <v>31914.320000000011</v>
      </c>
      <c r="AA162" s="3">
        <v>30964.590000000011</v>
      </c>
      <c r="AB162" s="3">
        <v>30014.860000000015</v>
      </c>
      <c r="AC162" s="3">
        <v>29065.130000000016</v>
      </c>
      <c r="AD162" s="3">
        <v>28115.399999999998</v>
      </c>
      <c r="AE162" s="3">
        <v>28091.360520000002</v>
      </c>
      <c r="AF162" s="3">
        <v>28067.321040000003</v>
      </c>
      <c r="AG162" s="3">
        <v>28043.281560000007</v>
      </c>
      <c r="AH162" s="3">
        <v>28019.242080000007</v>
      </c>
      <c r="AI162" s="3">
        <v>27995.202600000008</v>
      </c>
      <c r="AJ162" s="3">
        <v>27971.163120000012</v>
      </c>
      <c r="AK162" s="3">
        <v>27947.123640000013</v>
      </c>
      <c r="AL162" s="3">
        <v>27923.084160000017</v>
      </c>
      <c r="AM162" s="3">
        <v>27899.044680000017</v>
      </c>
      <c r="AN162" s="3">
        <v>27875.005200000018</v>
      </c>
      <c r="AO162" s="3">
        <v>27850.965720000022</v>
      </c>
      <c r="AP162" s="3">
        <v>27826.926240000023</v>
      </c>
      <c r="AQ162" s="3">
        <v>27802.886760000027</v>
      </c>
      <c r="AR162" s="3">
        <v>27778.847280000027</v>
      </c>
      <c r="AS162" s="3">
        <v>27754.807800000028</v>
      </c>
      <c r="AT162" s="3">
        <v>27730.768320000032</v>
      </c>
      <c r="AU162" s="3">
        <v>27706.728840000033</v>
      </c>
      <c r="AV162" s="3">
        <v>27682.689360000037</v>
      </c>
      <c r="AW162" s="3">
        <v>27658.649880000037</v>
      </c>
      <c r="AX162" s="3">
        <v>27634.610400000001</v>
      </c>
      <c r="AY162" s="3">
        <f t="shared" ref="AY162:BR162" si="47">AX162</f>
        <v>27634.610400000001</v>
      </c>
      <c r="AZ162" s="3">
        <f t="shared" si="47"/>
        <v>27634.610400000001</v>
      </c>
      <c r="BA162" s="3">
        <f t="shared" si="47"/>
        <v>27634.610400000001</v>
      </c>
      <c r="BB162" s="3">
        <f t="shared" si="47"/>
        <v>27634.610400000001</v>
      </c>
      <c r="BC162" s="3">
        <f t="shared" si="47"/>
        <v>27634.610400000001</v>
      </c>
      <c r="BD162" s="3">
        <f t="shared" si="47"/>
        <v>27634.610400000001</v>
      </c>
      <c r="BE162" s="3">
        <f t="shared" si="47"/>
        <v>27634.610400000001</v>
      </c>
      <c r="BF162" s="3">
        <f t="shared" si="47"/>
        <v>27634.610400000001</v>
      </c>
      <c r="BG162" s="3">
        <f t="shared" si="47"/>
        <v>27634.610400000001</v>
      </c>
      <c r="BH162" s="3">
        <f t="shared" si="47"/>
        <v>27634.610400000001</v>
      </c>
      <c r="BI162" s="3">
        <f t="shared" si="47"/>
        <v>27634.610400000001</v>
      </c>
      <c r="BJ162" s="3">
        <f t="shared" si="47"/>
        <v>27634.610400000001</v>
      </c>
      <c r="BK162" s="3">
        <f t="shared" si="47"/>
        <v>27634.610400000001</v>
      </c>
      <c r="BL162" s="3">
        <f t="shared" si="47"/>
        <v>27634.610400000001</v>
      </c>
      <c r="BM162" s="3">
        <f t="shared" si="47"/>
        <v>27634.610400000001</v>
      </c>
      <c r="BN162" s="3">
        <f t="shared" si="47"/>
        <v>27634.610400000001</v>
      </c>
      <c r="BO162" s="3">
        <f t="shared" si="47"/>
        <v>27634.610400000001</v>
      </c>
      <c r="BP162" s="3">
        <f t="shared" si="47"/>
        <v>27634.610400000001</v>
      </c>
      <c r="BQ162" s="3">
        <f t="shared" si="47"/>
        <v>27634.610400000001</v>
      </c>
      <c r="BR162" s="3">
        <f t="shared" si="47"/>
        <v>27634.610400000001</v>
      </c>
    </row>
    <row r="163" spans="1:70" hidden="1" x14ac:dyDescent="0.25">
      <c r="A163" s="6">
        <v>33</v>
      </c>
      <c r="B163" s="6" t="s">
        <v>392</v>
      </c>
      <c r="C163" s="6" t="s">
        <v>393</v>
      </c>
      <c r="D163" s="6">
        <v>2</v>
      </c>
      <c r="E163" s="6" t="s">
        <v>491</v>
      </c>
      <c r="F163" s="6" t="s">
        <v>553</v>
      </c>
      <c r="G163" s="6" t="s">
        <v>505</v>
      </c>
      <c r="H163" s="6" t="s">
        <v>501</v>
      </c>
      <c r="I163" s="6">
        <v>0</v>
      </c>
      <c r="J163" s="6">
        <v>70</v>
      </c>
      <c r="K163" s="6"/>
      <c r="L163" s="6"/>
      <c r="M163" s="6"/>
      <c r="N163" s="6"/>
      <c r="O163" s="6"/>
      <c r="P163" s="6"/>
      <c r="Q163" s="6"/>
      <c r="R163" s="6"/>
      <c r="S163" s="6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spans="1:70" hidden="1" x14ac:dyDescent="0.25">
      <c r="A164" s="6">
        <v>33</v>
      </c>
      <c r="B164" s="6" t="s">
        <v>392</v>
      </c>
      <c r="C164" s="6" t="s">
        <v>393</v>
      </c>
      <c r="D164" s="6">
        <v>3</v>
      </c>
      <c r="E164" s="6" t="s">
        <v>493</v>
      </c>
      <c r="F164" s="6" t="s">
        <v>506</v>
      </c>
      <c r="G164" s="6" t="s">
        <v>507</v>
      </c>
      <c r="H164" s="6" t="s">
        <v>500</v>
      </c>
      <c r="I164" s="6">
        <v>0</v>
      </c>
      <c r="J164" s="9">
        <v>2605</v>
      </c>
      <c r="K164" s="9">
        <v>2605</v>
      </c>
      <c r="L164" s="9">
        <v>2605</v>
      </c>
      <c r="M164" s="9">
        <v>2605</v>
      </c>
      <c r="N164" s="9">
        <v>2605</v>
      </c>
      <c r="O164" s="9">
        <v>2605</v>
      </c>
      <c r="P164" s="9">
        <v>2605</v>
      </c>
      <c r="Q164" s="9">
        <v>2605</v>
      </c>
      <c r="R164" s="9">
        <v>2605</v>
      </c>
      <c r="S164" s="14">
        <v>2357</v>
      </c>
      <c r="T164" s="10">
        <f>S164</f>
        <v>2357</v>
      </c>
      <c r="U164" s="10">
        <f t="shared" ref="U164:AN164" si="48">T164-$T164/20</f>
        <v>2239.15</v>
      </c>
      <c r="V164" s="10">
        <f t="shared" si="48"/>
        <v>2121.3000000000002</v>
      </c>
      <c r="W164" s="10">
        <f t="shared" si="48"/>
        <v>2003.4500000000003</v>
      </c>
      <c r="X164" s="10">
        <f t="shared" si="48"/>
        <v>1885.6000000000004</v>
      </c>
      <c r="Y164" s="10">
        <f t="shared" si="48"/>
        <v>1767.7500000000005</v>
      </c>
      <c r="Z164" s="10">
        <f t="shared" si="48"/>
        <v>1649.9000000000005</v>
      </c>
      <c r="AA164" s="10">
        <f t="shared" si="48"/>
        <v>1532.0500000000006</v>
      </c>
      <c r="AB164" s="10">
        <f t="shared" si="48"/>
        <v>1414.2000000000007</v>
      </c>
      <c r="AC164" s="10">
        <f t="shared" si="48"/>
        <v>1296.3500000000008</v>
      </c>
      <c r="AD164" s="10">
        <f t="shared" si="48"/>
        <v>1178.5000000000009</v>
      </c>
      <c r="AE164" s="10">
        <f t="shared" si="48"/>
        <v>1060.650000000001</v>
      </c>
      <c r="AF164" s="10">
        <f t="shared" si="48"/>
        <v>942.80000000000098</v>
      </c>
      <c r="AG164" s="10">
        <f t="shared" si="48"/>
        <v>824.95000000000095</v>
      </c>
      <c r="AH164" s="10">
        <f t="shared" si="48"/>
        <v>707.10000000000093</v>
      </c>
      <c r="AI164" s="10">
        <f t="shared" si="48"/>
        <v>589.25000000000091</v>
      </c>
      <c r="AJ164" s="10">
        <f t="shared" si="48"/>
        <v>471.40000000000089</v>
      </c>
      <c r="AK164" s="10">
        <f t="shared" si="48"/>
        <v>353.55000000000086</v>
      </c>
      <c r="AL164" s="10">
        <f t="shared" si="48"/>
        <v>235.70000000000087</v>
      </c>
      <c r="AM164" s="10">
        <f t="shared" si="48"/>
        <v>117.85000000000088</v>
      </c>
      <c r="AN164" s="10">
        <f t="shared" si="48"/>
        <v>8.8107299234252423E-13</v>
      </c>
      <c r="AO164" s="10">
        <v>8.8107299234252423E-13</v>
      </c>
      <c r="AP164" s="10">
        <v>8.8107299234252423E-13</v>
      </c>
      <c r="AQ164" s="10">
        <v>8.8107299234252423E-13</v>
      </c>
      <c r="AR164" s="10">
        <v>8.8107299234252423E-13</v>
      </c>
      <c r="AS164" s="10">
        <v>8.8107299234252423E-13</v>
      </c>
      <c r="AT164" s="10">
        <v>8.8107299234252423E-13</v>
      </c>
      <c r="AU164" s="10">
        <v>8.8107299234252423E-13</v>
      </c>
      <c r="AV164" s="10">
        <v>8.8107299234252423E-13</v>
      </c>
      <c r="AW164" s="10">
        <v>8.8107299234252423E-13</v>
      </c>
      <c r="AX164" s="10">
        <v>8.8107299234252423E-13</v>
      </c>
      <c r="AY164" s="10">
        <v>8.8107299234252423E-13</v>
      </c>
      <c r="AZ164" s="10">
        <v>8.8107299234252423E-13</v>
      </c>
      <c r="BA164" s="10">
        <v>8.8107299234252423E-13</v>
      </c>
      <c r="BB164" s="10">
        <v>8.8107299234252423E-13</v>
      </c>
      <c r="BC164" s="10">
        <v>8.8107299234252423E-13</v>
      </c>
      <c r="BD164" s="10">
        <v>8.8107299234252423E-13</v>
      </c>
      <c r="BE164" s="10">
        <v>8.8107299234252423E-13</v>
      </c>
      <c r="BF164" s="10">
        <v>8.8107299234252423E-13</v>
      </c>
      <c r="BG164" s="10">
        <v>8.8107299234252423E-13</v>
      </c>
      <c r="BH164" s="10">
        <v>8.8107299234252423E-13</v>
      </c>
      <c r="BI164" s="10">
        <v>8.8107299234252423E-13</v>
      </c>
      <c r="BJ164" s="10">
        <v>8.8107299234252423E-13</v>
      </c>
      <c r="BK164" s="10">
        <v>8.8107299234252423E-13</v>
      </c>
      <c r="BL164" s="10">
        <v>8.8107299234252423E-13</v>
      </c>
      <c r="BM164" s="10">
        <v>8.8107299234252423E-13</v>
      </c>
      <c r="BN164" s="10">
        <v>8.8107299234252423E-13</v>
      </c>
      <c r="BO164" s="10">
        <v>8.8107299234252423E-13</v>
      </c>
      <c r="BP164" s="10">
        <v>8.8107299234252423E-13</v>
      </c>
      <c r="BQ164" s="10">
        <v>8.8107299234252423E-13</v>
      </c>
      <c r="BR164" s="10">
        <v>8.8107299234252423E-13</v>
      </c>
    </row>
    <row r="165" spans="1:70" hidden="1" x14ac:dyDescent="0.25">
      <c r="A165" s="6">
        <v>33</v>
      </c>
      <c r="B165" s="6" t="s">
        <v>392</v>
      </c>
      <c r="C165" s="6" t="s">
        <v>393</v>
      </c>
      <c r="D165" s="6">
        <v>4</v>
      </c>
      <c r="E165" s="6" t="s">
        <v>494</v>
      </c>
      <c r="F165" s="6"/>
      <c r="G165" s="6"/>
      <c r="H165" s="6"/>
      <c r="I165" s="6">
        <v>0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spans="1:70" hidden="1" x14ac:dyDescent="0.25">
      <c r="A166" s="6">
        <v>33</v>
      </c>
      <c r="B166" s="6" t="s">
        <v>392</v>
      </c>
      <c r="C166" s="6" t="s">
        <v>393</v>
      </c>
      <c r="D166" s="6">
        <v>5</v>
      </c>
      <c r="E166" s="6" t="s">
        <v>496</v>
      </c>
      <c r="F166" s="6"/>
      <c r="G166" s="6"/>
      <c r="H166" s="6"/>
      <c r="I166" s="6">
        <v>0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spans="1:70" hidden="1" x14ac:dyDescent="0.25">
      <c r="A167" s="7">
        <v>34</v>
      </c>
      <c r="B167" s="7" t="s">
        <v>394</v>
      </c>
      <c r="C167" s="7" t="s">
        <v>395</v>
      </c>
      <c r="D167" s="7">
        <v>1</v>
      </c>
      <c r="E167" s="7" t="s">
        <v>489</v>
      </c>
      <c r="F167" s="7" t="s">
        <v>504</v>
      </c>
      <c r="G167" s="7" t="s">
        <v>505</v>
      </c>
      <c r="H167" s="7" t="s">
        <v>500</v>
      </c>
      <c r="I167" s="7">
        <v>0</v>
      </c>
      <c r="J167" s="41">
        <v>23570.399999999998</v>
      </c>
      <c r="K167" s="41">
        <v>23570.399999999998</v>
      </c>
      <c r="L167" s="41">
        <v>23570.399999999998</v>
      </c>
      <c r="M167" s="41">
        <v>23570.399999999998</v>
      </c>
      <c r="N167" s="41">
        <v>23570.399999999998</v>
      </c>
      <c r="O167" s="41">
        <v>23570.399999999998</v>
      </c>
      <c r="P167" s="41">
        <v>23570.399999999998</v>
      </c>
      <c r="Q167" s="41">
        <v>23570.399999999998</v>
      </c>
      <c r="R167" s="41">
        <v>23570.399999999998</v>
      </c>
      <c r="S167" s="11">
        <v>23590.041999999998</v>
      </c>
      <c r="T167" s="3">
        <v>23609.683999999997</v>
      </c>
      <c r="U167" s="3">
        <v>23629.325999999994</v>
      </c>
      <c r="V167" s="3">
        <v>23648.967999999993</v>
      </c>
      <c r="W167" s="3">
        <v>23668.60999999999</v>
      </c>
      <c r="X167" s="3">
        <v>23688.251999999989</v>
      </c>
      <c r="Y167" s="3">
        <v>23707.893999999989</v>
      </c>
      <c r="Z167" s="3">
        <v>23727.535999999986</v>
      </c>
      <c r="AA167" s="3">
        <v>23747.177999999985</v>
      </c>
      <c r="AB167" s="3">
        <v>23766.819999999982</v>
      </c>
      <c r="AC167" s="3">
        <v>23786.461999999981</v>
      </c>
      <c r="AD167" s="3">
        <v>23806.104000000003</v>
      </c>
      <c r="AE167" s="3">
        <v>23984.649780000003</v>
      </c>
      <c r="AF167" s="3">
        <v>24163.195560000004</v>
      </c>
      <c r="AG167" s="3">
        <v>24341.741340000004</v>
      </c>
      <c r="AH167" s="3">
        <v>24520.287120000005</v>
      </c>
      <c r="AI167" s="3">
        <v>24698.832900000005</v>
      </c>
      <c r="AJ167" s="3">
        <v>24877.378680000005</v>
      </c>
      <c r="AK167" s="3">
        <v>25055.924460000006</v>
      </c>
      <c r="AL167" s="3">
        <v>25234.470240000006</v>
      </c>
      <c r="AM167" s="3">
        <v>25413.016020000006</v>
      </c>
      <c r="AN167" s="3">
        <v>25591.561800000007</v>
      </c>
      <c r="AO167" s="3">
        <v>25770.107580000007</v>
      </c>
      <c r="AP167" s="3">
        <v>25948.653360000008</v>
      </c>
      <c r="AQ167" s="3">
        <v>26127.199140000008</v>
      </c>
      <c r="AR167" s="3">
        <v>26305.744920000008</v>
      </c>
      <c r="AS167" s="3">
        <v>26484.290700000009</v>
      </c>
      <c r="AT167" s="3">
        <v>26662.836480000009</v>
      </c>
      <c r="AU167" s="3">
        <v>26841.382260000009</v>
      </c>
      <c r="AV167" s="3">
        <v>27019.92804000001</v>
      </c>
      <c r="AW167" s="3">
        <v>27198.47382000001</v>
      </c>
      <c r="AX167" s="3">
        <v>27377.0196</v>
      </c>
      <c r="AY167" s="3">
        <f t="shared" ref="AY167:BR167" si="49">AX167</f>
        <v>27377.0196</v>
      </c>
      <c r="AZ167" s="3">
        <f t="shared" si="49"/>
        <v>27377.0196</v>
      </c>
      <c r="BA167" s="3">
        <f t="shared" si="49"/>
        <v>27377.0196</v>
      </c>
      <c r="BB167" s="3">
        <f t="shared" si="49"/>
        <v>27377.0196</v>
      </c>
      <c r="BC167" s="3">
        <f t="shared" si="49"/>
        <v>27377.0196</v>
      </c>
      <c r="BD167" s="3">
        <f t="shared" si="49"/>
        <v>27377.0196</v>
      </c>
      <c r="BE167" s="3">
        <f t="shared" si="49"/>
        <v>27377.0196</v>
      </c>
      <c r="BF167" s="3">
        <f t="shared" si="49"/>
        <v>27377.0196</v>
      </c>
      <c r="BG167" s="3">
        <f t="shared" si="49"/>
        <v>27377.0196</v>
      </c>
      <c r="BH167" s="3">
        <f t="shared" si="49"/>
        <v>27377.0196</v>
      </c>
      <c r="BI167" s="3">
        <f t="shared" si="49"/>
        <v>27377.0196</v>
      </c>
      <c r="BJ167" s="3">
        <f t="shared" si="49"/>
        <v>27377.0196</v>
      </c>
      <c r="BK167" s="3">
        <f t="shared" si="49"/>
        <v>27377.0196</v>
      </c>
      <c r="BL167" s="3">
        <f t="shared" si="49"/>
        <v>27377.0196</v>
      </c>
      <c r="BM167" s="3">
        <f t="shared" si="49"/>
        <v>27377.0196</v>
      </c>
      <c r="BN167" s="3">
        <f t="shared" si="49"/>
        <v>27377.0196</v>
      </c>
      <c r="BO167" s="3">
        <f t="shared" si="49"/>
        <v>27377.0196</v>
      </c>
      <c r="BP167" s="3">
        <f t="shared" si="49"/>
        <v>27377.0196</v>
      </c>
      <c r="BQ167" s="3">
        <f t="shared" si="49"/>
        <v>27377.0196</v>
      </c>
      <c r="BR167" s="3">
        <f t="shared" si="49"/>
        <v>27377.0196</v>
      </c>
    </row>
    <row r="168" spans="1:70" hidden="1" x14ac:dyDescent="0.25">
      <c r="A168" s="7">
        <v>34</v>
      </c>
      <c r="B168" s="7" t="s">
        <v>394</v>
      </c>
      <c r="C168" s="7" t="s">
        <v>395</v>
      </c>
      <c r="D168" s="7">
        <v>2</v>
      </c>
      <c r="E168" s="7" t="s">
        <v>491</v>
      </c>
      <c r="F168" s="7" t="s">
        <v>553</v>
      </c>
      <c r="G168" s="7" t="s">
        <v>505</v>
      </c>
      <c r="H168" s="7" t="s">
        <v>501</v>
      </c>
      <c r="I168" s="7">
        <v>0</v>
      </c>
      <c r="J168" s="7">
        <v>70</v>
      </c>
      <c r="K168" s="7"/>
      <c r="L168" s="7"/>
      <c r="M168" s="7"/>
      <c r="N168" s="7"/>
      <c r="O168" s="7"/>
      <c r="P168" s="7"/>
      <c r="Q168" s="7"/>
      <c r="R168" s="7"/>
      <c r="S168" s="7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spans="1:70" hidden="1" x14ac:dyDescent="0.25">
      <c r="A169" s="7">
        <v>34</v>
      </c>
      <c r="B169" s="7" t="s">
        <v>394</v>
      </c>
      <c r="C169" s="7" t="s">
        <v>395</v>
      </c>
      <c r="D169" s="7">
        <v>3</v>
      </c>
      <c r="E169" s="7" t="s">
        <v>493</v>
      </c>
      <c r="F169" s="7" t="s">
        <v>506</v>
      </c>
      <c r="G169" s="7" t="s">
        <v>507</v>
      </c>
      <c r="H169" s="7" t="s">
        <v>500</v>
      </c>
      <c r="I169" s="7">
        <v>0</v>
      </c>
      <c r="J169" s="12">
        <v>384398</v>
      </c>
      <c r="K169" s="12">
        <v>384398</v>
      </c>
      <c r="L169" s="12">
        <v>384398</v>
      </c>
      <c r="M169" s="12">
        <v>384398</v>
      </c>
      <c r="N169" s="12">
        <v>384398</v>
      </c>
      <c r="O169" s="12">
        <v>384398</v>
      </c>
      <c r="P169" s="12">
        <v>384398</v>
      </c>
      <c r="Q169" s="12">
        <v>384398</v>
      </c>
      <c r="R169" s="12">
        <v>384398</v>
      </c>
      <c r="S169" s="12">
        <v>379487</v>
      </c>
      <c r="T169" s="10">
        <f>S169</f>
        <v>379487</v>
      </c>
      <c r="U169" s="10">
        <f t="shared" ref="U169:AN169" si="50">T169-$T169/20</f>
        <v>360512.65</v>
      </c>
      <c r="V169" s="10">
        <f t="shared" si="50"/>
        <v>341538.30000000005</v>
      </c>
      <c r="W169" s="10">
        <f t="shared" si="50"/>
        <v>322563.95000000007</v>
      </c>
      <c r="X169" s="10">
        <f t="shared" si="50"/>
        <v>303589.60000000009</v>
      </c>
      <c r="Y169" s="10">
        <f t="shared" si="50"/>
        <v>284615.25000000012</v>
      </c>
      <c r="Z169" s="10">
        <f t="shared" si="50"/>
        <v>265640.90000000014</v>
      </c>
      <c r="AA169" s="10">
        <f t="shared" si="50"/>
        <v>246666.55000000013</v>
      </c>
      <c r="AB169" s="10">
        <f t="shared" si="50"/>
        <v>227692.20000000013</v>
      </c>
      <c r="AC169" s="10">
        <f t="shared" si="50"/>
        <v>208717.85000000012</v>
      </c>
      <c r="AD169" s="10">
        <f t="shared" si="50"/>
        <v>189743.50000000012</v>
      </c>
      <c r="AE169" s="10">
        <f t="shared" si="50"/>
        <v>170769.15000000011</v>
      </c>
      <c r="AF169" s="10">
        <f t="shared" si="50"/>
        <v>151794.8000000001</v>
      </c>
      <c r="AG169" s="10">
        <f t="shared" si="50"/>
        <v>132820.4500000001</v>
      </c>
      <c r="AH169" s="10">
        <f t="shared" si="50"/>
        <v>113846.10000000009</v>
      </c>
      <c r="AI169" s="10">
        <f t="shared" si="50"/>
        <v>94871.750000000087</v>
      </c>
      <c r="AJ169" s="10">
        <f t="shared" si="50"/>
        <v>75897.400000000081</v>
      </c>
      <c r="AK169" s="10">
        <f t="shared" si="50"/>
        <v>56923.050000000083</v>
      </c>
      <c r="AL169" s="10">
        <f t="shared" si="50"/>
        <v>37948.700000000084</v>
      </c>
      <c r="AM169" s="10">
        <f t="shared" si="50"/>
        <v>18974.350000000086</v>
      </c>
      <c r="AN169" s="10">
        <f t="shared" si="50"/>
        <v>8.7311491370201111E-11</v>
      </c>
      <c r="AO169" s="10">
        <v>8.7311491370201111E-11</v>
      </c>
      <c r="AP169" s="10">
        <v>8.7311491370201111E-11</v>
      </c>
      <c r="AQ169" s="10">
        <v>8.7311491370201111E-11</v>
      </c>
      <c r="AR169" s="10">
        <v>8.7311491370201111E-11</v>
      </c>
      <c r="AS169" s="10">
        <v>8.7311491370201111E-11</v>
      </c>
      <c r="AT169" s="10">
        <v>8.7311491370201111E-11</v>
      </c>
      <c r="AU169" s="10">
        <v>8.7311491370201111E-11</v>
      </c>
      <c r="AV169" s="10">
        <v>8.7311491370201111E-11</v>
      </c>
      <c r="AW169" s="10">
        <v>8.7311491370201111E-11</v>
      </c>
      <c r="AX169" s="10">
        <v>8.7311491370201111E-11</v>
      </c>
      <c r="AY169" s="10">
        <v>8.7311491370201111E-11</v>
      </c>
      <c r="AZ169" s="10">
        <v>8.7311491370201111E-11</v>
      </c>
      <c r="BA169" s="10">
        <v>8.7311491370201111E-11</v>
      </c>
      <c r="BB169" s="10">
        <v>8.7311491370201111E-11</v>
      </c>
      <c r="BC169" s="10">
        <v>8.7311491370201111E-11</v>
      </c>
      <c r="BD169" s="10">
        <v>8.7311491370201111E-11</v>
      </c>
      <c r="BE169" s="10">
        <v>8.7311491370201111E-11</v>
      </c>
      <c r="BF169" s="10">
        <v>8.7311491370201111E-11</v>
      </c>
      <c r="BG169" s="10">
        <v>8.7311491370201111E-11</v>
      </c>
      <c r="BH169" s="10">
        <v>8.7311491370201111E-11</v>
      </c>
      <c r="BI169" s="10">
        <v>8.7311491370201111E-11</v>
      </c>
      <c r="BJ169" s="10">
        <v>8.7311491370201111E-11</v>
      </c>
      <c r="BK169" s="10">
        <v>8.7311491370201111E-11</v>
      </c>
      <c r="BL169" s="10">
        <v>8.7311491370201111E-11</v>
      </c>
      <c r="BM169" s="10">
        <v>8.7311491370201111E-11</v>
      </c>
      <c r="BN169" s="10">
        <v>8.7311491370201111E-11</v>
      </c>
      <c r="BO169" s="10">
        <v>8.7311491370201111E-11</v>
      </c>
      <c r="BP169" s="10">
        <v>8.7311491370201111E-11</v>
      </c>
      <c r="BQ169" s="10">
        <v>8.7311491370201111E-11</v>
      </c>
      <c r="BR169" s="10">
        <v>8.7311491370201111E-11</v>
      </c>
    </row>
    <row r="170" spans="1:70" hidden="1" x14ac:dyDescent="0.25">
      <c r="A170" s="7">
        <v>34</v>
      </c>
      <c r="B170" s="7" t="s">
        <v>394</v>
      </c>
      <c r="C170" s="7" t="s">
        <v>395</v>
      </c>
      <c r="D170" s="7">
        <v>4</v>
      </c>
      <c r="E170" s="7" t="s">
        <v>494</v>
      </c>
      <c r="F170" s="7"/>
      <c r="G170" s="7"/>
      <c r="H170" s="7"/>
      <c r="I170" s="7">
        <v>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spans="1:70" hidden="1" x14ac:dyDescent="0.25">
      <c r="A171" s="7">
        <v>34</v>
      </c>
      <c r="B171" s="7" t="s">
        <v>394</v>
      </c>
      <c r="C171" s="7" t="s">
        <v>395</v>
      </c>
      <c r="D171" s="7">
        <v>5</v>
      </c>
      <c r="E171" s="7" t="s">
        <v>496</v>
      </c>
      <c r="F171" s="7"/>
      <c r="G171" s="7"/>
      <c r="H171" s="7"/>
      <c r="I171" s="7">
        <v>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spans="1:70" hidden="1" x14ac:dyDescent="0.25">
      <c r="A172" s="6">
        <v>35</v>
      </c>
      <c r="B172" s="6" t="s">
        <v>396</v>
      </c>
      <c r="C172" s="6" t="s">
        <v>397</v>
      </c>
      <c r="D172" s="6">
        <v>1</v>
      </c>
      <c r="E172" s="6" t="s">
        <v>489</v>
      </c>
      <c r="F172" s="6" t="s">
        <v>504</v>
      </c>
      <c r="G172" s="6" t="s">
        <v>505</v>
      </c>
      <c r="H172" s="6" t="s">
        <v>500</v>
      </c>
      <c r="I172" s="6">
        <v>0</v>
      </c>
      <c r="J172" s="40">
        <v>27105.959999999995</v>
      </c>
      <c r="K172" s="40">
        <v>27105.959999999995</v>
      </c>
      <c r="L172" s="40">
        <v>27105.959999999995</v>
      </c>
      <c r="M172" s="40">
        <v>27105.959999999995</v>
      </c>
      <c r="N172" s="40">
        <v>27105.959999999995</v>
      </c>
      <c r="O172" s="40">
        <v>27105.959999999995</v>
      </c>
      <c r="P172" s="40">
        <v>27105.959999999995</v>
      </c>
      <c r="Q172" s="40">
        <v>27105.959999999995</v>
      </c>
      <c r="R172" s="40">
        <v>27105.959999999995</v>
      </c>
      <c r="S172" s="8">
        <v>27179.822763015902</v>
      </c>
      <c r="T172" s="3">
        <v>27118.118721228067</v>
      </c>
      <c r="U172" s="3">
        <v>27048.749398666016</v>
      </c>
      <c r="V172" s="3">
        <v>26851.096756480321</v>
      </c>
      <c r="W172" s="3">
        <v>26648.324137481206</v>
      </c>
      <c r="X172" s="3">
        <v>26441.870617369568</v>
      </c>
      <c r="Y172" s="3">
        <v>26230.316699705734</v>
      </c>
      <c r="Z172" s="3">
        <v>26015.062301668146</v>
      </c>
      <c r="AA172" s="3">
        <v>25795.402569852271</v>
      </c>
      <c r="AB172" s="3">
        <v>25570.671809376061</v>
      </c>
      <c r="AC172" s="3">
        <v>25342.211199634236</v>
      </c>
      <c r="AD172" s="3">
        <v>25108.699140493292</v>
      </c>
      <c r="AE172" s="3">
        <v>25234.242636195759</v>
      </c>
      <c r="AF172" s="3">
        <v>25359.786131898225</v>
      </c>
      <c r="AG172" s="3">
        <v>25485.329627600691</v>
      </c>
      <c r="AH172" s="3">
        <v>25610.873123303161</v>
      </c>
      <c r="AI172" s="3">
        <v>25736.416619005628</v>
      </c>
      <c r="AJ172" s="3">
        <v>25861.960114708094</v>
      </c>
      <c r="AK172" s="3">
        <v>25987.50361041056</v>
      </c>
      <c r="AL172" s="3">
        <v>26113.047106113027</v>
      </c>
      <c r="AM172" s="3">
        <v>26238.590601815493</v>
      </c>
      <c r="AN172" s="3">
        <v>26364.134097517959</v>
      </c>
      <c r="AO172" s="3">
        <v>26489.677593220425</v>
      </c>
      <c r="AP172" s="3">
        <v>26615.221088922892</v>
      </c>
      <c r="AQ172" s="3">
        <v>26740.764584625358</v>
      </c>
      <c r="AR172" s="3">
        <v>26866.308080327824</v>
      </c>
      <c r="AS172" s="3">
        <v>26991.851576030291</v>
      </c>
      <c r="AT172" s="3">
        <v>27117.395071732757</v>
      </c>
      <c r="AU172" s="3">
        <v>27242.938567435223</v>
      </c>
      <c r="AV172" s="3">
        <v>27368.48206313769</v>
      </c>
      <c r="AW172" s="3">
        <v>27494.025558840156</v>
      </c>
      <c r="AX172" s="3">
        <v>27619.569054542626</v>
      </c>
      <c r="AY172" s="3">
        <f t="shared" ref="AY172:BR172" si="51">AX172</f>
        <v>27619.569054542626</v>
      </c>
      <c r="AZ172" s="3">
        <f t="shared" si="51"/>
        <v>27619.569054542626</v>
      </c>
      <c r="BA172" s="3">
        <f t="shared" si="51"/>
        <v>27619.569054542626</v>
      </c>
      <c r="BB172" s="3">
        <f t="shared" si="51"/>
        <v>27619.569054542626</v>
      </c>
      <c r="BC172" s="3">
        <f t="shared" si="51"/>
        <v>27619.569054542626</v>
      </c>
      <c r="BD172" s="3">
        <f t="shared" si="51"/>
        <v>27619.569054542626</v>
      </c>
      <c r="BE172" s="3">
        <f t="shared" si="51"/>
        <v>27619.569054542626</v>
      </c>
      <c r="BF172" s="3">
        <f t="shared" si="51"/>
        <v>27619.569054542626</v>
      </c>
      <c r="BG172" s="3">
        <f t="shared" si="51"/>
        <v>27619.569054542626</v>
      </c>
      <c r="BH172" s="3">
        <f t="shared" si="51"/>
        <v>27619.569054542626</v>
      </c>
      <c r="BI172" s="3">
        <f t="shared" si="51"/>
        <v>27619.569054542626</v>
      </c>
      <c r="BJ172" s="3">
        <f t="shared" si="51"/>
        <v>27619.569054542626</v>
      </c>
      <c r="BK172" s="3">
        <f t="shared" si="51"/>
        <v>27619.569054542626</v>
      </c>
      <c r="BL172" s="3">
        <f t="shared" si="51"/>
        <v>27619.569054542626</v>
      </c>
      <c r="BM172" s="3">
        <f t="shared" si="51"/>
        <v>27619.569054542626</v>
      </c>
      <c r="BN172" s="3">
        <f t="shared" si="51"/>
        <v>27619.569054542626</v>
      </c>
      <c r="BO172" s="3">
        <f t="shared" si="51"/>
        <v>27619.569054542626</v>
      </c>
      <c r="BP172" s="3">
        <f t="shared" si="51"/>
        <v>27619.569054542626</v>
      </c>
      <c r="BQ172" s="3">
        <f t="shared" si="51"/>
        <v>27619.569054542626</v>
      </c>
      <c r="BR172" s="3">
        <f t="shared" si="51"/>
        <v>27619.569054542626</v>
      </c>
    </row>
    <row r="173" spans="1:70" hidden="1" x14ac:dyDescent="0.25">
      <c r="A173" s="6">
        <v>35</v>
      </c>
      <c r="B173" s="6" t="s">
        <v>396</v>
      </c>
      <c r="C173" s="6" t="s">
        <v>397</v>
      </c>
      <c r="D173" s="6">
        <v>2</v>
      </c>
      <c r="E173" s="6" t="s">
        <v>491</v>
      </c>
      <c r="F173" s="6" t="s">
        <v>553</v>
      </c>
      <c r="G173" s="6" t="s">
        <v>505</v>
      </c>
      <c r="H173" s="6" t="s">
        <v>501</v>
      </c>
      <c r="I173" s="6">
        <v>0</v>
      </c>
      <c r="J173" s="6">
        <v>70</v>
      </c>
      <c r="K173" s="6"/>
      <c r="L173" s="6"/>
      <c r="M173" s="6"/>
      <c r="N173" s="6"/>
      <c r="O173" s="6"/>
      <c r="P173" s="6"/>
      <c r="Q173" s="6"/>
      <c r="R173" s="6"/>
      <c r="S173" s="6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spans="1:70" hidden="1" x14ac:dyDescent="0.25">
      <c r="A174" s="6">
        <v>35</v>
      </c>
      <c r="B174" s="6" t="s">
        <v>396</v>
      </c>
      <c r="C174" s="6" t="s">
        <v>397</v>
      </c>
      <c r="D174" s="6">
        <v>3</v>
      </c>
      <c r="E174" s="6" t="s">
        <v>493</v>
      </c>
      <c r="F174" s="6" t="s">
        <v>506</v>
      </c>
      <c r="G174" s="6" t="s">
        <v>507</v>
      </c>
      <c r="H174" s="6" t="s">
        <v>500</v>
      </c>
      <c r="I174" s="6">
        <v>0</v>
      </c>
      <c r="J174" s="9">
        <v>28</v>
      </c>
      <c r="K174" s="9">
        <v>28</v>
      </c>
      <c r="L174" s="9">
        <v>28</v>
      </c>
      <c r="M174" s="9">
        <v>28</v>
      </c>
      <c r="N174" s="9">
        <v>28</v>
      </c>
      <c r="O174" s="9">
        <v>28</v>
      </c>
      <c r="P174" s="9">
        <v>28</v>
      </c>
      <c r="Q174" s="9">
        <v>28</v>
      </c>
      <c r="R174" s="9">
        <v>28</v>
      </c>
      <c r="S174" s="14">
        <v>27</v>
      </c>
      <c r="T174" s="10">
        <v>22</v>
      </c>
      <c r="U174" s="10">
        <f t="shared" ref="U174:AN174" si="52">T174-$T174/20</f>
        <v>20.9</v>
      </c>
      <c r="V174" s="10">
        <f t="shared" si="52"/>
        <v>19.799999999999997</v>
      </c>
      <c r="W174" s="10">
        <f t="shared" si="52"/>
        <v>18.699999999999996</v>
      </c>
      <c r="X174" s="10">
        <f t="shared" si="52"/>
        <v>17.599999999999994</v>
      </c>
      <c r="Y174" s="10">
        <f t="shared" si="52"/>
        <v>16.499999999999993</v>
      </c>
      <c r="Z174" s="10">
        <f t="shared" si="52"/>
        <v>15.399999999999993</v>
      </c>
      <c r="AA174" s="10">
        <f t="shared" si="52"/>
        <v>14.299999999999994</v>
      </c>
      <c r="AB174" s="10">
        <f t="shared" si="52"/>
        <v>13.199999999999994</v>
      </c>
      <c r="AC174" s="10">
        <f t="shared" si="52"/>
        <v>12.099999999999994</v>
      </c>
      <c r="AD174" s="10">
        <f t="shared" si="52"/>
        <v>10.999999999999995</v>
      </c>
      <c r="AE174" s="10">
        <f t="shared" si="52"/>
        <v>9.899999999999995</v>
      </c>
      <c r="AF174" s="10">
        <f t="shared" si="52"/>
        <v>8.7999999999999954</v>
      </c>
      <c r="AG174" s="10">
        <f t="shared" si="52"/>
        <v>7.6999999999999957</v>
      </c>
      <c r="AH174" s="10">
        <f t="shared" si="52"/>
        <v>6.5999999999999961</v>
      </c>
      <c r="AI174" s="10">
        <f t="shared" si="52"/>
        <v>5.4999999999999964</v>
      </c>
      <c r="AJ174" s="10">
        <f t="shared" si="52"/>
        <v>4.3999999999999968</v>
      </c>
      <c r="AK174" s="10">
        <f t="shared" si="52"/>
        <v>3.2999999999999967</v>
      </c>
      <c r="AL174" s="10">
        <f t="shared" si="52"/>
        <v>2.1999999999999966</v>
      </c>
      <c r="AM174" s="10">
        <f t="shared" si="52"/>
        <v>1.0999999999999965</v>
      </c>
      <c r="AN174" s="10">
        <f t="shared" si="52"/>
        <v>-3.5527136788005009E-15</v>
      </c>
      <c r="AO174" s="10">
        <v>-3.5527136788005009E-15</v>
      </c>
      <c r="AP174" s="10">
        <v>-3.5527136788005009E-15</v>
      </c>
      <c r="AQ174" s="10">
        <v>-3.5527136788005009E-15</v>
      </c>
      <c r="AR174" s="10">
        <v>-3.5527136788005009E-15</v>
      </c>
      <c r="AS174" s="10">
        <v>-3.5527136788005009E-15</v>
      </c>
      <c r="AT174" s="10">
        <v>-3.5527136788005009E-15</v>
      </c>
      <c r="AU174" s="10">
        <v>-3.5527136788005009E-15</v>
      </c>
      <c r="AV174" s="10">
        <v>-3.5527136788005009E-15</v>
      </c>
      <c r="AW174" s="10">
        <v>-3.5527136788005009E-15</v>
      </c>
      <c r="AX174" s="10">
        <v>-3.5527136788005009E-15</v>
      </c>
      <c r="AY174" s="10">
        <v>-3.5527136788005009E-15</v>
      </c>
      <c r="AZ174" s="10">
        <v>-3.5527136788005009E-15</v>
      </c>
      <c r="BA174" s="10">
        <v>-3.5527136788005009E-15</v>
      </c>
      <c r="BB174" s="10">
        <v>-3.5527136788005009E-15</v>
      </c>
      <c r="BC174" s="10">
        <v>-3.5527136788005009E-15</v>
      </c>
      <c r="BD174" s="10">
        <v>-3.5527136788005009E-15</v>
      </c>
      <c r="BE174" s="10">
        <v>-3.5527136788005009E-15</v>
      </c>
      <c r="BF174" s="10">
        <v>-3.5527136788005009E-15</v>
      </c>
      <c r="BG174" s="10">
        <v>-3.5527136788005009E-15</v>
      </c>
      <c r="BH174" s="10">
        <v>-3.5527136788005009E-15</v>
      </c>
      <c r="BI174" s="10">
        <v>-3.5527136788005009E-15</v>
      </c>
      <c r="BJ174" s="10">
        <v>-3.5527136788005009E-15</v>
      </c>
      <c r="BK174" s="10">
        <v>-3.5527136788005009E-15</v>
      </c>
      <c r="BL174" s="10">
        <v>-3.5527136788005009E-15</v>
      </c>
      <c r="BM174" s="10">
        <v>-3.5527136788005009E-15</v>
      </c>
      <c r="BN174" s="10">
        <v>-3.5527136788005009E-15</v>
      </c>
      <c r="BO174" s="10">
        <v>-3.5527136788005009E-15</v>
      </c>
      <c r="BP174" s="10">
        <v>-3.5527136788005009E-15</v>
      </c>
      <c r="BQ174" s="10">
        <v>-3.5527136788005009E-15</v>
      </c>
      <c r="BR174" s="10">
        <v>-3.5527136788005009E-15</v>
      </c>
    </row>
    <row r="175" spans="1:70" hidden="1" x14ac:dyDescent="0.25">
      <c r="A175" s="6">
        <v>35</v>
      </c>
      <c r="B175" s="6" t="s">
        <v>396</v>
      </c>
      <c r="C175" s="6" t="s">
        <v>397</v>
      </c>
      <c r="D175" s="6">
        <v>4</v>
      </c>
      <c r="E175" s="6" t="s">
        <v>494</v>
      </c>
      <c r="F175" s="6"/>
      <c r="G175" s="6"/>
      <c r="H175" s="6"/>
      <c r="I175" s="6">
        <v>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spans="1:70" hidden="1" x14ac:dyDescent="0.25">
      <c r="A176" s="6">
        <v>35</v>
      </c>
      <c r="B176" s="6" t="s">
        <v>396</v>
      </c>
      <c r="C176" s="6" t="s">
        <v>397</v>
      </c>
      <c r="D176" s="6">
        <v>5</v>
      </c>
      <c r="E176" s="6" t="s">
        <v>496</v>
      </c>
      <c r="F176" s="6"/>
      <c r="G176" s="6"/>
      <c r="H176" s="6"/>
      <c r="I176" s="6">
        <v>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spans="1:70" hidden="1" x14ac:dyDescent="0.25">
      <c r="A177" s="7">
        <v>36</v>
      </c>
      <c r="B177" s="7" t="s">
        <v>398</v>
      </c>
      <c r="C177" s="7" t="s">
        <v>399</v>
      </c>
      <c r="D177" s="7">
        <v>1</v>
      </c>
      <c r="E177" s="7" t="s">
        <v>489</v>
      </c>
      <c r="F177" s="7" t="s">
        <v>504</v>
      </c>
      <c r="G177" s="7" t="s">
        <v>505</v>
      </c>
      <c r="H177" s="7" t="s">
        <v>500</v>
      </c>
      <c r="I177" s="7">
        <v>0</v>
      </c>
      <c r="J177" s="41">
        <v>41067.806400000009</v>
      </c>
      <c r="K177" s="41">
        <v>41067.806400000009</v>
      </c>
      <c r="L177" s="41">
        <v>41067.806400000009</v>
      </c>
      <c r="M177" s="41">
        <v>41067.806400000009</v>
      </c>
      <c r="N177" s="41">
        <v>41067.806400000009</v>
      </c>
      <c r="O177" s="41">
        <v>41067.806400000009</v>
      </c>
      <c r="P177" s="41">
        <v>41067.806400000009</v>
      </c>
      <c r="Q177" s="41">
        <v>41067.806400000009</v>
      </c>
      <c r="R177" s="41">
        <v>41067.806400000009</v>
      </c>
      <c r="S177" s="11">
        <v>40096.470200000003</v>
      </c>
      <c r="T177" s="3">
        <v>39125.133999999998</v>
      </c>
      <c r="U177" s="3">
        <v>38153.7978</v>
      </c>
      <c r="V177" s="3">
        <v>37182.461599999995</v>
      </c>
      <c r="W177" s="3">
        <v>36211.125399999997</v>
      </c>
      <c r="X177" s="3">
        <v>35239.789199999992</v>
      </c>
      <c r="Y177" s="3">
        <v>34268.452999999987</v>
      </c>
      <c r="Z177" s="3">
        <v>33297.116799999989</v>
      </c>
      <c r="AA177" s="3">
        <v>32325.780599999984</v>
      </c>
      <c r="AB177" s="3">
        <v>31354.444399999982</v>
      </c>
      <c r="AC177" s="3">
        <v>30383.108199999981</v>
      </c>
      <c r="AD177" s="3">
        <v>29411.772000000001</v>
      </c>
      <c r="AE177" s="3">
        <v>29348.399232</v>
      </c>
      <c r="AF177" s="3">
        <v>29285.026464000002</v>
      </c>
      <c r="AG177" s="3">
        <v>29221.653696000001</v>
      </c>
      <c r="AH177" s="3">
        <v>29158.280928000004</v>
      </c>
      <c r="AI177" s="3">
        <v>29094.908160000003</v>
      </c>
      <c r="AJ177" s="3">
        <v>29031.535392000002</v>
      </c>
      <c r="AK177" s="3">
        <v>28968.162624000004</v>
      </c>
      <c r="AL177" s="3">
        <v>28904.789856000003</v>
      </c>
      <c r="AM177" s="3">
        <v>28841.417088000006</v>
      </c>
      <c r="AN177" s="3">
        <v>28778.044320000005</v>
      </c>
      <c r="AO177" s="3">
        <v>28714.671552000003</v>
      </c>
      <c r="AP177" s="3">
        <v>28651.298784000006</v>
      </c>
      <c r="AQ177" s="3">
        <v>28587.926016000005</v>
      </c>
      <c r="AR177" s="3">
        <v>28524.553248000007</v>
      </c>
      <c r="AS177" s="3">
        <v>28461.180480000006</v>
      </c>
      <c r="AT177" s="3">
        <v>28397.807712000005</v>
      </c>
      <c r="AU177" s="3">
        <v>28334.434944000008</v>
      </c>
      <c r="AV177" s="3">
        <v>28271.062176000007</v>
      </c>
      <c r="AW177" s="3">
        <v>28207.689408000009</v>
      </c>
      <c r="AX177" s="3">
        <v>28144.316640000008</v>
      </c>
      <c r="AY177" s="3">
        <f t="shared" ref="AY177:BR177" si="53">AX177</f>
        <v>28144.316640000008</v>
      </c>
      <c r="AZ177" s="3">
        <f t="shared" si="53"/>
        <v>28144.316640000008</v>
      </c>
      <c r="BA177" s="3">
        <f t="shared" si="53"/>
        <v>28144.316640000008</v>
      </c>
      <c r="BB177" s="3">
        <f t="shared" si="53"/>
        <v>28144.316640000008</v>
      </c>
      <c r="BC177" s="3">
        <f t="shared" si="53"/>
        <v>28144.316640000008</v>
      </c>
      <c r="BD177" s="3">
        <f t="shared" si="53"/>
        <v>28144.316640000008</v>
      </c>
      <c r="BE177" s="3">
        <f t="shared" si="53"/>
        <v>28144.316640000008</v>
      </c>
      <c r="BF177" s="3">
        <f t="shared" si="53"/>
        <v>28144.316640000008</v>
      </c>
      <c r="BG177" s="3">
        <f t="shared" si="53"/>
        <v>28144.316640000008</v>
      </c>
      <c r="BH177" s="3">
        <f t="shared" si="53"/>
        <v>28144.316640000008</v>
      </c>
      <c r="BI177" s="3">
        <f t="shared" si="53"/>
        <v>28144.316640000008</v>
      </c>
      <c r="BJ177" s="3">
        <f t="shared" si="53"/>
        <v>28144.316640000008</v>
      </c>
      <c r="BK177" s="3">
        <f t="shared" si="53"/>
        <v>28144.316640000008</v>
      </c>
      <c r="BL177" s="3">
        <f t="shared" si="53"/>
        <v>28144.316640000008</v>
      </c>
      <c r="BM177" s="3">
        <f t="shared" si="53"/>
        <v>28144.316640000008</v>
      </c>
      <c r="BN177" s="3">
        <f t="shared" si="53"/>
        <v>28144.316640000008</v>
      </c>
      <c r="BO177" s="3">
        <f t="shared" si="53"/>
        <v>28144.316640000008</v>
      </c>
      <c r="BP177" s="3">
        <f t="shared" si="53"/>
        <v>28144.316640000008</v>
      </c>
      <c r="BQ177" s="3">
        <f t="shared" si="53"/>
        <v>28144.316640000008</v>
      </c>
      <c r="BR177" s="3">
        <f t="shared" si="53"/>
        <v>28144.316640000008</v>
      </c>
    </row>
    <row r="178" spans="1:70" hidden="1" x14ac:dyDescent="0.25">
      <c r="A178" s="7">
        <v>36</v>
      </c>
      <c r="B178" s="7" t="s">
        <v>398</v>
      </c>
      <c r="C178" s="7" t="s">
        <v>399</v>
      </c>
      <c r="D178" s="7">
        <v>2</v>
      </c>
      <c r="E178" s="7" t="s">
        <v>491</v>
      </c>
      <c r="F178" s="7" t="s">
        <v>553</v>
      </c>
      <c r="G178" s="7" t="s">
        <v>505</v>
      </c>
      <c r="H178" s="7" t="s">
        <v>501</v>
      </c>
      <c r="I178" s="7">
        <v>0</v>
      </c>
      <c r="J178" s="7">
        <v>73</v>
      </c>
      <c r="K178" s="7"/>
      <c r="L178" s="7"/>
      <c r="M178" s="7"/>
      <c r="N178" s="7"/>
      <c r="O178" s="7"/>
      <c r="P178" s="7"/>
      <c r="Q178" s="7"/>
      <c r="R178" s="7"/>
      <c r="S178" s="7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spans="1:70" hidden="1" x14ac:dyDescent="0.25">
      <c r="A179" s="7">
        <v>36</v>
      </c>
      <c r="B179" s="7" t="s">
        <v>398</v>
      </c>
      <c r="C179" s="7" t="s">
        <v>399</v>
      </c>
      <c r="D179" s="7">
        <v>3</v>
      </c>
      <c r="E179" s="7" t="s">
        <v>493</v>
      </c>
      <c r="F179" s="7" t="s">
        <v>506</v>
      </c>
      <c r="G179" s="7" t="s">
        <v>507</v>
      </c>
      <c r="H179" s="7"/>
      <c r="I179" s="7">
        <v>0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</row>
    <row r="180" spans="1:70" hidden="1" x14ac:dyDescent="0.25">
      <c r="A180" s="7">
        <v>36</v>
      </c>
      <c r="B180" s="7" t="s">
        <v>398</v>
      </c>
      <c r="C180" s="7" t="s">
        <v>399</v>
      </c>
      <c r="D180" s="7">
        <v>4</v>
      </c>
      <c r="E180" s="7" t="s">
        <v>494</v>
      </c>
      <c r="F180" s="7"/>
      <c r="G180" s="7"/>
      <c r="H180" s="7"/>
      <c r="I180" s="7">
        <v>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spans="1:70" hidden="1" x14ac:dyDescent="0.25">
      <c r="A181" s="7">
        <v>36</v>
      </c>
      <c r="B181" s="7" t="s">
        <v>398</v>
      </c>
      <c r="C181" s="7" t="s">
        <v>399</v>
      </c>
      <c r="D181" s="7">
        <v>5</v>
      </c>
      <c r="E181" s="7" t="s">
        <v>496</v>
      </c>
      <c r="F181" s="7"/>
      <c r="G181" s="7"/>
      <c r="H181" s="7"/>
      <c r="I181" s="7">
        <v>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spans="1:70" hidden="1" x14ac:dyDescent="0.25">
      <c r="A182" s="6">
        <v>37</v>
      </c>
      <c r="B182" s="6" t="s">
        <v>400</v>
      </c>
      <c r="C182" s="6" t="s">
        <v>401</v>
      </c>
      <c r="D182" s="6">
        <v>1</v>
      </c>
      <c r="E182" s="6" t="s">
        <v>489</v>
      </c>
      <c r="F182" s="6" t="s">
        <v>504</v>
      </c>
      <c r="G182" s="6" t="s">
        <v>505</v>
      </c>
      <c r="H182" s="6" t="s">
        <v>500</v>
      </c>
      <c r="I182" s="6">
        <v>0</v>
      </c>
      <c r="J182" s="40">
        <v>31820.04</v>
      </c>
      <c r="K182" s="40">
        <v>31820.04</v>
      </c>
      <c r="L182" s="40">
        <v>31820.04</v>
      </c>
      <c r="M182" s="40">
        <v>31820.04</v>
      </c>
      <c r="N182" s="40">
        <v>31820.04</v>
      </c>
      <c r="O182" s="40">
        <v>31820.04</v>
      </c>
      <c r="P182" s="40">
        <v>31820.04</v>
      </c>
      <c r="Q182" s="40">
        <v>31820.04</v>
      </c>
      <c r="R182" s="40">
        <v>31820.04</v>
      </c>
      <c r="S182" s="8">
        <v>31355.097491666667</v>
      </c>
      <c r="T182" s="3">
        <v>30889.336566666669</v>
      </c>
      <c r="U182" s="3">
        <v>30422.757224999998</v>
      </c>
      <c r="V182" s="3">
        <v>29955.359466666669</v>
      </c>
      <c r="W182" s="3">
        <v>29487.143291666664</v>
      </c>
      <c r="X182" s="3">
        <v>29018.108700000001</v>
      </c>
      <c r="Y182" s="3">
        <v>28548.255691666669</v>
      </c>
      <c r="Z182" s="3">
        <v>28077.584266666665</v>
      </c>
      <c r="AA182" s="3">
        <v>27606.094424999999</v>
      </c>
      <c r="AB182" s="3">
        <v>27133.786166666665</v>
      </c>
      <c r="AC182" s="3">
        <v>26660.659491666665</v>
      </c>
      <c r="AD182" s="3">
        <v>26186.714400000004</v>
      </c>
      <c r="AE182" s="3">
        <v>26203.229884650005</v>
      </c>
      <c r="AF182" s="3">
        <v>26217.067182600003</v>
      </c>
      <c r="AG182" s="3">
        <v>26228.226293850003</v>
      </c>
      <c r="AH182" s="3">
        <v>26236.707218400003</v>
      </c>
      <c r="AI182" s="3">
        <v>26242.50995625</v>
      </c>
      <c r="AJ182" s="3">
        <v>26245.634507399998</v>
      </c>
      <c r="AK182" s="3">
        <v>26246.080871849997</v>
      </c>
      <c r="AL182" s="3">
        <v>26243.849049599998</v>
      </c>
      <c r="AM182" s="3">
        <v>26238.939040649995</v>
      </c>
      <c r="AN182" s="3">
        <v>26231.350844999994</v>
      </c>
      <c r="AO182" s="3">
        <v>26221.084462649993</v>
      </c>
      <c r="AP182" s="3">
        <v>26208.13989359999</v>
      </c>
      <c r="AQ182" s="3">
        <v>26192.517137849991</v>
      </c>
      <c r="AR182" s="3">
        <v>26174.216195399989</v>
      </c>
      <c r="AS182" s="3">
        <v>26153.237066249985</v>
      </c>
      <c r="AT182" s="3">
        <v>26129.579750399986</v>
      </c>
      <c r="AU182" s="3">
        <v>26103.244247849983</v>
      </c>
      <c r="AV182" s="3">
        <v>26074.230558599982</v>
      </c>
      <c r="AW182" s="3">
        <v>26042.538682649982</v>
      </c>
      <c r="AX182" s="3">
        <v>26008.168619999997</v>
      </c>
      <c r="AY182" s="3">
        <f t="shared" ref="AY182:BR182" si="54">AX182</f>
        <v>26008.168619999997</v>
      </c>
      <c r="AZ182" s="3">
        <f t="shared" si="54"/>
        <v>26008.168619999997</v>
      </c>
      <c r="BA182" s="3">
        <f t="shared" si="54"/>
        <v>26008.168619999997</v>
      </c>
      <c r="BB182" s="3">
        <f t="shared" si="54"/>
        <v>26008.168619999997</v>
      </c>
      <c r="BC182" s="3">
        <f t="shared" si="54"/>
        <v>26008.168619999997</v>
      </c>
      <c r="BD182" s="3">
        <f t="shared" si="54"/>
        <v>26008.168619999997</v>
      </c>
      <c r="BE182" s="3">
        <f t="shared" si="54"/>
        <v>26008.168619999997</v>
      </c>
      <c r="BF182" s="3">
        <f t="shared" si="54"/>
        <v>26008.168619999997</v>
      </c>
      <c r="BG182" s="3">
        <f t="shared" si="54"/>
        <v>26008.168619999997</v>
      </c>
      <c r="BH182" s="3">
        <f t="shared" si="54"/>
        <v>26008.168619999997</v>
      </c>
      <c r="BI182" s="3">
        <f t="shared" si="54"/>
        <v>26008.168619999997</v>
      </c>
      <c r="BJ182" s="3">
        <f t="shared" si="54"/>
        <v>26008.168619999997</v>
      </c>
      <c r="BK182" s="3">
        <f t="shared" si="54"/>
        <v>26008.168619999997</v>
      </c>
      <c r="BL182" s="3">
        <f t="shared" si="54"/>
        <v>26008.168619999997</v>
      </c>
      <c r="BM182" s="3">
        <f t="shared" si="54"/>
        <v>26008.168619999997</v>
      </c>
      <c r="BN182" s="3">
        <f t="shared" si="54"/>
        <v>26008.168619999997</v>
      </c>
      <c r="BO182" s="3">
        <f t="shared" si="54"/>
        <v>26008.168619999997</v>
      </c>
      <c r="BP182" s="3">
        <f t="shared" si="54"/>
        <v>26008.168619999997</v>
      </c>
      <c r="BQ182" s="3">
        <f t="shared" si="54"/>
        <v>26008.168619999997</v>
      </c>
      <c r="BR182" s="3">
        <f t="shared" si="54"/>
        <v>26008.168619999997</v>
      </c>
    </row>
    <row r="183" spans="1:70" hidden="1" x14ac:dyDescent="0.25">
      <c r="A183" s="6">
        <v>37</v>
      </c>
      <c r="B183" s="6" t="s">
        <v>400</v>
      </c>
      <c r="C183" s="6" t="s">
        <v>401</v>
      </c>
      <c r="D183" s="6">
        <v>2</v>
      </c>
      <c r="E183" s="6" t="s">
        <v>491</v>
      </c>
      <c r="F183" s="6" t="s">
        <v>553</v>
      </c>
      <c r="G183" s="6" t="s">
        <v>505</v>
      </c>
      <c r="H183" s="6" t="s">
        <v>501</v>
      </c>
      <c r="I183" s="6">
        <v>0</v>
      </c>
      <c r="J183" s="6">
        <v>70</v>
      </c>
      <c r="K183" s="6"/>
      <c r="L183" s="6"/>
      <c r="M183" s="6"/>
      <c r="N183" s="6"/>
      <c r="O183" s="6"/>
      <c r="P183" s="6"/>
      <c r="Q183" s="6"/>
      <c r="R183" s="6"/>
      <c r="S183" s="6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spans="1:70" hidden="1" x14ac:dyDescent="0.25">
      <c r="A184" s="6">
        <v>37</v>
      </c>
      <c r="B184" s="6" t="s">
        <v>400</v>
      </c>
      <c r="C184" s="6" t="s">
        <v>401</v>
      </c>
      <c r="D184" s="6">
        <v>3</v>
      </c>
      <c r="E184" s="6" t="s">
        <v>493</v>
      </c>
      <c r="F184" s="6" t="s">
        <v>506</v>
      </c>
      <c r="G184" s="6" t="s">
        <v>507</v>
      </c>
      <c r="H184" s="6"/>
      <c r="I184" s="6">
        <v>0</v>
      </c>
      <c r="J184" s="9"/>
      <c r="K184" s="9"/>
      <c r="L184" s="9"/>
      <c r="M184" s="9"/>
      <c r="N184" s="9"/>
      <c r="O184" s="9"/>
      <c r="P184" s="9"/>
      <c r="Q184" s="9"/>
      <c r="R184" s="9"/>
      <c r="S184" s="14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</row>
    <row r="185" spans="1:70" hidden="1" x14ac:dyDescent="0.25">
      <c r="A185" s="6">
        <v>37</v>
      </c>
      <c r="B185" s="6" t="s">
        <v>400</v>
      </c>
      <c r="C185" s="6" t="s">
        <v>401</v>
      </c>
      <c r="D185" s="6">
        <v>4</v>
      </c>
      <c r="E185" s="6" t="s">
        <v>494</v>
      </c>
      <c r="F185" s="6"/>
      <c r="G185" s="6"/>
      <c r="H185" s="6"/>
      <c r="I185" s="6">
        <v>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spans="1:70" hidden="1" x14ac:dyDescent="0.25">
      <c r="A186" s="6">
        <v>37</v>
      </c>
      <c r="B186" s="6" t="s">
        <v>400</v>
      </c>
      <c r="C186" s="6" t="s">
        <v>401</v>
      </c>
      <c r="D186" s="6">
        <v>5</v>
      </c>
      <c r="E186" s="6" t="s">
        <v>496</v>
      </c>
      <c r="F186" s="6"/>
      <c r="G186" s="6"/>
      <c r="H186" s="6"/>
      <c r="I186" s="6">
        <v>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spans="1:70" hidden="1" x14ac:dyDescent="0.25">
      <c r="A187" s="7">
        <v>38</v>
      </c>
      <c r="B187" s="7" t="s">
        <v>402</v>
      </c>
      <c r="C187" s="7" t="s">
        <v>403</v>
      </c>
      <c r="D187" s="7">
        <v>1</v>
      </c>
      <c r="E187" s="7" t="s">
        <v>489</v>
      </c>
      <c r="F187" s="7" t="s">
        <v>504</v>
      </c>
      <c r="G187" s="7" t="s">
        <v>505</v>
      </c>
      <c r="H187" s="7" t="s">
        <v>500</v>
      </c>
      <c r="I187" s="7">
        <v>0</v>
      </c>
      <c r="J187" s="41">
        <v>66067.5</v>
      </c>
      <c r="K187" s="41">
        <v>66067.5</v>
      </c>
      <c r="L187" s="41">
        <v>66067.5</v>
      </c>
      <c r="M187" s="41">
        <v>66067.5</v>
      </c>
      <c r="N187" s="41">
        <v>66067.5</v>
      </c>
      <c r="O187" s="41">
        <v>66067.5</v>
      </c>
      <c r="P187" s="41">
        <v>66067.5</v>
      </c>
      <c r="Q187" s="41">
        <v>66067.5</v>
      </c>
      <c r="R187" s="41">
        <v>66067.5</v>
      </c>
      <c r="S187" s="11">
        <v>63396.979166666672</v>
      </c>
      <c r="T187" s="3">
        <v>60726.458333333343</v>
      </c>
      <c r="U187" s="3">
        <v>58055.937500000007</v>
      </c>
      <c r="V187" s="3">
        <v>55385.416666666679</v>
      </c>
      <c r="W187" s="3">
        <v>52714.89583333335</v>
      </c>
      <c r="X187" s="3">
        <v>50044.375000000015</v>
      </c>
      <c r="Y187" s="3">
        <v>47373.854166666686</v>
      </c>
      <c r="Z187" s="3">
        <v>44703.333333333358</v>
      </c>
      <c r="AA187" s="3">
        <v>42032.812500000029</v>
      </c>
      <c r="AB187" s="3">
        <v>39362.291666666693</v>
      </c>
      <c r="AC187" s="3">
        <v>36691.770833333358</v>
      </c>
      <c r="AD187" s="3">
        <v>34021.25</v>
      </c>
      <c r="AE187" s="3">
        <v>33490.625</v>
      </c>
      <c r="AF187" s="3">
        <v>32960</v>
      </c>
      <c r="AG187" s="3">
        <v>32429.375</v>
      </c>
      <c r="AH187" s="3">
        <v>31898.75</v>
      </c>
      <c r="AI187" s="3">
        <v>31368.125</v>
      </c>
      <c r="AJ187" s="3">
        <v>30837.5</v>
      </c>
      <c r="AK187" s="3">
        <v>30306.875</v>
      </c>
      <c r="AL187" s="3">
        <v>29776.25</v>
      </c>
      <c r="AM187" s="3">
        <v>29245.625</v>
      </c>
      <c r="AN187" s="3">
        <v>28715</v>
      </c>
      <c r="AO187" s="3">
        <v>28184.375</v>
      </c>
      <c r="AP187" s="3">
        <v>27653.75</v>
      </c>
      <c r="AQ187" s="3">
        <v>27123.125</v>
      </c>
      <c r="AR187" s="3">
        <v>26592.5</v>
      </c>
      <c r="AS187" s="3">
        <v>26061.875</v>
      </c>
      <c r="AT187" s="3">
        <v>25531.25</v>
      </c>
      <c r="AU187" s="3">
        <v>25000.625</v>
      </c>
      <c r="AV187" s="3">
        <v>24470</v>
      </c>
      <c r="AW187" s="3">
        <v>23939.375</v>
      </c>
      <c r="AX187" s="3">
        <v>23408.75</v>
      </c>
      <c r="AY187" s="3">
        <f t="shared" ref="AY187:BR187" si="55">AX187</f>
        <v>23408.75</v>
      </c>
      <c r="AZ187" s="3">
        <f t="shared" si="55"/>
        <v>23408.75</v>
      </c>
      <c r="BA187" s="3">
        <f t="shared" si="55"/>
        <v>23408.75</v>
      </c>
      <c r="BB187" s="3">
        <f t="shared" si="55"/>
        <v>23408.75</v>
      </c>
      <c r="BC187" s="3">
        <f t="shared" si="55"/>
        <v>23408.75</v>
      </c>
      <c r="BD187" s="3">
        <f t="shared" si="55"/>
        <v>23408.75</v>
      </c>
      <c r="BE187" s="3">
        <f t="shared" si="55"/>
        <v>23408.75</v>
      </c>
      <c r="BF187" s="3">
        <f t="shared" si="55"/>
        <v>23408.75</v>
      </c>
      <c r="BG187" s="3">
        <f t="shared" si="55"/>
        <v>23408.75</v>
      </c>
      <c r="BH187" s="3">
        <f t="shared" si="55"/>
        <v>23408.75</v>
      </c>
      <c r="BI187" s="3">
        <f t="shared" si="55"/>
        <v>23408.75</v>
      </c>
      <c r="BJ187" s="3">
        <f t="shared" si="55"/>
        <v>23408.75</v>
      </c>
      <c r="BK187" s="3">
        <f t="shared" si="55"/>
        <v>23408.75</v>
      </c>
      <c r="BL187" s="3">
        <f t="shared" si="55"/>
        <v>23408.75</v>
      </c>
      <c r="BM187" s="3">
        <f t="shared" si="55"/>
        <v>23408.75</v>
      </c>
      <c r="BN187" s="3">
        <f t="shared" si="55"/>
        <v>23408.75</v>
      </c>
      <c r="BO187" s="3">
        <f t="shared" si="55"/>
        <v>23408.75</v>
      </c>
      <c r="BP187" s="3">
        <f t="shared" si="55"/>
        <v>23408.75</v>
      </c>
      <c r="BQ187" s="3">
        <f t="shared" si="55"/>
        <v>23408.75</v>
      </c>
      <c r="BR187" s="3">
        <f t="shared" si="55"/>
        <v>23408.75</v>
      </c>
    </row>
    <row r="188" spans="1:70" hidden="1" x14ac:dyDescent="0.25">
      <c r="A188" s="7">
        <v>38</v>
      </c>
      <c r="B188" s="7" t="s">
        <v>402</v>
      </c>
      <c r="C188" s="7" t="s">
        <v>403</v>
      </c>
      <c r="D188" s="7">
        <v>2</v>
      </c>
      <c r="E188" s="7" t="s">
        <v>491</v>
      </c>
      <c r="F188" s="7" t="s">
        <v>553</v>
      </c>
      <c r="G188" s="7" t="s">
        <v>505</v>
      </c>
      <c r="H188" s="7" t="s">
        <v>501</v>
      </c>
      <c r="I188" s="7">
        <v>0</v>
      </c>
      <c r="J188" s="7">
        <v>27</v>
      </c>
      <c r="K188" s="7"/>
      <c r="L188" s="7"/>
      <c r="M188" s="7"/>
      <c r="N188" s="7"/>
      <c r="O188" s="7"/>
      <c r="P188" s="7"/>
      <c r="Q188" s="7"/>
      <c r="R188" s="7"/>
      <c r="S188" s="7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spans="1:70" hidden="1" x14ac:dyDescent="0.25">
      <c r="A189" s="7">
        <v>38</v>
      </c>
      <c r="B189" s="7" t="s">
        <v>402</v>
      </c>
      <c r="C189" s="7" t="s">
        <v>403</v>
      </c>
      <c r="D189" s="7">
        <v>3</v>
      </c>
      <c r="E189" s="7" t="s">
        <v>493</v>
      </c>
      <c r="F189" s="7" t="s">
        <v>506</v>
      </c>
      <c r="G189" s="7" t="s">
        <v>507</v>
      </c>
      <c r="H189" s="7" t="s">
        <v>500</v>
      </c>
      <c r="I189" s="7">
        <v>0</v>
      </c>
      <c r="J189" s="12">
        <v>6</v>
      </c>
      <c r="K189" s="12">
        <v>6</v>
      </c>
      <c r="L189" s="12">
        <v>6</v>
      </c>
      <c r="M189" s="12">
        <v>6</v>
      </c>
      <c r="N189" s="12">
        <v>6</v>
      </c>
      <c r="O189" s="12">
        <v>6</v>
      </c>
      <c r="P189" s="12">
        <v>6</v>
      </c>
      <c r="Q189" s="12">
        <v>6</v>
      </c>
      <c r="R189" s="12">
        <v>6</v>
      </c>
      <c r="S189" s="12">
        <v>6</v>
      </c>
      <c r="T189" s="10">
        <v>6</v>
      </c>
      <c r="U189" s="10">
        <f t="shared" ref="U189:AN189" si="56">T189-$T189/20</f>
        <v>5.7</v>
      </c>
      <c r="V189" s="10">
        <f t="shared" si="56"/>
        <v>5.4</v>
      </c>
      <c r="W189" s="10">
        <f t="shared" si="56"/>
        <v>5.1000000000000005</v>
      </c>
      <c r="X189" s="10">
        <f t="shared" si="56"/>
        <v>4.8000000000000007</v>
      </c>
      <c r="Y189" s="10">
        <f t="shared" si="56"/>
        <v>4.5000000000000009</v>
      </c>
      <c r="Z189" s="10">
        <f t="shared" si="56"/>
        <v>4.2000000000000011</v>
      </c>
      <c r="AA189" s="10">
        <f t="shared" si="56"/>
        <v>3.9000000000000012</v>
      </c>
      <c r="AB189" s="10">
        <f t="shared" si="56"/>
        <v>3.6000000000000014</v>
      </c>
      <c r="AC189" s="10">
        <f t="shared" si="56"/>
        <v>3.3000000000000016</v>
      </c>
      <c r="AD189" s="10">
        <f t="shared" si="56"/>
        <v>3.0000000000000018</v>
      </c>
      <c r="AE189" s="10">
        <f t="shared" si="56"/>
        <v>2.700000000000002</v>
      </c>
      <c r="AF189" s="10">
        <f t="shared" si="56"/>
        <v>2.4000000000000021</v>
      </c>
      <c r="AG189" s="10">
        <f t="shared" si="56"/>
        <v>2.1000000000000023</v>
      </c>
      <c r="AH189" s="10">
        <f t="shared" si="56"/>
        <v>1.8000000000000023</v>
      </c>
      <c r="AI189" s="10">
        <f t="shared" si="56"/>
        <v>1.5000000000000022</v>
      </c>
      <c r="AJ189" s="10">
        <f t="shared" si="56"/>
        <v>1.2000000000000022</v>
      </c>
      <c r="AK189" s="10">
        <f t="shared" si="56"/>
        <v>0.90000000000000213</v>
      </c>
      <c r="AL189" s="10">
        <f t="shared" si="56"/>
        <v>0.60000000000000209</v>
      </c>
      <c r="AM189" s="10">
        <f t="shared" si="56"/>
        <v>0.3000000000000021</v>
      </c>
      <c r="AN189" s="10">
        <f t="shared" si="56"/>
        <v>2.1094237467877974E-15</v>
      </c>
      <c r="AO189" s="10">
        <v>2.1094237467877974E-15</v>
      </c>
      <c r="AP189" s="10">
        <v>2.1094237467877974E-15</v>
      </c>
      <c r="AQ189" s="10">
        <v>2.1094237467877974E-15</v>
      </c>
      <c r="AR189" s="10">
        <v>2.1094237467877974E-15</v>
      </c>
      <c r="AS189" s="10">
        <v>2.1094237467877974E-15</v>
      </c>
      <c r="AT189" s="10">
        <v>2.1094237467877974E-15</v>
      </c>
      <c r="AU189" s="10">
        <v>2.1094237467877974E-15</v>
      </c>
      <c r="AV189" s="10">
        <v>2.1094237467877974E-15</v>
      </c>
      <c r="AW189" s="10">
        <v>2.1094237467877974E-15</v>
      </c>
      <c r="AX189" s="10">
        <v>2.1094237467877974E-15</v>
      </c>
      <c r="AY189" s="10">
        <v>2.1094237467877974E-15</v>
      </c>
      <c r="AZ189" s="10">
        <v>2.1094237467877974E-15</v>
      </c>
      <c r="BA189" s="10">
        <v>2.1094237467877974E-15</v>
      </c>
      <c r="BB189" s="10">
        <v>2.1094237467877974E-15</v>
      </c>
      <c r="BC189" s="10">
        <v>2.1094237467877974E-15</v>
      </c>
      <c r="BD189" s="10">
        <v>2.1094237467877974E-15</v>
      </c>
      <c r="BE189" s="10">
        <v>2.1094237467877974E-15</v>
      </c>
      <c r="BF189" s="10">
        <v>2.1094237467877974E-15</v>
      </c>
      <c r="BG189" s="10">
        <v>2.1094237467877974E-15</v>
      </c>
      <c r="BH189" s="10">
        <v>2.1094237467877974E-15</v>
      </c>
      <c r="BI189" s="10">
        <v>2.1094237467877974E-15</v>
      </c>
      <c r="BJ189" s="10">
        <v>2.1094237467877974E-15</v>
      </c>
      <c r="BK189" s="10">
        <v>2.1094237467877974E-15</v>
      </c>
      <c r="BL189" s="10">
        <v>2.1094237467877974E-15</v>
      </c>
      <c r="BM189" s="10">
        <v>2.1094237467877974E-15</v>
      </c>
      <c r="BN189" s="10">
        <v>2.1094237467877974E-15</v>
      </c>
      <c r="BO189" s="10">
        <v>2.1094237467877974E-15</v>
      </c>
      <c r="BP189" s="10">
        <v>2.1094237467877974E-15</v>
      </c>
      <c r="BQ189" s="10">
        <v>2.1094237467877974E-15</v>
      </c>
      <c r="BR189" s="10">
        <v>2.1094237467877974E-15</v>
      </c>
    </row>
    <row r="190" spans="1:70" hidden="1" x14ac:dyDescent="0.25">
      <c r="A190" s="7">
        <v>38</v>
      </c>
      <c r="B190" s="7" t="s">
        <v>402</v>
      </c>
      <c r="C190" s="7" t="s">
        <v>403</v>
      </c>
      <c r="D190" s="7">
        <v>4</v>
      </c>
      <c r="E190" s="7" t="s">
        <v>494</v>
      </c>
      <c r="F190" s="7"/>
      <c r="G190" s="7"/>
      <c r="H190" s="7"/>
      <c r="I190" s="7">
        <v>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spans="1:70" hidden="1" x14ac:dyDescent="0.25">
      <c r="A191" s="7">
        <v>38</v>
      </c>
      <c r="B191" s="7" t="s">
        <v>402</v>
      </c>
      <c r="C191" s="7" t="s">
        <v>403</v>
      </c>
      <c r="D191" s="7">
        <v>5</v>
      </c>
      <c r="E191" s="7" t="s">
        <v>496</v>
      </c>
      <c r="F191" s="7"/>
      <c r="G191" s="7"/>
      <c r="H191" s="7"/>
      <c r="I191" s="7">
        <v>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spans="1:70" hidden="1" x14ac:dyDescent="0.25">
      <c r="A192" s="6">
        <v>39</v>
      </c>
      <c r="B192" s="6" t="s">
        <v>404</v>
      </c>
      <c r="C192" s="6" t="s">
        <v>405</v>
      </c>
      <c r="D192" s="6">
        <v>1</v>
      </c>
      <c r="E192" s="6" t="s">
        <v>489</v>
      </c>
      <c r="F192" s="6" t="s">
        <v>504</v>
      </c>
      <c r="G192" s="6" t="s">
        <v>505</v>
      </c>
      <c r="H192" s="6" t="s">
        <v>500</v>
      </c>
      <c r="I192" s="6">
        <v>0</v>
      </c>
      <c r="J192" s="40">
        <v>26163.144000000004</v>
      </c>
      <c r="K192" s="40">
        <v>26163.144000000004</v>
      </c>
      <c r="L192" s="40">
        <v>26163.144000000004</v>
      </c>
      <c r="M192" s="40">
        <v>26163.144000000004</v>
      </c>
      <c r="N192" s="40">
        <v>26163.144000000004</v>
      </c>
      <c r="O192" s="40">
        <v>26163.144000000004</v>
      </c>
      <c r="P192" s="40">
        <v>26163.144000000004</v>
      </c>
      <c r="Q192" s="40">
        <v>26163.144000000004</v>
      </c>
      <c r="R192" s="40">
        <v>26163.144000000004</v>
      </c>
      <c r="S192" s="8">
        <v>26216.902000000002</v>
      </c>
      <c r="T192" s="3">
        <v>26270.66</v>
      </c>
      <c r="U192" s="3">
        <v>26324.417999999998</v>
      </c>
      <c r="V192" s="3">
        <v>26378.175999999996</v>
      </c>
      <c r="W192" s="3">
        <v>26431.933999999997</v>
      </c>
      <c r="X192" s="3">
        <v>26485.691999999995</v>
      </c>
      <c r="Y192" s="3">
        <v>26539.449999999993</v>
      </c>
      <c r="Z192" s="3">
        <v>26593.207999999991</v>
      </c>
      <c r="AA192" s="3">
        <v>26646.965999999989</v>
      </c>
      <c r="AB192" s="3">
        <v>26700.723999999991</v>
      </c>
      <c r="AC192" s="3">
        <v>26754.481999999989</v>
      </c>
      <c r="AD192" s="3">
        <v>26808.240000000002</v>
      </c>
      <c r="AE192" s="3">
        <v>26869.398000000001</v>
      </c>
      <c r="AF192" s="3">
        <v>26930.556</v>
      </c>
      <c r="AG192" s="3">
        <v>26991.714</v>
      </c>
      <c r="AH192" s="3">
        <v>27052.871999999999</v>
      </c>
      <c r="AI192" s="3">
        <v>27114.030000000002</v>
      </c>
      <c r="AJ192" s="3">
        <v>27175.188000000002</v>
      </c>
      <c r="AK192" s="3">
        <v>27236.346000000001</v>
      </c>
      <c r="AL192" s="3">
        <v>27297.504000000001</v>
      </c>
      <c r="AM192" s="3">
        <v>27358.662</v>
      </c>
      <c r="AN192" s="3">
        <v>27419.820000000003</v>
      </c>
      <c r="AO192" s="3">
        <v>27480.978000000003</v>
      </c>
      <c r="AP192" s="3">
        <v>27542.136000000002</v>
      </c>
      <c r="AQ192" s="3">
        <v>27603.294000000002</v>
      </c>
      <c r="AR192" s="3">
        <v>27664.452000000001</v>
      </c>
      <c r="AS192" s="3">
        <v>27725.610000000004</v>
      </c>
      <c r="AT192" s="3">
        <v>27786.768000000004</v>
      </c>
      <c r="AU192" s="3">
        <v>27847.926000000003</v>
      </c>
      <c r="AV192" s="3">
        <v>27909.084000000003</v>
      </c>
      <c r="AW192" s="3">
        <v>27970.242000000002</v>
      </c>
      <c r="AX192" s="3">
        <v>28031.399999999998</v>
      </c>
      <c r="AY192" s="3">
        <f t="shared" ref="AY192:BR192" si="57">AX192</f>
        <v>28031.399999999998</v>
      </c>
      <c r="AZ192" s="3">
        <f t="shared" si="57"/>
        <v>28031.399999999998</v>
      </c>
      <c r="BA192" s="3">
        <f t="shared" si="57"/>
        <v>28031.399999999998</v>
      </c>
      <c r="BB192" s="3">
        <f t="shared" si="57"/>
        <v>28031.399999999998</v>
      </c>
      <c r="BC192" s="3">
        <f t="shared" si="57"/>
        <v>28031.399999999998</v>
      </c>
      <c r="BD192" s="3">
        <f t="shared" si="57"/>
        <v>28031.399999999998</v>
      </c>
      <c r="BE192" s="3">
        <f t="shared" si="57"/>
        <v>28031.399999999998</v>
      </c>
      <c r="BF192" s="3">
        <f t="shared" si="57"/>
        <v>28031.399999999998</v>
      </c>
      <c r="BG192" s="3">
        <f t="shared" si="57"/>
        <v>28031.399999999998</v>
      </c>
      <c r="BH192" s="3">
        <f t="shared" si="57"/>
        <v>28031.399999999998</v>
      </c>
      <c r="BI192" s="3">
        <f t="shared" si="57"/>
        <v>28031.399999999998</v>
      </c>
      <c r="BJ192" s="3">
        <f t="shared" si="57"/>
        <v>28031.399999999998</v>
      </c>
      <c r="BK192" s="3">
        <f t="shared" si="57"/>
        <v>28031.399999999998</v>
      </c>
      <c r="BL192" s="3">
        <f t="shared" si="57"/>
        <v>28031.399999999998</v>
      </c>
      <c r="BM192" s="3">
        <f t="shared" si="57"/>
        <v>28031.399999999998</v>
      </c>
      <c r="BN192" s="3">
        <f t="shared" si="57"/>
        <v>28031.399999999998</v>
      </c>
      <c r="BO192" s="3">
        <f t="shared" si="57"/>
        <v>28031.399999999998</v>
      </c>
      <c r="BP192" s="3">
        <f t="shared" si="57"/>
        <v>28031.399999999998</v>
      </c>
      <c r="BQ192" s="3">
        <f t="shared" si="57"/>
        <v>28031.399999999998</v>
      </c>
      <c r="BR192" s="3">
        <f t="shared" si="57"/>
        <v>28031.399999999998</v>
      </c>
    </row>
    <row r="193" spans="1:70" hidden="1" x14ac:dyDescent="0.25">
      <c r="A193" s="6">
        <v>39</v>
      </c>
      <c r="B193" s="6" t="s">
        <v>404</v>
      </c>
      <c r="C193" s="6" t="s">
        <v>405</v>
      </c>
      <c r="D193" s="6">
        <v>2</v>
      </c>
      <c r="E193" s="6" t="s">
        <v>491</v>
      </c>
      <c r="F193" s="6" t="s">
        <v>553</v>
      </c>
      <c r="G193" s="6" t="s">
        <v>505</v>
      </c>
      <c r="H193" s="6" t="s">
        <v>501</v>
      </c>
      <c r="I193" s="6">
        <v>0</v>
      </c>
      <c r="J193" s="6">
        <v>73</v>
      </c>
      <c r="K193" s="6"/>
      <c r="L193" s="6"/>
      <c r="M193" s="6"/>
      <c r="N193" s="6"/>
      <c r="O193" s="6"/>
      <c r="P193" s="6"/>
      <c r="Q193" s="6"/>
      <c r="R193" s="6"/>
      <c r="S193" s="6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spans="1:70" hidden="1" x14ac:dyDescent="0.25">
      <c r="A194" s="6">
        <v>39</v>
      </c>
      <c r="B194" s="6" t="s">
        <v>404</v>
      </c>
      <c r="C194" s="6" t="s">
        <v>405</v>
      </c>
      <c r="D194" s="6">
        <v>3</v>
      </c>
      <c r="E194" s="6" t="s">
        <v>493</v>
      </c>
      <c r="F194" s="6" t="s">
        <v>506</v>
      </c>
      <c r="G194" s="6" t="s">
        <v>507</v>
      </c>
      <c r="H194" s="6" t="s">
        <v>500</v>
      </c>
      <c r="I194" s="6">
        <v>0</v>
      </c>
      <c r="J194" s="9">
        <v>48513</v>
      </c>
      <c r="K194" s="9">
        <v>48513</v>
      </c>
      <c r="L194" s="9">
        <v>48513</v>
      </c>
      <c r="M194" s="9">
        <v>48513</v>
      </c>
      <c r="N194" s="9">
        <v>48513</v>
      </c>
      <c r="O194" s="9">
        <v>48513</v>
      </c>
      <c r="P194" s="9">
        <v>48513</v>
      </c>
      <c r="Q194" s="9">
        <v>48513</v>
      </c>
      <c r="R194" s="9">
        <v>48513</v>
      </c>
      <c r="S194" s="14">
        <f>R194</f>
        <v>48513</v>
      </c>
      <c r="T194" s="10">
        <f>S194</f>
        <v>48513</v>
      </c>
      <c r="U194" s="10">
        <f t="shared" ref="U194:AN194" si="58">T194-$T194/20</f>
        <v>46087.35</v>
      </c>
      <c r="V194" s="10">
        <f t="shared" si="58"/>
        <v>43661.7</v>
      </c>
      <c r="W194" s="10">
        <f t="shared" si="58"/>
        <v>41236.049999999996</v>
      </c>
      <c r="X194" s="10">
        <f t="shared" si="58"/>
        <v>38810.399999999994</v>
      </c>
      <c r="Y194" s="10">
        <f t="shared" si="58"/>
        <v>36384.749999999993</v>
      </c>
      <c r="Z194" s="10">
        <f t="shared" si="58"/>
        <v>33959.099999999991</v>
      </c>
      <c r="AA194" s="10">
        <f t="shared" si="58"/>
        <v>31533.44999999999</v>
      </c>
      <c r="AB194" s="10">
        <f t="shared" si="58"/>
        <v>29107.799999999988</v>
      </c>
      <c r="AC194" s="10">
        <f t="shared" si="58"/>
        <v>26682.149999999987</v>
      </c>
      <c r="AD194" s="10">
        <f t="shared" si="58"/>
        <v>24256.499999999985</v>
      </c>
      <c r="AE194" s="10">
        <f t="shared" si="58"/>
        <v>21830.849999999984</v>
      </c>
      <c r="AF194" s="10">
        <f t="shared" si="58"/>
        <v>19405.199999999983</v>
      </c>
      <c r="AG194" s="10">
        <f t="shared" si="58"/>
        <v>16979.549999999981</v>
      </c>
      <c r="AH194" s="10">
        <f t="shared" si="58"/>
        <v>14553.899999999981</v>
      </c>
      <c r="AI194" s="10">
        <f t="shared" si="58"/>
        <v>12128.249999999982</v>
      </c>
      <c r="AJ194" s="10">
        <f t="shared" si="58"/>
        <v>9702.5999999999822</v>
      </c>
      <c r="AK194" s="10">
        <f t="shared" si="58"/>
        <v>7276.9499999999825</v>
      </c>
      <c r="AL194" s="10">
        <f t="shared" si="58"/>
        <v>4851.2999999999829</v>
      </c>
      <c r="AM194" s="10">
        <f t="shared" si="58"/>
        <v>2425.6499999999828</v>
      </c>
      <c r="AN194" s="10">
        <f t="shared" si="58"/>
        <v>-1.7280399333685637E-11</v>
      </c>
      <c r="AO194" s="10">
        <v>-1.7280399333685637E-11</v>
      </c>
      <c r="AP194" s="10">
        <v>-1.7280399333685637E-11</v>
      </c>
      <c r="AQ194" s="10">
        <v>-1.7280399333685637E-11</v>
      </c>
      <c r="AR194" s="10">
        <v>-1.7280399333685637E-11</v>
      </c>
      <c r="AS194" s="10">
        <v>-1.7280399333685637E-11</v>
      </c>
      <c r="AT194" s="10">
        <v>-1.7280399333685637E-11</v>
      </c>
      <c r="AU194" s="10">
        <v>-1.7280399333685637E-11</v>
      </c>
      <c r="AV194" s="10">
        <v>-1.7280399333685637E-11</v>
      </c>
      <c r="AW194" s="10">
        <v>-1.7280399333685637E-11</v>
      </c>
      <c r="AX194" s="10">
        <v>-1.7280399333685637E-11</v>
      </c>
      <c r="AY194" s="10">
        <v>-1.7280399333685637E-11</v>
      </c>
      <c r="AZ194" s="10">
        <v>-1.7280399333685637E-11</v>
      </c>
      <c r="BA194" s="10">
        <v>-1.7280399333685637E-11</v>
      </c>
      <c r="BB194" s="10">
        <v>-1.7280399333685637E-11</v>
      </c>
      <c r="BC194" s="10">
        <v>-1.7280399333685637E-11</v>
      </c>
      <c r="BD194" s="10">
        <v>-1.7280399333685637E-11</v>
      </c>
      <c r="BE194" s="10">
        <v>-1.7280399333685637E-11</v>
      </c>
      <c r="BF194" s="10">
        <v>-1.7280399333685637E-11</v>
      </c>
      <c r="BG194" s="10">
        <v>-1.7280399333685637E-11</v>
      </c>
      <c r="BH194" s="10">
        <v>-1.7280399333685637E-11</v>
      </c>
      <c r="BI194" s="10">
        <v>-1.7280399333685637E-11</v>
      </c>
      <c r="BJ194" s="10">
        <v>-1.7280399333685637E-11</v>
      </c>
      <c r="BK194" s="10">
        <v>-1.7280399333685637E-11</v>
      </c>
      <c r="BL194" s="10">
        <v>-1.7280399333685637E-11</v>
      </c>
      <c r="BM194" s="10">
        <v>-1.7280399333685637E-11</v>
      </c>
      <c r="BN194" s="10">
        <v>-1.7280399333685637E-11</v>
      </c>
      <c r="BO194" s="10">
        <v>-1.7280399333685637E-11</v>
      </c>
      <c r="BP194" s="10">
        <v>-1.7280399333685637E-11</v>
      </c>
      <c r="BQ194" s="10">
        <v>-1.7280399333685637E-11</v>
      </c>
      <c r="BR194" s="10">
        <v>-1.7280399333685637E-11</v>
      </c>
    </row>
    <row r="195" spans="1:70" hidden="1" x14ac:dyDescent="0.25">
      <c r="A195" s="6">
        <v>39</v>
      </c>
      <c r="B195" s="6" t="s">
        <v>404</v>
      </c>
      <c r="C195" s="6" t="s">
        <v>405</v>
      </c>
      <c r="D195" s="6">
        <v>4</v>
      </c>
      <c r="E195" s="6" t="s">
        <v>494</v>
      </c>
      <c r="F195" s="6"/>
      <c r="G195" s="6"/>
      <c r="H195" s="6"/>
      <c r="I195" s="6">
        <v>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spans="1:70" hidden="1" x14ac:dyDescent="0.25">
      <c r="A196" s="6">
        <v>39</v>
      </c>
      <c r="B196" s="6" t="s">
        <v>404</v>
      </c>
      <c r="C196" s="6" t="s">
        <v>405</v>
      </c>
      <c r="D196" s="6">
        <v>5</v>
      </c>
      <c r="E196" s="6" t="s">
        <v>496</v>
      </c>
      <c r="F196" s="6"/>
      <c r="G196" s="6"/>
      <c r="H196" s="6"/>
      <c r="I196" s="6">
        <v>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spans="1:70" hidden="1" x14ac:dyDescent="0.25">
      <c r="A197" s="7">
        <v>40</v>
      </c>
      <c r="B197" s="7" t="s">
        <v>406</v>
      </c>
      <c r="C197" s="7" t="s">
        <v>407</v>
      </c>
      <c r="D197" s="7">
        <v>1</v>
      </c>
      <c r="E197" s="7" t="s">
        <v>489</v>
      </c>
      <c r="F197" s="7" t="s">
        <v>504</v>
      </c>
      <c r="G197" s="7" t="s">
        <v>505</v>
      </c>
      <c r="H197" s="7" t="s">
        <v>500</v>
      </c>
      <c r="I197" s="7">
        <v>0</v>
      </c>
      <c r="J197" s="41">
        <v>39512.160000000003</v>
      </c>
      <c r="K197" s="41">
        <v>39512.160000000003</v>
      </c>
      <c r="L197" s="41">
        <v>39512.160000000003</v>
      </c>
      <c r="M197" s="41">
        <v>39512.160000000003</v>
      </c>
      <c r="N197" s="41">
        <v>39512.160000000003</v>
      </c>
      <c r="O197" s="41">
        <v>39512.160000000003</v>
      </c>
      <c r="P197" s="41">
        <v>39512.160000000003</v>
      </c>
      <c r="Q197" s="41">
        <v>39512.160000000003</v>
      </c>
      <c r="R197" s="41">
        <v>39512.160000000003</v>
      </c>
      <c r="S197" s="11">
        <v>38562.43</v>
      </c>
      <c r="T197" s="3">
        <v>37612.700000000004</v>
      </c>
      <c r="U197" s="3">
        <v>36662.970000000008</v>
      </c>
      <c r="V197" s="3">
        <v>35713.240000000005</v>
      </c>
      <c r="W197" s="3">
        <v>34763.510000000009</v>
      </c>
      <c r="X197" s="3">
        <v>33813.780000000006</v>
      </c>
      <c r="Y197" s="3">
        <v>32864.05000000001</v>
      </c>
      <c r="Z197" s="3">
        <v>31914.320000000011</v>
      </c>
      <c r="AA197" s="3">
        <v>30964.590000000011</v>
      </c>
      <c r="AB197" s="3">
        <v>30014.860000000015</v>
      </c>
      <c r="AC197" s="3">
        <v>29065.130000000016</v>
      </c>
      <c r="AD197" s="3">
        <v>28115.399999999998</v>
      </c>
      <c r="AE197" s="3">
        <v>28091.360520000002</v>
      </c>
      <c r="AF197" s="3">
        <v>28067.321040000003</v>
      </c>
      <c r="AG197" s="3">
        <v>28043.281560000007</v>
      </c>
      <c r="AH197" s="3">
        <v>28019.242080000007</v>
      </c>
      <c r="AI197" s="3">
        <v>27995.202600000008</v>
      </c>
      <c r="AJ197" s="3">
        <v>27971.163120000012</v>
      </c>
      <c r="AK197" s="3">
        <v>27947.123640000013</v>
      </c>
      <c r="AL197" s="3">
        <v>27923.084160000017</v>
      </c>
      <c r="AM197" s="3">
        <v>27899.044680000017</v>
      </c>
      <c r="AN197" s="3">
        <v>27875.005200000018</v>
      </c>
      <c r="AO197" s="3">
        <v>27850.965720000022</v>
      </c>
      <c r="AP197" s="3">
        <v>27826.926240000023</v>
      </c>
      <c r="AQ197" s="3">
        <v>27802.886760000027</v>
      </c>
      <c r="AR197" s="3">
        <v>27778.847280000027</v>
      </c>
      <c r="AS197" s="3">
        <v>27754.807800000028</v>
      </c>
      <c r="AT197" s="3">
        <v>27730.768320000032</v>
      </c>
      <c r="AU197" s="3">
        <v>27706.728840000033</v>
      </c>
      <c r="AV197" s="3">
        <v>27682.689360000037</v>
      </c>
      <c r="AW197" s="3">
        <v>27658.649880000037</v>
      </c>
      <c r="AX197" s="3">
        <v>27634.610400000001</v>
      </c>
      <c r="AY197" s="3">
        <f t="shared" ref="AY197:BR197" si="59">AX197</f>
        <v>27634.610400000001</v>
      </c>
      <c r="AZ197" s="3">
        <f t="shared" si="59"/>
        <v>27634.610400000001</v>
      </c>
      <c r="BA197" s="3">
        <f t="shared" si="59"/>
        <v>27634.610400000001</v>
      </c>
      <c r="BB197" s="3">
        <f t="shared" si="59"/>
        <v>27634.610400000001</v>
      </c>
      <c r="BC197" s="3">
        <f t="shared" si="59"/>
        <v>27634.610400000001</v>
      </c>
      <c r="BD197" s="3">
        <f t="shared" si="59"/>
        <v>27634.610400000001</v>
      </c>
      <c r="BE197" s="3">
        <f t="shared" si="59"/>
        <v>27634.610400000001</v>
      </c>
      <c r="BF197" s="3">
        <f t="shared" si="59"/>
        <v>27634.610400000001</v>
      </c>
      <c r="BG197" s="3">
        <f t="shared" si="59"/>
        <v>27634.610400000001</v>
      </c>
      <c r="BH197" s="3">
        <f t="shared" si="59"/>
        <v>27634.610400000001</v>
      </c>
      <c r="BI197" s="3">
        <f t="shared" si="59"/>
        <v>27634.610400000001</v>
      </c>
      <c r="BJ197" s="3">
        <f t="shared" si="59"/>
        <v>27634.610400000001</v>
      </c>
      <c r="BK197" s="3">
        <f t="shared" si="59"/>
        <v>27634.610400000001</v>
      </c>
      <c r="BL197" s="3">
        <f t="shared" si="59"/>
        <v>27634.610400000001</v>
      </c>
      <c r="BM197" s="3">
        <f t="shared" si="59"/>
        <v>27634.610400000001</v>
      </c>
      <c r="BN197" s="3">
        <f t="shared" si="59"/>
        <v>27634.610400000001</v>
      </c>
      <c r="BO197" s="3">
        <f t="shared" si="59"/>
        <v>27634.610400000001</v>
      </c>
      <c r="BP197" s="3">
        <f t="shared" si="59"/>
        <v>27634.610400000001</v>
      </c>
      <c r="BQ197" s="3">
        <f t="shared" si="59"/>
        <v>27634.610400000001</v>
      </c>
      <c r="BR197" s="3">
        <f t="shared" si="59"/>
        <v>27634.610400000001</v>
      </c>
    </row>
    <row r="198" spans="1:70" hidden="1" x14ac:dyDescent="0.25">
      <c r="A198" s="7">
        <v>40</v>
      </c>
      <c r="B198" s="7" t="s">
        <v>406</v>
      </c>
      <c r="C198" s="7" t="s">
        <v>407</v>
      </c>
      <c r="D198" s="7">
        <v>2</v>
      </c>
      <c r="E198" s="7" t="s">
        <v>491</v>
      </c>
      <c r="F198" s="7" t="s">
        <v>553</v>
      </c>
      <c r="G198" s="7" t="s">
        <v>505</v>
      </c>
      <c r="H198" s="7" t="s">
        <v>501</v>
      </c>
      <c r="I198" s="7">
        <v>0</v>
      </c>
      <c r="J198" s="7">
        <v>70</v>
      </c>
      <c r="K198" s="7"/>
      <c r="L198" s="7"/>
      <c r="M198" s="7"/>
      <c r="N198" s="7"/>
      <c r="O198" s="7"/>
      <c r="P198" s="7"/>
      <c r="Q198" s="7"/>
      <c r="R198" s="7"/>
      <c r="S198" s="7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spans="1:70" hidden="1" x14ac:dyDescent="0.25">
      <c r="A199" s="7">
        <v>40</v>
      </c>
      <c r="B199" s="7" t="s">
        <v>406</v>
      </c>
      <c r="C199" s="7" t="s">
        <v>407</v>
      </c>
      <c r="D199" s="7">
        <v>3</v>
      </c>
      <c r="E199" s="7" t="s">
        <v>493</v>
      </c>
      <c r="F199" s="7" t="s">
        <v>506</v>
      </c>
      <c r="G199" s="7" t="s">
        <v>507</v>
      </c>
      <c r="H199" s="7" t="s">
        <v>500</v>
      </c>
      <c r="I199" s="7">
        <v>0</v>
      </c>
      <c r="J199" s="12">
        <v>77</v>
      </c>
      <c r="K199" s="12">
        <v>77</v>
      </c>
      <c r="L199" s="12">
        <v>77</v>
      </c>
      <c r="M199" s="12">
        <v>77</v>
      </c>
      <c r="N199" s="12">
        <v>77</v>
      </c>
      <c r="O199" s="12">
        <v>77</v>
      </c>
      <c r="P199" s="12">
        <v>77</v>
      </c>
      <c r="Q199" s="12">
        <v>77</v>
      </c>
      <c r="R199" s="12">
        <v>77</v>
      </c>
      <c r="S199" s="12">
        <v>67</v>
      </c>
      <c r="T199" s="10">
        <f>S199</f>
        <v>67</v>
      </c>
      <c r="U199" s="10">
        <f t="shared" ref="U199:AN199" si="60">T199-$T199/20</f>
        <v>63.65</v>
      </c>
      <c r="V199" s="10">
        <f t="shared" si="60"/>
        <v>60.3</v>
      </c>
      <c r="W199" s="10">
        <f t="shared" si="60"/>
        <v>56.949999999999996</v>
      </c>
      <c r="X199" s="10">
        <f t="shared" si="60"/>
        <v>53.599999999999994</v>
      </c>
      <c r="Y199" s="10">
        <f t="shared" si="60"/>
        <v>50.249999999999993</v>
      </c>
      <c r="Z199" s="10">
        <f t="shared" si="60"/>
        <v>46.899999999999991</v>
      </c>
      <c r="AA199" s="10">
        <f t="shared" si="60"/>
        <v>43.54999999999999</v>
      </c>
      <c r="AB199" s="10">
        <f t="shared" si="60"/>
        <v>40.199999999999989</v>
      </c>
      <c r="AC199" s="10">
        <f t="shared" si="60"/>
        <v>36.849999999999987</v>
      </c>
      <c r="AD199" s="10">
        <f t="shared" si="60"/>
        <v>33.499999999999986</v>
      </c>
      <c r="AE199" s="10">
        <f t="shared" si="60"/>
        <v>30.149999999999984</v>
      </c>
      <c r="AF199" s="10">
        <f t="shared" si="60"/>
        <v>26.799999999999983</v>
      </c>
      <c r="AG199" s="10">
        <f t="shared" si="60"/>
        <v>23.449999999999982</v>
      </c>
      <c r="AH199" s="10">
        <f t="shared" si="60"/>
        <v>20.09999999999998</v>
      </c>
      <c r="AI199" s="10">
        <f t="shared" si="60"/>
        <v>16.749999999999979</v>
      </c>
      <c r="AJ199" s="10">
        <f t="shared" si="60"/>
        <v>13.399999999999979</v>
      </c>
      <c r="AK199" s="10">
        <f t="shared" si="60"/>
        <v>10.049999999999979</v>
      </c>
      <c r="AL199" s="10">
        <f t="shared" si="60"/>
        <v>6.6999999999999797</v>
      </c>
      <c r="AM199" s="10">
        <f t="shared" si="60"/>
        <v>3.3499999999999797</v>
      </c>
      <c r="AN199" s="10">
        <f t="shared" si="60"/>
        <v>-2.042810365310288E-14</v>
      </c>
      <c r="AO199" s="10">
        <v>-2.042810365310288E-14</v>
      </c>
      <c r="AP199" s="10">
        <v>-2.042810365310288E-14</v>
      </c>
      <c r="AQ199" s="10">
        <v>-2.042810365310288E-14</v>
      </c>
      <c r="AR199" s="10">
        <v>-2.042810365310288E-14</v>
      </c>
      <c r="AS199" s="10">
        <v>-2.042810365310288E-14</v>
      </c>
      <c r="AT199" s="10">
        <v>-2.042810365310288E-14</v>
      </c>
      <c r="AU199" s="10">
        <v>-2.042810365310288E-14</v>
      </c>
      <c r="AV199" s="10">
        <v>-2.042810365310288E-14</v>
      </c>
      <c r="AW199" s="10">
        <v>-2.042810365310288E-14</v>
      </c>
      <c r="AX199" s="10">
        <v>-2.042810365310288E-14</v>
      </c>
      <c r="AY199" s="10">
        <v>-2.042810365310288E-14</v>
      </c>
      <c r="AZ199" s="10">
        <v>-2.042810365310288E-14</v>
      </c>
      <c r="BA199" s="10">
        <v>-2.042810365310288E-14</v>
      </c>
      <c r="BB199" s="10">
        <v>-2.042810365310288E-14</v>
      </c>
      <c r="BC199" s="10">
        <v>-2.042810365310288E-14</v>
      </c>
      <c r="BD199" s="10">
        <v>-2.042810365310288E-14</v>
      </c>
      <c r="BE199" s="10">
        <v>-2.042810365310288E-14</v>
      </c>
      <c r="BF199" s="10">
        <v>-2.042810365310288E-14</v>
      </c>
      <c r="BG199" s="10">
        <v>-2.042810365310288E-14</v>
      </c>
      <c r="BH199" s="10">
        <v>-2.042810365310288E-14</v>
      </c>
      <c r="BI199" s="10">
        <v>-2.042810365310288E-14</v>
      </c>
      <c r="BJ199" s="10">
        <v>-2.042810365310288E-14</v>
      </c>
      <c r="BK199" s="10">
        <v>-2.042810365310288E-14</v>
      </c>
      <c r="BL199" s="10">
        <v>-2.042810365310288E-14</v>
      </c>
      <c r="BM199" s="10">
        <v>-2.042810365310288E-14</v>
      </c>
      <c r="BN199" s="10">
        <v>-2.042810365310288E-14</v>
      </c>
      <c r="BO199" s="10">
        <v>-2.042810365310288E-14</v>
      </c>
      <c r="BP199" s="10">
        <v>-2.042810365310288E-14</v>
      </c>
      <c r="BQ199" s="10">
        <v>-2.042810365310288E-14</v>
      </c>
      <c r="BR199" s="10">
        <v>-2.042810365310288E-14</v>
      </c>
    </row>
    <row r="200" spans="1:70" hidden="1" x14ac:dyDescent="0.25">
      <c r="A200" s="7">
        <v>40</v>
      </c>
      <c r="B200" s="7" t="s">
        <v>406</v>
      </c>
      <c r="C200" s="7" t="s">
        <v>407</v>
      </c>
      <c r="D200" s="7">
        <v>4</v>
      </c>
      <c r="E200" s="7" t="s">
        <v>494</v>
      </c>
      <c r="F200" s="7"/>
      <c r="G200" s="7"/>
      <c r="H200" s="7"/>
      <c r="I200" s="7">
        <v>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spans="1:70" hidden="1" x14ac:dyDescent="0.25">
      <c r="A201" s="7">
        <v>40</v>
      </c>
      <c r="B201" s="7" t="s">
        <v>406</v>
      </c>
      <c r="C201" s="7" t="s">
        <v>407</v>
      </c>
      <c r="D201" s="7">
        <v>5</v>
      </c>
      <c r="E201" s="7" t="s">
        <v>496</v>
      </c>
      <c r="F201" s="7"/>
      <c r="G201" s="7"/>
      <c r="H201" s="7"/>
      <c r="I201" s="7">
        <v>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spans="1:70" hidden="1" x14ac:dyDescent="0.25">
      <c r="A202" s="6">
        <v>41</v>
      </c>
      <c r="B202" s="6" t="s">
        <v>408</v>
      </c>
      <c r="C202" s="6" t="s">
        <v>409</v>
      </c>
      <c r="D202" s="6">
        <v>1</v>
      </c>
      <c r="E202" s="6" t="s">
        <v>489</v>
      </c>
      <c r="F202" s="6" t="s">
        <v>504</v>
      </c>
      <c r="G202" s="6" t="s">
        <v>505</v>
      </c>
      <c r="H202" s="6" t="s">
        <v>500</v>
      </c>
      <c r="I202" s="6">
        <v>0</v>
      </c>
      <c r="J202" s="40">
        <v>23570.399999999998</v>
      </c>
      <c r="K202" s="40">
        <v>23570.399999999998</v>
      </c>
      <c r="L202" s="40">
        <v>23570.399999999998</v>
      </c>
      <c r="M202" s="40">
        <v>23570.399999999998</v>
      </c>
      <c r="N202" s="40">
        <v>23570.399999999998</v>
      </c>
      <c r="O202" s="40">
        <v>23570.399999999998</v>
      </c>
      <c r="P202" s="40">
        <v>23570.399999999998</v>
      </c>
      <c r="Q202" s="40">
        <v>23570.399999999998</v>
      </c>
      <c r="R202" s="40">
        <v>23570.399999999998</v>
      </c>
      <c r="S202" s="8">
        <v>23590.041999999998</v>
      </c>
      <c r="T202" s="3">
        <v>23609.683999999997</v>
      </c>
      <c r="U202" s="3">
        <v>23629.325999999994</v>
      </c>
      <c r="V202" s="3">
        <v>23648.967999999993</v>
      </c>
      <c r="W202" s="3">
        <v>23668.60999999999</v>
      </c>
      <c r="X202" s="3">
        <v>23688.251999999989</v>
      </c>
      <c r="Y202" s="3">
        <v>23707.893999999989</v>
      </c>
      <c r="Z202" s="3">
        <v>23727.535999999986</v>
      </c>
      <c r="AA202" s="3">
        <v>23747.177999999985</v>
      </c>
      <c r="AB202" s="3">
        <v>23766.819999999982</v>
      </c>
      <c r="AC202" s="3">
        <v>23786.461999999981</v>
      </c>
      <c r="AD202" s="3">
        <v>23806.104000000003</v>
      </c>
      <c r="AE202" s="3">
        <v>23984.649780000003</v>
      </c>
      <c r="AF202" s="3">
        <v>24163.195560000004</v>
      </c>
      <c r="AG202" s="3">
        <v>24341.741340000004</v>
      </c>
      <c r="AH202" s="3">
        <v>24520.287120000005</v>
      </c>
      <c r="AI202" s="3">
        <v>24698.832900000005</v>
      </c>
      <c r="AJ202" s="3">
        <v>24877.378680000005</v>
      </c>
      <c r="AK202" s="3">
        <v>25055.924460000006</v>
      </c>
      <c r="AL202" s="3">
        <v>25234.470240000006</v>
      </c>
      <c r="AM202" s="3">
        <v>25413.016020000006</v>
      </c>
      <c r="AN202" s="3">
        <v>25591.561800000007</v>
      </c>
      <c r="AO202" s="3">
        <v>25770.107580000007</v>
      </c>
      <c r="AP202" s="3">
        <v>25948.653360000008</v>
      </c>
      <c r="AQ202" s="3">
        <v>26127.199140000008</v>
      </c>
      <c r="AR202" s="3">
        <v>26305.744920000008</v>
      </c>
      <c r="AS202" s="3">
        <v>26484.290700000009</v>
      </c>
      <c r="AT202" s="3">
        <v>26662.836480000009</v>
      </c>
      <c r="AU202" s="3">
        <v>26841.382260000009</v>
      </c>
      <c r="AV202" s="3">
        <v>27019.92804000001</v>
      </c>
      <c r="AW202" s="3">
        <v>27198.47382000001</v>
      </c>
      <c r="AX202" s="3">
        <v>27377.0196</v>
      </c>
      <c r="AY202" s="3">
        <f t="shared" ref="AY202:BR202" si="61">AX202</f>
        <v>27377.0196</v>
      </c>
      <c r="AZ202" s="3">
        <f t="shared" si="61"/>
        <v>27377.0196</v>
      </c>
      <c r="BA202" s="3">
        <f t="shared" si="61"/>
        <v>27377.0196</v>
      </c>
      <c r="BB202" s="3">
        <f t="shared" si="61"/>
        <v>27377.0196</v>
      </c>
      <c r="BC202" s="3">
        <f t="shared" si="61"/>
        <v>27377.0196</v>
      </c>
      <c r="BD202" s="3">
        <f t="shared" si="61"/>
        <v>27377.0196</v>
      </c>
      <c r="BE202" s="3">
        <f t="shared" si="61"/>
        <v>27377.0196</v>
      </c>
      <c r="BF202" s="3">
        <f t="shared" si="61"/>
        <v>27377.0196</v>
      </c>
      <c r="BG202" s="3">
        <f t="shared" si="61"/>
        <v>27377.0196</v>
      </c>
      <c r="BH202" s="3">
        <f t="shared" si="61"/>
        <v>27377.0196</v>
      </c>
      <c r="BI202" s="3">
        <f t="shared" si="61"/>
        <v>27377.0196</v>
      </c>
      <c r="BJ202" s="3">
        <f t="shared" si="61"/>
        <v>27377.0196</v>
      </c>
      <c r="BK202" s="3">
        <f t="shared" si="61"/>
        <v>27377.0196</v>
      </c>
      <c r="BL202" s="3">
        <f t="shared" si="61"/>
        <v>27377.0196</v>
      </c>
      <c r="BM202" s="3">
        <f t="shared" si="61"/>
        <v>27377.0196</v>
      </c>
      <c r="BN202" s="3">
        <f t="shared" si="61"/>
        <v>27377.0196</v>
      </c>
      <c r="BO202" s="3">
        <f t="shared" si="61"/>
        <v>27377.0196</v>
      </c>
      <c r="BP202" s="3">
        <f t="shared" si="61"/>
        <v>27377.0196</v>
      </c>
      <c r="BQ202" s="3">
        <f t="shared" si="61"/>
        <v>27377.0196</v>
      </c>
      <c r="BR202" s="3">
        <f t="shared" si="61"/>
        <v>27377.0196</v>
      </c>
    </row>
    <row r="203" spans="1:70" hidden="1" x14ac:dyDescent="0.25">
      <c r="A203" s="6">
        <v>41</v>
      </c>
      <c r="B203" s="6" t="s">
        <v>408</v>
      </c>
      <c r="C203" s="6" t="s">
        <v>409</v>
      </c>
      <c r="D203" s="6">
        <v>2</v>
      </c>
      <c r="E203" s="6" t="s">
        <v>491</v>
      </c>
      <c r="F203" s="6" t="s">
        <v>553</v>
      </c>
      <c r="G203" s="6" t="s">
        <v>505</v>
      </c>
      <c r="H203" s="6" t="s">
        <v>501</v>
      </c>
      <c r="I203" s="6">
        <v>0</v>
      </c>
      <c r="J203" s="6">
        <v>70</v>
      </c>
      <c r="K203" s="6"/>
      <c r="L203" s="6"/>
      <c r="M203" s="6"/>
      <c r="N203" s="6"/>
      <c r="O203" s="6"/>
      <c r="P203" s="6"/>
      <c r="Q203" s="6"/>
      <c r="R203" s="6"/>
      <c r="S203" s="6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spans="1:70" hidden="1" x14ac:dyDescent="0.25">
      <c r="A204" s="6">
        <v>41</v>
      </c>
      <c r="B204" s="6" t="s">
        <v>408</v>
      </c>
      <c r="C204" s="6" t="s">
        <v>409</v>
      </c>
      <c r="D204" s="6">
        <v>3</v>
      </c>
      <c r="E204" s="6" t="s">
        <v>493</v>
      </c>
      <c r="F204" s="6" t="s">
        <v>506</v>
      </c>
      <c r="G204" s="6" t="s">
        <v>507</v>
      </c>
      <c r="H204" s="6" t="s">
        <v>500</v>
      </c>
      <c r="I204" s="6">
        <v>0</v>
      </c>
      <c r="J204" s="9">
        <v>163368</v>
      </c>
      <c r="K204" s="9">
        <v>163368</v>
      </c>
      <c r="L204" s="9">
        <v>163368</v>
      </c>
      <c r="M204" s="9">
        <v>163368</v>
      </c>
      <c r="N204" s="9">
        <v>163368</v>
      </c>
      <c r="O204" s="9">
        <v>163368</v>
      </c>
      <c r="P204" s="9">
        <v>163368</v>
      </c>
      <c r="Q204" s="9">
        <v>163368</v>
      </c>
      <c r="R204" s="9">
        <v>163368</v>
      </c>
      <c r="S204" s="14">
        <v>151271</v>
      </c>
      <c r="T204" s="10">
        <f>S204</f>
        <v>151271</v>
      </c>
      <c r="U204" s="10">
        <f t="shared" ref="U204:AN204" si="62">T204-$T204/20</f>
        <v>143707.45000000001</v>
      </c>
      <c r="V204" s="10">
        <f t="shared" si="62"/>
        <v>136143.90000000002</v>
      </c>
      <c r="W204" s="10">
        <f t="shared" si="62"/>
        <v>128580.35000000002</v>
      </c>
      <c r="X204" s="10">
        <f t="shared" si="62"/>
        <v>121016.80000000002</v>
      </c>
      <c r="Y204" s="10">
        <f t="shared" si="62"/>
        <v>113453.25000000001</v>
      </c>
      <c r="Z204" s="10">
        <f t="shared" si="62"/>
        <v>105889.70000000001</v>
      </c>
      <c r="AA204" s="10">
        <f t="shared" si="62"/>
        <v>98326.150000000009</v>
      </c>
      <c r="AB204" s="10">
        <f t="shared" si="62"/>
        <v>90762.6</v>
      </c>
      <c r="AC204" s="10">
        <f t="shared" si="62"/>
        <v>83199.05</v>
      </c>
      <c r="AD204" s="10">
        <f t="shared" si="62"/>
        <v>75635.5</v>
      </c>
      <c r="AE204" s="10">
        <f t="shared" si="62"/>
        <v>68071.95</v>
      </c>
      <c r="AF204" s="10">
        <f t="shared" si="62"/>
        <v>60508.399999999994</v>
      </c>
      <c r="AG204" s="10">
        <f t="shared" si="62"/>
        <v>52944.849999999991</v>
      </c>
      <c r="AH204" s="10">
        <f t="shared" si="62"/>
        <v>45381.299999999988</v>
      </c>
      <c r="AI204" s="10">
        <f t="shared" si="62"/>
        <v>37817.749999999985</v>
      </c>
      <c r="AJ204" s="10">
        <f t="shared" si="62"/>
        <v>30254.199999999986</v>
      </c>
      <c r="AK204" s="10">
        <f t="shared" si="62"/>
        <v>22690.649999999987</v>
      </c>
      <c r="AL204" s="10">
        <f t="shared" si="62"/>
        <v>15127.099999999988</v>
      </c>
      <c r="AM204" s="10">
        <f t="shared" si="62"/>
        <v>7563.5499999999874</v>
      </c>
      <c r="AN204" s="10">
        <f t="shared" si="62"/>
        <v>-1.2732925824820995E-11</v>
      </c>
      <c r="AO204" s="10">
        <v>-1.2732925824820995E-11</v>
      </c>
      <c r="AP204" s="10">
        <v>-1.2732925824820995E-11</v>
      </c>
      <c r="AQ204" s="10">
        <v>-1.2732925824820995E-11</v>
      </c>
      <c r="AR204" s="10">
        <v>-1.2732925824820995E-11</v>
      </c>
      <c r="AS204" s="10">
        <v>-1.2732925824820995E-11</v>
      </c>
      <c r="AT204" s="10">
        <v>-1.2732925824820995E-11</v>
      </c>
      <c r="AU204" s="10">
        <v>-1.2732925824820995E-11</v>
      </c>
      <c r="AV204" s="10">
        <v>-1.2732925824820995E-11</v>
      </c>
      <c r="AW204" s="10">
        <v>-1.2732925824820995E-11</v>
      </c>
      <c r="AX204" s="10">
        <v>-1.2732925824820995E-11</v>
      </c>
      <c r="AY204" s="10">
        <v>-1.2732925824820995E-11</v>
      </c>
      <c r="AZ204" s="10">
        <v>-1.2732925824820995E-11</v>
      </c>
      <c r="BA204" s="10">
        <v>-1.2732925824820995E-11</v>
      </c>
      <c r="BB204" s="10">
        <v>-1.2732925824820995E-11</v>
      </c>
      <c r="BC204" s="10">
        <v>-1.2732925824820995E-11</v>
      </c>
      <c r="BD204" s="10">
        <v>-1.2732925824820995E-11</v>
      </c>
      <c r="BE204" s="10">
        <v>-1.2732925824820995E-11</v>
      </c>
      <c r="BF204" s="10">
        <v>-1.2732925824820995E-11</v>
      </c>
      <c r="BG204" s="10">
        <v>-1.2732925824820995E-11</v>
      </c>
      <c r="BH204" s="10">
        <v>-1.2732925824820995E-11</v>
      </c>
      <c r="BI204" s="10">
        <v>-1.2732925824820995E-11</v>
      </c>
      <c r="BJ204" s="10">
        <v>-1.2732925824820995E-11</v>
      </c>
      <c r="BK204" s="10">
        <v>-1.2732925824820995E-11</v>
      </c>
      <c r="BL204" s="10">
        <v>-1.2732925824820995E-11</v>
      </c>
      <c r="BM204" s="10">
        <v>-1.2732925824820995E-11</v>
      </c>
      <c r="BN204" s="10">
        <v>-1.2732925824820995E-11</v>
      </c>
      <c r="BO204" s="10">
        <v>-1.2732925824820995E-11</v>
      </c>
      <c r="BP204" s="10">
        <v>-1.2732925824820995E-11</v>
      </c>
      <c r="BQ204" s="10">
        <v>-1.2732925824820995E-11</v>
      </c>
      <c r="BR204" s="10">
        <v>-1.2732925824820995E-11</v>
      </c>
    </row>
    <row r="205" spans="1:70" hidden="1" x14ac:dyDescent="0.25">
      <c r="A205" s="6">
        <v>41</v>
      </c>
      <c r="B205" s="6" t="s">
        <v>408</v>
      </c>
      <c r="C205" s="6" t="s">
        <v>409</v>
      </c>
      <c r="D205" s="6">
        <v>4</v>
      </c>
      <c r="E205" s="6" t="s">
        <v>494</v>
      </c>
      <c r="F205" s="6"/>
      <c r="G205" s="6"/>
      <c r="H205" s="6"/>
      <c r="I205" s="6">
        <v>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spans="1:70" hidden="1" x14ac:dyDescent="0.25">
      <c r="A206" s="6">
        <v>41</v>
      </c>
      <c r="B206" s="6" t="s">
        <v>408</v>
      </c>
      <c r="C206" s="6" t="s">
        <v>409</v>
      </c>
      <c r="D206" s="6">
        <v>5</v>
      </c>
      <c r="E206" s="6" t="s">
        <v>496</v>
      </c>
      <c r="F206" s="6"/>
      <c r="G206" s="6"/>
      <c r="H206" s="6"/>
      <c r="I206" s="6">
        <v>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spans="1:70" hidden="1" x14ac:dyDescent="0.25">
      <c r="A207" s="7">
        <v>42</v>
      </c>
      <c r="B207" s="7" t="s">
        <v>410</v>
      </c>
      <c r="C207" s="7" t="s">
        <v>411</v>
      </c>
      <c r="D207" s="7">
        <v>1</v>
      </c>
      <c r="E207" s="7" t="s">
        <v>489</v>
      </c>
      <c r="F207" s="7" t="s">
        <v>504</v>
      </c>
      <c r="G207" s="7" t="s">
        <v>505</v>
      </c>
      <c r="H207" s="7" t="s">
        <v>500</v>
      </c>
      <c r="I207" s="7">
        <v>0</v>
      </c>
      <c r="J207" s="41">
        <v>27105.959999999995</v>
      </c>
      <c r="K207" s="41">
        <v>27105.959999999995</v>
      </c>
      <c r="L207" s="41">
        <v>27105.959999999995</v>
      </c>
      <c r="M207" s="41">
        <v>27105.959999999995</v>
      </c>
      <c r="N207" s="41">
        <v>27105.959999999995</v>
      </c>
      <c r="O207" s="41">
        <v>27105.959999999995</v>
      </c>
      <c r="P207" s="41">
        <v>27105.959999999995</v>
      </c>
      <c r="Q207" s="41">
        <v>27105.959999999995</v>
      </c>
      <c r="R207" s="41">
        <v>27105.959999999995</v>
      </c>
      <c r="S207" s="11">
        <v>27179.822763015902</v>
      </c>
      <c r="T207" s="3">
        <v>27118.118721228067</v>
      </c>
      <c r="U207" s="3">
        <v>27048.749398666016</v>
      </c>
      <c r="V207" s="3">
        <v>26851.096756480321</v>
      </c>
      <c r="W207" s="3">
        <v>26648.324137481206</v>
      </c>
      <c r="X207" s="3">
        <v>26441.870617369568</v>
      </c>
      <c r="Y207" s="3">
        <v>26230.316699705734</v>
      </c>
      <c r="Z207" s="3">
        <v>26015.062301668146</v>
      </c>
      <c r="AA207" s="3">
        <v>25795.402569852271</v>
      </c>
      <c r="AB207" s="3">
        <v>25570.671809376061</v>
      </c>
      <c r="AC207" s="3">
        <v>25342.211199634236</v>
      </c>
      <c r="AD207" s="3">
        <v>25108.699140493292</v>
      </c>
      <c r="AE207" s="3">
        <v>25234.242636195759</v>
      </c>
      <c r="AF207" s="3">
        <v>25359.786131898225</v>
      </c>
      <c r="AG207" s="3">
        <v>25485.329627600691</v>
      </c>
      <c r="AH207" s="3">
        <v>25610.873123303161</v>
      </c>
      <c r="AI207" s="3">
        <v>25736.416619005628</v>
      </c>
      <c r="AJ207" s="3">
        <v>25861.960114708094</v>
      </c>
      <c r="AK207" s="3">
        <v>25987.50361041056</v>
      </c>
      <c r="AL207" s="3">
        <v>26113.047106113027</v>
      </c>
      <c r="AM207" s="3">
        <v>26238.590601815493</v>
      </c>
      <c r="AN207" s="3">
        <v>26364.134097517959</v>
      </c>
      <c r="AO207" s="3">
        <v>26489.677593220425</v>
      </c>
      <c r="AP207" s="3">
        <v>26615.221088922892</v>
      </c>
      <c r="AQ207" s="3">
        <v>26740.764584625358</v>
      </c>
      <c r="AR207" s="3">
        <v>26866.308080327824</v>
      </c>
      <c r="AS207" s="3">
        <v>26991.851576030291</v>
      </c>
      <c r="AT207" s="3">
        <v>27117.395071732757</v>
      </c>
      <c r="AU207" s="3">
        <v>27242.938567435223</v>
      </c>
      <c r="AV207" s="3">
        <v>27368.48206313769</v>
      </c>
      <c r="AW207" s="3">
        <v>27494.025558840156</v>
      </c>
      <c r="AX207" s="3">
        <v>27619.569054542626</v>
      </c>
      <c r="AY207" s="3">
        <f t="shared" ref="AY207:BR207" si="63">AX207</f>
        <v>27619.569054542626</v>
      </c>
      <c r="AZ207" s="3">
        <f t="shared" si="63"/>
        <v>27619.569054542626</v>
      </c>
      <c r="BA207" s="3">
        <f t="shared" si="63"/>
        <v>27619.569054542626</v>
      </c>
      <c r="BB207" s="3">
        <f t="shared" si="63"/>
        <v>27619.569054542626</v>
      </c>
      <c r="BC207" s="3">
        <f t="shared" si="63"/>
        <v>27619.569054542626</v>
      </c>
      <c r="BD207" s="3">
        <f t="shared" si="63"/>
        <v>27619.569054542626</v>
      </c>
      <c r="BE207" s="3">
        <f t="shared" si="63"/>
        <v>27619.569054542626</v>
      </c>
      <c r="BF207" s="3">
        <f t="shared" si="63"/>
        <v>27619.569054542626</v>
      </c>
      <c r="BG207" s="3">
        <f t="shared" si="63"/>
        <v>27619.569054542626</v>
      </c>
      <c r="BH207" s="3">
        <f t="shared" si="63"/>
        <v>27619.569054542626</v>
      </c>
      <c r="BI207" s="3">
        <f t="shared" si="63"/>
        <v>27619.569054542626</v>
      </c>
      <c r="BJ207" s="3">
        <f t="shared" si="63"/>
        <v>27619.569054542626</v>
      </c>
      <c r="BK207" s="3">
        <f t="shared" si="63"/>
        <v>27619.569054542626</v>
      </c>
      <c r="BL207" s="3">
        <f t="shared" si="63"/>
        <v>27619.569054542626</v>
      </c>
      <c r="BM207" s="3">
        <f t="shared" si="63"/>
        <v>27619.569054542626</v>
      </c>
      <c r="BN207" s="3">
        <f t="shared" si="63"/>
        <v>27619.569054542626</v>
      </c>
      <c r="BO207" s="3">
        <f t="shared" si="63"/>
        <v>27619.569054542626</v>
      </c>
      <c r="BP207" s="3">
        <f t="shared" si="63"/>
        <v>27619.569054542626</v>
      </c>
      <c r="BQ207" s="3">
        <f t="shared" si="63"/>
        <v>27619.569054542626</v>
      </c>
      <c r="BR207" s="3">
        <f t="shared" si="63"/>
        <v>27619.569054542626</v>
      </c>
    </row>
    <row r="208" spans="1:70" hidden="1" x14ac:dyDescent="0.25">
      <c r="A208" s="7">
        <v>42</v>
      </c>
      <c r="B208" s="7" t="s">
        <v>410</v>
      </c>
      <c r="C208" s="7" t="s">
        <v>411</v>
      </c>
      <c r="D208" s="7">
        <v>2</v>
      </c>
      <c r="E208" s="7" t="s">
        <v>491</v>
      </c>
      <c r="F208" s="7" t="s">
        <v>553</v>
      </c>
      <c r="G208" s="7" t="s">
        <v>505</v>
      </c>
      <c r="H208" s="7" t="s">
        <v>501</v>
      </c>
      <c r="I208" s="7">
        <v>0</v>
      </c>
      <c r="J208" s="7">
        <v>70</v>
      </c>
      <c r="K208" s="7"/>
      <c r="L208" s="7"/>
      <c r="M208" s="7"/>
      <c r="N208" s="7"/>
      <c r="O208" s="7"/>
      <c r="P208" s="7"/>
      <c r="Q208" s="7"/>
      <c r="R208" s="7"/>
      <c r="S208" s="7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spans="1:70" hidden="1" x14ac:dyDescent="0.25">
      <c r="A209" s="7">
        <v>42</v>
      </c>
      <c r="B209" s="7" t="s">
        <v>410</v>
      </c>
      <c r="C209" s="7" t="s">
        <v>411</v>
      </c>
      <c r="D209" s="7">
        <v>3</v>
      </c>
      <c r="E209" s="7" t="s">
        <v>493</v>
      </c>
      <c r="F209" s="7" t="s">
        <v>506</v>
      </c>
      <c r="G209" s="7" t="s">
        <v>507</v>
      </c>
      <c r="H209" s="7" t="s">
        <v>500</v>
      </c>
      <c r="I209" s="7">
        <v>0</v>
      </c>
      <c r="J209" s="12">
        <v>13</v>
      </c>
      <c r="K209" s="12">
        <v>13</v>
      </c>
      <c r="L209" s="12">
        <v>13</v>
      </c>
      <c r="M209" s="12">
        <v>13</v>
      </c>
      <c r="N209" s="12">
        <v>13</v>
      </c>
      <c r="O209" s="12">
        <v>13</v>
      </c>
      <c r="P209" s="12">
        <v>13</v>
      </c>
      <c r="Q209" s="12">
        <v>13</v>
      </c>
      <c r="R209" s="12">
        <v>13</v>
      </c>
      <c r="S209" s="12">
        <v>11</v>
      </c>
      <c r="T209" s="10">
        <v>10</v>
      </c>
      <c r="U209" s="10">
        <f t="shared" ref="U209:AN209" si="64">T209-$T209/20</f>
        <v>9.5</v>
      </c>
      <c r="V209" s="10">
        <f t="shared" si="64"/>
        <v>9</v>
      </c>
      <c r="W209" s="10">
        <f t="shared" si="64"/>
        <v>8.5</v>
      </c>
      <c r="X209" s="10">
        <f t="shared" si="64"/>
        <v>8</v>
      </c>
      <c r="Y209" s="10">
        <f t="shared" si="64"/>
        <v>7.5</v>
      </c>
      <c r="Z209" s="10">
        <f t="shared" si="64"/>
        <v>7</v>
      </c>
      <c r="AA209" s="10">
        <f t="shared" si="64"/>
        <v>6.5</v>
      </c>
      <c r="AB209" s="10">
        <f t="shared" si="64"/>
        <v>6</v>
      </c>
      <c r="AC209" s="10">
        <f t="shared" si="64"/>
        <v>5.5</v>
      </c>
      <c r="AD209" s="10">
        <f t="shared" si="64"/>
        <v>5</v>
      </c>
      <c r="AE209" s="10">
        <f t="shared" si="64"/>
        <v>4.5</v>
      </c>
      <c r="AF209" s="10">
        <f t="shared" si="64"/>
        <v>4</v>
      </c>
      <c r="AG209" s="10">
        <f t="shared" si="64"/>
        <v>3.5</v>
      </c>
      <c r="AH209" s="10">
        <f t="shared" si="64"/>
        <v>3</v>
      </c>
      <c r="AI209" s="10">
        <f t="shared" si="64"/>
        <v>2.5</v>
      </c>
      <c r="AJ209" s="10">
        <f t="shared" si="64"/>
        <v>2</v>
      </c>
      <c r="AK209" s="10">
        <f t="shared" si="64"/>
        <v>1.5</v>
      </c>
      <c r="AL209" s="10">
        <f t="shared" si="64"/>
        <v>1</v>
      </c>
      <c r="AM209" s="10">
        <f t="shared" si="64"/>
        <v>0.5</v>
      </c>
      <c r="AN209" s="10">
        <f t="shared" si="64"/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</row>
    <row r="210" spans="1:70" hidden="1" x14ac:dyDescent="0.25">
      <c r="A210" s="7">
        <v>42</v>
      </c>
      <c r="B210" s="7" t="s">
        <v>410</v>
      </c>
      <c r="C210" s="7" t="s">
        <v>411</v>
      </c>
      <c r="D210" s="7">
        <v>4</v>
      </c>
      <c r="E210" s="7" t="s">
        <v>494</v>
      </c>
      <c r="F210" s="7"/>
      <c r="G210" s="7"/>
      <c r="H210" s="7"/>
      <c r="I210" s="7">
        <v>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spans="1:70" hidden="1" x14ac:dyDescent="0.25">
      <c r="A211" s="7">
        <v>42</v>
      </c>
      <c r="B211" s="7" t="s">
        <v>410</v>
      </c>
      <c r="C211" s="7" t="s">
        <v>411</v>
      </c>
      <c r="D211" s="7">
        <v>5</v>
      </c>
      <c r="E211" s="7" t="s">
        <v>496</v>
      </c>
      <c r="F211" s="7"/>
      <c r="G211" s="7"/>
      <c r="H211" s="7"/>
      <c r="I211" s="7">
        <v>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spans="1:70" hidden="1" x14ac:dyDescent="0.25">
      <c r="A212" s="6">
        <v>43</v>
      </c>
      <c r="B212" s="6" t="s">
        <v>412</v>
      </c>
      <c r="C212" s="6" t="s">
        <v>413</v>
      </c>
      <c r="D212" s="6">
        <v>1</v>
      </c>
      <c r="E212" s="6" t="s">
        <v>489</v>
      </c>
      <c r="F212" s="6" t="s">
        <v>504</v>
      </c>
      <c r="G212" s="6" t="s">
        <v>505</v>
      </c>
      <c r="H212" s="6" t="s">
        <v>500</v>
      </c>
      <c r="I212" s="6">
        <v>0</v>
      </c>
      <c r="J212" s="40">
        <v>229745.45454545456</v>
      </c>
      <c r="K212" s="40">
        <v>229745.45454545456</v>
      </c>
      <c r="L212" s="40">
        <v>229745.45454545456</v>
      </c>
      <c r="M212" s="40">
        <v>229745.45454545456</v>
      </c>
      <c r="N212" s="40">
        <v>229745.45454545456</v>
      </c>
      <c r="O212" s="40">
        <v>229745.45454545456</v>
      </c>
      <c r="P212" s="40">
        <v>229745.45454545456</v>
      </c>
      <c r="Q212" s="40">
        <v>229745.45454545456</v>
      </c>
      <c r="R212" s="40">
        <v>229745.45454545456</v>
      </c>
      <c r="S212" s="8">
        <v>223525.62885119393</v>
      </c>
      <c r="T212" s="3">
        <v>218424.04585860251</v>
      </c>
      <c r="U212" s="3">
        <v>213360.47376286273</v>
      </c>
      <c r="V212" s="3">
        <v>209269.57111364556</v>
      </c>
      <c r="W212" s="3">
        <v>205163.96886984099</v>
      </c>
      <c r="X212" s="3">
        <v>201032.8836968744</v>
      </c>
      <c r="Y212" s="3">
        <v>196887.53364720999</v>
      </c>
      <c r="Z212" s="3">
        <v>192717.69018541975</v>
      </c>
      <c r="AA212" s="3">
        <v>188529.05054458446</v>
      </c>
      <c r="AB212" s="3">
        <v>184326.74356557609</v>
      </c>
      <c r="AC212" s="3">
        <v>180101.35744084805</v>
      </c>
      <c r="AD212" s="3">
        <v>175862.66959162147</v>
      </c>
      <c r="AE212" s="3">
        <v>174381.16478484331</v>
      </c>
      <c r="AF212" s="3">
        <v>172909.81813486433</v>
      </c>
      <c r="AG212" s="3">
        <v>171448.47594865365</v>
      </c>
      <c r="AH212" s="3">
        <v>169996.98761812528</v>
      </c>
      <c r="AI212" s="3">
        <v>168555.20554312252</v>
      </c>
      <c r="AJ212" s="3">
        <v>167122.98505669879</v>
      </c>
      <c r="AK212" s="3">
        <v>165700.1843526141</v>
      </c>
      <c r="AL212" s="3">
        <v>164286.6644149721</v>
      </c>
      <c r="AM212" s="3">
        <v>162882.28894992336</v>
      </c>
      <c r="AN212" s="3">
        <v>161486.92431936506</v>
      </c>
      <c r="AO212" s="3">
        <v>160100.43947656907</v>
      </c>
      <c r="AP212" s="3">
        <v>158722.70590367325</v>
      </c>
      <c r="AQ212" s="3">
        <v>157353.59755097362</v>
      </c>
      <c r="AR212" s="3">
        <v>155992.99077795693</v>
      </c>
      <c r="AS212" s="3">
        <v>154640.76429601558</v>
      </c>
      <c r="AT212" s="3">
        <v>153300.44521685006</v>
      </c>
      <c r="AU212" s="3">
        <v>151964.5757836352</v>
      </c>
      <c r="AV212" s="3">
        <v>150636.7369851477</v>
      </c>
      <c r="AW212" s="3">
        <v>149316.81638760478</v>
      </c>
      <c r="AX212" s="3">
        <v>148004.7036463292</v>
      </c>
      <c r="AY212" s="3">
        <f t="shared" ref="AY212:BR212" si="65">AX212</f>
        <v>148004.7036463292</v>
      </c>
      <c r="AZ212" s="3">
        <f t="shared" si="65"/>
        <v>148004.7036463292</v>
      </c>
      <c r="BA212" s="3">
        <f t="shared" si="65"/>
        <v>148004.7036463292</v>
      </c>
      <c r="BB212" s="3">
        <f t="shared" si="65"/>
        <v>148004.7036463292</v>
      </c>
      <c r="BC212" s="3">
        <f t="shared" si="65"/>
        <v>148004.7036463292</v>
      </c>
      <c r="BD212" s="3">
        <f t="shared" si="65"/>
        <v>148004.7036463292</v>
      </c>
      <c r="BE212" s="3">
        <f t="shared" si="65"/>
        <v>148004.7036463292</v>
      </c>
      <c r="BF212" s="3">
        <f t="shared" si="65"/>
        <v>148004.7036463292</v>
      </c>
      <c r="BG212" s="3">
        <f t="shared" si="65"/>
        <v>148004.7036463292</v>
      </c>
      <c r="BH212" s="3">
        <f t="shared" si="65"/>
        <v>148004.7036463292</v>
      </c>
      <c r="BI212" s="3">
        <f t="shared" si="65"/>
        <v>148004.7036463292</v>
      </c>
      <c r="BJ212" s="3">
        <f t="shared" si="65"/>
        <v>148004.7036463292</v>
      </c>
      <c r="BK212" s="3">
        <f t="shared" si="65"/>
        <v>148004.7036463292</v>
      </c>
      <c r="BL212" s="3">
        <f t="shared" si="65"/>
        <v>148004.7036463292</v>
      </c>
      <c r="BM212" s="3">
        <f t="shared" si="65"/>
        <v>148004.7036463292</v>
      </c>
      <c r="BN212" s="3">
        <f t="shared" si="65"/>
        <v>148004.7036463292</v>
      </c>
      <c r="BO212" s="3">
        <f t="shared" si="65"/>
        <v>148004.7036463292</v>
      </c>
      <c r="BP212" s="3">
        <f t="shared" si="65"/>
        <v>148004.7036463292</v>
      </c>
      <c r="BQ212" s="3">
        <f t="shared" si="65"/>
        <v>148004.7036463292</v>
      </c>
      <c r="BR212" s="3">
        <f t="shared" si="65"/>
        <v>148004.7036463292</v>
      </c>
    </row>
    <row r="213" spans="1:70" hidden="1" x14ac:dyDescent="0.25">
      <c r="A213" s="6">
        <v>43</v>
      </c>
      <c r="B213" s="6" t="s">
        <v>412</v>
      </c>
      <c r="C213" s="6" t="s">
        <v>413</v>
      </c>
      <c r="D213" s="6">
        <v>2</v>
      </c>
      <c r="E213" s="6" t="s">
        <v>491</v>
      </c>
      <c r="F213" s="6" t="s">
        <v>553</v>
      </c>
      <c r="G213" s="6" t="s">
        <v>505</v>
      </c>
      <c r="H213" s="6" t="s">
        <v>501</v>
      </c>
      <c r="I213" s="6">
        <v>0</v>
      </c>
      <c r="J213" s="6">
        <v>103</v>
      </c>
      <c r="K213" s="6"/>
      <c r="L213" s="6"/>
      <c r="M213" s="6"/>
      <c r="N213" s="6"/>
      <c r="O213" s="6"/>
      <c r="P213" s="6"/>
      <c r="Q213" s="6"/>
      <c r="R213" s="6"/>
      <c r="S213" s="6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spans="1:70" hidden="1" x14ac:dyDescent="0.25">
      <c r="A214" s="6">
        <v>43</v>
      </c>
      <c r="B214" s="6" t="s">
        <v>412</v>
      </c>
      <c r="C214" s="6" t="s">
        <v>413</v>
      </c>
      <c r="D214" s="6">
        <v>3</v>
      </c>
      <c r="E214" s="6" t="s">
        <v>493</v>
      </c>
      <c r="F214" s="6" t="s">
        <v>506</v>
      </c>
      <c r="G214" s="6" t="s">
        <v>507</v>
      </c>
      <c r="H214" s="6"/>
      <c r="I214" s="6">
        <v>0</v>
      </c>
      <c r="J214" s="9"/>
      <c r="K214" s="9"/>
      <c r="L214" s="9"/>
      <c r="M214" s="9"/>
      <c r="N214" s="9"/>
      <c r="O214" s="9"/>
      <c r="P214" s="9"/>
      <c r="Q214" s="9"/>
      <c r="R214" s="9"/>
      <c r="S214" s="14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</row>
    <row r="215" spans="1:70" hidden="1" x14ac:dyDescent="0.25">
      <c r="A215" s="6">
        <v>43</v>
      </c>
      <c r="B215" s="6" t="s">
        <v>412</v>
      </c>
      <c r="C215" s="6" t="s">
        <v>413</v>
      </c>
      <c r="D215" s="6">
        <v>4</v>
      </c>
      <c r="E215" s="6" t="s">
        <v>494</v>
      </c>
      <c r="F215" s="6"/>
      <c r="G215" s="6"/>
      <c r="H215" s="6"/>
      <c r="I215" s="6">
        <v>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spans="1:70" hidden="1" x14ac:dyDescent="0.25">
      <c r="A216" s="6">
        <v>43</v>
      </c>
      <c r="B216" s="6" t="s">
        <v>412</v>
      </c>
      <c r="C216" s="6" t="s">
        <v>413</v>
      </c>
      <c r="D216" s="6">
        <v>5</v>
      </c>
      <c r="E216" s="6" t="s">
        <v>496</v>
      </c>
      <c r="F216" s="6"/>
      <c r="G216" s="6"/>
      <c r="H216" s="6"/>
      <c r="I216" s="6">
        <v>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spans="1:70" hidden="1" x14ac:dyDescent="0.25">
      <c r="A217" s="7">
        <v>44</v>
      </c>
      <c r="B217" s="7" t="s">
        <v>414</v>
      </c>
      <c r="C217" s="7" t="s">
        <v>415</v>
      </c>
      <c r="D217" s="7">
        <v>1</v>
      </c>
      <c r="E217" s="7" t="s">
        <v>489</v>
      </c>
      <c r="F217" s="7" t="s">
        <v>504</v>
      </c>
      <c r="G217" s="7" t="s">
        <v>505</v>
      </c>
      <c r="H217" s="7" t="s">
        <v>500</v>
      </c>
      <c r="I217" s="7">
        <v>0</v>
      </c>
      <c r="J217" s="41">
        <v>542454.54545454553</v>
      </c>
      <c r="K217" s="41">
        <v>542454.54545454553</v>
      </c>
      <c r="L217" s="41">
        <v>542454.54545454553</v>
      </c>
      <c r="M217" s="41">
        <v>542454.54545454553</v>
      </c>
      <c r="N217" s="41">
        <v>542454.54545454553</v>
      </c>
      <c r="O217" s="41">
        <v>542454.54545454553</v>
      </c>
      <c r="P217" s="41">
        <v>542454.54545454553</v>
      </c>
      <c r="Q217" s="41">
        <v>542454.54545454553</v>
      </c>
      <c r="R217" s="41">
        <v>542454.54545454553</v>
      </c>
      <c r="S217" s="11">
        <v>517689.22699302511</v>
      </c>
      <c r="T217" s="3">
        <v>495620.8269482347</v>
      </c>
      <c r="U217" s="3">
        <v>473696.99279454775</v>
      </c>
      <c r="V217" s="3">
        <v>453943.20702206221</v>
      </c>
      <c r="W217" s="3">
        <v>434118.88149823027</v>
      </c>
      <c r="X217" s="3">
        <v>414201.6107665262</v>
      </c>
      <c r="Y217" s="3">
        <v>394215.5315755101</v>
      </c>
      <c r="Z217" s="3">
        <v>374140.57068964298</v>
      </c>
      <c r="AA217" s="3">
        <v>353989.14553730015</v>
      </c>
      <c r="AB217" s="3">
        <v>333771.28878108674</v>
      </c>
      <c r="AC217" s="3">
        <v>313470.35871659208</v>
      </c>
      <c r="AD217" s="3">
        <v>293104.4493193691</v>
      </c>
      <c r="AE217" s="3">
        <v>277755.55232111888</v>
      </c>
      <c r="AF217" s="3">
        <v>262492.15800240589</v>
      </c>
      <c r="AG217" s="3">
        <v>247312.97270669189</v>
      </c>
      <c r="AH217" s="3">
        <v>232216.72874386594</v>
      </c>
      <c r="AI217" s="3">
        <v>217202.18374199566</v>
      </c>
      <c r="AJ217" s="3">
        <v>202268.12001840258</v>
      </c>
      <c r="AK217" s="3">
        <v>187413.34396939172</v>
      </c>
      <c r="AL217" s="3">
        <v>172636.68547799476</v>
      </c>
      <c r="AM217" s="3">
        <v>165833.84720606293</v>
      </c>
      <c r="AN217" s="3">
        <v>157644.47017157308</v>
      </c>
      <c r="AO217" s="3">
        <v>155200.56837515091</v>
      </c>
      <c r="AP217" s="3">
        <v>152770.60443228547</v>
      </c>
      <c r="AQ217" s="3">
        <v>150354.37758784811</v>
      </c>
      <c r="AR217" s="3">
        <v>147951.69092374717</v>
      </c>
      <c r="AS217" s="3">
        <v>145562.35126769228</v>
      </c>
      <c r="AT217" s="3">
        <v>143189.57473125277</v>
      </c>
      <c r="AU217" s="3">
        <v>140826.29213029656</v>
      </c>
      <c r="AV217" s="3">
        <v>138475.79959770574</v>
      </c>
      <c r="AW217" s="3">
        <v>136137.91806472468</v>
      </c>
      <c r="AX217" s="3">
        <v>133812.47178983191</v>
      </c>
      <c r="AY217" s="3">
        <f t="shared" ref="AY217:BR217" si="66">AX217</f>
        <v>133812.47178983191</v>
      </c>
      <c r="AZ217" s="3">
        <f t="shared" si="66"/>
        <v>133812.47178983191</v>
      </c>
      <c r="BA217" s="3">
        <f t="shared" si="66"/>
        <v>133812.47178983191</v>
      </c>
      <c r="BB217" s="3">
        <f t="shared" si="66"/>
        <v>133812.47178983191</v>
      </c>
      <c r="BC217" s="3">
        <f t="shared" si="66"/>
        <v>133812.47178983191</v>
      </c>
      <c r="BD217" s="3">
        <f t="shared" si="66"/>
        <v>133812.47178983191</v>
      </c>
      <c r="BE217" s="3">
        <f t="shared" si="66"/>
        <v>133812.47178983191</v>
      </c>
      <c r="BF217" s="3">
        <f t="shared" si="66"/>
        <v>133812.47178983191</v>
      </c>
      <c r="BG217" s="3">
        <f t="shared" si="66"/>
        <v>133812.47178983191</v>
      </c>
      <c r="BH217" s="3">
        <f t="shared" si="66"/>
        <v>133812.47178983191</v>
      </c>
      <c r="BI217" s="3">
        <f t="shared" si="66"/>
        <v>133812.47178983191</v>
      </c>
      <c r="BJ217" s="3">
        <f t="shared" si="66"/>
        <v>133812.47178983191</v>
      </c>
      <c r="BK217" s="3">
        <f t="shared" si="66"/>
        <v>133812.47178983191</v>
      </c>
      <c r="BL217" s="3">
        <f t="shared" si="66"/>
        <v>133812.47178983191</v>
      </c>
      <c r="BM217" s="3">
        <f t="shared" si="66"/>
        <v>133812.47178983191</v>
      </c>
      <c r="BN217" s="3">
        <f t="shared" si="66"/>
        <v>133812.47178983191</v>
      </c>
      <c r="BO217" s="3">
        <f t="shared" si="66"/>
        <v>133812.47178983191</v>
      </c>
      <c r="BP217" s="3">
        <f t="shared" si="66"/>
        <v>133812.47178983191</v>
      </c>
      <c r="BQ217" s="3">
        <f t="shared" si="66"/>
        <v>133812.47178983191</v>
      </c>
      <c r="BR217" s="3">
        <f t="shared" si="66"/>
        <v>133812.47178983191</v>
      </c>
    </row>
    <row r="218" spans="1:70" hidden="1" x14ac:dyDescent="0.25">
      <c r="A218" s="7">
        <v>44</v>
      </c>
      <c r="B218" s="7" t="s">
        <v>414</v>
      </c>
      <c r="C218" s="7" t="s">
        <v>415</v>
      </c>
      <c r="D218" s="7">
        <v>2</v>
      </c>
      <c r="E218" s="7" t="s">
        <v>491</v>
      </c>
      <c r="F218" s="7" t="s">
        <v>553</v>
      </c>
      <c r="G218" s="7" t="s">
        <v>505</v>
      </c>
      <c r="H218" s="7" t="s">
        <v>501</v>
      </c>
      <c r="I218" s="7">
        <v>0</v>
      </c>
      <c r="J218" s="7">
        <v>110</v>
      </c>
      <c r="K218" s="7"/>
      <c r="L218" s="7"/>
      <c r="M218" s="7"/>
      <c r="N218" s="7"/>
      <c r="O218" s="7"/>
      <c r="P218" s="7"/>
      <c r="Q218" s="7"/>
      <c r="R218" s="7"/>
      <c r="S218" s="7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spans="1:70" hidden="1" x14ac:dyDescent="0.25">
      <c r="A219" s="7">
        <v>44</v>
      </c>
      <c r="B219" s="7" t="s">
        <v>414</v>
      </c>
      <c r="C219" s="7" t="s">
        <v>415</v>
      </c>
      <c r="D219" s="7">
        <v>3</v>
      </c>
      <c r="E219" s="7" t="s">
        <v>493</v>
      </c>
      <c r="F219" s="7" t="s">
        <v>506</v>
      </c>
      <c r="G219" s="7" t="s">
        <v>507</v>
      </c>
      <c r="H219" s="7"/>
      <c r="I219" s="7">
        <v>0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</row>
    <row r="220" spans="1:70" hidden="1" x14ac:dyDescent="0.25">
      <c r="A220" s="7">
        <v>44</v>
      </c>
      <c r="B220" s="7" t="s">
        <v>414</v>
      </c>
      <c r="C220" s="7" t="s">
        <v>415</v>
      </c>
      <c r="D220" s="7">
        <v>4</v>
      </c>
      <c r="E220" s="7" t="s">
        <v>494</v>
      </c>
      <c r="F220" s="7"/>
      <c r="G220" s="7"/>
      <c r="H220" s="7"/>
      <c r="I220" s="7">
        <v>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spans="1:70" hidden="1" x14ac:dyDescent="0.25">
      <c r="A221" s="7">
        <v>44</v>
      </c>
      <c r="B221" s="7" t="s">
        <v>414</v>
      </c>
      <c r="C221" s="7" t="s">
        <v>415</v>
      </c>
      <c r="D221" s="7">
        <v>5</v>
      </c>
      <c r="E221" s="7" t="s">
        <v>496</v>
      </c>
      <c r="F221" s="7"/>
      <c r="G221" s="7"/>
      <c r="H221" s="7"/>
      <c r="I221" s="7">
        <v>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spans="1:70" hidden="1" x14ac:dyDescent="0.25">
      <c r="A222" s="6">
        <v>45</v>
      </c>
      <c r="B222" s="6" t="s">
        <v>416</v>
      </c>
      <c r="C222" s="6" t="s">
        <v>417</v>
      </c>
      <c r="D222" s="6">
        <v>1</v>
      </c>
      <c r="E222" s="6" t="s">
        <v>489</v>
      </c>
      <c r="F222" s="6" t="s">
        <v>504</v>
      </c>
      <c r="G222" s="6" t="s">
        <v>505</v>
      </c>
      <c r="H222" s="6" t="s">
        <v>500</v>
      </c>
      <c r="I222" s="6">
        <v>0</v>
      </c>
      <c r="J222" s="40">
        <v>398863.63636363641</v>
      </c>
      <c r="K222" s="40">
        <v>398863.63636363641</v>
      </c>
      <c r="L222" s="40">
        <v>398863.63636363641</v>
      </c>
      <c r="M222" s="40">
        <v>398863.63636363641</v>
      </c>
      <c r="N222" s="40">
        <v>398863.63636363641</v>
      </c>
      <c r="O222" s="40">
        <v>398863.63636363641</v>
      </c>
      <c r="P222" s="40">
        <v>398863.63636363641</v>
      </c>
      <c r="Q222" s="40">
        <v>398863.63636363641</v>
      </c>
      <c r="R222" s="40">
        <v>398863.63636363641</v>
      </c>
      <c r="S222" s="8">
        <v>382219.14890139218</v>
      </c>
      <c r="T222" s="3">
        <v>367548.89644479688</v>
      </c>
      <c r="U222" s="3">
        <v>352976.42953388725</v>
      </c>
      <c r="V222" s="3">
        <v>340019.2361477993</v>
      </c>
      <c r="W222" s="3">
        <v>327015.73985458171</v>
      </c>
      <c r="X222" s="3">
        <v>313948.9916001056</v>
      </c>
      <c r="Y222" s="3">
        <v>300837.10398443922</v>
      </c>
      <c r="Z222" s="3">
        <v>287664.68406797992</v>
      </c>
      <c r="AA222" s="3">
        <v>274441.02294464811</v>
      </c>
      <c r="AB222" s="3">
        <v>261173.82013374122</v>
      </c>
      <c r="AC222" s="3">
        <v>247849.97245060073</v>
      </c>
      <c r="AD222" s="3">
        <v>234483.55945549527</v>
      </c>
      <c r="AE222" s="3">
        <v>223224.89853591647</v>
      </c>
      <c r="AF222" s="3">
        <v>212029.20678708068</v>
      </c>
      <c r="AG222" s="3">
        <v>200895.53148470054</v>
      </c>
      <c r="AH222" s="3">
        <v>189822.93902768331</v>
      </c>
      <c r="AI222" s="3">
        <v>178810.5144607228</v>
      </c>
      <c r="AJ222" s="3">
        <v>167857.36101112244</v>
      </c>
      <c r="AK222" s="3">
        <v>156962.59963935657</v>
      </c>
      <c r="AL222" s="3">
        <v>146125.36860289765</v>
      </c>
      <c r="AM222" s="3">
        <v>142112.06418449688</v>
      </c>
      <c r="AN222" s="3">
        <v>137082.14797528097</v>
      </c>
      <c r="AO222" s="3">
        <v>134461.57906217186</v>
      </c>
      <c r="AP222" s="3">
        <v>131855.58120643688</v>
      </c>
      <c r="AQ222" s="3">
        <v>129263.94453253908</v>
      </c>
      <c r="AR222" s="3">
        <v>126686.46317629724</v>
      </c>
      <c r="AS222" s="3">
        <v>124122.93518950506</v>
      </c>
      <c r="AT222" s="3">
        <v>121576.05401710143</v>
      </c>
      <c r="AU222" s="3">
        <v>119039.7684673958</v>
      </c>
      <c r="AV222" s="3">
        <v>116516.85403043205</v>
      </c>
      <c r="AW222" s="3">
        <v>114007.1235024788</v>
      </c>
      <c r="AX222" s="3">
        <v>111510.39315819327</v>
      </c>
      <c r="AY222" s="3">
        <f t="shared" ref="AY222:BR222" si="67">AX222</f>
        <v>111510.39315819327</v>
      </c>
      <c r="AZ222" s="3">
        <f t="shared" si="67"/>
        <v>111510.39315819327</v>
      </c>
      <c r="BA222" s="3">
        <f t="shared" si="67"/>
        <v>111510.39315819327</v>
      </c>
      <c r="BB222" s="3">
        <f t="shared" si="67"/>
        <v>111510.39315819327</v>
      </c>
      <c r="BC222" s="3">
        <f t="shared" si="67"/>
        <v>111510.39315819327</v>
      </c>
      <c r="BD222" s="3">
        <f t="shared" si="67"/>
        <v>111510.39315819327</v>
      </c>
      <c r="BE222" s="3">
        <f t="shared" si="67"/>
        <v>111510.39315819327</v>
      </c>
      <c r="BF222" s="3">
        <f t="shared" si="67"/>
        <v>111510.39315819327</v>
      </c>
      <c r="BG222" s="3">
        <f t="shared" si="67"/>
        <v>111510.39315819327</v>
      </c>
      <c r="BH222" s="3">
        <f t="shared" si="67"/>
        <v>111510.39315819327</v>
      </c>
      <c r="BI222" s="3">
        <f t="shared" si="67"/>
        <v>111510.39315819327</v>
      </c>
      <c r="BJ222" s="3">
        <f t="shared" si="67"/>
        <v>111510.39315819327</v>
      </c>
      <c r="BK222" s="3">
        <f t="shared" si="67"/>
        <v>111510.39315819327</v>
      </c>
      <c r="BL222" s="3">
        <f t="shared" si="67"/>
        <v>111510.39315819327</v>
      </c>
      <c r="BM222" s="3">
        <f t="shared" si="67"/>
        <v>111510.39315819327</v>
      </c>
      <c r="BN222" s="3">
        <f t="shared" si="67"/>
        <v>111510.39315819327</v>
      </c>
      <c r="BO222" s="3">
        <f t="shared" si="67"/>
        <v>111510.39315819327</v>
      </c>
      <c r="BP222" s="3">
        <f t="shared" si="67"/>
        <v>111510.39315819327</v>
      </c>
      <c r="BQ222" s="3">
        <f t="shared" si="67"/>
        <v>111510.39315819327</v>
      </c>
      <c r="BR222" s="3">
        <f t="shared" si="67"/>
        <v>111510.39315819327</v>
      </c>
    </row>
    <row r="223" spans="1:70" hidden="1" x14ac:dyDescent="0.25">
      <c r="A223" s="6">
        <v>45</v>
      </c>
      <c r="B223" s="6" t="s">
        <v>416</v>
      </c>
      <c r="C223" s="6" t="s">
        <v>417</v>
      </c>
      <c r="D223" s="6">
        <v>2</v>
      </c>
      <c r="E223" s="6" t="s">
        <v>491</v>
      </c>
      <c r="F223" s="6" t="s">
        <v>553</v>
      </c>
      <c r="G223" s="6" t="s">
        <v>505</v>
      </c>
      <c r="H223" s="6" t="s">
        <v>501</v>
      </c>
      <c r="I223" s="6">
        <v>0</v>
      </c>
      <c r="J223" s="6">
        <v>42</v>
      </c>
      <c r="K223" s="6"/>
      <c r="L223" s="6"/>
      <c r="M223" s="6"/>
      <c r="N223" s="6"/>
      <c r="O223" s="6"/>
      <c r="P223" s="6"/>
      <c r="Q223" s="6"/>
      <c r="R223" s="6"/>
      <c r="S223" s="6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spans="1:70" hidden="1" x14ac:dyDescent="0.25">
      <c r="A224" s="6">
        <v>45</v>
      </c>
      <c r="B224" s="6" t="s">
        <v>416</v>
      </c>
      <c r="C224" s="6" t="s">
        <v>417</v>
      </c>
      <c r="D224" s="6">
        <v>3</v>
      </c>
      <c r="E224" s="6" t="s">
        <v>493</v>
      </c>
      <c r="F224" s="6" t="s">
        <v>506</v>
      </c>
      <c r="G224" s="6" t="s">
        <v>507</v>
      </c>
      <c r="H224" s="6"/>
      <c r="I224" s="6">
        <v>0</v>
      </c>
      <c r="J224" s="9"/>
      <c r="K224" s="9"/>
      <c r="L224" s="9"/>
      <c r="M224" s="9"/>
      <c r="N224" s="9"/>
      <c r="O224" s="9"/>
      <c r="P224" s="9"/>
      <c r="Q224" s="9"/>
      <c r="R224" s="9"/>
      <c r="S224" s="14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</row>
    <row r="225" spans="1:70" hidden="1" x14ac:dyDescent="0.25">
      <c r="A225" s="6">
        <v>45</v>
      </c>
      <c r="B225" s="6" t="s">
        <v>416</v>
      </c>
      <c r="C225" s="6" t="s">
        <v>417</v>
      </c>
      <c r="D225" s="6">
        <v>4</v>
      </c>
      <c r="E225" s="6" t="s">
        <v>494</v>
      </c>
      <c r="F225" s="6"/>
      <c r="G225" s="6"/>
      <c r="H225" s="6"/>
      <c r="I225" s="6">
        <v>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spans="1:70" hidden="1" x14ac:dyDescent="0.25">
      <c r="A226" s="6">
        <v>45</v>
      </c>
      <c r="B226" s="6" t="s">
        <v>416</v>
      </c>
      <c r="C226" s="6" t="s">
        <v>417</v>
      </c>
      <c r="D226" s="6">
        <v>5</v>
      </c>
      <c r="E226" s="6" t="s">
        <v>496</v>
      </c>
      <c r="F226" s="6"/>
      <c r="G226" s="6"/>
      <c r="H226" s="6"/>
      <c r="I226" s="6">
        <v>0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spans="1:70" hidden="1" x14ac:dyDescent="0.25">
      <c r="A227" s="7">
        <v>46</v>
      </c>
      <c r="B227" s="7" t="s">
        <v>418</v>
      </c>
      <c r="C227" s="7" t="s">
        <v>419</v>
      </c>
      <c r="D227" s="7">
        <v>1</v>
      </c>
      <c r="E227" s="7" t="s">
        <v>489</v>
      </c>
      <c r="F227" s="7" t="s">
        <v>504</v>
      </c>
      <c r="G227" s="7" t="s">
        <v>505</v>
      </c>
      <c r="H227" s="7" t="s">
        <v>500</v>
      </c>
      <c r="I227" s="7">
        <v>0</v>
      </c>
      <c r="J227" s="41">
        <v>117000</v>
      </c>
      <c r="K227" s="41">
        <v>117000</v>
      </c>
      <c r="L227" s="41">
        <v>117000</v>
      </c>
      <c r="M227" s="41">
        <v>117000</v>
      </c>
      <c r="N227" s="41">
        <v>117000</v>
      </c>
      <c r="O227" s="41">
        <v>117000</v>
      </c>
      <c r="P227" s="41">
        <v>117000</v>
      </c>
      <c r="Q227" s="41">
        <v>117000</v>
      </c>
      <c r="R227" s="41">
        <v>117000</v>
      </c>
      <c r="S227" s="11">
        <v>117945.75</v>
      </c>
      <c r="T227" s="3">
        <v>118891.5</v>
      </c>
      <c r="U227" s="3">
        <v>119837.25</v>
      </c>
      <c r="V227" s="3">
        <v>120783</v>
      </c>
      <c r="W227" s="3">
        <v>121728.75</v>
      </c>
      <c r="X227" s="3">
        <v>122674.5</v>
      </c>
      <c r="Y227" s="3">
        <v>123620.25</v>
      </c>
      <c r="Z227" s="3">
        <v>124566</v>
      </c>
      <c r="AA227" s="3">
        <v>125511.75</v>
      </c>
      <c r="AB227" s="3">
        <v>126457.5</v>
      </c>
      <c r="AC227" s="3">
        <v>127403.25</v>
      </c>
      <c r="AD227" s="3">
        <v>128349</v>
      </c>
      <c r="AE227" s="3">
        <v>128660.246325</v>
      </c>
      <c r="AF227" s="3">
        <v>128971.49265</v>
      </c>
      <c r="AG227" s="3">
        <v>129282.738975</v>
      </c>
      <c r="AH227" s="3">
        <v>129593.9853</v>
      </c>
      <c r="AI227" s="3">
        <v>129905.231625</v>
      </c>
      <c r="AJ227" s="3">
        <v>130216.47795</v>
      </c>
      <c r="AK227" s="3">
        <v>130527.724275</v>
      </c>
      <c r="AL227" s="3">
        <v>130838.9706</v>
      </c>
      <c r="AM227" s="3">
        <v>131150.21692500002</v>
      </c>
      <c r="AN227" s="3">
        <v>131461.46325000003</v>
      </c>
      <c r="AO227" s="3">
        <v>131772.70957500004</v>
      </c>
      <c r="AP227" s="3">
        <v>132083.95590000006</v>
      </c>
      <c r="AQ227" s="3">
        <v>132395.20222500007</v>
      </c>
      <c r="AR227" s="3">
        <v>132706.44855000009</v>
      </c>
      <c r="AS227" s="3">
        <v>133017.6948750001</v>
      </c>
      <c r="AT227" s="3">
        <v>133328.94120000012</v>
      </c>
      <c r="AU227" s="3">
        <v>133640.18752500013</v>
      </c>
      <c r="AV227" s="3">
        <v>133951.43385000015</v>
      </c>
      <c r="AW227" s="3">
        <v>134262.68017500016</v>
      </c>
      <c r="AX227" s="3">
        <v>134573.9265</v>
      </c>
      <c r="AY227" s="3">
        <f t="shared" ref="AY227:BR227" si="68">AX227</f>
        <v>134573.9265</v>
      </c>
      <c r="AZ227" s="3">
        <f t="shared" si="68"/>
        <v>134573.9265</v>
      </c>
      <c r="BA227" s="3">
        <f t="shared" si="68"/>
        <v>134573.9265</v>
      </c>
      <c r="BB227" s="3">
        <f t="shared" si="68"/>
        <v>134573.9265</v>
      </c>
      <c r="BC227" s="3">
        <f t="shared" si="68"/>
        <v>134573.9265</v>
      </c>
      <c r="BD227" s="3">
        <f t="shared" si="68"/>
        <v>134573.9265</v>
      </c>
      <c r="BE227" s="3">
        <f t="shared" si="68"/>
        <v>134573.9265</v>
      </c>
      <c r="BF227" s="3">
        <f t="shared" si="68"/>
        <v>134573.9265</v>
      </c>
      <c r="BG227" s="3">
        <f t="shared" si="68"/>
        <v>134573.9265</v>
      </c>
      <c r="BH227" s="3">
        <f t="shared" si="68"/>
        <v>134573.9265</v>
      </c>
      <c r="BI227" s="3">
        <f t="shared" si="68"/>
        <v>134573.9265</v>
      </c>
      <c r="BJ227" s="3">
        <f t="shared" si="68"/>
        <v>134573.9265</v>
      </c>
      <c r="BK227" s="3">
        <f t="shared" si="68"/>
        <v>134573.9265</v>
      </c>
      <c r="BL227" s="3">
        <f t="shared" si="68"/>
        <v>134573.9265</v>
      </c>
      <c r="BM227" s="3">
        <f t="shared" si="68"/>
        <v>134573.9265</v>
      </c>
      <c r="BN227" s="3">
        <f t="shared" si="68"/>
        <v>134573.9265</v>
      </c>
      <c r="BO227" s="3">
        <f t="shared" si="68"/>
        <v>134573.9265</v>
      </c>
      <c r="BP227" s="3">
        <f t="shared" si="68"/>
        <v>134573.9265</v>
      </c>
      <c r="BQ227" s="3">
        <f t="shared" si="68"/>
        <v>134573.9265</v>
      </c>
      <c r="BR227" s="3">
        <f t="shared" si="68"/>
        <v>134573.9265</v>
      </c>
    </row>
    <row r="228" spans="1:70" hidden="1" x14ac:dyDescent="0.25">
      <c r="A228" s="7">
        <v>46</v>
      </c>
      <c r="B228" s="7" t="s">
        <v>418</v>
      </c>
      <c r="C228" s="7" t="s">
        <v>419</v>
      </c>
      <c r="D228" s="7">
        <v>2</v>
      </c>
      <c r="E228" s="7" t="s">
        <v>491</v>
      </c>
      <c r="F228" s="7" t="s">
        <v>553</v>
      </c>
      <c r="G228" s="7" t="s">
        <v>505</v>
      </c>
      <c r="H228" s="7" t="s">
        <v>501</v>
      </c>
      <c r="I228" s="7">
        <v>0</v>
      </c>
      <c r="J228" s="7">
        <v>103</v>
      </c>
      <c r="K228" s="7"/>
      <c r="L228" s="7"/>
      <c r="M228" s="7"/>
      <c r="N228" s="7"/>
      <c r="O228" s="7"/>
      <c r="P228" s="7"/>
      <c r="Q228" s="7"/>
      <c r="R228" s="7"/>
      <c r="S228" s="7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spans="1:70" hidden="1" x14ac:dyDescent="0.25">
      <c r="A229" s="7">
        <v>46</v>
      </c>
      <c r="B229" s="7" t="s">
        <v>418</v>
      </c>
      <c r="C229" s="7" t="s">
        <v>419</v>
      </c>
      <c r="D229" s="7">
        <v>3</v>
      </c>
      <c r="E229" s="7" t="s">
        <v>493</v>
      </c>
      <c r="F229" s="7" t="s">
        <v>506</v>
      </c>
      <c r="G229" s="7" t="s">
        <v>507</v>
      </c>
      <c r="H229" s="7" t="s">
        <v>500</v>
      </c>
      <c r="I229" s="7">
        <v>0</v>
      </c>
      <c r="J229" s="12">
        <v>36807</v>
      </c>
      <c r="K229" s="12">
        <v>36807</v>
      </c>
      <c r="L229" s="12">
        <v>36807</v>
      </c>
      <c r="M229" s="12">
        <v>36807</v>
      </c>
      <c r="N229" s="12">
        <v>36807</v>
      </c>
      <c r="O229" s="12">
        <v>36807</v>
      </c>
      <c r="P229" s="12">
        <v>36807</v>
      </c>
      <c r="Q229" s="12">
        <v>36807</v>
      </c>
      <c r="R229" s="12">
        <v>36807</v>
      </c>
      <c r="S229" s="12">
        <v>34445</v>
      </c>
      <c r="T229" s="10">
        <f>S229</f>
        <v>34445</v>
      </c>
      <c r="U229" s="10">
        <f t="shared" ref="U229:AN229" si="69">T229-$T229/20</f>
        <v>32722.75</v>
      </c>
      <c r="V229" s="10">
        <f t="shared" si="69"/>
        <v>31000.5</v>
      </c>
      <c r="W229" s="10">
        <f t="shared" si="69"/>
        <v>29278.25</v>
      </c>
      <c r="X229" s="10">
        <f t="shared" si="69"/>
        <v>27556</v>
      </c>
      <c r="Y229" s="10">
        <f t="shared" si="69"/>
        <v>25833.75</v>
      </c>
      <c r="Z229" s="10">
        <f t="shared" si="69"/>
        <v>24111.5</v>
      </c>
      <c r="AA229" s="10">
        <f t="shared" si="69"/>
        <v>22389.25</v>
      </c>
      <c r="AB229" s="10">
        <f t="shared" si="69"/>
        <v>20667</v>
      </c>
      <c r="AC229" s="10">
        <f t="shared" si="69"/>
        <v>18944.75</v>
      </c>
      <c r="AD229" s="10">
        <f t="shared" si="69"/>
        <v>17222.5</v>
      </c>
      <c r="AE229" s="10">
        <f t="shared" si="69"/>
        <v>15500.25</v>
      </c>
      <c r="AF229" s="10">
        <f t="shared" si="69"/>
        <v>13778</v>
      </c>
      <c r="AG229" s="10">
        <f t="shared" si="69"/>
        <v>12055.75</v>
      </c>
      <c r="AH229" s="10">
        <f t="shared" si="69"/>
        <v>10333.5</v>
      </c>
      <c r="AI229" s="10">
        <f t="shared" si="69"/>
        <v>8611.25</v>
      </c>
      <c r="AJ229" s="10">
        <f t="shared" si="69"/>
        <v>6889</v>
      </c>
      <c r="AK229" s="10">
        <f t="shared" si="69"/>
        <v>5166.75</v>
      </c>
      <c r="AL229" s="10">
        <f t="shared" si="69"/>
        <v>3444.5</v>
      </c>
      <c r="AM229" s="10">
        <f t="shared" si="69"/>
        <v>1722.25</v>
      </c>
      <c r="AN229" s="10">
        <f t="shared" si="69"/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</row>
    <row r="230" spans="1:70" hidden="1" x14ac:dyDescent="0.25">
      <c r="A230" s="7">
        <v>46</v>
      </c>
      <c r="B230" s="7" t="s">
        <v>418</v>
      </c>
      <c r="C230" s="7" t="s">
        <v>419</v>
      </c>
      <c r="D230" s="7">
        <v>4</v>
      </c>
      <c r="E230" s="7" t="s">
        <v>494</v>
      </c>
      <c r="F230" s="7"/>
      <c r="G230" s="7"/>
      <c r="H230" s="7"/>
      <c r="I230" s="7">
        <v>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spans="1:70" hidden="1" x14ac:dyDescent="0.25">
      <c r="A231" s="7">
        <v>46</v>
      </c>
      <c r="B231" s="7" t="s">
        <v>418</v>
      </c>
      <c r="C231" s="7" t="s">
        <v>419</v>
      </c>
      <c r="D231" s="7">
        <v>5</v>
      </c>
      <c r="E231" s="7" t="s">
        <v>496</v>
      </c>
      <c r="F231" s="7"/>
      <c r="G231" s="7"/>
      <c r="H231" s="7"/>
      <c r="I231" s="7">
        <v>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spans="1:70" hidden="1" x14ac:dyDescent="0.25">
      <c r="A232" s="6">
        <v>47</v>
      </c>
      <c r="B232" s="6" t="s">
        <v>420</v>
      </c>
      <c r="C232" s="6" t="s">
        <v>421</v>
      </c>
      <c r="D232" s="6">
        <v>1</v>
      </c>
      <c r="E232" s="6" t="s">
        <v>489</v>
      </c>
      <c r="F232" s="6" t="s">
        <v>504</v>
      </c>
      <c r="G232" s="6" t="s">
        <v>505</v>
      </c>
      <c r="H232" s="6" t="s">
        <v>500</v>
      </c>
      <c r="I232" s="6">
        <v>0</v>
      </c>
      <c r="J232" s="40">
        <v>105405.4054054054</v>
      </c>
      <c r="K232" s="40">
        <v>105405.4054054054</v>
      </c>
      <c r="L232" s="40">
        <v>105405.4054054054</v>
      </c>
      <c r="M232" s="40">
        <v>105405.4054054054</v>
      </c>
      <c r="N232" s="40">
        <v>105405.4054054054</v>
      </c>
      <c r="O232" s="40">
        <v>105405.4054054054</v>
      </c>
      <c r="P232" s="40">
        <v>105405.4054054054</v>
      </c>
      <c r="Q232" s="40">
        <v>105405.4054054054</v>
      </c>
      <c r="R232" s="40">
        <v>105405.4054054054</v>
      </c>
      <c r="S232" s="8">
        <v>106257.43243243243</v>
      </c>
      <c r="T232" s="3">
        <v>107109.45945945945</v>
      </c>
      <c r="U232" s="3">
        <v>107961.48648648648</v>
      </c>
      <c r="V232" s="3">
        <v>108813.51351351351</v>
      </c>
      <c r="W232" s="3">
        <v>109665.54054054053</v>
      </c>
      <c r="X232" s="3">
        <v>110517.56756756756</v>
      </c>
      <c r="Y232" s="3">
        <v>111369.59459459459</v>
      </c>
      <c r="Z232" s="3">
        <v>112221.62162162161</v>
      </c>
      <c r="AA232" s="3">
        <v>113073.64864864864</v>
      </c>
      <c r="AB232" s="3">
        <v>113925.67567567567</v>
      </c>
      <c r="AC232" s="3">
        <v>114777.70270270269</v>
      </c>
      <c r="AD232" s="3">
        <v>115629.72972972972</v>
      </c>
      <c r="AE232" s="3">
        <v>115910.13182432431</v>
      </c>
      <c r="AF232" s="3">
        <v>116190.53391891891</v>
      </c>
      <c r="AG232" s="3">
        <v>116470.93601351351</v>
      </c>
      <c r="AH232" s="3">
        <v>116751.3381081081</v>
      </c>
      <c r="AI232" s="3">
        <v>117031.7402027027</v>
      </c>
      <c r="AJ232" s="3">
        <v>117312.14229729729</v>
      </c>
      <c r="AK232" s="3">
        <v>117592.54439189188</v>
      </c>
      <c r="AL232" s="3">
        <v>117872.94648648647</v>
      </c>
      <c r="AM232" s="3">
        <v>118153.34858108108</v>
      </c>
      <c r="AN232" s="3">
        <v>118433.75067567569</v>
      </c>
      <c r="AO232" s="3">
        <v>118714.1527702703</v>
      </c>
      <c r="AP232" s="3">
        <v>118994.55486486491</v>
      </c>
      <c r="AQ232" s="3">
        <v>119274.95695945951</v>
      </c>
      <c r="AR232" s="3">
        <v>119555.35905405412</v>
      </c>
      <c r="AS232" s="3">
        <v>119835.76114864873</v>
      </c>
      <c r="AT232" s="3">
        <v>120116.16324324334</v>
      </c>
      <c r="AU232" s="3">
        <v>120396.56533783795</v>
      </c>
      <c r="AV232" s="3">
        <v>120676.96743243256</v>
      </c>
      <c r="AW232" s="3">
        <v>120957.36952702716</v>
      </c>
      <c r="AX232" s="3">
        <v>121237.77162162161</v>
      </c>
      <c r="AY232" s="3">
        <f t="shared" ref="AY232:BR232" si="70">AX232</f>
        <v>121237.77162162161</v>
      </c>
      <c r="AZ232" s="3">
        <f t="shared" si="70"/>
        <v>121237.77162162161</v>
      </c>
      <c r="BA232" s="3">
        <f t="shared" si="70"/>
        <v>121237.77162162161</v>
      </c>
      <c r="BB232" s="3">
        <f t="shared" si="70"/>
        <v>121237.77162162161</v>
      </c>
      <c r="BC232" s="3">
        <f t="shared" si="70"/>
        <v>121237.77162162161</v>
      </c>
      <c r="BD232" s="3">
        <f t="shared" si="70"/>
        <v>121237.77162162161</v>
      </c>
      <c r="BE232" s="3">
        <f t="shared" si="70"/>
        <v>121237.77162162161</v>
      </c>
      <c r="BF232" s="3">
        <f t="shared" si="70"/>
        <v>121237.77162162161</v>
      </c>
      <c r="BG232" s="3">
        <f t="shared" si="70"/>
        <v>121237.77162162161</v>
      </c>
      <c r="BH232" s="3">
        <f t="shared" si="70"/>
        <v>121237.77162162161</v>
      </c>
      <c r="BI232" s="3">
        <f t="shared" si="70"/>
        <v>121237.77162162161</v>
      </c>
      <c r="BJ232" s="3">
        <f t="shared" si="70"/>
        <v>121237.77162162161</v>
      </c>
      <c r="BK232" s="3">
        <f t="shared" si="70"/>
        <v>121237.77162162161</v>
      </c>
      <c r="BL232" s="3">
        <f t="shared" si="70"/>
        <v>121237.77162162161</v>
      </c>
      <c r="BM232" s="3">
        <f t="shared" si="70"/>
        <v>121237.77162162161</v>
      </c>
      <c r="BN232" s="3">
        <f t="shared" si="70"/>
        <v>121237.77162162161</v>
      </c>
      <c r="BO232" s="3">
        <f t="shared" si="70"/>
        <v>121237.77162162161</v>
      </c>
      <c r="BP232" s="3">
        <f t="shared" si="70"/>
        <v>121237.77162162161</v>
      </c>
      <c r="BQ232" s="3">
        <f t="shared" si="70"/>
        <v>121237.77162162161</v>
      </c>
      <c r="BR232" s="3">
        <f t="shared" si="70"/>
        <v>121237.77162162161</v>
      </c>
    </row>
    <row r="233" spans="1:70" hidden="1" x14ac:dyDescent="0.25">
      <c r="A233" s="6">
        <v>47</v>
      </c>
      <c r="B233" s="6" t="s">
        <v>420</v>
      </c>
      <c r="C233" s="6" t="s">
        <v>421</v>
      </c>
      <c r="D233" s="6">
        <v>2</v>
      </c>
      <c r="E233" s="6" t="s">
        <v>491</v>
      </c>
      <c r="F233" s="6" t="s">
        <v>553</v>
      </c>
      <c r="G233" s="6" t="s">
        <v>505</v>
      </c>
      <c r="H233" s="6" t="s">
        <v>501</v>
      </c>
      <c r="I233" s="6">
        <v>0</v>
      </c>
      <c r="J233" s="6">
        <v>100</v>
      </c>
      <c r="K233" s="6"/>
      <c r="L233" s="6"/>
      <c r="M233" s="6"/>
      <c r="N233" s="6"/>
      <c r="O233" s="6"/>
      <c r="P233" s="6"/>
      <c r="Q233" s="6"/>
      <c r="R233" s="6"/>
      <c r="S233" s="6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spans="1:70" hidden="1" x14ac:dyDescent="0.25">
      <c r="A234" s="6">
        <v>47</v>
      </c>
      <c r="B234" s="6" t="s">
        <v>420</v>
      </c>
      <c r="C234" s="6" t="s">
        <v>421</v>
      </c>
      <c r="D234" s="6">
        <v>3</v>
      </c>
      <c r="E234" s="6" t="s">
        <v>493</v>
      </c>
      <c r="F234" s="6" t="s">
        <v>506</v>
      </c>
      <c r="G234" s="6" t="s">
        <v>507</v>
      </c>
      <c r="H234" s="6"/>
      <c r="I234" s="6">
        <v>0</v>
      </c>
      <c r="J234" s="9"/>
      <c r="K234" s="9"/>
      <c r="L234" s="9"/>
      <c r="M234" s="9"/>
      <c r="N234" s="9"/>
      <c r="O234" s="9"/>
      <c r="P234" s="9"/>
      <c r="Q234" s="9"/>
      <c r="R234" s="9"/>
      <c r="S234" s="14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</row>
    <row r="235" spans="1:70" hidden="1" x14ac:dyDescent="0.25">
      <c r="A235" s="6">
        <v>47</v>
      </c>
      <c r="B235" s="6" t="s">
        <v>420</v>
      </c>
      <c r="C235" s="6" t="s">
        <v>421</v>
      </c>
      <c r="D235" s="6">
        <v>4</v>
      </c>
      <c r="E235" s="6" t="s">
        <v>494</v>
      </c>
      <c r="F235" s="6"/>
      <c r="G235" s="6"/>
      <c r="H235" s="6"/>
      <c r="I235" s="6">
        <v>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spans="1:70" hidden="1" x14ac:dyDescent="0.25">
      <c r="A236" s="6">
        <v>47</v>
      </c>
      <c r="B236" s="6" t="s">
        <v>420</v>
      </c>
      <c r="C236" s="6" t="s">
        <v>421</v>
      </c>
      <c r="D236" s="6">
        <v>5</v>
      </c>
      <c r="E236" s="6" t="s">
        <v>496</v>
      </c>
      <c r="F236" s="6"/>
      <c r="G236" s="6"/>
      <c r="H236" s="6"/>
      <c r="I236" s="6">
        <v>0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spans="1:70" hidden="1" x14ac:dyDescent="0.25">
      <c r="A237" s="7">
        <v>48</v>
      </c>
      <c r="B237" s="7" t="s">
        <v>422</v>
      </c>
      <c r="C237" s="7" t="s">
        <v>423</v>
      </c>
      <c r="D237" s="7">
        <v>1</v>
      </c>
      <c r="E237" s="7" t="s">
        <v>489</v>
      </c>
      <c r="F237" s="7" t="s">
        <v>504</v>
      </c>
      <c r="G237" s="7" t="s">
        <v>505</v>
      </c>
      <c r="H237" s="7" t="s">
        <v>500</v>
      </c>
      <c r="I237" s="7">
        <v>0</v>
      </c>
      <c r="J237" s="41">
        <v>152100</v>
      </c>
      <c r="K237" s="41">
        <v>152100</v>
      </c>
      <c r="L237" s="41">
        <v>152100</v>
      </c>
      <c r="M237" s="41">
        <v>152100</v>
      </c>
      <c r="N237" s="41">
        <v>152100</v>
      </c>
      <c r="O237" s="41">
        <v>152100</v>
      </c>
      <c r="P237" s="41">
        <v>152100</v>
      </c>
      <c r="Q237" s="41">
        <v>152100</v>
      </c>
      <c r="R237" s="41">
        <v>152100</v>
      </c>
      <c r="S237" s="11">
        <v>151363.71249999999</v>
      </c>
      <c r="T237" s="3">
        <v>150595.90000000002</v>
      </c>
      <c r="U237" s="3">
        <v>149796.56250000003</v>
      </c>
      <c r="V237" s="3">
        <v>148965.70000000001</v>
      </c>
      <c r="W237" s="3">
        <v>148103.31250000006</v>
      </c>
      <c r="X237" s="3">
        <v>147209.40000000002</v>
      </c>
      <c r="Y237" s="3">
        <v>146283.96250000005</v>
      </c>
      <c r="Z237" s="3">
        <v>145327.00000000006</v>
      </c>
      <c r="AA237" s="3">
        <v>144338.51250000007</v>
      </c>
      <c r="AB237" s="3">
        <v>143318.50000000009</v>
      </c>
      <c r="AC237" s="3">
        <v>142266.96250000008</v>
      </c>
      <c r="AD237" s="3">
        <v>141183.9</v>
      </c>
      <c r="AE237" s="3">
        <v>140561.3191100625</v>
      </c>
      <c r="AF237" s="3">
        <v>139934.06952525</v>
      </c>
      <c r="AG237" s="3">
        <v>139302.15124556248</v>
      </c>
      <c r="AH237" s="3">
        <v>138665.56427099998</v>
      </c>
      <c r="AI237" s="3">
        <v>138024.30860156246</v>
      </c>
      <c r="AJ237" s="3">
        <v>137378.38423724996</v>
      </c>
      <c r="AK237" s="3">
        <v>136727.79117806244</v>
      </c>
      <c r="AL237" s="3">
        <v>136072.52942399995</v>
      </c>
      <c r="AM237" s="3">
        <v>135412.59897506246</v>
      </c>
      <c r="AN237" s="3">
        <v>134747.99983124997</v>
      </c>
      <c r="AO237" s="3">
        <v>134078.73199256248</v>
      </c>
      <c r="AP237" s="3">
        <v>133404.79545899999</v>
      </c>
      <c r="AQ237" s="3">
        <v>132726.19023056247</v>
      </c>
      <c r="AR237" s="3">
        <v>132042.91630724998</v>
      </c>
      <c r="AS237" s="3">
        <v>131354.97368906249</v>
      </c>
      <c r="AT237" s="3">
        <v>130662.36237599999</v>
      </c>
      <c r="AU237" s="3">
        <v>129965.0823680625</v>
      </c>
      <c r="AV237" s="3">
        <v>129263.13366524999</v>
      </c>
      <c r="AW237" s="3">
        <v>128556.51626756252</v>
      </c>
      <c r="AX237" s="3">
        <v>127845.230175</v>
      </c>
      <c r="AY237" s="3">
        <f t="shared" ref="AY237:BR237" si="71">AX237</f>
        <v>127845.230175</v>
      </c>
      <c r="AZ237" s="3">
        <f t="shared" si="71"/>
        <v>127845.230175</v>
      </c>
      <c r="BA237" s="3">
        <f t="shared" si="71"/>
        <v>127845.230175</v>
      </c>
      <c r="BB237" s="3">
        <f t="shared" si="71"/>
        <v>127845.230175</v>
      </c>
      <c r="BC237" s="3">
        <f t="shared" si="71"/>
        <v>127845.230175</v>
      </c>
      <c r="BD237" s="3">
        <f t="shared" si="71"/>
        <v>127845.230175</v>
      </c>
      <c r="BE237" s="3">
        <f t="shared" si="71"/>
        <v>127845.230175</v>
      </c>
      <c r="BF237" s="3">
        <f t="shared" si="71"/>
        <v>127845.230175</v>
      </c>
      <c r="BG237" s="3">
        <f t="shared" si="71"/>
        <v>127845.230175</v>
      </c>
      <c r="BH237" s="3">
        <f t="shared" si="71"/>
        <v>127845.230175</v>
      </c>
      <c r="BI237" s="3">
        <f t="shared" si="71"/>
        <v>127845.230175</v>
      </c>
      <c r="BJ237" s="3">
        <f t="shared" si="71"/>
        <v>127845.230175</v>
      </c>
      <c r="BK237" s="3">
        <f t="shared" si="71"/>
        <v>127845.230175</v>
      </c>
      <c r="BL237" s="3">
        <f t="shared" si="71"/>
        <v>127845.230175</v>
      </c>
      <c r="BM237" s="3">
        <f t="shared" si="71"/>
        <v>127845.230175</v>
      </c>
      <c r="BN237" s="3">
        <f t="shared" si="71"/>
        <v>127845.230175</v>
      </c>
      <c r="BO237" s="3">
        <f t="shared" si="71"/>
        <v>127845.230175</v>
      </c>
      <c r="BP237" s="3">
        <f t="shared" si="71"/>
        <v>127845.230175</v>
      </c>
      <c r="BQ237" s="3">
        <f t="shared" si="71"/>
        <v>127845.230175</v>
      </c>
      <c r="BR237" s="3">
        <f t="shared" si="71"/>
        <v>127845.230175</v>
      </c>
    </row>
    <row r="238" spans="1:70" hidden="1" x14ac:dyDescent="0.25">
      <c r="A238" s="7">
        <v>48</v>
      </c>
      <c r="B238" s="7" t="s">
        <v>422</v>
      </c>
      <c r="C238" s="7" t="s">
        <v>423</v>
      </c>
      <c r="D238" s="7">
        <v>2</v>
      </c>
      <c r="E238" s="7" t="s">
        <v>491</v>
      </c>
      <c r="F238" s="7" t="s">
        <v>553</v>
      </c>
      <c r="G238" s="7" t="s">
        <v>505</v>
      </c>
      <c r="H238" s="7" t="s">
        <v>501</v>
      </c>
      <c r="I238" s="7">
        <v>0</v>
      </c>
      <c r="J238" s="7">
        <v>100</v>
      </c>
      <c r="K238" s="7"/>
      <c r="L238" s="7"/>
      <c r="M238" s="7"/>
      <c r="N238" s="7"/>
      <c r="O238" s="7"/>
      <c r="P238" s="7"/>
      <c r="Q238" s="7"/>
      <c r="R238" s="7"/>
      <c r="S238" s="7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spans="1:70" hidden="1" x14ac:dyDescent="0.25">
      <c r="A239" s="7">
        <v>48</v>
      </c>
      <c r="B239" s="7" t="s">
        <v>422</v>
      </c>
      <c r="C239" s="7" t="s">
        <v>423</v>
      </c>
      <c r="D239" s="7">
        <v>3</v>
      </c>
      <c r="E239" s="7" t="s">
        <v>493</v>
      </c>
      <c r="F239" s="7" t="s">
        <v>506</v>
      </c>
      <c r="G239" s="7" t="s">
        <v>507</v>
      </c>
      <c r="H239" s="7"/>
      <c r="I239" s="7">
        <v>0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</row>
    <row r="240" spans="1:70" hidden="1" x14ac:dyDescent="0.25">
      <c r="A240" s="7">
        <v>48</v>
      </c>
      <c r="B240" s="7" t="s">
        <v>422</v>
      </c>
      <c r="C240" s="7" t="s">
        <v>423</v>
      </c>
      <c r="D240" s="7">
        <v>4</v>
      </c>
      <c r="E240" s="7" t="s">
        <v>494</v>
      </c>
      <c r="F240" s="7"/>
      <c r="G240" s="7"/>
      <c r="H240" s="7"/>
      <c r="I240" s="7">
        <v>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spans="1:70" hidden="1" x14ac:dyDescent="0.25">
      <c r="A241" s="7">
        <v>48</v>
      </c>
      <c r="B241" s="7" t="s">
        <v>422</v>
      </c>
      <c r="C241" s="7" t="s">
        <v>423</v>
      </c>
      <c r="D241" s="7">
        <v>5</v>
      </c>
      <c r="E241" s="7" t="s">
        <v>496</v>
      </c>
      <c r="F241" s="7"/>
      <c r="G241" s="7"/>
      <c r="H241" s="7"/>
      <c r="I241" s="7">
        <v>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spans="1:70" hidden="1" x14ac:dyDescent="0.25">
      <c r="A242" s="6">
        <v>49</v>
      </c>
      <c r="B242" s="6" t="s">
        <v>424</v>
      </c>
      <c r="C242" s="6" t="s">
        <v>425</v>
      </c>
      <c r="D242" s="6">
        <v>1</v>
      </c>
      <c r="E242" s="6" t="s">
        <v>489</v>
      </c>
      <c r="F242" s="6" t="s">
        <v>504</v>
      </c>
      <c r="G242" s="6" t="s">
        <v>505</v>
      </c>
      <c r="H242" s="6" t="s">
        <v>500</v>
      </c>
      <c r="I242" s="6">
        <v>0</v>
      </c>
      <c r="J242" s="40">
        <v>127864.14545454546</v>
      </c>
      <c r="K242" s="40">
        <v>127864.14545454546</v>
      </c>
      <c r="L242" s="40">
        <v>127864.14545454546</v>
      </c>
      <c r="M242" s="40">
        <v>127864.14545454546</v>
      </c>
      <c r="N242" s="40">
        <v>127864.14545454546</v>
      </c>
      <c r="O242" s="40">
        <v>127864.14545454546</v>
      </c>
      <c r="P242" s="40">
        <v>127864.14545454546</v>
      </c>
      <c r="Q242" s="40">
        <v>127864.14545454546</v>
      </c>
      <c r="R242" s="40">
        <v>127864.14545454546</v>
      </c>
      <c r="S242" s="8">
        <v>123919.18383501585</v>
      </c>
      <c r="T242" s="3">
        <v>120626.15357879385</v>
      </c>
      <c r="U242" s="3">
        <v>117382.9119673712</v>
      </c>
      <c r="V242" s="3">
        <v>114700.83275389265</v>
      </c>
      <c r="W242" s="3">
        <v>112034.1662729463</v>
      </c>
      <c r="X242" s="3">
        <v>109376.59159952408</v>
      </c>
      <c r="Y242" s="3">
        <v>106733.81364568835</v>
      </c>
      <c r="Z242" s="3">
        <v>104099.87704979093</v>
      </c>
      <c r="AA242" s="3">
        <v>101477.48969585286</v>
      </c>
      <c r="AB242" s="3">
        <v>98869.022481334774</v>
      </c>
      <c r="AC242" s="3">
        <v>96269.047223765374</v>
      </c>
      <c r="AD242" s="3">
        <v>93682.438295463362</v>
      </c>
      <c r="AE242" s="3">
        <v>92784.351857484275</v>
      </c>
      <c r="AF242" s="3">
        <v>91894.035253783673</v>
      </c>
      <c r="AG242" s="3">
        <v>91011.370926678341</v>
      </c>
      <c r="AH242" s="3">
        <v>90136.243678116807</v>
      </c>
      <c r="AI242" s="3">
        <v>89268.540610771393</v>
      </c>
      <c r="AJ242" s="3">
        <v>88408.151070886437</v>
      </c>
      <c r="AK242" s="3">
        <v>87554.966592821322</v>
      </c>
      <c r="AL242" s="3">
        <v>86708.880845230917</v>
      </c>
      <c r="AM242" s="3">
        <v>85869.789578826298</v>
      </c>
      <c r="AN242" s="3">
        <v>85037.590575662514</v>
      </c>
      <c r="AO242" s="3">
        <v>84212.183599901487</v>
      </c>
      <c r="AP242" s="3">
        <v>83393.470349999887</v>
      </c>
      <c r="AQ242" s="3">
        <v>82581.35441227461</v>
      </c>
      <c r="AR242" s="3">
        <v>81775.741215799309</v>
      </c>
      <c r="AS242" s="3">
        <v>80976.537988587967</v>
      </c>
      <c r="AT242" s="3">
        <v>80185.56085168237</v>
      </c>
      <c r="AU242" s="3">
        <v>79398.878624800302</v>
      </c>
      <c r="AV242" s="3">
        <v>78618.338828716063</v>
      </c>
      <c r="AW242" s="3">
        <v>77843.855465653221</v>
      </c>
      <c r="AX242" s="3">
        <v>77075.34413573971</v>
      </c>
      <c r="AY242" s="3">
        <f t="shared" ref="AY242:BR242" si="72">AX242</f>
        <v>77075.34413573971</v>
      </c>
      <c r="AZ242" s="3">
        <f t="shared" si="72"/>
        <v>77075.34413573971</v>
      </c>
      <c r="BA242" s="3">
        <f t="shared" si="72"/>
        <v>77075.34413573971</v>
      </c>
      <c r="BB242" s="3">
        <f t="shared" si="72"/>
        <v>77075.34413573971</v>
      </c>
      <c r="BC242" s="3">
        <f t="shared" si="72"/>
        <v>77075.34413573971</v>
      </c>
      <c r="BD242" s="3">
        <f t="shared" si="72"/>
        <v>77075.34413573971</v>
      </c>
      <c r="BE242" s="3">
        <f t="shared" si="72"/>
        <v>77075.34413573971</v>
      </c>
      <c r="BF242" s="3">
        <f t="shared" si="72"/>
        <v>77075.34413573971</v>
      </c>
      <c r="BG242" s="3">
        <f t="shared" si="72"/>
        <v>77075.34413573971</v>
      </c>
      <c r="BH242" s="3">
        <f t="shared" si="72"/>
        <v>77075.34413573971</v>
      </c>
      <c r="BI242" s="3">
        <f t="shared" si="72"/>
        <v>77075.34413573971</v>
      </c>
      <c r="BJ242" s="3">
        <f t="shared" si="72"/>
        <v>77075.34413573971</v>
      </c>
      <c r="BK242" s="3">
        <f t="shared" si="72"/>
        <v>77075.34413573971</v>
      </c>
      <c r="BL242" s="3">
        <f t="shared" si="72"/>
        <v>77075.34413573971</v>
      </c>
      <c r="BM242" s="3">
        <f t="shared" si="72"/>
        <v>77075.34413573971</v>
      </c>
      <c r="BN242" s="3">
        <f t="shared" si="72"/>
        <v>77075.34413573971</v>
      </c>
      <c r="BO242" s="3">
        <f t="shared" si="72"/>
        <v>77075.34413573971</v>
      </c>
      <c r="BP242" s="3">
        <f t="shared" si="72"/>
        <v>77075.34413573971</v>
      </c>
      <c r="BQ242" s="3">
        <f t="shared" si="72"/>
        <v>77075.34413573971</v>
      </c>
      <c r="BR242" s="3">
        <f t="shared" si="72"/>
        <v>77075.34413573971</v>
      </c>
    </row>
    <row r="243" spans="1:70" hidden="1" x14ac:dyDescent="0.25">
      <c r="A243" s="6">
        <v>49</v>
      </c>
      <c r="B243" s="6" t="s">
        <v>424</v>
      </c>
      <c r="C243" s="6" t="s">
        <v>425</v>
      </c>
      <c r="D243" s="6">
        <v>2</v>
      </c>
      <c r="E243" s="6" t="s">
        <v>491</v>
      </c>
      <c r="F243" s="6" t="s">
        <v>553</v>
      </c>
      <c r="G243" s="6" t="s">
        <v>505</v>
      </c>
      <c r="H243" s="6" t="s">
        <v>501</v>
      </c>
      <c r="I243" s="6">
        <v>0</v>
      </c>
      <c r="J243" s="6">
        <v>98</v>
      </c>
      <c r="K243" s="6"/>
      <c r="L243" s="6"/>
      <c r="M243" s="6"/>
      <c r="N243" s="6"/>
      <c r="O243" s="6"/>
      <c r="P243" s="6"/>
      <c r="Q243" s="6"/>
      <c r="R243" s="6"/>
      <c r="S243" s="6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spans="1:70" hidden="1" x14ac:dyDescent="0.25">
      <c r="A244" s="6">
        <v>49</v>
      </c>
      <c r="B244" s="6" t="s">
        <v>424</v>
      </c>
      <c r="C244" s="6" t="s">
        <v>425</v>
      </c>
      <c r="D244" s="6">
        <v>3</v>
      </c>
      <c r="E244" s="6" t="s">
        <v>493</v>
      </c>
      <c r="F244" s="6" t="s">
        <v>506</v>
      </c>
      <c r="G244" s="6" t="s">
        <v>507</v>
      </c>
      <c r="H244" s="6"/>
      <c r="I244" s="6">
        <v>0</v>
      </c>
      <c r="J244" s="9"/>
      <c r="K244" s="9"/>
      <c r="L244" s="9"/>
      <c r="M244" s="9"/>
      <c r="N244" s="9"/>
      <c r="O244" s="9"/>
      <c r="P244" s="9"/>
      <c r="Q244" s="9"/>
      <c r="R244" s="9"/>
      <c r="S244" s="14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</row>
    <row r="245" spans="1:70" hidden="1" x14ac:dyDescent="0.25">
      <c r="A245" s="6">
        <v>49</v>
      </c>
      <c r="B245" s="6" t="s">
        <v>424</v>
      </c>
      <c r="C245" s="6" t="s">
        <v>425</v>
      </c>
      <c r="D245" s="6">
        <v>4</v>
      </c>
      <c r="E245" s="6" t="s">
        <v>494</v>
      </c>
      <c r="F245" s="6"/>
      <c r="G245" s="6"/>
      <c r="H245" s="6"/>
      <c r="I245" s="6">
        <v>0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spans="1:70" hidden="1" x14ac:dyDescent="0.25">
      <c r="A246" s="6">
        <v>49</v>
      </c>
      <c r="B246" s="6" t="s">
        <v>424</v>
      </c>
      <c r="C246" s="6" t="s">
        <v>425</v>
      </c>
      <c r="D246" s="6">
        <v>5</v>
      </c>
      <c r="E246" s="6" t="s">
        <v>496</v>
      </c>
      <c r="F246" s="6"/>
      <c r="G246" s="6"/>
      <c r="H246" s="6"/>
      <c r="I246" s="6">
        <v>0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spans="1:70" hidden="1" x14ac:dyDescent="0.25">
      <c r="A247" s="7">
        <v>50</v>
      </c>
      <c r="B247" s="7" t="s">
        <v>426</v>
      </c>
      <c r="C247" s="7" t="s">
        <v>427</v>
      </c>
      <c r="D247" s="7">
        <v>1</v>
      </c>
      <c r="E247" s="7" t="s">
        <v>489</v>
      </c>
      <c r="F247" s="7" t="s">
        <v>504</v>
      </c>
      <c r="G247" s="7" t="s">
        <v>505</v>
      </c>
      <c r="H247" s="7" t="s">
        <v>500</v>
      </c>
      <c r="I247" s="7">
        <v>0</v>
      </c>
      <c r="J247" s="41">
        <v>84650.8</v>
      </c>
      <c r="K247" s="41">
        <v>84650.8</v>
      </c>
      <c r="L247" s="41">
        <v>84650.8</v>
      </c>
      <c r="M247" s="41">
        <v>84650.8</v>
      </c>
      <c r="N247" s="41">
        <v>84650.8</v>
      </c>
      <c r="O247" s="41">
        <v>84650.8</v>
      </c>
      <c r="P247" s="41">
        <v>84650.8</v>
      </c>
      <c r="Q247" s="41">
        <v>84650.8</v>
      </c>
      <c r="R247" s="41">
        <v>84650.8</v>
      </c>
      <c r="S247" s="11">
        <v>83913.723055555558</v>
      </c>
      <c r="T247" s="3">
        <v>83167.602222222253</v>
      </c>
      <c r="U247" s="3">
        <v>82412.437500000029</v>
      </c>
      <c r="V247" s="3">
        <v>81648.228888888916</v>
      </c>
      <c r="W247" s="3">
        <v>80874.976388888928</v>
      </c>
      <c r="X247" s="3">
        <v>80092.680000000037</v>
      </c>
      <c r="Y247" s="3">
        <v>79301.339722222285</v>
      </c>
      <c r="Z247" s="3">
        <v>78500.955555555614</v>
      </c>
      <c r="AA247" s="3">
        <v>77691.527500000069</v>
      </c>
      <c r="AB247" s="3">
        <v>76873.05555555562</v>
      </c>
      <c r="AC247" s="3">
        <v>76045.539722222296</v>
      </c>
      <c r="AD247" s="3">
        <v>75208.980000000025</v>
      </c>
      <c r="AE247" s="3">
        <v>74789.561739375014</v>
      </c>
      <c r="AF247" s="3">
        <v>74368.861507500013</v>
      </c>
      <c r="AG247" s="3">
        <v>73946.879304375019</v>
      </c>
      <c r="AH247" s="3">
        <v>73523.61513000002</v>
      </c>
      <c r="AI247" s="3">
        <v>73099.068984375015</v>
      </c>
      <c r="AJ247" s="3">
        <v>72673.240867500019</v>
      </c>
      <c r="AK247" s="3">
        <v>72246.130779375017</v>
      </c>
      <c r="AL247" s="3">
        <v>71817.738720000008</v>
      </c>
      <c r="AM247" s="3">
        <v>71388.064689375024</v>
      </c>
      <c r="AN247" s="3">
        <v>70957.108687500018</v>
      </c>
      <c r="AO247" s="3">
        <v>70524.870714375022</v>
      </c>
      <c r="AP247" s="3">
        <v>70091.350770000019</v>
      </c>
      <c r="AQ247" s="3">
        <v>69656.548854375025</v>
      </c>
      <c r="AR247" s="3">
        <v>69220.464967500026</v>
      </c>
      <c r="AS247" s="3">
        <v>68783.09910937502</v>
      </c>
      <c r="AT247" s="3">
        <v>68344.451280000008</v>
      </c>
      <c r="AU247" s="3">
        <v>67904.521479375006</v>
      </c>
      <c r="AV247" s="3">
        <v>67463.309707499997</v>
      </c>
      <c r="AW247" s="3">
        <v>67020.815964374997</v>
      </c>
      <c r="AX247" s="3">
        <v>66577.040249999991</v>
      </c>
      <c r="AY247" s="3">
        <f t="shared" ref="AY247:BR247" si="73">AX247</f>
        <v>66577.040249999991</v>
      </c>
      <c r="AZ247" s="3">
        <f t="shared" si="73"/>
        <v>66577.040249999991</v>
      </c>
      <c r="BA247" s="3">
        <f t="shared" si="73"/>
        <v>66577.040249999991</v>
      </c>
      <c r="BB247" s="3">
        <f t="shared" si="73"/>
        <v>66577.040249999991</v>
      </c>
      <c r="BC247" s="3">
        <f t="shared" si="73"/>
        <v>66577.040249999991</v>
      </c>
      <c r="BD247" s="3">
        <f t="shared" si="73"/>
        <v>66577.040249999991</v>
      </c>
      <c r="BE247" s="3">
        <f t="shared" si="73"/>
        <v>66577.040249999991</v>
      </c>
      <c r="BF247" s="3">
        <f t="shared" si="73"/>
        <v>66577.040249999991</v>
      </c>
      <c r="BG247" s="3">
        <f t="shared" si="73"/>
        <v>66577.040249999991</v>
      </c>
      <c r="BH247" s="3">
        <f t="shared" si="73"/>
        <v>66577.040249999991</v>
      </c>
      <c r="BI247" s="3">
        <f t="shared" si="73"/>
        <v>66577.040249999991</v>
      </c>
      <c r="BJ247" s="3">
        <f t="shared" si="73"/>
        <v>66577.040249999991</v>
      </c>
      <c r="BK247" s="3">
        <f t="shared" si="73"/>
        <v>66577.040249999991</v>
      </c>
      <c r="BL247" s="3">
        <f t="shared" si="73"/>
        <v>66577.040249999991</v>
      </c>
      <c r="BM247" s="3">
        <f t="shared" si="73"/>
        <v>66577.040249999991</v>
      </c>
      <c r="BN247" s="3">
        <f t="shared" si="73"/>
        <v>66577.040249999991</v>
      </c>
      <c r="BO247" s="3">
        <f t="shared" si="73"/>
        <v>66577.040249999991</v>
      </c>
      <c r="BP247" s="3">
        <f t="shared" si="73"/>
        <v>66577.040249999991</v>
      </c>
      <c r="BQ247" s="3">
        <f t="shared" si="73"/>
        <v>66577.040249999991</v>
      </c>
      <c r="BR247" s="3">
        <f t="shared" si="73"/>
        <v>66577.040249999991</v>
      </c>
    </row>
    <row r="248" spans="1:70" hidden="1" x14ac:dyDescent="0.25">
      <c r="A248" s="7">
        <v>50</v>
      </c>
      <c r="B248" s="7" t="s">
        <v>426</v>
      </c>
      <c r="C248" s="7" t="s">
        <v>427</v>
      </c>
      <c r="D248" s="7">
        <v>2</v>
      </c>
      <c r="E248" s="7" t="s">
        <v>491</v>
      </c>
      <c r="F248" s="7" t="s">
        <v>553</v>
      </c>
      <c r="G248" s="7" t="s">
        <v>505</v>
      </c>
      <c r="H248" s="7" t="s">
        <v>501</v>
      </c>
      <c r="I248" s="7">
        <v>0</v>
      </c>
      <c r="J248" s="7">
        <v>95</v>
      </c>
      <c r="K248" s="7"/>
      <c r="L248" s="7"/>
      <c r="M248" s="7"/>
      <c r="N248" s="7"/>
      <c r="O248" s="7"/>
      <c r="P248" s="7"/>
      <c r="Q248" s="7"/>
      <c r="R248" s="7"/>
      <c r="S248" s="7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spans="1:70" hidden="1" x14ac:dyDescent="0.25">
      <c r="A249" s="7">
        <v>50</v>
      </c>
      <c r="B249" s="7" t="s">
        <v>426</v>
      </c>
      <c r="C249" s="7" t="s">
        <v>427</v>
      </c>
      <c r="D249" s="7">
        <v>3</v>
      </c>
      <c r="E249" s="7" t="s">
        <v>493</v>
      </c>
      <c r="F249" s="7" t="s">
        <v>506</v>
      </c>
      <c r="G249" s="7" t="s">
        <v>507</v>
      </c>
      <c r="H249" s="7"/>
      <c r="I249" s="7">
        <v>0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</row>
    <row r="250" spans="1:70" hidden="1" x14ac:dyDescent="0.25">
      <c r="A250" s="7">
        <v>50</v>
      </c>
      <c r="B250" s="7" t="s">
        <v>426</v>
      </c>
      <c r="C250" s="7" t="s">
        <v>427</v>
      </c>
      <c r="D250" s="7">
        <v>4</v>
      </c>
      <c r="E250" s="7" t="s">
        <v>494</v>
      </c>
      <c r="F250" s="7"/>
      <c r="G250" s="7"/>
      <c r="H250" s="7"/>
      <c r="I250" s="7">
        <v>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spans="1:70" hidden="1" x14ac:dyDescent="0.25">
      <c r="A251" s="7">
        <v>50</v>
      </c>
      <c r="B251" s="7" t="s">
        <v>426</v>
      </c>
      <c r="C251" s="7" t="s">
        <v>427</v>
      </c>
      <c r="D251" s="7">
        <v>5</v>
      </c>
      <c r="E251" s="7" t="s">
        <v>496</v>
      </c>
      <c r="F251" s="7"/>
      <c r="G251" s="7"/>
      <c r="H251" s="7"/>
      <c r="I251" s="7">
        <v>0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spans="1:70" hidden="1" x14ac:dyDescent="0.25">
      <c r="A252" s="6">
        <v>51</v>
      </c>
      <c r="B252" s="6" t="s">
        <v>428</v>
      </c>
      <c r="C252" s="6" t="s">
        <v>429</v>
      </c>
      <c r="D252" s="6">
        <v>1</v>
      </c>
      <c r="E252" s="6" t="s">
        <v>489</v>
      </c>
      <c r="F252" s="6" t="s">
        <v>504</v>
      </c>
      <c r="G252" s="6" t="s">
        <v>505</v>
      </c>
      <c r="H252" s="6" t="s">
        <v>500</v>
      </c>
      <c r="I252" s="6">
        <v>0</v>
      </c>
      <c r="J252" s="40">
        <v>301901.45454545459</v>
      </c>
      <c r="K252" s="40">
        <v>301901.45454545459</v>
      </c>
      <c r="L252" s="40">
        <v>301901.45454545459</v>
      </c>
      <c r="M252" s="40">
        <v>301901.45454545459</v>
      </c>
      <c r="N252" s="40">
        <v>301901.45454545459</v>
      </c>
      <c r="O252" s="40">
        <v>301901.45454545459</v>
      </c>
      <c r="P252" s="40">
        <v>301901.45454545459</v>
      </c>
      <c r="Q252" s="40">
        <v>301901.45454545459</v>
      </c>
      <c r="R252" s="40">
        <v>301901.45454545459</v>
      </c>
      <c r="S252" s="8">
        <v>286998.97554862988</v>
      </c>
      <c r="T252" s="3">
        <v>273709.94687557645</v>
      </c>
      <c r="U252" s="3">
        <v>260610.2781071403</v>
      </c>
      <c r="V252" s="3">
        <v>248806.66401388784</v>
      </c>
      <c r="W252" s="3">
        <v>237059.88541708162</v>
      </c>
      <c r="X252" s="3">
        <v>225355.96956857335</v>
      </c>
      <c r="Y252" s="3">
        <v>213706.40539796668</v>
      </c>
      <c r="Z252" s="3">
        <v>202098.66240435615</v>
      </c>
      <c r="AA252" s="3">
        <v>190537.90259347911</v>
      </c>
      <c r="AB252" s="3">
        <v>179027.96097724902</v>
      </c>
      <c r="AC252" s="3">
        <v>167558.38598523434</v>
      </c>
      <c r="AD252" s="3">
        <v>156137.3971591056</v>
      </c>
      <c r="AE252" s="3">
        <v>147787.57171813861</v>
      </c>
      <c r="AF252" s="3">
        <v>139503.14609955141</v>
      </c>
      <c r="AG252" s="3">
        <v>131283.13080326898</v>
      </c>
      <c r="AH252" s="3">
        <v>123126.55619057892</v>
      </c>
      <c r="AI252" s="3">
        <v>115032.47198829513</v>
      </c>
      <c r="AJ252" s="3">
        <v>106999.94680770185</v>
      </c>
      <c r="AK252" s="3">
        <v>99028.067677766318</v>
      </c>
      <c r="AL252" s="3">
        <v>91115.939592129551</v>
      </c>
      <c r="AM252" s="3">
        <v>87425.81932287215</v>
      </c>
      <c r="AN252" s="3">
        <v>83014.18809894257</v>
      </c>
      <c r="AO252" s="3">
        <v>81634.871219263921</v>
      </c>
      <c r="AP252" s="3">
        <v>80266.215211874893</v>
      </c>
      <c r="AQ252" s="3">
        <v>78908.066521941539</v>
      </c>
      <c r="AR252" s="3">
        <v>77560.274529526738</v>
      </c>
      <c r="AS252" s="3">
        <v>76222.691479805188</v>
      </c>
      <c r="AT252" s="3">
        <v>74896.953767472631</v>
      </c>
      <c r="AU252" s="3">
        <v>73579.316879442078</v>
      </c>
      <c r="AV252" s="3">
        <v>72271.462793456638</v>
      </c>
      <c r="AW252" s="3">
        <v>70973.254544322699</v>
      </c>
      <c r="AX252" s="3">
        <v>69684.557711764675</v>
      </c>
      <c r="AY252" s="3">
        <f t="shared" ref="AY252:BR252" si="74">AX252</f>
        <v>69684.557711764675</v>
      </c>
      <c r="AZ252" s="3">
        <f t="shared" si="74"/>
        <v>69684.557711764675</v>
      </c>
      <c r="BA252" s="3">
        <f t="shared" si="74"/>
        <v>69684.557711764675</v>
      </c>
      <c r="BB252" s="3">
        <f t="shared" si="74"/>
        <v>69684.557711764675</v>
      </c>
      <c r="BC252" s="3">
        <f t="shared" si="74"/>
        <v>69684.557711764675</v>
      </c>
      <c r="BD252" s="3">
        <f t="shared" si="74"/>
        <v>69684.557711764675</v>
      </c>
      <c r="BE252" s="3">
        <f t="shared" si="74"/>
        <v>69684.557711764675</v>
      </c>
      <c r="BF252" s="3">
        <f t="shared" si="74"/>
        <v>69684.557711764675</v>
      </c>
      <c r="BG252" s="3">
        <f t="shared" si="74"/>
        <v>69684.557711764675</v>
      </c>
      <c r="BH252" s="3">
        <f t="shared" si="74"/>
        <v>69684.557711764675</v>
      </c>
      <c r="BI252" s="3">
        <f t="shared" si="74"/>
        <v>69684.557711764675</v>
      </c>
      <c r="BJ252" s="3">
        <f t="shared" si="74"/>
        <v>69684.557711764675</v>
      </c>
      <c r="BK252" s="3">
        <f t="shared" si="74"/>
        <v>69684.557711764675</v>
      </c>
      <c r="BL252" s="3">
        <f t="shared" si="74"/>
        <v>69684.557711764675</v>
      </c>
      <c r="BM252" s="3">
        <f t="shared" si="74"/>
        <v>69684.557711764675</v>
      </c>
      <c r="BN252" s="3">
        <f t="shared" si="74"/>
        <v>69684.557711764675</v>
      </c>
      <c r="BO252" s="3">
        <f t="shared" si="74"/>
        <v>69684.557711764675</v>
      </c>
      <c r="BP252" s="3">
        <f t="shared" si="74"/>
        <v>69684.557711764675</v>
      </c>
      <c r="BQ252" s="3">
        <f t="shared" si="74"/>
        <v>69684.557711764675</v>
      </c>
      <c r="BR252" s="3">
        <f t="shared" si="74"/>
        <v>69684.557711764675</v>
      </c>
    </row>
    <row r="253" spans="1:70" hidden="1" x14ac:dyDescent="0.25">
      <c r="A253" s="6">
        <v>51</v>
      </c>
      <c r="B253" s="6" t="s">
        <v>428</v>
      </c>
      <c r="C253" s="6" t="s">
        <v>429</v>
      </c>
      <c r="D253" s="6">
        <v>2</v>
      </c>
      <c r="E253" s="6" t="s">
        <v>491</v>
      </c>
      <c r="F253" s="6" t="s">
        <v>553</v>
      </c>
      <c r="G253" s="6" t="s">
        <v>505</v>
      </c>
      <c r="H253" s="6" t="s">
        <v>501</v>
      </c>
      <c r="I253" s="6">
        <v>0</v>
      </c>
      <c r="J253" s="6">
        <v>105</v>
      </c>
      <c r="K253" s="6"/>
      <c r="L253" s="6"/>
      <c r="M253" s="6"/>
      <c r="N253" s="6"/>
      <c r="O253" s="6"/>
      <c r="P253" s="6"/>
      <c r="Q253" s="6"/>
      <c r="R253" s="6"/>
      <c r="S253" s="6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spans="1:70" hidden="1" x14ac:dyDescent="0.25">
      <c r="A254" s="6">
        <v>51</v>
      </c>
      <c r="B254" s="6" t="s">
        <v>428</v>
      </c>
      <c r="C254" s="6" t="s">
        <v>429</v>
      </c>
      <c r="D254" s="6">
        <v>3</v>
      </c>
      <c r="E254" s="6" t="s">
        <v>493</v>
      </c>
      <c r="F254" s="6" t="s">
        <v>506</v>
      </c>
      <c r="G254" s="6" t="s">
        <v>507</v>
      </c>
      <c r="H254" s="6"/>
      <c r="I254" s="6">
        <v>0</v>
      </c>
      <c r="J254" s="9"/>
      <c r="K254" s="9"/>
      <c r="L254" s="9"/>
      <c r="M254" s="9"/>
      <c r="N254" s="9"/>
      <c r="O254" s="9"/>
      <c r="P254" s="9"/>
      <c r="Q254" s="9"/>
      <c r="R254" s="9"/>
      <c r="S254" s="14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</row>
    <row r="255" spans="1:70" hidden="1" x14ac:dyDescent="0.25">
      <c r="A255" s="6">
        <v>51</v>
      </c>
      <c r="B255" s="6" t="s">
        <v>428</v>
      </c>
      <c r="C255" s="6" t="s">
        <v>429</v>
      </c>
      <c r="D255" s="6">
        <v>4</v>
      </c>
      <c r="E255" s="6" t="s">
        <v>494</v>
      </c>
      <c r="F255" s="6"/>
      <c r="G255" s="6"/>
      <c r="H255" s="6"/>
      <c r="I255" s="6">
        <v>0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spans="1:70" hidden="1" x14ac:dyDescent="0.25">
      <c r="A256" s="6">
        <v>51</v>
      </c>
      <c r="B256" s="6" t="s">
        <v>428</v>
      </c>
      <c r="C256" s="6" t="s">
        <v>429</v>
      </c>
      <c r="D256" s="6">
        <v>5</v>
      </c>
      <c r="E256" s="6" t="s">
        <v>496</v>
      </c>
      <c r="F256" s="6"/>
      <c r="G256" s="6"/>
      <c r="H256" s="6"/>
      <c r="I256" s="6">
        <v>0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spans="1:70" hidden="1" x14ac:dyDescent="0.25">
      <c r="A257" s="7">
        <v>52</v>
      </c>
      <c r="B257" s="7" t="s">
        <v>430</v>
      </c>
      <c r="C257" s="7" t="s">
        <v>431</v>
      </c>
      <c r="D257" s="7">
        <v>1</v>
      </c>
      <c r="E257" s="7" t="s">
        <v>489</v>
      </c>
      <c r="F257" s="7" t="s">
        <v>504</v>
      </c>
      <c r="G257" s="7" t="s">
        <v>505</v>
      </c>
      <c r="H257" s="7" t="s">
        <v>500</v>
      </c>
      <c r="I257" s="7">
        <v>0</v>
      </c>
      <c r="J257" s="41">
        <v>221986.36363636365</v>
      </c>
      <c r="K257" s="41">
        <v>221986.36363636365</v>
      </c>
      <c r="L257" s="41">
        <v>221986.36363636365</v>
      </c>
      <c r="M257" s="41">
        <v>221986.36363636365</v>
      </c>
      <c r="N257" s="41">
        <v>221986.36363636365</v>
      </c>
      <c r="O257" s="41">
        <v>221986.36363636365</v>
      </c>
      <c r="P257" s="41">
        <v>221986.36363636365</v>
      </c>
      <c r="Q257" s="41">
        <v>221986.36363636365</v>
      </c>
      <c r="R257" s="41">
        <v>221986.36363636365</v>
      </c>
      <c r="S257" s="11">
        <v>211896.4398910444</v>
      </c>
      <c r="T257" s="3">
        <v>202981.35883339201</v>
      </c>
      <c r="U257" s="3">
        <v>194194.3623568441</v>
      </c>
      <c r="V257" s="3">
        <v>186364.83713781551</v>
      </c>
      <c r="W257" s="3">
        <v>178573.92784198755</v>
      </c>
      <c r="X257" s="3">
        <v>170811.21260293125</v>
      </c>
      <c r="Y257" s="3">
        <v>163085.44680090627</v>
      </c>
      <c r="Z257" s="3">
        <v>155387.17911278308</v>
      </c>
      <c r="AA257" s="3">
        <v>147720.39639269712</v>
      </c>
      <c r="AB257" s="3">
        <v>140088.192276627</v>
      </c>
      <c r="AC257" s="3">
        <v>132482.51452014974</v>
      </c>
      <c r="AD257" s="3">
        <v>124909.91772728448</v>
      </c>
      <c r="AE257" s="3">
        <v>118773.01975051324</v>
      </c>
      <c r="AF257" s="3">
        <v>112684.2860254858</v>
      </c>
      <c r="AG257" s="3">
        <v>106642.98782651179</v>
      </c>
      <c r="AH257" s="3">
        <v>100648.41105496914</v>
      </c>
      <c r="AI257" s="3">
        <v>94699.855874141256</v>
      </c>
      <c r="AJ257" s="3">
        <v>88796.636354939285</v>
      </c>
      <c r="AK257" s="3">
        <v>82938.0801321326</v>
      </c>
      <c r="AL257" s="3">
        <v>77123.528070726345</v>
      </c>
      <c r="AM257" s="3">
        <v>74919.950639244416</v>
      </c>
      <c r="AN257" s="3">
        <v>72186.250520819638</v>
      </c>
      <c r="AO257" s="3">
        <v>70726.246724472425</v>
      </c>
      <c r="AP257" s="3">
        <v>69277.388129296785</v>
      </c>
      <c r="AQ257" s="3">
        <v>67839.514204384133</v>
      </c>
      <c r="AR257" s="3">
        <v>66412.467487056521</v>
      </c>
      <c r="AS257" s="3">
        <v>64996.093509911407</v>
      </c>
      <c r="AT257" s="3">
        <v>63591.753198797516</v>
      </c>
      <c r="AU257" s="3">
        <v>62196.232768906382</v>
      </c>
      <c r="AV257" s="3">
        <v>60810.939567309797</v>
      </c>
      <c r="AW257" s="3">
        <v>59435.730406575662</v>
      </c>
      <c r="AX257" s="3">
        <v>58070.464759803901</v>
      </c>
      <c r="AY257" s="3">
        <f t="shared" ref="AY257:BR257" si="75">AX257</f>
        <v>58070.464759803901</v>
      </c>
      <c r="AZ257" s="3">
        <f t="shared" si="75"/>
        <v>58070.464759803901</v>
      </c>
      <c r="BA257" s="3">
        <f t="shared" si="75"/>
        <v>58070.464759803901</v>
      </c>
      <c r="BB257" s="3">
        <f t="shared" si="75"/>
        <v>58070.464759803901</v>
      </c>
      <c r="BC257" s="3">
        <f t="shared" si="75"/>
        <v>58070.464759803901</v>
      </c>
      <c r="BD257" s="3">
        <f t="shared" si="75"/>
        <v>58070.464759803901</v>
      </c>
      <c r="BE257" s="3">
        <f t="shared" si="75"/>
        <v>58070.464759803901</v>
      </c>
      <c r="BF257" s="3">
        <f t="shared" si="75"/>
        <v>58070.464759803901</v>
      </c>
      <c r="BG257" s="3">
        <f t="shared" si="75"/>
        <v>58070.464759803901</v>
      </c>
      <c r="BH257" s="3">
        <f t="shared" si="75"/>
        <v>58070.464759803901</v>
      </c>
      <c r="BI257" s="3">
        <f t="shared" si="75"/>
        <v>58070.464759803901</v>
      </c>
      <c r="BJ257" s="3">
        <f t="shared" si="75"/>
        <v>58070.464759803901</v>
      </c>
      <c r="BK257" s="3">
        <f t="shared" si="75"/>
        <v>58070.464759803901</v>
      </c>
      <c r="BL257" s="3">
        <f t="shared" si="75"/>
        <v>58070.464759803901</v>
      </c>
      <c r="BM257" s="3">
        <f t="shared" si="75"/>
        <v>58070.464759803901</v>
      </c>
      <c r="BN257" s="3">
        <f t="shared" si="75"/>
        <v>58070.464759803901</v>
      </c>
      <c r="BO257" s="3">
        <f t="shared" si="75"/>
        <v>58070.464759803901</v>
      </c>
      <c r="BP257" s="3">
        <f t="shared" si="75"/>
        <v>58070.464759803901</v>
      </c>
      <c r="BQ257" s="3">
        <f t="shared" si="75"/>
        <v>58070.464759803901</v>
      </c>
      <c r="BR257" s="3">
        <f t="shared" si="75"/>
        <v>58070.464759803901</v>
      </c>
    </row>
    <row r="258" spans="1:70" hidden="1" x14ac:dyDescent="0.25">
      <c r="A258" s="7">
        <v>52</v>
      </c>
      <c r="B258" s="7" t="s">
        <v>430</v>
      </c>
      <c r="C258" s="7" t="s">
        <v>431</v>
      </c>
      <c r="D258" s="7">
        <v>2</v>
      </c>
      <c r="E258" s="7" t="s">
        <v>491</v>
      </c>
      <c r="F258" s="7" t="s">
        <v>553</v>
      </c>
      <c r="G258" s="7" t="s">
        <v>505</v>
      </c>
      <c r="H258" s="7" t="s">
        <v>501</v>
      </c>
      <c r="I258" s="7">
        <v>0</v>
      </c>
      <c r="J258" s="7">
        <v>40</v>
      </c>
      <c r="K258" s="7"/>
      <c r="L258" s="7"/>
      <c r="M258" s="7"/>
      <c r="N258" s="7"/>
      <c r="O258" s="7"/>
      <c r="P258" s="7"/>
      <c r="Q258" s="7"/>
      <c r="R258" s="7"/>
      <c r="S258" s="7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spans="1:70" hidden="1" x14ac:dyDescent="0.25">
      <c r="A259" s="7">
        <v>52</v>
      </c>
      <c r="B259" s="7" t="s">
        <v>430</v>
      </c>
      <c r="C259" s="7" t="s">
        <v>431</v>
      </c>
      <c r="D259" s="7">
        <v>3</v>
      </c>
      <c r="E259" s="7" t="s">
        <v>493</v>
      </c>
      <c r="F259" s="7" t="s">
        <v>506</v>
      </c>
      <c r="G259" s="7" t="s">
        <v>507</v>
      </c>
      <c r="H259" s="7"/>
      <c r="I259" s="7">
        <v>0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</row>
    <row r="260" spans="1:70" hidden="1" x14ac:dyDescent="0.25">
      <c r="A260" s="7">
        <v>52</v>
      </c>
      <c r="B260" s="7" t="s">
        <v>430</v>
      </c>
      <c r="C260" s="7" t="s">
        <v>431</v>
      </c>
      <c r="D260" s="7">
        <v>4</v>
      </c>
      <c r="E260" s="7" t="s">
        <v>494</v>
      </c>
      <c r="F260" s="7"/>
      <c r="G260" s="7"/>
      <c r="H260" s="7"/>
      <c r="I260" s="7">
        <v>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spans="1:70" hidden="1" x14ac:dyDescent="0.25">
      <c r="A261" s="7">
        <v>52</v>
      </c>
      <c r="B261" s="7" t="s">
        <v>430</v>
      </c>
      <c r="C261" s="7" t="s">
        <v>431</v>
      </c>
      <c r="D261" s="7">
        <v>5</v>
      </c>
      <c r="E261" s="7" t="s">
        <v>496</v>
      </c>
      <c r="F261" s="7"/>
      <c r="G261" s="7"/>
      <c r="H261" s="7"/>
      <c r="I261" s="7">
        <v>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spans="1:70" hidden="1" x14ac:dyDescent="0.25">
      <c r="A262" s="6">
        <v>53</v>
      </c>
      <c r="B262" s="6" t="s">
        <v>432</v>
      </c>
      <c r="C262" s="6" t="s">
        <v>433</v>
      </c>
      <c r="D262" s="6">
        <v>1</v>
      </c>
      <c r="E262" s="6" t="s">
        <v>489</v>
      </c>
      <c r="F262" s="6" t="s">
        <v>504</v>
      </c>
      <c r="G262" s="6" t="s">
        <v>505</v>
      </c>
      <c r="H262" s="6" t="s">
        <v>500</v>
      </c>
      <c r="I262" s="6">
        <v>0</v>
      </c>
      <c r="J262" s="40">
        <v>65116</v>
      </c>
      <c r="K262" s="40">
        <v>65116</v>
      </c>
      <c r="L262" s="40">
        <v>65116</v>
      </c>
      <c r="M262" s="40">
        <v>65116</v>
      </c>
      <c r="N262" s="40">
        <v>65116</v>
      </c>
      <c r="O262" s="40">
        <v>65116</v>
      </c>
      <c r="P262" s="40">
        <v>65116</v>
      </c>
      <c r="Q262" s="40">
        <v>65116</v>
      </c>
      <c r="R262" s="40">
        <v>65116</v>
      </c>
      <c r="S262" s="8">
        <v>65387.316666666666</v>
      </c>
      <c r="T262" s="3">
        <v>65658.633333333346</v>
      </c>
      <c r="U262" s="3">
        <v>65929.950000000012</v>
      </c>
      <c r="V262" s="3">
        <v>66201.266666666677</v>
      </c>
      <c r="W262" s="3">
        <v>66472.583333333343</v>
      </c>
      <c r="X262" s="3">
        <v>66743.900000000009</v>
      </c>
      <c r="Y262" s="3">
        <v>67015.216666666689</v>
      </c>
      <c r="Z262" s="3">
        <v>67286.533333333355</v>
      </c>
      <c r="AA262" s="3">
        <v>67557.85000000002</v>
      </c>
      <c r="AB262" s="3">
        <v>67829.166666666686</v>
      </c>
      <c r="AC262" s="3">
        <v>68100.483333333352</v>
      </c>
      <c r="AD262" s="3">
        <v>68371.800000000017</v>
      </c>
      <c r="AE262" s="3">
        <v>68457.264750000017</v>
      </c>
      <c r="AF262" s="3">
        <v>68542.729500000016</v>
      </c>
      <c r="AG262" s="3">
        <v>68628.19425000003</v>
      </c>
      <c r="AH262" s="3">
        <v>68713.659000000029</v>
      </c>
      <c r="AI262" s="3">
        <v>68799.123750000028</v>
      </c>
      <c r="AJ262" s="3">
        <v>68884.588500000042</v>
      </c>
      <c r="AK262" s="3">
        <v>68970.053250000041</v>
      </c>
      <c r="AL262" s="3">
        <v>69055.51800000004</v>
      </c>
      <c r="AM262" s="3">
        <v>69140.982750000054</v>
      </c>
      <c r="AN262" s="3">
        <v>69226.447500000053</v>
      </c>
      <c r="AO262" s="3">
        <v>69311.912250000067</v>
      </c>
      <c r="AP262" s="3">
        <v>69397.377000000066</v>
      </c>
      <c r="AQ262" s="3">
        <v>69482.84175000008</v>
      </c>
      <c r="AR262" s="3">
        <v>69568.306500000079</v>
      </c>
      <c r="AS262" s="3">
        <v>69653.771250000078</v>
      </c>
      <c r="AT262" s="3">
        <v>69739.236000000077</v>
      </c>
      <c r="AU262" s="3">
        <v>69824.700750000076</v>
      </c>
      <c r="AV262" s="3">
        <v>69910.165500000076</v>
      </c>
      <c r="AW262" s="3">
        <v>69995.630250000075</v>
      </c>
      <c r="AX262" s="3">
        <v>70081.094999999987</v>
      </c>
      <c r="AY262" s="3">
        <f t="shared" ref="AY262:BR262" si="76">AX262</f>
        <v>70081.094999999987</v>
      </c>
      <c r="AZ262" s="3">
        <f t="shared" si="76"/>
        <v>70081.094999999987</v>
      </c>
      <c r="BA262" s="3">
        <f t="shared" si="76"/>
        <v>70081.094999999987</v>
      </c>
      <c r="BB262" s="3">
        <f t="shared" si="76"/>
        <v>70081.094999999987</v>
      </c>
      <c r="BC262" s="3">
        <f t="shared" si="76"/>
        <v>70081.094999999987</v>
      </c>
      <c r="BD262" s="3">
        <f t="shared" si="76"/>
        <v>70081.094999999987</v>
      </c>
      <c r="BE262" s="3">
        <f t="shared" si="76"/>
        <v>70081.094999999987</v>
      </c>
      <c r="BF262" s="3">
        <f t="shared" si="76"/>
        <v>70081.094999999987</v>
      </c>
      <c r="BG262" s="3">
        <f t="shared" si="76"/>
        <v>70081.094999999987</v>
      </c>
      <c r="BH262" s="3">
        <f t="shared" si="76"/>
        <v>70081.094999999987</v>
      </c>
      <c r="BI262" s="3">
        <f t="shared" si="76"/>
        <v>70081.094999999987</v>
      </c>
      <c r="BJ262" s="3">
        <f t="shared" si="76"/>
        <v>70081.094999999987</v>
      </c>
      <c r="BK262" s="3">
        <f t="shared" si="76"/>
        <v>70081.094999999987</v>
      </c>
      <c r="BL262" s="3">
        <f t="shared" si="76"/>
        <v>70081.094999999987</v>
      </c>
      <c r="BM262" s="3">
        <f t="shared" si="76"/>
        <v>70081.094999999987</v>
      </c>
      <c r="BN262" s="3">
        <f t="shared" si="76"/>
        <v>70081.094999999987</v>
      </c>
      <c r="BO262" s="3">
        <f t="shared" si="76"/>
        <v>70081.094999999987</v>
      </c>
      <c r="BP262" s="3">
        <f t="shared" si="76"/>
        <v>70081.094999999987</v>
      </c>
      <c r="BQ262" s="3">
        <f t="shared" si="76"/>
        <v>70081.094999999987</v>
      </c>
      <c r="BR262" s="3">
        <f t="shared" si="76"/>
        <v>70081.094999999987</v>
      </c>
    </row>
    <row r="263" spans="1:70" hidden="1" x14ac:dyDescent="0.25">
      <c r="A263" s="6">
        <v>53</v>
      </c>
      <c r="B263" s="6" t="s">
        <v>432</v>
      </c>
      <c r="C263" s="6" t="s">
        <v>433</v>
      </c>
      <c r="D263" s="6">
        <v>2</v>
      </c>
      <c r="E263" s="6" t="s">
        <v>491</v>
      </c>
      <c r="F263" s="6" t="s">
        <v>553</v>
      </c>
      <c r="G263" s="6" t="s">
        <v>505</v>
      </c>
      <c r="H263" s="6" t="s">
        <v>501</v>
      </c>
      <c r="I263" s="6">
        <v>0</v>
      </c>
      <c r="J263" s="6">
        <v>98</v>
      </c>
      <c r="K263" s="6"/>
      <c r="L263" s="6"/>
      <c r="M263" s="6"/>
      <c r="N263" s="6"/>
      <c r="O263" s="6"/>
      <c r="P263" s="6"/>
      <c r="Q263" s="6"/>
      <c r="R263" s="6"/>
      <c r="S263" s="6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spans="1:70" hidden="1" x14ac:dyDescent="0.25">
      <c r="A264" s="6">
        <v>53</v>
      </c>
      <c r="B264" s="6" t="s">
        <v>432</v>
      </c>
      <c r="C264" s="6" t="s">
        <v>433</v>
      </c>
      <c r="D264" s="6">
        <v>3</v>
      </c>
      <c r="E264" s="6" t="s">
        <v>493</v>
      </c>
      <c r="F264" s="6" t="s">
        <v>506</v>
      </c>
      <c r="G264" s="6" t="s">
        <v>507</v>
      </c>
      <c r="H264" s="6" t="s">
        <v>500</v>
      </c>
      <c r="I264" s="6">
        <v>0</v>
      </c>
      <c r="J264" s="9">
        <v>70954</v>
      </c>
      <c r="K264" s="9">
        <v>70954</v>
      </c>
      <c r="L264" s="9">
        <v>70954</v>
      </c>
      <c r="M264" s="9">
        <v>70954</v>
      </c>
      <c r="N264" s="9">
        <v>70954</v>
      </c>
      <c r="O264" s="9">
        <v>70954</v>
      </c>
      <c r="P264" s="9">
        <v>70954</v>
      </c>
      <c r="Q264" s="9">
        <v>70954</v>
      </c>
      <c r="R264" s="9">
        <v>70954</v>
      </c>
      <c r="S264" s="14">
        <v>66663</v>
      </c>
      <c r="T264" s="10">
        <v>66326</v>
      </c>
      <c r="U264" s="10">
        <f t="shared" ref="U264:AN264" si="77">T264-$T264/20</f>
        <v>63009.7</v>
      </c>
      <c r="V264" s="10">
        <f t="shared" si="77"/>
        <v>59693.399999999994</v>
      </c>
      <c r="W264" s="10">
        <f t="shared" si="77"/>
        <v>56377.099999999991</v>
      </c>
      <c r="X264" s="10">
        <f t="shared" si="77"/>
        <v>53060.799999999988</v>
      </c>
      <c r="Y264" s="10">
        <f t="shared" si="77"/>
        <v>49744.499999999985</v>
      </c>
      <c r="Z264" s="10">
        <f t="shared" si="77"/>
        <v>46428.199999999983</v>
      </c>
      <c r="AA264" s="10">
        <f t="shared" si="77"/>
        <v>43111.89999999998</v>
      </c>
      <c r="AB264" s="10">
        <f t="shared" si="77"/>
        <v>39795.599999999977</v>
      </c>
      <c r="AC264" s="10">
        <f t="shared" si="77"/>
        <v>36479.299999999974</v>
      </c>
      <c r="AD264" s="10">
        <f t="shared" si="77"/>
        <v>33162.999999999971</v>
      </c>
      <c r="AE264" s="10">
        <f t="shared" si="77"/>
        <v>29846.699999999972</v>
      </c>
      <c r="AF264" s="10">
        <f t="shared" si="77"/>
        <v>26530.399999999972</v>
      </c>
      <c r="AG264" s="10">
        <f t="shared" si="77"/>
        <v>23214.099999999973</v>
      </c>
      <c r="AH264" s="10">
        <f t="shared" si="77"/>
        <v>19897.799999999974</v>
      </c>
      <c r="AI264" s="10">
        <f t="shared" si="77"/>
        <v>16581.499999999975</v>
      </c>
      <c r="AJ264" s="10">
        <f t="shared" si="77"/>
        <v>13265.199999999975</v>
      </c>
      <c r="AK264" s="10">
        <f t="shared" si="77"/>
        <v>9948.899999999976</v>
      </c>
      <c r="AL264" s="10">
        <f t="shared" si="77"/>
        <v>6632.5999999999758</v>
      </c>
      <c r="AM264" s="10">
        <f t="shared" si="77"/>
        <v>3316.2999999999756</v>
      </c>
      <c r="AN264" s="10">
        <f t="shared" si="77"/>
        <v>-2.4556356947869062E-11</v>
      </c>
      <c r="AO264" s="10">
        <v>-2.4556356947869062E-11</v>
      </c>
      <c r="AP264" s="10">
        <v>-2.4556356947869062E-11</v>
      </c>
      <c r="AQ264" s="10">
        <v>-2.4556356947869062E-11</v>
      </c>
      <c r="AR264" s="10">
        <v>-2.4556356947869062E-11</v>
      </c>
      <c r="AS264" s="10">
        <v>-2.4556356947869062E-11</v>
      </c>
      <c r="AT264" s="10">
        <v>-2.4556356947869062E-11</v>
      </c>
      <c r="AU264" s="10">
        <v>-2.4556356947869062E-11</v>
      </c>
      <c r="AV264" s="10">
        <v>-2.4556356947869062E-11</v>
      </c>
      <c r="AW264" s="10">
        <v>-2.4556356947869062E-11</v>
      </c>
      <c r="AX264" s="10">
        <v>-2.4556356947869062E-11</v>
      </c>
      <c r="AY264" s="10">
        <v>-2.4556356947869062E-11</v>
      </c>
      <c r="AZ264" s="10">
        <v>-2.4556356947869062E-11</v>
      </c>
      <c r="BA264" s="10">
        <v>-2.4556356947869062E-11</v>
      </c>
      <c r="BB264" s="10">
        <v>-2.4556356947869062E-11</v>
      </c>
      <c r="BC264" s="10">
        <v>-2.4556356947869062E-11</v>
      </c>
      <c r="BD264" s="10">
        <v>-2.4556356947869062E-11</v>
      </c>
      <c r="BE264" s="10">
        <v>-2.4556356947869062E-11</v>
      </c>
      <c r="BF264" s="10">
        <v>-2.4556356947869062E-11</v>
      </c>
      <c r="BG264" s="10">
        <v>-2.4556356947869062E-11</v>
      </c>
      <c r="BH264" s="10">
        <v>-2.4556356947869062E-11</v>
      </c>
      <c r="BI264" s="10">
        <v>-2.4556356947869062E-11</v>
      </c>
      <c r="BJ264" s="10">
        <v>-2.4556356947869062E-11</v>
      </c>
      <c r="BK264" s="10">
        <v>-2.4556356947869062E-11</v>
      </c>
      <c r="BL264" s="10">
        <v>-2.4556356947869062E-11</v>
      </c>
      <c r="BM264" s="10">
        <v>-2.4556356947869062E-11</v>
      </c>
      <c r="BN264" s="10">
        <v>-2.4556356947869062E-11</v>
      </c>
      <c r="BO264" s="10">
        <v>-2.4556356947869062E-11</v>
      </c>
      <c r="BP264" s="10">
        <v>-2.4556356947869062E-11</v>
      </c>
      <c r="BQ264" s="10">
        <v>-2.4556356947869062E-11</v>
      </c>
      <c r="BR264" s="10">
        <v>-2.4556356947869062E-11</v>
      </c>
    </row>
    <row r="265" spans="1:70" hidden="1" x14ac:dyDescent="0.25">
      <c r="A265" s="6">
        <v>53</v>
      </c>
      <c r="B265" s="6" t="s">
        <v>432</v>
      </c>
      <c r="C265" s="6" t="s">
        <v>433</v>
      </c>
      <c r="D265" s="6">
        <v>4</v>
      </c>
      <c r="E265" s="6" t="s">
        <v>494</v>
      </c>
      <c r="F265" s="6"/>
      <c r="G265" s="6"/>
      <c r="H265" s="6"/>
      <c r="I265" s="6">
        <v>0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spans="1:70" hidden="1" x14ac:dyDescent="0.25">
      <c r="A266" s="6">
        <v>53</v>
      </c>
      <c r="B266" s="6" t="s">
        <v>432</v>
      </c>
      <c r="C266" s="6" t="s">
        <v>433</v>
      </c>
      <c r="D266" s="6">
        <v>5</v>
      </c>
      <c r="E266" s="6" t="s">
        <v>496</v>
      </c>
      <c r="F266" s="6"/>
      <c r="G266" s="6"/>
      <c r="H266" s="6"/>
      <c r="I266" s="6">
        <v>0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spans="1:70" hidden="1" x14ac:dyDescent="0.25">
      <c r="A267" s="7">
        <v>54</v>
      </c>
      <c r="B267" s="7" t="s">
        <v>434</v>
      </c>
      <c r="C267" s="7" t="s">
        <v>435</v>
      </c>
      <c r="D267" s="7">
        <v>1</v>
      </c>
      <c r="E267" s="7" t="s">
        <v>489</v>
      </c>
      <c r="F267" s="7" t="s">
        <v>504</v>
      </c>
      <c r="G267" s="7" t="s">
        <v>505</v>
      </c>
      <c r="H267" s="7" t="s">
        <v>500</v>
      </c>
      <c r="I267" s="7">
        <v>0</v>
      </c>
      <c r="J267" s="41">
        <v>58663.063063063055</v>
      </c>
      <c r="K267" s="41">
        <v>58663.063063063055</v>
      </c>
      <c r="L267" s="41">
        <v>58663.063063063055</v>
      </c>
      <c r="M267" s="41">
        <v>58663.063063063055</v>
      </c>
      <c r="N267" s="41">
        <v>58663.063063063055</v>
      </c>
      <c r="O267" s="41">
        <v>58663.063063063055</v>
      </c>
      <c r="P267" s="41">
        <v>58663.063063063055</v>
      </c>
      <c r="Q267" s="41">
        <v>58663.063063063055</v>
      </c>
      <c r="R267" s="41">
        <v>58663.063063063055</v>
      </c>
      <c r="S267" s="11">
        <v>58907.492492492485</v>
      </c>
      <c r="T267" s="3">
        <v>59151.92192192193</v>
      </c>
      <c r="U267" s="3">
        <v>59396.351351351354</v>
      </c>
      <c r="V267" s="3">
        <v>59640.780780780784</v>
      </c>
      <c r="W267" s="3">
        <v>59885.210210210214</v>
      </c>
      <c r="X267" s="3">
        <v>60129.639639639645</v>
      </c>
      <c r="Y267" s="3">
        <v>60374.069069069083</v>
      </c>
      <c r="Z267" s="3">
        <v>60618.498498498513</v>
      </c>
      <c r="AA267" s="3">
        <v>60862.927927927944</v>
      </c>
      <c r="AB267" s="3">
        <v>61107.357357357367</v>
      </c>
      <c r="AC267" s="3">
        <v>61351.786786786797</v>
      </c>
      <c r="AD267" s="3">
        <v>61596.216216216228</v>
      </c>
      <c r="AE267" s="3">
        <v>61673.211486486493</v>
      </c>
      <c r="AF267" s="3">
        <v>61750.206756756765</v>
      </c>
      <c r="AG267" s="3">
        <v>61827.202027027051</v>
      </c>
      <c r="AH267" s="3">
        <v>61904.197297297316</v>
      </c>
      <c r="AI267" s="3">
        <v>61981.192567567588</v>
      </c>
      <c r="AJ267" s="3">
        <v>62058.187837837868</v>
      </c>
      <c r="AK267" s="3">
        <v>62135.18310810814</v>
      </c>
      <c r="AL267" s="3">
        <v>62212.178378378412</v>
      </c>
      <c r="AM267" s="3">
        <v>62289.173648648692</v>
      </c>
      <c r="AN267" s="3">
        <v>62366.168918918964</v>
      </c>
      <c r="AO267" s="3">
        <v>62443.164189189243</v>
      </c>
      <c r="AP267" s="3">
        <v>62520.159459459515</v>
      </c>
      <c r="AQ267" s="3">
        <v>62597.154729729795</v>
      </c>
      <c r="AR267" s="3">
        <v>62674.150000000067</v>
      </c>
      <c r="AS267" s="3">
        <v>62751.145270270332</v>
      </c>
      <c r="AT267" s="3">
        <v>62828.140540540604</v>
      </c>
      <c r="AU267" s="3">
        <v>62905.135810810876</v>
      </c>
      <c r="AV267" s="3">
        <v>62982.131081081141</v>
      </c>
      <c r="AW267" s="3">
        <v>63059.126351351413</v>
      </c>
      <c r="AX267" s="3">
        <v>63136.121621621605</v>
      </c>
      <c r="AY267" s="3">
        <f t="shared" ref="AY267:BR267" si="78">AX267</f>
        <v>63136.121621621605</v>
      </c>
      <c r="AZ267" s="3">
        <f t="shared" si="78"/>
        <v>63136.121621621605</v>
      </c>
      <c r="BA267" s="3">
        <f t="shared" si="78"/>
        <v>63136.121621621605</v>
      </c>
      <c r="BB267" s="3">
        <f t="shared" si="78"/>
        <v>63136.121621621605</v>
      </c>
      <c r="BC267" s="3">
        <f t="shared" si="78"/>
        <v>63136.121621621605</v>
      </c>
      <c r="BD267" s="3">
        <f t="shared" si="78"/>
        <v>63136.121621621605</v>
      </c>
      <c r="BE267" s="3">
        <f t="shared" si="78"/>
        <v>63136.121621621605</v>
      </c>
      <c r="BF267" s="3">
        <f t="shared" si="78"/>
        <v>63136.121621621605</v>
      </c>
      <c r="BG267" s="3">
        <f t="shared" si="78"/>
        <v>63136.121621621605</v>
      </c>
      <c r="BH267" s="3">
        <f t="shared" si="78"/>
        <v>63136.121621621605</v>
      </c>
      <c r="BI267" s="3">
        <f t="shared" si="78"/>
        <v>63136.121621621605</v>
      </c>
      <c r="BJ267" s="3">
        <f t="shared" si="78"/>
        <v>63136.121621621605</v>
      </c>
      <c r="BK267" s="3">
        <f t="shared" si="78"/>
        <v>63136.121621621605</v>
      </c>
      <c r="BL267" s="3">
        <f t="shared" si="78"/>
        <v>63136.121621621605</v>
      </c>
      <c r="BM267" s="3">
        <f t="shared" si="78"/>
        <v>63136.121621621605</v>
      </c>
      <c r="BN267" s="3">
        <f t="shared" si="78"/>
        <v>63136.121621621605</v>
      </c>
      <c r="BO267" s="3">
        <f t="shared" si="78"/>
        <v>63136.121621621605</v>
      </c>
      <c r="BP267" s="3">
        <f t="shared" si="78"/>
        <v>63136.121621621605</v>
      </c>
      <c r="BQ267" s="3">
        <f t="shared" si="78"/>
        <v>63136.121621621605</v>
      </c>
      <c r="BR267" s="3">
        <f t="shared" si="78"/>
        <v>63136.121621621605</v>
      </c>
    </row>
    <row r="268" spans="1:70" hidden="1" x14ac:dyDescent="0.25">
      <c r="A268" s="7">
        <v>54</v>
      </c>
      <c r="B268" s="7" t="s">
        <v>434</v>
      </c>
      <c r="C268" s="7" t="s">
        <v>435</v>
      </c>
      <c r="D268" s="7">
        <v>2</v>
      </c>
      <c r="E268" s="7" t="s">
        <v>491</v>
      </c>
      <c r="F268" s="7" t="s">
        <v>553</v>
      </c>
      <c r="G268" s="7" t="s">
        <v>505</v>
      </c>
      <c r="H268" s="7" t="s">
        <v>501</v>
      </c>
      <c r="I268" s="7">
        <v>0</v>
      </c>
      <c r="J268" s="7">
        <v>95</v>
      </c>
      <c r="K268" s="7"/>
      <c r="L268" s="7"/>
      <c r="M268" s="7"/>
      <c r="N268" s="7"/>
      <c r="O268" s="7"/>
      <c r="P268" s="7"/>
      <c r="Q268" s="7"/>
      <c r="R268" s="7"/>
      <c r="S268" s="7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spans="1:70" hidden="1" x14ac:dyDescent="0.25">
      <c r="A269" s="7">
        <v>54</v>
      </c>
      <c r="B269" s="7" t="s">
        <v>434</v>
      </c>
      <c r="C269" s="7" t="s">
        <v>435</v>
      </c>
      <c r="D269" s="7">
        <v>3</v>
      </c>
      <c r="E269" s="7" t="s">
        <v>493</v>
      </c>
      <c r="F269" s="7" t="s">
        <v>506</v>
      </c>
      <c r="G269" s="7" t="s">
        <v>507</v>
      </c>
      <c r="H269" s="7"/>
      <c r="I269" s="7">
        <v>0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</row>
    <row r="270" spans="1:70" hidden="1" x14ac:dyDescent="0.25">
      <c r="A270" s="7">
        <v>54</v>
      </c>
      <c r="B270" s="7" t="s">
        <v>434</v>
      </c>
      <c r="C270" s="7" t="s">
        <v>435</v>
      </c>
      <c r="D270" s="7">
        <v>4</v>
      </c>
      <c r="E270" s="7" t="s">
        <v>494</v>
      </c>
      <c r="F270" s="7"/>
      <c r="G270" s="7"/>
      <c r="H270" s="7"/>
      <c r="I270" s="7">
        <v>0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spans="1:70" hidden="1" x14ac:dyDescent="0.25">
      <c r="A271" s="7">
        <v>54</v>
      </c>
      <c r="B271" s="7" t="s">
        <v>434</v>
      </c>
      <c r="C271" s="7" t="s">
        <v>435</v>
      </c>
      <c r="D271" s="7">
        <v>5</v>
      </c>
      <c r="E271" s="7" t="s">
        <v>496</v>
      </c>
      <c r="F271" s="7"/>
      <c r="G271" s="7"/>
      <c r="H271" s="7"/>
      <c r="I271" s="7">
        <v>0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spans="1:70" hidden="1" x14ac:dyDescent="0.25">
      <c r="A272" s="6">
        <v>55</v>
      </c>
      <c r="B272" s="6" t="s">
        <v>436</v>
      </c>
      <c r="C272" s="6" t="s">
        <v>437</v>
      </c>
      <c r="D272" s="6">
        <v>1</v>
      </c>
      <c r="E272" s="6" t="s">
        <v>489</v>
      </c>
      <c r="F272" s="6" t="s">
        <v>504</v>
      </c>
      <c r="G272" s="6" t="s">
        <v>505</v>
      </c>
      <c r="H272" s="6" t="s">
        <v>500</v>
      </c>
      <c r="I272" s="6">
        <v>0</v>
      </c>
      <c r="J272" s="40">
        <v>76185.72</v>
      </c>
      <c r="K272" s="40">
        <v>76185.72</v>
      </c>
      <c r="L272" s="40">
        <v>76185.72</v>
      </c>
      <c r="M272" s="40">
        <v>76185.72</v>
      </c>
      <c r="N272" s="40">
        <v>76185.72</v>
      </c>
      <c r="O272" s="40">
        <v>76185.72</v>
      </c>
      <c r="P272" s="40">
        <v>76185.72</v>
      </c>
      <c r="Q272" s="40">
        <v>76185.72</v>
      </c>
      <c r="R272" s="40">
        <v>76185.72</v>
      </c>
      <c r="S272" s="8">
        <v>75522.350749999998</v>
      </c>
      <c r="T272" s="3">
        <v>74850.842000000033</v>
      </c>
      <c r="U272" s="3">
        <v>74171.193750000035</v>
      </c>
      <c r="V272" s="3">
        <v>73483.406000000032</v>
      </c>
      <c r="W272" s="3">
        <v>72787.478750000038</v>
      </c>
      <c r="X272" s="3">
        <v>72083.41200000004</v>
      </c>
      <c r="Y272" s="3">
        <v>71371.205750000052</v>
      </c>
      <c r="Z272" s="3">
        <v>70650.860000000059</v>
      </c>
      <c r="AA272" s="3">
        <v>69922.374750000061</v>
      </c>
      <c r="AB272" s="3">
        <v>69185.750000000058</v>
      </c>
      <c r="AC272" s="3">
        <v>68440.985750000065</v>
      </c>
      <c r="AD272" s="3">
        <v>67688.082000000024</v>
      </c>
      <c r="AE272" s="3">
        <v>67653.677900000024</v>
      </c>
      <c r="AF272" s="3">
        <v>67619.273800000024</v>
      </c>
      <c r="AG272" s="3">
        <v>67584.869700000025</v>
      </c>
      <c r="AH272" s="3">
        <v>67550.465600000025</v>
      </c>
      <c r="AI272" s="3">
        <v>67516.061500000025</v>
      </c>
      <c r="AJ272" s="3">
        <v>67481.657400000026</v>
      </c>
      <c r="AK272" s="3">
        <v>67447.253300000026</v>
      </c>
      <c r="AL272" s="3">
        <v>67412.849200000026</v>
      </c>
      <c r="AM272" s="3">
        <v>67378.445100000026</v>
      </c>
      <c r="AN272" s="3">
        <v>67344.041000000027</v>
      </c>
      <c r="AO272" s="3">
        <v>67309.636900000027</v>
      </c>
      <c r="AP272" s="3">
        <v>67275.232800000027</v>
      </c>
      <c r="AQ272" s="3">
        <v>67240.828700000027</v>
      </c>
      <c r="AR272" s="3">
        <v>67206.424600000028</v>
      </c>
      <c r="AS272" s="3">
        <v>67172.020500000028</v>
      </c>
      <c r="AT272" s="3">
        <v>67137.616400000028</v>
      </c>
      <c r="AU272" s="3">
        <v>67103.212300000028</v>
      </c>
      <c r="AV272" s="3">
        <v>67068.808200000029</v>
      </c>
      <c r="AW272" s="3">
        <v>67034.404100000029</v>
      </c>
      <c r="AX272" s="3">
        <v>67000</v>
      </c>
      <c r="AY272" s="3">
        <f t="shared" ref="AY272:BR272" si="79">AX272</f>
        <v>67000</v>
      </c>
      <c r="AZ272" s="3">
        <f t="shared" si="79"/>
        <v>67000</v>
      </c>
      <c r="BA272" s="3">
        <f t="shared" si="79"/>
        <v>67000</v>
      </c>
      <c r="BB272" s="3">
        <f t="shared" si="79"/>
        <v>67000</v>
      </c>
      <c r="BC272" s="3">
        <f t="shared" si="79"/>
        <v>67000</v>
      </c>
      <c r="BD272" s="3">
        <f t="shared" si="79"/>
        <v>67000</v>
      </c>
      <c r="BE272" s="3">
        <f t="shared" si="79"/>
        <v>67000</v>
      </c>
      <c r="BF272" s="3">
        <f t="shared" si="79"/>
        <v>67000</v>
      </c>
      <c r="BG272" s="3">
        <f t="shared" si="79"/>
        <v>67000</v>
      </c>
      <c r="BH272" s="3">
        <f t="shared" si="79"/>
        <v>67000</v>
      </c>
      <c r="BI272" s="3">
        <f t="shared" si="79"/>
        <v>67000</v>
      </c>
      <c r="BJ272" s="3">
        <f t="shared" si="79"/>
        <v>67000</v>
      </c>
      <c r="BK272" s="3">
        <f t="shared" si="79"/>
        <v>67000</v>
      </c>
      <c r="BL272" s="3">
        <f t="shared" si="79"/>
        <v>67000</v>
      </c>
      <c r="BM272" s="3">
        <f t="shared" si="79"/>
        <v>67000</v>
      </c>
      <c r="BN272" s="3">
        <f t="shared" si="79"/>
        <v>67000</v>
      </c>
      <c r="BO272" s="3">
        <f t="shared" si="79"/>
        <v>67000</v>
      </c>
      <c r="BP272" s="3">
        <f t="shared" si="79"/>
        <v>67000</v>
      </c>
      <c r="BQ272" s="3">
        <f t="shared" si="79"/>
        <v>67000</v>
      </c>
      <c r="BR272" s="3">
        <f t="shared" si="79"/>
        <v>67000</v>
      </c>
    </row>
    <row r="273" spans="1:70" hidden="1" x14ac:dyDescent="0.25">
      <c r="A273" s="6">
        <v>55</v>
      </c>
      <c r="B273" s="6" t="s">
        <v>436</v>
      </c>
      <c r="C273" s="6" t="s">
        <v>437</v>
      </c>
      <c r="D273" s="6">
        <v>2</v>
      </c>
      <c r="E273" s="6" t="s">
        <v>491</v>
      </c>
      <c r="F273" s="6" t="s">
        <v>553</v>
      </c>
      <c r="G273" s="6" t="s">
        <v>505</v>
      </c>
      <c r="H273" s="6" t="s">
        <v>501</v>
      </c>
      <c r="I273" s="6">
        <v>0</v>
      </c>
      <c r="J273" s="6">
        <v>95</v>
      </c>
      <c r="K273" s="6"/>
      <c r="L273" s="6"/>
      <c r="M273" s="6"/>
      <c r="N273" s="6"/>
      <c r="O273" s="6"/>
      <c r="P273" s="6"/>
      <c r="Q273" s="6"/>
      <c r="R273" s="6"/>
      <c r="S273" s="6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spans="1:70" hidden="1" x14ac:dyDescent="0.25">
      <c r="A274" s="6">
        <v>55</v>
      </c>
      <c r="B274" s="6" t="s">
        <v>436</v>
      </c>
      <c r="C274" s="6" t="s">
        <v>437</v>
      </c>
      <c r="D274" s="6">
        <v>3</v>
      </c>
      <c r="E274" s="6" t="s">
        <v>493</v>
      </c>
      <c r="F274" s="6" t="s">
        <v>506</v>
      </c>
      <c r="G274" s="6" t="s">
        <v>507</v>
      </c>
      <c r="H274" s="6"/>
      <c r="I274" s="6">
        <v>0</v>
      </c>
      <c r="J274" s="9"/>
      <c r="K274" s="9"/>
      <c r="L274" s="9"/>
      <c r="M274" s="9"/>
      <c r="N274" s="9"/>
      <c r="O274" s="9"/>
      <c r="P274" s="9"/>
      <c r="Q274" s="9"/>
      <c r="R274" s="9"/>
      <c r="S274" s="14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</row>
    <row r="275" spans="1:70" hidden="1" x14ac:dyDescent="0.25">
      <c r="A275" s="6">
        <v>55</v>
      </c>
      <c r="B275" s="6" t="s">
        <v>436</v>
      </c>
      <c r="C275" s="6" t="s">
        <v>437</v>
      </c>
      <c r="D275" s="6">
        <v>4</v>
      </c>
      <c r="E275" s="6" t="s">
        <v>494</v>
      </c>
      <c r="F275" s="6"/>
      <c r="G275" s="6"/>
      <c r="H275" s="6"/>
      <c r="I275" s="6">
        <v>0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spans="1:70" hidden="1" x14ac:dyDescent="0.25">
      <c r="A276" s="6">
        <v>55</v>
      </c>
      <c r="B276" s="6" t="s">
        <v>436</v>
      </c>
      <c r="C276" s="6" t="s">
        <v>437</v>
      </c>
      <c r="D276" s="6">
        <v>5</v>
      </c>
      <c r="E276" s="6" t="s">
        <v>496</v>
      </c>
      <c r="F276" s="6"/>
      <c r="G276" s="6"/>
      <c r="H276" s="6"/>
      <c r="I276" s="6">
        <v>0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spans="1:70" hidden="1" x14ac:dyDescent="0.25">
      <c r="A277" s="7">
        <v>56</v>
      </c>
      <c r="B277" s="7" t="s">
        <v>438</v>
      </c>
      <c r="C277" s="7" t="s">
        <v>439</v>
      </c>
      <c r="D277" s="7">
        <v>1</v>
      </c>
      <c r="E277" s="7" t="s">
        <v>489</v>
      </c>
      <c r="F277" s="7" t="s">
        <v>504</v>
      </c>
      <c r="G277" s="7" t="s">
        <v>505</v>
      </c>
      <c r="H277" s="7" t="s">
        <v>500</v>
      </c>
      <c r="I277" s="7">
        <v>0</v>
      </c>
      <c r="J277" s="41">
        <v>58867.677272727269</v>
      </c>
      <c r="K277" s="41">
        <v>58867.677272727269</v>
      </c>
      <c r="L277" s="41">
        <v>58867.677272727269</v>
      </c>
      <c r="M277" s="41">
        <v>58867.677272727269</v>
      </c>
      <c r="N277" s="41">
        <v>58867.677272727269</v>
      </c>
      <c r="O277" s="41">
        <v>58867.677272727269</v>
      </c>
      <c r="P277" s="41">
        <v>58867.677272727269</v>
      </c>
      <c r="Q277" s="41">
        <v>58867.677272727269</v>
      </c>
      <c r="R277" s="41">
        <v>58867.677272727269</v>
      </c>
      <c r="S277" s="11">
        <v>58189.696799000405</v>
      </c>
      <c r="T277" s="3">
        <v>57523.715431280572</v>
      </c>
      <c r="U277" s="3">
        <v>56869.355473737058</v>
      </c>
      <c r="V277" s="3">
        <v>56226.254917586397</v>
      </c>
      <c r="W277" s="3">
        <v>55594.066635038624</v>
      </c>
      <c r="X277" s="3">
        <v>54972.457622439164</v>
      </c>
      <c r="Y277" s="3">
        <v>54361.108289138952</v>
      </c>
      <c r="Z277" s="3">
        <v>53759.711788901273</v>
      </c>
      <c r="AA277" s="3">
        <v>53167.973390906489</v>
      </c>
      <c r="AB277" s="3">
        <v>52585.609887645238</v>
      </c>
      <c r="AC277" s="3">
        <v>52012.349037200445</v>
      </c>
      <c r="AD277" s="3">
        <v>51447.929037610622</v>
      </c>
      <c r="AE277" s="3">
        <v>50925.038680527294</v>
      </c>
      <c r="AF277" s="3">
        <v>50404.47904250765</v>
      </c>
      <c r="AG277" s="3">
        <v>49886.227618465404</v>
      </c>
      <c r="AH277" s="3">
        <v>49370.262192125854</v>
      </c>
      <c r="AI277" s="3">
        <v>48856.560831407725</v>
      </c>
      <c r="AJ277" s="3">
        <v>48345.10188389336</v>
      </c>
      <c r="AK277" s="3">
        <v>47835.863972385247</v>
      </c>
      <c r="AL277" s="3">
        <v>47328.82599054707</v>
      </c>
      <c r="AM277" s="3">
        <v>46823.96709862729</v>
      </c>
      <c r="AN277" s="3">
        <v>46321.266719263476</v>
      </c>
      <c r="AO277" s="3">
        <v>45820.704533365679</v>
      </c>
      <c r="AP277" s="3">
        <v>45322.260476077019</v>
      </c>
      <c r="AQ277" s="3">
        <v>44825.914732809877</v>
      </c>
      <c r="AR277" s="3">
        <v>44331.647735356026</v>
      </c>
      <c r="AS277" s="3">
        <v>43839.440158069046</v>
      </c>
      <c r="AT277" s="3">
        <v>43349.272914117551</v>
      </c>
      <c r="AU277" s="3">
        <v>42861.12715180761</v>
      </c>
      <c r="AV277" s="3">
        <v>42374.984250972921</v>
      </c>
      <c r="AW277" s="3">
        <v>41890.825819431375</v>
      </c>
      <c r="AX277" s="3">
        <v>41408.633689506307</v>
      </c>
      <c r="AY277" s="3">
        <f t="shared" ref="AY277:BR277" si="80">AX277</f>
        <v>41408.633689506307</v>
      </c>
      <c r="AZ277" s="3">
        <f t="shared" si="80"/>
        <v>41408.633689506307</v>
      </c>
      <c r="BA277" s="3">
        <f t="shared" si="80"/>
        <v>41408.633689506307</v>
      </c>
      <c r="BB277" s="3">
        <f t="shared" si="80"/>
        <v>41408.633689506307</v>
      </c>
      <c r="BC277" s="3">
        <f t="shared" si="80"/>
        <v>41408.633689506307</v>
      </c>
      <c r="BD277" s="3">
        <f t="shared" si="80"/>
        <v>41408.633689506307</v>
      </c>
      <c r="BE277" s="3">
        <f t="shared" si="80"/>
        <v>41408.633689506307</v>
      </c>
      <c r="BF277" s="3">
        <f t="shared" si="80"/>
        <v>41408.633689506307</v>
      </c>
      <c r="BG277" s="3">
        <f t="shared" si="80"/>
        <v>41408.633689506307</v>
      </c>
      <c r="BH277" s="3">
        <f t="shared" si="80"/>
        <v>41408.633689506307</v>
      </c>
      <c r="BI277" s="3">
        <f t="shared" si="80"/>
        <v>41408.633689506307</v>
      </c>
      <c r="BJ277" s="3">
        <f t="shared" si="80"/>
        <v>41408.633689506307</v>
      </c>
      <c r="BK277" s="3">
        <f t="shared" si="80"/>
        <v>41408.633689506307</v>
      </c>
      <c r="BL277" s="3">
        <f t="shared" si="80"/>
        <v>41408.633689506307</v>
      </c>
      <c r="BM277" s="3">
        <f t="shared" si="80"/>
        <v>41408.633689506307</v>
      </c>
      <c r="BN277" s="3">
        <f t="shared" si="80"/>
        <v>41408.633689506307</v>
      </c>
      <c r="BO277" s="3">
        <f t="shared" si="80"/>
        <v>41408.633689506307</v>
      </c>
      <c r="BP277" s="3">
        <f t="shared" si="80"/>
        <v>41408.633689506307</v>
      </c>
      <c r="BQ277" s="3">
        <f t="shared" si="80"/>
        <v>41408.633689506307</v>
      </c>
      <c r="BR277" s="3">
        <f t="shared" si="80"/>
        <v>41408.633689506307</v>
      </c>
    </row>
    <row r="278" spans="1:70" hidden="1" x14ac:dyDescent="0.25">
      <c r="A278" s="7">
        <v>56</v>
      </c>
      <c r="B278" s="7" t="s">
        <v>438</v>
      </c>
      <c r="C278" s="7" t="s">
        <v>439</v>
      </c>
      <c r="D278" s="7">
        <v>2</v>
      </c>
      <c r="E278" s="7" t="s">
        <v>491</v>
      </c>
      <c r="F278" s="7" t="s">
        <v>553</v>
      </c>
      <c r="G278" s="7" t="s">
        <v>505</v>
      </c>
      <c r="H278" s="7" t="s">
        <v>501</v>
      </c>
      <c r="I278" s="7">
        <v>0</v>
      </c>
      <c r="J278" s="7">
        <v>86</v>
      </c>
      <c r="K278" s="7"/>
      <c r="L278" s="7"/>
      <c r="M278" s="7"/>
      <c r="N278" s="7"/>
      <c r="O278" s="7"/>
      <c r="P278" s="7"/>
      <c r="Q278" s="7"/>
      <c r="R278" s="7"/>
      <c r="S278" s="7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spans="1:70" hidden="1" x14ac:dyDescent="0.25">
      <c r="A279" s="7">
        <v>56</v>
      </c>
      <c r="B279" s="7" t="s">
        <v>438</v>
      </c>
      <c r="C279" s="7" t="s">
        <v>439</v>
      </c>
      <c r="D279" s="7">
        <v>3</v>
      </c>
      <c r="E279" s="7" t="s">
        <v>493</v>
      </c>
      <c r="F279" s="7" t="s">
        <v>506</v>
      </c>
      <c r="G279" s="7" t="s">
        <v>507</v>
      </c>
      <c r="H279" s="7"/>
      <c r="I279" s="7">
        <v>0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</row>
    <row r="280" spans="1:70" hidden="1" x14ac:dyDescent="0.25">
      <c r="A280" s="7">
        <v>56</v>
      </c>
      <c r="B280" s="7" t="s">
        <v>438</v>
      </c>
      <c r="C280" s="7" t="s">
        <v>439</v>
      </c>
      <c r="D280" s="7">
        <v>4</v>
      </c>
      <c r="E280" s="7" t="s">
        <v>494</v>
      </c>
      <c r="F280" s="7"/>
      <c r="G280" s="7"/>
      <c r="H280" s="7"/>
      <c r="I280" s="7">
        <v>0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spans="1:70" hidden="1" x14ac:dyDescent="0.25">
      <c r="A281" s="7">
        <v>56</v>
      </c>
      <c r="B281" s="7" t="s">
        <v>438</v>
      </c>
      <c r="C281" s="7" t="s">
        <v>439</v>
      </c>
      <c r="D281" s="7">
        <v>5</v>
      </c>
      <c r="E281" s="7" t="s">
        <v>496</v>
      </c>
      <c r="F281" s="7"/>
      <c r="G281" s="7"/>
      <c r="H281" s="7"/>
      <c r="I281" s="7">
        <v>0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spans="1:70" hidden="1" x14ac:dyDescent="0.25">
      <c r="A282" s="6">
        <v>57</v>
      </c>
      <c r="B282" s="6" t="s">
        <v>440</v>
      </c>
      <c r="C282" s="6" t="s">
        <v>441</v>
      </c>
      <c r="D282" s="6">
        <v>1</v>
      </c>
      <c r="E282" s="6" t="s">
        <v>489</v>
      </c>
      <c r="F282" s="6" t="s">
        <v>504</v>
      </c>
      <c r="G282" s="6" t="s">
        <v>505</v>
      </c>
      <c r="H282" s="6" t="s">
        <v>500</v>
      </c>
      <c r="I282" s="6">
        <v>0</v>
      </c>
      <c r="J282" s="40">
        <v>47160.1</v>
      </c>
      <c r="K282" s="40">
        <v>47160.1</v>
      </c>
      <c r="L282" s="40">
        <v>47160.1</v>
      </c>
      <c r="M282" s="40">
        <v>47160.1</v>
      </c>
      <c r="N282" s="40">
        <v>47160.1</v>
      </c>
      <c r="O282" s="40">
        <v>47160.1</v>
      </c>
      <c r="P282" s="40">
        <v>47160.1</v>
      </c>
      <c r="Q282" s="40">
        <v>47160.1</v>
      </c>
      <c r="R282" s="40">
        <v>47160.1</v>
      </c>
      <c r="S282" s="8">
        <v>46749.464513888888</v>
      </c>
      <c r="T282" s="3">
        <v>46333.790555555555</v>
      </c>
      <c r="U282" s="3">
        <v>45913.078125000015</v>
      </c>
      <c r="V282" s="3">
        <v>45487.327222222237</v>
      </c>
      <c r="W282" s="3">
        <v>45056.537847222236</v>
      </c>
      <c r="X282" s="3">
        <v>44620.710000000021</v>
      </c>
      <c r="Y282" s="3">
        <v>44179.843680555576</v>
      </c>
      <c r="Z282" s="3">
        <v>43733.938888888915</v>
      </c>
      <c r="AA282" s="3">
        <v>43282.995625000025</v>
      </c>
      <c r="AB282" s="3">
        <v>42827.01388888892</v>
      </c>
      <c r="AC282" s="3">
        <v>42365.993680555584</v>
      </c>
      <c r="AD282" s="3">
        <v>41899.935000000005</v>
      </c>
      <c r="AE282" s="3">
        <v>41666.271442031255</v>
      </c>
      <c r="AF282" s="3">
        <v>41431.893680625006</v>
      </c>
      <c r="AG282" s="3">
        <v>41196.80171578125</v>
      </c>
      <c r="AH282" s="3">
        <v>40960.995547500002</v>
      </c>
      <c r="AI282" s="3">
        <v>40724.475175781248</v>
      </c>
      <c r="AJ282" s="3">
        <v>40487.240600625002</v>
      </c>
      <c r="AK282" s="3">
        <v>40249.291822031249</v>
      </c>
      <c r="AL282" s="3">
        <v>40010.628840000005</v>
      </c>
      <c r="AM282" s="3">
        <v>39771.251654531254</v>
      </c>
      <c r="AN282" s="3">
        <v>39531.160265625003</v>
      </c>
      <c r="AO282" s="3">
        <v>39290.354673281254</v>
      </c>
      <c r="AP282" s="3">
        <v>39048.834877500005</v>
      </c>
      <c r="AQ282" s="3">
        <v>38806.600878281257</v>
      </c>
      <c r="AR282" s="3">
        <v>38563.652675624995</v>
      </c>
      <c r="AS282" s="3">
        <v>38319.990269531256</v>
      </c>
      <c r="AT282" s="3">
        <v>38075.613660000003</v>
      </c>
      <c r="AU282" s="3">
        <v>37830.52284703125</v>
      </c>
      <c r="AV282" s="3">
        <v>37584.717830624999</v>
      </c>
      <c r="AW282" s="3">
        <v>37338.198610781255</v>
      </c>
      <c r="AX282" s="3">
        <v>37090.965187499998</v>
      </c>
      <c r="AY282" s="3">
        <f t="shared" ref="AY282:BR282" si="81">AX282</f>
        <v>37090.965187499998</v>
      </c>
      <c r="AZ282" s="3">
        <f t="shared" si="81"/>
        <v>37090.965187499998</v>
      </c>
      <c r="BA282" s="3">
        <f t="shared" si="81"/>
        <v>37090.965187499998</v>
      </c>
      <c r="BB282" s="3">
        <f t="shared" si="81"/>
        <v>37090.965187499998</v>
      </c>
      <c r="BC282" s="3">
        <f t="shared" si="81"/>
        <v>37090.965187499998</v>
      </c>
      <c r="BD282" s="3">
        <f t="shared" si="81"/>
        <v>37090.965187499998</v>
      </c>
      <c r="BE282" s="3">
        <f t="shared" si="81"/>
        <v>37090.965187499998</v>
      </c>
      <c r="BF282" s="3">
        <f t="shared" si="81"/>
        <v>37090.965187499998</v>
      </c>
      <c r="BG282" s="3">
        <f t="shared" si="81"/>
        <v>37090.965187499998</v>
      </c>
      <c r="BH282" s="3">
        <f t="shared" si="81"/>
        <v>37090.965187499998</v>
      </c>
      <c r="BI282" s="3">
        <f t="shared" si="81"/>
        <v>37090.965187499998</v>
      </c>
      <c r="BJ282" s="3">
        <f t="shared" si="81"/>
        <v>37090.965187499998</v>
      </c>
      <c r="BK282" s="3">
        <f t="shared" si="81"/>
        <v>37090.965187499998</v>
      </c>
      <c r="BL282" s="3">
        <f t="shared" si="81"/>
        <v>37090.965187499998</v>
      </c>
      <c r="BM282" s="3">
        <f t="shared" si="81"/>
        <v>37090.965187499998</v>
      </c>
      <c r="BN282" s="3">
        <f t="shared" si="81"/>
        <v>37090.965187499998</v>
      </c>
      <c r="BO282" s="3">
        <f t="shared" si="81"/>
        <v>37090.965187499998</v>
      </c>
      <c r="BP282" s="3">
        <f t="shared" si="81"/>
        <v>37090.965187499998</v>
      </c>
      <c r="BQ282" s="3">
        <f t="shared" si="81"/>
        <v>37090.965187499998</v>
      </c>
      <c r="BR282" s="3">
        <f t="shared" si="81"/>
        <v>37090.965187499998</v>
      </c>
    </row>
    <row r="283" spans="1:70" hidden="1" x14ac:dyDescent="0.25">
      <c r="A283" s="6">
        <v>57</v>
      </c>
      <c r="B283" s="6" t="s">
        <v>440</v>
      </c>
      <c r="C283" s="6" t="s">
        <v>441</v>
      </c>
      <c r="D283" s="6">
        <v>2</v>
      </c>
      <c r="E283" s="6" t="s">
        <v>491</v>
      </c>
      <c r="F283" s="6" t="s">
        <v>553</v>
      </c>
      <c r="G283" s="6" t="s">
        <v>505</v>
      </c>
      <c r="H283" s="6" t="s">
        <v>501</v>
      </c>
      <c r="I283" s="6">
        <v>0</v>
      </c>
      <c r="J283" s="6">
        <v>83</v>
      </c>
      <c r="K283" s="6"/>
      <c r="L283" s="6"/>
      <c r="M283" s="6"/>
      <c r="N283" s="6"/>
      <c r="O283" s="6"/>
      <c r="P283" s="6"/>
      <c r="Q283" s="6"/>
      <c r="R283" s="6"/>
      <c r="S283" s="6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spans="1:70" hidden="1" x14ac:dyDescent="0.25">
      <c r="A284" s="6">
        <v>57</v>
      </c>
      <c r="B284" s="6" t="s">
        <v>440</v>
      </c>
      <c r="C284" s="6" t="s">
        <v>441</v>
      </c>
      <c r="D284" s="6">
        <v>3</v>
      </c>
      <c r="E284" s="6" t="s">
        <v>493</v>
      </c>
      <c r="F284" s="6" t="s">
        <v>506</v>
      </c>
      <c r="G284" s="6" t="s">
        <v>507</v>
      </c>
      <c r="H284" s="6"/>
      <c r="I284" s="6">
        <v>0</v>
      </c>
      <c r="J284" s="9"/>
      <c r="K284" s="9"/>
      <c r="L284" s="9"/>
      <c r="M284" s="9"/>
      <c r="N284" s="9"/>
      <c r="O284" s="9"/>
      <c r="P284" s="9"/>
      <c r="Q284" s="9"/>
      <c r="R284" s="9"/>
      <c r="S284" s="14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</row>
    <row r="285" spans="1:70" hidden="1" x14ac:dyDescent="0.25">
      <c r="A285" s="6">
        <v>57</v>
      </c>
      <c r="B285" s="6" t="s">
        <v>440</v>
      </c>
      <c r="C285" s="6" t="s">
        <v>441</v>
      </c>
      <c r="D285" s="6">
        <v>4</v>
      </c>
      <c r="E285" s="6" t="s">
        <v>494</v>
      </c>
      <c r="F285" s="6"/>
      <c r="G285" s="6"/>
      <c r="H285" s="6"/>
      <c r="I285" s="6">
        <v>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spans="1:70" hidden="1" x14ac:dyDescent="0.25">
      <c r="A286" s="6">
        <v>57</v>
      </c>
      <c r="B286" s="6" t="s">
        <v>440</v>
      </c>
      <c r="C286" s="6" t="s">
        <v>441</v>
      </c>
      <c r="D286" s="6">
        <v>5</v>
      </c>
      <c r="E286" s="6" t="s">
        <v>496</v>
      </c>
      <c r="F286" s="6"/>
      <c r="G286" s="6"/>
      <c r="H286" s="6"/>
      <c r="I286" s="6">
        <v>0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spans="1:70" hidden="1" x14ac:dyDescent="0.25">
      <c r="A287" s="7">
        <v>58</v>
      </c>
      <c r="B287" s="7" t="s">
        <v>442</v>
      </c>
      <c r="C287" s="7" t="s">
        <v>443</v>
      </c>
      <c r="D287" s="7">
        <v>1</v>
      </c>
      <c r="E287" s="7" t="s">
        <v>489</v>
      </c>
      <c r="F287" s="7" t="s">
        <v>504</v>
      </c>
      <c r="G287" s="7" t="s">
        <v>505</v>
      </c>
      <c r="H287" s="7" t="s">
        <v>500</v>
      </c>
      <c r="I287" s="7">
        <v>0</v>
      </c>
      <c r="J287" s="41">
        <v>92753.693181818177</v>
      </c>
      <c r="K287" s="41">
        <v>92753.693181818177</v>
      </c>
      <c r="L287" s="41">
        <v>92753.693181818177</v>
      </c>
      <c r="M287" s="41">
        <v>92753.693181818177</v>
      </c>
      <c r="N287" s="41">
        <v>92753.693181818177</v>
      </c>
      <c r="O287" s="41">
        <v>92753.693181818177</v>
      </c>
      <c r="P287" s="41">
        <v>92753.693181818177</v>
      </c>
      <c r="Q287" s="41">
        <v>92753.693181818177</v>
      </c>
      <c r="R287" s="41">
        <v>92753.693181818177</v>
      </c>
      <c r="S287" s="11">
        <v>89718.969969428406</v>
      </c>
      <c r="T287" s="3">
        <v>86728.710066612286</v>
      </c>
      <c r="U287" s="3">
        <v>83781.513901882019</v>
      </c>
      <c r="V287" s="3">
        <v>80876.040032917037</v>
      </c>
      <c r="W287" s="3">
        <v>78011.0021596898</v>
      </c>
      <c r="X287" s="3">
        <v>75185.166319889046</v>
      </c>
      <c r="Y287" s="3">
        <v>72397.348253790828</v>
      </c>
      <c r="Z287" s="3">
        <v>69646.4109267522</v>
      </c>
      <c r="AA287" s="3">
        <v>66931.26219843654</v>
      </c>
      <c r="AB287" s="3">
        <v>64250.852628730936</v>
      </c>
      <c r="AC287" s="3">
        <v>61604.173411093456</v>
      </c>
      <c r="AD287" s="3">
        <v>58990.254424778759</v>
      </c>
      <c r="AE287" s="3">
        <v>56655.374256940297</v>
      </c>
      <c r="AF287" s="3">
        <v>54330.054391027908</v>
      </c>
      <c r="AG287" s="3">
        <v>52014.202514148557</v>
      </c>
      <c r="AH287" s="3">
        <v>49707.727498076107</v>
      </c>
      <c r="AI287" s="3">
        <v>47410.539380308321</v>
      </c>
      <c r="AJ287" s="3">
        <v>45122.549345486274</v>
      </c>
      <c r="AK287" s="3">
        <v>42843.66970716777</v>
      </c>
      <c r="AL287" s="3">
        <v>40573.813889947451</v>
      </c>
      <c r="AM287" s="3">
        <v>38312.896411915477</v>
      </c>
      <c r="AN287" s="3">
        <v>36060.832867447542</v>
      </c>
      <c r="AO287" s="3">
        <v>35767.109838630007</v>
      </c>
      <c r="AP287" s="3">
        <v>35474.671332706668</v>
      </c>
      <c r="AQ287" s="3">
        <v>35183.505333272427</v>
      </c>
      <c r="AR287" s="3">
        <v>34893.599973337063</v>
      </c>
      <c r="AS287" s="3">
        <v>34604.943533010133</v>
      </c>
      <c r="AT287" s="3">
        <v>34317.52443722872</v>
      </c>
      <c r="AU287" s="3">
        <v>34031.331253527234</v>
      </c>
      <c r="AV287" s="3">
        <v>33746.352689848245</v>
      </c>
      <c r="AW287" s="3">
        <v>33462.577592393565</v>
      </c>
      <c r="AX287" s="3">
        <v>33179.99494351467</v>
      </c>
      <c r="AY287" s="3">
        <f t="shared" ref="AY287:BR287" si="82">AX287</f>
        <v>33179.99494351467</v>
      </c>
      <c r="AZ287" s="3">
        <f t="shared" si="82"/>
        <v>33179.99494351467</v>
      </c>
      <c r="BA287" s="3">
        <f t="shared" si="82"/>
        <v>33179.99494351467</v>
      </c>
      <c r="BB287" s="3">
        <f t="shared" si="82"/>
        <v>33179.99494351467</v>
      </c>
      <c r="BC287" s="3">
        <f t="shared" si="82"/>
        <v>33179.99494351467</v>
      </c>
      <c r="BD287" s="3">
        <f t="shared" si="82"/>
        <v>33179.99494351467</v>
      </c>
      <c r="BE287" s="3">
        <f t="shared" si="82"/>
        <v>33179.99494351467</v>
      </c>
      <c r="BF287" s="3">
        <f t="shared" si="82"/>
        <v>33179.99494351467</v>
      </c>
      <c r="BG287" s="3">
        <f t="shared" si="82"/>
        <v>33179.99494351467</v>
      </c>
      <c r="BH287" s="3">
        <f t="shared" si="82"/>
        <v>33179.99494351467</v>
      </c>
      <c r="BI287" s="3">
        <f t="shared" si="82"/>
        <v>33179.99494351467</v>
      </c>
      <c r="BJ287" s="3">
        <f t="shared" si="82"/>
        <v>33179.99494351467</v>
      </c>
      <c r="BK287" s="3">
        <f t="shared" si="82"/>
        <v>33179.99494351467</v>
      </c>
      <c r="BL287" s="3">
        <f t="shared" si="82"/>
        <v>33179.99494351467</v>
      </c>
      <c r="BM287" s="3">
        <f t="shared" si="82"/>
        <v>33179.99494351467</v>
      </c>
      <c r="BN287" s="3">
        <f t="shared" si="82"/>
        <v>33179.99494351467</v>
      </c>
      <c r="BO287" s="3">
        <f t="shared" si="82"/>
        <v>33179.99494351467</v>
      </c>
      <c r="BP287" s="3">
        <f t="shared" si="82"/>
        <v>33179.99494351467</v>
      </c>
      <c r="BQ287" s="3">
        <f t="shared" si="82"/>
        <v>33179.99494351467</v>
      </c>
      <c r="BR287" s="3">
        <f t="shared" si="82"/>
        <v>33179.99494351467</v>
      </c>
    </row>
    <row r="288" spans="1:70" hidden="1" x14ac:dyDescent="0.25">
      <c r="A288" s="7">
        <v>58</v>
      </c>
      <c r="B288" s="7" t="s">
        <v>442</v>
      </c>
      <c r="C288" s="7" t="s">
        <v>443</v>
      </c>
      <c r="D288" s="7">
        <v>2</v>
      </c>
      <c r="E288" s="7" t="s">
        <v>491</v>
      </c>
      <c r="F288" s="7" t="s">
        <v>553</v>
      </c>
      <c r="G288" s="7" t="s">
        <v>505</v>
      </c>
      <c r="H288" s="7" t="s">
        <v>501</v>
      </c>
      <c r="I288" s="7">
        <v>0</v>
      </c>
      <c r="J288" s="7">
        <v>34</v>
      </c>
      <c r="K288" s="7"/>
      <c r="L288" s="7"/>
      <c r="M288" s="7"/>
      <c r="N288" s="7"/>
      <c r="O288" s="7"/>
      <c r="P288" s="7"/>
      <c r="Q288" s="7"/>
      <c r="R288" s="7"/>
      <c r="S288" s="7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spans="1:70" hidden="1" x14ac:dyDescent="0.25">
      <c r="A289" s="7">
        <v>58</v>
      </c>
      <c r="B289" s="7" t="s">
        <v>442</v>
      </c>
      <c r="C289" s="7" t="s">
        <v>443</v>
      </c>
      <c r="D289" s="7">
        <v>3</v>
      </c>
      <c r="E289" s="7" t="s">
        <v>493</v>
      </c>
      <c r="F289" s="7" t="s">
        <v>506</v>
      </c>
      <c r="G289" s="7" t="s">
        <v>507</v>
      </c>
      <c r="H289" s="7" t="s">
        <v>500</v>
      </c>
      <c r="I289" s="7">
        <v>0</v>
      </c>
      <c r="J289" s="12">
        <v>13</v>
      </c>
      <c r="K289" s="12">
        <v>13</v>
      </c>
      <c r="L289" s="12">
        <v>13</v>
      </c>
      <c r="M289" s="12">
        <v>13</v>
      </c>
      <c r="N289" s="12">
        <v>13</v>
      </c>
      <c r="O289" s="12">
        <v>13</v>
      </c>
      <c r="P289" s="12">
        <v>13</v>
      </c>
      <c r="Q289" s="12">
        <v>13</v>
      </c>
      <c r="R289" s="12">
        <v>13</v>
      </c>
      <c r="S289" s="12">
        <v>13</v>
      </c>
      <c r="T289" s="10">
        <v>13</v>
      </c>
      <c r="U289" s="10">
        <f t="shared" ref="U289:AN289" si="83">T289-$T289/20</f>
        <v>12.35</v>
      </c>
      <c r="V289" s="10">
        <f t="shared" si="83"/>
        <v>11.7</v>
      </c>
      <c r="W289" s="10">
        <f t="shared" si="83"/>
        <v>11.049999999999999</v>
      </c>
      <c r="X289" s="10">
        <f t="shared" si="83"/>
        <v>10.399999999999999</v>
      </c>
      <c r="Y289" s="10">
        <f t="shared" si="83"/>
        <v>9.7499999999999982</v>
      </c>
      <c r="Z289" s="10">
        <f t="shared" si="83"/>
        <v>9.0999999999999979</v>
      </c>
      <c r="AA289" s="10">
        <f t="shared" si="83"/>
        <v>8.4499999999999975</v>
      </c>
      <c r="AB289" s="10">
        <f t="shared" si="83"/>
        <v>7.7999999999999972</v>
      </c>
      <c r="AC289" s="10">
        <f t="shared" si="83"/>
        <v>7.1499999999999968</v>
      </c>
      <c r="AD289" s="10">
        <f t="shared" si="83"/>
        <v>6.4999999999999964</v>
      </c>
      <c r="AE289" s="10">
        <f t="shared" si="83"/>
        <v>5.8499999999999961</v>
      </c>
      <c r="AF289" s="10">
        <f t="shared" si="83"/>
        <v>5.1999999999999957</v>
      </c>
      <c r="AG289" s="10">
        <f t="shared" si="83"/>
        <v>4.5499999999999954</v>
      </c>
      <c r="AH289" s="10">
        <f t="shared" si="83"/>
        <v>3.8999999999999955</v>
      </c>
      <c r="AI289" s="10">
        <f t="shared" si="83"/>
        <v>3.2499999999999956</v>
      </c>
      <c r="AJ289" s="10">
        <f t="shared" si="83"/>
        <v>2.5999999999999956</v>
      </c>
      <c r="AK289" s="10">
        <f t="shared" si="83"/>
        <v>1.9499999999999957</v>
      </c>
      <c r="AL289" s="10">
        <f t="shared" si="83"/>
        <v>1.2999999999999958</v>
      </c>
      <c r="AM289" s="10">
        <f t="shared" si="83"/>
        <v>0.6499999999999958</v>
      </c>
      <c r="AN289" s="10">
        <f t="shared" si="83"/>
        <v>-4.2188474935755949E-15</v>
      </c>
      <c r="AO289" s="10">
        <v>-4.2188474935755949E-15</v>
      </c>
      <c r="AP289" s="10">
        <v>-4.2188474935755949E-15</v>
      </c>
      <c r="AQ289" s="10">
        <v>-4.2188474935755949E-15</v>
      </c>
      <c r="AR289" s="10">
        <v>-4.2188474935755949E-15</v>
      </c>
      <c r="AS289" s="10">
        <v>-4.2188474935755949E-15</v>
      </c>
      <c r="AT289" s="10">
        <v>-4.2188474935755949E-15</v>
      </c>
      <c r="AU289" s="10">
        <v>-4.2188474935755949E-15</v>
      </c>
      <c r="AV289" s="10">
        <v>-4.2188474935755949E-15</v>
      </c>
      <c r="AW289" s="10">
        <v>-4.2188474935755949E-15</v>
      </c>
      <c r="AX289" s="10">
        <v>-4.2188474935755949E-15</v>
      </c>
      <c r="AY289" s="10">
        <v>-4.2188474935755949E-15</v>
      </c>
      <c r="AZ289" s="10">
        <v>-4.2188474935755949E-15</v>
      </c>
      <c r="BA289" s="10">
        <v>-4.2188474935755949E-15</v>
      </c>
      <c r="BB289" s="10">
        <v>-4.2188474935755949E-15</v>
      </c>
      <c r="BC289" s="10">
        <v>-4.2188474935755949E-15</v>
      </c>
      <c r="BD289" s="10">
        <v>-4.2188474935755949E-15</v>
      </c>
      <c r="BE289" s="10">
        <v>-4.2188474935755949E-15</v>
      </c>
      <c r="BF289" s="10">
        <v>-4.2188474935755949E-15</v>
      </c>
      <c r="BG289" s="10">
        <v>-4.2188474935755949E-15</v>
      </c>
      <c r="BH289" s="10">
        <v>-4.2188474935755949E-15</v>
      </c>
      <c r="BI289" s="10">
        <v>-4.2188474935755949E-15</v>
      </c>
      <c r="BJ289" s="10">
        <v>-4.2188474935755949E-15</v>
      </c>
      <c r="BK289" s="10">
        <v>-4.2188474935755949E-15</v>
      </c>
      <c r="BL289" s="10">
        <v>-4.2188474935755949E-15</v>
      </c>
      <c r="BM289" s="10">
        <v>-4.2188474935755949E-15</v>
      </c>
      <c r="BN289" s="10">
        <v>-4.2188474935755949E-15</v>
      </c>
      <c r="BO289" s="10">
        <v>-4.2188474935755949E-15</v>
      </c>
      <c r="BP289" s="10">
        <v>-4.2188474935755949E-15</v>
      </c>
      <c r="BQ289" s="10">
        <v>-4.2188474935755949E-15</v>
      </c>
      <c r="BR289" s="10">
        <v>-4.2188474935755949E-15</v>
      </c>
    </row>
    <row r="290" spans="1:70" hidden="1" x14ac:dyDescent="0.25">
      <c r="A290" s="7">
        <v>58</v>
      </c>
      <c r="B290" s="7" t="s">
        <v>442</v>
      </c>
      <c r="C290" s="7" t="s">
        <v>443</v>
      </c>
      <c r="D290" s="7">
        <v>4</v>
      </c>
      <c r="E290" s="7" t="s">
        <v>494</v>
      </c>
      <c r="F290" s="7"/>
      <c r="G290" s="7"/>
      <c r="H290" s="7"/>
      <c r="I290" s="7">
        <v>0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spans="1:70" hidden="1" x14ac:dyDescent="0.25">
      <c r="A291" s="7">
        <v>58</v>
      </c>
      <c r="B291" s="7" t="s">
        <v>442</v>
      </c>
      <c r="C291" s="7" t="s">
        <v>443</v>
      </c>
      <c r="D291" s="7">
        <v>5</v>
      </c>
      <c r="E291" s="7" t="s">
        <v>496</v>
      </c>
      <c r="F291" s="7"/>
      <c r="G291" s="7"/>
      <c r="H291" s="7"/>
      <c r="I291" s="7">
        <v>0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spans="1:70" hidden="1" x14ac:dyDescent="0.25">
      <c r="A292" s="6">
        <v>59</v>
      </c>
      <c r="B292" s="6" t="s">
        <v>444</v>
      </c>
      <c r="C292" s="6" t="s">
        <v>445</v>
      </c>
      <c r="D292" s="6">
        <v>1</v>
      </c>
      <c r="E292" s="6" t="s">
        <v>489</v>
      </c>
      <c r="F292" s="6" t="s">
        <v>504</v>
      </c>
      <c r="G292" s="6" t="s">
        <v>505</v>
      </c>
      <c r="H292" s="6" t="s">
        <v>500</v>
      </c>
      <c r="I292" s="6">
        <v>0</v>
      </c>
      <c r="J292" s="40">
        <v>36277</v>
      </c>
      <c r="K292" s="40">
        <v>36277</v>
      </c>
      <c r="L292" s="40">
        <v>36277</v>
      </c>
      <c r="M292" s="40">
        <v>36277</v>
      </c>
      <c r="N292" s="40">
        <v>36277</v>
      </c>
      <c r="O292" s="40">
        <v>36277</v>
      </c>
      <c r="P292" s="40">
        <v>36277</v>
      </c>
      <c r="Q292" s="40">
        <v>36277</v>
      </c>
      <c r="R292" s="40">
        <v>36277</v>
      </c>
      <c r="S292" s="8">
        <v>36428.154166666667</v>
      </c>
      <c r="T292" s="3">
        <v>36579.308333333334</v>
      </c>
      <c r="U292" s="3">
        <v>36730.462500000001</v>
      </c>
      <c r="V292" s="3">
        <v>36881.616666666669</v>
      </c>
      <c r="W292" s="3">
        <v>37032.770833333336</v>
      </c>
      <c r="X292" s="3">
        <v>37183.925000000003</v>
      </c>
      <c r="Y292" s="3">
        <v>37335.07916666667</v>
      </c>
      <c r="Z292" s="3">
        <v>37486.233333333337</v>
      </c>
      <c r="AA292" s="3">
        <v>37637.387500000004</v>
      </c>
      <c r="AB292" s="3">
        <v>37788.541666666672</v>
      </c>
      <c r="AC292" s="3">
        <v>37939.695833333339</v>
      </c>
      <c r="AD292" s="3">
        <v>38090.85</v>
      </c>
      <c r="AE292" s="3">
        <v>38138.463562500001</v>
      </c>
      <c r="AF292" s="3">
        <v>38186.077125000003</v>
      </c>
      <c r="AG292" s="3">
        <v>38233.690687500006</v>
      </c>
      <c r="AH292" s="3">
        <v>38281.304250000008</v>
      </c>
      <c r="AI292" s="3">
        <v>38328.917812500011</v>
      </c>
      <c r="AJ292" s="3">
        <v>38376.531375000013</v>
      </c>
      <c r="AK292" s="3">
        <v>38424.144937500016</v>
      </c>
      <c r="AL292" s="3">
        <v>38471.758500000018</v>
      </c>
      <c r="AM292" s="3">
        <v>38519.372062500021</v>
      </c>
      <c r="AN292" s="3">
        <v>38566.985625000023</v>
      </c>
      <c r="AO292" s="3">
        <v>38614.599187500025</v>
      </c>
      <c r="AP292" s="3">
        <v>38662.212750000028</v>
      </c>
      <c r="AQ292" s="3">
        <v>38709.82631250003</v>
      </c>
      <c r="AR292" s="3">
        <v>38757.439875000033</v>
      </c>
      <c r="AS292" s="3">
        <v>38805.053437500035</v>
      </c>
      <c r="AT292" s="3">
        <v>38852.667000000038</v>
      </c>
      <c r="AU292" s="3">
        <v>38900.28056250004</v>
      </c>
      <c r="AV292" s="3">
        <v>38947.894125000043</v>
      </c>
      <c r="AW292" s="3">
        <v>38995.507687500045</v>
      </c>
      <c r="AX292" s="3">
        <v>39043.121249999997</v>
      </c>
      <c r="AY292" s="3">
        <f t="shared" ref="AY292:BR292" si="84">AX292</f>
        <v>39043.121249999997</v>
      </c>
      <c r="AZ292" s="3">
        <f t="shared" si="84"/>
        <v>39043.121249999997</v>
      </c>
      <c r="BA292" s="3">
        <f t="shared" si="84"/>
        <v>39043.121249999997</v>
      </c>
      <c r="BB292" s="3">
        <f t="shared" si="84"/>
        <v>39043.121249999997</v>
      </c>
      <c r="BC292" s="3">
        <f t="shared" si="84"/>
        <v>39043.121249999997</v>
      </c>
      <c r="BD292" s="3">
        <f t="shared" si="84"/>
        <v>39043.121249999997</v>
      </c>
      <c r="BE292" s="3">
        <f t="shared" si="84"/>
        <v>39043.121249999997</v>
      </c>
      <c r="BF292" s="3">
        <f t="shared" si="84"/>
        <v>39043.121249999997</v>
      </c>
      <c r="BG292" s="3">
        <f t="shared" si="84"/>
        <v>39043.121249999997</v>
      </c>
      <c r="BH292" s="3">
        <f t="shared" si="84"/>
        <v>39043.121249999997</v>
      </c>
      <c r="BI292" s="3">
        <f t="shared" si="84"/>
        <v>39043.121249999997</v>
      </c>
      <c r="BJ292" s="3">
        <f t="shared" si="84"/>
        <v>39043.121249999997</v>
      </c>
      <c r="BK292" s="3">
        <f t="shared" si="84"/>
        <v>39043.121249999997</v>
      </c>
      <c r="BL292" s="3">
        <f t="shared" si="84"/>
        <v>39043.121249999997</v>
      </c>
      <c r="BM292" s="3">
        <f t="shared" si="84"/>
        <v>39043.121249999997</v>
      </c>
      <c r="BN292" s="3">
        <f t="shared" si="84"/>
        <v>39043.121249999997</v>
      </c>
      <c r="BO292" s="3">
        <f t="shared" si="84"/>
        <v>39043.121249999997</v>
      </c>
      <c r="BP292" s="3">
        <f t="shared" si="84"/>
        <v>39043.121249999997</v>
      </c>
      <c r="BQ292" s="3">
        <f t="shared" si="84"/>
        <v>39043.121249999997</v>
      </c>
      <c r="BR292" s="3">
        <f t="shared" si="84"/>
        <v>39043.121249999997</v>
      </c>
    </row>
    <row r="293" spans="1:70" hidden="1" x14ac:dyDescent="0.25">
      <c r="A293" s="6">
        <v>59</v>
      </c>
      <c r="B293" s="6" t="s">
        <v>444</v>
      </c>
      <c r="C293" s="6" t="s">
        <v>445</v>
      </c>
      <c r="D293" s="6">
        <v>2</v>
      </c>
      <c r="E293" s="6" t="s">
        <v>491</v>
      </c>
      <c r="F293" s="6" t="s">
        <v>553</v>
      </c>
      <c r="G293" s="6" t="s">
        <v>505</v>
      </c>
      <c r="H293" s="6" t="s">
        <v>501</v>
      </c>
      <c r="I293" s="6">
        <v>0</v>
      </c>
      <c r="J293" s="6">
        <v>86</v>
      </c>
      <c r="K293" s="6"/>
      <c r="L293" s="6"/>
      <c r="M293" s="6"/>
      <c r="N293" s="6"/>
      <c r="O293" s="6"/>
      <c r="P293" s="6"/>
      <c r="Q293" s="6"/>
      <c r="R293" s="6"/>
      <c r="S293" s="6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spans="1:70" hidden="1" x14ac:dyDescent="0.25">
      <c r="A294" s="6">
        <v>59</v>
      </c>
      <c r="B294" s="6" t="s">
        <v>444</v>
      </c>
      <c r="C294" s="6" t="s">
        <v>445</v>
      </c>
      <c r="D294" s="6">
        <v>3</v>
      </c>
      <c r="E294" s="6" t="s">
        <v>493</v>
      </c>
      <c r="F294" s="6" t="s">
        <v>506</v>
      </c>
      <c r="G294" s="6" t="s">
        <v>507</v>
      </c>
      <c r="H294" s="6" t="s">
        <v>500</v>
      </c>
      <c r="I294" s="6">
        <v>0</v>
      </c>
      <c r="J294" s="9">
        <v>87741</v>
      </c>
      <c r="K294" s="9">
        <v>87741</v>
      </c>
      <c r="L294" s="9">
        <v>87741</v>
      </c>
      <c r="M294" s="9">
        <v>87741</v>
      </c>
      <c r="N294" s="9">
        <v>87741</v>
      </c>
      <c r="O294" s="9">
        <v>87741</v>
      </c>
      <c r="P294" s="9">
        <v>87741</v>
      </c>
      <c r="Q294" s="9">
        <v>87741</v>
      </c>
      <c r="R294" s="9">
        <v>87741</v>
      </c>
      <c r="S294" s="14">
        <v>87676</v>
      </c>
      <c r="T294" s="10">
        <f>S294</f>
        <v>87676</v>
      </c>
      <c r="U294" s="10">
        <f t="shared" ref="U294:AN294" si="85">T294-$T294/20</f>
        <v>83292.2</v>
      </c>
      <c r="V294" s="10">
        <f t="shared" si="85"/>
        <v>78908.399999999994</v>
      </c>
      <c r="W294" s="10">
        <f t="shared" si="85"/>
        <v>74524.599999999991</v>
      </c>
      <c r="X294" s="10">
        <f t="shared" si="85"/>
        <v>70140.799999999988</v>
      </c>
      <c r="Y294" s="10">
        <f t="shared" si="85"/>
        <v>65756.999999999985</v>
      </c>
      <c r="Z294" s="10">
        <f t="shared" si="85"/>
        <v>61373.199999999983</v>
      </c>
      <c r="AA294" s="10">
        <f t="shared" si="85"/>
        <v>56989.39999999998</v>
      </c>
      <c r="AB294" s="10">
        <f t="shared" si="85"/>
        <v>52605.599999999977</v>
      </c>
      <c r="AC294" s="10">
        <f t="shared" si="85"/>
        <v>48221.799999999974</v>
      </c>
      <c r="AD294" s="10">
        <f t="shared" si="85"/>
        <v>43837.999999999971</v>
      </c>
      <c r="AE294" s="10">
        <f t="shared" si="85"/>
        <v>39454.199999999968</v>
      </c>
      <c r="AF294" s="10">
        <f t="shared" si="85"/>
        <v>35070.399999999965</v>
      </c>
      <c r="AG294" s="10">
        <f t="shared" si="85"/>
        <v>30686.599999999966</v>
      </c>
      <c r="AH294" s="10">
        <f t="shared" si="85"/>
        <v>26302.799999999967</v>
      </c>
      <c r="AI294" s="10">
        <f t="shared" si="85"/>
        <v>21918.999999999967</v>
      </c>
      <c r="AJ294" s="10">
        <f t="shared" si="85"/>
        <v>17535.199999999968</v>
      </c>
      <c r="AK294" s="10">
        <f t="shared" si="85"/>
        <v>13151.399999999969</v>
      </c>
      <c r="AL294" s="10">
        <f t="shared" si="85"/>
        <v>8767.5999999999694</v>
      </c>
      <c r="AM294" s="10">
        <f t="shared" si="85"/>
        <v>4383.7999999999693</v>
      </c>
      <c r="AN294" s="10">
        <f t="shared" si="85"/>
        <v>-3.092281986027956E-11</v>
      </c>
      <c r="AO294" s="10">
        <v>-3.092281986027956E-11</v>
      </c>
      <c r="AP294" s="10">
        <v>-3.092281986027956E-11</v>
      </c>
      <c r="AQ294" s="10">
        <v>-3.092281986027956E-11</v>
      </c>
      <c r="AR294" s="10">
        <v>-3.092281986027956E-11</v>
      </c>
      <c r="AS294" s="10">
        <v>-3.092281986027956E-11</v>
      </c>
      <c r="AT294" s="10">
        <v>-3.092281986027956E-11</v>
      </c>
      <c r="AU294" s="10">
        <v>-3.092281986027956E-11</v>
      </c>
      <c r="AV294" s="10">
        <v>-3.092281986027956E-11</v>
      </c>
      <c r="AW294" s="10">
        <v>-3.092281986027956E-11</v>
      </c>
      <c r="AX294" s="10">
        <v>-3.092281986027956E-11</v>
      </c>
      <c r="AY294" s="10">
        <v>-3.092281986027956E-11</v>
      </c>
      <c r="AZ294" s="10">
        <v>-3.092281986027956E-11</v>
      </c>
      <c r="BA294" s="10">
        <v>-3.092281986027956E-11</v>
      </c>
      <c r="BB294" s="10">
        <v>-3.092281986027956E-11</v>
      </c>
      <c r="BC294" s="10">
        <v>-3.092281986027956E-11</v>
      </c>
      <c r="BD294" s="10">
        <v>-3.092281986027956E-11</v>
      </c>
      <c r="BE294" s="10">
        <v>-3.092281986027956E-11</v>
      </c>
      <c r="BF294" s="10">
        <v>-3.092281986027956E-11</v>
      </c>
      <c r="BG294" s="10">
        <v>-3.092281986027956E-11</v>
      </c>
      <c r="BH294" s="10">
        <v>-3.092281986027956E-11</v>
      </c>
      <c r="BI294" s="10">
        <v>-3.092281986027956E-11</v>
      </c>
      <c r="BJ294" s="10">
        <v>-3.092281986027956E-11</v>
      </c>
      <c r="BK294" s="10">
        <v>-3.092281986027956E-11</v>
      </c>
      <c r="BL294" s="10">
        <v>-3.092281986027956E-11</v>
      </c>
      <c r="BM294" s="10">
        <v>-3.092281986027956E-11</v>
      </c>
      <c r="BN294" s="10">
        <v>-3.092281986027956E-11</v>
      </c>
      <c r="BO294" s="10">
        <v>-3.092281986027956E-11</v>
      </c>
      <c r="BP294" s="10">
        <v>-3.092281986027956E-11</v>
      </c>
      <c r="BQ294" s="10">
        <v>-3.092281986027956E-11</v>
      </c>
      <c r="BR294" s="10">
        <v>-3.092281986027956E-11</v>
      </c>
    </row>
    <row r="295" spans="1:70" hidden="1" x14ac:dyDescent="0.25">
      <c r="A295" s="6">
        <v>59</v>
      </c>
      <c r="B295" s="6" t="s">
        <v>444</v>
      </c>
      <c r="C295" s="6" t="s">
        <v>445</v>
      </c>
      <c r="D295" s="6">
        <v>4</v>
      </c>
      <c r="E295" s="6" t="s">
        <v>494</v>
      </c>
      <c r="F295" s="6"/>
      <c r="G295" s="6"/>
      <c r="H295" s="6"/>
      <c r="I295" s="6">
        <v>0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spans="1:70" hidden="1" x14ac:dyDescent="0.25">
      <c r="A296" s="6">
        <v>59</v>
      </c>
      <c r="B296" s="6" t="s">
        <v>444</v>
      </c>
      <c r="C296" s="6" t="s">
        <v>445</v>
      </c>
      <c r="D296" s="6">
        <v>5</v>
      </c>
      <c r="E296" s="6" t="s">
        <v>496</v>
      </c>
      <c r="F296" s="6"/>
      <c r="G296" s="6"/>
      <c r="H296" s="6"/>
      <c r="I296" s="6">
        <v>0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spans="1:70" hidden="1" x14ac:dyDescent="0.25">
      <c r="A297" s="7">
        <v>60</v>
      </c>
      <c r="B297" s="7" t="s">
        <v>446</v>
      </c>
      <c r="C297" s="7" t="s">
        <v>447</v>
      </c>
      <c r="D297" s="7">
        <v>1</v>
      </c>
      <c r="E297" s="7" t="s">
        <v>489</v>
      </c>
      <c r="F297" s="7" t="s">
        <v>504</v>
      </c>
      <c r="G297" s="7" t="s">
        <v>505</v>
      </c>
      <c r="H297" s="7" t="s">
        <v>500</v>
      </c>
      <c r="I297" s="7">
        <v>0</v>
      </c>
      <c r="J297" s="41">
        <v>53033.943488943478</v>
      </c>
      <c r="K297" s="41">
        <v>53033.943488943478</v>
      </c>
      <c r="L297" s="41">
        <v>53033.943488943478</v>
      </c>
      <c r="M297" s="41">
        <v>53033.943488943478</v>
      </c>
      <c r="N297" s="41">
        <v>53033.943488943478</v>
      </c>
      <c r="O297" s="41">
        <v>53033.943488943478</v>
      </c>
      <c r="P297" s="41">
        <v>53033.943488943478</v>
      </c>
      <c r="Q297" s="41">
        <v>53033.943488943478</v>
      </c>
      <c r="R297" s="41">
        <v>53033.943488943478</v>
      </c>
      <c r="S297" s="11">
        <v>52423.150269369733</v>
      </c>
      <c r="T297" s="3">
        <v>51823.167055207719</v>
      </c>
      <c r="U297" s="3">
        <v>51233.65357994329</v>
      </c>
      <c r="V297" s="3">
        <v>50654.283709537289</v>
      </c>
      <c r="W297" s="3">
        <v>50084.744716251007</v>
      </c>
      <c r="X297" s="3">
        <v>49524.736596792034</v>
      </c>
      <c r="Y297" s="3">
        <v>48973.971431656712</v>
      </c>
      <c r="Z297" s="3">
        <v>48432.172782793932</v>
      </c>
      <c r="AA297" s="3">
        <v>47899.075126942778</v>
      </c>
      <c r="AB297" s="3">
        <v>47374.423322202914</v>
      </c>
      <c r="AC297" s="3">
        <v>46857.972105585985</v>
      </c>
      <c r="AD297" s="3">
        <v>46349.485619469022</v>
      </c>
      <c r="AE297" s="3">
        <v>45878.413225700264</v>
      </c>
      <c r="AF297" s="3">
        <v>45409.440578835718</v>
      </c>
      <c r="AG297" s="3">
        <v>44942.54740402288</v>
      </c>
      <c r="AH297" s="3">
        <v>44477.713686599862</v>
      </c>
      <c r="AI297" s="3">
        <v>44014.919667934882</v>
      </c>
      <c r="AJ297" s="3">
        <v>43554.145841345366</v>
      </c>
      <c r="AK297" s="3">
        <v>43095.37294809481</v>
      </c>
      <c r="AL297" s="3">
        <v>42638.581973465822</v>
      </c>
      <c r="AM297" s="3">
        <v>42183.754142907463</v>
      </c>
      <c r="AN297" s="3">
        <v>41730.870918255379</v>
      </c>
      <c r="AO297" s="3">
        <v>41279.913994023133</v>
      </c>
      <c r="AP297" s="3">
        <v>40830.865293763076</v>
      </c>
      <c r="AQ297" s="3">
        <v>40383.706966495381</v>
      </c>
      <c r="AR297" s="3">
        <v>39938.421383203626</v>
      </c>
      <c r="AS297" s="3">
        <v>39494.991133395532</v>
      </c>
      <c r="AT297" s="3">
        <v>39053.39902172752</v>
      </c>
      <c r="AU297" s="3">
        <v>38613.62806469154</v>
      </c>
      <c r="AV297" s="3">
        <v>38175.661487362988</v>
      </c>
      <c r="AW297" s="3">
        <v>37739.482720208442</v>
      </c>
      <c r="AX297" s="3">
        <v>37305.075395951622</v>
      </c>
      <c r="AY297" s="3">
        <f t="shared" ref="AY297:BR297" si="86">AX297</f>
        <v>37305.075395951622</v>
      </c>
      <c r="AZ297" s="3">
        <f t="shared" si="86"/>
        <v>37305.075395951622</v>
      </c>
      <c r="BA297" s="3">
        <f t="shared" si="86"/>
        <v>37305.075395951622</v>
      </c>
      <c r="BB297" s="3">
        <f t="shared" si="86"/>
        <v>37305.075395951622</v>
      </c>
      <c r="BC297" s="3">
        <f t="shared" si="86"/>
        <v>37305.075395951622</v>
      </c>
      <c r="BD297" s="3">
        <f t="shared" si="86"/>
        <v>37305.075395951622</v>
      </c>
      <c r="BE297" s="3">
        <f t="shared" si="86"/>
        <v>37305.075395951622</v>
      </c>
      <c r="BF297" s="3">
        <f t="shared" si="86"/>
        <v>37305.075395951622</v>
      </c>
      <c r="BG297" s="3">
        <f t="shared" si="86"/>
        <v>37305.075395951622</v>
      </c>
      <c r="BH297" s="3">
        <f t="shared" si="86"/>
        <v>37305.075395951622</v>
      </c>
      <c r="BI297" s="3">
        <f t="shared" si="86"/>
        <v>37305.075395951622</v>
      </c>
      <c r="BJ297" s="3">
        <f t="shared" si="86"/>
        <v>37305.075395951622</v>
      </c>
      <c r="BK297" s="3">
        <f t="shared" si="86"/>
        <v>37305.075395951622</v>
      </c>
      <c r="BL297" s="3">
        <f t="shared" si="86"/>
        <v>37305.075395951622</v>
      </c>
      <c r="BM297" s="3">
        <f t="shared" si="86"/>
        <v>37305.075395951622</v>
      </c>
      <c r="BN297" s="3">
        <f t="shared" si="86"/>
        <v>37305.075395951622</v>
      </c>
      <c r="BO297" s="3">
        <f t="shared" si="86"/>
        <v>37305.075395951622</v>
      </c>
      <c r="BP297" s="3">
        <f t="shared" si="86"/>
        <v>37305.075395951622</v>
      </c>
      <c r="BQ297" s="3">
        <f t="shared" si="86"/>
        <v>37305.075395951622</v>
      </c>
      <c r="BR297" s="3">
        <f t="shared" si="86"/>
        <v>37305.075395951622</v>
      </c>
    </row>
    <row r="298" spans="1:70" hidden="1" x14ac:dyDescent="0.25">
      <c r="A298" s="7">
        <v>60</v>
      </c>
      <c r="B298" s="7" t="s">
        <v>446</v>
      </c>
      <c r="C298" s="7" t="s">
        <v>447</v>
      </c>
      <c r="D298" s="7">
        <v>2</v>
      </c>
      <c r="E298" s="7" t="s">
        <v>491</v>
      </c>
      <c r="F298" s="7" t="s">
        <v>553</v>
      </c>
      <c r="G298" s="7" t="s">
        <v>505</v>
      </c>
      <c r="H298" s="7" t="s">
        <v>501</v>
      </c>
      <c r="I298" s="7">
        <v>0</v>
      </c>
      <c r="J298" s="7">
        <v>83</v>
      </c>
      <c r="K298" s="7"/>
      <c r="L298" s="7"/>
      <c r="M298" s="7"/>
      <c r="N298" s="7"/>
      <c r="O298" s="7"/>
      <c r="P298" s="7"/>
      <c r="Q298" s="7"/>
      <c r="R298" s="7"/>
      <c r="S298" s="7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spans="1:70" hidden="1" x14ac:dyDescent="0.25">
      <c r="A299" s="7">
        <v>60</v>
      </c>
      <c r="B299" s="7" t="s">
        <v>446</v>
      </c>
      <c r="C299" s="7" t="s">
        <v>447</v>
      </c>
      <c r="D299" s="7">
        <v>3</v>
      </c>
      <c r="E299" s="7" t="s">
        <v>493</v>
      </c>
      <c r="F299" s="7" t="s">
        <v>506</v>
      </c>
      <c r="G299" s="7" t="s">
        <v>507</v>
      </c>
      <c r="H299" s="7" t="s">
        <v>500</v>
      </c>
      <c r="I299" s="7">
        <v>0</v>
      </c>
      <c r="J299" s="12">
        <v>78</v>
      </c>
      <c r="K299" s="12">
        <v>78</v>
      </c>
      <c r="L299" s="12">
        <v>78</v>
      </c>
      <c r="M299" s="12">
        <v>78</v>
      </c>
      <c r="N299" s="12">
        <v>78</v>
      </c>
      <c r="O299" s="12">
        <v>78</v>
      </c>
      <c r="P299" s="12">
        <v>78</v>
      </c>
      <c r="Q299" s="12">
        <v>78</v>
      </c>
      <c r="R299" s="12">
        <v>78</v>
      </c>
      <c r="S299" s="12">
        <v>69</v>
      </c>
      <c r="T299" s="10">
        <f>S299</f>
        <v>69</v>
      </c>
      <c r="U299" s="10">
        <f t="shared" ref="U299:AN299" si="87">T299-$T299/20</f>
        <v>65.55</v>
      </c>
      <c r="V299" s="10">
        <f t="shared" si="87"/>
        <v>62.099999999999994</v>
      </c>
      <c r="W299" s="10">
        <f t="shared" si="87"/>
        <v>58.649999999999991</v>
      </c>
      <c r="X299" s="10">
        <f t="shared" si="87"/>
        <v>55.199999999999989</v>
      </c>
      <c r="Y299" s="10">
        <f t="shared" si="87"/>
        <v>51.749999999999986</v>
      </c>
      <c r="Z299" s="10">
        <f t="shared" si="87"/>
        <v>48.299999999999983</v>
      </c>
      <c r="AA299" s="10">
        <f t="shared" si="87"/>
        <v>44.84999999999998</v>
      </c>
      <c r="AB299" s="10">
        <f t="shared" si="87"/>
        <v>41.399999999999977</v>
      </c>
      <c r="AC299" s="10">
        <f t="shared" si="87"/>
        <v>37.949999999999974</v>
      </c>
      <c r="AD299" s="10">
        <f t="shared" si="87"/>
        <v>34.499999999999972</v>
      </c>
      <c r="AE299" s="10">
        <f t="shared" si="87"/>
        <v>31.049999999999972</v>
      </c>
      <c r="AF299" s="10">
        <f t="shared" si="87"/>
        <v>27.599999999999973</v>
      </c>
      <c r="AG299" s="10">
        <f t="shared" si="87"/>
        <v>24.149999999999974</v>
      </c>
      <c r="AH299" s="10">
        <f t="shared" si="87"/>
        <v>20.699999999999974</v>
      </c>
      <c r="AI299" s="10">
        <f t="shared" si="87"/>
        <v>17.249999999999975</v>
      </c>
      <c r="AJ299" s="10">
        <f t="shared" si="87"/>
        <v>13.799999999999976</v>
      </c>
      <c r="AK299" s="10">
        <f t="shared" si="87"/>
        <v>10.349999999999977</v>
      </c>
      <c r="AL299" s="10">
        <f t="shared" si="87"/>
        <v>6.8999999999999764</v>
      </c>
      <c r="AM299" s="10">
        <f t="shared" si="87"/>
        <v>3.4499999999999762</v>
      </c>
      <c r="AN299" s="10">
        <f t="shared" si="87"/>
        <v>-2.3980817331903381E-14</v>
      </c>
      <c r="AO299" s="10">
        <v>-2.3980817331903381E-14</v>
      </c>
      <c r="AP299" s="10">
        <v>-2.3980817331903381E-14</v>
      </c>
      <c r="AQ299" s="10">
        <v>-2.3980817331903381E-14</v>
      </c>
      <c r="AR299" s="10">
        <v>-2.3980817331903381E-14</v>
      </c>
      <c r="AS299" s="10">
        <v>-2.3980817331903381E-14</v>
      </c>
      <c r="AT299" s="10">
        <v>-2.3980817331903381E-14</v>
      </c>
      <c r="AU299" s="10">
        <v>-2.3980817331903381E-14</v>
      </c>
      <c r="AV299" s="10">
        <v>-2.3980817331903381E-14</v>
      </c>
      <c r="AW299" s="10">
        <v>-2.3980817331903381E-14</v>
      </c>
      <c r="AX299" s="10">
        <v>-2.3980817331903381E-14</v>
      </c>
      <c r="AY299" s="10">
        <v>-2.3980817331903381E-14</v>
      </c>
      <c r="AZ299" s="10">
        <v>-2.3980817331903381E-14</v>
      </c>
      <c r="BA299" s="10">
        <v>-2.3980817331903381E-14</v>
      </c>
      <c r="BB299" s="10">
        <v>-2.3980817331903381E-14</v>
      </c>
      <c r="BC299" s="10">
        <v>-2.3980817331903381E-14</v>
      </c>
      <c r="BD299" s="10">
        <v>-2.3980817331903381E-14</v>
      </c>
      <c r="BE299" s="10">
        <v>-2.3980817331903381E-14</v>
      </c>
      <c r="BF299" s="10">
        <v>-2.3980817331903381E-14</v>
      </c>
      <c r="BG299" s="10">
        <v>-2.3980817331903381E-14</v>
      </c>
      <c r="BH299" s="10">
        <v>-2.3980817331903381E-14</v>
      </c>
      <c r="BI299" s="10">
        <v>-2.3980817331903381E-14</v>
      </c>
      <c r="BJ299" s="10">
        <v>-2.3980817331903381E-14</v>
      </c>
      <c r="BK299" s="10">
        <v>-2.3980817331903381E-14</v>
      </c>
      <c r="BL299" s="10">
        <v>-2.3980817331903381E-14</v>
      </c>
      <c r="BM299" s="10">
        <v>-2.3980817331903381E-14</v>
      </c>
      <c r="BN299" s="10">
        <v>-2.3980817331903381E-14</v>
      </c>
      <c r="BO299" s="10">
        <v>-2.3980817331903381E-14</v>
      </c>
      <c r="BP299" s="10">
        <v>-2.3980817331903381E-14</v>
      </c>
      <c r="BQ299" s="10">
        <v>-2.3980817331903381E-14</v>
      </c>
      <c r="BR299" s="10">
        <v>-2.3980817331903381E-14</v>
      </c>
    </row>
    <row r="300" spans="1:70" hidden="1" x14ac:dyDescent="0.25">
      <c r="A300" s="7">
        <v>60</v>
      </c>
      <c r="B300" s="7" t="s">
        <v>446</v>
      </c>
      <c r="C300" s="7" t="s">
        <v>447</v>
      </c>
      <c r="D300" s="7">
        <v>4</v>
      </c>
      <c r="E300" s="7" t="s">
        <v>494</v>
      </c>
      <c r="F300" s="7"/>
      <c r="G300" s="7"/>
      <c r="H300" s="7"/>
      <c r="I300" s="7">
        <v>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spans="1:70" hidden="1" x14ac:dyDescent="0.25">
      <c r="A301" s="7">
        <v>60</v>
      </c>
      <c r="B301" s="7" t="s">
        <v>446</v>
      </c>
      <c r="C301" s="7" t="s">
        <v>447</v>
      </c>
      <c r="D301" s="7">
        <v>5</v>
      </c>
      <c r="E301" s="7" t="s">
        <v>496</v>
      </c>
      <c r="F301" s="7"/>
      <c r="G301" s="7"/>
      <c r="H301" s="7"/>
      <c r="I301" s="7">
        <v>0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spans="1:70" hidden="1" x14ac:dyDescent="0.25">
      <c r="A302" s="6">
        <v>61</v>
      </c>
      <c r="B302" s="6" t="s">
        <v>448</v>
      </c>
      <c r="C302" s="6" t="s">
        <v>449</v>
      </c>
      <c r="D302" s="6">
        <v>1</v>
      </c>
      <c r="E302" s="6" t="s">
        <v>489</v>
      </c>
      <c r="F302" s="6" t="s">
        <v>504</v>
      </c>
      <c r="G302" s="6" t="s">
        <v>505</v>
      </c>
      <c r="H302" s="6" t="s">
        <v>500</v>
      </c>
      <c r="I302" s="6">
        <v>0</v>
      </c>
      <c r="J302" s="40">
        <v>32681.981981981979</v>
      </c>
      <c r="K302" s="40">
        <v>32681.981981981979</v>
      </c>
      <c r="L302" s="40">
        <v>32681.981981981979</v>
      </c>
      <c r="M302" s="40">
        <v>32681.981981981979</v>
      </c>
      <c r="N302" s="40">
        <v>32681.981981981979</v>
      </c>
      <c r="O302" s="40">
        <v>32681.981981981979</v>
      </c>
      <c r="P302" s="40">
        <v>32681.981981981979</v>
      </c>
      <c r="Q302" s="40">
        <v>32681.981981981979</v>
      </c>
      <c r="R302" s="40">
        <v>32681.981981981979</v>
      </c>
      <c r="S302" s="8">
        <v>32818.156906906901</v>
      </c>
      <c r="T302" s="3">
        <v>32954.331831831827</v>
      </c>
      <c r="U302" s="3">
        <v>33090.506756756753</v>
      </c>
      <c r="V302" s="3">
        <v>33226.681681681679</v>
      </c>
      <c r="W302" s="3">
        <v>33362.856606606605</v>
      </c>
      <c r="X302" s="3">
        <v>33499.031531531531</v>
      </c>
      <c r="Y302" s="3">
        <v>33635.206456456457</v>
      </c>
      <c r="Z302" s="3">
        <v>33771.381381381383</v>
      </c>
      <c r="AA302" s="3">
        <v>33907.556306306309</v>
      </c>
      <c r="AB302" s="3">
        <v>34043.731231231235</v>
      </c>
      <c r="AC302" s="3">
        <v>34179.906156156161</v>
      </c>
      <c r="AD302" s="3">
        <v>34316.08108108108</v>
      </c>
      <c r="AE302" s="3">
        <v>34358.976182432431</v>
      </c>
      <c r="AF302" s="3">
        <v>34401.871283783781</v>
      </c>
      <c r="AG302" s="3">
        <v>34444.766385135139</v>
      </c>
      <c r="AH302" s="3">
        <v>34487.66148648649</v>
      </c>
      <c r="AI302" s="3">
        <v>34530.556587837847</v>
      </c>
      <c r="AJ302" s="3">
        <v>34573.451689189198</v>
      </c>
      <c r="AK302" s="3">
        <v>34616.346790540549</v>
      </c>
      <c r="AL302" s="3">
        <v>34659.241891891907</v>
      </c>
      <c r="AM302" s="3">
        <v>34702.136993243257</v>
      </c>
      <c r="AN302" s="3">
        <v>34745.032094594615</v>
      </c>
      <c r="AO302" s="3">
        <v>34787.927195945966</v>
      </c>
      <c r="AP302" s="3">
        <v>34830.822297297316</v>
      </c>
      <c r="AQ302" s="3">
        <v>34873.717398648674</v>
      </c>
      <c r="AR302" s="3">
        <v>34916.612500000025</v>
      </c>
      <c r="AS302" s="3">
        <v>34959.507601351383</v>
      </c>
      <c r="AT302" s="3">
        <v>35002.402702702733</v>
      </c>
      <c r="AU302" s="3">
        <v>35045.297804054084</v>
      </c>
      <c r="AV302" s="3">
        <v>35088.192905405442</v>
      </c>
      <c r="AW302" s="3">
        <v>35131.088006756792</v>
      </c>
      <c r="AX302" s="3">
        <v>35173.983108108099</v>
      </c>
      <c r="AY302" s="3">
        <f t="shared" ref="AY302:BR302" si="88">AX302</f>
        <v>35173.983108108099</v>
      </c>
      <c r="AZ302" s="3">
        <f t="shared" si="88"/>
        <v>35173.983108108099</v>
      </c>
      <c r="BA302" s="3">
        <f t="shared" si="88"/>
        <v>35173.983108108099</v>
      </c>
      <c r="BB302" s="3">
        <f t="shared" si="88"/>
        <v>35173.983108108099</v>
      </c>
      <c r="BC302" s="3">
        <f t="shared" si="88"/>
        <v>35173.983108108099</v>
      </c>
      <c r="BD302" s="3">
        <f t="shared" si="88"/>
        <v>35173.983108108099</v>
      </c>
      <c r="BE302" s="3">
        <f t="shared" si="88"/>
        <v>35173.983108108099</v>
      </c>
      <c r="BF302" s="3">
        <f t="shared" si="88"/>
        <v>35173.983108108099</v>
      </c>
      <c r="BG302" s="3">
        <f t="shared" si="88"/>
        <v>35173.983108108099</v>
      </c>
      <c r="BH302" s="3">
        <f t="shared" si="88"/>
        <v>35173.983108108099</v>
      </c>
      <c r="BI302" s="3">
        <f t="shared" si="88"/>
        <v>35173.983108108099</v>
      </c>
      <c r="BJ302" s="3">
        <f t="shared" si="88"/>
        <v>35173.983108108099</v>
      </c>
      <c r="BK302" s="3">
        <f t="shared" si="88"/>
        <v>35173.983108108099</v>
      </c>
      <c r="BL302" s="3">
        <f t="shared" si="88"/>
        <v>35173.983108108099</v>
      </c>
      <c r="BM302" s="3">
        <f t="shared" si="88"/>
        <v>35173.983108108099</v>
      </c>
      <c r="BN302" s="3">
        <f t="shared" si="88"/>
        <v>35173.983108108099</v>
      </c>
      <c r="BO302" s="3">
        <f t="shared" si="88"/>
        <v>35173.983108108099</v>
      </c>
      <c r="BP302" s="3">
        <f t="shared" si="88"/>
        <v>35173.983108108099</v>
      </c>
      <c r="BQ302" s="3">
        <f t="shared" si="88"/>
        <v>35173.983108108099</v>
      </c>
      <c r="BR302" s="3">
        <f t="shared" si="88"/>
        <v>35173.983108108099</v>
      </c>
    </row>
    <row r="303" spans="1:70" hidden="1" x14ac:dyDescent="0.25">
      <c r="A303" s="6">
        <v>61</v>
      </c>
      <c r="B303" s="6" t="s">
        <v>448</v>
      </c>
      <c r="C303" s="6" t="s">
        <v>449</v>
      </c>
      <c r="D303" s="6">
        <v>2</v>
      </c>
      <c r="E303" s="6" t="s">
        <v>491</v>
      </c>
      <c r="F303" s="6" t="s">
        <v>553</v>
      </c>
      <c r="G303" s="6" t="s">
        <v>505</v>
      </c>
      <c r="H303" s="6" t="s">
        <v>501</v>
      </c>
      <c r="I303" s="6">
        <v>0</v>
      </c>
      <c r="J303" s="6">
        <v>83</v>
      </c>
      <c r="K303" s="6"/>
      <c r="L303" s="6"/>
      <c r="M303" s="6"/>
      <c r="N303" s="6"/>
      <c r="O303" s="6"/>
      <c r="P303" s="6"/>
      <c r="Q303" s="6"/>
      <c r="R303" s="6"/>
      <c r="S303" s="6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spans="1:70" hidden="1" x14ac:dyDescent="0.25">
      <c r="A304" s="6">
        <v>61</v>
      </c>
      <c r="B304" s="6" t="s">
        <v>448</v>
      </c>
      <c r="C304" s="6" t="s">
        <v>449</v>
      </c>
      <c r="D304" s="6">
        <v>3</v>
      </c>
      <c r="E304" s="6" t="s">
        <v>493</v>
      </c>
      <c r="F304" s="6" t="s">
        <v>506</v>
      </c>
      <c r="G304" s="6" t="s">
        <v>507</v>
      </c>
      <c r="H304" s="6" t="s">
        <v>500</v>
      </c>
      <c r="I304" s="6">
        <v>0</v>
      </c>
      <c r="J304" s="9">
        <v>180701</v>
      </c>
      <c r="K304" s="9">
        <v>180701</v>
      </c>
      <c r="L304" s="9">
        <v>180701</v>
      </c>
      <c r="M304" s="9">
        <v>180701</v>
      </c>
      <c r="N304" s="9">
        <v>180701</v>
      </c>
      <c r="O304" s="9">
        <v>180701</v>
      </c>
      <c r="P304" s="9">
        <v>180701</v>
      </c>
      <c r="Q304" s="9">
        <v>180701</v>
      </c>
      <c r="R304" s="9">
        <v>180701</v>
      </c>
      <c r="S304" s="14">
        <v>166251</v>
      </c>
      <c r="T304" s="10">
        <f>S304</f>
        <v>166251</v>
      </c>
      <c r="U304" s="10">
        <f t="shared" ref="U304:AN304" si="89">T304-$T304/20</f>
        <v>157938.45000000001</v>
      </c>
      <c r="V304" s="10">
        <f t="shared" si="89"/>
        <v>149625.90000000002</v>
      </c>
      <c r="W304" s="10">
        <f t="shared" si="89"/>
        <v>141313.35000000003</v>
      </c>
      <c r="X304" s="10">
        <f t="shared" si="89"/>
        <v>133000.80000000005</v>
      </c>
      <c r="Y304" s="10">
        <f t="shared" si="89"/>
        <v>124688.25000000004</v>
      </c>
      <c r="Z304" s="10">
        <f t="shared" si="89"/>
        <v>116375.70000000004</v>
      </c>
      <c r="AA304" s="10">
        <f t="shared" si="89"/>
        <v>108063.15000000004</v>
      </c>
      <c r="AB304" s="10">
        <f t="shared" si="89"/>
        <v>99750.600000000035</v>
      </c>
      <c r="AC304" s="10">
        <f t="shared" si="89"/>
        <v>91438.050000000032</v>
      </c>
      <c r="AD304" s="10">
        <f t="shared" si="89"/>
        <v>83125.500000000029</v>
      </c>
      <c r="AE304" s="10">
        <f t="shared" si="89"/>
        <v>74812.950000000026</v>
      </c>
      <c r="AF304" s="10">
        <f t="shared" si="89"/>
        <v>66500.400000000023</v>
      </c>
      <c r="AG304" s="10">
        <f t="shared" si="89"/>
        <v>58187.85000000002</v>
      </c>
      <c r="AH304" s="10">
        <f t="shared" si="89"/>
        <v>49875.300000000017</v>
      </c>
      <c r="AI304" s="10">
        <f t="shared" si="89"/>
        <v>41562.750000000015</v>
      </c>
      <c r="AJ304" s="10">
        <f t="shared" si="89"/>
        <v>33250.200000000012</v>
      </c>
      <c r="AK304" s="10">
        <f t="shared" si="89"/>
        <v>24937.650000000012</v>
      </c>
      <c r="AL304" s="10">
        <f t="shared" si="89"/>
        <v>16625.100000000013</v>
      </c>
      <c r="AM304" s="10">
        <f t="shared" si="89"/>
        <v>8312.5500000000138</v>
      </c>
      <c r="AN304" s="10">
        <f t="shared" si="89"/>
        <v>1.4551915228366852E-11</v>
      </c>
      <c r="AO304" s="10">
        <v>1.4551915228366852E-11</v>
      </c>
      <c r="AP304" s="10">
        <v>1.4551915228366852E-11</v>
      </c>
      <c r="AQ304" s="10">
        <v>1.4551915228366852E-11</v>
      </c>
      <c r="AR304" s="10">
        <v>1.4551915228366852E-11</v>
      </c>
      <c r="AS304" s="10">
        <v>1.4551915228366852E-11</v>
      </c>
      <c r="AT304" s="10">
        <v>1.4551915228366852E-11</v>
      </c>
      <c r="AU304" s="10">
        <v>1.4551915228366852E-11</v>
      </c>
      <c r="AV304" s="10">
        <v>1.4551915228366852E-11</v>
      </c>
      <c r="AW304" s="10">
        <v>1.4551915228366852E-11</v>
      </c>
      <c r="AX304" s="10">
        <v>1.4551915228366852E-11</v>
      </c>
      <c r="AY304" s="10">
        <v>1.4551915228366852E-11</v>
      </c>
      <c r="AZ304" s="10">
        <v>1.4551915228366852E-11</v>
      </c>
      <c r="BA304" s="10">
        <v>1.4551915228366852E-11</v>
      </c>
      <c r="BB304" s="10">
        <v>1.4551915228366852E-11</v>
      </c>
      <c r="BC304" s="10">
        <v>1.4551915228366852E-11</v>
      </c>
      <c r="BD304" s="10">
        <v>1.4551915228366852E-11</v>
      </c>
      <c r="BE304" s="10">
        <v>1.4551915228366852E-11</v>
      </c>
      <c r="BF304" s="10">
        <v>1.4551915228366852E-11</v>
      </c>
      <c r="BG304" s="10">
        <v>1.4551915228366852E-11</v>
      </c>
      <c r="BH304" s="10">
        <v>1.4551915228366852E-11</v>
      </c>
      <c r="BI304" s="10">
        <v>1.4551915228366852E-11</v>
      </c>
      <c r="BJ304" s="10">
        <v>1.4551915228366852E-11</v>
      </c>
      <c r="BK304" s="10">
        <v>1.4551915228366852E-11</v>
      </c>
      <c r="BL304" s="10">
        <v>1.4551915228366852E-11</v>
      </c>
      <c r="BM304" s="10">
        <v>1.4551915228366852E-11</v>
      </c>
      <c r="BN304" s="10">
        <v>1.4551915228366852E-11</v>
      </c>
      <c r="BO304" s="10">
        <v>1.4551915228366852E-11</v>
      </c>
      <c r="BP304" s="10">
        <v>1.4551915228366852E-11</v>
      </c>
      <c r="BQ304" s="10">
        <v>1.4551915228366852E-11</v>
      </c>
      <c r="BR304" s="10">
        <v>1.4551915228366852E-11</v>
      </c>
    </row>
    <row r="305" spans="1:70" hidden="1" x14ac:dyDescent="0.25">
      <c r="A305" s="6">
        <v>61</v>
      </c>
      <c r="B305" s="6" t="s">
        <v>448</v>
      </c>
      <c r="C305" s="6" t="s">
        <v>449</v>
      </c>
      <c r="D305" s="6">
        <v>4</v>
      </c>
      <c r="E305" s="6" t="s">
        <v>494</v>
      </c>
      <c r="F305" s="6"/>
      <c r="G305" s="6"/>
      <c r="H305" s="6"/>
      <c r="I305" s="6">
        <v>0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spans="1:70" hidden="1" x14ac:dyDescent="0.25">
      <c r="A306" s="6">
        <v>61</v>
      </c>
      <c r="B306" s="6" t="s">
        <v>448</v>
      </c>
      <c r="C306" s="6" t="s">
        <v>449</v>
      </c>
      <c r="D306" s="6">
        <v>5</v>
      </c>
      <c r="E306" s="6" t="s">
        <v>496</v>
      </c>
      <c r="F306" s="6"/>
      <c r="G306" s="6"/>
      <c r="H306" s="6"/>
      <c r="I306" s="6">
        <v>0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spans="1:70" hidden="1" x14ac:dyDescent="0.25">
      <c r="A307" s="7">
        <v>62</v>
      </c>
      <c r="B307" s="7" t="s">
        <v>450</v>
      </c>
      <c r="C307" s="7" t="s">
        <v>451</v>
      </c>
      <c r="D307" s="7">
        <v>1</v>
      </c>
      <c r="E307" s="7" t="s">
        <v>489</v>
      </c>
      <c r="F307" s="7" t="s">
        <v>504</v>
      </c>
      <c r="G307" s="7" t="s">
        <v>505</v>
      </c>
      <c r="H307" s="7" t="s">
        <v>500</v>
      </c>
      <c r="I307" s="7">
        <v>0</v>
      </c>
      <c r="J307" s="41">
        <v>32681.981981981979</v>
      </c>
      <c r="K307" s="41">
        <v>32681.981981981979</v>
      </c>
      <c r="L307" s="41">
        <v>32681.981981981979</v>
      </c>
      <c r="M307" s="41">
        <v>32681.981981981979</v>
      </c>
      <c r="N307" s="41">
        <v>32681.981981981979</v>
      </c>
      <c r="O307" s="41">
        <v>32681.981981981979</v>
      </c>
      <c r="P307" s="41">
        <v>32681.981981981979</v>
      </c>
      <c r="Q307" s="41">
        <v>32681.981981981979</v>
      </c>
      <c r="R307" s="41">
        <v>32681.981981981979</v>
      </c>
      <c r="S307" s="11">
        <v>32818.156906906901</v>
      </c>
      <c r="T307" s="3">
        <v>32954.331831831827</v>
      </c>
      <c r="U307" s="3">
        <v>33090.506756756753</v>
      </c>
      <c r="V307" s="3">
        <v>33226.681681681679</v>
      </c>
      <c r="W307" s="3">
        <v>33362.856606606605</v>
      </c>
      <c r="X307" s="3">
        <v>33499.031531531531</v>
      </c>
      <c r="Y307" s="3">
        <v>33635.206456456457</v>
      </c>
      <c r="Z307" s="3">
        <v>33771.381381381383</v>
      </c>
      <c r="AA307" s="3">
        <v>33907.556306306309</v>
      </c>
      <c r="AB307" s="3">
        <v>34043.731231231235</v>
      </c>
      <c r="AC307" s="3">
        <v>34179.906156156161</v>
      </c>
      <c r="AD307" s="3">
        <v>34316.08108108108</v>
      </c>
      <c r="AE307" s="3">
        <v>34358.976182432431</v>
      </c>
      <c r="AF307" s="3">
        <v>34401.871283783781</v>
      </c>
      <c r="AG307" s="3">
        <v>34444.766385135139</v>
      </c>
      <c r="AH307" s="3">
        <v>34487.66148648649</v>
      </c>
      <c r="AI307" s="3">
        <v>34530.556587837847</v>
      </c>
      <c r="AJ307" s="3">
        <v>34573.451689189198</v>
      </c>
      <c r="AK307" s="3">
        <v>34616.346790540549</v>
      </c>
      <c r="AL307" s="3">
        <v>34659.241891891907</v>
      </c>
      <c r="AM307" s="3">
        <v>34702.136993243257</v>
      </c>
      <c r="AN307" s="3">
        <v>34745.032094594615</v>
      </c>
      <c r="AO307" s="3">
        <v>34787.927195945966</v>
      </c>
      <c r="AP307" s="3">
        <v>34830.822297297316</v>
      </c>
      <c r="AQ307" s="3">
        <v>34873.717398648674</v>
      </c>
      <c r="AR307" s="3">
        <v>34916.612500000025</v>
      </c>
      <c r="AS307" s="3">
        <v>34959.507601351383</v>
      </c>
      <c r="AT307" s="3">
        <v>35002.402702702733</v>
      </c>
      <c r="AU307" s="3">
        <v>35045.297804054084</v>
      </c>
      <c r="AV307" s="3">
        <v>35088.192905405442</v>
      </c>
      <c r="AW307" s="3">
        <v>35131.088006756792</v>
      </c>
      <c r="AX307" s="3">
        <v>35173.983108108099</v>
      </c>
      <c r="AY307" s="3">
        <v>35173.983108108099</v>
      </c>
      <c r="AZ307" s="3">
        <v>35173.983108108099</v>
      </c>
      <c r="BA307" s="3">
        <v>35173.983108108099</v>
      </c>
      <c r="BB307" s="3">
        <v>35173.983108108099</v>
      </c>
      <c r="BC307" s="3">
        <v>35173.983108108099</v>
      </c>
      <c r="BD307" s="3">
        <v>35173.983108108099</v>
      </c>
      <c r="BE307" s="3">
        <v>35173.983108108099</v>
      </c>
      <c r="BF307" s="3">
        <v>35173.983108108099</v>
      </c>
      <c r="BG307" s="3">
        <v>35173.983108108099</v>
      </c>
      <c r="BH307" s="3">
        <v>35173.983108108099</v>
      </c>
      <c r="BI307" s="3">
        <v>35173.983108108099</v>
      </c>
      <c r="BJ307" s="3">
        <v>35173.983108108099</v>
      </c>
      <c r="BK307" s="3">
        <v>35173.983108108099</v>
      </c>
      <c r="BL307" s="3">
        <v>35173.983108108099</v>
      </c>
      <c r="BM307" s="3">
        <v>35173.983108108099</v>
      </c>
      <c r="BN307" s="3">
        <v>35173.983108108099</v>
      </c>
      <c r="BO307" s="3">
        <v>35173.983108108099</v>
      </c>
      <c r="BP307" s="3">
        <v>35173.983108108099</v>
      </c>
      <c r="BQ307" s="3">
        <v>35173.983108108099</v>
      </c>
      <c r="BR307" s="3">
        <v>35173.983108108099</v>
      </c>
    </row>
    <row r="308" spans="1:70" hidden="1" x14ac:dyDescent="0.25">
      <c r="A308" s="7">
        <v>62</v>
      </c>
      <c r="B308" s="7" t="s">
        <v>450</v>
      </c>
      <c r="C308" s="7" t="s">
        <v>451</v>
      </c>
      <c r="D308" s="7">
        <v>2</v>
      </c>
      <c r="E308" s="7" t="s">
        <v>491</v>
      </c>
      <c r="F308" s="7" t="s">
        <v>553</v>
      </c>
      <c r="G308" s="7" t="s">
        <v>505</v>
      </c>
      <c r="H308" s="7" t="s">
        <v>501</v>
      </c>
      <c r="I308" s="7">
        <v>0</v>
      </c>
      <c r="J308" s="7">
        <v>83</v>
      </c>
      <c r="K308" s="7"/>
      <c r="L308" s="7"/>
      <c r="M308" s="7"/>
      <c r="N308" s="7"/>
      <c r="O308" s="7"/>
      <c r="P308" s="7"/>
      <c r="Q308" s="7"/>
      <c r="R308" s="7"/>
      <c r="S308" s="7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spans="1:70" hidden="1" x14ac:dyDescent="0.25">
      <c r="A309" s="7">
        <v>62</v>
      </c>
      <c r="B309" s="7" t="s">
        <v>450</v>
      </c>
      <c r="C309" s="7" t="s">
        <v>451</v>
      </c>
      <c r="D309" s="7">
        <v>3</v>
      </c>
      <c r="E309" s="7" t="s">
        <v>493</v>
      </c>
      <c r="F309" s="7" t="s">
        <v>506</v>
      </c>
      <c r="G309" s="7" t="s">
        <v>507</v>
      </c>
      <c r="H309" s="7" t="s">
        <v>500</v>
      </c>
      <c r="I309" s="7">
        <v>0</v>
      </c>
      <c r="J309" s="12">
        <v>16</v>
      </c>
      <c r="K309" s="12">
        <v>16</v>
      </c>
      <c r="L309" s="12">
        <v>16</v>
      </c>
      <c r="M309" s="12">
        <v>16</v>
      </c>
      <c r="N309" s="12">
        <v>16</v>
      </c>
      <c r="O309" s="12">
        <v>16</v>
      </c>
      <c r="P309" s="12">
        <v>16</v>
      </c>
      <c r="Q309" s="12">
        <v>16</v>
      </c>
      <c r="R309" s="12">
        <v>16</v>
      </c>
      <c r="S309" s="12">
        <v>12</v>
      </c>
      <c r="T309" s="10">
        <v>12</v>
      </c>
      <c r="U309" s="10">
        <f t="shared" ref="U309:AN309" si="90">T309-$T309/20</f>
        <v>11.4</v>
      </c>
      <c r="V309" s="10">
        <f t="shared" si="90"/>
        <v>10.8</v>
      </c>
      <c r="W309" s="10">
        <f t="shared" si="90"/>
        <v>10.200000000000001</v>
      </c>
      <c r="X309" s="10">
        <f t="shared" si="90"/>
        <v>9.6000000000000014</v>
      </c>
      <c r="Y309" s="10">
        <f t="shared" si="90"/>
        <v>9.0000000000000018</v>
      </c>
      <c r="Z309" s="10">
        <f t="shared" si="90"/>
        <v>8.4000000000000021</v>
      </c>
      <c r="AA309" s="10">
        <f t="shared" si="90"/>
        <v>7.8000000000000025</v>
      </c>
      <c r="AB309" s="10">
        <f t="shared" si="90"/>
        <v>7.2000000000000028</v>
      </c>
      <c r="AC309" s="10">
        <f t="shared" si="90"/>
        <v>6.6000000000000032</v>
      </c>
      <c r="AD309" s="10">
        <f t="shared" si="90"/>
        <v>6.0000000000000036</v>
      </c>
      <c r="AE309" s="10">
        <f t="shared" si="90"/>
        <v>5.4000000000000039</v>
      </c>
      <c r="AF309" s="10">
        <f t="shared" si="90"/>
        <v>4.8000000000000043</v>
      </c>
      <c r="AG309" s="10">
        <f t="shared" si="90"/>
        <v>4.2000000000000046</v>
      </c>
      <c r="AH309" s="10">
        <f t="shared" si="90"/>
        <v>3.6000000000000045</v>
      </c>
      <c r="AI309" s="10">
        <f t="shared" si="90"/>
        <v>3.0000000000000044</v>
      </c>
      <c r="AJ309" s="10">
        <f t="shared" si="90"/>
        <v>2.4000000000000044</v>
      </c>
      <c r="AK309" s="10">
        <f t="shared" si="90"/>
        <v>1.8000000000000043</v>
      </c>
      <c r="AL309" s="10">
        <f t="shared" si="90"/>
        <v>1.2000000000000042</v>
      </c>
      <c r="AM309" s="10">
        <f t="shared" si="90"/>
        <v>0.6000000000000042</v>
      </c>
      <c r="AN309" s="10">
        <f t="shared" si="90"/>
        <v>4.2188474935755949E-15</v>
      </c>
      <c r="AO309" s="10">
        <v>4.2188474935755949E-15</v>
      </c>
      <c r="AP309" s="10">
        <v>4.2188474935755949E-15</v>
      </c>
      <c r="AQ309" s="10">
        <v>4.2188474935755949E-15</v>
      </c>
      <c r="AR309" s="10">
        <v>4.2188474935755949E-15</v>
      </c>
      <c r="AS309" s="10">
        <v>4.2188474935755949E-15</v>
      </c>
      <c r="AT309" s="10">
        <v>4.2188474935755949E-15</v>
      </c>
      <c r="AU309" s="10">
        <v>4.2188474935755949E-15</v>
      </c>
      <c r="AV309" s="10">
        <v>4.2188474935755949E-15</v>
      </c>
      <c r="AW309" s="10">
        <v>4.2188474935755949E-15</v>
      </c>
      <c r="AX309" s="10">
        <v>4.2188474935755949E-15</v>
      </c>
      <c r="AY309" s="10">
        <v>4.2188474935755949E-15</v>
      </c>
      <c r="AZ309" s="10">
        <v>4.2188474935755949E-15</v>
      </c>
      <c r="BA309" s="10">
        <v>4.2188474935755949E-15</v>
      </c>
      <c r="BB309" s="10">
        <v>4.2188474935755949E-15</v>
      </c>
      <c r="BC309" s="10">
        <v>4.2188474935755949E-15</v>
      </c>
      <c r="BD309" s="10">
        <v>4.2188474935755949E-15</v>
      </c>
      <c r="BE309" s="10">
        <v>4.2188474935755949E-15</v>
      </c>
      <c r="BF309" s="10">
        <v>4.2188474935755949E-15</v>
      </c>
      <c r="BG309" s="10">
        <v>4.2188474935755949E-15</v>
      </c>
      <c r="BH309" s="10">
        <v>4.2188474935755949E-15</v>
      </c>
      <c r="BI309" s="10">
        <v>4.2188474935755949E-15</v>
      </c>
      <c r="BJ309" s="10">
        <v>4.2188474935755949E-15</v>
      </c>
      <c r="BK309" s="10">
        <v>4.2188474935755949E-15</v>
      </c>
      <c r="BL309" s="10">
        <v>4.2188474935755949E-15</v>
      </c>
      <c r="BM309" s="10">
        <v>4.2188474935755949E-15</v>
      </c>
      <c r="BN309" s="10">
        <v>4.2188474935755949E-15</v>
      </c>
      <c r="BO309" s="10">
        <v>4.2188474935755949E-15</v>
      </c>
      <c r="BP309" s="10">
        <v>4.2188474935755949E-15</v>
      </c>
      <c r="BQ309" s="10">
        <v>4.2188474935755949E-15</v>
      </c>
      <c r="BR309" s="10">
        <v>4.2188474935755949E-15</v>
      </c>
    </row>
    <row r="310" spans="1:70" hidden="1" x14ac:dyDescent="0.25">
      <c r="A310" s="7">
        <v>62</v>
      </c>
      <c r="B310" s="7" t="s">
        <v>450</v>
      </c>
      <c r="C310" s="7" t="s">
        <v>451</v>
      </c>
      <c r="D310" s="7">
        <v>4</v>
      </c>
      <c r="E310" s="7" t="s">
        <v>494</v>
      </c>
      <c r="F310" s="7"/>
      <c r="G310" s="7"/>
      <c r="H310" s="7"/>
      <c r="I310" s="7">
        <v>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spans="1:70" hidden="1" x14ac:dyDescent="0.25">
      <c r="A311" s="7">
        <v>62</v>
      </c>
      <c r="B311" s="7" t="s">
        <v>450</v>
      </c>
      <c r="C311" s="7" t="s">
        <v>451</v>
      </c>
      <c r="D311" s="7">
        <v>5</v>
      </c>
      <c r="E311" s="7" t="s">
        <v>496</v>
      </c>
      <c r="F311" s="7"/>
      <c r="G311" s="7"/>
      <c r="H311" s="7"/>
      <c r="I311" s="7">
        <v>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spans="1:70" hidden="1" x14ac:dyDescent="0.25">
      <c r="A312" s="6">
        <v>63</v>
      </c>
      <c r="B312" s="6" t="s">
        <v>452</v>
      </c>
      <c r="C312" s="6" t="s">
        <v>453</v>
      </c>
      <c r="D312" s="6">
        <v>1</v>
      </c>
      <c r="E312" s="6" t="s">
        <v>489</v>
      </c>
      <c r="F312" s="6" t="s">
        <v>505</v>
      </c>
      <c r="G312" s="6" t="s">
        <v>505</v>
      </c>
      <c r="H312" s="6" t="s">
        <v>501</v>
      </c>
      <c r="I312" s="6">
        <v>0</v>
      </c>
      <c r="J312" s="40">
        <v>2213.6986301369861</v>
      </c>
      <c r="K312" s="40"/>
      <c r="L312" s="40"/>
      <c r="M312" s="40"/>
      <c r="N312" s="40"/>
      <c r="O312" s="40"/>
      <c r="P312" s="40"/>
      <c r="Q312" s="40"/>
      <c r="R312" s="40"/>
      <c r="S312" s="8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spans="1:70" hidden="1" x14ac:dyDescent="0.25">
      <c r="A313" s="6">
        <v>63</v>
      </c>
      <c r="B313" s="6" t="s">
        <v>452</v>
      </c>
      <c r="C313" s="6" t="s">
        <v>453</v>
      </c>
      <c r="D313" s="6">
        <v>2</v>
      </c>
      <c r="E313" s="6" t="s">
        <v>491</v>
      </c>
      <c r="F313" s="6" t="s">
        <v>553</v>
      </c>
      <c r="G313" s="6" t="s">
        <v>505</v>
      </c>
      <c r="H313" s="6" t="s">
        <v>501</v>
      </c>
      <c r="I313" s="6">
        <v>0</v>
      </c>
      <c r="J313" s="6">
        <v>0.27374999999999999</v>
      </c>
      <c r="K313" s="6"/>
      <c r="L313" s="6"/>
      <c r="M313" s="6"/>
      <c r="N313" s="6"/>
      <c r="O313" s="6"/>
      <c r="P313" s="6"/>
      <c r="Q313" s="6"/>
      <c r="R313" s="6"/>
      <c r="S313" s="6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spans="1:70" hidden="1" x14ac:dyDescent="0.25">
      <c r="A314" s="6">
        <v>63</v>
      </c>
      <c r="B314" s="6" t="s">
        <v>452</v>
      </c>
      <c r="C314" s="6" t="s">
        <v>453</v>
      </c>
      <c r="D314" s="6">
        <v>3</v>
      </c>
      <c r="E314" s="6" t="s">
        <v>493</v>
      </c>
      <c r="F314" s="6" t="s">
        <v>506</v>
      </c>
      <c r="G314" s="6" t="s">
        <v>507</v>
      </c>
      <c r="H314" s="6" t="s">
        <v>501</v>
      </c>
      <c r="I314" s="6">
        <v>0</v>
      </c>
      <c r="J314" s="9">
        <v>0</v>
      </c>
      <c r="K314" s="9"/>
      <c r="L314" s="9"/>
      <c r="M314" s="9"/>
      <c r="N314" s="9"/>
      <c r="O314" s="9"/>
      <c r="P314" s="9"/>
      <c r="Q314" s="9"/>
      <c r="R314" s="9"/>
      <c r="S314" s="14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</row>
    <row r="315" spans="1:70" hidden="1" x14ac:dyDescent="0.25">
      <c r="A315" s="6">
        <v>63</v>
      </c>
      <c r="B315" s="6" t="s">
        <v>452</v>
      </c>
      <c r="C315" s="6" t="s">
        <v>453</v>
      </c>
      <c r="D315" s="6">
        <v>4</v>
      </c>
      <c r="E315" s="6" t="s">
        <v>494</v>
      </c>
      <c r="F315" s="6"/>
      <c r="G315" s="6"/>
      <c r="H315" s="6"/>
      <c r="I315" s="6">
        <v>0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spans="1:70" hidden="1" x14ac:dyDescent="0.25">
      <c r="A316" s="6">
        <v>63</v>
      </c>
      <c r="B316" s="6" t="s">
        <v>452</v>
      </c>
      <c r="C316" s="6" t="s">
        <v>453</v>
      </c>
      <c r="D316" s="6">
        <v>5</v>
      </c>
      <c r="E316" s="6" t="s">
        <v>496</v>
      </c>
      <c r="F316" s="6"/>
      <c r="G316" s="6"/>
      <c r="H316" s="6"/>
      <c r="I316" s="6">
        <v>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spans="1:70" hidden="1" x14ac:dyDescent="0.25">
      <c r="A317" s="7">
        <v>64</v>
      </c>
      <c r="B317" s="7" t="s">
        <v>454</v>
      </c>
      <c r="C317" s="7" t="s">
        <v>455</v>
      </c>
      <c r="D317" s="7">
        <v>1</v>
      </c>
      <c r="E317" s="7" t="s">
        <v>489</v>
      </c>
      <c r="F317" s="7" t="s">
        <v>505</v>
      </c>
      <c r="G317" s="7" t="s">
        <v>505</v>
      </c>
      <c r="H317" s="7" t="s">
        <v>501</v>
      </c>
      <c r="I317" s="7">
        <v>0</v>
      </c>
      <c r="J317" s="41">
        <v>2213.6986301369861</v>
      </c>
      <c r="K317" s="41"/>
      <c r="L317" s="41"/>
      <c r="M317" s="41"/>
      <c r="N317" s="41"/>
      <c r="O317" s="41"/>
      <c r="P317" s="41"/>
      <c r="Q317" s="41"/>
      <c r="R317" s="41"/>
      <c r="S317" s="11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spans="1:70" hidden="1" x14ac:dyDescent="0.25">
      <c r="A318" s="7">
        <v>64</v>
      </c>
      <c r="B318" s="7" t="s">
        <v>454</v>
      </c>
      <c r="C318" s="7" t="s">
        <v>455</v>
      </c>
      <c r="D318" s="7">
        <v>2</v>
      </c>
      <c r="E318" s="7" t="s">
        <v>491</v>
      </c>
      <c r="F318" s="7" t="s">
        <v>553</v>
      </c>
      <c r="G318" s="7" t="s">
        <v>505</v>
      </c>
      <c r="H318" s="7" t="s">
        <v>501</v>
      </c>
      <c r="I318" s="7">
        <v>0</v>
      </c>
      <c r="J318" s="7">
        <v>0.27374999999999999</v>
      </c>
      <c r="K318" s="7"/>
      <c r="L318" s="7"/>
      <c r="M318" s="7"/>
      <c r="N318" s="7"/>
      <c r="O318" s="7"/>
      <c r="P318" s="7"/>
      <c r="Q318" s="7"/>
      <c r="R318" s="7"/>
      <c r="S318" s="7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spans="1:70" hidden="1" x14ac:dyDescent="0.25">
      <c r="A319" s="7">
        <v>64</v>
      </c>
      <c r="B319" s="7" t="s">
        <v>454</v>
      </c>
      <c r="C319" s="7" t="s">
        <v>455</v>
      </c>
      <c r="D319" s="7">
        <v>3</v>
      </c>
      <c r="E319" s="7" t="s">
        <v>493</v>
      </c>
      <c r="F319" s="7" t="s">
        <v>506</v>
      </c>
      <c r="G319" s="7" t="s">
        <v>507</v>
      </c>
      <c r="H319" s="7" t="s">
        <v>501</v>
      </c>
      <c r="I319" s="7">
        <v>0</v>
      </c>
      <c r="J319" s="12">
        <v>0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</row>
    <row r="320" spans="1:70" hidden="1" x14ac:dyDescent="0.25">
      <c r="A320" s="7">
        <v>64</v>
      </c>
      <c r="B320" s="7" t="s">
        <v>454</v>
      </c>
      <c r="C320" s="7" t="s">
        <v>455</v>
      </c>
      <c r="D320" s="7">
        <v>4</v>
      </c>
      <c r="E320" s="7" t="s">
        <v>494</v>
      </c>
      <c r="F320" s="7"/>
      <c r="G320" s="7"/>
      <c r="H320" s="7"/>
      <c r="I320" s="7">
        <v>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</row>
    <row r="321" spans="1:70" hidden="1" x14ac:dyDescent="0.25">
      <c r="A321" s="7">
        <v>64</v>
      </c>
      <c r="B321" s="7" t="s">
        <v>454</v>
      </c>
      <c r="C321" s="7" t="s">
        <v>455</v>
      </c>
      <c r="D321" s="7">
        <v>5</v>
      </c>
      <c r="E321" s="7" t="s">
        <v>496</v>
      </c>
      <c r="F321" s="7"/>
      <c r="G321" s="7"/>
      <c r="H321" s="7"/>
      <c r="I321" s="7">
        <v>0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</row>
    <row r="322" spans="1:70" hidden="1" x14ac:dyDescent="0.25">
      <c r="A322" s="6">
        <v>65</v>
      </c>
      <c r="B322" s="6" t="s">
        <v>456</v>
      </c>
      <c r="C322" s="6" t="s">
        <v>457</v>
      </c>
      <c r="D322" s="6">
        <v>1</v>
      </c>
      <c r="E322" s="6" t="s">
        <v>489</v>
      </c>
      <c r="F322" s="6" t="s">
        <v>505</v>
      </c>
      <c r="G322" s="6" t="s">
        <v>505</v>
      </c>
      <c r="H322" s="6" t="s">
        <v>500</v>
      </c>
      <c r="I322" s="6">
        <v>0</v>
      </c>
      <c r="J322" s="40">
        <v>16.810112963959117</v>
      </c>
      <c r="K322" s="40">
        <v>16.810112963959117</v>
      </c>
      <c r="L322" s="40">
        <v>16.810112963959117</v>
      </c>
      <c r="M322" s="40">
        <v>16.810112963959117</v>
      </c>
      <c r="N322" s="40">
        <v>16.810112963959117</v>
      </c>
      <c r="O322" s="40">
        <v>16.810112963959117</v>
      </c>
      <c r="P322" s="40">
        <v>16.810112963959117</v>
      </c>
      <c r="Q322" s="40">
        <v>16.810112963959117</v>
      </c>
      <c r="R322" s="40">
        <v>16.810112963959117</v>
      </c>
      <c r="S322" s="8">
        <f t="shared" ref="S322:AM322" si="91">+T322</f>
        <v>16.810112963959117</v>
      </c>
      <c r="T322" s="3">
        <f t="shared" si="91"/>
        <v>16.810112963959117</v>
      </c>
      <c r="U322" s="3">
        <f t="shared" si="91"/>
        <v>16.810112963959117</v>
      </c>
      <c r="V322" s="3">
        <f t="shared" si="91"/>
        <v>16.810112963959117</v>
      </c>
      <c r="W322" s="3">
        <f t="shared" si="91"/>
        <v>16.810112963959117</v>
      </c>
      <c r="X322" s="3">
        <f t="shared" si="91"/>
        <v>16.810112963959117</v>
      </c>
      <c r="Y322" s="3">
        <f t="shared" si="91"/>
        <v>16.810112963959117</v>
      </c>
      <c r="Z322" s="3">
        <f t="shared" si="91"/>
        <v>16.810112963959117</v>
      </c>
      <c r="AA322" s="3">
        <f t="shared" si="91"/>
        <v>16.810112963959117</v>
      </c>
      <c r="AB322" s="3">
        <f t="shared" si="91"/>
        <v>16.810112963959117</v>
      </c>
      <c r="AC322" s="3">
        <f t="shared" si="91"/>
        <v>16.810112963959117</v>
      </c>
      <c r="AD322" s="3">
        <f t="shared" si="91"/>
        <v>16.810112963959117</v>
      </c>
      <c r="AE322" s="3">
        <f t="shared" si="91"/>
        <v>16.810112963959117</v>
      </c>
      <c r="AF322" s="3">
        <f t="shared" si="91"/>
        <v>16.810112963959117</v>
      </c>
      <c r="AG322" s="3">
        <f t="shared" si="91"/>
        <v>16.810112963959117</v>
      </c>
      <c r="AH322" s="3">
        <f t="shared" si="91"/>
        <v>16.810112963959117</v>
      </c>
      <c r="AI322" s="3">
        <f t="shared" si="91"/>
        <v>16.810112963959117</v>
      </c>
      <c r="AJ322" s="3">
        <f t="shared" si="91"/>
        <v>16.810112963959117</v>
      </c>
      <c r="AK322" s="3">
        <f t="shared" si="91"/>
        <v>16.810112963959117</v>
      </c>
      <c r="AL322" s="3">
        <f t="shared" si="91"/>
        <v>16.810112963959117</v>
      </c>
      <c r="AM322" s="3">
        <f t="shared" si="91"/>
        <v>16.810112963959117</v>
      </c>
      <c r="AN322" s="3">
        <v>16.810112963959117</v>
      </c>
      <c r="AO322" s="3">
        <v>16.489829732614112</v>
      </c>
      <c r="AP322" s="3">
        <v>16.1815230308381</v>
      </c>
      <c r="AQ322" s="3">
        <v>15.690028929560615</v>
      </c>
      <c r="AR322" s="3">
        <v>14.979270867921834</v>
      </c>
      <c r="AS322" s="3">
        <v>14.714081322319711</v>
      </c>
      <c r="AT322" s="3">
        <v>14.285174147023053</v>
      </c>
      <c r="AU322" s="3">
        <v>13.661436772286521</v>
      </c>
      <c r="AV322" s="3">
        <v>13.43177546835827</v>
      </c>
      <c r="AW322" s="3">
        <v>12.908610173245167</v>
      </c>
      <c r="AX322" s="3">
        <v>12.364488021396411</v>
      </c>
      <c r="AY322" s="3">
        <v>12.328752506883703</v>
      </c>
      <c r="AZ322" s="3">
        <v>12.293222960754356</v>
      </c>
      <c r="BA322" s="3">
        <v>12.257897607418855</v>
      </c>
      <c r="BB322" s="3">
        <v>11.909370212365509</v>
      </c>
      <c r="BC322" s="3">
        <v>11.875343440330179</v>
      </c>
      <c r="BD322" s="3">
        <v>11.841510553035793</v>
      </c>
      <c r="BE322" s="3">
        <v>11.673689558304943</v>
      </c>
      <c r="BF322" s="3">
        <v>11.349604125808089</v>
      </c>
      <c r="BG322" s="3">
        <v>11.317543097204112</v>
      </c>
      <c r="BH322" s="3">
        <v>11.285662694113396</v>
      </c>
      <c r="BI322" s="3">
        <v>10.800966690988208</v>
      </c>
      <c r="BJ322" s="3">
        <v>10.778243759660745</v>
      </c>
      <c r="BK322" s="3">
        <v>10.570174576780781</v>
      </c>
      <c r="BL322" s="3">
        <v>10.296886776386826</v>
      </c>
      <c r="BM322" s="3">
        <v>10.275360183822951</v>
      </c>
      <c r="BN322" s="3">
        <v>9.8485357404398712</v>
      </c>
      <c r="BO322" s="3">
        <v>9.8280321962196631</v>
      </c>
      <c r="BP322" s="3">
        <v>9.5847135320819525</v>
      </c>
      <c r="BQ322" s="3">
        <v>9.5089072283267164</v>
      </c>
      <c r="BR322" s="3">
        <v>9.2783617687832241</v>
      </c>
    </row>
    <row r="323" spans="1:70" hidden="1" x14ac:dyDescent="0.25">
      <c r="A323" s="6">
        <v>65</v>
      </c>
      <c r="B323" s="6" t="s">
        <v>456</v>
      </c>
      <c r="C323" s="6" t="s">
        <v>457</v>
      </c>
      <c r="D323" s="6">
        <v>2</v>
      </c>
      <c r="E323" s="6" t="s">
        <v>491</v>
      </c>
      <c r="F323" s="6" t="s">
        <v>553</v>
      </c>
      <c r="G323" s="6" t="s">
        <v>505</v>
      </c>
      <c r="H323" s="6" t="s">
        <v>500</v>
      </c>
      <c r="I323" s="6">
        <v>0</v>
      </c>
      <c r="J323" s="6">
        <v>5.7142857142857141E-2</v>
      </c>
      <c r="K323" s="6">
        <v>5.7142857142857141E-2</v>
      </c>
      <c r="L323" s="6">
        <v>5.7142857142857141E-2</v>
      </c>
      <c r="M323" s="6">
        <v>5.7142857142857141E-2</v>
      </c>
      <c r="N323" s="6">
        <v>5.7142857142857141E-2</v>
      </c>
      <c r="O323" s="6">
        <v>5.7142857142857141E-2</v>
      </c>
      <c r="P323" s="6">
        <v>5.7142857142857141E-2</v>
      </c>
      <c r="Q323" s="6">
        <v>5.7142857142857141E-2</v>
      </c>
      <c r="R323" s="6">
        <v>5.7142857142857141E-2</v>
      </c>
      <c r="S323" s="6">
        <f t="shared" ref="S323:AM323" si="92">+T323</f>
        <v>5.7142857142857141E-2</v>
      </c>
      <c r="T323" s="3">
        <f t="shared" si="92"/>
        <v>5.7142857142857141E-2</v>
      </c>
      <c r="U323" s="3">
        <f t="shared" si="92"/>
        <v>5.7142857142857141E-2</v>
      </c>
      <c r="V323" s="3">
        <f t="shared" si="92"/>
        <v>5.7142857142857141E-2</v>
      </c>
      <c r="W323" s="3">
        <f t="shared" si="92"/>
        <v>5.7142857142857141E-2</v>
      </c>
      <c r="X323" s="3">
        <f t="shared" si="92"/>
        <v>5.7142857142857141E-2</v>
      </c>
      <c r="Y323" s="3">
        <f t="shared" si="92"/>
        <v>5.7142857142857141E-2</v>
      </c>
      <c r="Z323" s="3">
        <f t="shared" si="92"/>
        <v>5.7142857142857141E-2</v>
      </c>
      <c r="AA323" s="3">
        <f t="shared" si="92"/>
        <v>5.7142857142857141E-2</v>
      </c>
      <c r="AB323" s="3">
        <f t="shared" si="92"/>
        <v>5.7142857142857141E-2</v>
      </c>
      <c r="AC323" s="3">
        <f t="shared" si="92"/>
        <v>5.7142857142857141E-2</v>
      </c>
      <c r="AD323" s="3">
        <f t="shared" si="92"/>
        <v>5.7142857142857141E-2</v>
      </c>
      <c r="AE323" s="3">
        <f t="shared" si="92"/>
        <v>5.7142857142857141E-2</v>
      </c>
      <c r="AF323" s="3">
        <f t="shared" si="92"/>
        <v>5.7142857142857141E-2</v>
      </c>
      <c r="AG323" s="3">
        <f t="shared" si="92"/>
        <v>5.7142857142857141E-2</v>
      </c>
      <c r="AH323" s="3">
        <f t="shared" si="92"/>
        <v>5.7142857142857141E-2</v>
      </c>
      <c r="AI323" s="3">
        <f t="shared" si="92"/>
        <v>5.7142857142857141E-2</v>
      </c>
      <c r="AJ323" s="3">
        <f t="shared" si="92"/>
        <v>5.7142857142857141E-2</v>
      </c>
      <c r="AK323" s="3">
        <f t="shared" si="92"/>
        <v>5.7142857142857141E-2</v>
      </c>
      <c r="AL323" s="3">
        <f t="shared" si="92"/>
        <v>5.7142857142857141E-2</v>
      </c>
      <c r="AM323" s="3">
        <f t="shared" si="92"/>
        <v>5.7142857142857141E-2</v>
      </c>
      <c r="AN323" s="3">
        <v>5.7142857142857141E-2</v>
      </c>
      <c r="AO323" s="3">
        <v>5.7142857142857141E-2</v>
      </c>
      <c r="AP323" s="3">
        <v>5.7142857142857141E-2</v>
      </c>
      <c r="AQ323" s="3">
        <v>5.612244897959183E-2</v>
      </c>
      <c r="AR323" s="3">
        <v>5.4563492063492064E-2</v>
      </c>
      <c r="AS323" s="3">
        <v>5.4563492063492057E-2</v>
      </c>
      <c r="AT323" s="3">
        <v>5.3606237816764143E-2</v>
      </c>
      <c r="AU323" s="3">
        <v>5.2157420578473203E-2</v>
      </c>
      <c r="AV323" s="3">
        <v>5.2157420578473217E-2</v>
      </c>
      <c r="AW323" s="3">
        <v>5.1258154706430574E-2</v>
      </c>
      <c r="AX323" s="3">
        <v>4.9909255898366603E-2</v>
      </c>
      <c r="AY323" s="3">
        <v>4.990925589836661E-2</v>
      </c>
      <c r="AZ323" s="3">
        <v>4.990925589836661E-2</v>
      </c>
      <c r="BA323" s="3">
        <v>4.9909255898366603E-2</v>
      </c>
      <c r="BB323" s="3">
        <v>4.8629531388152077E-2</v>
      </c>
      <c r="BC323" s="3">
        <v>4.8629531388152077E-2</v>
      </c>
      <c r="BD323" s="3">
        <v>4.8629531388152084E-2</v>
      </c>
      <c r="BE323" s="3">
        <v>4.8629531388152077E-2</v>
      </c>
      <c r="BF323" s="3">
        <v>4.7413793103448267E-2</v>
      </c>
      <c r="BG323" s="3">
        <v>4.7413793103448273E-2</v>
      </c>
      <c r="BH323" s="3">
        <v>4.3103448275862065E-2</v>
      </c>
      <c r="BI323" s="3">
        <v>4.1339396444811917E-2</v>
      </c>
      <c r="BJ323" s="3">
        <v>4.133939644481191E-2</v>
      </c>
      <c r="BK323" s="3">
        <v>4.1339396444811903E-2</v>
      </c>
      <c r="BL323" s="3">
        <v>4.0355125100887825E-2</v>
      </c>
      <c r="BM323" s="3">
        <v>4.0355125100887811E-2</v>
      </c>
      <c r="BN323" s="3">
        <v>3.8759689922480627E-2</v>
      </c>
      <c r="BO323" s="3">
        <v>3.8759689922480627E-2</v>
      </c>
      <c r="BP323" s="3">
        <v>3.7878787878787873E-2</v>
      </c>
      <c r="BQ323" s="3">
        <v>3.787878787878788E-2</v>
      </c>
      <c r="BR323" s="3">
        <v>3.7037037037037042E-2</v>
      </c>
    </row>
    <row r="324" spans="1:70" hidden="1" x14ac:dyDescent="0.25">
      <c r="A324" s="6">
        <v>65</v>
      </c>
      <c r="B324" s="6" t="s">
        <v>456</v>
      </c>
      <c r="C324" s="6" t="s">
        <v>457</v>
      </c>
      <c r="D324" s="6">
        <v>3</v>
      </c>
      <c r="E324" s="6" t="s">
        <v>493</v>
      </c>
      <c r="F324" s="6" t="s">
        <v>506</v>
      </c>
      <c r="G324" s="6" t="s">
        <v>507</v>
      </c>
      <c r="H324" s="6" t="s">
        <v>501</v>
      </c>
      <c r="I324" s="6">
        <v>0</v>
      </c>
      <c r="J324" s="9">
        <v>0</v>
      </c>
      <c r="K324" s="9"/>
      <c r="L324" s="9"/>
      <c r="M324" s="9"/>
      <c r="N324" s="9"/>
      <c r="O324" s="9"/>
      <c r="P324" s="9"/>
      <c r="Q324" s="9"/>
      <c r="R324" s="9"/>
      <c r="S324" s="14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</row>
    <row r="325" spans="1:70" hidden="1" x14ac:dyDescent="0.25">
      <c r="A325" s="6">
        <v>65</v>
      </c>
      <c r="B325" s="6" t="s">
        <v>456</v>
      </c>
      <c r="C325" s="6" t="s">
        <v>457</v>
      </c>
      <c r="D325" s="6">
        <v>4</v>
      </c>
      <c r="E325" s="6" t="s">
        <v>494</v>
      </c>
      <c r="F325" s="6"/>
      <c r="G325" s="6"/>
      <c r="H325" s="6"/>
      <c r="I325" s="6">
        <v>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</row>
    <row r="326" spans="1:70" hidden="1" x14ac:dyDescent="0.25">
      <c r="A326" s="6">
        <v>65</v>
      </c>
      <c r="B326" s="6" t="s">
        <v>456</v>
      </c>
      <c r="C326" s="6" t="s">
        <v>457</v>
      </c>
      <c r="D326" s="6">
        <v>5</v>
      </c>
      <c r="E326" s="6" t="s">
        <v>496</v>
      </c>
      <c r="F326" s="6"/>
      <c r="G326" s="6"/>
      <c r="H326" s="6"/>
      <c r="I326" s="6">
        <v>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</row>
    <row r="327" spans="1:70" hidden="1" x14ac:dyDescent="0.25">
      <c r="A327" s="7">
        <v>66</v>
      </c>
      <c r="B327" s="7" t="s">
        <v>458</v>
      </c>
      <c r="C327" s="7" t="s">
        <v>459</v>
      </c>
      <c r="D327" s="7">
        <v>1</v>
      </c>
      <c r="E327" s="7" t="s">
        <v>489</v>
      </c>
      <c r="F327" s="7" t="s">
        <v>505</v>
      </c>
      <c r="G327" s="7" t="s">
        <v>505</v>
      </c>
      <c r="H327" s="7" t="s">
        <v>501</v>
      </c>
      <c r="I327" s="7">
        <v>0</v>
      </c>
      <c r="J327" s="41">
        <v>2213.6986301369861</v>
      </c>
      <c r="K327" s="41"/>
      <c r="L327" s="41"/>
      <c r="M327" s="41"/>
      <c r="N327" s="41"/>
      <c r="O327" s="41"/>
      <c r="P327" s="41"/>
      <c r="Q327" s="41"/>
      <c r="R327" s="41"/>
      <c r="S327" s="11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</row>
    <row r="328" spans="1:70" hidden="1" x14ac:dyDescent="0.25">
      <c r="A328" s="7">
        <v>66</v>
      </c>
      <c r="B328" s="7" t="s">
        <v>458</v>
      </c>
      <c r="C328" s="7" t="s">
        <v>459</v>
      </c>
      <c r="D328" s="7">
        <v>2</v>
      </c>
      <c r="E328" s="7" t="s">
        <v>491</v>
      </c>
      <c r="F328" s="7" t="s">
        <v>553</v>
      </c>
      <c r="G328" s="7" t="s">
        <v>505</v>
      </c>
      <c r="H328" s="7" t="s">
        <v>501</v>
      </c>
      <c r="I328" s="7">
        <v>0</v>
      </c>
      <c r="J328" s="7">
        <v>0.27374999999999999</v>
      </c>
      <c r="K328" s="7"/>
      <c r="L328" s="7"/>
      <c r="M328" s="7"/>
      <c r="N328" s="7"/>
      <c r="O328" s="7"/>
      <c r="P328" s="7"/>
      <c r="Q328" s="7"/>
      <c r="R328" s="7"/>
      <c r="S328" s="7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</row>
    <row r="329" spans="1:70" hidden="1" x14ac:dyDescent="0.25">
      <c r="A329" s="7">
        <v>66</v>
      </c>
      <c r="B329" s="7" t="s">
        <v>458</v>
      </c>
      <c r="C329" s="7" t="s">
        <v>459</v>
      </c>
      <c r="D329" s="7">
        <v>3</v>
      </c>
      <c r="E329" s="7" t="s">
        <v>493</v>
      </c>
      <c r="F329" s="7" t="s">
        <v>506</v>
      </c>
      <c r="G329" s="7" t="s">
        <v>507</v>
      </c>
      <c r="H329" s="7" t="s">
        <v>501</v>
      </c>
      <c r="I329" s="7">
        <v>0</v>
      </c>
      <c r="J329" s="12">
        <v>0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</row>
    <row r="330" spans="1:70" hidden="1" x14ac:dyDescent="0.25">
      <c r="A330" s="7">
        <v>66</v>
      </c>
      <c r="B330" s="7" t="s">
        <v>458</v>
      </c>
      <c r="C330" s="7" t="s">
        <v>459</v>
      </c>
      <c r="D330" s="7">
        <v>4</v>
      </c>
      <c r="E330" s="7" t="s">
        <v>494</v>
      </c>
      <c r="F330" s="7"/>
      <c r="G330" s="7"/>
      <c r="H330" s="7"/>
      <c r="I330" s="7">
        <v>0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</row>
    <row r="331" spans="1:70" hidden="1" x14ac:dyDescent="0.25">
      <c r="A331" s="7">
        <v>66</v>
      </c>
      <c r="B331" s="7" t="s">
        <v>458</v>
      </c>
      <c r="C331" s="7" t="s">
        <v>459</v>
      </c>
      <c r="D331" s="7">
        <v>5</v>
      </c>
      <c r="E331" s="7" t="s">
        <v>496</v>
      </c>
      <c r="F331" s="7"/>
      <c r="G331" s="7"/>
      <c r="H331" s="7"/>
      <c r="I331" s="7">
        <v>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</row>
  </sheetData>
  <autoFilter ref="A1:BR331" xr:uid="{00000000-0001-0000-0500-000000000000}">
    <filterColumn colId="1">
      <filters>
        <filter val="TRNMOTGSL"/>
      </filters>
    </filterColumn>
    <sortState xmlns:xlrd2="http://schemas.microsoft.com/office/spreadsheetml/2017/richdata2" ref="A2:BR331">
      <sortCondition ref="A2:A331"/>
      <sortCondition ref="D2:D331"/>
    </sortState>
  </autoFilter>
  <sortState xmlns:xlrd2="http://schemas.microsoft.com/office/spreadsheetml/2017/richdata2" ref="A2:BR331">
    <sortCondition ref="A2:A331"/>
    <sortCondition ref="D2:D331"/>
  </sortState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27"/>
  <sheetViews>
    <sheetView topLeftCell="E1" workbookViewId="0">
      <pane ySplit="1" topLeftCell="A2" activePane="bottomLeft" state="frozen"/>
      <selection pane="bottomLeft" activeCell="J18" sqref="J18"/>
    </sheetView>
  </sheetViews>
  <sheetFormatPr baseColWidth="10" defaultColWidth="8.85546875" defaultRowHeight="15" x14ac:dyDescent="0.25"/>
  <cols>
    <col min="1" max="1" width="7.28515625" bestFit="1" customWidth="1"/>
    <col min="2" max="2" width="16.85546875" bestFit="1" customWidth="1"/>
    <col min="3" max="3" width="15.5703125" bestFit="1" customWidth="1"/>
    <col min="4" max="4" width="12.28515625" bestFit="1" customWidth="1"/>
    <col min="5" max="5" width="38.28515625" bestFit="1" customWidth="1"/>
    <col min="6" max="6" width="4.7109375" bestFit="1" customWidth="1"/>
    <col min="7" max="7" width="20.140625" bestFit="1" customWidth="1"/>
    <col min="8" max="8" width="19.7109375" bestFit="1" customWidth="1"/>
    <col min="9" max="15" width="19.7109375" customWidth="1"/>
    <col min="16" max="16" width="6.140625" customWidth="1"/>
    <col min="17" max="49" width="5" bestFit="1" customWidth="1"/>
    <col min="50" max="69" width="4.85546875" bestFit="1" customWidth="1"/>
  </cols>
  <sheetData>
    <row r="1" spans="1:69" x14ac:dyDescent="0.2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487</v>
      </c>
      <c r="H1" s="1" t="s">
        <v>488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5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5">
        <v>2070</v>
      </c>
    </row>
    <row r="2" spans="1:69" x14ac:dyDescent="0.25">
      <c r="A2" s="6">
        <v>1</v>
      </c>
      <c r="B2" s="6" t="s">
        <v>461</v>
      </c>
      <c r="C2" s="6" t="s">
        <v>462</v>
      </c>
      <c r="D2" s="6">
        <v>1</v>
      </c>
      <c r="E2" s="6" t="s">
        <v>494</v>
      </c>
      <c r="F2" s="6"/>
      <c r="G2" s="6" t="s">
        <v>508</v>
      </c>
      <c r="H2" s="6">
        <v>0</v>
      </c>
      <c r="I2" s="6"/>
      <c r="J2" s="6"/>
      <c r="K2" s="6"/>
      <c r="L2" s="6"/>
      <c r="M2" s="6"/>
      <c r="N2" s="6"/>
      <c r="O2" s="6"/>
      <c r="P2" s="6"/>
      <c r="Q2" s="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x14ac:dyDescent="0.25">
      <c r="A3" s="6">
        <v>1</v>
      </c>
      <c r="B3" s="6" t="s">
        <v>461</v>
      </c>
      <c r="C3" s="6" t="s">
        <v>462</v>
      </c>
      <c r="D3" s="6">
        <v>2</v>
      </c>
      <c r="E3" s="6" t="s">
        <v>496</v>
      </c>
      <c r="F3" s="6"/>
      <c r="G3" s="6" t="s">
        <v>508</v>
      </c>
      <c r="H3" s="6">
        <v>0</v>
      </c>
      <c r="I3" s="6"/>
      <c r="J3" s="6"/>
      <c r="K3" s="6"/>
      <c r="L3" s="6"/>
      <c r="M3" s="6"/>
      <c r="N3" s="6"/>
      <c r="O3" s="6"/>
      <c r="P3" s="6"/>
      <c r="Q3" s="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x14ac:dyDescent="0.25">
      <c r="A4" s="13">
        <v>2</v>
      </c>
      <c r="B4" s="13" t="s">
        <v>463</v>
      </c>
      <c r="C4" s="13" t="s">
        <v>464</v>
      </c>
      <c r="D4" s="13">
        <v>1</v>
      </c>
      <c r="E4" s="13" t="s">
        <v>494</v>
      </c>
      <c r="F4" s="13"/>
      <c r="G4" s="13" t="s">
        <v>508</v>
      </c>
      <c r="H4" s="13">
        <v>0</v>
      </c>
      <c r="I4" s="13"/>
      <c r="J4" s="13"/>
      <c r="K4" s="13"/>
      <c r="L4" s="13"/>
      <c r="M4" s="13"/>
      <c r="N4" s="13"/>
      <c r="O4" s="13"/>
      <c r="P4" s="13"/>
      <c r="Q4" s="1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x14ac:dyDescent="0.25">
      <c r="A5" s="13">
        <v>2</v>
      </c>
      <c r="B5" s="13" t="s">
        <v>463</v>
      </c>
      <c r="C5" s="13" t="s">
        <v>464</v>
      </c>
      <c r="D5" s="13">
        <v>2</v>
      </c>
      <c r="E5" s="13" t="s">
        <v>496</v>
      </c>
      <c r="F5" s="13"/>
      <c r="G5" s="13" t="s">
        <v>508</v>
      </c>
      <c r="H5" s="13">
        <v>0</v>
      </c>
      <c r="I5" s="13"/>
      <c r="J5" s="13"/>
      <c r="K5" s="13"/>
      <c r="L5" s="13"/>
      <c r="M5" s="13"/>
      <c r="N5" s="13"/>
      <c r="O5" s="13"/>
      <c r="P5" s="13"/>
      <c r="Q5" s="1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x14ac:dyDescent="0.25">
      <c r="A6" s="6">
        <v>3</v>
      </c>
      <c r="B6" s="6" t="s">
        <v>465</v>
      </c>
      <c r="C6" s="6" t="s">
        <v>466</v>
      </c>
      <c r="D6" s="6">
        <v>1</v>
      </c>
      <c r="E6" s="6" t="s">
        <v>494</v>
      </c>
      <c r="F6" s="6"/>
      <c r="G6" s="6" t="s">
        <v>508</v>
      </c>
      <c r="H6" s="6">
        <v>0</v>
      </c>
      <c r="I6" s="6"/>
      <c r="J6" s="6"/>
      <c r="K6" s="6"/>
      <c r="L6" s="6"/>
      <c r="M6" s="6"/>
      <c r="N6" s="6"/>
      <c r="O6" s="6"/>
      <c r="P6" s="6"/>
      <c r="Q6" s="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x14ac:dyDescent="0.25">
      <c r="A7" s="6">
        <v>3</v>
      </c>
      <c r="B7" s="6" t="s">
        <v>465</v>
      </c>
      <c r="C7" s="6" t="s">
        <v>466</v>
      </c>
      <c r="D7" s="6">
        <v>2</v>
      </c>
      <c r="E7" s="6" t="s">
        <v>496</v>
      </c>
      <c r="F7" s="6"/>
      <c r="G7" s="6" t="s">
        <v>508</v>
      </c>
      <c r="H7" s="6">
        <v>0</v>
      </c>
      <c r="I7" s="6"/>
      <c r="J7" s="6"/>
      <c r="K7" s="6"/>
      <c r="L7" s="6"/>
      <c r="M7" s="6"/>
      <c r="N7" s="6"/>
      <c r="O7" s="6"/>
      <c r="P7" s="6"/>
      <c r="Q7" s="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x14ac:dyDescent="0.25">
      <c r="A8" s="13">
        <v>4</v>
      </c>
      <c r="B8" s="13" t="s">
        <v>467</v>
      </c>
      <c r="C8" s="13" t="s">
        <v>468</v>
      </c>
      <c r="D8" s="13">
        <v>1</v>
      </c>
      <c r="E8" s="13" t="s">
        <v>494</v>
      </c>
      <c r="F8" s="13"/>
      <c r="G8" s="13" t="s">
        <v>508</v>
      </c>
      <c r="H8" s="13">
        <v>0</v>
      </c>
      <c r="I8" s="13"/>
      <c r="J8" s="13"/>
      <c r="K8" s="13"/>
      <c r="L8" s="13"/>
      <c r="M8" s="13"/>
      <c r="N8" s="13"/>
      <c r="O8" s="13"/>
      <c r="P8" s="13"/>
      <c r="Q8" s="1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x14ac:dyDescent="0.25">
      <c r="A9" s="13">
        <v>4</v>
      </c>
      <c r="B9" s="13" t="s">
        <v>467</v>
      </c>
      <c r="C9" s="13" t="s">
        <v>468</v>
      </c>
      <c r="D9" s="13">
        <v>2</v>
      </c>
      <c r="E9" s="13" t="s">
        <v>496</v>
      </c>
      <c r="F9" s="13"/>
      <c r="G9" s="13" t="s">
        <v>508</v>
      </c>
      <c r="H9" s="13">
        <v>0</v>
      </c>
      <c r="I9" s="13"/>
      <c r="J9" s="13"/>
      <c r="K9" s="13"/>
      <c r="L9" s="13"/>
      <c r="M9" s="13"/>
      <c r="N9" s="13"/>
      <c r="O9" s="13"/>
      <c r="P9" s="13"/>
      <c r="Q9" s="1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x14ac:dyDescent="0.25">
      <c r="A10" s="6">
        <v>5</v>
      </c>
      <c r="B10" s="6" t="s">
        <v>469</v>
      </c>
      <c r="C10" s="6" t="s">
        <v>470</v>
      </c>
      <c r="D10" s="6">
        <v>1</v>
      </c>
      <c r="E10" s="6" t="s">
        <v>494</v>
      </c>
      <c r="F10" s="6"/>
      <c r="G10" s="6" t="s">
        <v>508</v>
      </c>
      <c r="H10" s="6">
        <v>0</v>
      </c>
      <c r="I10" s="6"/>
      <c r="J10" s="6"/>
      <c r="K10" s="6"/>
      <c r="L10" s="6"/>
      <c r="M10" s="6"/>
      <c r="N10" s="6"/>
      <c r="O10" s="6"/>
      <c r="P10" s="6"/>
      <c r="Q10" s="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x14ac:dyDescent="0.25">
      <c r="A11" s="6">
        <v>5</v>
      </c>
      <c r="B11" s="6" t="s">
        <v>469</v>
      </c>
      <c r="C11" s="6" t="s">
        <v>470</v>
      </c>
      <c r="D11" s="6">
        <v>2</v>
      </c>
      <c r="E11" s="6" t="s">
        <v>496</v>
      </c>
      <c r="F11" s="6"/>
      <c r="G11" s="6" t="s">
        <v>508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x14ac:dyDescent="0.25">
      <c r="A12" s="7">
        <v>6</v>
      </c>
      <c r="B12" s="7" t="s">
        <v>471</v>
      </c>
      <c r="C12" s="7" t="s">
        <v>472</v>
      </c>
      <c r="D12" s="7">
        <v>1</v>
      </c>
      <c r="E12" s="7" t="s">
        <v>494</v>
      </c>
      <c r="F12" s="7"/>
      <c r="G12" s="7" t="s">
        <v>508</v>
      </c>
      <c r="H12" s="7">
        <v>0</v>
      </c>
      <c r="I12" s="7"/>
      <c r="J12" s="7"/>
      <c r="K12" s="7"/>
      <c r="L12" s="7"/>
      <c r="M12" s="7"/>
      <c r="N12" s="7"/>
      <c r="O12" s="7"/>
      <c r="P12" s="7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x14ac:dyDescent="0.25">
      <c r="A13" s="7">
        <v>6</v>
      </c>
      <c r="B13" s="7" t="s">
        <v>471</v>
      </c>
      <c r="C13" s="7" t="s">
        <v>472</v>
      </c>
      <c r="D13" s="7">
        <v>2</v>
      </c>
      <c r="E13" s="7" t="s">
        <v>496</v>
      </c>
      <c r="F13" s="7"/>
      <c r="G13" s="7" t="s">
        <v>508</v>
      </c>
      <c r="H13" s="7">
        <v>0</v>
      </c>
      <c r="I13" s="7"/>
      <c r="J13" s="7"/>
      <c r="K13" s="7"/>
      <c r="L13" s="7"/>
      <c r="M13" s="7"/>
      <c r="N13" s="7"/>
      <c r="O13" s="7"/>
      <c r="P13" s="7"/>
      <c r="Q13" s="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x14ac:dyDescent="0.25">
      <c r="A14" s="6">
        <v>7</v>
      </c>
      <c r="B14" s="6" t="s">
        <v>473</v>
      </c>
      <c r="C14" s="6" t="s">
        <v>474</v>
      </c>
      <c r="D14" s="6">
        <v>1</v>
      </c>
      <c r="E14" s="6" t="s">
        <v>494</v>
      </c>
      <c r="F14" s="6"/>
      <c r="G14" s="6" t="s">
        <v>508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x14ac:dyDescent="0.25">
      <c r="A15" s="6">
        <v>7</v>
      </c>
      <c r="B15" s="6" t="s">
        <v>473</v>
      </c>
      <c r="C15" s="6" t="s">
        <v>474</v>
      </c>
      <c r="D15" s="6">
        <v>2</v>
      </c>
      <c r="E15" s="6" t="s">
        <v>496</v>
      </c>
      <c r="F15" s="6"/>
      <c r="G15" s="6" t="s">
        <v>508</v>
      </c>
      <c r="H15" s="6">
        <v>0</v>
      </c>
      <c r="I15" s="6"/>
      <c r="J15" s="6"/>
      <c r="K15" s="6"/>
      <c r="L15" s="6"/>
      <c r="M15" s="6"/>
      <c r="N15" s="6"/>
      <c r="O15" s="6"/>
      <c r="P15" s="6"/>
      <c r="Q15" s="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x14ac:dyDescent="0.25">
      <c r="A16" s="7">
        <v>8</v>
      </c>
      <c r="B16" s="7" t="s">
        <v>475</v>
      </c>
      <c r="C16" s="7" t="s">
        <v>476</v>
      </c>
      <c r="D16" s="7">
        <v>1</v>
      </c>
      <c r="E16" s="7" t="s">
        <v>494</v>
      </c>
      <c r="F16" s="7"/>
      <c r="G16" s="7" t="s">
        <v>508</v>
      </c>
      <c r="H16" s="7">
        <v>0</v>
      </c>
      <c r="I16" s="7"/>
      <c r="J16" s="7"/>
      <c r="K16" s="7"/>
      <c r="L16" s="7"/>
      <c r="M16" s="7"/>
      <c r="N16" s="7"/>
      <c r="O16" s="7"/>
      <c r="P16" s="7"/>
      <c r="Q16" s="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x14ac:dyDescent="0.25">
      <c r="A17" s="7">
        <v>8</v>
      </c>
      <c r="B17" s="7" t="s">
        <v>475</v>
      </c>
      <c r="C17" s="7" t="s">
        <v>476</v>
      </c>
      <c r="D17" s="7">
        <v>2</v>
      </c>
      <c r="E17" s="7" t="s">
        <v>496</v>
      </c>
      <c r="F17" s="7"/>
      <c r="G17" s="7" t="s">
        <v>508</v>
      </c>
      <c r="H17" s="7">
        <v>0</v>
      </c>
      <c r="I17" s="7"/>
      <c r="J17" s="7"/>
      <c r="K17" s="7"/>
      <c r="L17" s="7"/>
      <c r="M17" s="7"/>
      <c r="N17" s="7"/>
      <c r="O17" s="7"/>
      <c r="P17" s="7"/>
      <c r="Q17" s="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x14ac:dyDescent="0.25">
      <c r="A18" s="6">
        <v>9</v>
      </c>
      <c r="B18" s="6" t="s">
        <v>477</v>
      </c>
      <c r="C18" s="6" t="s">
        <v>478</v>
      </c>
      <c r="D18" s="6">
        <v>1</v>
      </c>
      <c r="E18" s="6" t="s">
        <v>494</v>
      </c>
      <c r="F18" s="6"/>
      <c r="G18" s="6" t="s">
        <v>508</v>
      </c>
      <c r="H18" s="6">
        <v>0</v>
      </c>
      <c r="I18" s="6"/>
      <c r="J18" s="6"/>
      <c r="K18" s="6"/>
      <c r="L18" s="6"/>
      <c r="M18" s="6"/>
      <c r="N18" s="6"/>
      <c r="O18" s="6"/>
      <c r="P18" s="6"/>
      <c r="Q18" s="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x14ac:dyDescent="0.25">
      <c r="A19" s="6">
        <v>9</v>
      </c>
      <c r="B19" s="6" t="s">
        <v>477</v>
      </c>
      <c r="C19" s="6" t="s">
        <v>478</v>
      </c>
      <c r="D19" s="6">
        <v>2</v>
      </c>
      <c r="E19" s="6" t="s">
        <v>496</v>
      </c>
      <c r="F19" s="6"/>
      <c r="G19" s="6" t="s">
        <v>508</v>
      </c>
      <c r="H19" s="6">
        <v>0</v>
      </c>
      <c r="I19" s="6"/>
      <c r="J19" s="6"/>
      <c r="K19" s="6"/>
      <c r="L19" s="6"/>
      <c r="M19" s="6"/>
      <c r="N19" s="6"/>
      <c r="O19" s="6"/>
      <c r="P19" s="6"/>
      <c r="Q19" s="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x14ac:dyDescent="0.25">
      <c r="A20" s="7">
        <v>10</v>
      </c>
      <c r="B20" s="7" t="s">
        <v>479</v>
      </c>
      <c r="C20" s="7" t="s">
        <v>480</v>
      </c>
      <c r="D20" s="7">
        <v>1</v>
      </c>
      <c r="E20" s="7" t="s">
        <v>494</v>
      </c>
      <c r="F20" s="7"/>
      <c r="G20" s="7" t="s">
        <v>508</v>
      </c>
      <c r="H20" s="7">
        <v>0</v>
      </c>
      <c r="I20" s="7"/>
      <c r="J20" s="7"/>
      <c r="K20" s="7"/>
      <c r="L20" s="7"/>
      <c r="M20" s="7"/>
      <c r="N20" s="7"/>
      <c r="O20" s="7"/>
      <c r="P20" s="7"/>
      <c r="Q20" s="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x14ac:dyDescent="0.25">
      <c r="A21" s="7">
        <v>10</v>
      </c>
      <c r="B21" s="7" t="s">
        <v>479</v>
      </c>
      <c r="C21" s="7" t="s">
        <v>480</v>
      </c>
      <c r="D21" s="7">
        <v>2</v>
      </c>
      <c r="E21" s="7" t="s">
        <v>496</v>
      </c>
      <c r="F21" s="7"/>
      <c r="G21" s="7" t="s">
        <v>508</v>
      </c>
      <c r="H21" s="7">
        <v>0</v>
      </c>
      <c r="I21" s="7"/>
      <c r="J21" s="7"/>
      <c r="K21" s="7"/>
      <c r="L21" s="7"/>
      <c r="M21" s="7"/>
      <c r="N21" s="7"/>
      <c r="O21" s="7"/>
      <c r="P21" s="7"/>
      <c r="Q21" s="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x14ac:dyDescent="0.25">
      <c r="A22" s="6">
        <v>11</v>
      </c>
      <c r="B22" s="6" t="s">
        <v>481</v>
      </c>
      <c r="C22" s="6" t="s">
        <v>482</v>
      </c>
      <c r="D22" s="6">
        <v>1</v>
      </c>
      <c r="E22" s="6" t="s">
        <v>494</v>
      </c>
      <c r="F22" s="6"/>
      <c r="G22" s="6" t="s">
        <v>508</v>
      </c>
      <c r="H22" s="6">
        <v>0</v>
      </c>
      <c r="I22" s="6"/>
      <c r="J22" s="6"/>
      <c r="K22" s="6"/>
      <c r="L22" s="6"/>
      <c r="M22" s="6"/>
      <c r="N22" s="6"/>
      <c r="O22" s="6"/>
      <c r="P22" s="6"/>
      <c r="Q22" s="6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x14ac:dyDescent="0.25">
      <c r="A23" s="6">
        <v>11</v>
      </c>
      <c r="B23" s="6" t="s">
        <v>481</v>
      </c>
      <c r="C23" s="6" t="s">
        <v>482</v>
      </c>
      <c r="D23" s="6">
        <v>2</v>
      </c>
      <c r="E23" s="6" t="s">
        <v>496</v>
      </c>
      <c r="F23" s="6"/>
      <c r="G23" s="6" t="s">
        <v>508</v>
      </c>
      <c r="H23" s="6">
        <v>0</v>
      </c>
      <c r="I23" s="6"/>
      <c r="J23" s="6"/>
      <c r="K23" s="6"/>
      <c r="L23" s="6"/>
      <c r="M23" s="6"/>
      <c r="N23" s="6"/>
      <c r="O23" s="6"/>
      <c r="P23" s="6"/>
      <c r="Q23" s="6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25">
      <c r="A24" s="7">
        <v>12</v>
      </c>
      <c r="B24" s="7" t="s">
        <v>483</v>
      </c>
      <c r="C24" s="7" t="s">
        <v>484</v>
      </c>
      <c r="D24" s="7">
        <v>1</v>
      </c>
      <c r="E24" s="7" t="s">
        <v>494</v>
      </c>
      <c r="F24" s="7"/>
      <c r="G24" s="7" t="s">
        <v>508</v>
      </c>
      <c r="H24" s="7">
        <v>0</v>
      </c>
      <c r="I24" s="7"/>
      <c r="J24" s="7"/>
      <c r="K24" s="7"/>
      <c r="L24" s="7"/>
      <c r="M24" s="7"/>
      <c r="N24" s="7"/>
      <c r="O24" s="7"/>
      <c r="P24" s="7"/>
      <c r="Q24" s="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x14ac:dyDescent="0.25">
      <c r="A25" s="7">
        <v>12</v>
      </c>
      <c r="B25" s="7" t="s">
        <v>483</v>
      </c>
      <c r="C25" s="7" t="s">
        <v>484</v>
      </c>
      <c r="D25" s="7">
        <v>2</v>
      </c>
      <c r="E25" s="7" t="s">
        <v>496</v>
      </c>
      <c r="F25" s="7"/>
      <c r="G25" s="7" t="s">
        <v>508</v>
      </c>
      <c r="H25" s="7">
        <v>0</v>
      </c>
      <c r="I25" s="7"/>
      <c r="J25" s="7"/>
      <c r="K25" s="7"/>
      <c r="L25" s="7"/>
      <c r="M25" s="7"/>
      <c r="N25" s="7"/>
      <c r="O25" s="7"/>
      <c r="P25" s="7"/>
      <c r="Q25" s="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x14ac:dyDescent="0.25">
      <c r="A26" s="6">
        <v>13</v>
      </c>
      <c r="B26" s="6" t="s">
        <v>485</v>
      </c>
      <c r="C26" s="6" t="s">
        <v>486</v>
      </c>
      <c r="D26" s="6">
        <v>1</v>
      </c>
      <c r="E26" s="6" t="s">
        <v>494</v>
      </c>
      <c r="F26" s="6"/>
      <c r="G26" s="6" t="s">
        <v>508</v>
      </c>
      <c r="H26" s="6">
        <v>0</v>
      </c>
      <c r="I26" s="6"/>
      <c r="J26" s="6"/>
      <c r="K26" s="6"/>
      <c r="L26" s="6"/>
      <c r="M26" s="6"/>
      <c r="N26" s="6"/>
      <c r="O26" s="6"/>
      <c r="P26" s="6"/>
      <c r="Q26" s="6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x14ac:dyDescent="0.25">
      <c r="A27" s="6">
        <v>13</v>
      </c>
      <c r="B27" s="6" t="s">
        <v>485</v>
      </c>
      <c r="C27" s="6" t="s">
        <v>486</v>
      </c>
      <c r="D27" s="6">
        <v>2</v>
      </c>
      <c r="E27" s="6" t="s">
        <v>496</v>
      </c>
      <c r="F27" s="6"/>
      <c r="G27" s="6" t="s">
        <v>508</v>
      </c>
      <c r="H27" s="6">
        <v>0</v>
      </c>
      <c r="I27" s="6"/>
      <c r="J27" s="6"/>
      <c r="K27" s="6"/>
      <c r="L27" s="6"/>
      <c r="M27" s="6"/>
      <c r="N27" s="6"/>
      <c r="O27" s="6"/>
      <c r="P27" s="6"/>
      <c r="Q27" s="6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B1BB-40F6-4E6C-84C8-1AED2EC9CF70}">
  <sheetPr>
    <tabColor theme="8"/>
  </sheetPr>
  <dimension ref="A1:BP12"/>
  <sheetViews>
    <sheetView topLeftCell="E1" workbookViewId="0">
      <selection activeCell="O12" sqref="O12"/>
    </sheetView>
  </sheetViews>
  <sheetFormatPr baseColWidth="10" defaultColWidth="8.85546875" defaultRowHeight="15" x14ac:dyDescent="0.25"/>
  <cols>
    <col min="1" max="1" width="13.7109375" bestFit="1" customWidth="1"/>
    <col min="2" max="2" width="16" bestFit="1" customWidth="1"/>
    <col min="3" max="3" width="51.140625" bestFit="1" customWidth="1"/>
    <col min="4" max="4" width="16.7109375" bestFit="1" customWidth="1"/>
    <col min="5" max="5" width="23.28515625" bestFit="1" customWidth="1"/>
    <col min="6" max="6" width="20.140625" bestFit="1" customWidth="1"/>
    <col min="7" max="7" width="16.140625" bestFit="1" customWidth="1"/>
    <col min="8" max="15" width="16.140625" customWidth="1"/>
    <col min="16" max="16" width="6.5703125" bestFit="1" customWidth="1"/>
    <col min="17" max="20" width="7" bestFit="1" customWidth="1"/>
    <col min="21" max="21" width="6.5703125" bestFit="1" customWidth="1"/>
    <col min="22" max="25" width="9" bestFit="1" customWidth="1"/>
    <col min="26" max="26" width="8" bestFit="1" customWidth="1"/>
    <col min="27" max="30" width="10" bestFit="1" customWidth="1"/>
    <col min="31" max="31" width="9" bestFit="1" customWidth="1"/>
    <col min="32" max="35" width="11" bestFit="1" customWidth="1"/>
    <col min="36" max="41" width="10" bestFit="1" customWidth="1"/>
    <col min="42" max="68" width="12" bestFit="1" customWidth="1"/>
  </cols>
  <sheetData>
    <row r="1" spans="1:68" x14ac:dyDescent="0.25">
      <c r="A1" s="15" t="s">
        <v>509</v>
      </c>
      <c r="B1" s="15" t="s">
        <v>2</v>
      </c>
      <c r="C1" s="15" t="s">
        <v>3</v>
      </c>
      <c r="D1" s="15" t="s">
        <v>510</v>
      </c>
      <c r="E1" s="15" t="s">
        <v>6</v>
      </c>
      <c r="F1" s="15" t="s">
        <v>7</v>
      </c>
      <c r="G1" s="1" t="s">
        <v>487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5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5">
        <v>2070</v>
      </c>
    </row>
    <row r="2" spans="1:68" x14ac:dyDescent="0.25">
      <c r="A2" s="16" t="s">
        <v>511</v>
      </c>
      <c r="B2" s="16" t="s">
        <v>512</v>
      </c>
      <c r="C2" s="16" t="s">
        <v>513</v>
      </c>
      <c r="D2" s="16" t="s">
        <v>514</v>
      </c>
      <c r="E2" s="16" t="s">
        <v>515</v>
      </c>
      <c r="F2" s="16"/>
      <c r="G2" s="16" t="s">
        <v>501</v>
      </c>
      <c r="H2" s="6">
        <v>1</v>
      </c>
      <c r="I2" s="6"/>
      <c r="J2" s="6"/>
      <c r="K2" s="6"/>
      <c r="L2" s="6"/>
      <c r="M2" s="6"/>
      <c r="N2" s="6"/>
      <c r="O2" s="6"/>
      <c r="P2" s="6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</row>
    <row r="3" spans="1:68" x14ac:dyDescent="0.25">
      <c r="A3" s="3" t="s">
        <v>511</v>
      </c>
      <c r="B3" s="3" t="s">
        <v>516</v>
      </c>
      <c r="C3" s="3" t="s">
        <v>517</v>
      </c>
      <c r="D3" s="3" t="s">
        <v>518</v>
      </c>
      <c r="E3" s="3" t="s">
        <v>519</v>
      </c>
      <c r="F3" s="3"/>
      <c r="G3" s="3" t="s">
        <v>501</v>
      </c>
      <c r="H3" s="3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68" x14ac:dyDescent="0.25">
      <c r="A4" s="16" t="s">
        <v>511</v>
      </c>
      <c r="B4" s="16" t="s">
        <v>567</v>
      </c>
      <c r="C4" s="16" t="s">
        <v>568</v>
      </c>
      <c r="D4" s="16" t="s">
        <v>514</v>
      </c>
      <c r="E4" s="16" t="s">
        <v>489</v>
      </c>
      <c r="F4" s="16" t="s">
        <v>565</v>
      </c>
      <c r="G4" s="16" t="s">
        <v>500</v>
      </c>
      <c r="H4" s="16">
        <v>0.1</v>
      </c>
      <c r="I4" s="16">
        <v>0.1</v>
      </c>
      <c r="J4" s="16">
        <v>0.1</v>
      </c>
      <c r="K4" s="16">
        <v>0.1</v>
      </c>
      <c r="L4" s="16">
        <v>0.1</v>
      </c>
      <c r="M4" s="16">
        <v>0.1</v>
      </c>
      <c r="N4" s="16">
        <v>0.1</v>
      </c>
      <c r="O4" s="16">
        <v>0.1</v>
      </c>
      <c r="P4" s="16">
        <v>0.1</v>
      </c>
      <c r="Q4" s="16">
        <v>9.98E-2</v>
      </c>
      <c r="R4" s="16">
        <v>9.9599999999999994E-2</v>
      </c>
      <c r="S4" s="16">
        <v>9.9400000000000002E-2</v>
      </c>
      <c r="T4" s="16">
        <v>9.9199999999999997E-2</v>
      </c>
      <c r="U4" s="16">
        <v>9.9000000000000005E-2</v>
      </c>
      <c r="V4" s="16">
        <v>9.8404000000000005E-2</v>
      </c>
      <c r="W4" s="16">
        <v>9.7808000000000006E-2</v>
      </c>
      <c r="X4" s="16">
        <v>9.7212000000000007E-2</v>
      </c>
      <c r="Y4" s="16">
        <v>9.6615999999999994E-2</v>
      </c>
      <c r="Z4" s="16">
        <v>9.6019999999999994E-2</v>
      </c>
      <c r="AA4" s="16">
        <v>9.50796E-2</v>
      </c>
      <c r="AB4" s="16">
        <v>9.4139199999999992E-2</v>
      </c>
      <c r="AC4" s="16">
        <v>9.3198799999999998E-2</v>
      </c>
      <c r="AD4" s="16">
        <v>9.225839999999999E-2</v>
      </c>
      <c r="AE4" s="16">
        <v>9.1317999999999996E-2</v>
      </c>
      <c r="AF4" s="16">
        <v>8.989011999999999E-2</v>
      </c>
      <c r="AG4" s="16">
        <v>8.8462240000000011E-2</v>
      </c>
      <c r="AH4" s="16">
        <v>8.7034360000000005E-2</v>
      </c>
      <c r="AI4" s="16">
        <v>8.5606479999999999E-2</v>
      </c>
      <c r="AJ4" s="16">
        <v>8.4178600000000006E-2</v>
      </c>
      <c r="AK4" s="16">
        <v>8.3245600000000003E-2</v>
      </c>
      <c r="AL4" s="16">
        <v>8.23126E-2</v>
      </c>
      <c r="AM4" s="16">
        <v>8.137960000000001E-2</v>
      </c>
      <c r="AN4" s="16">
        <v>8.0446600000000007E-2</v>
      </c>
      <c r="AO4" s="16">
        <v>7.9513600000000004E-2</v>
      </c>
      <c r="AP4" s="16">
        <v>7.8935532629999999E-2</v>
      </c>
      <c r="AQ4" s="16">
        <v>7.8357465249999994E-2</v>
      </c>
      <c r="AR4" s="16">
        <v>7.7779397880000004E-2</v>
      </c>
      <c r="AS4" s="16">
        <v>7.7201330499999998E-2</v>
      </c>
      <c r="AT4" s="16">
        <v>7.6623263130000008E-2</v>
      </c>
      <c r="AU4" s="16">
        <v>7.6623263130000008E-2</v>
      </c>
      <c r="AV4" s="16">
        <v>7.6623263130000008E-2</v>
      </c>
      <c r="AW4">
        <v>7.6623263130000008E-2</v>
      </c>
      <c r="AX4">
        <v>7.6623263130000008E-2</v>
      </c>
      <c r="AY4">
        <v>7.6623263130000008E-2</v>
      </c>
      <c r="AZ4">
        <v>7.6623263130000008E-2</v>
      </c>
      <c r="BA4">
        <v>7.6623263130000008E-2</v>
      </c>
      <c r="BB4">
        <v>7.6623263130000008E-2</v>
      </c>
      <c r="BC4">
        <v>7.6623263130000008E-2</v>
      </c>
      <c r="BD4">
        <v>7.6623263130000008E-2</v>
      </c>
      <c r="BE4">
        <v>7.6623263130000008E-2</v>
      </c>
      <c r="BF4">
        <v>7.6623263130000008E-2</v>
      </c>
      <c r="BG4">
        <v>7.6623263130000008E-2</v>
      </c>
      <c r="BH4">
        <v>7.6623263130000008E-2</v>
      </c>
      <c r="BI4">
        <v>7.6623263130000008E-2</v>
      </c>
      <c r="BJ4">
        <v>7.6623263130000008E-2</v>
      </c>
      <c r="BK4">
        <v>7.6623263130000008E-2</v>
      </c>
      <c r="BL4">
        <v>7.6623263130000008E-2</v>
      </c>
      <c r="BM4">
        <v>7.6623263130000008E-2</v>
      </c>
      <c r="BN4">
        <v>7.6623263130000008E-2</v>
      </c>
      <c r="BO4">
        <v>7.6623263130000008E-2</v>
      </c>
      <c r="BP4">
        <v>7.6623263129999994E-2</v>
      </c>
    </row>
    <row r="5" spans="1:68" x14ac:dyDescent="0.25">
      <c r="A5" s="37" t="s">
        <v>511</v>
      </c>
      <c r="B5" s="37" t="s">
        <v>567</v>
      </c>
      <c r="C5" s="37" t="s">
        <v>568</v>
      </c>
      <c r="D5" s="37" t="s">
        <v>514</v>
      </c>
      <c r="E5" s="37" t="s">
        <v>494</v>
      </c>
      <c r="F5" s="37" t="s">
        <v>566</v>
      </c>
      <c r="G5" s="37" t="s">
        <v>500</v>
      </c>
      <c r="H5" s="37">
        <v>8</v>
      </c>
      <c r="I5" s="37">
        <v>8</v>
      </c>
      <c r="J5" s="37">
        <v>8</v>
      </c>
      <c r="K5" s="37">
        <v>8</v>
      </c>
      <c r="L5" s="37">
        <v>8</v>
      </c>
      <c r="M5" s="37">
        <v>8</v>
      </c>
      <c r="N5" s="37">
        <v>8</v>
      </c>
      <c r="O5" s="37">
        <v>8</v>
      </c>
      <c r="P5" s="37">
        <v>8</v>
      </c>
      <c r="Q5" s="37">
        <v>8</v>
      </c>
      <c r="R5" s="37">
        <v>8</v>
      </c>
      <c r="S5" s="37">
        <v>11.6</v>
      </c>
      <c r="T5" s="37">
        <v>15.2</v>
      </c>
      <c r="U5" s="37">
        <v>18.8</v>
      </c>
      <c r="V5" s="37">
        <v>22.4</v>
      </c>
      <c r="W5" s="37">
        <v>26</v>
      </c>
      <c r="X5" s="37">
        <v>34.200000000000003</v>
      </c>
      <c r="Y5" s="37">
        <v>42.4</v>
      </c>
      <c r="Z5" s="37">
        <v>50.6</v>
      </c>
      <c r="AA5" s="37">
        <v>58.8</v>
      </c>
      <c r="AB5" s="37">
        <v>67</v>
      </c>
      <c r="AC5" s="37">
        <v>74</v>
      </c>
      <c r="AD5" s="37">
        <v>81</v>
      </c>
      <c r="AE5" s="37">
        <v>88</v>
      </c>
      <c r="AF5" s="37">
        <v>95</v>
      </c>
      <c r="AG5" s="37">
        <v>103</v>
      </c>
      <c r="AH5" s="37">
        <v>108</v>
      </c>
      <c r="AI5" s="37">
        <v>113</v>
      </c>
      <c r="AJ5" s="37">
        <v>118</v>
      </c>
      <c r="AK5" s="37">
        <v>123</v>
      </c>
      <c r="AL5" s="37">
        <v>128</v>
      </c>
      <c r="AM5" s="37">
        <v>133</v>
      </c>
      <c r="AN5" s="37">
        <v>136.4</v>
      </c>
      <c r="AO5" s="37">
        <v>139.80000000000001</v>
      </c>
      <c r="AP5" s="37">
        <v>143.19999999999999</v>
      </c>
      <c r="AQ5" s="37">
        <v>146.6</v>
      </c>
      <c r="AR5" s="37">
        <v>150</v>
      </c>
      <c r="AS5" s="37">
        <v>153.19999999999999</v>
      </c>
      <c r="AT5" s="37">
        <v>156.4</v>
      </c>
      <c r="AU5" s="37">
        <v>159.6</v>
      </c>
      <c r="AV5" s="37">
        <v>162.80000000000001</v>
      </c>
      <c r="AW5">
        <v>166</v>
      </c>
      <c r="AX5">
        <v>169.2</v>
      </c>
      <c r="AY5">
        <v>172.39999999999998</v>
      </c>
      <c r="AZ5">
        <v>175.59999999999997</v>
      </c>
      <c r="BA5">
        <v>178.79999999999995</v>
      </c>
      <c r="BB5">
        <v>181.99999999999994</v>
      </c>
      <c r="BC5">
        <v>185.19999999999993</v>
      </c>
      <c r="BD5">
        <v>188.39999999999992</v>
      </c>
      <c r="BE5">
        <v>191.59999999999991</v>
      </c>
      <c r="BF5">
        <v>194.7999999999999</v>
      </c>
      <c r="BG5">
        <v>197.99999999999989</v>
      </c>
      <c r="BH5">
        <v>201.19999999999987</v>
      </c>
      <c r="BI5">
        <v>204.39999999999986</v>
      </c>
      <c r="BJ5">
        <v>207.59999999999985</v>
      </c>
      <c r="BK5">
        <v>210.79999999999984</v>
      </c>
      <c r="BL5">
        <v>213.99999999999983</v>
      </c>
      <c r="BM5">
        <v>217.19999999999982</v>
      </c>
      <c r="BN5">
        <v>220.39999999999981</v>
      </c>
      <c r="BO5">
        <v>223.5999999999998</v>
      </c>
      <c r="BP5">
        <v>226.79999999999978</v>
      </c>
    </row>
    <row r="6" spans="1:68" x14ac:dyDescent="0.25">
      <c r="A6" s="16" t="s">
        <v>511</v>
      </c>
      <c r="B6" s="16" t="s">
        <v>567</v>
      </c>
      <c r="C6" s="16" t="s">
        <v>568</v>
      </c>
      <c r="D6" s="16" t="s">
        <v>514</v>
      </c>
      <c r="E6" s="16" t="s">
        <v>515</v>
      </c>
      <c r="F6" s="16" t="s">
        <v>566</v>
      </c>
      <c r="G6" s="16" t="s">
        <v>500</v>
      </c>
      <c r="H6" s="16">
        <v>8</v>
      </c>
      <c r="I6" s="16">
        <v>8</v>
      </c>
      <c r="J6" s="16">
        <v>8</v>
      </c>
      <c r="K6" s="16">
        <v>8</v>
      </c>
      <c r="L6" s="16">
        <v>8</v>
      </c>
      <c r="M6" s="16">
        <v>8</v>
      </c>
      <c r="N6" s="16">
        <v>8</v>
      </c>
      <c r="O6" s="16">
        <v>8</v>
      </c>
      <c r="P6" s="16">
        <v>8</v>
      </c>
      <c r="Q6" s="16">
        <v>8</v>
      </c>
      <c r="R6" s="16">
        <v>8</v>
      </c>
      <c r="S6" s="16">
        <v>8</v>
      </c>
      <c r="T6" s="16">
        <v>11.6</v>
      </c>
      <c r="U6" s="16">
        <v>15.2</v>
      </c>
      <c r="V6" s="16">
        <v>18.8</v>
      </c>
      <c r="W6" s="16">
        <v>22.4</v>
      </c>
      <c r="X6" s="16">
        <v>26</v>
      </c>
      <c r="Y6" s="16">
        <v>34.200000000000003</v>
      </c>
      <c r="Z6" s="16">
        <v>42.4</v>
      </c>
      <c r="AA6" s="16">
        <v>50.6</v>
      </c>
      <c r="AB6" s="16">
        <v>58.8</v>
      </c>
      <c r="AC6" s="16">
        <v>67</v>
      </c>
      <c r="AD6" s="16">
        <v>74</v>
      </c>
      <c r="AE6" s="16">
        <v>81</v>
      </c>
      <c r="AF6" s="16">
        <v>88</v>
      </c>
      <c r="AG6" s="16">
        <v>95</v>
      </c>
      <c r="AH6" s="16">
        <v>103</v>
      </c>
      <c r="AI6" s="16">
        <v>108</v>
      </c>
      <c r="AJ6" s="16">
        <v>113</v>
      </c>
      <c r="AK6" s="16">
        <v>118</v>
      </c>
      <c r="AL6" s="16">
        <v>123</v>
      </c>
      <c r="AM6" s="16">
        <v>128</v>
      </c>
      <c r="AN6" s="16">
        <v>133</v>
      </c>
      <c r="AO6" s="16">
        <v>136.4</v>
      </c>
      <c r="AP6" s="16">
        <v>139.80000000000001</v>
      </c>
      <c r="AQ6" s="16">
        <v>143.19999999999999</v>
      </c>
      <c r="AR6" s="16">
        <v>146.6</v>
      </c>
      <c r="AS6" s="16">
        <v>150</v>
      </c>
      <c r="AT6" s="16">
        <v>153.19999999999999</v>
      </c>
      <c r="AU6" s="16">
        <v>156.4</v>
      </c>
      <c r="AV6" s="16">
        <v>159.6</v>
      </c>
      <c r="AW6">
        <v>162.80000000000001</v>
      </c>
      <c r="AX6">
        <v>166</v>
      </c>
      <c r="AY6">
        <v>169.2</v>
      </c>
      <c r="AZ6">
        <v>172.39999999999998</v>
      </c>
      <c r="BA6">
        <v>175.59999999999997</v>
      </c>
      <c r="BB6">
        <v>178.79999999999995</v>
      </c>
      <c r="BC6">
        <v>181.99999999999994</v>
      </c>
      <c r="BD6">
        <v>185.19999999999993</v>
      </c>
      <c r="BE6">
        <v>188.39999999999992</v>
      </c>
      <c r="BF6">
        <v>191.59999999999991</v>
      </c>
      <c r="BG6">
        <v>194.7999999999999</v>
      </c>
      <c r="BH6">
        <v>197.99999999999989</v>
      </c>
      <c r="BI6">
        <v>201.19999999999987</v>
      </c>
      <c r="BJ6">
        <v>204.39999999999986</v>
      </c>
      <c r="BK6">
        <v>207.59999999999985</v>
      </c>
      <c r="BL6">
        <v>210.79999999999984</v>
      </c>
      <c r="BM6">
        <v>213.99999999999983</v>
      </c>
      <c r="BN6">
        <v>217.19999999999982</v>
      </c>
      <c r="BO6">
        <v>220.39999999999981</v>
      </c>
      <c r="BP6">
        <v>223.5999999999998</v>
      </c>
    </row>
    <row r="7" spans="1:68" x14ac:dyDescent="0.25">
      <c r="A7" s="37" t="s">
        <v>511</v>
      </c>
      <c r="B7" s="37" t="s">
        <v>567</v>
      </c>
      <c r="C7" s="37" t="s">
        <v>568</v>
      </c>
      <c r="D7" s="37" t="s">
        <v>514</v>
      </c>
      <c r="E7" s="37" t="s">
        <v>493</v>
      </c>
      <c r="F7" s="37" t="s">
        <v>566</v>
      </c>
      <c r="G7" s="37" t="s">
        <v>500</v>
      </c>
      <c r="H7" s="37">
        <v>8</v>
      </c>
      <c r="I7" s="37">
        <v>8</v>
      </c>
      <c r="J7" s="37">
        <v>8</v>
      </c>
      <c r="K7" s="37">
        <v>8</v>
      </c>
      <c r="L7" s="37">
        <v>8</v>
      </c>
      <c r="M7" s="37">
        <v>8</v>
      </c>
      <c r="N7" s="37">
        <v>8</v>
      </c>
      <c r="O7" s="37">
        <v>8</v>
      </c>
      <c r="P7" s="37">
        <v>8</v>
      </c>
      <c r="Q7" s="37">
        <v>8</v>
      </c>
      <c r="R7" s="37">
        <v>8</v>
      </c>
      <c r="S7" s="37">
        <v>8</v>
      </c>
      <c r="T7" s="37">
        <v>8</v>
      </c>
      <c r="U7" s="37">
        <v>8</v>
      </c>
      <c r="V7" s="37">
        <v>8</v>
      </c>
      <c r="W7" s="37">
        <v>8</v>
      </c>
      <c r="X7" s="37">
        <v>8</v>
      </c>
      <c r="Y7" s="37">
        <v>8</v>
      </c>
      <c r="Z7" s="37">
        <v>8</v>
      </c>
      <c r="AA7" s="37">
        <v>8</v>
      </c>
      <c r="AB7" s="37">
        <v>8</v>
      </c>
      <c r="AC7" s="37">
        <v>8</v>
      </c>
      <c r="AD7" s="37">
        <v>8</v>
      </c>
      <c r="AE7" s="37">
        <v>8</v>
      </c>
      <c r="AF7" s="37">
        <v>8</v>
      </c>
      <c r="AG7" s="37">
        <v>8</v>
      </c>
      <c r="AH7" s="37">
        <v>8</v>
      </c>
      <c r="AI7" s="37">
        <v>8</v>
      </c>
      <c r="AJ7" s="37">
        <v>8</v>
      </c>
      <c r="AK7" s="37">
        <v>8</v>
      </c>
      <c r="AL7" s="37">
        <v>8</v>
      </c>
      <c r="AM7" s="37">
        <v>8</v>
      </c>
      <c r="AN7" s="37">
        <v>8</v>
      </c>
      <c r="AO7" s="37">
        <v>8</v>
      </c>
      <c r="AP7" s="37">
        <v>8</v>
      </c>
      <c r="AQ7" s="37">
        <v>8</v>
      </c>
      <c r="AR7" s="37">
        <v>8</v>
      </c>
      <c r="AS7" s="37">
        <v>8</v>
      </c>
      <c r="AT7" s="37">
        <v>8</v>
      </c>
      <c r="AU7" s="37">
        <v>8</v>
      </c>
      <c r="AV7" s="37">
        <v>8</v>
      </c>
      <c r="AW7" s="37">
        <v>8</v>
      </c>
      <c r="AX7" s="37">
        <v>8</v>
      </c>
      <c r="AY7" s="37">
        <v>8</v>
      </c>
      <c r="AZ7" s="37">
        <v>8</v>
      </c>
      <c r="BA7" s="37">
        <v>8</v>
      </c>
      <c r="BB7" s="37">
        <v>8</v>
      </c>
      <c r="BC7" s="37">
        <v>8</v>
      </c>
      <c r="BD7" s="37">
        <v>8</v>
      </c>
      <c r="BE7" s="37">
        <v>8</v>
      </c>
      <c r="BF7" s="37">
        <v>8</v>
      </c>
      <c r="BG7" s="37">
        <v>8</v>
      </c>
      <c r="BH7" s="37">
        <v>8</v>
      </c>
      <c r="BI7" s="37">
        <v>8</v>
      </c>
      <c r="BJ7" s="37">
        <v>8</v>
      </c>
      <c r="BK7" s="37">
        <v>8</v>
      </c>
      <c r="BL7" s="37">
        <v>8</v>
      </c>
      <c r="BM7" s="37">
        <v>8</v>
      </c>
      <c r="BN7" s="37">
        <v>8</v>
      </c>
      <c r="BO7" s="37">
        <v>8</v>
      </c>
      <c r="BP7" s="37">
        <v>8</v>
      </c>
    </row>
    <row r="8" spans="1:68" x14ac:dyDescent="0.25">
      <c r="A8" s="16" t="s">
        <v>511</v>
      </c>
      <c r="B8" s="16" t="s">
        <v>567</v>
      </c>
      <c r="C8" s="16" t="s">
        <v>568</v>
      </c>
      <c r="D8" s="16" t="s">
        <v>514</v>
      </c>
      <c r="E8" s="16" t="s">
        <v>491</v>
      </c>
      <c r="F8" s="16" t="s">
        <v>565</v>
      </c>
      <c r="G8" s="16" t="s">
        <v>500</v>
      </c>
      <c r="H8" s="39">
        <v>3.5999999999999999E-3</v>
      </c>
      <c r="I8" s="39">
        <v>3.5999999999999999E-3</v>
      </c>
      <c r="J8" s="39">
        <v>3.5999999999999999E-3</v>
      </c>
      <c r="K8" s="39">
        <v>3.5999999999999999E-3</v>
      </c>
      <c r="L8" s="39">
        <v>3.5999999999999999E-3</v>
      </c>
      <c r="M8" s="39">
        <v>3.5999999999999999E-3</v>
      </c>
      <c r="N8" s="39">
        <v>3.5999999999999999E-3</v>
      </c>
      <c r="O8" s="39">
        <v>3.5999999999999999E-3</v>
      </c>
      <c r="P8" s="39">
        <v>3.5999999999999999E-3</v>
      </c>
      <c r="Q8" s="39">
        <v>3.588E-3</v>
      </c>
      <c r="R8" s="39">
        <v>3.5760000000000002E-3</v>
      </c>
      <c r="S8" s="39">
        <v>3.5639999999999999E-3</v>
      </c>
      <c r="T8" s="39">
        <v>3.552E-3</v>
      </c>
      <c r="U8" s="39">
        <v>3.5400000000000002E-3</v>
      </c>
      <c r="V8" s="39">
        <v>3.5279999999999999E-3</v>
      </c>
      <c r="W8" s="39">
        <v>3.516E-3</v>
      </c>
      <c r="X8" s="39">
        <v>3.5040000000000002E-3</v>
      </c>
      <c r="Y8" s="39">
        <v>3.4919999999999999E-3</v>
      </c>
      <c r="Z8" s="39">
        <v>3.48E-3</v>
      </c>
      <c r="AA8" s="39">
        <v>3.4680000000000002E-3</v>
      </c>
      <c r="AB8" s="39">
        <v>3.4559999999999999E-3</v>
      </c>
      <c r="AC8" s="39">
        <v>3.444E-3</v>
      </c>
      <c r="AD8" s="39">
        <v>3.4320000000000002E-3</v>
      </c>
      <c r="AE8" s="39">
        <v>3.4199999999999999E-3</v>
      </c>
      <c r="AF8" s="39">
        <v>3.408E-3</v>
      </c>
      <c r="AG8" s="39">
        <v>3.3960000000000001E-3</v>
      </c>
      <c r="AH8" s="39">
        <v>3.3839999999999999E-3</v>
      </c>
      <c r="AI8" s="39">
        <v>3.372E-3</v>
      </c>
      <c r="AJ8" s="39">
        <v>3.3600000000000001E-3</v>
      </c>
      <c r="AK8" s="39">
        <v>3.3479999999999998E-3</v>
      </c>
      <c r="AL8" s="39">
        <v>3.336E-3</v>
      </c>
      <c r="AM8" s="39">
        <v>3.3240000000000001E-3</v>
      </c>
      <c r="AN8" s="39">
        <v>3.3119999999999998E-3</v>
      </c>
      <c r="AO8" s="39">
        <v>3.3E-3</v>
      </c>
      <c r="AP8" s="39">
        <v>3.2880000000000001E-3</v>
      </c>
      <c r="AQ8" s="39">
        <v>3.2759999999999998E-3</v>
      </c>
      <c r="AR8" s="39">
        <v>3.264E-3</v>
      </c>
      <c r="AS8" s="39">
        <v>3.2520000000000001E-3</v>
      </c>
      <c r="AT8" s="39">
        <v>3.2399999999999998E-3</v>
      </c>
      <c r="AU8" s="39">
        <v>3.2399999999999998E-3</v>
      </c>
      <c r="AV8" s="39">
        <v>3.2399999999999998E-3</v>
      </c>
      <c r="AW8" s="39">
        <v>3.2399999999999998E-3</v>
      </c>
      <c r="AX8" s="39">
        <v>3.2399999999999998E-3</v>
      </c>
      <c r="AY8" s="39">
        <v>3.2399999999999998E-3</v>
      </c>
      <c r="AZ8" s="39">
        <v>3.2399999999999998E-3</v>
      </c>
      <c r="BA8" s="39">
        <v>3.2399999999999998E-3</v>
      </c>
      <c r="BB8" s="39">
        <v>3.2399999999999998E-3</v>
      </c>
      <c r="BC8" s="39">
        <v>3.2399999999999998E-3</v>
      </c>
      <c r="BD8" s="39">
        <v>3.2399999999999998E-3</v>
      </c>
      <c r="BE8" s="39">
        <v>3.2399999999999998E-3</v>
      </c>
      <c r="BF8" s="39">
        <v>3.2399999999999998E-3</v>
      </c>
      <c r="BG8" s="39">
        <v>3.2399999999999998E-3</v>
      </c>
      <c r="BH8" s="39">
        <v>3.2399999999999998E-3</v>
      </c>
      <c r="BI8" s="39">
        <v>3.2399999999999998E-3</v>
      </c>
      <c r="BJ8" s="39">
        <v>3.2399999999999998E-3</v>
      </c>
      <c r="BK8" s="39">
        <v>3.2399999999999998E-3</v>
      </c>
      <c r="BL8" s="39">
        <v>3.2399999999999998E-3</v>
      </c>
      <c r="BM8" s="39">
        <v>3.2399999999999998E-3</v>
      </c>
      <c r="BN8" s="39">
        <v>3.2399999999999998E-3</v>
      </c>
      <c r="BO8" s="39">
        <v>3.2399999999999998E-3</v>
      </c>
      <c r="BP8" s="39">
        <v>3.2399999999999998E-3</v>
      </c>
    </row>
    <row r="12" spans="1:68" x14ac:dyDescent="0.25"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B94019-BDA9-4073-87FD-E9E3A5D7B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034B52-42DF-4244-A13F-2938B97653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Guillermo Perez</cp:lastModifiedBy>
  <cp:revision/>
  <dcterms:created xsi:type="dcterms:W3CDTF">2022-10-17T18:14:44Z</dcterms:created>
  <dcterms:modified xsi:type="dcterms:W3CDTF">2025-09-17T20:59:26Z</dcterms:modified>
  <cp:category/>
  <cp:contentStatus/>
</cp:coreProperties>
</file>
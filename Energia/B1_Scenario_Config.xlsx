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ECU_OSe2070\"/>
    </mc:Choice>
  </mc:AlternateContent>
  <xr:revisionPtr revIDLastSave="0" documentId="13_ncr:1_{EB42A291-EC88-453D-A348-297398645A21}" xr6:coauthVersionLast="47" xr6:coauthVersionMax="47" xr10:uidLastSave="{00000000-0000-0000-0000-000000000000}"/>
  <bookViews>
    <workbookView xWindow="28680" yWindow="-120" windowWidth="38640" windowHeight="15720" firstSheet="3" activeTab="7" xr2:uid="{00000000-000D-0000-FFFF-FFFF00000000}"/>
  </bookViews>
  <sheets>
    <sheet name="Scenarios" sheetId="1" r:id="rId1"/>
    <sheet name="Overall_Parameters" sheetId="2" r:id="rId2"/>
    <sheet name="Distance_Levers" sheetId="3" r:id="rId3"/>
    <sheet name="Mode_Shift" sheetId="4" r:id="rId4"/>
    <sheet name="Occupancy_Rate" sheetId="5" r:id="rId5"/>
    <sheet name="Electrical" sheetId="7" r:id="rId6"/>
    <sheet name="Tech_Adoption" sheetId="6" r:id="rId7"/>
    <sheet name="Efficiency" sheetId="8" r:id="rId8"/>
    <sheet name="TElasticity" sheetId="9" r:id="rId9"/>
    <sheet name="SmartGrid" sheetId="10" r:id="rId10"/>
    <sheet name="Biofuels" sheetId="11" r:id="rId11"/>
  </sheets>
  <externalReferences>
    <externalReference r:id="rId12"/>
  </externalReferences>
  <definedNames>
    <definedName name="_xlnm._FilterDatabase" localSheetId="7" hidden="1">Efficiency!$A$1:$BU$85</definedName>
    <definedName name="_xlnm._FilterDatabase" localSheetId="5" hidden="1">Electrical!$A$1:$N$167</definedName>
    <definedName name="_xlnm._FilterDatabase" localSheetId="9" hidden="1">SmartGrid!$A$1:$BT$101</definedName>
    <definedName name="_xlnm._FilterDatabase" localSheetId="6" hidden="1">Tech_Adoption!$A$1:$BP$72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6" i="6" l="1"/>
  <c r="R96" i="6" s="1"/>
  <c r="S96" i="6" s="1"/>
  <c r="P96" i="6"/>
  <c r="O96" i="6"/>
  <c r="Q95" i="6"/>
  <c r="R95" i="6" s="1"/>
  <c r="S95" i="6" s="1"/>
  <c r="P95" i="6"/>
  <c r="O95" i="6"/>
  <c r="S94" i="6"/>
  <c r="R94" i="6"/>
  <c r="Q94" i="6"/>
  <c r="S92" i="6"/>
  <c r="R92" i="6"/>
  <c r="Q92" i="6"/>
  <c r="P92" i="6"/>
  <c r="R90" i="6"/>
  <c r="Q90" i="6"/>
  <c r="P90" i="6"/>
  <c r="O90" i="6"/>
  <c r="R89" i="6"/>
  <c r="Q89" i="6"/>
  <c r="P89" i="6"/>
  <c r="O89" i="6"/>
  <c r="S88" i="6"/>
  <c r="R88" i="6"/>
  <c r="Q88" i="6"/>
  <c r="P88" i="6"/>
  <c r="O88" i="6"/>
  <c r="S85" i="6"/>
  <c r="R85" i="6"/>
  <c r="Q85" i="6"/>
  <c r="S84" i="6"/>
  <c r="R84" i="6"/>
  <c r="Q84" i="6"/>
  <c r="S83" i="6"/>
  <c r="R83" i="6"/>
  <c r="Q83" i="6"/>
  <c r="S82" i="6"/>
  <c r="R82" i="6"/>
  <c r="Q82" i="6"/>
  <c r="P82" i="6"/>
  <c r="O82" i="6"/>
  <c r="S81" i="6"/>
  <c r="R81" i="6"/>
  <c r="Q81" i="6"/>
  <c r="S80" i="6"/>
  <c r="R80" i="6"/>
  <c r="Q80" i="6"/>
  <c r="S76" i="6"/>
  <c r="R76" i="6"/>
  <c r="Q76" i="6"/>
  <c r="R73" i="6"/>
  <c r="S73" i="6" s="1"/>
  <c r="O73" i="6"/>
  <c r="Q72" i="6"/>
  <c r="R72" i="6" s="1"/>
  <c r="S72" i="6" s="1"/>
  <c r="P72" i="6"/>
  <c r="O72" i="6"/>
  <c r="R71" i="6"/>
  <c r="S71" i="6" s="1"/>
  <c r="Q71" i="6"/>
  <c r="P71" i="6"/>
  <c r="O71" i="6"/>
  <c r="Q66" i="6"/>
  <c r="P66" i="6"/>
  <c r="O66" i="6"/>
  <c r="Q65" i="6"/>
  <c r="P65" i="6"/>
  <c r="O65" i="6"/>
  <c r="Q64" i="6"/>
  <c r="P64" i="6"/>
  <c r="O64" i="6"/>
  <c r="Q59" i="6"/>
  <c r="Q57" i="6"/>
  <c r="R49" i="6"/>
  <c r="S49" i="6" s="1"/>
  <c r="O49" i="6"/>
  <c r="Q48" i="6"/>
  <c r="Q58" i="6" s="1"/>
  <c r="P48" i="6"/>
  <c r="P58" i="6" s="1"/>
  <c r="O48" i="6"/>
  <c r="O58" i="6" s="1"/>
  <c r="BP47" i="6"/>
  <c r="BO47" i="6"/>
  <c r="BN47" i="6"/>
  <c r="Q47" i="6"/>
  <c r="R47" i="6" s="1"/>
  <c r="S47" i="6" s="1"/>
  <c r="P47" i="6"/>
  <c r="BP46" i="6"/>
  <c r="BO46" i="6"/>
  <c r="BN46" i="6"/>
  <c r="Q46" i="6"/>
  <c r="R46" i="6" s="1"/>
  <c r="P46" i="6"/>
  <c r="O46" i="6"/>
  <c r="Q45" i="6"/>
  <c r="R45" i="6" s="1"/>
  <c r="Q44" i="6"/>
  <c r="R44" i="6" s="1"/>
  <c r="Q43" i="6"/>
  <c r="Q60" i="6" s="1"/>
  <c r="R41" i="6"/>
  <c r="S41" i="6" s="1"/>
  <c r="S68" i="6" s="1"/>
  <c r="Q41" i="6"/>
  <c r="Q68" i="6" s="1"/>
  <c r="P68" i="6" s="1"/>
  <c r="Q40" i="6"/>
  <c r="Q56" i="6" s="1"/>
  <c r="Q39" i="6"/>
  <c r="Q52" i="6" s="1"/>
  <c r="BB1" i="9"/>
  <c r="BC1" i="9" s="1"/>
  <c r="BD1" i="9" s="1"/>
  <c r="BE1" i="9" s="1"/>
  <c r="BF1" i="9" s="1"/>
  <c r="BG1" i="9" s="1"/>
  <c r="BH1" i="9" s="1"/>
  <c r="BI1" i="9" s="1"/>
  <c r="BJ1" i="9" s="1"/>
  <c r="BK1" i="9" s="1"/>
  <c r="BL1" i="9" s="1"/>
  <c r="BM1" i="9" s="1"/>
  <c r="BN1" i="9" s="1"/>
  <c r="BO1" i="9" s="1"/>
  <c r="BP1" i="9" s="1"/>
  <c r="BQ1" i="9" s="1"/>
  <c r="BR1" i="9" s="1"/>
  <c r="BS1" i="9" s="1"/>
  <c r="BT1" i="9" s="1"/>
  <c r="BU1" i="9" s="1"/>
  <c r="AJ29" i="8"/>
  <c r="AK29" i="8" s="1"/>
  <c r="AL29" i="8" s="1"/>
  <c r="AM29" i="8" s="1"/>
  <c r="AN29" i="8" s="1"/>
  <c r="AO29" i="8" s="1"/>
  <c r="AP29" i="8" s="1"/>
  <c r="AQ29" i="8" s="1"/>
  <c r="AR29" i="8" s="1"/>
  <c r="AS29" i="8" s="1"/>
  <c r="AT29" i="8" s="1"/>
  <c r="AU29" i="8" s="1"/>
  <c r="AV29" i="8" s="1"/>
  <c r="AW29" i="8" s="1"/>
  <c r="AX29" i="8" s="1"/>
  <c r="AY29" i="8" s="1"/>
  <c r="AZ29" i="8" s="1"/>
  <c r="BA29" i="8" s="1"/>
  <c r="BB29" i="8" s="1"/>
  <c r="BC29" i="8" s="1"/>
  <c r="BD29" i="8" s="1"/>
  <c r="BE29" i="8" s="1"/>
  <c r="BF29" i="8" s="1"/>
  <c r="BG29" i="8" s="1"/>
  <c r="BH29" i="8" s="1"/>
  <c r="BI29" i="8" s="1"/>
  <c r="BJ29" i="8" s="1"/>
  <c r="BK29" i="8" s="1"/>
  <c r="BL29" i="8" s="1"/>
  <c r="BM29" i="8" s="1"/>
  <c r="BN29" i="8" s="1"/>
  <c r="BO29" i="8" s="1"/>
  <c r="BP29" i="8" s="1"/>
  <c r="BQ29" i="8" s="1"/>
  <c r="BR29" i="8" s="1"/>
  <c r="BS29" i="8" s="1"/>
  <c r="BT29" i="8" s="1"/>
  <c r="Z29" i="8"/>
  <c r="AA29" i="8" s="1"/>
  <c r="AB29" i="8" s="1"/>
  <c r="AC29" i="8" s="1"/>
  <c r="AD29" i="8" s="1"/>
  <c r="AE29" i="8" s="1"/>
  <c r="BU18" i="8"/>
  <c r="BT18" i="8"/>
  <c r="BS18" i="8"/>
  <c r="BR18" i="8"/>
  <c r="BQ18" i="8"/>
  <c r="BP18" i="8"/>
  <c r="BO18" i="8"/>
  <c r="BN18" i="8"/>
  <c r="BM18" i="8"/>
  <c r="BL18" i="8"/>
  <c r="BK18" i="8"/>
  <c r="BJ18" i="8"/>
  <c r="BI18" i="8"/>
  <c r="BH18" i="8"/>
  <c r="BG18" i="8"/>
  <c r="BF18" i="8"/>
  <c r="BE18" i="8"/>
  <c r="BD18" i="8"/>
  <c r="BC18" i="8"/>
  <c r="BB18" i="8"/>
  <c r="BA18" i="8"/>
  <c r="AZ18" i="8"/>
  <c r="AY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K18" i="8"/>
  <c r="AJ18" i="8"/>
  <c r="AI18" i="8"/>
  <c r="AH18" i="8"/>
  <c r="AG18" i="8"/>
  <c r="AF18" i="8"/>
  <c r="AE18" i="8"/>
  <c r="Q37" i="6"/>
  <c r="R37" i="6" s="1"/>
  <c r="S37" i="6" s="1"/>
  <c r="P37" i="6"/>
  <c r="O37" i="6"/>
  <c r="R36" i="6"/>
  <c r="S36" i="6" s="1"/>
  <c r="Q36" i="6"/>
  <c r="P36" i="6"/>
  <c r="O36" i="6"/>
  <c r="Q31" i="6"/>
  <c r="P31" i="6"/>
  <c r="Q30" i="6"/>
  <c r="P30" i="6"/>
  <c r="O30" i="6"/>
  <c r="Q25" i="6"/>
  <c r="P23" i="6"/>
  <c r="R14" i="6"/>
  <c r="R30" i="6" s="1"/>
  <c r="O14" i="6"/>
  <c r="O31" i="6" s="1"/>
  <c r="Q13" i="6"/>
  <c r="P13" i="6"/>
  <c r="O13" i="6"/>
  <c r="O23" i="6" s="1"/>
  <c r="BP12" i="6"/>
  <c r="BO12" i="6"/>
  <c r="BN12" i="6"/>
  <c r="Q12" i="6"/>
  <c r="R12" i="6" s="1"/>
  <c r="S12" i="6" s="1"/>
  <c r="P12" i="6"/>
  <c r="BP11" i="6"/>
  <c r="BO11" i="6"/>
  <c r="BN11" i="6"/>
  <c r="Q11" i="6"/>
  <c r="P11" i="6"/>
  <c r="P29" i="6" s="1"/>
  <c r="O11" i="6"/>
  <c r="O29" i="6" s="1"/>
  <c r="R10" i="6"/>
  <c r="S10" i="6" s="1"/>
  <c r="Q10" i="6"/>
  <c r="Q26" i="6" s="1"/>
  <c r="Q9" i="6"/>
  <c r="Q24" i="6" s="1"/>
  <c r="R8" i="6"/>
  <c r="R25" i="6" s="1"/>
  <c r="Q8" i="6"/>
  <c r="R6" i="6"/>
  <c r="R33" i="6" s="1"/>
  <c r="Q6" i="6"/>
  <c r="Q33" i="6" s="1"/>
  <c r="P33" i="6" s="1"/>
  <c r="R5" i="6"/>
  <c r="Q5" i="6"/>
  <c r="Q21" i="6" s="1"/>
  <c r="R4" i="6"/>
  <c r="R17" i="6" s="1"/>
  <c r="Q4" i="6"/>
  <c r="Q17" i="6" s="1"/>
  <c r="S90" i="6" l="1"/>
  <c r="S89" i="6"/>
  <c r="S4" i="6"/>
  <c r="S17" i="6" s="1"/>
  <c r="S8" i="6"/>
  <c r="S25" i="6" s="1"/>
  <c r="S6" i="6"/>
  <c r="S33" i="6" s="1"/>
  <c r="S14" i="6"/>
  <c r="S46" i="6"/>
  <c r="S64" i="6" s="1"/>
  <c r="R64" i="6"/>
  <c r="S44" i="6"/>
  <c r="R59" i="6"/>
  <c r="R57" i="6"/>
  <c r="R61" i="6"/>
  <c r="S45" i="6"/>
  <c r="R70" i="6"/>
  <c r="S66" i="6"/>
  <c r="S65" i="6"/>
  <c r="R65" i="6"/>
  <c r="R68" i="6"/>
  <c r="Q70" i="6"/>
  <c r="R39" i="6"/>
  <c r="Q61" i="6"/>
  <c r="R66" i="6"/>
  <c r="R43" i="6"/>
  <c r="R40" i="6"/>
  <c r="R48" i="6"/>
  <c r="R21" i="6"/>
  <c r="S5" i="6"/>
  <c r="S21" i="6" s="1"/>
  <c r="Q23" i="6"/>
  <c r="R13" i="6"/>
  <c r="R26" i="6"/>
  <c r="R35" i="6"/>
  <c r="S26" i="6"/>
  <c r="S35" i="6"/>
  <c r="S31" i="6"/>
  <c r="S30" i="6"/>
  <c r="R11" i="6"/>
  <c r="Q29" i="6"/>
  <c r="Q35" i="6"/>
  <c r="R9" i="6"/>
  <c r="R31" i="6"/>
  <c r="Q22" i="6"/>
  <c r="R52" i="6" l="1"/>
  <c r="S39" i="6"/>
  <c r="S52" i="6" s="1"/>
  <c r="S70" i="6"/>
  <c r="S61" i="6"/>
  <c r="R58" i="6"/>
  <c r="S48" i="6"/>
  <c r="S58" i="6" s="1"/>
  <c r="S59" i="6"/>
  <c r="S57" i="6"/>
  <c r="R56" i="6"/>
  <c r="S40" i="6"/>
  <c r="S56" i="6" s="1"/>
  <c r="R60" i="6"/>
  <c r="S43" i="6"/>
  <c r="S60" i="6" s="1"/>
  <c r="R23" i="6"/>
  <c r="S13" i="6"/>
  <c r="S23" i="6" s="1"/>
  <c r="S9" i="6"/>
  <c r="R22" i="6"/>
  <c r="R24" i="6"/>
  <c r="S11" i="6"/>
  <c r="S29" i="6" s="1"/>
  <c r="R29" i="6"/>
  <c r="S24" i="6" l="1"/>
  <c r="S2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tc={00AA00F2-004E-4C83-A466-006E003500B8}</author>
    <author>tc={304E1641-5B2B-47AB-9810-BBF2EF4F799C}</author>
    <author>tc={AEB3A7D3-AD22-4166-B709-29508BACF315}</author>
  </authors>
  <commentList>
    <comment ref="D4" authorId="0" shapeId="0" xr:uid="{00AA00F2-004E-4C83-A466-006E003500B8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It is built in the parameters of NDP
</t>
      </text>
    </comment>
    <comment ref="D8" authorId="1" shapeId="0" xr:uid="{304E1641-5B2B-47AB-9810-BBF2EF4F799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It is built in the parameters of NDP
</t>
      </text>
    </comment>
    <comment ref="D12" authorId="2" shapeId="0" xr:uid="{AEB3A7D3-AD22-4166-B709-29508BACF31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It is built in the parameters of NDP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tc={008500CA-0026-4FB1-93CC-0089000A00FD}</author>
    <author>tc={007F000F-0007-4CE9-93D5-00350032004F}</author>
    <author>tc={004A0000-0025-45C8-8867-003B009E0086}</author>
  </authors>
  <commentList>
    <comment ref="E1" authorId="0" shapeId="0" xr:uid="{008500CA-0026-4FB1-93CC-0089000A00F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YES: the indices can be called from the stable_scenario dictionary.
NO: the system must generate the fields.
</t>
      </text>
    </comment>
    <comment ref="G1" authorId="1" shapeId="0" xr:uid="{007F000F-0007-4CE9-93D5-00350032004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Used for exact values before y_ini
</t>
      </text>
    </comment>
    <comment ref="I1" authorId="2" shapeId="0" xr:uid="{004A0000-0025-45C8-8867-003B009E008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Preceding year of initial year of separation between values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tc={00950048-0050-4FB2-9848-00B7002400BB}</author>
    <author>tc={00CC0056-0016-418F-BAE4-00B500060089}</author>
    <author>tc={007A0578-7229-4FC6-9DAE-967B85DABCD2}</author>
    <author>tc={5658895F-05FF-4D9D-89AF-307D498B9C70}</author>
    <author>tc={FD40E55F-631A-443B-B97A-4EF8E4ADA7B0}</author>
  </authors>
  <commentList>
    <comment ref="E6" authorId="0" shapeId="0" xr:uid="{00950048-0050-4FB2-9848-00B7002400BB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Serie original dividida entre 1.55 para no sobrepasar 100% de electrificación, considerando híbridos.
</t>
      </text>
    </comment>
    <comment ref="E32" authorId="1" shapeId="0" xr:uid="{00CC0056-0016-418F-BAE4-00B500060089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Serie original dividida entre 1.55 para no sobrepasar 100% de electrificación, considerando híbridos.
</t>
      </text>
    </comment>
    <comment ref="E41" authorId="2" shapeId="0" xr:uid="{007A0578-7229-4FC6-9DAE-967B85DABCD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Serie original dividida entre 1.55 para no sobrepasar 100% de electrificación, considerando híbridos.
</t>
      </text>
    </comment>
    <comment ref="E67" authorId="3" shapeId="0" xr:uid="{5658895F-05FF-4D9D-89AF-307D498B9C7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Serie original dividida entre 1.55 para no sobrepasar 100% de electrificación, considerando híbridos.
</t>
      </text>
    </comment>
    <comment ref="E91" authorId="4" shapeId="0" xr:uid="{FD40E55F-631A-443B-B97A-4EF8E4ADA7B0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Serie original dividida entre 1.55 para no sobrepasar 100% de electrificación, considerando híbridos.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tc={001300B8-00F8-4C52-B5AD-000C005200CC}</author>
  </authors>
  <commentList>
    <comment ref="I1" authorId="0" shapeId="0" xr:uid="{001300B8-00F8-4C52-B5AD-000C005200C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Preceding year of initial year of separation between values
</t>
      </text>
    </comment>
  </commentList>
</comments>
</file>

<file path=xl/sharedStrings.xml><?xml version="1.0" encoding="utf-8"?>
<sst xmlns="http://schemas.openxmlformats.org/spreadsheetml/2006/main" count="5176" uniqueCount="468">
  <si>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</si>
  <si>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</si>
  <si>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</si>
  <si>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</si>
  <si>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</si>
  <si>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</si>
  <si>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</si>
  <si>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</si>
  <si>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</si>
  <si>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Represents a system based on fossil fuels and private transport for the next 30 years.</t>
  </si>
  <si>
    <t>DDP</t>
  </si>
  <si>
    <t>NO</t>
  </si>
  <si>
    <t>Represents the policy vision for the Deep Decarbonization Pathway.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</si>
  <si>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</si>
  <si>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</si>
  <si>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</si>
  <si>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</si>
  <si>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</si>
  <si>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</si>
  <si>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</si>
  <si>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Microbuses</t>
  </si>
  <si>
    <t>TRNMIC</t>
  </si>
  <si>
    <t>Buses</t>
  </si>
  <si>
    <t>TRNBUS</t>
  </si>
  <si>
    <t>Taxis</t>
  </si>
  <si>
    <t>TRNTAX</t>
  </si>
  <si>
    <t>Motorcycles</t>
  </si>
  <si>
    <t>TRNMOT</t>
  </si>
  <si>
    <t>Sedanes</t>
  </si>
  <si>
    <t>TRNSED</t>
  </si>
  <si>
    <t>SUVs</t>
  </si>
  <si>
    <t>TRNSUV</t>
  </si>
  <si>
    <t>Minivan</t>
  </si>
  <si>
    <t>TRNCAM</t>
  </si>
  <si>
    <t>Heavy freight</t>
  </si>
  <si>
    <t>TRNFREHEA</t>
  </si>
  <si>
    <t>Catenary trucking</t>
  </si>
  <si>
    <t>TRNCATTRU</t>
  </si>
  <si>
    <t>Medium freight</t>
  </si>
  <si>
    <t>TRNFREMED</t>
  </si>
  <si>
    <t>Light freight</t>
  </si>
  <si>
    <t>TRNFRELIG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</si>
  <si>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</si>
  <si>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</si>
  <si>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</si>
  <si>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</si>
  <si>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</si>
  <si>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</si>
  <si>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</si>
  <si>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</si>
  <si>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</si>
  <si>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</si>
  <si>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</si>
  <si>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</si>
  <si>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</si>
  <si>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</si>
  <si>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</si>
  <si>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</si>
  <si>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v_2060</t>
  </si>
  <si>
    <t>v_2070</t>
  </si>
  <si>
    <t>Public</t>
  </si>
  <si>
    <t>Public - Passenger Transport</t>
  </si>
  <si>
    <t>DEMTRNPASPUB</t>
  </si>
  <si>
    <t>Demand</t>
  </si>
  <si>
    <t>n.a.</t>
  </si>
  <si>
    <t>Non Motorized - Passenger Transport</t>
  </si>
  <si>
    <t>DEMTRN_NOMOT</t>
  </si>
  <si>
    <t>Rail Electric</t>
  </si>
  <si>
    <t>TRNPASRAIELE</t>
  </si>
  <si>
    <t>Technology</t>
  </si>
  <si>
    <t>Freight</t>
  </si>
  <si>
    <t>Freight rail Electric</t>
  </si>
  <si>
    <t>TRNFRERAIELE</t>
  </si>
  <si>
    <t>Relative increase to BAU - occupancy rate</t>
  </si>
  <si>
    <t>Sector</t>
  </si>
  <si>
    <t>Exact</t>
  </si>
  <si>
    <t>Restriction_Type</t>
  </si>
  <si>
    <t>e2023</t>
  </si>
  <si>
    <t>e2024</t>
  </si>
  <si>
    <t>e2025</t>
  </si>
  <si>
    <t>e2026</t>
  </si>
  <si>
    <t>e2027</t>
  </si>
  <si>
    <t>e2028</t>
  </si>
  <si>
    <t>e2029</t>
  </si>
  <si>
    <t>e2030</t>
  </si>
  <si>
    <t>e2031</t>
  </si>
  <si>
    <t>e2032</t>
  </si>
  <si>
    <t>e2033</t>
  </si>
  <si>
    <t>e2034</t>
  </si>
  <si>
    <t>e2035</t>
  </si>
  <si>
    <t>e2036</t>
  </si>
  <si>
    <t>e2037</t>
  </si>
  <si>
    <t>e2038</t>
  </si>
  <si>
    <t>e2039</t>
  </si>
  <si>
    <t>e2040</t>
  </si>
  <si>
    <t>e2041</t>
  </si>
  <si>
    <t>e2042</t>
  </si>
  <si>
    <t>e2043</t>
  </si>
  <si>
    <t>e2044</t>
  </si>
  <si>
    <t>e2045</t>
  </si>
  <si>
    <t>e2046</t>
  </si>
  <si>
    <t>e2047</t>
  </si>
  <si>
    <t>e2048</t>
  </si>
  <si>
    <t>e2049</t>
  </si>
  <si>
    <t>e2050</t>
  </si>
  <si>
    <t>e2051</t>
  </si>
  <si>
    <t>e2052</t>
  </si>
  <si>
    <t>e2053</t>
  </si>
  <si>
    <t>e2054</t>
  </si>
  <si>
    <t>e2055</t>
  </si>
  <si>
    <t>e2056</t>
  </si>
  <si>
    <t>e2057</t>
  </si>
  <si>
    <t>e2058</t>
  </si>
  <si>
    <t>e2059</t>
  </si>
  <si>
    <t>e2060</t>
  </si>
  <si>
    <t>e2061</t>
  </si>
  <si>
    <t>e2062</t>
  </si>
  <si>
    <t>e2063</t>
  </si>
  <si>
    <t>e2064</t>
  </si>
  <si>
    <t>e2065</t>
  </si>
  <si>
    <t>e2066</t>
  </si>
  <si>
    <t>e2067</t>
  </si>
  <si>
    <t>e2068</t>
  </si>
  <si>
    <t>e2069</t>
  </si>
  <si>
    <t>e2070</t>
  </si>
  <si>
    <t>Transport</t>
  </si>
  <si>
    <t>Private</t>
  </si>
  <si>
    <t>Sedan Electric</t>
  </si>
  <si>
    <t>TRNSEDELE</t>
  </si>
  <si>
    <t>Min</t>
  </si>
  <si>
    <t>Heavy Freight</t>
  </si>
  <si>
    <t>Heavy freight Hybrid Diesel</t>
  </si>
  <si>
    <t>TRNFREHEAHYBDSL</t>
  </si>
  <si>
    <t>Min/Max</t>
  </si>
  <si>
    <t>Microbuses Electric</t>
  </si>
  <si>
    <t>TRNMICELE</t>
  </si>
  <si>
    <t>interp</t>
  </si>
  <si>
    <t>Buses Electric</t>
  </si>
  <si>
    <t>TRNBUSELE</t>
  </si>
  <si>
    <t>Taxis Electric</t>
  </si>
  <si>
    <t>TRNTAXELE</t>
  </si>
  <si>
    <t>Motorcycles Electric</t>
  </si>
  <si>
    <t>TRNMOTELE</t>
  </si>
  <si>
    <t>Sedanes Electric</t>
  </si>
  <si>
    <t>SUVs Electric</t>
  </si>
  <si>
    <t>TRNSUVELE</t>
  </si>
  <si>
    <t>Minivan Electric</t>
  </si>
  <si>
    <t>TRNCAMELE</t>
  </si>
  <si>
    <t>Heavy freight Electric</t>
  </si>
  <si>
    <t>TRNFREHEAELE</t>
  </si>
  <si>
    <t>Heavy freight Hydrogen</t>
  </si>
  <si>
    <t>TRNFREHEAHYD</t>
  </si>
  <si>
    <t>Medium Freight</t>
  </si>
  <si>
    <t>Medium freight Electric</t>
  </si>
  <si>
    <t>TRNFREMEDELE</t>
  </si>
  <si>
    <t>Light Freight</t>
  </si>
  <si>
    <t>Light freight Electric</t>
  </si>
  <si>
    <t>TRNFRELIGELE</t>
  </si>
  <si>
    <t>Sedan Hybrid Gasoline</t>
  </si>
  <si>
    <t>TRNSEDHYBGSL</t>
  </si>
  <si>
    <t>Microbuses Hybrid</t>
  </si>
  <si>
    <t>TRNMICHYBDSL</t>
  </si>
  <si>
    <t>Microbuses Diesel</t>
  </si>
  <si>
    <t>TRNMICDSL</t>
  </si>
  <si>
    <t>Motorcycle Gasoline</t>
  </si>
  <si>
    <t>TRNMOTGSL</t>
  </si>
  <si>
    <t>Microbuses Gasoline</t>
  </si>
  <si>
    <t>TRNMICGSL</t>
  </si>
  <si>
    <t>Bus Hybrid</t>
  </si>
  <si>
    <t>TRNBUSHYBDSL</t>
  </si>
  <si>
    <t>Bus Diesel</t>
  </si>
  <si>
    <t>TRNBUSDSL</t>
  </si>
  <si>
    <t>SUVs Gasoline</t>
  </si>
  <si>
    <t>TRNSUVGSL</t>
  </si>
  <si>
    <t>Medium Freight Diesel</t>
  </si>
  <si>
    <t>TRNFREMEDDSL</t>
  </si>
  <si>
    <t>SUV Diesel</t>
  </si>
  <si>
    <t>TRNSUVDSL</t>
  </si>
  <si>
    <t>Sedan Gasoline</t>
  </si>
  <si>
    <t>TRNSEDGSL</t>
  </si>
  <si>
    <t>Minivan Diesel</t>
  </si>
  <si>
    <t>TRNCAMDSL</t>
  </si>
  <si>
    <t>SUVs Hybrid Gasoline</t>
  </si>
  <si>
    <t>TRNSUVHYBGSL</t>
  </si>
  <si>
    <t>Sedan Diesel</t>
  </si>
  <si>
    <t>TRNSEDDSL</t>
  </si>
  <si>
    <t>Heavy freight Diesel</t>
  </si>
  <si>
    <t>TRNFREHEADSL</t>
  </si>
  <si>
    <t>Light Freight Diesel</t>
  </si>
  <si>
    <t>TRNFRELIGDSL</t>
  </si>
  <si>
    <t>Light Freight Gasoline</t>
  </si>
  <si>
    <t>TRNFRELIGGSL</t>
  </si>
  <si>
    <t>Taxis Hybrid</t>
  </si>
  <si>
    <t>TRNTAXHYBGSL</t>
  </si>
  <si>
    <t>Taxis Gasoline</t>
  </si>
  <si>
    <t>TRNTAXGSL</t>
  </si>
  <si>
    <t>Minivan Hybrid</t>
  </si>
  <si>
    <t>TRNCAMHYBGSL</t>
  </si>
  <si>
    <t>Minivan Gasoline</t>
  </si>
  <si>
    <t>TRNCAMGSL</t>
  </si>
  <si>
    <t>Heavy freight LPG</t>
  </si>
  <si>
    <t>TRNFREHEALPG</t>
  </si>
  <si>
    <t>Max</t>
  </si>
  <si>
    <t>Heavy freight GSL</t>
  </si>
  <si>
    <t>TRNFREHEAGSL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</si>
  <si>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</si>
  <si>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</si>
  <si>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</si>
  <si>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</si>
  <si>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</si>
  <si>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</si>
  <si>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</si>
  <si>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</si>
  <si>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</si>
  <si>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All</t>
  </si>
  <si>
    <t>TotalAnnualMaxCapacityInvestment</t>
  </si>
  <si>
    <t>PP_HYDAMADAMLAR</t>
  </si>
  <si>
    <t>The max capacity investment of Hydro-Dam</t>
  </si>
  <si>
    <t>GW</t>
  </si>
  <si>
    <t>Write ; Interpolate_Escalate ; Fix_Last</t>
  </si>
  <si>
    <t>TotalTechnologyAnnualActivityLowerLimit</t>
  </si>
  <si>
    <t>PP_BMSTST</t>
  </si>
  <si>
    <t>The minimum production of electricity</t>
  </si>
  <si>
    <t>2010 ;2011 ;2012 ; 2013 ; 2014 ; 2015; 2016 ;2017 ;2018 ; 2019 ; 2020 ; 2021 ; 2022 ; 2023 ; 2024 ; 2025 ; 2026 ; 2027 ; 2028 ; 2029 ; 2030 ; 2031 ; 2032 ; 2033 ; 2034 ; 2035 ; 2036 ; 2037 ; 2038 ; 2039 ; 2040 ; 2041 ; 2042 ; 2043 ; 2044 ; 2045 ; 2046 ; 2047 ; 2048 ; 2049 ; 2050 ; 2051 ; 2052 ; 2053 ; 2054 ; 2055 ; 2056 ; 2057 ; 2058 ; 2059 ; 2060 ; 2061 ; 2062 ; 2063 ; 2064 ; 2065 ; 2066 ; 2067 ; 2068</t>
  </si>
  <si>
    <t>0;0;0;0;0;0;0;0;0;0;0;0;0;0.0001;0.0001;0.0001;0.0001;0.0001;0.0001;0.0001;0.0001;0.0001;0.0001;0.0001;0.0001;0.0001;0.0001;0.0001;0.0001;0.0001;0.0001;0.0001;0.0001;0.0001;0.0001;0.0001;0.0001;0.0001;0.0001;0.0001;0.0001;0.0001;0.0001;0.0001;0.0001;0.0001;0.0001;0.0001;0.0001;0.0001;0.0001;0.0001;0.0001;0.0001;0.0001;0.0001;0.0001;0.0001;0.0001</t>
  </si>
  <si>
    <t>PJ</t>
  </si>
  <si>
    <t>Overwrite ; Interpolate ; Fix_Last</t>
  </si>
  <si>
    <t>PP_DSLICE</t>
  </si>
  <si>
    <t>0.477235099612682;0.409693363208969;0.462739431268231;0.532480200950205;0.55442565550264;0.552495891605391;0.48773660547213;0.330976947493279;0.787;0.084;0.2856;0.1362;0.3297;0.3401;0.3426;0.352;0.3613;0.3726;0.3724;0.3805;0.3909;0.398;0.4092;0.4209;0.4321;0.4422;0.4544;0.4645;0.4761;0.4877;0.4992;0.5101;0.5217;0.5303;0.5418;0.5512;0.5635;0.5731;0.583;0.5927;0.6029;0.6238;0.6346;0.6456;0.6565;0.6677;0.6789;0.6901;0.7012;0.7125;0.7239;0.7354;0.7471;0.7588;0.7706;0.7825;0.7944;0.8064;0.8184</t>
  </si>
  <si>
    <t>PP_DSLTGS</t>
  </si>
  <si>
    <t>0.122717597043261;0.105349721968021;0.118990139468974;0.136923480244338;0.14256659712925;0.142070372127101;0.125417984264262;0.0851083579268432;0.4269;0.2442;0.0825;0.0549;0.2044;0.2108;0.2124;0.2182;0.224;0.231;0.2309;0.2359;0.2424;0.2467;0.2537;0.261;0.2679;0.2741;0.2817;0.288;0.2952;0.3023;0.3095;0.3162;0.3234;0.3288;0.3359;0.3418;0.3494;0.3553;0.3614;0.3675;0.3738;0.3867;0.3934;0.4002;0.407;0.414;0.4209;0.4278;0.4347;0.4417;0.4488;0.456;0.4632;0.4704;0.4777;0.4851;0.4925;0.4999;0.5074</t>
  </si>
  <si>
    <t>PP_FOIICE</t>
  </si>
  <si>
    <t>2.95058976855462;2.86785354246278;3.23917601887762;3.28531161409057;3.4791074028332;3.60044777124146;3.41415623830491;2.31683863245296;3.5324;2.39;1.9516;1.5744;2.3727;2.4474;2.4651;2.5329;2.5998;2.6811;2.6797;2.7381;2.8132;2.8639;2.9445;3.029;3.1093;3.1821;3.27;3.3427;3.4261;3.5095;3.5924;3.6708;3.754;3.816;3.8992;3.9669;4.0553;4.1243;4.1954;4.2655;4.3384;4.4887;4.5669;4.6457;4.7242;4.8052;4.8856;4.9659;5.0463;5.1273;5.2095;5.2924;5.3765;5.4603;5.5451;5.6308;5.7164;5.8027;5.8897</t>
  </si>
  <si>
    <t>PP_GEO</t>
  </si>
  <si>
    <t>0;0;0;0;0;0;0;0;0;0;0;0;0;0;0;0;0;0;0;0;0;0.6902;0.76952;1.36388;1.50482;1.64282;1.80055;1.96036;2.13635;2.31586;3.22804;3.47229;3.73463;3.98519;4.26696;4.5277;4.80442;5.07596;5.35942;5.6464;5.94477;6.3586;6.70438;7.06063;7.42691;7.81017;8.20891;8.61713;9.03568;9.47017;9.91981;10.38434;10.86416;11.35792;11.8687;12.39579;12.94073;13.50244;14.08287</t>
  </si>
  <si>
    <t>intact</t>
  </si>
  <si>
    <t>PP_HYDAMADAMMED</t>
  </si>
  <si>
    <t>PP_HYDAMADAMSMA</t>
  </si>
  <si>
    <t>PP_HYDAMARORLAR</t>
  </si>
  <si>
    <t>PP_HYDAMARORMED</t>
  </si>
  <si>
    <t>PP_HYDAMARORSMA</t>
  </si>
  <si>
    <t>PP_HYDPACDAMLAR</t>
  </si>
  <si>
    <t>PP_HYDPACDAMMED</t>
  </si>
  <si>
    <t>PP_HYDPACDAMSMA</t>
  </si>
  <si>
    <t>PP_HYDPACRORLAR</t>
  </si>
  <si>
    <t>PP_HYDPACRORMED</t>
  </si>
  <si>
    <t>PP_HYDPACRORSMA</t>
  </si>
  <si>
    <t>TotalTechnologyAnnualActivityUpperLimit</t>
  </si>
  <si>
    <t>PP_SPV_DG</t>
  </si>
  <si>
    <t>The maximum production of electricity</t>
  </si>
  <si>
    <t>0;0;0;0;0;0;0;0;0;0;0;0;0;0;0;0;0;0;0;0.2700375304;0.849346476;1.41644492;2.056486124;2.530683155;2.880368403;3.0666548;3.292509066;3.374715498;3.638786052;3.743508164;3.9970969104;4.155004073;4.281606538;4.392246727;4.517693488;4.722199416;4.88581836248;5.032513695;5.1866996566;5.3315749311;5.486162616;5.64045017965;5.7935301281;5.94534555615;6.1216233122;6.31025427175;6.4947883077;6.67979570665;6.8623865156;7.05266616780001;7.2452016175;7.43975948815001;7.64733730200001;7.85637873350001;8.05309779560001;8.24629382342857;8.46257084451428;8.68885624702857;8.92001693848571</t>
  </si>
  <si>
    <t>Write ; Interpolate ; Fix_Last</t>
  </si>
  <si>
    <t>0;0;0;0;0;0;0;0;0;0;0;0;0;0;0;0;0;0;0;0.24303377736;0.7644118284;1.274800428;1.8508375116;2.2776148395;2.5923315627;2.75998932;2.9632581594;3.0372439482;3.2749074468;3.3691573476;3.59738721936;3.7395036657;3.8534458842;3.9530220543;4.0659241392;4.2499794744;4.397236526232;4.5292623255;4.66802969094;4.79841743799;4.9375463544;5.076405161685;5.21417711529;5.350811000535;5.50946098098;5.679228844575;5.84530947693;6.011816135985;6.17614786404;6.34739955102;6.52068145575;6.695783539335;6.8826035718;7.07074086015001;7.24778801604001;7.42166444108571;7.61631376006285;7.81997062232571;8.02801524463714</t>
  </si>
  <si>
    <t>TotalAnnualMaxCapacity</t>
  </si>
  <si>
    <t>The maximum capacity of Geothermal</t>
  </si>
  <si>
    <t>Overwrite  ;  Interpolate  ;  Fix_Last</t>
  </si>
  <si>
    <t>The maximum capacity of Solar (large)</t>
  </si>
  <si>
    <t>PP_SPV_US</t>
  </si>
  <si>
    <t>0;0;0;0.0129505749915046;0.0518022999660183;0.116555174923541;0.12626810616717;0.119792818671417;0.125080970126282;0.119217237560684;0.121699431100722;0.119792818671417;0.12626810616717;0.132743393662922;0.126048;0.129583;0.132916;0.137158;0.14612151674736;2.1071028497112;4.678200389808;7.80177861936;11.46197230398;15.0322579407;17.39590917075;19.7063237448;21.5894523042;23.60372439744;25.81222505796;28.11714950088;30.57779136456;32.33857735251;34.1783895816;35.93812658931;37.86612828768;39.107045172096;40.6707113960136;41.9100096195;43.212617710416;44.643351527676;45.956212693578;47.150411019426;48.329580249522;49.493340012402;50.855512145922;52.314479971182;53.733548599038;55.150697677878;56.542127453658;57.991088413368;59.45264586063;60.924811691106;62.49739779954;64.07554131198;65.546999474616;67.080692600856;68.681229377508;70.355438799228;72.061345105794</t>
  </si>
  <si>
    <t>0;0;0;0;0;0;0;0.118606751159819;0.1238;0.118;0.1204;0.1191;0.1201;0.1239;0.1248;0.1283;0.1316;0.1358;0.143256388968;2.06578710756;4.5864709704;7.648802568;11.237227749;14.737507785;17.0548129125;19.31992524;21.16612971;23.140906272;25.306102998;27.565832844;29.978226828;31.7044876005;33.50822508;35.2334574405;37.123655184;38.3402403648;39.87324646668;41.088244725;42.3653114808;43.7679916938;45.0551104839;46.2258931563;47.3819414211;48.5228823651;49.8583452411;51.2887058541;52.6799496069;54.0693114489;55.4334582879;56.8540082484;58.2869077065;59.7302075403;61.271958627;62.819158149;64.2617641908;65.7653849028;67.3345386054;68.9759203914;70.6483775547</t>
  </si>
  <si>
    <t>PP_TPP</t>
  </si>
  <si>
    <t>0;0;0;0;0;0;0;0;0;0;0;0;0;10.0825456;10.3938055;10.5916435;10.8703735;11.1136836;11.4375326;11.6159836;11.9207086;12.191533;12.516613;12.782773;13.097983;13.342943;13.675823;13.920713;14.241143;14.518213;14.839513;15.105833;15.415363;15.636583;15.939863;16.180423;16.499833;16.744723;17.013443;17.256083;17.530253;17.816913;18.102673;18.389253;18.672711;18.966311;19.254831;19.547345;19.837539;20.132029;20.428449;20.729649;21.033809;21.33759;21.64451;21.95422;22.26487;22.57773;22.89226</t>
  </si>
  <si>
    <t>PP_WND_US</t>
  </si>
  <si>
    <t>0.0100366956184161;0.0100366956184161;0.00669113041227737;0.190697216749905;0.267645216491095;0.33121095540773;0.281027477315649;0.244226260048124;0.265127049131635;0.287718607727927;0.257716442330941;0.22459500000000002;0.266385;0.699223128082985;0.266236;0.273508;0.28078;0.289567;0.3014353184535;0.5522942590506;0.9264671360208;1.416303275508;1.936108239813;2.5033666632975;3.031663543326;3.4844865165;3.705483774564;3.944078212734;4.209744663432;4.330898626824;4.621380335748;4.762176624711;4.907279562966;5.034087650889;5.177866001616;5.297102076816;5.4574177056498;5.7905758845;5.94291174939;6.08334930423;6.23365227243;6.822013090464;6.992622587808;7.161002548128;7.358090037408;7.805719479987;8.017455344283;8.228904797223;8.436516733953;8.652712762188;8.870788282455;9.090446654421;9.32508849789;9.56055954843;9.780112330956;10.312252591608;10.558301624244;10.815676284204;11.077923676842</t>
  </si>
  <si>
    <t>0;0;0;0;0;0;0;0;0.2625;0.2849;0.2552;0.2139;0.2537;0.2617;0.2636;0.2708;0.278;0.2867;0.29845081035;0.54682599906;0.91729419408;1.4022804708;1.9169388513;2.47858085475;3.0016470726;3.44998665;3.6687958164;3.9050279334;4.1680640232;4.2880184424;4.5756240948;4.7150263611;4.8586926366;4.9842451989;5.1266000016;5.2446555216;5.40338386698;5.73324345;5.884071039;6.023118123;6.171932943;6.7544684064;6.9233887008;7.0901015328;7.2852376608;7.7284351287;7.9380745983;8.1474304923;8.3529868653;8.5670423388;8.7829586955;9.0004422321;9.232760889;9.465900543;9.6832795356;10.2101510808;10.4537639844;10.7085903804;10.9682412642</t>
  </si>
  <si>
    <t>PPICRUPETICE</t>
  </si>
  <si>
    <t>9.74580781249286;8.36651114540599;9.44978600287886;10.8739900033127;11.3221468605921;11.2827383843896;9.96026324112962;6.75901190682103;6.41739;6.3231;6.121815000000001;6.489;7.2300806688693;8.70843008265301;5.25080175119152;5.21314677045402;5.20943930371652;5.14380462964569;4.42015150684388;4.42015150684388;4.42015150684388;4.42015150684388;3.69649838404207;3.69649838404207;3.69649838404207;3.69649838404207;3.69649838404207;3.69649838404207;3.69649838404207;3.69649838404207;3.69649838404207;3.69649838404207;3.69649838404207;3.69649838404207;3.69649838404207;3.69649838404207;3.69649838404207;3.69649838404207;3.69649838404207;3.69649838404207;3.69649838404207;3.69649838404207;3.69649838404207;3.69649838404207;3.69649838404207;3.69649838404207;3.69649838404207;3.69649838404207;3.69649838404207;3.69649838404207;3.69649838404207;3.69649838404207;3.69649838404207;3.69649838404207;3.69649838404207;3.69649838404207;3.69649838404207;3.69649838404207;3.69649838404207</t>
  </si>
  <si>
    <t>9.74580781249286;8.36651114540599;9.44978600287886;10.8739900033127;11.3221468605921;11.2827383843896;9.96026324112962;6.75901190682103;6.1118;6.022;5.8303;6.18;5.80936411133438;5.25184070752048;5.19881361504111;5.16153145589507;5.15786069674903;5.09287587093633;4.3763876305385;4.3763876305385;4.3763876305385;4.3763876305385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</t>
  </si>
  <si>
    <t>PPICRUPETTST</t>
  </si>
  <si>
    <t>0.0795391832687804;0.0682822272014948;0.0771232385447051;0.0887467001583674;0.0924042759171067;0.0920826486008986;0.081289434245355;0.0551628245822132;0.04809;0.0608538158534222;0.0441841947501989;0.0458505918222328;0.0590073929666549;0.0710727555533772;0.0257959295353264;0.0288921473029898;0.0325196250706533;0.0391221588383167;0.0336182809789341;0.0336182809789341;0.0336182809789341;0.0336182809789341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;0.0281144031195516</t>
  </si>
  <si>
    <t>0.0795391832687804;0.0682822272014948;0.0771232385447051;0.0887467001583674;0.0924042759171067;0.0920826486008986;0.081289434245355;0.0551628245822132;0.0458;0.0267;0.0237;0.0069;0.0441841947501989;0.0258238288128675;0.0255405242924024;0.0286060864386038;0.0321976485848052;0.0387348107310066;0.0332854267118159;0.0332854267118159;0.0332854267118159;0.0332854267118159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</t>
  </si>
  <si>
    <t>PPIFOIPETICE</t>
  </si>
  <si>
    <t>0.414843710687048;0.35613205142581;0.402243135310716;0.462866336966506;0.481942749842748;0.480265273863856;0.423972300897765;0.287706635914705;0.254951088529125;0.247275;0.259665;0.26544000000000006;0.307758325522862;0.370686301151512;0.217846198856766;0.219932912285152;0.219930003046871;0.218953117141925;0.188149826897625;0.188149826897625;0.188149826897625;0.188149826897625;0.157346536653326;0.157346536653326;0.157346536653326;0.157346536653326;0.157346536653326;0.157346536653326;0.157346536653326;0.157346536653326;0.157346536653326;0.157346536653326;0.157346536653326;0.157346536653326;0.157346536653326;0.157346536653326;0.157346536653326;0.157346536653326;0.157346536653326;0.157346536653326;0.157346536653326;0.157346536653326;0.157346536653326;0.157346536653326;0.157346536653326;0.157346536653326;0.157346536653326;0.157346536653326;0.157346536653326;0.157346536653326;0.157346536653326;0.157346536653326;0.157346536653326;0.157346536653326;0.157346536653326;0.157346536653326;0.157346536653326;0.157346536653326;0.157346536653326</t>
  </si>
  <si>
    <t>0.414843710687048;0.35613205142581;0.402243135310715;0.462866336966506;0.481942749842748;0.480265273863856;0.423972300897765;0.287706635914705;0.2549;0.2355;0.2473;0.2528;0.247283571669537;0.217024719566053;0.215689305798778;0.21775535869817;0.217752478264229;0.216785264496955;0.186286957324381;0.186286957324381;0.186286957324381;0.186286957324381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</t>
  </si>
  <si>
    <t>DDP70</t>
  </si>
  <si>
    <t>PP_BGSICE</t>
  </si>
  <si>
    <t>PP_SUG</t>
  </si>
  <si>
    <t>2017 ;2018 ; 2019 ; 2020 ; 2021 ; 2022 ; 2023 ; 2024 ; 2025 ; 2026 ; 2027 ; 2028 ; 2029 ; 2030 ; 2031 ; 2032 ; 2033 ; 2034 ; 2035 ; 2036 ; 2037 ; 2038 ; 2039 ; 2040 ; 2041 ; 2042 ; 2043 ; 2044 ; 2045 ; 2046 ; 2047 ; 2048 ; 2049 ; 2050 ; 2051 ; 2052 ; 2053 ; 2054 ; 2055 ; 2056 ; 2057 ; 2058 ; 2059 ; 2060 ; 2061 ; 2062 ; 2063 ; 2064 ; 2065 ; 2066 ; 2067 ; 2068</t>
  </si>
  <si>
    <t>0;0;0;0.0128223514767372;0.0512894059069488;0.115401163290635;0.125017926898188;0.118606751159819;0.123842544679487;0.118036868871964;0.120494486238339;0.118606751159819;0.125017926898188;0.131429102636556;0.1248;0.1283;0.1316;0.1358;0.143256388968;2.06578710756;4.5864709704;7.648802568;11.237227749;14.737507785;17.0548129125;19.31992524;21.16612971;23.140906272;25.306102998;27.565832844;29.978226828;31.7044876005;33.50822508;35.2334574405;37.123655184;38.3402403648;39.87324646668;41.088244725;42.3653114808;43.7679916938;45.0551104839;46.2258931563;47.3819414211;48.5228823651;49.8583452411;51.2887058541;52.6799496069;54.0693114489;55.4334582879;56.8540082484;58.2869077065;59.7302075403;61.271958627;62.819158149;64.2617641908;65.7653849028;67.3345386054;68.9759203914;70.6483775547</t>
  </si>
  <si>
    <t>0.00993732239447134;0.00993732239447134;0.00662488159631423;0.188809125494955;0.264995263852569;0.327931639017554;0.278245027045197;0.241808178265469;0.262502028843203;0.284869908641512;0.255164794387071;0.205371329485741;0.202058888687584;0.692300126814837;0.2636;0.2708;0.278;0.2867;0.29845081035;0.54682599906;0.91729419408;1.4022804708;1.9169388513;2.47858085475;3.0016470726;3.44998665;3.6687958164;3.9050279334;4.1680640232;4.2880184424;4.5756240948;4.7150263611;4.8586926366;4.9842451989;5.1266000016;5.2446555216;5.40338386698;5.73324345;5.884071039;6.023118123;6.171932943;6.7544684064;6.9233887008;7.0901015328;7.2852376608;7.7284351287;7.9380745983;8.1474304923;8.3529868653;8.5670423388;8.7829586955;9.0004422321;9.232760889;9.465900543;9.6832795356;10.2101510808;10.4537639844;10.7085903804;10.9682412642</t>
  </si>
  <si>
    <t>0;0;0;0;0;0;0;0;0;0;0;0;0;0;0;0;0;0;0.57438;0.59266;0.6163;0.6902;0.76952;1.36388;1.50482;1.64282;1.80055;1.96036;2.13635;2.31586;3.22804;3.47229;3.73463;3.98519;4.26696;4.5277;4.80442;5.07596;5.35942;5.6464;5.94477;6.3586;6.70438;7.06063;7.42691;7.81017;8.20891;8.61713;9.03568;9.47017;9.91981;10.38434;10.86416;11.35792;11.8687;12.39579;12.94073;13.50244;14.08287</t>
  </si>
  <si>
    <t>9.74580781249286;8.36651114540599;9.44978600287886;10.8739900033127;11.3221468605921;11.2827383843896;9.96026324112962;6.75901190682103;6.11161426434619;5.98836214906045;5.80936411133438;5.61799904933056;7.2300806688693;8.62220800262674;5.19881361504111;5.16153145589507;5.15786069674903;5.09287587093633;4.3763876305385;4.3763876305385;4.3763876305385;4.3763876305385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;3.65989939014066</t>
  </si>
  <si>
    <t>0.0795391832687804;0.0682822272014948;0.0771232385447051;0.0887467001583674;0.0924042759171067;0.0920826486008986;0.081289434245355;0.0551628245822132;0.0457501500689984;0.0608538158534222;0.0441841947501989;0.0458505918222328;0.0590073929666549;0.0703690649043338;0.0255405242924024;0.0286060864386038;0.0321976485848052;0.0387348107310066;0.0332854267118159;0.0332854267118159;0.0332854267118159;0.0332854267118159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;0.0278360426926253</t>
  </si>
  <si>
    <t>PPINGSPETTST</t>
  </si>
  <si>
    <t>0.0568137023348431;0.0487730194296392;0.0550880275319322;0.0633905001131196;0.0660030542265048;0.0657733204292133;0.058063881603825;0.0394020175587237;0.104602998082716;0.0964452399850009;0.0180220999416973;0.0327504227301663;0.0421481378333249;0.0502636177888099;0.0438936830462206;0.0301338912359986;0.0301377660924429;0.0157993742822209;0.0135766486227451;0.0135766486227451;0.0135766486227451;0.0135766486227451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</t>
  </si>
  <si>
    <t>PPINGSPETICE</t>
  </si>
  <si>
    <t>3.31777763553885;2.84822193293532;3.21700255783723;3.70184612052553;3.8544127242286;3.84099684701136;3.39078496737222;2.30097894132961;2.13483493438663;2.05074052171164;1.97768914554012;1.91254249631871;2.46134547364736;2.93526913627511;1.77570206036935;1.76723155722072;1.77036812073875;1.73377415092346;1.48985915630687;1.48985915630687;1.48985915630687;1.48985915630687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</t>
  </si>
  <si>
    <t>PPINGSPETTGS</t>
  </si>
  <si>
    <t>0.715852649419023;0.614540044813454;0.694109146902346;0.798720301425307;0.83163848325396;0.828743837408087;0.731604908208195;0.496465421239919;0.530083133576915;0.457819655286;0.44385356786636;0.412655326400095;0.531066536699894;0.633321584139004;0.430795251131791;0.42396664336436;0.420820035596928;0.389111627829498;0.334369687792652;0.334369687792652;0.334369687792652;0.334369687792652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</t>
  </si>
  <si>
    <t>0;0;0;0;0;0;0;0;0;0;0;0;0;0.0001;0.0001;0.0001;0.0001;0.0001;0;0.42530911038;1.0192157712;1.7847205992;2.644053588;3.751365618;4.6389091122;5.243979708;5.7854087874;6.1468032285;6.49027112184;6.83020080468;7.06855032576;7.36519635027;7.85767878126;8.38728157608;8.96271103728;9.65740016736;10.43412057072;11.046049047;11.74852850787;12.32731509174;12.73475497239;13.06567482363;13.39243001811;13.71491515251;14.09238160011;14.49667074141;17;17;17;17;17;17;17;17;17;17;17;17;17</t>
  </si>
  <si>
    <t>PA</t>
  </si>
  <si>
    <t>0.414843710687048;0.35613205142581;0.402243135310716;0.462866336966506;0.481942749842748;0.480265273863856;0.423972300897765;0.287706635914705;0.254951088529125;0.235478139517834;0.247283571669537;0.239137854665375;0.307758325522862;0.367016139753973;0.215689305798778;0.21775535869817;0.217752478264229;0.216785264496955;0.186286957324381;0.186286957324381;0.186286957324381;0.186286957324381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;0.155788650151808</t>
  </si>
  <si>
    <t>TotalAnnualMinCapacityInvestment</t>
  </si>
  <si>
    <t>Min capacity investment</t>
  </si>
  <si>
    <t>0;0;0;0;0;0;0;0;0;0;0;0;0;0;0;0;0;0;0;0;0;0;0;0;0;0;0;0;0.11649;0;0;0;0;0;0.02964;0;0;0;0;0;0;0;0;0;0;0;0.06205;0;0;0;0;0;0.2149;0;0;0;0;0;0.4799</t>
  </si>
  <si>
    <t>0;0;0;0;0;0;0;0;0;0;0;0;0;0;0;0;0;0;0;0;0;0;0;0;0;0;0;0;0.3541;0;0;0;0;0;0.5322;0;0;0;0;0;0;0;0;0;0;0;0.2834;0;0;0;0;0;0.1507;0;0;0;0;0;0.0623</t>
  </si>
  <si>
    <t>0;0;0;0;0;0;0;0;0;0;0;0;0;0;0;0;0;0;0;0;0;0;0;0;0;0;0;0;0.46;0;0;0;0;0;0;0;0;0;0;0;0;0;0;0;0;0;0;0;0;0;0;0;0;0;0;0;0;0;0</t>
  </si>
  <si>
    <t>0;0;0;0;0;0;0;0;0;0;0;0;0;0;0;0;0;0;0;0;0;0;0;0;0;0;0;0;0.01765;0;0;0;0;0;0.024;0;0;0;0;0;0;0;0;0;0;0;0.051;0;0;0;0;0;0.0392;0;0;0;0;0;0.1485</t>
  </si>
  <si>
    <t>0;0;0;0;0;0;0;0;0;0;0;0;0;0;0;0;0;0;0;0;0;0;0;0;0.1;0;0;0;0;0;0;0;0;0;0.5127;0;0;0;0;0;0;0;0;0;0;0;0;0;0;0;0;0;0.2644;0;0;0;0;0;0.531</t>
  </si>
  <si>
    <t>0;0;0;0;0;0;0;0;0;0;0;0;0;0;0;0;0;0;0;0;0;0;0;0;0;0;0;0;0;0;0;0;0;0;0;0;0;0;0;0;3.18;0;0;0;0;0;0;0;0;0;0;0;0;0;0;0;0;0;1.172</t>
  </si>
  <si>
    <t>The maximum capacity of Hydro ROR Pacific</t>
  </si>
  <si>
    <t>3.31777763553885;2.84822193293532;3.21700255783723;3.70184612052553;3.8544127242286;3.84099684701136;3.39078496737222;2.30097894132961;2.13483493438663;2.05074052171164;1.97768914554012;2.29572;2.46134547364736;2.96462182763786;1.79345908097304;1.78490387279293;1.78807180194614;1.75111189243269;1.50475774786994;1.50475774786994;1.50475774786994;1.50475774786994;1.25840360330718;1.25840360330718;1.25840360330718;1.25840360330718;1.25840360330718;1.25840360330718;1.25840360330718;1.25840360330718;1.25840360330718;1.25840360330718;1.25840360330718;1.25840360330718;1.25840360330718;1.25840360330718;1.25840360330718;1.25840360330718;1.25840360330718;1.25840360330718;1.25840360330718;1.25840360330718;1.25840360330718;1.25840360330718;1.25840360330718;1.25840360330718;1.25840360330718;1.25840360330718;1.25840360330718;1.25840360330718;1.25840360330718;1.25840360330718;1.25840360330718;1.25840360330718;1.25840360330718;1.25840360330718;1.25840360330718;1.25840360330718;1.25840360330718</t>
  </si>
  <si>
    <t>3.31777763553885;2.84822193293532;3.21700255783723;3.70184612052553;3.8544127242286;3.84099684701136;3.39078496737222;2.30097894132961;2.1348;2.026;1.9598;2.1864;1.97768914554012;1.80324883018465;1.77570206036935;1.76723155722072;1.77036812073875;1.73377415092346;1.48985915630687;1.48985915630687;1.48985915630687;1.48985915630687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;1.24594416169028</t>
  </si>
  <si>
    <t>0.715852649419023;0.614540044813454;0.694109146902346;0.798720301425307;0.83163848325396;0.828743837408087;0.731604908208195;0.496465421239919;0.556605;0.5069400000000001;0.48489;0.655935;0.531066536699894;0.639654799980394;0.435103203643109;0.428206309798004;0.425028235952897;0.393002744107793;0.337713384670579;0.337713384670579;0.337713384670579;0.337713384670579;0.282424025233365;0.282424025233365;0.282424025233365;0.282424025233365;0.282424025233365;0.282424025233365;0.282424025233365;0.282424025233365;0.282424025233365;0.282424025233365;0.282424025233365;0.282424025233365;0.282424025233365;0.282424025233365;0.282424025233365;0.282424025233365;0.282424025233365;0.282424025233365;0.282424025233365;0.282424025233365;0.282424025233365;0.282424025233365;0.282424025233365;0.282424025233365;0.282424025233365;0.282424025233365;0.282424025233365;0.282424025233365;0.282424025233365;0.282424025233365;0.282424025233365;0.282424025233365;0.282424025233365;0.282424025233365;0.282424025233365;0.282424025233365;0.282424025233365</t>
  </si>
  <si>
    <t>0.715852649419023;0.614540044813454;0.694109146902346;0.798720301425307;0.83163848325396;0.828743837408087;0.731604908208195;0.496465421239919;0.5301;0.4828;0.4618;0.6247;0.44385356786636;0.445917125565889;0.430795251131791;0.42396664336436;0.420820035596928;0.389111627829498;0.334369687792652;0.334369687792652;0.334369687792652;0.334369687792652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;0.279627747755807</t>
  </si>
  <si>
    <t>0.0568137023348431;0.0487730194296392;0.0550880275319322;0.0633905001131196;0.0660030542265048;0.0657733204292133;0.058063881603825;0.0394020175587237;0.104602998082716;0.10132500000000001;0.0180220999416973;0.10479000000000001;0.0421481378333249;0.06202735859926473;0.0443326198766828;0.0304352301483586;0.0304391437533673;0.0159573680250431;0.0137124151089726;0.0137124151089726;0.0137124151089726;0.0137124151089726;0.011467462192902;0.011467462192902;0.011467462192902;0.011467462192902;0.011467462192902;0.011467462192902;0.011467462192902;0.011467462192902;0.011467462192902;0.011467462192902;0.011467462192902;0.011467462192902;0.011467462192902;0.011467462192902;0.011467462192902;0.011467462192902;0.011467462192902;0.011467462192902;0.011467462192902;0.011467462192902;0.011467462192902;0.011467462192902;0.011467462192902;0.011467462192902;0.011467462192902;0.011467462192902;0.011467462192902;0.011467462192902;0.011467462192902;0.011467462192902;0.011467462192902;0.011467462192902;0.011467462192902;0.011467462192902;0.011467462192902;0.011467462192902;0.011467462192902</t>
  </si>
  <si>
    <t>0.0568137023348431;0.0487730194296392;0.0550880275319322;0.0633905001131196;0.0660030542265048;0.0657733204292133;0.058063881603825;0.0394020175587237;0.1046;0.0965;0.018;0.0998;0.0180220999416973;0.0590736748564426;0.0438936830462206;0.0301338912359986;0.0301377660924429;0.0157993742822209;0.0135766486227451;0.0135766486227451;0.0135766486227451;0.0135766486227451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;0.0113539229632693</t>
  </si>
  <si>
    <t>Set</t>
  </si>
  <si>
    <t>Set_Index</t>
  </si>
  <si>
    <t>SpecifiedAnnualDemand</t>
  </si>
  <si>
    <t>E5_RESFIR</t>
  </si>
  <si>
    <t>f</t>
  </si>
  <si>
    <t>Demand Residential Firewood</t>
  </si>
  <si>
    <t>None</t>
  </si>
  <si>
    <t>E5_RESLPG</t>
  </si>
  <si>
    <t>Demand Residential LPG</t>
  </si>
  <si>
    <t>E5_RESELE</t>
  </si>
  <si>
    <t>Demand Residential Electricity</t>
  </si>
  <si>
    <t>E5_INDELE</t>
  </si>
  <si>
    <t>Demand Industrial Electricity</t>
  </si>
  <si>
    <t>E5_INDFOI</t>
  </si>
  <si>
    <t>Demand Industrial Fuel Oil</t>
  </si>
  <si>
    <t>E5_INDLPG</t>
  </si>
  <si>
    <t>Demand Industrial LPG</t>
  </si>
  <si>
    <t>E5_INDNGS</t>
  </si>
  <si>
    <t>Demand Industrial Natural Gas</t>
  </si>
  <si>
    <t>E5_INDPURDSL</t>
  </si>
  <si>
    <t>Demand Shipping Pure_Diesel</t>
  </si>
  <si>
    <t>E5_INDPURGSL</t>
  </si>
  <si>
    <t>Demand Shipping Pure_Gasoline</t>
  </si>
  <si>
    <t>E5_INDSUG</t>
  </si>
  <si>
    <t>Demand Industrial Sugarcane and subproducts</t>
  </si>
  <si>
    <t>E5_INDHYD</t>
  </si>
  <si>
    <t>Demand Industrial Hydrogen</t>
  </si>
  <si>
    <t>E5_INDFIR</t>
  </si>
  <si>
    <t>Demand Industrial Firewood</t>
  </si>
  <si>
    <t>E5_CONELE</t>
  </si>
  <si>
    <t>Demand Construction Electricity</t>
  </si>
  <si>
    <t>E5_CONKJF</t>
  </si>
  <si>
    <t>Demand Construction Kerosene and Jet Fuel</t>
  </si>
  <si>
    <t>E5_CONLPG</t>
  </si>
  <si>
    <t>Demand Construction LPG</t>
  </si>
  <si>
    <t>E5_CONPURDSL</t>
  </si>
  <si>
    <t>Demand Construction Pure_Diesel</t>
  </si>
  <si>
    <t>E5_CONPURGSL</t>
  </si>
  <si>
    <t>Demand Construction Pure_Gasoline</t>
  </si>
  <si>
    <t>E5_COMELE</t>
  </si>
  <si>
    <t>Demand Commercial Electricity</t>
  </si>
  <si>
    <t>E5_COMFOI</t>
  </si>
  <si>
    <t>Demand Commercial Fuel Oil</t>
  </si>
  <si>
    <t>E5_COMLPG</t>
  </si>
  <si>
    <t>Demand Commercial LPG</t>
  </si>
  <si>
    <t>E5_COMPURDSL</t>
  </si>
  <si>
    <t>Demand Commercial Pure_Diesel</t>
  </si>
  <si>
    <t>E5_COMPURGSL</t>
  </si>
  <si>
    <t>Demand Commercial Pure_Gasoline</t>
  </si>
  <si>
    <t>E5_AGRELE</t>
  </si>
  <si>
    <t>Demand Agriculture Electricity</t>
  </si>
  <si>
    <t>E5_AGRLPG</t>
  </si>
  <si>
    <t>Demand Agriculture LPG</t>
  </si>
  <si>
    <t>E5_AGRPURGSL</t>
  </si>
  <si>
    <t>Demand Agriculture Pure_Gasoline</t>
  </si>
  <si>
    <t>E5_CRUTRNELE</t>
  </si>
  <si>
    <t>Demand Electricity SOTE Crude</t>
  </si>
  <si>
    <t>E5_CRUTRNCRU</t>
  </si>
  <si>
    <t>Demand Crude SOTE Crude</t>
  </si>
  <si>
    <t>E5_EXPELE</t>
  </si>
  <si>
    <t>Demand Exports Electricity</t>
  </si>
  <si>
    <t>Passenger</t>
  </si>
  <si>
    <t>Passenger demands</t>
  </si>
  <si>
    <t>Freight demands</t>
  </si>
  <si>
    <t>Fuel_Set</t>
  </si>
  <si>
    <t>CapacityFactor</t>
  </si>
  <si>
    <t>Contains: PP_;PPI</t>
  </si>
  <si>
    <t>-</t>
  </si>
  <si>
    <t>Relationship of yearly output and capacity for power plants (electrical load factor)</t>
  </si>
  <si>
    <t>Exact_Multiplier</t>
  </si>
  <si>
    <t>Contains: PP;PPI</t>
  </si>
  <si>
    <t>InputActivityRatio</t>
  </si>
  <si>
    <t>ELE_DISTR</t>
  </si>
  <si>
    <t>Improvement of efficiency of distribution network</t>
  </si>
  <si>
    <t>BLEND_GSL</t>
  </si>
  <si>
    <t>E1_ETA</t>
  </si>
  <si>
    <t>E1_PURGSL</t>
  </si>
  <si>
    <t>BLEND_DSL</t>
  </si>
  <si>
    <t>E1_BIODSL</t>
  </si>
  <si>
    <t>E1_PURDSL</t>
  </si>
  <si>
    <t>EmissionActivityRatio</t>
  </si>
  <si>
    <t>T4_DSLHEA</t>
  </si>
  <si>
    <t>CO2</t>
  </si>
  <si>
    <t>Biofuels</t>
  </si>
  <si>
    <t>T4_DSLLIG</t>
  </si>
  <si>
    <t>T4_DSLMED</t>
  </si>
  <si>
    <t>T4_DSLPRI</t>
  </si>
  <si>
    <t>T4_DSLPUB</t>
  </si>
  <si>
    <t>T4_GSLLIG</t>
  </si>
  <si>
    <t>T4_GSLMED</t>
  </si>
  <si>
    <t>T4_GSLPRI</t>
  </si>
  <si>
    <t>T4_GSLPUB</t>
  </si>
  <si>
    <t>New capacity factor</t>
  </si>
  <si>
    <t>PP_CHP</t>
  </si>
  <si>
    <t>PP_COA</t>
  </si>
  <si>
    <t>PP_FOITST</t>
  </si>
  <si>
    <t>PP_NGSTGS</t>
  </si>
  <si>
    <t>PP_CRU</t>
  </si>
  <si>
    <t>PP_WASICE</t>
  </si>
  <si>
    <t>Tech</t>
  </si>
  <si>
    <t>Emission</t>
  </si>
  <si>
    <t>DIST_DSL</t>
  </si>
  <si>
    <t>CO2e_sources</t>
  </si>
  <si>
    <t>DIST_GSL</t>
  </si>
  <si>
    <t>T4DSL_HEA</t>
  </si>
  <si>
    <t>CO2e_Freight</t>
  </si>
  <si>
    <t>CO2e_HeavyCargo</t>
  </si>
  <si>
    <t>CO2e</t>
  </si>
  <si>
    <t>T4DSL_LIG</t>
  </si>
  <si>
    <t>CO2e_LightCargo</t>
  </si>
  <si>
    <t>T4DSL_PRI</t>
  </si>
  <si>
    <t>T4DSL_PUB</t>
  </si>
  <si>
    <t>T4GSL_LIG</t>
  </si>
  <si>
    <t>T4GSL_PRI</t>
  </si>
  <si>
    <t>T4GSL_PUB</t>
  </si>
  <si>
    <t>T5DSLAGR</t>
  </si>
  <si>
    <t>T5DSLIND</t>
  </si>
  <si>
    <t>0;0;0;0;0;0;0;0;0;0;0;0;0;0;0;0;0;0;0;0;0;0;0;0;0;0;0;0;0;0;0;0;0;0;0;0;0;0;0;0;0;0;0;0;0;0;0;0;0;0;0;0;0;0;0;0;0;0;0</t>
  </si>
  <si>
    <t xml:space="preserve">The maximum capacity </t>
  </si>
  <si>
    <t>TENDENCIAL</t>
  </si>
  <si>
    <t>Represents the system based on the first NDC proportions.</t>
  </si>
  <si>
    <t>PLANDEACCION</t>
  </si>
  <si>
    <t>Represents the system for the first phase of PLANMICC based on TENDENCIAL scenario of the first NDC.</t>
  </si>
  <si>
    <t>PPIDSLPETICE</t>
  </si>
  <si>
    <t>PPIDSLGALICE</t>
  </si>
  <si>
    <t>99999;99999;99999;99999;99999;99999;99999;99999;99999;99999;99999;99999;99999;99999;99999;99999;99999;99999;99999;99999;99999;99999;99999;99999;99999;99999;99999;99999;99999;99999;99999;99999;99999;99999;99999;99999;99999;99999;99999;99999;99999;99999;99999;99999;99999;99999;99999;99999;99999;99999;99999;99999;99999;99999;99999;99999;99999;99999;99999</t>
  </si>
  <si>
    <t>fuels</t>
  </si>
  <si>
    <t>Contains:PP_WASICE</t>
  </si>
  <si>
    <t>Contains:PP_FOIICE</t>
  </si>
  <si>
    <t>Contains:PPINGSPETTGS</t>
  </si>
  <si>
    <t>Contains:PPINGSPETICE</t>
  </si>
  <si>
    <t>Contains:PPICRUPETICE</t>
  </si>
  <si>
    <t>Contains:PPIDSLPETICE</t>
  </si>
  <si>
    <t>Contains:PP_DSLICE</t>
  </si>
  <si>
    <t>Contains:PPIDSLGALICE</t>
  </si>
  <si>
    <t>4.4004439446738;5.74711837886577;5.74711837886577;5.17137226652588;5.08863031026147;4.34740028539276;4.04746069393426;3.7751017545639;3.87852919989441;5.41615055380811;6.82621139181417;6.20564671983106;4.43358982316819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;3.44758151101726</t>
  </si>
  <si>
    <t>0.5622383613228;0.73430100696378;0.738434298340289;0.668177195306057;0.661146071082016;0.567967541382387;0.531692742984755;0.498629470287345;0.515079965461465;0.723175817612516;0.916359475775451;0.837517130960989;0.601548071246262;0.470246252838566;0.472725731768685;0.475205210698805;0.477684689628924;0.480164168559044;0.482643647489163;0.485123126419283;0.487602605349402;0.490082084279522;0.492561563209641;0.495041042139761;0.49752052106988;0.5;0.5;0.5;0.5;0.5;0.5;0.5;0.5;0.5;0.5;0.5;0.5;0.5;0.5;0.5;0.5;0.5;0.5;0.5;0.5;0.5;0.5;0.5;0.5;0.5;0.5;0.5;0.5;0.5;0.5;0.5;0.5;0.5;0.5</t>
  </si>
  <si>
    <t>5.23378557796947;6.83548879712424;6.87018509724406;6.21315062750199;6.14446111666824;5.27568057047274;4.93613145142604;4.62676360206255;4.77693956821138;6.70342891433;8.48983556475179;7.7554968428197;5.56763794516904;4.35023659181891;4.37105020916733;4.39186382651576;4.41267744386418;4.4334910612126;4.45430467856103;4.47511829590945;4.49593191325788;4.5167455306063;4.53755914795473;4.55837276530315;4.57918638265157;4.6;4.6;4.6;4.6;4.6;4.6;4.6;4.6;4.6;4.6;4.6;4.6;4.6;4.6;4.6;4.6;4.6;4.6;4.6;4.6;4.6;4.6;4.6;4.6;4.6;4.6;4.6;4.6;4.6;4.6;4.6;4.6;4.6;4.6</t>
  </si>
  <si>
    <t>2.74345678291425;2.63438531159768;2.52531384028111;2.17418329540901;2.04282198256053;1.66274947606713;1.47121704810283;1.30057129553065;1.26259486438477;1.66035337313336;1.96306496586811;1.66683088013052;1.10671534341357;0.795157561966913;0.729727765136337;0.664297968305761;0.598868171475185;0.533438374644609;0.468008577814033;0.402578780983457;0.337148984152881;0.271719187322305;0.206289390491729;0.140859593661153;0.0754297968305771;0.01;0.01;0.01;0.01;0.01;0.01;0.01;0.01;0.01;0.01;0.01;0.01;0.01;0.01;0.01;0.01;0.01;0.01;0.01;0.01;0.01;0.01;0.01;0.01;0.01;0.01;0.01;0.01;0.01;0.01;0.01;0.01;0.01;0.01</t>
  </si>
  <si>
    <t>3.59191205320489;4.35752684146407;4.32678277986727;3.4656487139952;3.82297202621449;3.32014826465988;2.87485663953442;2.7386381533057;2.752003982205;3.72735958173777;4.42966143414881;4.24570625172936;3.08522905838914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;2.399089469976</t>
  </si>
  <si>
    <t>4.48845282356727;5.86206074644308;5.86206074644308;5.2747997118564;5.1904029164667;4.43434829110062;4.12840990781294;3.85060378965517;3.9560997838923;5.52447356488427;6.96273561965045;6.32975965422768;4.52226161963156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;3.5165331412376</t>
  </si>
  <si>
    <t>0.573483128549256;0.748987027103055;0.753202984307095;0.681540739212178;0.674368992503657;0.579326892210034;0.54232659784445;0.508602059693092;0.525381564770694;0.737639333964767;0.93468666529096;0.854267473580208;0.613579032671187;0.479651177895337;0.482180246404059;0.484709314912781;0.487238383421503;0.489767451930225;0.492296520438947;0.494825588947668;0.49735465745639;0.499883725965112;0.502412794473834;0.504941862982556;0.507470931491278;0.51;0.51;0.51;0.51;0.51;0.51;0.51;0.51;0.51;0.51;0.51;0.51;0.51;0.51;0.51;0.51;0.51;0.51;0.51;0.51;0.51;0.51;0.51;0.51;0.51;0.51;0.51;0.51;0.51;0.51;0.51;0.51;0.51;0.51</t>
  </si>
  <si>
    <t>5.33846128952886;6.97219857306672;7.00758879918894;6.33741364005203;6.2673503390016;5.38119418188219;5.03485408045457;4.71929887410381;4.87247835957561;6.8374974926166;8.65963227604683;7.9106067796761;5.67899070407242;4.43724132365529;4.45847121335068;4.47970110304607;4.50093099274146;4.52216088243686;4.54339077213225;4.56462066182764;4.58585055152304;4.60708044121843;4.62831033091382;4.64954022060921;4.67077011030461;4.692;4.692;4.692;4.692;4.692;4.692;4.692;4.692;4.692;4.692;4.692;4.692;4.692;4.692;4.692;4.692;4.692;4.692;4.692;4.692;4.692;4.692;4.692;4.692;4.692;4.692;4.692;4.692;4.692;4.692;4.692;4.692;4.692;4.692</t>
  </si>
  <si>
    <t>2.79832591857254;2.68707301782964;2.57582011708674;2.21766696131719;2.08367842221174;1.69600446558847;1.50064138906488;1.32658272144127;1.28784676167246;1.69356044059603;2.00232626518547;1.70016749773313;1.12884965028184;0.811060713206251;0.744322320439064;0.677583927671876;0.610845534904689;0.544107142137501;0.477368749370314;0.410630356603126;0.343891963835939;0.277153571068751;0.210415178301564;0.143676785534376;0.0769383927671886;0.0102;0.0102;0.0102;0.0102;0.0102;0.0102;0.0102;0.0102;0.0102;0.0102;0.0102;0.0102;0.0102;0.0102;0.0102;0.0102;0.0102;0.0102;0.0102;0.0102;0.0102;0.0102;0.0102;0.0102;0.0102;0.0102;0.0102;0.0102;0.0102;0.0102;0.0102;0.0102;0.0102;0.0102</t>
  </si>
  <si>
    <t>3.66375029426898;4.44467737829335;4.41331843546461;3.5349616882751;3.89943146673878;3.38655122995308;2.9323537723251;2.79341091637182;2.8070440618491;3.80190677337253;4.51825466283178;4.33062037676395;3.14693363955692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;2.44707125937552</t>
  </si>
  <si>
    <t>0.447532949388595;0.469694148198832;0.542532161162401;1.00007113144751;1.02651456091289;1.5440430131892;1.92774487615623;1.90939406523223;1.7232675806052;0.039858689879928;0.0020167034973732;0.039531755484;1.29559475255515;2.57848759577153;2.721837715452;3.02486898110566;3.19725203641762;3.4476611062392;3.83053294487945;4.10634583337858;4.48921767201883;5.0408434490171;5.25314679082236;5.63420407098564;5.8065871262976;6.01707590962589;6.41627877455885;6.72656827412038;7.0368577736819;7.34714727324343;7.65743677280496;7.96772627236649;8.27801577192801;8.58830527148955;8.89859477105107;9.2088842706126;9.5209883286511;9.83127782821263;10.1415673277742;10.4518568273357;10.7621463268972;11.0724358264587;11.3827253260203;11.6930148255818;12.0033043251433;12.3135938247048;12.6256978827433;12.9359873823049;13.2462768818664;13.5565663814279;13.8668558809895;14.177145380551;14.4874348801125;14.797724379674;15.1080138792356;15.4183033787971;15.7304074368356;16.0406969363971;16.3509864359586</t>
  </si>
  <si>
    <t>6.58872254613087;5.29763769110134;5.85652751645164;9.87233728684466;11.1309251739735;15.1176888369629;12.9817458944355;7.19238374683357;8.90502691030785;0.138082508018352;0.005416770845124;0.0935762172797521;6.84398264964815;13.6208674301821;14.3781148101852;15.9788782590525;16.8894921970309;18.2122787595679;20.2348002428673;21.6917825436327;23.7143040269321;26.628268628463;27.7497615836574;29.7626976570834;30.6733115950618;31.7852191403827;33.8940093125432;35.5331144009044;37.1722194892655;38.8113245776266;40.4504296659877;42.0895347543488;43.7286398427099;45.367744931071;47.0068500194321;48.6459551077933;50.2946456060278;51.9337506943889;53.5728557827501;55.2119608711112;56.8510659594723;58.4901710478334;60.1292761361945;61.7683812245556;63.4074863129167;65.0465914012778;66.6952818995124;68.3343869878735;69.9734920762346;71.6125971645957;73.2517022529569;74.890807341318;76.5299124296791;78.1690175180402;79.8081226064013;81.4472276947624;83.095918192997;84.7350232813581;86.3741283697192</t>
  </si>
  <si>
    <t>1.62726722668941;1.33925590911627;1.49157925498748;2.6202480837123;2.95755148804339;4.00843594249479;4.37241803760876;4.03581911397779;2.83492838535165;0.059053002998976;0.002466349889724;0.041689255094496;1.4040806914826;2.79439588598988;2.9497493518542;3.27815477969397;3.46497223864473;3.73634917901532;4.15128058784281;4.45018852216404;4.86511993099153;5.46293579963398;5.6930162490786;6.10598115833819;6.29279861728896;6.52091256716568;6.9535424721043;7.28981389821568;7.62608532432706;7.96235675043843;8.29862817654982;8.63489960266119;8.97117102877257;9.30744245488395;9.64371388099533;9.97998530710671;10.318223232786;10.6544946588974;10.9907660850087;11.3270375111201;11.6633089372315;11.9995803633429;12.3358517894543;12.6721232155656;13.008394641677;13.3446660677884;13.6829039934677;14.0191754195791;14.3554468456904;14.6917182718018;15.0279896979132;15.3642611240246;15.700532550136;16.0368039762473;16.3730754023587;16.7093468284701;17.0475847541494;17.3838561802608;17.7201276063721</t>
  </si>
  <si>
    <t>2.1754948674573;1.91463100742204;1.84359596544612;2.66150288809339;2.67747616187088;3.61841660782003;3.86819966597615;4.04510745882194;3.72436186003538;0.0808619021990805;0.0038297766655819;0.0723291644241955;2.42984180066208;4.5327361134335;4.46475433214009;4.60622846768335;4.49286389085318;4.43944035445632;4.48213665248691;4.32212783768473;4.1973691568832;4.12053455386306;3.67652068937191;3.2808575395509;2.6986190219908;2.08908;2.22768;2.33541;2.44314;2.55087;2.6586;2.76633;2.87406;2.98179;3.08952;3.19725;3.30561;3.41334;3.52107;3.6288;3.73653;3.84426;3.95199;4.05972;4.16745;4.27518;4.38354;4.49127;4.599;4.70673;4.81446;4.92219;5.02992;5.13765;5.24538;5.35311;5.46147;5.5692;5.67693</t>
  </si>
  <si>
    <t>1.20321166751416;1.26279300786241;1.4586211522617;2.17407510648268;2.26161372413325;3.1658488328265;3.51204441383425;3.81889751791041;3.66422242844367;0.0831117857568793;0.00412349580032373;0.08182804625607;2.89834650125225;5.72267299496126;5.99268277536419;6.60636828065851;6.9263072501065;7.40779863659598;8.16270481724169;8.67782293580801;9.40753572875034;10.474358541656;10.8225925854843;11.508000836251;11.7573983201295;11.97076;12.76496;13.38227;13.99958;14.61689;15.2342;15.85151;16.46882;17.08613;17.70344;18.32075;18.94167;19.55898;20.17629;20.7936;21.41091;22.02822;22.64553;23.26284;23.88015;24.49746;25.11838;25.73569;26.353;26.97031;27.58762;28.20493;28.82224;29.43955;30.05686;30.67417;31.29509;31.9124;32.52971</t>
  </si>
  <si>
    <t>1.1322;1.45188;1.98135;4.09;4.75792;8.00337;8.94558;9.80115;9.47625;0.2166;0.01083;0.2166;7.73262;15.38943;16.245;18.05361;19.08246;20.577;22.86213;24.50829;26.79342;30.08574;31.35285;33.62715;34.656;35.91228;38.29488;40.14681;41.99874;43.85067;45.7026;47.55453;49.40646;51.25839;53.11032;54.96225;56.82501;58.67694;60.52887;62.3808;64.23273;66.08466;67.93659;69.78852;71.64045;73.49238;75.35514;77.20707;79.059;80.91093;82.76286;84.61479;86.46672;88.31865;90.17058;92.02251;93.88527;95.7372;97.58913</t>
  </si>
  <si>
    <t>0.666;0.55278;0.61605;1.805;2.03312;2.75647;5.1212;9.38485;10.9725;0.231;0.01117;0.3644;13.27326;35.6671;37.65;41.8417;43.85618;46.892;51.65617;54.90038;59.4997;66.22752;68.40885;72.7191;74.272;76.268;81.328;85.261;89.194;93.127;97.06;100.993;104.926;108.859;112.792;116.725;120.681;124.614;128.547;132.48;136.413;140.346;144.279;148.212;152.145;156.078;160.034;163.967;167.9;171.833;175.766;179.699;183.632;187.565;191.498;195.431;199.387;203.32;207.253</t>
  </si>
  <si>
    <t>0.435228607550127;0.276915285128925;0.280014537388979;0.625549908657897;0.689748407225142;0.97699772802663;0.51988241056248;0.203285566240884;0.36434675975355;0.00795363399338401;0.0001959444533808;0.004220663646024;0.315612167076158;0.628130097220198;0.6630507711684;0.736870423691815;0.778863639199147;0.83986431014664;0.933133451957662;1.00032259676939;1.09359173858041;1.22797002820388;1.27968798835501;1.37251509631859;1.41450831182592;1.46578423812961;1.56303168456764;1.63861947248084;1.71420726039404;1.78979504830723;1.86538283622043;1.94097062413363;2.01655841204683;2.09214619996003;2.16773398787322;2.24332177578642;2.31935159754706;2.39493938546026;2.47052717337346;2.54611496128666;2.62170274919985;2.69729053711305;2.77287832502625;2.84846611293945;2.92405390085264;2.99964168876584;3.07567151052649;3.15125929843968;3.22684708635288;3.30243487426608;3.37802266217928;3.45361045009247;3.52919823800567;3.60478602591887;3.68037381383207;3.75596160174526;3.83199142350591;3.9075792114191;3.9831669993323</t>
  </si>
  <si>
    <t>0.456483608376367;0.479088031162809;0.553382804385649;1.02007255407646;1.04704485213115;1.57492387345298;1.96629977367935;1.94758194653687;1.7577329322173;0.0406558636775266;0.00205703756732067;0.04032239059368;1.32150664760626;2.63005734768696;2.77627446976104;3.08536636072777;3.26119707714597;3.51661432836398;3.90714360377704;4.18847275004616;4.57900202545921;5.14166031799745;5.35820972663881;5.74688815240535;5.92271886882355;6.13741742781841;6.54460435005003;6.86109963960278;7.17759492915554;7.4940902187083;7.81058550826106;8.12708079781382;8.44357608736657;8.76007137691934;9.07656666647209;9.39306195602485;9.71140809522412;10.0279033847769;10.3443986743296;10.6608939638824;10.9773892534352;11.2938845429879;11.6103798325407;11.9268751220934;12.2433704116462;12.5598657011989;12.8782118403982;13.194707129951;13.5112024195037;13.8276977090565;14.1441929986092;14.460688288162;14.7771835777148;15.0936788672675;15.4101741568203;15.726669446373;16.0450155855723;16.3615108751251;16.6780061646778</t>
  </si>
  <si>
    <t>6.72049699705349;5.40359044492337;5.97365806678067;10.0697840325816;11.353543677453;15.4200426137022;13.2413808123242;7.33623142177024;9.08312744851401;0.140844158178719;0.00552510626202648;0.0954477416253471;6.98086230264112;13.8932847787858;14.6656771063889;16.2984558242335;17.2272820409715;18.5765243347593;20.6394962477246;22.1256181945054;24.1885901074708;27.1608340010322;28.3047568153306;30.357951610225;31.286777826963;32.4209235231904;34.5718894987941;36.2437766889224;37.9156638790508;39.5875510691791;41.2594382593075;42.9313254494358;44.6032126395641;46.2750998296925;47.9469870198208;49.6188742099491;51.3005385181484;52.9724257082767;54.6443128984051;56.3162000885334;57.9880872786617;59.6599744687901;61.3318616589184;63.0037488490467;64.6756360391751;66.3475232293034;68.0291875375027;69.701074727631;71.3729619177593;73.0448491078877;74.716736298016;76.3886234881443;78.0605106782727;79.732397868401;81.4042850585293;83.0761722486577;84.7578365568569;86.4297237469853;88.1016109371136</t>
  </si>
  <si>
    <t>1.6598125712232;1.3660410272986;1.52141084008723;2.67265304538654;3.01670251780426;4.08860466134469;4.45986639836094;4.11653549625734;2.89162695305868;0.0602340630589556;0.00251567688751848;0.042523040196386;1.43216230531225;2.85028380370968;3.00874433889128;3.34371787528785;3.53427168341763;3.81107616259563;4.23430619959967;4.53919229260732;4.96242232961136;5.57219451562666;5.80687657406018;6.22810078150496;6.41865458963474;6.651330818509;7.09261332154639;7.43561017617999;7.7786070308136;8.1216038854472;8.46460074008081;8.80759759471442;9.15059444934802;9.49359130398163;9.83658815861524;10.1795850132488;10.5245876974417;10.8675845520753;11.2105814067089;11.5535782613425;11.8965751159761;12.2395719706097;12.5825688252433;12.925565679877;13.2685625345106;13.6115593891442;13.956562073337;14.2995589279706;14.6425557826042;14.9855526372379;15.3285494918715;15.6715463465051;16.0145432011387;16.3575400557723;16.7005369104059;17.0435337650395;17.3885364492324;17.731533303866;18.0745301584996</t>
  </si>
  <si>
    <t>2.21900476480645;1.95292362757048;1.88046788475504;2.71473294585526;2.7310256851083;3.69078493997643;3.94556365929568;4.12600960799838;3.79884909723609;0.0824791402430622;0.00390637219889354;0.0737757477126794;2.47843863667532;4.62339083570217;4.55404941878289;4.69835303703701;4.58272116867024;4.52822916154544;4.57177938553664;4.40857039443842;4.28131654002086;4.20294524494032;3.75005110315935;3.34647469034191;2.75259140243061;2.1308616;2.2722336;2.3821182;2.4920028;2.6018874;2.711772;2.8216566;2.9315412;3.0414258;3.1513104;3.261195;3.3717222;3.4816068;3.5914914;3.701376;3.8112606;3.9211452;4.0310298;4.1409144;4.250799;4.3606836;4.4712108;4.5810954;4.69098;4.8008646;4.9107492;5.0206338;5.1305184;5.240403;5.3502876;5.4601722;5.5706994;5.680584;5.7904686</t>
  </si>
  <si>
    <t>1.22727590086444;1.28804886801965;1.48779357530694;2.21755660861234;2.30684599861591;3.22916580948303;3.58228530211094;3.89527546826862;3.73750687701255;0.0847740214720169;0.00420596571633021;0.0834646071811914;2.95631343127729;5.83712645486049;6.11253643087148;6.73849564627168;7.06483339510863;7.5559546093279;8.32595891358653;8.85137939452417;9.59568644332534;10.6838457124892;11.039044437194;11.738160852976;11.9925462865321;12.2101752;13.0202592;13.6499154;14.2795716;14.9092278;15.538884;16.1685402;16.7981964;17.4278526;18.0575088;18.687165;19.3205034;19.9501596;20.5798158;21.209472;21.8391282;22.4687844;23.0984406;23.7280968;24.357753;24.9874092;25.6207476;26.2504038;26.88006;27.5097162;28.1393724;28.7690286;29.3986848;30.028341;30.6579972;31.2876534;31.9209918;32.550648;33.1803042</t>
  </si>
  <si>
    <t>1.154844;1.4809176;2.020977;4.1718;4.8530784;8.1634374;9.1244916;9.997173;9.665775;0.220932;0.0110466;0.220932;7.8872724;15.6972186;16.5699;18.4146822;19.4641092;20.98854;23.3193726;24.9984558;27.3292884;30.6874548;31.979907;34.299693;35.34912;36.6305256;39.0607776;40.9497462;42.8387148;44.7276834;46.616652;48.5056206;50.3945892;52.2835578;54.1725264;56.061495;57.9615102;59.8504788;61.7394474;63.628416;65.5173846;67.4063532;69.2953218;71.1842904;73.073259;74.9622276;76.8622428;78.7512114;80.64018;82.5291486;84.4181172;86.3070858;88.1960544;90.085023;91.9739916;93.8629602;95.7629754;97.651944;99.5409126</t>
  </si>
  <si>
    <t>0.67932;0.5638356;0.628371;1.8411;2.0737824;2.8115994;5.223624;9.572547;11.19195;0.23562;0.0113934;0.371688;13.5387252;36.380442;38.403;42.678534;44.7333036;47.82984;52.6892934;55.9983876;60.689694;67.5520704;69.777027;74.173482;75.75744;77.79336;82.95456;86.96622;90.97788;94.98954;99.0012;103.01286;107.02452;111.03618;115.04784;119.0595;123.09462;127.10628;131.11794;135.1296;139.14126;143.15292;147.16458;151.17624;155.1879;159.19956;163.23468;167.24634;171.258;175.26966;179.28132;183.29298;187.30464;191.3163;195.32796;199.33962;203.37474;207.3864;211.39806</t>
  </si>
  <si>
    <t>0.44393317970113;0.282453590831504;0.285614828136758;0.638060906831055;0.703543375369645;0.996537682587162;0.53028005877373;0.207351277565702;0.371633694948621;0.00811270667325169;0.000199863342448416;0.00430507691894448;0.321924410417682;0.640692699164602;0.676311786591768;0.751607832165652;0.79444091198313;0.856661596349573;0.951796120996815;1.02032904870478;1.11546357335202;1.25252942876795;1.30528174812211;1.39996539824496;1.44279847806244;1.4950999228922;1.59429231825899;1.67139186193046;1.74849140560192;1.82559094927338;1.90269049294484;1.9797900366163;2.05688958028776;2.13398912395923;2.21108866763069;2.28818821130215;2.365738629498;2.44283817316947;2.51993771684093;2.59703726051239;2.67413680418385;2.75123634785531;2.82833589152677;2.90543543519824;2.9825349788697;3.05963452254116;3.13718494073701;3.21428448440848;3.29138402807994;3.3684835717514;3.44558311542286;3.52268265909432;3.59978220276578;3.67688174643725;3.75398129010871;3.83108083378017;3.90863125197603;3.98573079564749;4.06283033931895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</si>
</sst>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000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64"/>
      <name val="Calibri"/>
      <family val="2"/>
    </font>
    <font>
      <b/>
      <sz val="11"/>
      <color indexed="64"/>
      <name val="Calibri"/>
      <family val="2"/>
      <scheme val="minor"/>
    </font>
    <font>
      <sz val="11"/>
      <color indexed="64"/>
      <name val="Calibri"/>
      <family val="2"/>
      <scheme val="minor"/>
    </font>
    <font>
      <sz val="11"/>
      <name val="Calibri"/>
      <family val="2"/>
      <scheme val="minor"/>
    </font>
    <font>
      <sz val="11"/>
      <color indexed="2"/>
      <name val="Calibri"/>
      <family val="2"/>
      <scheme val="minor"/>
    </font>
    <font>
      <sz val="8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4"/>
      </patternFill>
    </fill>
    <fill>
      <patternFill patternType="solid">
        <fgColor indexed="2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rgb="FFFFC000"/>
      </patternFill>
    </fill>
    <fill>
      <patternFill patternType="solid">
        <fgColor theme="7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D8BDFB"/>
      </patternFill>
    </fill>
    <fill>
      <patternFill patternType="solid">
        <fgColor rgb="FFF4B084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DDEBF7"/>
        <bgColor rgb="FFDDEBF7"/>
      </patternFill>
    </fill>
    <fill>
      <patternFill patternType="solid">
        <fgColor rgb="FFD6DCE4"/>
        <bgColor rgb="FFD6DCE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FF00"/>
        <bgColor rgb="FFD6DCE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1">
    <xf numFmtId="0" fontId="0" fillId="0" borderId="0"/>
  </cellStyleXfs>
  <cellXfs count="223">
    <xf numFmtId="0" fontId="0" fillId="0" borderId="0" xfId="0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164" fontId="0" fillId="0" borderId="8" xfId="0" applyNumberFormat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8" borderId="8" xfId="0" applyFill="1" applyBorder="1"/>
    <xf numFmtId="0" fontId="6" fillId="8" borderId="8" xfId="0" applyFont="1" applyFill="1" applyBorder="1"/>
    <xf numFmtId="0" fontId="0" fillId="6" borderId="22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10" borderId="26" xfId="0" applyFill="1" applyBorder="1" applyAlignment="1">
      <alignment horizontal="center" vertical="center"/>
    </xf>
    <xf numFmtId="0" fontId="0" fillId="9" borderId="27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0" fontId="0" fillId="9" borderId="21" xfId="0" applyFill="1" applyBorder="1" applyAlignment="1">
      <alignment horizontal="center" vertical="center"/>
    </xf>
    <xf numFmtId="164" fontId="6" fillId="8" borderId="8" xfId="0" applyNumberFormat="1" applyFont="1" applyFill="1" applyBorder="1"/>
    <xf numFmtId="0" fontId="0" fillId="11" borderId="20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2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 wrapText="1"/>
    </xf>
    <xf numFmtId="0" fontId="5" fillId="12" borderId="26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0" fillId="13" borderId="8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 wrapText="1"/>
    </xf>
    <xf numFmtId="0" fontId="0" fillId="13" borderId="16" xfId="0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6" borderId="8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7" fillId="18" borderId="8" xfId="0" applyFont="1" applyFill="1" applyBorder="1" applyAlignment="1">
      <alignment horizontal="center" vertical="center" wrapText="1"/>
    </xf>
    <xf numFmtId="0" fontId="0" fillId="19" borderId="8" xfId="0" applyFill="1" applyBorder="1" applyAlignment="1">
      <alignment horizontal="center" vertical="center"/>
    </xf>
    <xf numFmtId="0" fontId="0" fillId="0" borderId="28" xfId="0" applyBorder="1"/>
    <xf numFmtId="0" fontId="8" fillId="0" borderId="29" xfId="0" applyFont="1" applyBorder="1"/>
    <xf numFmtId="0" fontId="8" fillId="0" borderId="30" xfId="0" applyFont="1" applyBorder="1"/>
    <xf numFmtId="0" fontId="8" fillId="0" borderId="30" xfId="0" applyFont="1" applyBorder="1" applyAlignment="1">
      <alignment wrapText="1"/>
    </xf>
    <xf numFmtId="0" fontId="8" fillId="0" borderId="28" xfId="0" applyFont="1" applyBorder="1"/>
    <xf numFmtId="0" fontId="8" fillId="0" borderId="31" xfId="0" applyFont="1" applyBorder="1"/>
    <xf numFmtId="0" fontId="8" fillId="20" borderId="32" xfId="0" applyFont="1" applyFill="1" applyBorder="1" applyAlignment="1">
      <alignment wrapText="1"/>
    </xf>
    <xf numFmtId="0" fontId="8" fillId="20" borderId="33" xfId="0" applyFont="1" applyFill="1" applyBorder="1" applyAlignment="1">
      <alignment wrapText="1"/>
    </xf>
    <xf numFmtId="0" fontId="8" fillId="5" borderId="34" xfId="0" applyFont="1" applyFill="1" applyBorder="1" applyAlignment="1">
      <alignment wrapText="1"/>
    </xf>
    <xf numFmtId="0" fontId="8" fillId="0" borderId="35" xfId="0" applyFont="1" applyBorder="1" applyAlignment="1">
      <alignment wrapText="1"/>
    </xf>
    <xf numFmtId="0" fontId="0" fillId="0" borderId="36" xfId="0" applyBorder="1"/>
    <xf numFmtId="0" fontId="9" fillId="21" borderId="0" xfId="0" applyFont="1" applyFill="1"/>
    <xf numFmtId="165" fontId="10" fillId="21" borderId="37" xfId="0" applyNumberFormat="1" applyFont="1" applyFill="1" applyBorder="1"/>
    <xf numFmtId="165" fontId="9" fillId="21" borderId="38" xfId="0" applyNumberFormat="1" applyFont="1" applyFill="1" applyBorder="1"/>
    <xf numFmtId="165" fontId="9" fillId="21" borderId="39" xfId="0" applyNumberFormat="1" applyFont="1" applyFill="1" applyBorder="1"/>
    <xf numFmtId="165" fontId="9" fillId="21" borderId="0" xfId="0" applyNumberFormat="1" applyFont="1" applyFill="1"/>
    <xf numFmtId="0" fontId="9" fillId="0" borderId="0" xfId="0" applyFont="1"/>
    <xf numFmtId="165" fontId="9" fillId="0" borderId="40" xfId="0" applyNumberFormat="1" applyFont="1" applyBorder="1"/>
    <xf numFmtId="165" fontId="9" fillId="0" borderId="0" xfId="0" applyNumberFormat="1" applyFont="1"/>
    <xf numFmtId="165" fontId="9" fillId="0" borderId="41" xfId="0" applyNumberFormat="1" applyFont="1" applyBorder="1"/>
    <xf numFmtId="165" fontId="11" fillId="21" borderId="40" xfId="0" applyNumberFormat="1" applyFont="1" applyFill="1" applyBorder="1"/>
    <xf numFmtId="165" fontId="9" fillId="21" borderId="40" xfId="0" applyNumberFormat="1" applyFont="1" applyFill="1" applyBorder="1"/>
    <xf numFmtId="165" fontId="9" fillId="21" borderId="41" xfId="0" applyNumberFormat="1" applyFont="1" applyFill="1" applyBorder="1"/>
    <xf numFmtId="165" fontId="11" fillId="0" borderId="40" xfId="0" applyNumberFormat="1" applyFont="1" applyBorder="1"/>
    <xf numFmtId="0" fontId="0" fillId="0" borderId="42" xfId="0" applyBorder="1"/>
    <xf numFmtId="0" fontId="0" fillId="0" borderId="43" xfId="0" applyBorder="1"/>
    <xf numFmtId="0" fontId="5" fillId="0" borderId="4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2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48" xfId="0" applyBorder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0" fillId="16" borderId="11" xfId="0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/>
    </xf>
    <xf numFmtId="0" fontId="9" fillId="22" borderId="4" xfId="0" applyFont="1" applyFill="1" applyBorder="1" applyAlignment="1">
      <alignment horizontal="center" vertical="center"/>
    </xf>
    <xf numFmtId="0" fontId="9" fillId="22" borderId="45" xfId="0" applyFont="1" applyFill="1" applyBorder="1" applyAlignment="1">
      <alignment horizontal="center" vertical="center"/>
    </xf>
    <xf numFmtId="0" fontId="9" fillId="22" borderId="51" xfId="0" applyFont="1" applyFill="1" applyBorder="1" applyAlignment="1">
      <alignment horizontal="center" vertical="center"/>
    </xf>
    <xf numFmtId="0" fontId="9" fillId="23" borderId="45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9" fillId="19" borderId="50" xfId="0" applyFont="1" applyFill="1" applyBorder="1" applyAlignment="1">
      <alignment horizontal="center" vertical="center"/>
    </xf>
    <xf numFmtId="0" fontId="5" fillId="0" borderId="8" xfId="0" applyFont="1" applyBorder="1"/>
    <xf numFmtId="0" fontId="0" fillId="13" borderId="8" xfId="0" applyFill="1" applyBorder="1"/>
    <xf numFmtId="0" fontId="0" fillId="6" borderId="8" xfId="0" applyFill="1" applyBorder="1"/>
    <xf numFmtId="0" fontId="0" fillId="24" borderId="8" xfId="0" applyFill="1" applyBorder="1"/>
    <xf numFmtId="0" fontId="8" fillId="20" borderId="32" xfId="0" applyFont="1" applyFill="1" applyBorder="1" applyAlignment="1">
      <alignment horizontal="center" wrapText="1"/>
    </xf>
    <xf numFmtId="0" fontId="9" fillId="25" borderId="0" xfId="0" applyFont="1" applyFill="1"/>
    <xf numFmtId="0" fontId="9" fillId="26" borderId="0" xfId="0" applyFont="1" applyFill="1"/>
    <xf numFmtId="0" fontId="4" fillId="12" borderId="8" xfId="0" applyFont="1" applyFill="1" applyBorder="1" applyAlignment="1">
      <alignment horizontal="center" vertical="center" wrapText="1"/>
    </xf>
    <xf numFmtId="0" fontId="0" fillId="19" borderId="26" xfId="0" applyFill="1" applyBorder="1" applyAlignment="1">
      <alignment horizontal="center" vertical="center" wrapText="1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9" xfId="0" applyFont="1" applyBorder="1"/>
    <xf numFmtId="0" fontId="3" fillId="0" borderId="54" xfId="0" applyFont="1" applyBorder="1"/>
    <xf numFmtId="0" fontId="3" fillId="0" borderId="1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0" xfId="0" applyFont="1"/>
    <xf numFmtId="0" fontId="9" fillId="19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19" borderId="45" xfId="0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19" borderId="49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13" borderId="45" xfId="0" applyFill="1" applyBorder="1" applyAlignment="1">
      <alignment horizontal="center" vertical="center"/>
    </xf>
    <xf numFmtId="0" fontId="0" fillId="19" borderId="20" xfId="0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19" borderId="45" xfId="0" applyFill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9" fillId="19" borderId="48" xfId="0" applyFont="1" applyFill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0" fillId="19" borderId="10" xfId="0" applyFill="1" applyBorder="1" applyAlignment="1">
      <alignment horizontal="center" vertical="center"/>
    </xf>
    <xf numFmtId="0" fontId="9" fillId="22" borderId="1" xfId="0" applyFont="1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0" fontId="9" fillId="22" borderId="25" xfId="0" applyFont="1" applyFill="1" applyBorder="1" applyAlignment="1">
      <alignment horizontal="center" vertical="center"/>
    </xf>
    <xf numFmtId="0" fontId="9" fillId="22" borderId="10" xfId="0" applyFont="1" applyFill="1" applyBorder="1" applyAlignment="1">
      <alignment horizontal="center" vertical="center"/>
    </xf>
    <xf numFmtId="0" fontId="0" fillId="16" borderId="45" xfId="0" applyFill="1" applyBorder="1" applyAlignment="1">
      <alignment horizontal="center" vertical="center"/>
    </xf>
    <xf numFmtId="0" fontId="9" fillId="22" borderId="2" xfId="0" applyFont="1" applyFill="1" applyBorder="1" applyAlignment="1">
      <alignment horizontal="center" vertical="center"/>
    </xf>
    <xf numFmtId="0" fontId="9" fillId="22" borderId="26" xfId="0" applyFont="1" applyFill="1" applyBorder="1" applyAlignment="1">
      <alignment horizontal="center" vertical="center"/>
    </xf>
    <xf numFmtId="0" fontId="9" fillId="22" borderId="11" xfId="0" applyFont="1" applyFill="1" applyBorder="1" applyAlignment="1">
      <alignment horizontal="center" vertical="center"/>
    </xf>
    <xf numFmtId="0" fontId="0" fillId="16" borderId="51" xfId="0" applyFill="1" applyBorder="1" applyAlignment="1">
      <alignment horizontal="center" vertical="center"/>
    </xf>
    <xf numFmtId="0" fontId="0" fillId="19" borderId="12" xfId="0" applyFill="1" applyBorder="1" applyAlignment="1">
      <alignment horizontal="center" vertical="center"/>
    </xf>
    <xf numFmtId="0" fontId="9" fillId="22" borderId="3" xfId="0" applyFont="1" applyFill="1" applyBorder="1" applyAlignment="1">
      <alignment horizontal="center" vertical="center"/>
    </xf>
    <xf numFmtId="0" fontId="0" fillId="19" borderId="51" xfId="0" applyFill="1" applyBorder="1" applyAlignment="1">
      <alignment horizontal="center" vertical="center"/>
    </xf>
    <xf numFmtId="0" fontId="9" fillId="22" borderId="52" xfId="0" applyFont="1" applyFill="1" applyBorder="1" applyAlignment="1">
      <alignment horizontal="center" vertical="center"/>
    </xf>
    <xf numFmtId="0" fontId="9" fillId="22" borderId="12" xfId="0" applyFont="1" applyFill="1" applyBorder="1" applyAlignment="1">
      <alignment horizontal="center" vertical="center"/>
    </xf>
    <xf numFmtId="0" fontId="9" fillId="23" borderId="8" xfId="0" applyFont="1" applyFill="1" applyBorder="1" applyAlignment="1">
      <alignment horizontal="center" vertical="center"/>
    </xf>
    <xf numFmtId="0" fontId="9" fillId="23" borderId="53" xfId="0" applyFont="1" applyFill="1" applyBorder="1" applyAlignment="1">
      <alignment horizontal="center" vertical="center"/>
    </xf>
    <xf numFmtId="0" fontId="9" fillId="23" borderId="49" xfId="0" applyFont="1" applyFill="1" applyBorder="1" applyAlignment="1">
      <alignment horizontal="center" vertical="center"/>
    </xf>
    <xf numFmtId="0" fontId="9" fillId="23" borderId="11" xfId="0" applyFont="1" applyFill="1" applyBorder="1" applyAlignment="1">
      <alignment horizontal="center" vertical="center"/>
    </xf>
    <xf numFmtId="2" fontId="0" fillId="19" borderId="11" xfId="0" applyNumberFormat="1" applyFill="1" applyBorder="1" applyAlignment="1">
      <alignment horizontal="center" vertical="center"/>
    </xf>
    <xf numFmtId="2" fontId="0" fillId="19" borderId="45" xfId="0" applyNumberFormat="1" applyFill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0" fillId="6" borderId="45" xfId="0" applyFill="1" applyBorder="1" applyAlignment="1">
      <alignment horizontal="center" vertical="center"/>
    </xf>
    <xf numFmtId="2" fontId="0" fillId="19" borderId="1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CD7FAD3-7335-40A0-85D6-FB2F40DFB87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3"/>
      <sheetName val="Sheet2"/>
    </sheetNames>
    <sheetDataSet>
      <sheetData sheetId="0" refreshError="1"/>
      <sheetData sheetId="1" refreshError="1">
        <row r="63">
          <cell r="T63">
            <v>46.263224999999998</v>
          </cell>
          <cell r="U63">
            <v>47.988422499999999</v>
          </cell>
          <cell r="V63">
            <v>49.399502499999997</v>
          </cell>
          <cell r="W63">
            <v>49.476052500000002</v>
          </cell>
          <cell r="X63">
            <v>48.520899999999997</v>
          </cell>
          <cell r="Y63">
            <v>47.605450000000005</v>
          </cell>
          <cell r="Z63">
            <v>47.732900000000001</v>
          </cell>
          <cell r="AA63">
            <v>47.073799999999999</v>
          </cell>
          <cell r="AB63">
            <v>46.881754999999998</v>
          </cell>
          <cell r="AC63">
            <v>46.994487500000005</v>
          </cell>
          <cell r="AD63">
            <v>47.116134000000002</v>
          </cell>
          <cell r="AE63">
            <v>47.276600000000002</v>
          </cell>
          <cell r="AF63">
            <v>47.445475000000002</v>
          </cell>
          <cell r="AG63">
            <v>47.335975000000005</v>
          </cell>
          <cell r="AH63">
            <v>47.468375000000009</v>
          </cell>
          <cell r="AI63">
            <v>47.536374999999992</v>
          </cell>
          <cell r="AJ63">
            <v>47.603625000000001</v>
          </cell>
          <cell r="AK63">
            <v>47.711100000000002</v>
          </cell>
          <cell r="AL63">
            <v>47.859524999999998</v>
          </cell>
          <cell r="AM63">
            <v>47.971775000000001</v>
          </cell>
          <cell r="AN63">
            <v>48.019575000000003</v>
          </cell>
          <cell r="AO63">
            <v>48.291225000000004</v>
          </cell>
          <cell r="AP63">
            <v>48.787724999999995</v>
          </cell>
          <cell r="AQ63">
            <v>49.513199999999998</v>
          </cell>
          <cell r="AR63">
            <v>50.360100000000003</v>
          </cell>
          <cell r="AS63">
            <v>51.413799999999995</v>
          </cell>
          <cell r="AT63">
            <v>52.390799999999999</v>
          </cell>
          <cell r="AU63">
            <v>53.480599999999995</v>
          </cell>
          <cell r="AV63">
            <v>54.506399999999999</v>
          </cell>
          <cell r="AW63">
            <v>55.626200000000004</v>
          </cell>
          <cell r="AX63">
            <v>56.694400000000002</v>
          </cell>
          <cell r="AY63">
            <v>57.843699999999998</v>
          </cell>
          <cell r="AZ63">
            <v>58.979699999999994</v>
          </cell>
          <cell r="BA63">
            <v>60.190300000000001</v>
          </cell>
          <cell r="BB63">
            <v>61.399799999999999</v>
          </cell>
          <cell r="BC63">
            <v>62.620899999999992</v>
          </cell>
          <cell r="BD63">
            <v>63.872500000000002</v>
          </cell>
          <cell r="BE63">
            <v>65.141999999999996</v>
          </cell>
          <cell r="BF63">
            <v>66.441599999999994</v>
          </cell>
          <cell r="BG63">
            <v>67.765200000000007</v>
          </cell>
          <cell r="BH63">
            <v>69.125600000000006</v>
          </cell>
          <cell r="BI63">
            <v>70.497199999999992</v>
          </cell>
          <cell r="BJ63">
            <v>71.905200000000008</v>
          </cell>
        </row>
        <row r="68">
          <cell r="T68">
            <v>0.55882582270657177</v>
          </cell>
          <cell r="U68">
            <v>0.55631780098467498</v>
          </cell>
          <cell r="V68">
            <v>0.55380977926277819</v>
          </cell>
          <cell r="W68">
            <v>0.5513017575408814</v>
          </cell>
          <cell r="X68">
            <v>0.54879373581898461</v>
          </cell>
          <cell r="Y68">
            <v>0.54628571409708782</v>
          </cell>
          <cell r="Z68">
            <v>0.54377769237519102</v>
          </cell>
          <cell r="AA68">
            <v>0.54126967065329423</v>
          </cell>
          <cell r="AB68">
            <v>0.53876164893139744</v>
          </cell>
          <cell r="AC68">
            <v>0.53625362720950065</v>
          </cell>
          <cell r="AD68">
            <v>0.53374560548760386</v>
          </cell>
          <cell r="AE68">
            <v>0.53123758376570707</v>
          </cell>
          <cell r="AF68">
            <v>0.52872956204381028</v>
          </cell>
          <cell r="AG68">
            <v>0.52622154032191348</v>
          </cell>
          <cell r="AH68">
            <v>0.52371351860001669</v>
          </cell>
          <cell r="AI68">
            <v>0.5212054968781199</v>
          </cell>
          <cell r="AJ68">
            <v>0.51869747515622311</v>
          </cell>
          <cell r="AK68">
            <v>0.51618945343432632</v>
          </cell>
          <cell r="AL68">
            <v>0.51368143171242953</v>
          </cell>
          <cell r="AM68">
            <v>0.51117340999053273</v>
          </cell>
          <cell r="AN68">
            <v>0.50866538826863594</v>
          </cell>
          <cell r="AO68">
            <v>0.50615736654673915</v>
          </cell>
          <cell r="AP68">
            <v>0.50364934482484236</v>
          </cell>
          <cell r="AQ68">
            <v>0.50114132310294557</v>
          </cell>
          <cell r="AR68">
            <v>0.49863330138104872</v>
          </cell>
          <cell r="AS68">
            <v>0.49612527965915187</v>
          </cell>
          <cell r="AT68">
            <v>0.49361725793725503</v>
          </cell>
          <cell r="AU68">
            <v>0.49110923621535818</v>
          </cell>
          <cell r="AV68">
            <v>0.48860121449346133</v>
          </cell>
          <cell r="AW68">
            <v>0.48609319277156449</v>
          </cell>
          <cell r="AX68">
            <v>0.48358517104966764</v>
          </cell>
          <cell r="AY68">
            <v>0.48107714932777079</v>
          </cell>
          <cell r="AZ68">
            <v>0.47856912760587395</v>
          </cell>
          <cell r="BA68">
            <v>0.4760611058839771</v>
          </cell>
          <cell r="BB68">
            <v>0.47355308416208025</v>
          </cell>
          <cell r="BC68">
            <v>0.4710450624401834</v>
          </cell>
          <cell r="BD68">
            <v>0.46853704071828656</v>
          </cell>
          <cell r="BE68">
            <v>0.46602901899638971</v>
          </cell>
          <cell r="BF68">
            <v>0.46352099727449286</v>
          </cell>
          <cell r="BG68">
            <v>0.46101297555259602</v>
          </cell>
          <cell r="BH68">
            <v>0.45850495383069917</v>
          </cell>
          <cell r="BI68">
            <v>0.45599693210880232</v>
          </cell>
          <cell r="BJ68">
            <v>0.45348891038690547</v>
          </cell>
        </row>
      </sheetData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isf" id="{FBEB9E7E-2965-D409-B766-3C7F36F78938}" userId="" providerId=""/>
  <person displayName="Luis Fernando Victor" id="{D8A26F14-B073-5E27-561E-14A4325DD256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personId="{FBEB9E7E-2965-D409-B766-3C7F36F78938}" id="{00AA00F2-004E-4C83-A466-006E003500B8}">
    <text xml:space="preserve">It is built in the parameters of NDP
</text>
  </threadedComment>
  <threadedComment ref="D8" personId="{FBEB9E7E-2965-D409-B766-3C7F36F78938}" id="{304E1641-5B2B-47AB-9810-BBF2EF4F799C}">
    <text xml:space="preserve">It is built in the parameters of NDP
</text>
  </threadedComment>
  <threadedComment ref="D12" personId="{FBEB9E7E-2965-D409-B766-3C7F36F78938}" id="{AEB3A7D3-AD22-4166-B709-29508BACF315}">
    <text xml:space="preserve">It is built in the parameters of NDP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personId="{FBEB9E7E-2965-D409-B766-3C7F36F78938}" id="{008500CA-0026-4FB1-93CC-0089000A00FD}">
    <text xml:space="preserve">YES: the indices can be called from the stable_scenario dictionary.
NO: the system must generate the fields.
</text>
  </threadedComment>
  <threadedComment ref="G1" personId="{FBEB9E7E-2965-D409-B766-3C7F36F78938}" id="{007F000F-0007-4CE9-93D5-00350032004F}">
    <text xml:space="preserve">Used for exact values before y_ini
</text>
  </threadedComment>
  <threadedComment ref="I1" personId="{FBEB9E7E-2965-D409-B766-3C7F36F78938}" id="{004A0000-0025-45C8-8867-003B009E0086}">
    <text xml:space="preserve">Preceding year of initial year of separation between values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6" personId="{D8A26F14-B073-5E27-561E-14A4325DD256}" id="{00950048-0050-4FB2-9848-00B7002400BB}">
    <text xml:space="preserve">Serie original dividida entre 1.55 para no sobrepasar 100% de electrificación, considerando híbridos.
</text>
  </threadedComment>
  <threadedComment ref="E32" personId="{D8A26F14-B073-5E27-561E-14A4325DD256}" id="{00CC0056-0016-418F-BAE4-00B500060089}">
    <text xml:space="preserve">Serie original dividida entre 1.55 para no sobrepasar 100% de electrificación, considerando híbridos.
</text>
  </threadedComment>
  <threadedComment ref="E41" personId="{D8A26F14-B073-5E27-561E-14A4325DD256}" id="{007A0578-7229-4FC6-9DAE-967B85DABCD2}">
    <text xml:space="preserve">Serie original dividida entre 1.55 para no sobrepasar 100% de electrificación, considerando híbridos.
</text>
  </threadedComment>
  <threadedComment ref="E67" personId="{D8A26F14-B073-5E27-561E-14A4325DD256}" id="{5658895F-05FF-4D9D-89AF-307D498B9C70}">
    <text xml:space="preserve">Serie original dividida entre 1.55 para no sobrepasar 100% de electrificación, considerando híbridos.
</text>
  </threadedComment>
  <threadedComment ref="E91" personId="{D8A26F14-B073-5E27-561E-14A4325DD256}" id="{FD40E55F-631A-443B-B97A-4EF8E4ADA7B0}">
    <text xml:space="preserve">Serie original dividida entre 1.55 para no sobrepasar 100% de electrificación, considerando híbridos.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1" personId="{FBEB9E7E-2965-D409-B766-3C7F36F78938}" id="{001300B8-00F8-4C52-B5AD-000C005200CC}">
    <text xml:space="preserve">Preceding year of initial year of separation between values
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zoomScale="85" workbookViewId="0">
      <selection activeCell="F8" sqref="F8"/>
    </sheetView>
  </sheetViews>
  <sheetFormatPr baseColWidth="10" defaultColWidth="9.109375" defaultRowHeight="14.4" x14ac:dyDescent="0.3"/>
  <cols>
    <col min="1" max="1" width="18.44140625" bestFit="1" customWidth="1"/>
    <col min="2" max="2" width="9.109375" bestFit="1" customWidth="1"/>
    <col min="3" max="3" width="9.109375" customWidth="1"/>
    <col min="4" max="4" width="9.88671875" bestFit="1" customWidth="1"/>
    <col min="5" max="5" width="9.109375" customWidth="1"/>
    <col min="6" max="6" width="93" bestFit="1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">
      <c r="A2" s="4" t="s">
        <v>6</v>
      </c>
      <c r="B2" s="5" t="s">
        <v>7</v>
      </c>
      <c r="C2" s="5" t="s">
        <v>7</v>
      </c>
      <c r="D2" s="5" t="s">
        <v>6</v>
      </c>
      <c r="E2" s="5" t="s">
        <v>8</v>
      </c>
      <c r="F2" s="6" t="s">
        <v>9</v>
      </c>
    </row>
    <row r="3" spans="1:6" x14ac:dyDescent="0.3">
      <c r="A3" s="7" t="s">
        <v>10</v>
      </c>
      <c r="B3" s="8" t="s">
        <v>7</v>
      </c>
      <c r="C3" s="8" t="s">
        <v>11</v>
      </c>
      <c r="D3" s="8" t="s">
        <v>10</v>
      </c>
      <c r="E3" s="8" t="s">
        <v>8</v>
      </c>
      <c r="F3" s="9" t="s">
        <v>12</v>
      </c>
    </row>
    <row r="4" spans="1:6" x14ac:dyDescent="0.3">
      <c r="A4" s="161" t="s">
        <v>426</v>
      </c>
      <c r="B4" s="8" t="s">
        <v>7</v>
      </c>
      <c r="C4" s="8" t="s">
        <v>11</v>
      </c>
      <c r="D4" s="162" t="s">
        <v>426</v>
      </c>
      <c r="E4" s="8" t="s">
        <v>8</v>
      </c>
      <c r="F4" s="163" t="s">
        <v>427</v>
      </c>
    </row>
    <row r="5" spans="1:6" x14ac:dyDescent="0.3">
      <c r="A5" s="164" t="s">
        <v>428</v>
      </c>
      <c r="B5" s="8" t="s">
        <v>7</v>
      </c>
      <c r="C5" s="8" t="s">
        <v>11</v>
      </c>
      <c r="D5" s="164" t="s">
        <v>428</v>
      </c>
      <c r="E5" s="8" t="s">
        <v>8</v>
      </c>
      <c r="F5" s="165" t="s">
        <v>429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2" sqref="B2"/>
    </sheetView>
  </sheetViews>
  <sheetFormatPr baseColWidth="10" defaultColWidth="9.109375" defaultRowHeight="14.4" x14ac:dyDescent="0.3"/>
  <cols>
    <col min="1" max="1" width="25" bestFit="1" customWidth="1"/>
  </cols>
  <sheetData>
    <row r="1" spans="1:2" x14ac:dyDescent="0.3">
      <c r="A1" s="10" t="s">
        <v>13</v>
      </c>
      <c r="B1" s="10" t="s">
        <v>14</v>
      </c>
    </row>
    <row r="2" spans="1:2" x14ac:dyDescent="0.3">
      <c r="A2" t="s">
        <v>15</v>
      </c>
      <c r="B2">
        <v>2023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topLeftCell="A12" workbookViewId="0">
      <selection activeCell="F26" sqref="F26"/>
    </sheetView>
  </sheetViews>
  <sheetFormatPr baseColWidth="10" defaultColWidth="9.109375" defaultRowHeight="14.4" x14ac:dyDescent="0.3"/>
  <cols>
    <col min="1" max="1" width="22.21875" customWidth="1"/>
    <col min="2" max="2" width="41.5546875" bestFit="1" customWidth="1"/>
    <col min="3" max="3" width="16.88671875" customWidth="1"/>
    <col min="4" max="4" width="32.5546875" bestFit="1" customWidth="1"/>
    <col min="6" max="6" width="19.44140625" bestFit="1" customWidth="1"/>
  </cols>
  <sheetData>
    <row r="1" spans="1:4" x14ac:dyDescent="0.3">
      <c r="A1" s="11" t="s">
        <v>16</v>
      </c>
      <c r="B1" s="12" t="s">
        <v>17</v>
      </c>
      <c r="C1" s="12" t="s">
        <v>18</v>
      </c>
      <c r="D1" s="13" t="s">
        <v>19</v>
      </c>
    </row>
    <row r="2" spans="1:4" x14ac:dyDescent="0.3">
      <c r="A2" s="14" t="s">
        <v>10</v>
      </c>
      <c r="B2" s="15" t="s">
        <v>20</v>
      </c>
      <c r="C2" s="16" t="s">
        <v>21</v>
      </c>
      <c r="D2" s="17">
        <v>1</v>
      </c>
    </row>
    <row r="3" spans="1:4" x14ac:dyDescent="0.3">
      <c r="A3" s="18" t="s">
        <v>10</v>
      </c>
      <c r="B3" s="19" t="s">
        <v>22</v>
      </c>
      <c r="C3" s="8" t="s">
        <v>23</v>
      </c>
      <c r="D3" s="9">
        <v>1</v>
      </c>
    </row>
    <row r="4" spans="1:4" x14ac:dyDescent="0.3">
      <c r="A4" s="18" t="s">
        <v>10</v>
      </c>
      <c r="B4" s="19" t="s">
        <v>24</v>
      </c>
      <c r="C4" s="8" t="s">
        <v>25</v>
      </c>
      <c r="D4" s="9">
        <v>1</v>
      </c>
    </row>
    <row r="5" spans="1:4" x14ac:dyDescent="0.3">
      <c r="A5" s="18" t="s">
        <v>10</v>
      </c>
      <c r="B5" s="19" t="s">
        <v>26</v>
      </c>
      <c r="C5" s="8" t="s">
        <v>27</v>
      </c>
      <c r="D5" s="9">
        <v>1</v>
      </c>
    </row>
    <row r="6" spans="1:4" x14ac:dyDescent="0.3">
      <c r="A6" s="18" t="s">
        <v>10</v>
      </c>
      <c r="B6" s="19" t="s">
        <v>28</v>
      </c>
      <c r="C6" s="8" t="s">
        <v>29</v>
      </c>
      <c r="D6" s="9">
        <v>1</v>
      </c>
    </row>
    <row r="7" spans="1:4" x14ac:dyDescent="0.3">
      <c r="A7" s="18" t="s">
        <v>10</v>
      </c>
      <c r="B7" s="19" t="s">
        <v>30</v>
      </c>
      <c r="C7" s="8" t="s">
        <v>31</v>
      </c>
      <c r="D7" s="9">
        <v>1</v>
      </c>
    </row>
    <row r="8" spans="1:4" x14ac:dyDescent="0.3">
      <c r="A8" s="18" t="s">
        <v>10</v>
      </c>
      <c r="B8" s="19" t="s">
        <v>32</v>
      </c>
      <c r="C8" s="8" t="s">
        <v>33</v>
      </c>
      <c r="D8" s="9">
        <v>1</v>
      </c>
    </row>
    <row r="9" spans="1:4" x14ac:dyDescent="0.3">
      <c r="A9" s="18" t="s">
        <v>10</v>
      </c>
      <c r="B9" s="19" t="s">
        <v>34</v>
      </c>
      <c r="C9" s="8" t="s">
        <v>35</v>
      </c>
      <c r="D9" s="9">
        <v>1</v>
      </c>
    </row>
    <row r="10" spans="1:4" x14ac:dyDescent="0.3">
      <c r="A10" s="18" t="s">
        <v>10</v>
      </c>
      <c r="B10" s="19" t="s">
        <v>36</v>
      </c>
      <c r="C10" s="8" t="s">
        <v>37</v>
      </c>
      <c r="D10" s="9">
        <v>1</v>
      </c>
    </row>
    <row r="11" spans="1:4" x14ac:dyDescent="0.3">
      <c r="A11" s="18" t="s">
        <v>10</v>
      </c>
      <c r="B11" s="19" t="s">
        <v>38</v>
      </c>
      <c r="C11" s="8" t="s">
        <v>39</v>
      </c>
      <c r="D11" s="9">
        <v>1</v>
      </c>
    </row>
    <row r="12" spans="1:4" ht="15" thickBot="1" x14ac:dyDescent="0.35">
      <c r="A12" s="20" t="s">
        <v>10</v>
      </c>
      <c r="B12" s="21" t="s">
        <v>40</v>
      </c>
      <c r="C12" s="22" t="s">
        <v>41</v>
      </c>
      <c r="D12" s="23">
        <v>1</v>
      </c>
    </row>
    <row r="13" spans="1:4" x14ac:dyDescent="0.3">
      <c r="A13" s="166" t="s">
        <v>426</v>
      </c>
      <c r="B13" s="15" t="s">
        <v>20</v>
      </c>
      <c r="C13" s="16" t="s">
        <v>21</v>
      </c>
      <c r="D13" s="17">
        <v>1</v>
      </c>
    </row>
    <row r="14" spans="1:4" x14ac:dyDescent="0.3">
      <c r="A14" s="166" t="s">
        <v>426</v>
      </c>
      <c r="B14" s="19" t="s">
        <v>22</v>
      </c>
      <c r="C14" s="8" t="s">
        <v>23</v>
      </c>
      <c r="D14" s="9">
        <v>1</v>
      </c>
    </row>
    <row r="15" spans="1:4" x14ac:dyDescent="0.3">
      <c r="A15" s="166" t="s">
        <v>426</v>
      </c>
      <c r="B15" s="19" t="s">
        <v>24</v>
      </c>
      <c r="C15" s="8" t="s">
        <v>25</v>
      </c>
      <c r="D15" s="9">
        <v>1</v>
      </c>
    </row>
    <row r="16" spans="1:4" x14ac:dyDescent="0.3">
      <c r="A16" s="166" t="s">
        <v>426</v>
      </c>
      <c r="B16" s="19" t="s">
        <v>26</v>
      </c>
      <c r="C16" s="8" t="s">
        <v>27</v>
      </c>
      <c r="D16" s="9">
        <v>1</v>
      </c>
    </row>
    <row r="17" spans="1:4" x14ac:dyDescent="0.3">
      <c r="A17" s="166" t="s">
        <v>426</v>
      </c>
      <c r="B17" s="19" t="s">
        <v>28</v>
      </c>
      <c r="C17" s="8" t="s">
        <v>29</v>
      </c>
      <c r="D17" s="9">
        <v>1</v>
      </c>
    </row>
    <row r="18" spans="1:4" x14ac:dyDescent="0.3">
      <c r="A18" s="166" t="s">
        <v>426</v>
      </c>
      <c r="B18" s="19" t="s">
        <v>30</v>
      </c>
      <c r="C18" s="8" t="s">
        <v>31</v>
      </c>
      <c r="D18" s="9">
        <v>1</v>
      </c>
    </row>
    <row r="19" spans="1:4" x14ac:dyDescent="0.3">
      <c r="A19" s="166" t="s">
        <v>426</v>
      </c>
      <c r="B19" s="19" t="s">
        <v>32</v>
      </c>
      <c r="C19" s="8" t="s">
        <v>33</v>
      </c>
      <c r="D19" s="9">
        <v>1</v>
      </c>
    </row>
    <row r="20" spans="1:4" x14ac:dyDescent="0.3">
      <c r="A20" s="166" t="s">
        <v>426</v>
      </c>
      <c r="B20" s="19" t="s">
        <v>34</v>
      </c>
      <c r="C20" s="8" t="s">
        <v>35</v>
      </c>
      <c r="D20" s="9">
        <v>1</v>
      </c>
    </row>
    <row r="21" spans="1:4" x14ac:dyDescent="0.3">
      <c r="A21" s="166" t="s">
        <v>426</v>
      </c>
      <c r="B21" s="19" t="s">
        <v>36</v>
      </c>
      <c r="C21" s="8" t="s">
        <v>37</v>
      </c>
      <c r="D21" s="9">
        <v>1</v>
      </c>
    </row>
    <row r="22" spans="1:4" x14ac:dyDescent="0.3">
      <c r="A22" s="166" t="s">
        <v>426</v>
      </c>
      <c r="B22" s="19" t="s">
        <v>38</v>
      </c>
      <c r="C22" s="8" t="s">
        <v>39</v>
      </c>
      <c r="D22" s="9">
        <v>1</v>
      </c>
    </row>
    <row r="23" spans="1:4" ht="15" thickBot="1" x14ac:dyDescent="0.35">
      <c r="A23" s="166" t="s">
        <v>426</v>
      </c>
      <c r="B23" s="21" t="s">
        <v>40</v>
      </c>
      <c r="C23" s="22" t="s">
        <v>41</v>
      </c>
      <c r="D23" s="23">
        <v>1</v>
      </c>
    </row>
    <row r="24" spans="1:4" x14ac:dyDescent="0.3">
      <c r="A24" s="166" t="s">
        <v>428</v>
      </c>
      <c r="B24" s="15" t="s">
        <v>20</v>
      </c>
      <c r="C24" s="16" t="s">
        <v>21</v>
      </c>
      <c r="D24" s="17">
        <v>1</v>
      </c>
    </row>
    <row r="25" spans="1:4" x14ac:dyDescent="0.3">
      <c r="A25" s="166" t="s">
        <v>428</v>
      </c>
      <c r="B25" s="19" t="s">
        <v>22</v>
      </c>
      <c r="C25" s="8" t="s">
        <v>23</v>
      </c>
      <c r="D25" s="9">
        <v>1</v>
      </c>
    </row>
    <row r="26" spans="1:4" x14ac:dyDescent="0.3">
      <c r="A26" s="166" t="s">
        <v>428</v>
      </c>
      <c r="B26" s="19" t="s">
        <v>24</v>
      </c>
      <c r="C26" s="8" t="s">
        <v>25</v>
      </c>
      <c r="D26" s="9">
        <v>1</v>
      </c>
    </row>
    <row r="27" spans="1:4" x14ac:dyDescent="0.3">
      <c r="A27" s="166" t="s">
        <v>428</v>
      </c>
      <c r="B27" s="19" t="s">
        <v>26</v>
      </c>
      <c r="C27" s="8" t="s">
        <v>27</v>
      </c>
      <c r="D27" s="9">
        <v>1</v>
      </c>
    </row>
    <row r="28" spans="1:4" x14ac:dyDescent="0.3">
      <c r="A28" s="166" t="s">
        <v>428</v>
      </c>
      <c r="B28" s="19" t="s">
        <v>28</v>
      </c>
      <c r="C28" s="8" t="s">
        <v>29</v>
      </c>
      <c r="D28" s="9">
        <v>1</v>
      </c>
    </row>
    <row r="29" spans="1:4" x14ac:dyDescent="0.3">
      <c r="A29" s="166" t="s">
        <v>428</v>
      </c>
      <c r="B29" s="19" t="s">
        <v>30</v>
      </c>
      <c r="C29" s="8" t="s">
        <v>31</v>
      </c>
      <c r="D29" s="9">
        <v>1</v>
      </c>
    </row>
    <row r="30" spans="1:4" x14ac:dyDescent="0.3">
      <c r="A30" s="166" t="s">
        <v>428</v>
      </c>
      <c r="B30" s="19" t="s">
        <v>32</v>
      </c>
      <c r="C30" s="8" t="s">
        <v>33</v>
      </c>
      <c r="D30" s="9">
        <v>1</v>
      </c>
    </row>
    <row r="31" spans="1:4" x14ac:dyDescent="0.3">
      <c r="A31" s="166" t="s">
        <v>428</v>
      </c>
      <c r="B31" s="19" t="s">
        <v>34</v>
      </c>
      <c r="C31" s="8" t="s">
        <v>35</v>
      </c>
      <c r="D31" s="9">
        <v>1</v>
      </c>
    </row>
    <row r="32" spans="1:4" x14ac:dyDescent="0.3">
      <c r="A32" s="166" t="s">
        <v>428</v>
      </c>
      <c r="B32" s="19" t="s">
        <v>36</v>
      </c>
      <c r="C32" s="8" t="s">
        <v>37</v>
      </c>
      <c r="D32" s="9">
        <v>1</v>
      </c>
    </row>
    <row r="33" spans="1:4" x14ac:dyDescent="0.3">
      <c r="A33" s="166" t="s">
        <v>428</v>
      </c>
      <c r="B33" s="19" t="s">
        <v>38</v>
      </c>
      <c r="C33" s="8" t="s">
        <v>39</v>
      </c>
      <c r="D33" s="9">
        <v>1</v>
      </c>
    </row>
    <row r="34" spans="1:4" ht="15" thickBot="1" x14ac:dyDescent="0.35">
      <c r="A34" s="166" t="s">
        <v>428</v>
      </c>
      <c r="B34" s="21" t="s">
        <v>40</v>
      </c>
      <c r="C34" s="22" t="s">
        <v>41</v>
      </c>
      <c r="D34" s="23">
        <v>1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3"/>
  <sheetViews>
    <sheetView workbookViewId="0">
      <selection activeCell="C13" sqref="C13"/>
    </sheetView>
  </sheetViews>
  <sheetFormatPr baseColWidth="10" defaultColWidth="9.109375" defaultRowHeight="14.4" x14ac:dyDescent="0.3"/>
  <cols>
    <col min="1" max="1" width="14" bestFit="1" customWidth="1"/>
    <col min="2" max="2" width="18" bestFit="1" customWidth="1"/>
    <col min="3" max="3" width="33.5546875" bestFit="1" customWidth="1"/>
    <col min="4" max="4" width="15.88671875" bestFit="1" customWidth="1"/>
    <col min="5" max="5" width="14" customWidth="1"/>
    <col min="6" max="7" width="7.44140625" bestFit="1" customWidth="1"/>
    <col min="8" max="8" width="6.44140625" bestFit="1" customWidth="1"/>
    <col min="9" max="10" width="6.109375" bestFit="1" customWidth="1"/>
    <col min="11" max="12" width="6.5546875" bestFit="1" customWidth="1"/>
    <col min="13" max="13" width="5" bestFit="1" customWidth="1"/>
    <col min="14" max="14" width="5.109375" bestFit="1" customWidth="1"/>
    <col min="15" max="15" width="11.5546875" customWidth="1"/>
    <col min="16" max="16" width="12.88671875" customWidth="1"/>
    <col min="17" max="17" width="12.44140625" customWidth="1"/>
    <col min="18" max="18" width="11.5546875" customWidth="1"/>
    <col min="19" max="19" width="19" customWidth="1"/>
  </cols>
  <sheetData>
    <row r="1" spans="1:19" x14ac:dyDescent="0.3">
      <c r="A1" s="24" t="s">
        <v>16</v>
      </c>
      <c r="B1" s="25" t="s">
        <v>42</v>
      </c>
      <c r="C1" s="25" t="s">
        <v>43</v>
      </c>
      <c r="D1" s="25" t="s">
        <v>44</v>
      </c>
      <c r="E1" s="25" t="s">
        <v>45</v>
      </c>
      <c r="F1" s="25" t="s">
        <v>46</v>
      </c>
      <c r="G1" s="25" t="s">
        <v>47</v>
      </c>
      <c r="H1" s="25" t="s">
        <v>48</v>
      </c>
      <c r="I1" s="25" t="s">
        <v>49</v>
      </c>
      <c r="J1" s="25" t="s">
        <v>50</v>
      </c>
      <c r="K1" s="25" t="s">
        <v>51</v>
      </c>
      <c r="L1" s="25" t="s">
        <v>52</v>
      </c>
      <c r="M1" s="25" t="s">
        <v>53</v>
      </c>
      <c r="N1" s="25" t="s">
        <v>54</v>
      </c>
      <c r="O1" s="25" t="s">
        <v>55</v>
      </c>
      <c r="P1" s="25" t="s">
        <v>56</v>
      </c>
      <c r="Q1" s="25" t="s">
        <v>57</v>
      </c>
      <c r="R1" s="25" t="s">
        <v>58</v>
      </c>
      <c r="S1" s="26" t="s">
        <v>59</v>
      </c>
    </row>
    <row r="2" spans="1:19" x14ac:dyDescent="0.3">
      <c r="A2" s="18" t="s">
        <v>10</v>
      </c>
      <c r="B2" s="19" t="s">
        <v>60</v>
      </c>
      <c r="C2" s="19" t="s">
        <v>61</v>
      </c>
      <c r="D2" s="27" t="s">
        <v>62</v>
      </c>
      <c r="E2" s="27" t="s">
        <v>63</v>
      </c>
      <c r="F2" s="27" t="s">
        <v>11</v>
      </c>
      <c r="G2" s="19" t="s">
        <v>11</v>
      </c>
      <c r="H2" s="19" t="s">
        <v>7</v>
      </c>
      <c r="I2" s="19" t="s">
        <v>64</v>
      </c>
      <c r="J2" s="19" t="s">
        <v>64</v>
      </c>
      <c r="K2" s="28" t="s">
        <v>64</v>
      </c>
      <c r="L2" s="28" t="s">
        <v>64</v>
      </c>
      <c r="M2" s="19" t="s">
        <v>64</v>
      </c>
      <c r="N2" s="19">
        <v>2023</v>
      </c>
      <c r="O2" s="29">
        <v>-3.3772783610771101E-3</v>
      </c>
      <c r="P2" s="29">
        <v>-1.3878713984887381E-2</v>
      </c>
      <c r="Q2" s="29">
        <v>-2.6025097679430065E-2</v>
      </c>
      <c r="R2" s="29">
        <v>-2.5128161557273154E-2</v>
      </c>
      <c r="S2" s="30">
        <v>-2.4230107472090645E-2</v>
      </c>
    </row>
    <row r="3" spans="1:19" x14ac:dyDescent="0.3">
      <c r="A3" s="18" t="s">
        <v>10</v>
      </c>
      <c r="B3" s="19" t="s">
        <v>60</v>
      </c>
      <c r="C3" s="19" t="s">
        <v>65</v>
      </c>
      <c r="D3" s="27" t="s">
        <v>66</v>
      </c>
      <c r="E3" s="27" t="s">
        <v>63</v>
      </c>
      <c r="F3" s="27" t="s">
        <v>11</v>
      </c>
      <c r="G3" s="19" t="s">
        <v>11</v>
      </c>
      <c r="H3" s="19" t="s">
        <v>7</v>
      </c>
      <c r="I3" s="19" t="s">
        <v>64</v>
      </c>
      <c r="J3" s="19" t="s">
        <v>64</v>
      </c>
      <c r="K3" s="28" t="s">
        <v>64</v>
      </c>
      <c r="L3" s="28" t="s">
        <v>64</v>
      </c>
      <c r="M3" s="19" t="s">
        <v>64</v>
      </c>
      <c r="N3" s="19">
        <v>2023</v>
      </c>
      <c r="O3" s="31">
        <v>1.0110314236138842E-2</v>
      </c>
      <c r="P3" s="31">
        <v>2.85522423478854E-2</v>
      </c>
      <c r="Q3" s="31">
        <v>3.79915321420096E-2</v>
      </c>
      <c r="R3" s="31">
        <v>4.0701310224968597E-2</v>
      </c>
      <c r="S3" s="32">
        <v>4.0991127629274947E-2</v>
      </c>
    </row>
    <row r="4" spans="1:19" x14ac:dyDescent="0.3">
      <c r="A4" s="33" t="s">
        <v>10</v>
      </c>
      <c r="B4" s="27" t="s">
        <v>60</v>
      </c>
      <c r="C4" s="27" t="s">
        <v>67</v>
      </c>
      <c r="D4" s="19" t="s">
        <v>68</v>
      </c>
      <c r="E4" s="19" t="s">
        <v>69</v>
      </c>
      <c r="F4" s="27" t="s">
        <v>11</v>
      </c>
      <c r="G4" s="19" t="s">
        <v>11</v>
      </c>
      <c r="H4" s="19" t="s">
        <v>7</v>
      </c>
      <c r="I4" s="19" t="s">
        <v>64</v>
      </c>
      <c r="J4" s="19" t="s">
        <v>64</v>
      </c>
      <c r="K4" s="19" t="s">
        <v>64</v>
      </c>
      <c r="L4" s="19" t="s">
        <v>64</v>
      </c>
      <c r="M4" s="19" t="s">
        <v>64</v>
      </c>
      <c r="N4" s="19">
        <v>2023</v>
      </c>
      <c r="O4" s="34">
        <v>1.5000009999999999E-2</v>
      </c>
      <c r="P4" s="34">
        <v>1.5000100000000001E-2</v>
      </c>
      <c r="Q4" s="34">
        <v>1.5001E-2</v>
      </c>
      <c r="R4" s="34">
        <v>1.5010000000000001E-2</v>
      </c>
      <c r="S4" s="35">
        <v>1.5100000000000001E-2</v>
      </c>
    </row>
    <row r="5" spans="1:19" ht="15" thickBot="1" x14ac:dyDescent="0.35">
      <c r="A5" s="36" t="s">
        <v>10</v>
      </c>
      <c r="B5" s="37" t="s">
        <v>70</v>
      </c>
      <c r="C5" s="37" t="s">
        <v>71</v>
      </c>
      <c r="D5" s="21" t="s">
        <v>72</v>
      </c>
      <c r="E5" s="21" t="s">
        <v>69</v>
      </c>
      <c r="F5" s="21" t="s">
        <v>11</v>
      </c>
      <c r="G5" s="37" t="s">
        <v>11</v>
      </c>
      <c r="H5" s="37" t="s">
        <v>7</v>
      </c>
      <c r="I5" s="21" t="s">
        <v>64</v>
      </c>
      <c r="J5" s="21" t="s">
        <v>64</v>
      </c>
      <c r="K5" s="21" t="s">
        <v>64</v>
      </c>
      <c r="L5" s="21" t="s">
        <v>64</v>
      </c>
      <c r="M5" s="21" t="s">
        <v>64</v>
      </c>
      <c r="N5" s="37">
        <v>2040</v>
      </c>
      <c r="O5" s="38">
        <v>0</v>
      </c>
      <c r="P5" s="38">
        <v>3.9999999999999998E-6</v>
      </c>
      <c r="Q5" s="38">
        <v>6.0000000000000002E-6</v>
      </c>
      <c r="R5" s="38">
        <v>7.9999999999999996E-6</v>
      </c>
      <c r="S5" s="39">
        <v>1.0000000000000001E-5</v>
      </c>
    </row>
    <row r="6" spans="1:19" x14ac:dyDescent="0.3">
      <c r="A6" s="167" t="s">
        <v>426</v>
      </c>
      <c r="B6" s="19" t="s">
        <v>60</v>
      </c>
      <c r="C6" s="19" t="s">
        <v>61</v>
      </c>
      <c r="D6" s="27" t="s">
        <v>62</v>
      </c>
      <c r="E6" s="27" t="s">
        <v>63</v>
      </c>
      <c r="F6" s="27" t="s">
        <v>11</v>
      </c>
      <c r="G6" s="19" t="s">
        <v>11</v>
      </c>
      <c r="H6" s="19" t="s">
        <v>7</v>
      </c>
      <c r="I6" s="19" t="s">
        <v>64</v>
      </c>
      <c r="J6" s="19" t="s">
        <v>64</v>
      </c>
      <c r="K6" s="28" t="s">
        <v>64</v>
      </c>
      <c r="L6" s="28" t="s">
        <v>64</v>
      </c>
      <c r="M6" s="19" t="s">
        <v>64</v>
      </c>
      <c r="N6" s="19">
        <v>2023</v>
      </c>
      <c r="O6" s="29">
        <v>-3.3772783610771101E-3</v>
      </c>
      <c r="P6" s="29">
        <v>-1.3878713984887381E-2</v>
      </c>
      <c r="Q6" s="29">
        <v>-2.6025097679430065E-2</v>
      </c>
      <c r="R6" s="29">
        <v>-2.5128161557273154E-2</v>
      </c>
      <c r="S6" s="30">
        <v>-2.4230107472090645E-2</v>
      </c>
    </row>
    <row r="7" spans="1:19" x14ac:dyDescent="0.3">
      <c r="A7" s="167" t="s">
        <v>426</v>
      </c>
      <c r="B7" s="19" t="s">
        <v>60</v>
      </c>
      <c r="C7" s="19" t="s">
        <v>65</v>
      </c>
      <c r="D7" s="27" t="s">
        <v>66</v>
      </c>
      <c r="E7" s="27" t="s">
        <v>63</v>
      </c>
      <c r="F7" s="27" t="s">
        <v>11</v>
      </c>
      <c r="G7" s="19" t="s">
        <v>11</v>
      </c>
      <c r="H7" s="19" t="s">
        <v>7</v>
      </c>
      <c r="I7" s="19" t="s">
        <v>64</v>
      </c>
      <c r="J7" s="19" t="s">
        <v>64</v>
      </c>
      <c r="K7" s="28" t="s">
        <v>64</v>
      </c>
      <c r="L7" s="28" t="s">
        <v>64</v>
      </c>
      <c r="M7" s="19" t="s">
        <v>64</v>
      </c>
      <c r="N7" s="19">
        <v>2023</v>
      </c>
      <c r="O7" s="31">
        <v>1.0110314236138842E-2</v>
      </c>
      <c r="P7" s="31">
        <v>2.85522423478854E-2</v>
      </c>
      <c r="Q7" s="31">
        <v>3.79915321420096E-2</v>
      </c>
      <c r="R7" s="31">
        <v>4.0701310224968597E-2</v>
      </c>
      <c r="S7" s="32">
        <v>4.0991127629274947E-2</v>
      </c>
    </row>
    <row r="8" spans="1:19" x14ac:dyDescent="0.3">
      <c r="A8" s="167" t="s">
        <v>426</v>
      </c>
      <c r="B8" s="27" t="s">
        <v>60</v>
      </c>
      <c r="C8" s="27" t="s">
        <v>67</v>
      </c>
      <c r="D8" s="19" t="s">
        <v>68</v>
      </c>
      <c r="E8" s="19" t="s">
        <v>69</v>
      </c>
      <c r="F8" s="27" t="s">
        <v>11</v>
      </c>
      <c r="G8" s="19" t="s">
        <v>11</v>
      </c>
      <c r="H8" s="19" t="s">
        <v>7</v>
      </c>
      <c r="I8" s="19" t="s">
        <v>64</v>
      </c>
      <c r="J8" s="19" t="s">
        <v>64</v>
      </c>
      <c r="K8" s="19" t="s">
        <v>64</v>
      </c>
      <c r="L8" s="19" t="s">
        <v>64</v>
      </c>
      <c r="M8" s="19" t="s">
        <v>64</v>
      </c>
      <c r="N8" s="19">
        <v>2023</v>
      </c>
      <c r="O8" s="34">
        <v>1.5000009999999999E-2</v>
      </c>
      <c r="P8" s="34">
        <v>1.5000100000000001E-2</v>
      </c>
      <c r="Q8" s="34">
        <v>1.5001E-2</v>
      </c>
      <c r="R8" s="34">
        <v>1.5010000000000001E-2</v>
      </c>
      <c r="S8" s="35">
        <v>1.5100000000000001E-2</v>
      </c>
    </row>
    <row r="9" spans="1:19" ht="15" thickBot="1" x14ac:dyDescent="0.35">
      <c r="A9" s="167" t="s">
        <v>426</v>
      </c>
      <c r="B9" s="37" t="s">
        <v>70</v>
      </c>
      <c r="C9" s="37" t="s">
        <v>71</v>
      </c>
      <c r="D9" s="21" t="s">
        <v>72</v>
      </c>
      <c r="E9" s="21" t="s">
        <v>69</v>
      </c>
      <c r="F9" s="21" t="s">
        <v>11</v>
      </c>
      <c r="G9" s="37" t="s">
        <v>11</v>
      </c>
      <c r="H9" s="37" t="s">
        <v>7</v>
      </c>
      <c r="I9" s="21" t="s">
        <v>64</v>
      </c>
      <c r="J9" s="21" t="s">
        <v>64</v>
      </c>
      <c r="K9" s="21" t="s">
        <v>64</v>
      </c>
      <c r="L9" s="21" t="s">
        <v>64</v>
      </c>
      <c r="M9" s="21" t="s">
        <v>64</v>
      </c>
      <c r="N9" s="37">
        <v>2040</v>
      </c>
      <c r="O9" s="38">
        <v>0</v>
      </c>
      <c r="P9" s="38">
        <v>3.9999999999999998E-6</v>
      </c>
      <c r="Q9" s="38">
        <v>6.0000000000000002E-6</v>
      </c>
      <c r="R9" s="38">
        <v>7.9999999999999996E-6</v>
      </c>
      <c r="S9" s="39">
        <v>1.0000000000000001E-5</v>
      </c>
    </row>
    <row r="10" spans="1:19" x14ac:dyDescent="0.3">
      <c r="A10" s="167" t="s">
        <v>428</v>
      </c>
      <c r="B10" s="19" t="s">
        <v>60</v>
      </c>
      <c r="C10" s="19" t="s">
        <v>61</v>
      </c>
      <c r="D10" s="27" t="s">
        <v>62</v>
      </c>
      <c r="E10" s="27" t="s">
        <v>63</v>
      </c>
      <c r="F10" s="27" t="s">
        <v>11</v>
      </c>
      <c r="G10" s="19" t="s">
        <v>11</v>
      </c>
      <c r="H10" s="19" t="s">
        <v>7</v>
      </c>
      <c r="I10" s="19" t="s">
        <v>64</v>
      </c>
      <c r="J10" s="19" t="s">
        <v>64</v>
      </c>
      <c r="K10" s="28" t="s">
        <v>64</v>
      </c>
      <c r="L10" s="28" t="s">
        <v>64</v>
      </c>
      <c r="M10" s="19" t="s">
        <v>64</v>
      </c>
      <c r="N10" s="19">
        <v>2023</v>
      </c>
      <c r="O10" s="29">
        <v>-3.3772783610771101E-3</v>
      </c>
      <c r="P10" s="29">
        <v>-1.3878713984887381E-2</v>
      </c>
      <c r="Q10" s="29">
        <v>-2.6025097679430065E-2</v>
      </c>
      <c r="R10" s="29">
        <v>-2.5128161557273154E-2</v>
      </c>
      <c r="S10" s="30">
        <v>-2.4230107472090645E-2</v>
      </c>
    </row>
    <row r="11" spans="1:19" x14ac:dyDescent="0.3">
      <c r="A11" s="167" t="s">
        <v>428</v>
      </c>
      <c r="B11" s="19" t="s">
        <v>60</v>
      </c>
      <c r="C11" s="19" t="s">
        <v>65</v>
      </c>
      <c r="D11" s="27" t="s">
        <v>66</v>
      </c>
      <c r="E11" s="27" t="s">
        <v>63</v>
      </c>
      <c r="F11" s="27" t="s">
        <v>11</v>
      </c>
      <c r="G11" s="19" t="s">
        <v>11</v>
      </c>
      <c r="H11" s="19" t="s">
        <v>7</v>
      </c>
      <c r="I11" s="19" t="s">
        <v>64</v>
      </c>
      <c r="J11" s="19" t="s">
        <v>64</v>
      </c>
      <c r="K11" s="28" t="s">
        <v>64</v>
      </c>
      <c r="L11" s="28" t="s">
        <v>64</v>
      </c>
      <c r="M11" s="19" t="s">
        <v>64</v>
      </c>
      <c r="N11" s="19">
        <v>2023</v>
      </c>
      <c r="O11" s="31">
        <v>1.0110314236138842E-2</v>
      </c>
      <c r="P11" s="31">
        <v>2.85522423478854E-2</v>
      </c>
      <c r="Q11" s="31">
        <v>3.79915321420096E-2</v>
      </c>
      <c r="R11" s="31">
        <v>4.0701310224968597E-2</v>
      </c>
      <c r="S11" s="32">
        <v>4.0991127629274947E-2</v>
      </c>
    </row>
    <row r="12" spans="1:19" x14ac:dyDescent="0.3">
      <c r="A12" s="167" t="s">
        <v>428</v>
      </c>
      <c r="B12" s="27" t="s">
        <v>60</v>
      </c>
      <c r="C12" s="27" t="s">
        <v>67</v>
      </c>
      <c r="D12" s="19" t="s">
        <v>68</v>
      </c>
      <c r="E12" s="19" t="s">
        <v>69</v>
      </c>
      <c r="F12" s="27" t="s">
        <v>11</v>
      </c>
      <c r="G12" s="19" t="s">
        <v>11</v>
      </c>
      <c r="H12" s="19" t="s">
        <v>7</v>
      </c>
      <c r="I12" s="19" t="s">
        <v>64</v>
      </c>
      <c r="J12" s="19" t="s">
        <v>64</v>
      </c>
      <c r="K12" s="19" t="s">
        <v>64</v>
      </c>
      <c r="L12" s="19" t="s">
        <v>64</v>
      </c>
      <c r="M12" s="19" t="s">
        <v>64</v>
      </c>
      <c r="N12" s="19">
        <v>2023</v>
      </c>
      <c r="O12" s="34">
        <v>1.5000009999999999E-2</v>
      </c>
      <c r="P12" s="34">
        <v>1.5000100000000001E-2</v>
      </c>
      <c r="Q12" s="34">
        <v>1.5001E-2</v>
      </c>
      <c r="R12" s="34">
        <v>1.5010000000000001E-2</v>
      </c>
      <c r="S12" s="35">
        <v>1.5100000000000001E-2</v>
      </c>
    </row>
    <row r="13" spans="1:19" ht="15" thickBot="1" x14ac:dyDescent="0.35">
      <c r="A13" s="167" t="s">
        <v>428</v>
      </c>
      <c r="B13" s="37" t="s">
        <v>70</v>
      </c>
      <c r="C13" s="37" t="s">
        <v>71</v>
      </c>
      <c r="D13" s="21" t="s">
        <v>72</v>
      </c>
      <c r="E13" s="21" t="s">
        <v>69</v>
      </c>
      <c r="F13" s="21" t="s">
        <v>11</v>
      </c>
      <c r="G13" s="37" t="s">
        <v>11</v>
      </c>
      <c r="H13" s="37" t="s">
        <v>7</v>
      </c>
      <c r="I13" s="21" t="s">
        <v>64</v>
      </c>
      <c r="J13" s="21" t="s">
        <v>64</v>
      </c>
      <c r="K13" s="21" t="s">
        <v>64</v>
      </c>
      <c r="L13" s="21" t="s">
        <v>64</v>
      </c>
      <c r="M13" s="21" t="s">
        <v>64</v>
      </c>
      <c r="N13" s="37">
        <v>2040</v>
      </c>
      <c r="O13" s="38">
        <v>0</v>
      </c>
      <c r="P13" s="38">
        <v>3.9999999999999998E-6</v>
      </c>
      <c r="Q13" s="38">
        <v>6.0000000000000002E-6</v>
      </c>
      <c r="R13" s="38">
        <v>7.9999999999999996E-6</v>
      </c>
      <c r="S13" s="39">
        <v>1.0000000000000001E-5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4"/>
  <sheetViews>
    <sheetView topLeftCell="A7" workbookViewId="0">
      <selection activeCell="E26" sqref="E26"/>
    </sheetView>
  </sheetViews>
  <sheetFormatPr baseColWidth="10" defaultColWidth="9.109375" defaultRowHeight="14.4" x14ac:dyDescent="0.3"/>
  <cols>
    <col min="1" max="1" width="19.6640625" customWidth="1"/>
    <col min="2" max="2" width="34.44140625" bestFit="1" customWidth="1"/>
    <col min="3" max="3" width="16.88671875" bestFit="1" customWidth="1"/>
    <col min="4" max="4" width="37.44140625" bestFit="1" customWidth="1"/>
  </cols>
  <sheetData>
    <row r="1" spans="1:4" x14ac:dyDescent="0.3">
      <c r="A1" s="24" t="s">
        <v>16</v>
      </c>
      <c r="B1" s="25" t="s">
        <v>17</v>
      </c>
      <c r="C1" s="25" t="s">
        <v>18</v>
      </c>
      <c r="D1" s="26" t="s">
        <v>73</v>
      </c>
    </row>
    <row r="2" spans="1:4" x14ac:dyDescent="0.3">
      <c r="A2" s="14" t="s">
        <v>10</v>
      </c>
      <c r="B2" s="15" t="s">
        <v>20</v>
      </c>
      <c r="C2" s="16" t="s">
        <v>21</v>
      </c>
      <c r="D2" s="17">
        <v>1</v>
      </c>
    </row>
    <row r="3" spans="1:4" x14ac:dyDescent="0.3">
      <c r="A3" s="18" t="s">
        <v>10</v>
      </c>
      <c r="B3" s="19" t="s">
        <v>22</v>
      </c>
      <c r="C3" s="8" t="s">
        <v>23</v>
      </c>
      <c r="D3" s="9">
        <v>1</v>
      </c>
    </row>
    <row r="4" spans="1:4" x14ac:dyDescent="0.3">
      <c r="A4" s="18" t="s">
        <v>10</v>
      </c>
      <c r="B4" s="19" t="s">
        <v>24</v>
      </c>
      <c r="C4" s="8" t="s">
        <v>25</v>
      </c>
      <c r="D4" s="9">
        <v>1</v>
      </c>
    </row>
    <row r="5" spans="1:4" x14ac:dyDescent="0.3">
      <c r="A5" s="18" t="s">
        <v>10</v>
      </c>
      <c r="B5" s="19" t="s">
        <v>26</v>
      </c>
      <c r="C5" s="8" t="s">
        <v>27</v>
      </c>
      <c r="D5" s="9">
        <v>1</v>
      </c>
    </row>
    <row r="6" spans="1:4" x14ac:dyDescent="0.3">
      <c r="A6" s="18" t="s">
        <v>10</v>
      </c>
      <c r="B6" s="19" t="s">
        <v>28</v>
      </c>
      <c r="C6" s="8" t="s">
        <v>29</v>
      </c>
      <c r="D6" s="9">
        <v>1</v>
      </c>
    </row>
    <row r="7" spans="1:4" x14ac:dyDescent="0.3">
      <c r="A7" s="18" t="s">
        <v>10</v>
      </c>
      <c r="B7" s="19" t="s">
        <v>30</v>
      </c>
      <c r="C7" s="8" t="s">
        <v>31</v>
      </c>
      <c r="D7" s="9">
        <v>1</v>
      </c>
    </row>
    <row r="8" spans="1:4" x14ac:dyDescent="0.3">
      <c r="A8" s="18" t="s">
        <v>10</v>
      </c>
      <c r="B8" s="19" t="s">
        <v>32</v>
      </c>
      <c r="C8" s="8" t="s">
        <v>33</v>
      </c>
      <c r="D8" s="9">
        <v>1</v>
      </c>
    </row>
    <row r="9" spans="1:4" x14ac:dyDescent="0.3">
      <c r="A9" s="18" t="s">
        <v>10</v>
      </c>
      <c r="B9" s="19" t="s">
        <v>34</v>
      </c>
      <c r="C9" s="8" t="s">
        <v>35</v>
      </c>
      <c r="D9" s="9">
        <v>1</v>
      </c>
    </row>
    <row r="10" spans="1:4" x14ac:dyDescent="0.3">
      <c r="A10" s="18" t="s">
        <v>10</v>
      </c>
      <c r="B10" s="19" t="s">
        <v>36</v>
      </c>
      <c r="C10" s="8" t="s">
        <v>37</v>
      </c>
      <c r="D10" s="9">
        <v>1</v>
      </c>
    </row>
    <row r="11" spans="1:4" x14ac:dyDescent="0.3">
      <c r="A11" s="18" t="s">
        <v>10</v>
      </c>
      <c r="B11" s="19" t="s">
        <v>38</v>
      </c>
      <c r="C11" s="8" t="s">
        <v>39</v>
      </c>
      <c r="D11" s="9">
        <v>1</v>
      </c>
    </row>
    <row r="12" spans="1:4" ht="15" thickBot="1" x14ac:dyDescent="0.35">
      <c r="A12" s="20" t="s">
        <v>10</v>
      </c>
      <c r="B12" s="21" t="s">
        <v>40</v>
      </c>
      <c r="C12" s="22" t="s">
        <v>41</v>
      </c>
      <c r="D12" s="23">
        <v>1</v>
      </c>
    </row>
    <row r="13" spans="1:4" x14ac:dyDescent="0.3">
      <c r="A13" s="166" t="s">
        <v>426</v>
      </c>
      <c r="B13" s="15" t="s">
        <v>20</v>
      </c>
      <c r="C13" s="16" t="s">
        <v>21</v>
      </c>
      <c r="D13" s="17">
        <v>1</v>
      </c>
    </row>
    <row r="14" spans="1:4" x14ac:dyDescent="0.3">
      <c r="A14" s="166" t="s">
        <v>426</v>
      </c>
      <c r="B14" s="19" t="s">
        <v>22</v>
      </c>
      <c r="C14" s="8" t="s">
        <v>23</v>
      </c>
      <c r="D14" s="9">
        <v>1</v>
      </c>
    </row>
    <row r="15" spans="1:4" x14ac:dyDescent="0.3">
      <c r="A15" s="166" t="s">
        <v>426</v>
      </c>
      <c r="B15" s="19" t="s">
        <v>24</v>
      </c>
      <c r="C15" s="8" t="s">
        <v>25</v>
      </c>
      <c r="D15" s="9">
        <v>1</v>
      </c>
    </row>
    <row r="16" spans="1:4" x14ac:dyDescent="0.3">
      <c r="A16" s="166" t="s">
        <v>426</v>
      </c>
      <c r="B16" s="19" t="s">
        <v>26</v>
      </c>
      <c r="C16" s="8" t="s">
        <v>27</v>
      </c>
      <c r="D16" s="9">
        <v>1</v>
      </c>
    </row>
    <row r="17" spans="1:4" x14ac:dyDescent="0.3">
      <c r="A17" s="166" t="s">
        <v>426</v>
      </c>
      <c r="B17" s="19" t="s">
        <v>28</v>
      </c>
      <c r="C17" s="8" t="s">
        <v>29</v>
      </c>
      <c r="D17" s="9">
        <v>1</v>
      </c>
    </row>
    <row r="18" spans="1:4" x14ac:dyDescent="0.3">
      <c r="A18" s="166" t="s">
        <v>426</v>
      </c>
      <c r="B18" s="19" t="s">
        <v>30</v>
      </c>
      <c r="C18" s="8" t="s">
        <v>31</v>
      </c>
      <c r="D18" s="9">
        <v>1</v>
      </c>
    </row>
    <row r="19" spans="1:4" x14ac:dyDescent="0.3">
      <c r="A19" s="166" t="s">
        <v>426</v>
      </c>
      <c r="B19" s="19" t="s">
        <v>32</v>
      </c>
      <c r="C19" s="8" t="s">
        <v>33</v>
      </c>
      <c r="D19" s="9">
        <v>1</v>
      </c>
    </row>
    <row r="20" spans="1:4" x14ac:dyDescent="0.3">
      <c r="A20" s="166" t="s">
        <v>426</v>
      </c>
      <c r="B20" s="19" t="s">
        <v>34</v>
      </c>
      <c r="C20" s="8" t="s">
        <v>35</v>
      </c>
      <c r="D20" s="9">
        <v>1</v>
      </c>
    </row>
    <row r="21" spans="1:4" x14ac:dyDescent="0.3">
      <c r="A21" s="166" t="s">
        <v>426</v>
      </c>
      <c r="B21" s="19" t="s">
        <v>36</v>
      </c>
      <c r="C21" s="8" t="s">
        <v>37</v>
      </c>
      <c r="D21" s="9">
        <v>1</v>
      </c>
    </row>
    <row r="22" spans="1:4" x14ac:dyDescent="0.3">
      <c r="A22" s="166" t="s">
        <v>426</v>
      </c>
      <c r="B22" s="19" t="s">
        <v>38</v>
      </c>
      <c r="C22" s="8" t="s">
        <v>39</v>
      </c>
      <c r="D22" s="9">
        <v>1</v>
      </c>
    </row>
    <row r="23" spans="1:4" ht="15" thickBot="1" x14ac:dyDescent="0.35">
      <c r="A23" s="166" t="s">
        <v>426</v>
      </c>
      <c r="B23" s="21" t="s">
        <v>40</v>
      </c>
      <c r="C23" s="22" t="s">
        <v>41</v>
      </c>
      <c r="D23" s="23">
        <v>1</v>
      </c>
    </row>
    <row r="24" spans="1:4" x14ac:dyDescent="0.3">
      <c r="A24" s="166" t="s">
        <v>428</v>
      </c>
      <c r="B24" s="15" t="s">
        <v>20</v>
      </c>
      <c r="C24" s="16" t="s">
        <v>21</v>
      </c>
      <c r="D24" s="17">
        <v>1</v>
      </c>
    </row>
    <row r="25" spans="1:4" x14ac:dyDescent="0.3">
      <c r="A25" s="166" t="s">
        <v>428</v>
      </c>
      <c r="B25" s="19" t="s">
        <v>22</v>
      </c>
      <c r="C25" s="8" t="s">
        <v>23</v>
      </c>
      <c r="D25" s="9">
        <v>1</v>
      </c>
    </row>
    <row r="26" spans="1:4" x14ac:dyDescent="0.3">
      <c r="A26" s="166" t="s">
        <v>428</v>
      </c>
      <c r="B26" s="19" t="s">
        <v>24</v>
      </c>
      <c r="C26" s="8" t="s">
        <v>25</v>
      </c>
      <c r="D26" s="9">
        <v>1</v>
      </c>
    </row>
    <row r="27" spans="1:4" x14ac:dyDescent="0.3">
      <c r="A27" s="166" t="s">
        <v>428</v>
      </c>
      <c r="B27" s="19" t="s">
        <v>26</v>
      </c>
      <c r="C27" s="8" t="s">
        <v>27</v>
      </c>
      <c r="D27" s="9">
        <v>1</v>
      </c>
    </row>
    <row r="28" spans="1:4" x14ac:dyDescent="0.3">
      <c r="A28" s="166" t="s">
        <v>428</v>
      </c>
      <c r="B28" s="19" t="s">
        <v>28</v>
      </c>
      <c r="C28" s="8" t="s">
        <v>29</v>
      </c>
      <c r="D28" s="9">
        <v>1</v>
      </c>
    </row>
    <row r="29" spans="1:4" x14ac:dyDescent="0.3">
      <c r="A29" s="166" t="s">
        <v>428</v>
      </c>
      <c r="B29" s="19" t="s">
        <v>30</v>
      </c>
      <c r="C29" s="8" t="s">
        <v>31</v>
      </c>
      <c r="D29" s="9">
        <v>1</v>
      </c>
    </row>
    <row r="30" spans="1:4" x14ac:dyDescent="0.3">
      <c r="A30" s="166" t="s">
        <v>428</v>
      </c>
      <c r="B30" s="19" t="s">
        <v>32</v>
      </c>
      <c r="C30" s="8" t="s">
        <v>33</v>
      </c>
      <c r="D30" s="9">
        <v>1</v>
      </c>
    </row>
    <row r="31" spans="1:4" x14ac:dyDescent="0.3">
      <c r="A31" s="166" t="s">
        <v>428</v>
      </c>
      <c r="B31" s="19" t="s">
        <v>34</v>
      </c>
      <c r="C31" s="8" t="s">
        <v>35</v>
      </c>
      <c r="D31" s="9">
        <v>1</v>
      </c>
    </row>
    <row r="32" spans="1:4" x14ac:dyDescent="0.3">
      <c r="A32" s="166" t="s">
        <v>428</v>
      </c>
      <c r="B32" s="19" t="s">
        <v>36</v>
      </c>
      <c r="C32" s="8" t="s">
        <v>37</v>
      </c>
      <c r="D32" s="9">
        <v>1</v>
      </c>
    </row>
    <row r="33" spans="1:4" x14ac:dyDescent="0.3">
      <c r="A33" s="166" t="s">
        <v>428</v>
      </c>
      <c r="B33" s="19" t="s">
        <v>38</v>
      </c>
      <c r="C33" s="8" t="s">
        <v>39</v>
      </c>
      <c r="D33" s="9">
        <v>1</v>
      </c>
    </row>
    <row r="34" spans="1:4" ht="15" thickBot="1" x14ac:dyDescent="0.35">
      <c r="A34" s="166" t="s">
        <v>428</v>
      </c>
      <c r="B34" s="21" t="s">
        <v>40</v>
      </c>
      <c r="C34" s="22" t="s">
        <v>41</v>
      </c>
      <c r="D34" s="23">
        <v>1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I167"/>
  <sheetViews>
    <sheetView topLeftCell="A81" zoomScale="55" workbookViewId="0">
      <selection activeCell="H98" sqref="H98:H105"/>
    </sheetView>
  </sheetViews>
  <sheetFormatPr baseColWidth="10" defaultColWidth="8.88671875" defaultRowHeight="14.4" x14ac:dyDescent="0.3"/>
  <cols>
    <col min="1" max="1" width="14.109375" style="70" customWidth="1"/>
    <col min="2" max="2" width="46.5546875" style="70" bestFit="1" customWidth="1"/>
    <col min="3" max="3" width="31.88671875" style="70" customWidth="1"/>
    <col min="4" max="4" width="51" style="70" customWidth="1"/>
    <col min="5" max="5" width="18.44140625" style="70" customWidth="1"/>
    <col min="6" max="6" width="15" style="70" customWidth="1"/>
    <col min="7" max="7" width="87.88671875" style="70" customWidth="1"/>
    <col min="8" max="8" width="255" style="70" customWidth="1"/>
    <col min="9" max="9" width="13.44140625" style="70" bestFit="1" customWidth="1"/>
    <col min="10" max="10" width="12.88671875" style="70" customWidth="1"/>
    <col min="11" max="11" width="13.44140625" style="70" customWidth="1"/>
    <col min="12" max="12" width="11.44140625" style="70" customWidth="1"/>
    <col min="13" max="13" width="12.5546875" style="70" customWidth="1"/>
    <col min="14" max="14" width="38.44140625" style="70" bestFit="1" customWidth="1"/>
    <col min="15" max="61" width="10" style="70" customWidth="1"/>
    <col min="62" max="16384" width="8.88671875" style="70"/>
  </cols>
  <sheetData>
    <row r="1" spans="1:61" ht="28.8" x14ac:dyDescent="0.3">
      <c r="A1" s="71" t="s">
        <v>16</v>
      </c>
      <c r="B1" s="72" t="s">
        <v>13</v>
      </c>
      <c r="C1" s="72" t="s">
        <v>44</v>
      </c>
      <c r="D1" s="72" t="s">
        <v>205</v>
      </c>
      <c r="E1" s="73" t="s">
        <v>206</v>
      </c>
      <c r="F1" s="72" t="s">
        <v>48</v>
      </c>
      <c r="G1" s="74" t="s">
        <v>207</v>
      </c>
      <c r="H1" s="74" t="s">
        <v>208</v>
      </c>
      <c r="I1" s="72" t="s">
        <v>54</v>
      </c>
      <c r="J1" s="73" t="s">
        <v>209</v>
      </c>
      <c r="K1" s="73" t="s">
        <v>210</v>
      </c>
      <c r="L1" s="75" t="s">
        <v>211</v>
      </c>
      <c r="M1" s="76" t="s">
        <v>212</v>
      </c>
      <c r="N1" s="75" t="s">
        <v>213</v>
      </c>
    </row>
    <row r="2" spans="1:61" s="19" customFormat="1" x14ac:dyDescent="0.3">
      <c r="A2" s="77" t="s">
        <v>214</v>
      </c>
      <c r="B2" s="78" t="s">
        <v>215</v>
      </c>
      <c r="C2" s="77" t="s">
        <v>216</v>
      </c>
      <c r="D2" s="77" t="s">
        <v>217</v>
      </c>
      <c r="E2" s="77" t="s">
        <v>11</v>
      </c>
      <c r="F2" s="77" t="s">
        <v>7</v>
      </c>
      <c r="G2" s="79">
        <v>2018</v>
      </c>
      <c r="H2" s="79">
        <v>0</v>
      </c>
      <c r="I2" s="77">
        <v>2022</v>
      </c>
      <c r="J2" s="77">
        <v>2023</v>
      </c>
      <c r="K2" s="77">
        <v>99999</v>
      </c>
      <c r="L2" s="77" t="s">
        <v>218</v>
      </c>
      <c r="M2" s="77">
        <v>1</v>
      </c>
      <c r="N2" s="80" t="s">
        <v>219</v>
      </c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0"/>
      <c r="AH2" s="70"/>
      <c r="AI2" s="70"/>
      <c r="AJ2" s="70"/>
      <c r="AK2" s="70"/>
      <c r="AL2" s="70"/>
      <c r="AM2" s="70"/>
      <c r="AN2" s="70"/>
      <c r="AO2" s="70"/>
      <c r="AP2" s="70"/>
      <c r="AQ2" s="70"/>
      <c r="AR2" s="70"/>
      <c r="AS2" s="70"/>
      <c r="AT2" s="70"/>
      <c r="AU2" s="70"/>
      <c r="AV2" s="70"/>
      <c r="AW2" s="70"/>
      <c r="AX2" s="70"/>
      <c r="AY2" s="70"/>
      <c r="AZ2" s="70"/>
      <c r="BA2" s="70"/>
      <c r="BB2" s="70"/>
      <c r="BC2" s="70"/>
      <c r="BD2" s="70"/>
      <c r="BE2" s="70"/>
      <c r="BF2" s="70"/>
      <c r="BG2" s="70"/>
      <c r="BH2" s="70"/>
      <c r="BI2" s="70"/>
    </row>
    <row r="3" spans="1:61" s="19" customFormat="1" ht="57.6" x14ac:dyDescent="0.3">
      <c r="A3" s="77" t="s">
        <v>10</v>
      </c>
      <c r="B3" s="81" t="s">
        <v>220</v>
      </c>
      <c r="C3" s="77" t="s">
        <v>221</v>
      </c>
      <c r="D3" s="77" t="s">
        <v>222</v>
      </c>
      <c r="E3" s="77" t="s">
        <v>7</v>
      </c>
      <c r="F3" s="77" t="s">
        <v>7</v>
      </c>
      <c r="G3" s="79" t="s">
        <v>223</v>
      </c>
      <c r="H3" s="79" t="s">
        <v>224</v>
      </c>
      <c r="I3" s="77">
        <v>2069</v>
      </c>
      <c r="J3" s="77">
        <v>2070</v>
      </c>
      <c r="K3" s="77">
        <v>1E-4</v>
      </c>
      <c r="L3" s="77" t="s">
        <v>225</v>
      </c>
      <c r="M3" s="77">
        <v>1</v>
      </c>
      <c r="N3" s="80" t="s">
        <v>226</v>
      </c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</row>
    <row r="4" spans="1:61" s="19" customFormat="1" ht="57.6" x14ac:dyDescent="0.3">
      <c r="A4" s="77" t="s">
        <v>10</v>
      </c>
      <c r="B4" s="81" t="s">
        <v>220</v>
      </c>
      <c r="C4" s="77" t="s">
        <v>227</v>
      </c>
      <c r="D4" s="77" t="s">
        <v>222</v>
      </c>
      <c r="E4" s="77" t="s">
        <v>7</v>
      </c>
      <c r="F4" s="77" t="s">
        <v>7</v>
      </c>
      <c r="G4" s="79" t="s">
        <v>223</v>
      </c>
      <c r="H4" s="159" t="s">
        <v>228</v>
      </c>
      <c r="I4" s="77">
        <v>2069</v>
      </c>
      <c r="J4" s="77">
        <v>2070</v>
      </c>
      <c r="K4" s="77">
        <v>0.81840000000000002</v>
      </c>
      <c r="L4" s="77" t="s">
        <v>225</v>
      </c>
      <c r="M4" s="77">
        <v>1</v>
      </c>
      <c r="N4" s="80" t="s">
        <v>226</v>
      </c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0"/>
      <c r="AQ4" s="70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0"/>
      <c r="BF4" s="70"/>
      <c r="BG4" s="70"/>
      <c r="BH4" s="70"/>
      <c r="BI4" s="70"/>
    </row>
    <row r="5" spans="1:61" s="19" customFormat="1" ht="57.6" x14ac:dyDescent="0.3">
      <c r="A5" s="77" t="s">
        <v>10</v>
      </c>
      <c r="B5" s="81" t="s">
        <v>220</v>
      </c>
      <c r="C5" s="77" t="s">
        <v>229</v>
      </c>
      <c r="D5" s="77" t="s">
        <v>222</v>
      </c>
      <c r="E5" s="77" t="s">
        <v>7</v>
      </c>
      <c r="F5" s="77" t="s">
        <v>7</v>
      </c>
      <c r="G5" s="79" t="s">
        <v>223</v>
      </c>
      <c r="H5" s="159" t="s">
        <v>230</v>
      </c>
      <c r="I5" s="77">
        <v>2069</v>
      </c>
      <c r="J5" s="77">
        <v>2070</v>
      </c>
      <c r="K5" s="77">
        <v>0.50739999999999996</v>
      </c>
      <c r="L5" s="77" t="s">
        <v>225</v>
      </c>
      <c r="M5" s="77">
        <v>1</v>
      </c>
      <c r="N5" s="80" t="s">
        <v>226</v>
      </c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0"/>
      <c r="BF5" s="70"/>
      <c r="BG5" s="70"/>
      <c r="BH5" s="70"/>
      <c r="BI5" s="70"/>
    </row>
    <row r="6" spans="1:61" s="19" customFormat="1" ht="57.6" x14ac:dyDescent="0.3">
      <c r="A6" s="77" t="s">
        <v>10</v>
      </c>
      <c r="B6" s="81" t="s">
        <v>220</v>
      </c>
      <c r="C6" s="77" t="s">
        <v>231</v>
      </c>
      <c r="D6" s="77" t="s">
        <v>222</v>
      </c>
      <c r="E6" s="77" t="s">
        <v>7</v>
      </c>
      <c r="F6" s="77" t="s">
        <v>7</v>
      </c>
      <c r="G6" s="79" t="s">
        <v>223</v>
      </c>
      <c r="H6" s="159" t="s">
        <v>232</v>
      </c>
      <c r="I6" s="77">
        <v>2069</v>
      </c>
      <c r="J6" s="77">
        <v>2070</v>
      </c>
      <c r="K6" s="77">
        <v>5.8897000000000004</v>
      </c>
      <c r="L6" s="77" t="s">
        <v>225</v>
      </c>
      <c r="M6" s="77">
        <v>1</v>
      </c>
      <c r="N6" s="80" t="s">
        <v>226</v>
      </c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  <c r="AO6" s="70"/>
      <c r="AP6" s="70"/>
      <c r="AQ6" s="70"/>
      <c r="AR6" s="70"/>
      <c r="AS6" s="70"/>
      <c r="AT6" s="70"/>
      <c r="AU6" s="70"/>
      <c r="AV6" s="70"/>
      <c r="AW6" s="70"/>
      <c r="AX6" s="70"/>
      <c r="AY6" s="70"/>
      <c r="AZ6" s="70"/>
      <c r="BA6" s="70"/>
      <c r="BB6" s="70"/>
      <c r="BC6" s="70"/>
      <c r="BD6" s="70"/>
      <c r="BE6" s="70"/>
      <c r="BF6" s="70"/>
      <c r="BG6" s="70"/>
      <c r="BH6" s="70"/>
      <c r="BI6" s="70"/>
    </row>
    <row r="7" spans="1:61" s="19" customFormat="1" ht="57.6" x14ac:dyDescent="0.3">
      <c r="A7" s="77" t="s">
        <v>10</v>
      </c>
      <c r="B7" s="81" t="s">
        <v>220</v>
      </c>
      <c r="C7" s="77" t="s">
        <v>233</v>
      </c>
      <c r="D7" s="77" t="s">
        <v>222</v>
      </c>
      <c r="E7" s="77" t="s">
        <v>7</v>
      </c>
      <c r="F7" s="77" t="s">
        <v>7</v>
      </c>
      <c r="G7" s="79" t="s">
        <v>223</v>
      </c>
      <c r="H7" s="159" t="s">
        <v>234</v>
      </c>
      <c r="I7" s="77">
        <v>2069</v>
      </c>
      <c r="J7" s="77">
        <v>2070</v>
      </c>
      <c r="K7" s="77">
        <v>14.08287</v>
      </c>
      <c r="L7" s="77" t="s">
        <v>225</v>
      </c>
      <c r="M7" s="77">
        <v>1</v>
      </c>
      <c r="N7" s="80" t="s">
        <v>226</v>
      </c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70"/>
      <c r="AY7" s="70"/>
      <c r="AZ7" s="70"/>
      <c r="BA7" s="70"/>
      <c r="BB7" s="70"/>
      <c r="BC7" s="70"/>
      <c r="BD7" s="70"/>
      <c r="BE7" s="70"/>
      <c r="BF7" s="70"/>
      <c r="BG7" s="70"/>
      <c r="BH7" s="70"/>
      <c r="BI7" s="70"/>
    </row>
    <row r="8" spans="1:61" s="19" customFormat="1" x14ac:dyDescent="0.3">
      <c r="A8" s="77" t="s">
        <v>10</v>
      </c>
      <c r="B8" s="81" t="s">
        <v>220</v>
      </c>
      <c r="C8" s="77" t="s">
        <v>216</v>
      </c>
      <c r="D8" s="77" t="s">
        <v>222</v>
      </c>
      <c r="E8" s="77" t="s">
        <v>7</v>
      </c>
      <c r="F8" s="77" t="s">
        <v>7</v>
      </c>
      <c r="G8" s="79" t="s">
        <v>235</v>
      </c>
      <c r="H8" s="79" t="s">
        <v>235</v>
      </c>
      <c r="I8" s="77">
        <v>2030</v>
      </c>
      <c r="J8" s="77">
        <v>2031</v>
      </c>
      <c r="K8" s="77">
        <v>0</v>
      </c>
      <c r="L8" s="77" t="s">
        <v>225</v>
      </c>
      <c r="M8" s="77">
        <v>1</v>
      </c>
      <c r="N8" s="80" t="s">
        <v>226</v>
      </c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0"/>
      <c r="BD8" s="70"/>
      <c r="BE8" s="70"/>
      <c r="BF8" s="70"/>
      <c r="BG8" s="70"/>
      <c r="BH8" s="70"/>
      <c r="BI8" s="70"/>
    </row>
    <row r="9" spans="1:61" s="19" customFormat="1" x14ac:dyDescent="0.3">
      <c r="A9" s="77" t="s">
        <v>10</v>
      </c>
      <c r="B9" s="81" t="s">
        <v>220</v>
      </c>
      <c r="C9" s="77" t="s">
        <v>236</v>
      </c>
      <c r="D9" s="77" t="s">
        <v>222</v>
      </c>
      <c r="E9" s="77" t="s">
        <v>7</v>
      </c>
      <c r="F9" s="77" t="s">
        <v>7</v>
      </c>
      <c r="G9" s="79" t="s">
        <v>235</v>
      </c>
      <c r="H9" s="79" t="s">
        <v>235</v>
      </c>
      <c r="I9" s="77">
        <v>2030</v>
      </c>
      <c r="J9" s="77">
        <v>2031</v>
      </c>
      <c r="K9" s="77">
        <v>0</v>
      </c>
      <c r="L9" s="77" t="s">
        <v>225</v>
      </c>
      <c r="M9" s="77">
        <v>1</v>
      </c>
      <c r="N9" s="80" t="s">
        <v>226</v>
      </c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70"/>
      <c r="BI9" s="70"/>
    </row>
    <row r="10" spans="1:61" s="19" customFormat="1" x14ac:dyDescent="0.3">
      <c r="A10" s="77" t="s">
        <v>10</v>
      </c>
      <c r="B10" s="81" t="s">
        <v>220</v>
      </c>
      <c r="C10" s="77" t="s">
        <v>237</v>
      </c>
      <c r="D10" s="77" t="s">
        <v>222</v>
      </c>
      <c r="E10" s="77" t="s">
        <v>7</v>
      </c>
      <c r="F10" s="77" t="s">
        <v>7</v>
      </c>
      <c r="G10" s="79" t="s">
        <v>235</v>
      </c>
      <c r="H10" s="79" t="s">
        <v>235</v>
      </c>
      <c r="I10" s="77">
        <v>2030</v>
      </c>
      <c r="J10" s="77">
        <v>2031</v>
      </c>
      <c r="K10" s="77">
        <v>0</v>
      </c>
      <c r="L10" s="77" t="s">
        <v>225</v>
      </c>
      <c r="M10" s="77">
        <v>1</v>
      </c>
      <c r="N10" s="80" t="s">
        <v>226</v>
      </c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70"/>
      <c r="BI10" s="70"/>
    </row>
    <row r="11" spans="1:61" s="19" customFormat="1" x14ac:dyDescent="0.3">
      <c r="A11" s="77" t="s">
        <v>10</v>
      </c>
      <c r="B11" s="81" t="s">
        <v>220</v>
      </c>
      <c r="C11" s="77" t="s">
        <v>238</v>
      </c>
      <c r="D11" s="77" t="s">
        <v>222</v>
      </c>
      <c r="E11" s="77" t="s">
        <v>7</v>
      </c>
      <c r="F11" s="77" t="s">
        <v>7</v>
      </c>
      <c r="G11" s="79" t="s">
        <v>235</v>
      </c>
      <c r="H11" s="79" t="s">
        <v>235</v>
      </c>
      <c r="I11" s="77">
        <v>2030</v>
      </c>
      <c r="J11" s="77">
        <v>2031</v>
      </c>
      <c r="K11" s="77">
        <v>0</v>
      </c>
      <c r="L11" s="77" t="s">
        <v>225</v>
      </c>
      <c r="M11" s="77">
        <v>1</v>
      </c>
      <c r="N11" s="80" t="s">
        <v>226</v>
      </c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70"/>
      <c r="BI11" s="70"/>
    </row>
    <row r="12" spans="1:61" s="19" customFormat="1" x14ac:dyDescent="0.3">
      <c r="A12" s="77" t="s">
        <v>10</v>
      </c>
      <c r="B12" s="81" t="s">
        <v>220</v>
      </c>
      <c r="C12" s="77" t="s">
        <v>239</v>
      </c>
      <c r="D12" s="77" t="s">
        <v>222</v>
      </c>
      <c r="E12" s="77" t="s">
        <v>7</v>
      </c>
      <c r="F12" s="77" t="s">
        <v>7</v>
      </c>
      <c r="G12" s="79" t="s">
        <v>235</v>
      </c>
      <c r="H12" s="79" t="s">
        <v>235</v>
      </c>
      <c r="I12" s="77">
        <v>2030</v>
      </c>
      <c r="J12" s="77">
        <v>2031</v>
      </c>
      <c r="K12" s="77">
        <v>0</v>
      </c>
      <c r="L12" s="77" t="s">
        <v>225</v>
      </c>
      <c r="M12" s="77">
        <v>1</v>
      </c>
      <c r="N12" s="80" t="s">
        <v>226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70"/>
      <c r="BI12" s="70"/>
    </row>
    <row r="13" spans="1:61" s="19" customFormat="1" x14ac:dyDescent="0.3">
      <c r="A13" s="77" t="s">
        <v>10</v>
      </c>
      <c r="B13" s="81" t="s">
        <v>220</v>
      </c>
      <c r="C13" s="77" t="s">
        <v>240</v>
      </c>
      <c r="D13" s="77" t="s">
        <v>222</v>
      </c>
      <c r="E13" s="77" t="s">
        <v>7</v>
      </c>
      <c r="F13" s="77" t="s">
        <v>7</v>
      </c>
      <c r="G13" s="79" t="s">
        <v>235</v>
      </c>
      <c r="H13" s="79" t="s">
        <v>235</v>
      </c>
      <c r="I13" s="77">
        <v>2030</v>
      </c>
      <c r="J13" s="77">
        <v>2031</v>
      </c>
      <c r="K13" s="77">
        <v>0</v>
      </c>
      <c r="L13" s="77" t="s">
        <v>225</v>
      </c>
      <c r="M13" s="77">
        <v>1</v>
      </c>
      <c r="N13" s="80" t="s">
        <v>226</v>
      </c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70"/>
      <c r="BI13" s="70"/>
    </row>
    <row r="14" spans="1:61" s="19" customFormat="1" x14ac:dyDescent="0.3">
      <c r="A14" s="77" t="s">
        <v>10</v>
      </c>
      <c r="B14" s="81" t="s">
        <v>220</v>
      </c>
      <c r="C14" s="77" t="s">
        <v>241</v>
      </c>
      <c r="D14" s="77" t="s">
        <v>222</v>
      </c>
      <c r="E14" s="77" t="s">
        <v>7</v>
      </c>
      <c r="F14" s="77" t="s">
        <v>7</v>
      </c>
      <c r="G14" s="79" t="s">
        <v>235</v>
      </c>
      <c r="H14" s="79" t="s">
        <v>235</v>
      </c>
      <c r="I14" s="77">
        <v>2030</v>
      </c>
      <c r="J14" s="77">
        <v>2031</v>
      </c>
      <c r="K14" s="77">
        <v>0</v>
      </c>
      <c r="L14" s="77" t="s">
        <v>225</v>
      </c>
      <c r="M14" s="77">
        <v>1</v>
      </c>
      <c r="N14" s="80" t="s">
        <v>226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0"/>
      <c r="BD14" s="70"/>
      <c r="BE14" s="70"/>
      <c r="BF14" s="70"/>
      <c r="BG14" s="70"/>
      <c r="BH14" s="70"/>
      <c r="BI14" s="70"/>
    </row>
    <row r="15" spans="1:61" s="19" customFormat="1" x14ac:dyDescent="0.3">
      <c r="A15" s="77" t="s">
        <v>10</v>
      </c>
      <c r="B15" s="81" t="s">
        <v>220</v>
      </c>
      <c r="C15" s="77" t="s">
        <v>242</v>
      </c>
      <c r="D15" s="77" t="s">
        <v>222</v>
      </c>
      <c r="E15" s="77" t="s">
        <v>7</v>
      </c>
      <c r="F15" s="77" t="s">
        <v>7</v>
      </c>
      <c r="G15" s="79" t="s">
        <v>235</v>
      </c>
      <c r="H15" s="79" t="s">
        <v>235</v>
      </c>
      <c r="I15" s="77">
        <v>2030</v>
      </c>
      <c r="J15" s="77">
        <v>2031</v>
      </c>
      <c r="K15" s="77">
        <v>0</v>
      </c>
      <c r="L15" s="77" t="s">
        <v>225</v>
      </c>
      <c r="M15" s="77">
        <v>1</v>
      </c>
      <c r="N15" s="80" t="s">
        <v>226</v>
      </c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0"/>
      <c r="BD15" s="70"/>
      <c r="BE15" s="70"/>
      <c r="BF15" s="70"/>
      <c r="BG15" s="70"/>
      <c r="BH15" s="70"/>
      <c r="BI15" s="70"/>
    </row>
    <row r="16" spans="1:61" s="19" customFormat="1" x14ac:dyDescent="0.3">
      <c r="A16" s="77" t="s">
        <v>10</v>
      </c>
      <c r="B16" s="81" t="s">
        <v>220</v>
      </c>
      <c r="C16" s="77" t="s">
        <v>243</v>
      </c>
      <c r="D16" s="77" t="s">
        <v>222</v>
      </c>
      <c r="E16" s="77" t="s">
        <v>7</v>
      </c>
      <c r="F16" s="77" t="s">
        <v>7</v>
      </c>
      <c r="G16" s="79" t="s">
        <v>235</v>
      </c>
      <c r="H16" s="79" t="s">
        <v>235</v>
      </c>
      <c r="I16" s="77">
        <v>2030</v>
      </c>
      <c r="J16" s="77">
        <v>2031</v>
      </c>
      <c r="K16" s="77">
        <v>0</v>
      </c>
      <c r="L16" s="77" t="s">
        <v>225</v>
      </c>
      <c r="M16" s="77">
        <v>1</v>
      </c>
      <c r="N16" s="80" t="s">
        <v>226</v>
      </c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</row>
    <row r="17" spans="1:61" s="19" customFormat="1" x14ac:dyDescent="0.3">
      <c r="A17" s="77" t="s">
        <v>10</v>
      </c>
      <c r="B17" s="81" t="s">
        <v>220</v>
      </c>
      <c r="C17" s="77" t="s">
        <v>244</v>
      </c>
      <c r="D17" s="77" t="s">
        <v>222</v>
      </c>
      <c r="E17" s="77" t="s">
        <v>7</v>
      </c>
      <c r="F17" s="77" t="s">
        <v>7</v>
      </c>
      <c r="G17" s="79" t="s">
        <v>235</v>
      </c>
      <c r="H17" s="79" t="s">
        <v>235</v>
      </c>
      <c r="I17" s="77">
        <v>2030</v>
      </c>
      <c r="J17" s="77">
        <v>2031</v>
      </c>
      <c r="K17" s="77">
        <v>0</v>
      </c>
      <c r="L17" s="77" t="s">
        <v>225</v>
      </c>
      <c r="M17" s="77">
        <v>1</v>
      </c>
      <c r="N17" s="80" t="s">
        <v>226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0"/>
      <c r="BD17" s="70"/>
      <c r="BE17" s="70"/>
      <c r="BF17" s="70"/>
      <c r="BG17" s="70"/>
      <c r="BH17" s="70"/>
      <c r="BI17" s="70"/>
    </row>
    <row r="18" spans="1:61" s="19" customFormat="1" x14ac:dyDescent="0.3">
      <c r="A18" s="77" t="s">
        <v>10</v>
      </c>
      <c r="B18" s="81" t="s">
        <v>220</v>
      </c>
      <c r="C18" s="77" t="s">
        <v>245</v>
      </c>
      <c r="D18" s="77" t="s">
        <v>222</v>
      </c>
      <c r="E18" s="77" t="s">
        <v>7</v>
      </c>
      <c r="F18" s="77" t="s">
        <v>7</v>
      </c>
      <c r="G18" s="79" t="s">
        <v>235</v>
      </c>
      <c r="H18" s="79" t="s">
        <v>235</v>
      </c>
      <c r="I18" s="77">
        <v>2030</v>
      </c>
      <c r="J18" s="77">
        <v>2031</v>
      </c>
      <c r="K18" s="77">
        <v>0</v>
      </c>
      <c r="L18" s="77" t="s">
        <v>225</v>
      </c>
      <c r="M18" s="77">
        <v>1</v>
      </c>
      <c r="N18" s="80" t="s">
        <v>226</v>
      </c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</row>
    <row r="19" spans="1:61" s="19" customFormat="1" x14ac:dyDescent="0.3">
      <c r="A19" s="77" t="s">
        <v>10</v>
      </c>
      <c r="B19" s="81" t="s">
        <v>220</v>
      </c>
      <c r="C19" s="77" t="s">
        <v>246</v>
      </c>
      <c r="D19" s="77" t="s">
        <v>222</v>
      </c>
      <c r="E19" s="77" t="s">
        <v>7</v>
      </c>
      <c r="F19" s="77" t="s">
        <v>7</v>
      </c>
      <c r="G19" s="79" t="s">
        <v>235</v>
      </c>
      <c r="H19" s="79" t="s">
        <v>235</v>
      </c>
      <c r="I19" s="77">
        <v>2030</v>
      </c>
      <c r="J19" s="77">
        <v>2031</v>
      </c>
      <c r="K19" s="77">
        <v>0</v>
      </c>
      <c r="L19" s="77" t="s">
        <v>225</v>
      </c>
      <c r="M19" s="77">
        <v>1</v>
      </c>
      <c r="N19" s="80" t="s">
        <v>226</v>
      </c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0"/>
      <c r="BD19" s="70"/>
      <c r="BE19" s="70"/>
      <c r="BF19" s="70"/>
      <c r="BG19" s="70"/>
      <c r="BH19" s="70"/>
      <c r="BI19" s="70"/>
    </row>
    <row r="20" spans="1:61" s="19" customFormat="1" ht="57.6" x14ac:dyDescent="0.3">
      <c r="A20" s="77" t="s">
        <v>10</v>
      </c>
      <c r="B20" s="82" t="s">
        <v>247</v>
      </c>
      <c r="C20" s="77" t="s">
        <v>248</v>
      </c>
      <c r="D20" s="77" t="s">
        <v>249</v>
      </c>
      <c r="E20" s="77" t="s">
        <v>11</v>
      </c>
      <c r="F20" s="77" t="s">
        <v>7</v>
      </c>
      <c r="G20" s="79" t="s">
        <v>223</v>
      </c>
      <c r="H20" s="79" t="s">
        <v>250</v>
      </c>
      <c r="I20" s="77">
        <v>2069</v>
      </c>
      <c r="J20" s="77">
        <v>2070</v>
      </c>
      <c r="K20" s="77">
        <v>9.4100077500000001</v>
      </c>
      <c r="L20" s="77" t="s">
        <v>225</v>
      </c>
      <c r="M20" s="77">
        <v>1</v>
      </c>
      <c r="N20" s="80" t="s">
        <v>251</v>
      </c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</row>
    <row r="21" spans="1:61" s="19" customFormat="1" ht="57.6" x14ac:dyDescent="0.3">
      <c r="A21" s="77" t="s">
        <v>10</v>
      </c>
      <c r="B21" s="81" t="s">
        <v>220</v>
      </c>
      <c r="C21" s="77" t="s">
        <v>248</v>
      </c>
      <c r="D21" s="77" t="s">
        <v>222</v>
      </c>
      <c r="E21" s="77" t="s">
        <v>7</v>
      </c>
      <c r="F21" s="77" t="s">
        <v>7</v>
      </c>
      <c r="G21" s="79" t="s">
        <v>223</v>
      </c>
      <c r="H21" s="79" t="s">
        <v>252</v>
      </c>
      <c r="I21" s="77">
        <v>2069</v>
      </c>
      <c r="J21" s="77">
        <v>2070</v>
      </c>
      <c r="K21" s="77">
        <v>8.4690069749999992</v>
      </c>
      <c r="L21" s="77" t="s">
        <v>225</v>
      </c>
      <c r="M21" s="77">
        <v>1</v>
      </c>
      <c r="N21" s="80" t="s">
        <v>226</v>
      </c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70"/>
      <c r="BI21" s="70"/>
    </row>
    <row r="22" spans="1:61" s="19" customFormat="1" x14ac:dyDescent="0.3">
      <c r="A22" s="77" t="s">
        <v>10</v>
      </c>
      <c r="B22" s="83" t="s">
        <v>253</v>
      </c>
      <c r="C22" s="77" t="s">
        <v>233</v>
      </c>
      <c r="D22" s="77" t="s">
        <v>254</v>
      </c>
      <c r="E22" s="77" t="s">
        <v>7</v>
      </c>
      <c r="F22" s="77" t="s">
        <v>7</v>
      </c>
      <c r="G22" s="79" t="s">
        <v>235</v>
      </c>
      <c r="H22" s="79" t="s">
        <v>235</v>
      </c>
      <c r="I22" s="77">
        <v>2021</v>
      </c>
      <c r="J22" s="77">
        <v>2022</v>
      </c>
      <c r="K22" s="77">
        <v>99</v>
      </c>
      <c r="L22" s="77" t="s">
        <v>218</v>
      </c>
      <c r="M22" s="77">
        <v>1</v>
      </c>
      <c r="N22" s="80" t="s">
        <v>255</v>
      </c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</row>
    <row r="23" spans="1:61" s="19" customFormat="1" x14ac:dyDescent="0.3">
      <c r="A23" s="77" t="s">
        <v>10</v>
      </c>
      <c r="B23" s="83" t="s">
        <v>253</v>
      </c>
      <c r="C23" s="77" t="s">
        <v>248</v>
      </c>
      <c r="D23" s="77" t="s">
        <v>256</v>
      </c>
      <c r="E23" s="77" t="s">
        <v>7</v>
      </c>
      <c r="F23" s="77" t="s">
        <v>7</v>
      </c>
      <c r="G23" s="79" t="s">
        <v>235</v>
      </c>
      <c r="H23" s="79" t="s">
        <v>235</v>
      </c>
      <c r="I23" s="77">
        <v>2021</v>
      </c>
      <c r="J23" s="77">
        <v>2022</v>
      </c>
      <c r="K23" s="77">
        <v>99</v>
      </c>
      <c r="L23" s="77" t="s">
        <v>218</v>
      </c>
      <c r="M23" s="77">
        <v>1</v>
      </c>
      <c r="N23" s="80" t="s">
        <v>255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</row>
    <row r="24" spans="1:61" s="19" customFormat="1" ht="57.6" x14ac:dyDescent="0.3">
      <c r="A24" s="77" t="s">
        <v>10</v>
      </c>
      <c r="B24" s="82" t="s">
        <v>247</v>
      </c>
      <c r="C24" s="77" t="s">
        <v>257</v>
      </c>
      <c r="D24" s="77" t="s">
        <v>249</v>
      </c>
      <c r="E24" s="77" t="s">
        <v>7</v>
      </c>
      <c r="F24" s="77" t="s">
        <v>7</v>
      </c>
      <c r="G24" s="79" t="s">
        <v>223</v>
      </c>
      <c r="H24" s="79" t="s">
        <v>258</v>
      </c>
      <c r="I24" s="77">
        <v>2069</v>
      </c>
      <c r="J24" s="77">
        <v>2070</v>
      </c>
      <c r="K24" s="77">
        <v>75.687258698999997</v>
      </c>
      <c r="L24" s="77" t="s">
        <v>225</v>
      </c>
      <c r="M24" s="77">
        <v>1</v>
      </c>
      <c r="N24" s="80" t="s">
        <v>226</v>
      </c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</row>
    <row r="25" spans="1:61" s="19" customFormat="1" ht="57.6" x14ac:dyDescent="0.3">
      <c r="A25" s="77" t="s">
        <v>10</v>
      </c>
      <c r="B25" s="81" t="s">
        <v>220</v>
      </c>
      <c r="C25" s="77" t="s">
        <v>257</v>
      </c>
      <c r="D25" s="77" t="s">
        <v>222</v>
      </c>
      <c r="E25" s="77" t="s">
        <v>7</v>
      </c>
      <c r="F25" s="77" t="s">
        <v>7</v>
      </c>
      <c r="G25" s="79" t="s">
        <v>223</v>
      </c>
      <c r="H25" s="159" t="s">
        <v>259</v>
      </c>
      <c r="I25" s="77">
        <v>2069</v>
      </c>
      <c r="J25" s="77">
        <v>2070</v>
      </c>
      <c r="K25" s="77">
        <v>70.648377554700005</v>
      </c>
      <c r="L25" s="77" t="s">
        <v>225</v>
      </c>
      <c r="M25" s="77">
        <v>1</v>
      </c>
      <c r="N25" s="80" t="s">
        <v>226</v>
      </c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</row>
    <row r="26" spans="1:61" s="19" customFormat="1" ht="57.6" x14ac:dyDescent="0.3">
      <c r="A26" s="77" t="s">
        <v>10</v>
      </c>
      <c r="B26" s="81" t="s">
        <v>220</v>
      </c>
      <c r="C26" s="77" t="s">
        <v>260</v>
      </c>
      <c r="D26" s="77" t="s">
        <v>222</v>
      </c>
      <c r="E26" s="77" t="s">
        <v>11</v>
      </c>
      <c r="F26" s="77" t="s">
        <v>7</v>
      </c>
      <c r="G26" s="79" t="s">
        <v>223</v>
      </c>
      <c r="H26" s="159" t="s">
        <v>261</v>
      </c>
      <c r="I26" s="77">
        <v>2069</v>
      </c>
      <c r="J26" s="77">
        <v>2070</v>
      </c>
      <c r="K26" s="77">
        <v>22.89226</v>
      </c>
      <c r="L26" s="77" t="s">
        <v>225</v>
      </c>
      <c r="M26" s="77">
        <v>1</v>
      </c>
      <c r="N26" s="80" t="s">
        <v>251</v>
      </c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</row>
    <row r="27" spans="1:61" s="19" customFormat="1" ht="57.6" x14ac:dyDescent="0.3">
      <c r="A27" s="77" t="s">
        <v>10</v>
      </c>
      <c r="B27" s="82" t="s">
        <v>247</v>
      </c>
      <c r="C27" s="77" t="s">
        <v>262</v>
      </c>
      <c r="D27" s="77" t="s">
        <v>249</v>
      </c>
      <c r="E27" s="77" t="s">
        <v>7</v>
      </c>
      <c r="F27" s="77" t="s">
        <v>7</v>
      </c>
      <c r="G27" s="79" t="s">
        <v>223</v>
      </c>
      <c r="H27" s="79" t="s">
        <v>263</v>
      </c>
      <c r="I27" s="77">
        <v>2069</v>
      </c>
      <c r="J27" s="77">
        <v>2070</v>
      </c>
      <c r="K27" s="77">
        <v>11.63302798086</v>
      </c>
      <c r="L27" s="77" t="s">
        <v>225</v>
      </c>
      <c r="M27" s="77">
        <v>1</v>
      </c>
      <c r="N27" s="80" t="s">
        <v>226</v>
      </c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70"/>
      <c r="BE27" s="70"/>
      <c r="BF27" s="70"/>
      <c r="BG27" s="70"/>
      <c r="BH27" s="70"/>
      <c r="BI27" s="70"/>
    </row>
    <row r="28" spans="1:61" s="19" customFormat="1" ht="57.6" x14ac:dyDescent="0.3">
      <c r="A28" s="77" t="s">
        <v>10</v>
      </c>
      <c r="B28" s="81" t="s">
        <v>220</v>
      </c>
      <c r="C28" s="77" t="s">
        <v>262</v>
      </c>
      <c r="D28" s="77" t="s">
        <v>222</v>
      </c>
      <c r="E28" s="77" t="s">
        <v>7</v>
      </c>
      <c r="F28" s="77" t="s">
        <v>7</v>
      </c>
      <c r="G28" s="79" t="s">
        <v>223</v>
      </c>
      <c r="H28" s="79" t="s">
        <v>264</v>
      </c>
      <c r="I28" s="77">
        <v>2069</v>
      </c>
      <c r="J28" s="77">
        <v>2070</v>
      </c>
      <c r="K28" s="77">
        <v>11.517849485999999</v>
      </c>
      <c r="L28" s="77" t="s">
        <v>225</v>
      </c>
      <c r="M28" s="77">
        <v>1</v>
      </c>
      <c r="N28" s="80" t="s">
        <v>226</v>
      </c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0"/>
      <c r="BD28" s="70"/>
      <c r="BE28" s="70"/>
      <c r="BF28" s="70"/>
      <c r="BG28" s="70"/>
      <c r="BH28" s="70"/>
      <c r="BI28" s="70"/>
    </row>
    <row r="29" spans="1:61" s="19" customFormat="1" ht="57.6" x14ac:dyDescent="0.3">
      <c r="A29" s="77" t="s">
        <v>10</v>
      </c>
      <c r="B29" s="82" t="s">
        <v>247</v>
      </c>
      <c r="C29" s="77" t="s">
        <v>265</v>
      </c>
      <c r="D29" s="77" t="s">
        <v>249</v>
      </c>
      <c r="E29" s="77" t="s">
        <v>11</v>
      </c>
      <c r="F29" s="77" t="s">
        <v>7</v>
      </c>
      <c r="G29" s="79" t="s">
        <v>223</v>
      </c>
      <c r="H29" s="79" t="s">
        <v>266</v>
      </c>
      <c r="I29" s="77">
        <v>2069</v>
      </c>
      <c r="J29" s="77">
        <v>2070</v>
      </c>
      <c r="K29" s="77">
        <v>3.6964983840420702</v>
      </c>
      <c r="L29" s="77" t="s">
        <v>225</v>
      </c>
      <c r="M29" s="77">
        <v>1</v>
      </c>
      <c r="N29" s="80" t="s">
        <v>251</v>
      </c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0"/>
      <c r="BD29" s="70"/>
      <c r="BE29" s="70"/>
      <c r="BF29" s="70"/>
      <c r="BG29" s="70"/>
      <c r="BH29" s="70"/>
      <c r="BI29" s="70"/>
    </row>
    <row r="30" spans="1:61" s="19" customFormat="1" ht="57.6" x14ac:dyDescent="0.3">
      <c r="A30" s="77" t="s">
        <v>10</v>
      </c>
      <c r="B30" s="81" t="s">
        <v>220</v>
      </c>
      <c r="C30" s="77" t="s">
        <v>265</v>
      </c>
      <c r="D30" s="77" t="s">
        <v>222</v>
      </c>
      <c r="E30" s="77" t="s">
        <v>7</v>
      </c>
      <c r="F30" s="77" t="s">
        <v>7</v>
      </c>
      <c r="G30" s="79" t="s">
        <v>223</v>
      </c>
      <c r="H30" s="79" t="s">
        <v>267</v>
      </c>
      <c r="I30" s="77">
        <v>2069</v>
      </c>
      <c r="J30" s="77">
        <v>2070</v>
      </c>
      <c r="K30" s="77">
        <v>3.65989939014066</v>
      </c>
      <c r="L30" s="77" t="s">
        <v>225</v>
      </c>
      <c r="M30" s="77">
        <v>1</v>
      </c>
      <c r="N30" s="80" t="s">
        <v>226</v>
      </c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0"/>
      <c r="BD30" s="70"/>
      <c r="BE30" s="70"/>
      <c r="BF30" s="70"/>
      <c r="BG30" s="70"/>
      <c r="BH30" s="70"/>
      <c r="BI30" s="70"/>
    </row>
    <row r="31" spans="1:61" s="19" customFormat="1" ht="72" x14ac:dyDescent="0.3">
      <c r="A31" s="77" t="s">
        <v>10</v>
      </c>
      <c r="B31" s="82" t="s">
        <v>247</v>
      </c>
      <c r="C31" s="77" t="s">
        <v>268</v>
      </c>
      <c r="D31" s="77" t="s">
        <v>249</v>
      </c>
      <c r="E31" s="77" t="s">
        <v>11</v>
      </c>
      <c r="F31" s="77" t="s">
        <v>7</v>
      </c>
      <c r="G31" s="79" t="s">
        <v>223</v>
      </c>
      <c r="H31" s="79" t="s">
        <v>269</v>
      </c>
      <c r="I31" s="77">
        <v>2069</v>
      </c>
      <c r="J31" s="77">
        <v>2070</v>
      </c>
      <c r="K31" s="77">
        <v>2.8114403119551601E-2</v>
      </c>
      <c r="L31" s="77" t="s">
        <v>225</v>
      </c>
      <c r="M31" s="77">
        <v>1</v>
      </c>
      <c r="N31" s="80" t="s">
        <v>251</v>
      </c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0"/>
      <c r="BD31" s="70"/>
      <c r="BE31" s="70"/>
      <c r="BF31" s="70"/>
      <c r="BG31" s="70"/>
      <c r="BH31" s="70"/>
      <c r="BI31" s="70"/>
    </row>
    <row r="32" spans="1:61" s="19" customFormat="1" ht="72" x14ac:dyDescent="0.3">
      <c r="A32" s="77" t="s">
        <v>10</v>
      </c>
      <c r="B32" s="81" t="s">
        <v>220</v>
      </c>
      <c r="C32" s="77" t="s">
        <v>268</v>
      </c>
      <c r="D32" s="77" t="s">
        <v>222</v>
      </c>
      <c r="E32" s="77" t="s">
        <v>7</v>
      </c>
      <c r="F32" s="77" t="s">
        <v>7</v>
      </c>
      <c r="G32" s="79" t="s">
        <v>223</v>
      </c>
      <c r="H32" s="79" t="s">
        <v>270</v>
      </c>
      <c r="I32" s="77">
        <v>2069</v>
      </c>
      <c r="J32" s="77">
        <v>2070</v>
      </c>
      <c r="K32" s="77">
        <v>2.7836042692625299E-2</v>
      </c>
      <c r="L32" s="77" t="s">
        <v>225</v>
      </c>
      <c r="M32" s="77">
        <v>1</v>
      </c>
      <c r="N32" s="80" t="s">
        <v>226</v>
      </c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0"/>
      <c r="BD32" s="70"/>
      <c r="BE32" s="70"/>
      <c r="BF32" s="70"/>
      <c r="BG32" s="70"/>
      <c r="BH32" s="70"/>
      <c r="BI32" s="70"/>
    </row>
    <row r="33" spans="1:61" s="19" customFormat="1" ht="57.6" x14ac:dyDescent="0.3">
      <c r="A33" s="77" t="s">
        <v>10</v>
      </c>
      <c r="B33" s="82" t="s">
        <v>247</v>
      </c>
      <c r="C33" s="77" t="s">
        <v>271</v>
      </c>
      <c r="D33" s="77" t="s">
        <v>249</v>
      </c>
      <c r="E33" s="77" t="s">
        <v>11</v>
      </c>
      <c r="F33" s="77" t="s">
        <v>7</v>
      </c>
      <c r="G33" s="79" t="s">
        <v>223</v>
      </c>
      <c r="H33" s="79" t="s">
        <v>272</v>
      </c>
      <c r="I33" s="77">
        <v>2069</v>
      </c>
      <c r="J33" s="77">
        <v>2070</v>
      </c>
      <c r="K33" s="77">
        <v>0.15734653665332601</v>
      </c>
      <c r="L33" s="77" t="s">
        <v>225</v>
      </c>
      <c r="M33" s="77">
        <v>1</v>
      </c>
      <c r="N33" s="80" t="s">
        <v>251</v>
      </c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0"/>
      <c r="BD33" s="70"/>
      <c r="BE33" s="70"/>
      <c r="BF33" s="70"/>
      <c r="BG33" s="70"/>
      <c r="BH33" s="70"/>
      <c r="BI33" s="70"/>
    </row>
    <row r="34" spans="1:61" s="19" customFormat="1" ht="57.6" x14ac:dyDescent="0.3">
      <c r="A34" s="77" t="s">
        <v>10</v>
      </c>
      <c r="B34" s="81" t="s">
        <v>220</v>
      </c>
      <c r="C34" s="77" t="s">
        <v>271</v>
      </c>
      <c r="D34" s="77" t="s">
        <v>222</v>
      </c>
      <c r="E34" s="77" t="s">
        <v>7</v>
      </c>
      <c r="F34" s="77" t="s">
        <v>7</v>
      </c>
      <c r="G34" s="79" t="s">
        <v>223</v>
      </c>
      <c r="H34" s="79" t="s">
        <v>273</v>
      </c>
      <c r="I34" s="77">
        <v>2069</v>
      </c>
      <c r="J34" s="77">
        <v>2070</v>
      </c>
      <c r="K34" s="77">
        <v>0.15578865015180801</v>
      </c>
      <c r="L34" s="77" t="s">
        <v>225</v>
      </c>
      <c r="M34" s="77">
        <v>1</v>
      </c>
      <c r="N34" s="80" t="s">
        <v>226</v>
      </c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0"/>
      <c r="BD34" s="70"/>
      <c r="BE34" s="70"/>
      <c r="BF34" s="70"/>
      <c r="BG34" s="70"/>
      <c r="BH34" s="70"/>
      <c r="BI34" s="70"/>
    </row>
    <row r="35" spans="1:61" s="19" customFormat="1" x14ac:dyDescent="0.3">
      <c r="A35" s="77" t="s">
        <v>274</v>
      </c>
      <c r="B35" s="81" t="s">
        <v>220</v>
      </c>
      <c r="C35" s="77" t="s">
        <v>275</v>
      </c>
      <c r="D35" s="77" t="s">
        <v>222</v>
      </c>
      <c r="E35" s="77" t="s">
        <v>7</v>
      </c>
      <c r="F35" s="77" t="s">
        <v>7</v>
      </c>
      <c r="G35" s="79" t="s">
        <v>235</v>
      </c>
      <c r="H35" s="79" t="s">
        <v>235</v>
      </c>
      <c r="I35" s="77">
        <v>2023</v>
      </c>
      <c r="J35" s="77">
        <v>2024</v>
      </c>
      <c r="K35" s="77">
        <v>0</v>
      </c>
      <c r="L35" s="77" t="s">
        <v>225</v>
      </c>
      <c r="M35" s="77">
        <v>1</v>
      </c>
      <c r="N35" s="80" t="s">
        <v>226</v>
      </c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</row>
    <row r="36" spans="1:61" s="19" customFormat="1" x14ac:dyDescent="0.3">
      <c r="A36" s="77" t="s">
        <v>274</v>
      </c>
      <c r="B36" s="81" t="s">
        <v>220</v>
      </c>
      <c r="C36" s="77" t="s">
        <v>276</v>
      </c>
      <c r="D36" s="77" t="s">
        <v>222</v>
      </c>
      <c r="E36" s="77" t="s">
        <v>7</v>
      </c>
      <c r="F36" s="77" t="s">
        <v>7</v>
      </c>
      <c r="G36" s="79" t="s">
        <v>235</v>
      </c>
      <c r="H36" s="79" t="s">
        <v>235</v>
      </c>
      <c r="I36" s="77">
        <v>2023</v>
      </c>
      <c r="J36" s="77">
        <v>2024</v>
      </c>
      <c r="K36" s="77">
        <v>0</v>
      </c>
      <c r="L36" s="77" t="s">
        <v>225</v>
      </c>
      <c r="M36" s="77">
        <v>1</v>
      </c>
      <c r="N36" s="80" t="s">
        <v>226</v>
      </c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0"/>
      <c r="BD36" s="70"/>
      <c r="BE36" s="70"/>
      <c r="BF36" s="70"/>
      <c r="BG36" s="70"/>
      <c r="BH36" s="70"/>
      <c r="BI36" s="70"/>
    </row>
    <row r="37" spans="1:61" s="19" customFormat="1" x14ac:dyDescent="0.3">
      <c r="A37" s="77" t="s">
        <v>274</v>
      </c>
      <c r="B37" s="82" t="s">
        <v>247</v>
      </c>
      <c r="C37" s="77" t="s">
        <v>257</v>
      </c>
      <c r="D37" s="77" t="s">
        <v>249</v>
      </c>
      <c r="E37" s="77" t="s">
        <v>7</v>
      </c>
      <c r="F37" s="77" t="s">
        <v>7</v>
      </c>
      <c r="G37" s="79" t="s">
        <v>235</v>
      </c>
      <c r="H37" s="79" t="s">
        <v>235</v>
      </c>
      <c r="I37" s="77">
        <v>2021</v>
      </c>
      <c r="J37" s="77">
        <v>2022</v>
      </c>
      <c r="K37" s="77">
        <v>999999</v>
      </c>
      <c r="L37" s="77" t="s">
        <v>225</v>
      </c>
      <c r="M37" s="77">
        <v>1</v>
      </c>
      <c r="N37" s="80" t="s">
        <v>226</v>
      </c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</row>
    <row r="38" spans="1:61" s="19" customFormat="1" x14ac:dyDescent="0.3">
      <c r="A38" s="77" t="s">
        <v>274</v>
      </c>
      <c r="B38" s="82" t="s">
        <v>247</v>
      </c>
      <c r="C38" s="77" t="s">
        <v>262</v>
      </c>
      <c r="D38" s="77" t="s">
        <v>249</v>
      </c>
      <c r="E38" s="77" t="s">
        <v>7</v>
      </c>
      <c r="F38" s="77" t="s">
        <v>7</v>
      </c>
      <c r="G38" s="79" t="s">
        <v>235</v>
      </c>
      <c r="H38" s="79" t="s">
        <v>235</v>
      </c>
      <c r="I38" s="77">
        <v>2021</v>
      </c>
      <c r="J38" s="77">
        <v>2022</v>
      </c>
      <c r="K38" s="77">
        <v>999999</v>
      </c>
      <c r="L38" s="77" t="s">
        <v>225</v>
      </c>
      <c r="M38" s="77">
        <v>1</v>
      </c>
      <c r="N38" s="80" t="s">
        <v>226</v>
      </c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0"/>
      <c r="BD38" s="70"/>
      <c r="BE38" s="70"/>
      <c r="BF38" s="70"/>
      <c r="BG38" s="70"/>
      <c r="BH38" s="70"/>
      <c r="BI38" s="70"/>
    </row>
    <row r="39" spans="1:61" s="19" customFormat="1" ht="57.6" x14ac:dyDescent="0.3">
      <c r="A39" s="77" t="s">
        <v>274</v>
      </c>
      <c r="B39" s="81" t="s">
        <v>220</v>
      </c>
      <c r="C39" s="77" t="s">
        <v>257</v>
      </c>
      <c r="D39" s="77" t="s">
        <v>222</v>
      </c>
      <c r="E39" s="77" t="s">
        <v>7</v>
      </c>
      <c r="F39" s="77" t="s">
        <v>7</v>
      </c>
      <c r="G39" s="79" t="s">
        <v>277</v>
      </c>
      <c r="H39" s="79" t="s">
        <v>278</v>
      </c>
      <c r="I39" s="77">
        <v>2069</v>
      </c>
      <c r="J39" s="77">
        <v>2070</v>
      </c>
      <c r="K39" s="77">
        <v>73.360447699999995</v>
      </c>
      <c r="L39" s="77" t="s">
        <v>225</v>
      </c>
      <c r="M39" s="77">
        <v>1</v>
      </c>
      <c r="N39" s="80" t="s">
        <v>226</v>
      </c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70"/>
      <c r="BI39" s="70"/>
    </row>
    <row r="40" spans="1:61" s="19" customFormat="1" ht="57.6" x14ac:dyDescent="0.3">
      <c r="A40" s="77" t="s">
        <v>274</v>
      </c>
      <c r="B40" s="81" t="s">
        <v>220</v>
      </c>
      <c r="C40" s="77" t="s">
        <v>262</v>
      </c>
      <c r="D40" s="77" t="s">
        <v>222</v>
      </c>
      <c r="E40" s="77" t="s">
        <v>7</v>
      </c>
      <c r="F40" s="77" t="s">
        <v>7</v>
      </c>
      <c r="G40" s="79" t="s">
        <v>277</v>
      </c>
      <c r="H40" s="79" t="s">
        <v>279</v>
      </c>
      <c r="I40" s="77">
        <v>2069</v>
      </c>
      <c r="J40" s="77">
        <v>2070</v>
      </c>
      <c r="K40" s="77">
        <v>11.059999400000001</v>
      </c>
      <c r="L40" s="77" t="s">
        <v>225</v>
      </c>
      <c r="M40" s="77">
        <v>1</v>
      </c>
      <c r="N40" s="80" t="s">
        <v>226</v>
      </c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70"/>
      <c r="BI40" s="70"/>
    </row>
    <row r="41" spans="1:61" s="19" customFormat="1" ht="57.6" x14ac:dyDescent="0.3">
      <c r="A41" s="77" t="s">
        <v>274</v>
      </c>
      <c r="B41" s="81" t="s">
        <v>220</v>
      </c>
      <c r="C41" s="77" t="s">
        <v>233</v>
      </c>
      <c r="D41" s="77" t="s">
        <v>222</v>
      </c>
      <c r="E41" s="77" t="s">
        <v>7</v>
      </c>
      <c r="F41" s="77" t="s">
        <v>7</v>
      </c>
      <c r="G41" s="79" t="s">
        <v>277</v>
      </c>
      <c r="H41" s="79" t="s">
        <v>280</v>
      </c>
      <c r="I41" s="77">
        <v>2069</v>
      </c>
      <c r="J41" s="77">
        <v>2070</v>
      </c>
      <c r="K41" s="77">
        <v>3.3505292299999998</v>
      </c>
      <c r="L41" s="77" t="s">
        <v>225</v>
      </c>
      <c r="M41" s="77">
        <v>1</v>
      </c>
      <c r="N41" s="80" t="s">
        <v>226</v>
      </c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70"/>
      <c r="BI41" s="70"/>
    </row>
    <row r="42" spans="1:61" s="19" customFormat="1" ht="57.6" x14ac:dyDescent="0.3">
      <c r="A42" s="77" t="s">
        <v>274</v>
      </c>
      <c r="B42" s="81" t="s">
        <v>220</v>
      </c>
      <c r="C42" s="77" t="s">
        <v>248</v>
      </c>
      <c r="D42" s="77" t="s">
        <v>222</v>
      </c>
      <c r="E42" s="77" t="s">
        <v>7</v>
      </c>
      <c r="F42" s="77" t="s">
        <v>7</v>
      </c>
      <c r="G42" s="84" t="s">
        <v>277</v>
      </c>
      <c r="H42" s="79" t="s">
        <v>252</v>
      </c>
      <c r="I42" s="77">
        <v>2069</v>
      </c>
      <c r="J42" s="77">
        <v>2070</v>
      </c>
      <c r="K42" s="77">
        <v>8.0672936800000006</v>
      </c>
      <c r="L42" s="77" t="s">
        <v>225</v>
      </c>
      <c r="M42" s="77">
        <v>1</v>
      </c>
      <c r="N42" s="80" t="s">
        <v>226</v>
      </c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</row>
    <row r="43" spans="1:61" s="19" customFormat="1" ht="57.6" x14ac:dyDescent="0.3">
      <c r="A43" s="77" t="s">
        <v>274</v>
      </c>
      <c r="B43" s="82" t="s">
        <v>247</v>
      </c>
      <c r="C43" s="77" t="s">
        <v>248</v>
      </c>
      <c r="D43" s="77" t="s">
        <v>249</v>
      </c>
      <c r="E43" s="77" t="s">
        <v>11</v>
      </c>
      <c r="F43" s="77" t="s">
        <v>7</v>
      </c>
      <c r="G43" s="84" t="s">
        <v>277</v>
      </c>
      <c r="H43" s="79" t="s">
        <v>250</v>
      </c>
      <c r="I43" s="77">
        <v>2069</v>
      </c>
      <c r="J43" s="77">
        <v>2070</v>
      </c>
      <c r="K43" s="77">
        <v>8.1479666169999998</v>
      </c>
      <c r="L43" s="77" t="s">
        <v>225</v>
      </c>
      <c r="M43" s="77">
        <v>1</v>
      </c>
      <c r="N43" s="80" t="s">
        <v>251</v>
      </c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0"/>
      <c r="BF43" s="70"/>
      <c r="BG43" s="70"/>
      <c r="BH43" s="70"/>
      <c r="BI43" s="70"/>
    </row>
    <row r="44" spans="1:61" s="19" customFormat="1" x14ac:dyDescent="0.3">
      <c r="A44" s="77" t="s">
        <v>274</v>
      </c>
      <c r="B44" s="83" t="s">
        <v>253</v>
      </c>
      <c r="C44" s="77" t="s">
        <v>233</v>
      </c>
      <c r="D44" s="77" t="s">
        <v>256</v>
      </c>
      <c r="E44" s="77" t="s">
        <v>7</v>
      </c>
      <c r="F44" s="77" t="s">
        <v>7</v>
      </c>
      <c r="G44" s="79" t="s">
        <v>235</v>
      </c>
      <c r="H44" s="79" t="s">
        <v>235</v>
      </c>
      <c r="I44" s="77">
        <v>2021</v>
      </c>
      <c r="J44" s="77">
        <v>2022</v>
      </c>
      <c r="K44" s="77">
        <v>99</v>
      </c>
      <c r="L44" s="77" t="s">
        <v>218</v>
      </c>
      <c r="M44" s="77">
        <v>1</v>
      </c>
      <c r="N44" s="80" t="s">
        <v>255</v>
      </c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0"/>
      <c r="BD44" s="70"/>
      <c r="BE44" s="70"/>
      <c r="BF44" s="70"/>
      <c r="BG44" s="70"/>
      <c r="BH44" s="70"/>
      <c r="BI44" s="70"/>
    </row>
    <row r="45" spans="1:61" s="19" customFormat="1" x14ac:dyDescent="0.3">
      <c r="A45" s="77" t="s">
        <v>274</v>
      </c>
      <c r="B45" s="83" t="s">
        <v>253</v>
      </c>
      <c r="C45" s="77" t="s">
        <v>248</v>
      </c>
      <c r="D45" s="77" t="s">
        <v>256</v>
      </c>
      <c r="E45" s="77" t="s">
        <v>7</v>
      </c>
      <c r="F45" s="77" t="s">
        <v>7</v>
      </c>
      <c r="G45" s="79" t="s">
        <v>235</v>
      </c>
      <c r="H45" s="79" t="s">
        <v>235</v>
      </c>
      <c r="I45" s="77">
        <v>2021</v>
      </c>
      <c r="J45" s="77">
        <v>2022</v>
      </c>
      <c r="K45" s="77">
        <v>99</v>
      </c>
      <c r="L45" s="77" t="s">
        <v>218</v>
      </c>
      <c r="M45" s="77">
        <v>1</v>
      </c>
      <c r="N45" s="80" t="s">
        <v>255</v>
      </c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0"/>
      <c r="BD45" s="70"/>
      <c r="BE45" s="70"/>
      <c r="BF45" s="70"/>
      <c r="BG45" s="70"/>
      <c r="BH45" s="70"/>
      <c r="BI45" s="70"/>
    </row>
    <row r="46" spans="1:61" s="19" customFormat="1" ht="57.6" x14ac:dyDescent="0.3">
      <c r="A46" s="77" t="s">
        <v>274</v>
      </c>
      <c r="B46" s="81" t="s">
        <v>220</v>
      </c>
      <c r="C46" s="77" t="s">
        <v>265</v>
      </c>
      <c r="D46" s="77" t="s">
        <v>222</v>
      </c>
      <c r="E46" s="77" t="s">
        <v>7</v>
      </c>
      <c r="F46" s="77" t="s">
        <v>7</v>
      </c>
      <c r="G46" s="84" t="s">
        <v>277</v>
      </c>
      <c r="H46" s="79" t="s">
        <v>281</v>
      </c>
      <c r="I46" s="77">
        <v>2069</v>
      </c>
      <c r="J46" s="77">
        <v>2070</v>
      </c>
      <c r="K46" s="77">
        <v>3.8026957499999998</v>
      </c>
      <c r="L46" s="77" t="s">
        <v>225</v>
      </c>
      <c r="M46" s="77">
        <v>1</v>
      </c>
      <c r="N46" s="80" t="s">
        <v>226</v>
      </c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0"/>
      <c r="BD46" s="70"/>
      <c r="BE46" s="70"/>
      <c r="BF46" s="70"/>
      <c r="BG46" s="70"/>
      <c r="BH46" s="70"/>
      <c r="BI46" s="70"/>
    </row>
    <row r="47" spans="1:61" s="19" customFormat="1" ht="72" x14ac:dyDescent="0.3">
      <c r="A47" s="77" t="s">
        <v>274</v>
      </c>
      <c r="B47" s="81" t="s">
        <v>220</v>
      </c>
      <c r="C47" s="77" t="s">
        <v>268</v>
      </c>
      <c r="D47" s="77" t="s">
        <v>222</v>
      </c>
      <c r="E47" s="77" t="s">
        <v>7</v>
      </c>
      <c r="F47" s="77" t="s">
        <v>7</v>
      </c>
      <c r="G47" s="84" t="s">
        <v>277</v>
      </c>
      <c r="H47" s="79" t="s">
        <v>282</v>
      </c>
      <c r="I47" s="77">
        <v>2069</v>
      </c>
      <c r="J47" s="77">
        <v>2070</v>
      </c>
      <c r="K47" s="77">
        <v>1.6238249999999999E-2</v>
      </c>
      <c r="L47" s="77" t="s">
        <v>225</v>
      </c>
      <c r="M47" s="77">
        <v>1</v>
      </c>
      <c r="N47" s="80" t="s">
        <v>226</v>
      </c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0"/>
      <c r="BD47" s="70"/>
      <c r="BE47" s="70"/>
      <c r="BF47" s="70"/>
      <c r="BG47" s="70"/>
      <c r="BH47" s="70"/>
      <c r="BI47" s="70"/>
    </row>
    <row r="48" spans="1:61" s="19" customFormat="1" ht="72" x14ac:dyDescent="0.3">
      <c r="A48" s="77" t="s">
        <v>274</v>
      </c>
      <c r="B48" s="81" t="s">
        <v>220</v>
      </c>
      <c r="C48" s="77" t="s">
        <v>283</v>
      </c>
      <c r="D48" s="77" t="s">
        <v>222</v>
      </c>
      <c r="E48" s="77" t="s">
        <v>7</v>
      </c>
      <c r="F48" s="77" t="s">
        <v>7</v>
      </c>
      <c r="G48" s="84" t="s">
        <v>277</v>
      </c>
      <c r="H48" s="79" t="s">
        <v>284</v>
      </c>
      <c r="I48" s="77">
        <v>2069</v>
      </c>
      <c r="J48" s="77">
        <v>2070</v>
      </c>
      <c r="K48" s="77">
        <v>5.0226750000000001E-2</v>
      </c>
      <c r="L48" s="77" t="s">
        <v>225</v>
      </c>
      <c r="M48" s="77">
        <v>1</v>
      </c>
      <c r="N48" s="80" t="s">
        <v>226</v>
      </c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0"/>
      <c r="AX48" s="70"/>
      <c r="AY48" s="70"/>
      <c r="AZ48" s="70"/>
      <c r="BA48" s="70"/>
      <c r="BB48" s="70"/>
      <c r="BC48" s="70"/>
      <c r="BD48" s="70"/>
      <c r="BE48" s="70"/>
      <c r="BF48" s="70"/>
      <c r="BG48" s="70"/>
      <c r="BH48" s="70"/>
      <c r="BI48" s="70"/>
    </row>
    <row r="49" spans="1:61" s="19" customFormat="1" ht="57.6" x14ac:dyDescent="0.3">
      <c r="A49" s="77" t="s">
        <v>274</v>
      </c>
      <c r="B49" s="81" t="s">
        <v>220</v>
      </c>
      <c r="C49" s="77" t="s">
        <v>285</v>
      </c>
      <c r="D49" s="77" t="s">
        <v>222</v>
      </c>
      <c r="E49" s="77" t="s">
        <v>7</v>
      </c>
      <c r="F49" s="77" t="s">
        <v>7</v>
      </c>
      <c r="G49" s="84" t="s">
        <v>277</v>
      </c>
      <c r="H49" s="79" t="s">
        <v>286</v>
      </c>
      <c r="I49" s="77">
        <v>2069</v>
      </c>
      <c r="J49" s="77">
        <v>2070</v>
      </c>
      <c r="K49" s="77">
        <v>1.3083525</v>
      </c>
      <c r="L49" s="77" t="s">
        <v>225</v>
      </c>
      <c r="M49" s="77">
        <v>1</v>
      </c>
      <c r="N49" s="80" t="s">
        <v>226</v>
      </c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70"/>
      <c r="AX49" s="70"/>
      <c r="AY49" s="70"/>
      <c r="AZ49" s="70"/>
      <c r="BA49" s="70"/>
      <c r="BB49" s="70"/>
      <c r="BC49" s="70"/>
      <c r="BD49" s="70"/>
      <c r="BE49" s="70"/>
      <c r="BF49" s="70"/>
      <c r="BG49" s="70"/>
      <c r="BH49" s="70"/>
      <c r="BI49" s="70"/>
    </row>
    <row r="50" spans="1:61" s="19" customFormat="1" ht="72" x14ac:dyDescent="0.3">
      <c r="A50" s="77" t="s">
        <v>274</v>
      </c>
      <c r="B50" s="81" t="s">
        <v>220</v>
      </c>
      <c r="C50" s="77" t="s">
        <v>287</v>
      </c>
      <c r="D50" s="77" t="s">
        <v>222</v>
      </c>
      <c r="E50" s="77" t="s">
        <v>7</v>
      </c>
      <c r="F50" s="77" t="s">
        <v>7</v>
      </c>
      <c r="G50" s="84" t="s">
        <v>277</v>
      </c>
      <c r="H50" s="79" t="s">
        <v>288</v>
      </c>
      <c r="I50" s="77">
        <v>2069</v>
      </c>
      <c r="J50" s="77">
        <v>2070</v>
      </c>
      <c r="K50" s="77">
        <v>0.33065499999999998</v>
      </c>
      <c r="L50" s="77" t="s">
        <v>225</v>
      </c>
      <c r="M50" s="77">
        <v>1</v>
      </c>
      <c r="N50" s="80" t="s">
        <v>226</v>
      </c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70"/>
      <c r="AX50" s="70"/>
      <c r="AY50" s="70"/>
      <c r="AZ50" s="70"/>
      <c r="BA50" s="70"/>
      <c r="BB50" s="70"/>
      <c r="BC50" s="70"/>
      <c r="BD50" s="70"/>
      <c r="BE50" s="70"/>
      <c r="BF50" s="70"/>
      <c r="BG50" s="70"/>
      <c r="BH50" s="70"/>
      <c r="BI50" s="70"/>
    </row>
    <row r="51" spans="1:61" s="19" customFormat="1" ht="57.6" x14ac:dyDescent="0.3">
      <c r="A51" s="77" t="s">
        <v>274</v>
      </c>
      <c r="B51" s="81" t="s">
        <v>220</v>
      </c>
      <c r="C51" s="77" t="s">
        <v>221</v>
      </c>
      <c r="D51" s="77" t="s">
        <v>222</v>
      </c>
      <c r="E51" s="77" t="s">
        <v>7</v>
      </c>
      <c r="F51" s="77" t="s">
        <v>7</v>
      </c>
      <c r="G51" s="84" t="s">
        <v>277</v>
      </c>
      <c r="H51" s="79" t="s">
        <v>289</v>
      </c>
      <c r="I51" s="77">
        <v>2069</v>
      </c>
      <c r="J51" s="77">
        <v>2070</v>
      </c>
      <c r="K51" s="77">
        <v>17</v>
      </c>
      <c r="L51" s="77" t="s">
        <v>225</v>
      </c>
      <c r="M51" s="77">
        <v>1</v>
      </c>
      <c r="N51" s="80" t="s">
        <v>226</v>
      </c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0"/>
      <c r="AX51" s="70"/>
      <c r="AY51" s="70"/>
      <c r="AZ51" s="70"/>
      <c r="BA51" s="70"/>
      <c r="BB51" s="70"/>
      <c r="BC51" s="70"/>
      <c r="BD51" s="70"/>
      <c r="BE51" s="70"/>
      <c r="BF51" s="70"/>
      <c r="BG51" s="70"/>
      <c r="BH51" s="70"/>
      <c r="BI51" s="70"/>
    </row>
    <row r="52" spans="1:61" s="19" customFormat="1" ht="57.6" x14ac:dyDescent="0.3">
      <c r="A52" s="77" t="s">
        <v>290</v>
      </c>
      <c r="B52" s="81" t="s">
        <v>220</v>
      </c>
      <c r="C52" s="77" t="s">
        <v>265</v>
      </c>
      <c r="D52" s="77" t="s">
        <v>222</v>
      </c>
      <c r="E52" s="77" t="s">
        <v>7</v>
      </c>
      <c r="F52" s="77" t="s">
        <v>7</v>
      </c>
      <c r="G52" s="84" t="s">
        <v>277</v>
      </c>
      <c r="H52" s="79" t="s">
        <v>281</v>
      </c>
      <c r="I52" s="77">
        <v>2069</v>
      </c>
      <c r="J52" s="77">
        <v>2070</v>
      </c>
      <c r="K52" s="77">
        <v>3.8026957499999998</v>
      </c>
      <c r="L52" s="77" t="s">
        <v>225</v>
      </c>
      <c r="M52" s="77">
        <v>1</v>
      </c>
      <c r="N52" s="80" t="s">
        <v>226</v>
      </c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70"/>
      <c r="AX52" s="70"/>
      <c r="AY52" s="70"/>
      <c r="AZ52" s="70"/>
      <c r="BA52" s="70"/>
      <c r="BB52" s="70"/>
      <c r="BC52" s="70"/>
      <c r="BD52" s="70"/>
      <c r="BE52" s="70"/>
      <c r="BF52" s="70"/>
      <c r="BG52" s="70"/>
      <c r="BH52" s="70"/>
      <c r="BI52" s="70"/>
    </row>
    <row r="53" spans="1:61" s="19" customFormat="1" ht="72" x14ac:dyDescent="0.3">
      <c r="A53" s="77" t="s">
        <v>290</v>
      </c>
      <c r="B53" s="81" t="s">
        <v>220</v>
      </c>
      <c r="C53" s="77" t="s">
        <v>268</v>
      </c>
      <c r="D53" s="77" t="s">
        <v>222</v>
      </c>
      <c r="E53" s="77" t="s">
        <v>7</v>
      </c>
      <c r="F53" s="77" t="s">
        <v>7</v>
      </c>
      <c r="G53" s="84" t="s">
        <v>277</v>
      </c>
      <c r="H53" s="79" t="s">
        <v>282</v>
      </c>
      <c r="I53" s="77">
        <v>2069</v>
      </c>
      <c r="J53" s="77">
        <v>2070</v>
      </c>
      <c r="K53" s="77">
        <v>1.6238249999999999E-2</v>
      </c>
      <c r="L53" s="77" t="s">
        <v>225</v>
      </c>
      <c r="M53" s="77">
        <v>1</v>
      </c>
      <c r="N53" s="80" t="s">
        <v>226</v>
      </c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0"/>
      <c r="AX53" s="70"/>
      <c r="AY53" s="70"/>
      <c r="AZ53" s="70"/>
      <c r="BA53" s="70"/>
      <c r="BB53" s="70"/>
      <c r="BC53" s="70"/>
      <c r="BD53" s="70"/>
      <c r="BE53" s="70"/>
      <c r="BF53" s="70"/>
      <c r="BG53" s="70"/>
      <c r="BH53" s="70"/>
      <c r="BI53" s="70"/>
    </row>
    <row r="54" spans="1:61" s="19" customFormat="1" ht="72" x14ac:dyDescent="0.3">
      <c r="A54" s="77" t="s">
        <v>290</v>
      </c>
      <c r="B54" s="81" t="s">
        <v>220</v>
      </c>
      <c r="C54" s="77" t="s">
        <v>283</v>
      </c>
      <c r="D54" s="77" t="s">
        <v>222</v>
      </c>
      <c r="E54" s="77" t="s">
        <v>7</v>
      </c>
      <c r="F54" s="77" t="s">
        <v>7</v>
      </c>
      <c r="G54" s="84" t="s">
        <v>277</v>
      </c>
      <c r="H54" s="79" t="s">
        <v>284</v>
      </c>
      <c r="I54" s="77">
        <v>2069</v>
      </c>
      <c r="J54" s="77">
        <v>2070</v>
      </c>
      <c r="K54" s="77">
        <v>5.0226750000000001E-2</v>
      </c>
      <c r="L54" s="77" t="s">
        <v>225</v>
      </c>
      <c r="M54" s="77">
        <v>1</v>
      </c>
      <c r="N54" s="80" t="s">
        <v>226</v>
      </c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0"/>
      <c r="BD54" s="70"/>
      <c r="BE54" s="70"/>
      <c r="BF54" s="70"/>
      <c r="BG54" s="70"/>
      <c r="BH54" s="70"/>
      <c r="BI54" s="70"/>
    </row>
    <row r="55" spans="1:61" s="19" customFormat="1" ht="57.6" x14ac:dyDescent="0.3">
      <c r="A55" s="77" t="s">
        <v>290</v>
      </c>
      <c r="B55" s="81" t="s">
        <v>220</v>
      </c>
      <c r="C55" s="77" t="s">
        <v>285</v>
      </c>
      <c r="D55" s="77" t="s">
        <v>222</v>
      </c>
      <c r="E55" s="77" t="s">
        <v>7</v>
      </c>
      <c r="F55" s="77" t="s">
        <v>7</v>
      </c>
      <c r="G55" s="84" t="s">
        <v>277</v>
      </c>
      <c r="H55" s="79" t="s">
        <v>286</v>
      </c>
      <c r="I55" s="77">
        <v>2069</v>
      </c>
      <c r="J55" s="77">
        <v>2070</v>
      </c>
      <c r="K55" s="77">
        <v>1.3083525</v>
      </c>
      <c r="L55" s="77" t="s">
        <v>225</v>
      </c>
      <c r="M55" s="77">
        <v>1</v>
      </c>
      <c r="N55" s="80" t="s">
        <v>226</v>
      </c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</row>
    <row r="56" spans="1:61" s="19" customFormat="1" ht="72" x14ac:dyDescent="0.3">
      <c r="A56" s="77" t="s">
        <v>290</v>
      </c>
      <c r="B56" s="81" t="s">
        <v>220</v>
      </c>
      <c r="C56" s="77" t="s">
        <v>287</v>
      </c>
      <c r="D56" s="77" t="s">
        <v>222</v>
      </c>
      <c r="E56" s="77" t="s">
        <v>7</v>
      </c>
      <c r="F56" s="77" t="s">
        <v>7</v>
      </c>
      <c r="G56" s="84" t="s">
        <v>277</v>
      </c>
      <c r="H56" s="79" t="s">
        <v>288</v>
      </c>
      <c r="I56" s="77">
        <v>2069</v>
      </c>
      <c r="J56" s="77">
        <v>2070</v>
      </c>
      <c r="K56" s="77">
        <v>0.33065499999999998</v>
      </c>
      <c r="L56" s="77" t="s">
        <v>225</v>
      </c>
      <c r="M56" s="77">
        <v>1</v>
      </c>
      <c r="N56" s="80" t="s">
        <v>226</v>
      </c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0"/>
      <c r="BD56" s="70"/>
      <c r="BE56" s="70"/>
      <c r="BF56" s="70"/>
      <c r="BG56" s="70"/>
      <c r="BH56" s="70"/>
      <c r="BI56" s="70"/>
    </row>
    <row r="57" spans="1:61" s="19" customFormat="1" ht="72" x14ac:dyDescent="0.3">
      <c r="A57" s="77" t="s">
        <v>290</v>
      </c>
      <c r="B57" s="81" t="s">
        <v>220</v>
      </c>
      <c r="C57" s="77" t="s">
        <v>271</v>
      </c>
      <c r="D57" s="77" t="s">
        <v>222</v>
      </c>
      <c r="E57" s="77" t="s">
        <v>7</v>
      </c>
      <c r="F57" s="77" t="s">
        <v>7</v>
      </c>
      <c r="G57" s="84" t="s">
        <v>277</v>
      </c>
      <c r="H57" s="79" t="s">
        <v>291</v>
      </c>
      <c r="I57" s="77">
        <v>2069</v>
      </c>
      <c r="J57" s="77">
        <v>2070</v>
      </c>
      <c r="K57" s="77">
        <v>0.15600375</v>
      </c>
      <c r="L57" s="77" t="s">
        <v>225</v>
      </c>
      <c r="M57" s="77">
        <v>1</v>
      </c>
      <c r="N57" s="80" t="s">
        <v>226</v>
      </c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0"/>
      <c r="BD57" s="70"/>
      <c r="BE57" s="70"/>
      <c r="BF57" s="70"/>
      <c r="BG57" s="70"/>
      <c r="BH57" s="70"/>
      <c r="BI57" s="70"/>
    </row>
    <row r="58" spans="1:61" s="19" customFormat="1" ht="57.6" x14ac:dyDescent="0.3">
      <c r="A58" s="77" t="s">
        <v>274</v>
      </c>
      <c r="B58" s="81" t="s">
        <v>220</v>
      </c>
      <c r="C58" s="77" t="s">
        <v>260</v>
      </c>
      <c r="D58" s="77" t="s">
        <v>222</v>
      </c>
      <c r="E58" s="77" t="s">
        <v>11</v>
      </c>
      <c r="F58" s="77" t="s">
        <v>7</v>
      </c>
      <c r="G58" s="84" t="s">
        <v>277</v>
      </c>
      <c r="H58" s="79" t="s">
        <v>261</v>
      </c>
      <c r="I58" s="77">
        <v>2069</v>
      </c>
      <c r="J58" s="77">
        <v>2070</v>
      </c>
      <c r="K58" s="77">
        <v>38.700702800000002</v>
      </c>
      <c r="L58" s="77" t="s">
        <v>225</v>
      </c>
      <c r="M58" s="77">
        <v>1</v>
      </c>
      <c r="N58" s="80" t="s">
        <v>251</v>
      </c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  <c r="BG58" s="70"/>
      <c r="BH58" s="70"/>
      <c r="BI58" s="70"/>
    </row>
    <row r="59" spans="1:61" s="19" customFormat="1" ht="57.6" x14ac:dyDescent="0.3">
      <c r="A59" s="77" t="s">
        <v>10</v>
      </c>
      <c r="B59" s="85" t="s">
        <v>292</v>
      </c>
      <c r="C59" s="77" t="s">
        <v>246</v>
      </c>
      <c r="D59" s="77" t="s">
        <v>293</v>
      </c>
      <c r="E59" s="77" t="s">
        <v>11</v>
      </c>
      <c r="F59" s="77" t="s">
        <v>7</v>
      </c>
      <c r="G59" s="79" t="s">
        <v>223</v>
      </c>
      <c r="H59" s="79" t="s">
        <v>294</v>
      </c>
      <c r="I59" s="77">
        <v>2069</v>
      </c>
      <c r="J59" s="77">
        <v>2070</v>
      </c>
      <c r="K59" s="77">
        <v>0</v>
      </c>
      <c r="L59" s="77" t="s">
        <v>218</v>
      </c>
      <c r="M59" s="77">
        <v>1</v>
      </c>
      <c r="N59" s="80" t="s">
        <v>219</v>
      </c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0"/>
      <c r="BD59" s="70"/>
      <c r="BE59" s="70"/>
      <c r="BF59" s="70"/>
      <c r="BG59" s="70"/>
      <c r="BH59" s="70"/>
      <c r="BI59" s="70"/>
    </row>
    <row r="60" spans="1:61" s="19" customFormat="1" ht="57.6" x14ac:dyDescent="0.3">
      <c r="A60" s="77" t="s">
        <v>10</v>
      </c>
      <c r="B60" s="85" t="s">
        <v>292</v>
      </c>
      <c r="C60" s="77" t="s">
        <v>245</v>
      </c>
      <c r="D60" s="77" t="s">
        <v>293</v>
      </c>
      <c r="E60" s="77" t="s">
        <v>11</v>
      </c>
      <c r="F60" s="77" t="s">
        <v>7</v>
      </c>
      <c r="G60" s="79" t="s">
        <v>223</v>
      </c>
      <c r="H60" s="79" t="s">
        <v>295</v>
      </c>
      <c r="I60" s="77">
        <v>2069</v>
      </c>
      <c r="J60" s="77">
        <v>2070</v>
      </c>
      <c r="K60" s="77">
        <v>0</v>
      </c>
      <c r="L60" s="77" t="s">
        <v>218</v>
      </c>
      <c r="M60" s="77">
        <v>1</v>
      </c>
      <c r="N60" s="80" t="s">
        <v>219</v>
      </c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70"/>
      <c r="BI60" s="70"/>
    </row>
    <row r="61" spans="1:61" s="19" customFormat="1" ht="57.6" x14ac:dyDescent="0.3">
      <c r="A61" s="77" t="s">
        <v>10</v>
      </c>
      <c r="B61" s="85" t="s">
        <v>292</v>
      </c>
      <c r="C61" s="77" t="s">
        <v>244</v>
      </c>
      <c r="D61" s="77" t="s">
        <v>293</v>
      </c>
      <c r="E61" s="77" t="s">
        <v>11</v>
      </c>
      <c r="F61" s="77" t="s">
        <v>7</v>
      </c>
      <c r="G61" s="79" t="s">
        <v>223</v>
      </c>
      <c r="H61" s="79" t="s">
        <v>296</v>
      </c>
      <c r="I61" s="77">
        <v>2069</v>
      </c>
      <c r="J61" s="77">
        <v>2070</v>
      </c>
      <c r="K61" s="77">
        <v>0</v>
      </c>
      <c r="L61" s="77" t="s">
        <v>218</v>
      </c>
      <c r="M61" s="77">
        <v>1</v>
      </c>
      <c r="N61" s="80" t="s">
        <v>219</v>
      </c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0"/>
      <c r="BD61" s="70"/>
      <c r="BE61" s="70"/>
      <c r="BF61" s="70"/>
      <c r="BG61" s="70"/>
      <c r="BH61" s="70"/>
      <c r="BI61" s="70"/>
    </row>
    <row r="62" spans="1:61" s="19" customFormat="1" ht="57.6" x14ac:dyDescent="0.3">
      <c r="A62" s="77" t="s">
        <v>10</v>
      </c>
      <c r="B62" s="85" t="s">
        <v>292</v>
      </c>
      <c r="C62" s="77" t="s">
        <v>240</v>
      </c>
      <c r="D62" s="77" t="s">
        <v>293</v>
      </c>
      <c r="E62" s="77" t="s">
        <v>11</v>
      </c>
      <c r="F62" s="77" t="s">
        <v>7</v>
      </c>
      <c r="G62" s="79" t="s">
        <v>223</v>
      </c>
      <c r="H62" s="79" t="s">
        <v>297</v>
      </c>
      <c r="I62" s="77">
        <v>2069</v>
      </c>
      <c r="J62" s="77">
        <v>2070</v>
      </c>
      <c r="K62" s="77">
        <v>0</v>
      </c>
      <c r="L62" s="77" t="s">
        <v>218</v>
      </c>
      <c r="M62" s="77">
        <v>1</v>
      </c>
      <c r="N62" s="80" t="s">
        <v>219</v>
      </c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0"/>
      <c r="BD62" s="70"/>
      <c r="BE62" s="70"/>
      <c r="BF62" s="70"/>
      <c r="BG62" s="70"/>
      <c r="BH62" s="70"/>
      <c r="BI62" s="70"/>
    </row>
    <row r="63" spans="1:61" s="19" customFormat="1" ht="57.6" x14ac:dyDescent="0.3">
      <c r="A63" s="77" t="s">
        <v>10</v>
      </c>
      <c r="B63" s="85" t="s">
        <v>292</v>
      </c>
      <c r="C63" s="77" t="s">
        <v>239</v>
      </c>
      <c r="D63" s="77" t="s">
        <v>293</v>
      </c>
      <c r="E63" s="77" t="s">
        <v>11</v>
      </c>
      <c r="F63" s="77" t="s">
        <v>7</v>
      </c>
      <c r="G63" s="79" t="s">
        <v>223</v>
      </c>
      <c r="H63" s="79" t="s">
        <v>298</v>
      </c>
      <c r="I63" s="77">
        <v>2069</v>
      </c>
      <c r="J63" s="77">
        <v>2070</v>
      </c>
      <c r="K63" s="77">
        <v>0</v>
      </c>
      <c r="L63" s="77" t="s">
        <v>218</v>
      </c>
      <c r="M63" s="77">
        <v>1</v>
      </c>
      <c r="N63" s="80" t="s">
        <v>219</v>
      </c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0"/>
      <c r="BD63" s="70"/>
      <c r="BE63" s="70"/>
      <c r="BF63" s="70"/>
      <c r="BG63" s="70"/>
      <c r="BH63" s="70"/>
      <c r="BI63" s="70"/>
    </row>
    <row r="64" spans="1:61" s="19" customFormat="1" ht="57.6" x14ac:dyDescent="0.3">
      <c r="A64" s="77" t="s">
        <v>10</v>
      </c>
      <c r="B64" s="85" t="s">
        <v>292</v>
      </c>
      <c r="C64" s="77" t="s">
        <v>238</v>
      </c>
      <c r="D64" s="77" t="s">
        <v>293</v>
      </c>
      <c r="E64" s="77" t="s">
        <v>11</v>
      </c>
      <c r="F64" s="77" t="s">
        <v>7</v>
      </c>
      <c r="G64" s="79" t="s">
        <v>223</v>
      </c>
      <c r="H64" s="79" t="s">
        <v>299</v>
      </c>
      <c r="I64" s="77">
        <v>2069</v>
      </c>
      <c r="J64" s="77">
        <v>2070</v>
      </c>
      <c r="K64" s="77">
        <v>0</v>
      </c>
      <c r="L64" s="77" t="s">
        <v>218</v>
      </c>
      <c r="M64" s="77">
        <v>1</v>
      </c>
      <c r="N64" s="80" t="s">
        <v>219</v>
      </c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0"/>
      <c r="BD64" s="70"/>
      <c r="BE64" s="70"/>
      <c r="BF64" s="70"/>
      <c r="BG64" s="70"/>
      <c r="BH64" s="70"/>
      <c r="BI64" s="70"/>
    </row>
    <row r="65" spans="1:61" s="19" customFormat="1" x14ac:dyDescent="0.3">
      <c r="A65" s="77" t="s">
        <v>10</v>
      </c>
      <c r="B65" s="83" t="s">
        <v>253</v>
      </c>
      <c r="C65" s="77" t="s">
        <v>245</v>
      </c>
      <c r="D65" s="77" t="s">
        <v>300</v>
      </c>
      <c r="E65" s="77" t="s">
        <v>7</v>
      </c>
      <c r="F65" s="77" t="s">
        <v>7</v>
      </c>
      <c r="G65" s="79" t="s">
        <v>235</v>
      </c>
      <c r="H65" s="79" t="s">
        <v>235</v>
      </c>
      <c r="I65" s="77">
        <v>2033</v>
      </c>
      <c r="J65" s="77">
        <v>2070</v>
      </c>
      <c r="K65" s="77">
        <v>99</v>
      </c>
      <c r="L65" s="77" t="s">
        <v>218</v>
      </c>
      <c r="M65" s="77">
        <v>1</v>
      </c>
      <c r="N65" s="80" t="s">
        <v>255</v>
      </c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0"/>
      <c r="BD65" s="70"/>
      <c r="BE65" s="70"/>
      <c r="BF65" s="70"/>
      <c r="BG65" s="70"/>
      <c r="BH65" s="70"/>
      <c r="BI65" s="70"/>
    </row>
    <row r="66" spans="1:61" s="19" customFormat="1" x14ac:dyDescent="0.3">
      <c r="A66" s="77" t="s">
        <v>10</v>
      </c>
      <c r="B66" s="83" t="s">
        <v>253</v>
      </c>
      <c r="C66" s="77" t="s">
        <v>244</v>
      </c>
      <c r="D66" s="77" t="s">
        <v>300</v>
      </c>
      <c r="E66" s="77" t="s">
        <v>7</v>
      </c>
      <c r="F66" s="77" t="s">
        <v>7</v>
      </c>
      <c r="G66" s="79" t="s">
        <v>235</v>
      </c>
      <c r="H66" s="79" t="s">
        <v>235</v>
      </c>
      <c r="I66" s="77">
        <v>2033</v>
      </c>
      <c r="J66" s="77">
        <v>2070</v>
      </c>
      <c r="K66" s="77">
        <v>99</v>
      </c>
      <c r="L66" s="77" t="s">
        <v>218</v>
      </c>
      <c r="M66" s="77">
        <v>1</v>
      </c>
      <c r="N66" s="80" t="s">
        <v>255</v>
      </c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70"/>
      <c r="BF66" s="70"/>
      <c r="BG66" s="70"/>
      <c r="BH66" s="70"/>
      <c r="BI66" s="70"/>
    </row>
    <row r="67" spans="1:61" s="19" customFormat="1" ht="57.6" x14ac:dyDescent="0.3">
      <c r="A67" s="77" t="s">
        <v>10</v>
      </c>
      <c r="B67" s="82" t="s">
        <v>247</v>
      </c>
      <c r="C67" s="77" t="s">
        <v>285</v>
      </c>
      <c r="D67" s="77" t="s">
        <v>249</v>
      </c>
      <c r="E67" s="77" t="s">
        <v>11</v>
      </c>
      <c r="F67" s="77" t="s">
        <v>7</v>
      </c>
      <c r="G67" s="79" t="s">
        <v>223</v>
      </c>
      <c r="H67" s="79" t="s">
        <v>301</v>
      </c>
      <c r="I67" s="77">
        <v>2069</v>
      </c>
      <c r="J67" s="77">
        <v>2070</v>
      </c>
      <c r="K67" s="77">
        <v>1.2584036033071799</v>
      </c>
      <c r="L67" s="77" t="s">
        <v>225</v>
      </c>
      <c r="M67" s="77">
        <v>1</v>
      </c>
      <c r="N67" s="80" t="s">
        <v>251</v>
      </c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70"/>
      <c r="BI67" s="70"/>
    </row>
    <row r="68" spans="1:61" s="19" customFormat="1" ht="57.6" x14ac:dyDescent="0.3">
      <c r="A68" s="77" t="s">
        <v>10</v>
      </c>
      <c r="B68" s="81" t="s">
        <v>220</v>
      </c>
      <c r="C68" s="77" t="s">
        <v>285</v>
      </c>
      <c r="D68" s="77" t="s">
        <v>222</v>
      </c>
      <c r="E68" s="77" t="s">
        <v>7</v>
      </c>
      <c r="F68" s="77" t="s">
        <v>7</v>
      </c>
      <c r="G68" s="79" t="s">
        <v>223</v>
      </c>
      <c r="H68" s="79" t="s">
        <v>302</v>
      </c>
      <c r="I68" s="77">
        <v>2069</v>
      </c>
      <c r="J68" s="77">
        <v>2070</v>
      </c>
      <c r="K68" s="77">
        <v>1.24594416169028</v>
      </c>
      <c r="L68" s="77" t="s">
        <v>225</v>
      </c>
      <c r="M68" s="77">
        <v>1</v>
      </c>
      <c r="N68" s="80" t="s">
        <v>226</v>
      </c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</row>
    <row r="69" spans="1:61" s="19" customFormat="1" ht="57.6" x14ac:dyDescent="0.3">
      <c r="A69" s="77" t="s">
        <v>10</v>
      </c>
      <c r="B69" s="82" t="s">
        <v>247</v>
      </c>
      <c r="C69" s="77" t="s">
        <v>287</v>
      </c>
      <c r="D69" s="77" t="s">
        <v>249</v>
      </c>
      <c r="E69" s="77" t="s">
        <v>11</v>
      </c>
      <c r="F69" s="77" t="s">
        <v>7</v>
      </c>
      <c r="G69" s="79" t="s">
        <v>223</v>
      </c>
      <c r="H69" s="79" t="s">
        <v>303</v>
      </c>
      <c r="I69" s="77">
        <v>2069</v>
      </c>
      <c r="J69" s="77">
        <v>2070</v>
      </c>
      <c r="K69" s="77">
        <v>0.28242402523336502</v>
      </c>
      <c r="L69" s="77" t="s">
        <v>225</v>
      </c>
      <c r="M69" s="77">
        <v>1</v>
      </c>
      <c r="N69" s="80" t="s">
        <v>251</v>
      </c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70"/>
      <c r="AX69" s="70"/>
      <c r="AY69" s="70"/>
      <c r="AZ69" s="70"/>
      <c r="BA69" s="70"/>
      <c r="BB69" s="70"/>
      <c r="BC69" s="70"/>
      <c r="BD69" s="70"/>
      <c r="BE69" s="70"/>
      <c r="BF69" s="70"/>
      <c r="BG69" s="70"/>
      <c r="BH69" s="70"/>
      <c r="BI69" s="70"/>
    </row>
    <row r="70" spans="1:61" s="19" customFormat="1" ht="57.6" x14ac:dyDescent="0.3">
      <c r="A70" s="77" t="s">
        <v>10</v>
      </c>
      <c r="B70" s="81" t="s">
        <v>220</v>
      </c>
      <c r="C70" s="77" t="s">
        <v>287</v>
      </c>
      <c r="D70" s="77" t="s">
        <v>222</v>
      </c>
      <c r="E70" s="77" t="s">
        <v>7</v>
      </c>
      <c r="F70" s="77" t="s">
        <v>7</v>
      </c>
      <c r="G70" s="79" t="s">
        <v>223</v>
      </c>
      <c r="H70" s="79" t="s">
        <v>304</v>
      </c>
      <c r="I70" s="77">
        <v>2069</v>
      </c>
      <c r="J70" s="77">
        <v>2070</v>
      </c>
      <c r="K70" s="77">
        <v>0.27962774775580701</v>
      </c>
      <c r="L70" s="77" t="s">
        <v>225</v>
      </c>
      <c r="M70" s="77">
        <v>1</v>
      </c>
      <c r="N70" s="80" t="s">
        <v>226</v>
      </c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0"/>
      <c r="AX70" s="70"/>
      <c r="AY70" s="70"/>
      <c r="AZ70" s="70"/>
      <c r="BA70" s="70"/>
      <c r="BB70" s="70"/>
      <c r="BC70" s="70"/>
      <c r="BD70" s="70"/>
      <c r="BE70" s="70"/>
      <c r="BF70" s="70"/>
      <c r="BG70" s="70"/>
      <c r="BH70" s="70"/>
      <c r="BI70" s="70"/>
    </row>
    <row r="71" spans="1:61" s="19" customFormat="1" ht="72" x14ac:dyDescent="0.3">
      <c r="A71" s="77" t="s">
        <v>10</v>
      </c>
      <c r="B71" s="82" t="s">
        <v>247</v>
      </c>
      <c r="C71" s="77" t="s">
        <v>283</v>
      </c>
      <c r="D71" s="77" t="s">
        <v>249</v>
      </c>
      <c r="E71" s="77" t="s">
        <v>11</v>
      </c>
      <c r="F71" s="77" t="s">
        <v>7</v>
      </c>
      <c r="G71" s="79" t="s">
        <v>223</v>
      </c>
      <c r="H71" s="79" t="s">
        <v>305</v>
      </c>
      <c r="I71" s="77">
        <v>2069</v>
      </c>
      <c r="J71" s="77">
        <v>2070</v>
      </c>
      <c r="K71" s="77">
        <v>1.1467462192901999E-2</v>
      </c>
      <c r="L71" s="77" t="s">
        <v>225</v>
      </c>
      <c r="M71" s="77">
        <v>1</v>
      </c>
      <c r="N71" s="80" t="s">
        <v>251</v>
      </c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70"/>
      <c r="AX71" s="70"/>
      <c r="AY71" s="70"/>
      <c r="AZ71" s="70"/>
      <c r="BA71" s="70"/>
      <c r="BB71" s="70"/>
      <c r="BC71" s="70"/>
      <c r="BD71" s="70"/>
      <c r="BE71" s="70"/>
      <c r="BF71" s="70"/>
      <c r="BG71" s="70"/>
      <c r="BH71" s="70"/>
      <c r="BI71" s="70"/>
    </row>
    <row r="72" spans="1:61" s="19" customFormat="1" ht="72" x14ac:dyDescent="0.3">
      <c r="A72" s="77" t="s">
        <v>10</v>
      </c>
      <c r="B72" s="81" t="s">
        <v>220</v>
      </c>
      <c r="C72" s="77" t="s">
        <v>283</v>
      </c>
      <c r="D72" s="77" t="s">
        <v>222</v>
      </c>
      <c r="E72" s="77" t="s">
        <v>7</v>
      </c>
      <c r="F72" s="77" t="s">
        <v>7</v>
      </c>
      <c r="G72" s="79" t="s">
        <v>223</v>
      </c>
      <c r="H72" s="79" t="s">
        <v>306</v>
      </c>
      <c r="I72" s="77">
        <v>2069</v>
      </c>
      <c r="J72" s="77">
        <v>2070</v>
      </c>
      <c r="K72" s="77">
        <v>1.13539229632693E-2</v>
      </c>
      <c r="L72" s="77" t="s">
        <v>225</v>
      </c>
      <c r="M72" s="77">
        <v>1</v>
      </c>
      <c r="N72" s="80" t="s">
        <v>226</v>
      </c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70"/>
      <c r="AX72" s="70"/>
      <c r="AY72" s="70"/>
      <c r="AZ72" s="70"/>
      <c r="BA72" s="70"/>
      <c r="BB72" s="70"/>
      <c r="BC72" s="70"/>
      <c r="BD72" s="70"/>
      <c r="BE72" s="70"/>
      <c r="BF72" s="70"/>
      <c r="BG72" s="70"/>
      <c r="BH72" s="70"/>
      <c r="BI72" s="70"/>
    </row>
    <row r="73" spans="1:61" s="19" customFormat="1" ht="57.6" x14ac:dyDescent="0.3">
      <c r="A73" s="77" t="s">
        <v>6</v>
      </c>
      <c r="B73" s="81" t="s">
        <v>220</v>
      </c>
      <c r="C73" s="77" t="s">
        <v>260</v>
      </c>
      <c r="D73" s="77" t="s">
        <v>222</v>
      </c>
      <c r="E73" s="77" t="s">
        <v>11</v>
      </c>
      <c r="F73" s="77" t="s">
        <v>7</v>
      </c>
      <c r="G73" s="79" t="s">
        <v>223</v>
      </c>
      <c r="H73" s="79" t="s">
        <v>261</v>
      </c>
      <c r="I73" s="77">
        <v>2069</v>
      </c>
      <c r="J73" s="77">
        <v>2070</v>
      </c>
      <c r="K73" s="77">
        <v>23.531310000000001</v>
      </c>
      <c r="L73" s="77" t="s">
        <v>225</v>
      </c>
      <c r="M73" s="77">
        <v>1</v>
      </c>
      <c r="N73" s="80" t="s">
        <v>251</v>
      </c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  <c r="AX73" s="70"/>
      <c r="AY73" s="70"/>
      <c r="AZ73" s="70"/>
      <c r="BA73" s="70"/>
      <c r="BB73" s="70"/>
      <c r="BC73" s="70"/>
      <c r="BD73" s="70"/>
      <c r="BE73" s="70"/>
      <c r="BF73" s="70"/>
      <c r="BG73" s="70"/>
      <c r="BH73" s="70"/>
      <c r="BI73" s="70"/>
    </row>
    <row r="74" spans="1:61" ht="82.8" customHeight="1" x14ac:dyDescent="0.3">
      <c r="A74" s="168" t="s">
        <v>426</v>
      </c>
      <c r="B74" s="81" t="s">
        <v>220</v>
      </c>
      <c r="C74" s="77" t="s">
        <v>242</v>
      </c>
      <c r="D74" s="77" t="s">
        <v>222</v>
      </c>
      <c r="E74" s="77" t="s">
        <v>7</v>
      </c>
      <c r="F74" s="77" t="s">
        <v>7</v>
      </c>
      <c r="G74" s="79" t="s">
        <v>223</v>
      </c>
      <c r="H74" s="79" t="s">
        <v>442</v>
      </c>
      <c r="I74" s="77">
        <v>2069</v>
      </c>
      <c r="J74" s="77">
        <v>2070</v>
      </c>
      <c r="K74" s="77">
        <v>3.4475815110172565</v>
      </c>
      <c r="L74" s="77" t="s">
        <v>225</v>
      </c>
      <c r="M74" s="77">
        <v>1</v>
      </c>
      <c r="N74" s="80" t="s">
        <v>226</v>
      </c>
    </row>
    <row r="75" spans="1:61" ht="57.6" x14ac:dyDescent="0.3">
      <c r="A75" s="168" t="s">
        <v>426</v>
      </c>
      <c r="B75" s="81" t="s">
        <v>220</v>
      </c>
      <c r="C75" s="77" t="s">
        <v>243</v>
      </c>
      <c r="D75" s="77" t="s">
        <v>222</v>
      </c>
      <c r="E75" s="77" t="s">
        <v>7</v>
      </c>
      <c r="F75" s="77" t="s">
        <v>7</v>
      </c>
      <c r="G75" s="79" t="s">
        <v>223</v>
      </c>
      <c r="H75" s="79" t="s">
        <v>424</v>
      </c>
      <c r="I75" s="77">
        <v>2069</v>
      </c>
      <c r="J75" s="77">
        <v>2070</v>
      </c>
      <c r="K75" s="77">
        <v>0</v>
      </c>
      <c r="L75" s="77" t="s">
        <v>225</v>
      </c>
      <c r="M75" s="77">
        <v>1</v>
      </c>
      <c r="N75" s="80" t="s">
        <v>226</v>
      </c>
    </row>
    <row r="76" spans="1:61" ht="57.6" x14ac:dyDescent="0.3">
      <c r="A76" s="168" t="s">
        <v>426</v>
      </c>
      <c r="B76" s="81" t="s">
        <v>220</v>
      </c>
      <c r="C76" s="77" t="s">
        <v>238</v>
      </c>
      <c r="D76" s="77" t="s">
        <v>222</v>
      </c>
      <c r="E76" s="77" t="s">
        <v>7</v>
      </c>
      <c r="F76" s="77" t="s">
        <v>7</v>
      </c>
      <c r="G76" s="79" t="s">
        <v>223</v>
      </c>
      <c r="H76" s="79" t="s">
        <v>424</v>
      </c>
      <c r="I76" s="77">
        <v>2069</v>
      </c>
      <c r="J76" s="77">
        <v>2070</v>
      </c>
      <c r="K76" s="77">
        <v>0</v>
      </c>
      <c r="L76" s="77" t="s">
        <v>225</v>
      </c>
      <c r="M76" s="77">
        <v>1</v>
      </c>
      <c r="N76" s="80" t="s">
        <v>226</v>
      </c>
    </row>
    <row r="77" spans="1:61" ht="57.6" x14ac:dyDescent="0.3">
      <c r="A77" s="168" t="s">
        <v>426</v>
      </c>
      <c r="B77" s="81" t="s">
        <v>220</v>
      </c>
      <c r="C77" s="77" t="s">
        <v>239</v>
      </c>
      <c r="D77" s="77" t="s">
        <v>222</v>
      </c>
      <c r="E77" s="77" t="s">
        <v>7</v>
      </c>
      <c r="F77" s="77" t="s">
        <v>7</v>
      </c>
      <c r="G77" s="79" t="s">
        <v>223</v>
      </c>
      <c r="H77" s="79" t="s">
        <v>424</v>
      </c>
      <c r="I77" s="77">
        <v>2069</v>
      </c>
      <c r="J77" s="77">
        <v>2070</v>
      </c>
      <c r="K77" s="77">
        <v>0</v>
      </c>
      <c r="L77" s="77" t="s">
        <v>225</v>
      </c>
      <c r="M77" s="77">
        <v>1</v>
      </c>
      <c r="N77" s="80" t="s">
        <v>226</v>
      </c>
    </row>
    <row r="78" spans="1:61" ht="57.6" x14ac:dyDescent="0.3">
      <c r="A78" s="168" t="s">
        <v>426</v>
      </c>
      <c r="B78" s="81" t="s">
        <v>220</v>
      </c>
      <c r="C78" s="77" t="s">
        <v>240</v>
      </c>
      <c r="D78" s="77" t="s">
        <v>222</v>
      </c>
      <c r="E78" s="77" t="s">
        <v>7</v>
      </c>
      <c r="F78" s="77" t="s">
        <v>7</v>
      </c>
      <c r="G78" s="79" t="s">
        <v>223</v>
      </c>
      <c r="H78" s="79" t="s">
        <v>443</v>
      </c>
      <c r="I78" s="77">
        <v>2069</v>
      </c>
      <c r="J78" s="77">
        <v>2070</v>
      </c>
      <c r="K78" s="77">
        <v>0.5</v>
      </c>
      <c r="L78" s="77" t="s">
        <v>225</v>
      </c>
      <c r="M78" s="77">
        <v>1</v>
      </c>
      <c r="N78" s="80" t="s">
        <v>226</v>
      </c>
    </row>
    <row r="79" spans="1:61" ht="57.6" x14ac:dyDescent="0.3">
      <c r="A79" s="168" t="s">
        <v>426</v>
      </c>
      <c r="B79" s="81" t="s">
        <v>220</v>
      </c>
      <c r="C79" s="77" t="s">
        <v>245</v>
      </c>
      <c r="D79" s="77" t="s">
        <v>222</v>
      </c>
      <c r="E79" s="77" t="s">
        <v>7</v>
      </c>
      <c r="F79" s="77" t="s">
        <v>7</v>
      </c>
      <c r="G79" s="79" t="s">
        <v>223</v>
      </c>
      <c r="H79" s="79" t="s">
        <v>444</v>
      </c>
      <c r="I79" s="77">
        <v>2069</v>
      </c>
      <c r="J79" s="77">
        <v>2070</v>
      </c>
      <c r="K79" s="77">
        <v>4.5999999999999996</v>
      </c>
      <c r="L79" s="77" t="s">
        <v>225</v>
      </c>
      <c r="M79" s="77">
        <v>1</v>
      </c>
      <c r="N79" s="80" t="s">
        <v>226</v>
      </c>
    </row>
    <row r="80" spans="1:61" ht="57.6" x14ac:dyDescent="0.3">
      <c r="A80" s="168" t="s">
        <v>426</v>
      </c>
      <c r="B80" s="81" t="s">
        <v>220</v>
      </c>
      <c r="C80" s="77" t="s">
        <v>262</v>
      </c>
      <c r="D80" s="77" t="s">
        <v>222</v>
      </c>
      <c r="E80" s="77" t="s">
        <v>7</v>
      </c>
      <c r="F80" s="77" t="s">
        <v>7</v>
      </c>
      <c r="G80" s="79" t="s">
        <v>223</v>
      </c>
      <c r="H80" s="79" t="s">
        <v>445</v>
      </c>
      <c r="I80" s="77">
        <v>2069</v>
      </c>
      <c r="J80" s="77">
        <v>2070</v>
      </c>
      <c r="K80" s="77">
        <v>0.01</v>
      </c>
      <c r="L80" s="77" t="s">
        <v>225</v>
      </c>
      <c r="M80" s="77">
        <v>1</v>
      </c>
      <c r="N80" s="80" t="s">
        <v>226</v>
      </c>
    </row>
    <row r="81" spans="1:14" ht="57.6" x14ac:dyDescent="0.3">
      <c r="A81" s="168" t="s">
        <v>426</v>
      </c>
      <c r="B81" s="81" t="s">
        <v>220</v>
      </c>
      <c r="C81" s="77" t="s">
        <v>257</v>
      </c>
      <c r="D81" s="77" t="s">
        <v>222</v>
      </c>
      <c r="E81" s="77" t="s">
        <v>7</v>
      </c>
      <c r="F81" s="77" t="s">
        <v>7</v>
      </c>
      <c r="G81" s="79" t="s">
        <v>223</v>
      </c>
      <c r="H81" s="79" t="s">
        <v>446</v>
      </c>
      <c r="I81" s="77">
        <v>2069</v>
      </c>
      <c r="J81" s="77">
        <v>2070</v>
      </c>
      <c r="K81" s="77">
        <v>2.3990894699759999</v>
      </c>
      <c r="L81" s="77" t="s">
        <v>225</v>
      </c>
      <c r="M81" s="77">
        <v>1</v>
      </c>
      <c r="N81" s="80" t="s">
        <v>226</v>
      </c>
    </row>
    <row r="82" spans="1:14" ht="57.6" x14ac:dyDescent="0.3">
      <c r="A82" s="168" t="s">
        <v>426</v>
      </c>
      <c r="B82" s="81" t="s">
        <v>220</v>
      </c>
      <c r="C82" s="77" t="s">
        <v>405</v>
      </c>
      <c r="D82" s="77" t="s">
        <v>222</v>
      </c>
      <c r="E82" s="77" t="s">
        <v>7</v>
      </c>
      <c r="F82" s="77" t="s">
        <v>7</v>
      </c>
      <c r="G82" s="79" t="s">
        <v>223</v>
      </c>
      <c r="H82" s="79" t="s">
        <v>452</v>
      </c>
      <c r="I82" s="77">
        <v>2069</v>
      </c>
      <c r="J82" s="77">
        <v>2070</v>
      </c>
      <c r="K82" s="77">
        <v>16.350986435958646</v>
      </c>
      <c r="L82" s="77" t="s">
        <v>225</v>
      </c>
      <c r="M82" s="77">
        <v>1</v>
      </c>
      <c r="N82" s="80" t="s">
        <v>226</v>
      </c>
    </row>
    <row r="83" spans="1:14" ht="57.6" x14ac:dyDescent="0.3">
      <c r="A83" s="168" t="s">
        <v>426</v>
      </c>
      <c r="B83" s="81" t="s">
        <v>220</v>
      </c>
      <c r="C83" s="77" t="s">
        <v>231</v>
      </c>
      <c r="D83" s="77" t="s">
        <v>222</v>
      </c>
      <c r="E83" s="77" t="s">
        <v>7</v>
      </c>
      <c r="F83" s="77" t="s">
        <v>7</v>
      </c>
      <c r="G83" s="79" t="s">
        <v>223</v>
      </c>
      <c r="H83" s="79" t="s">
        <v>453</v>
      </c>
      <c r="I83" s="77">
        <v>2069</v>
      </c>
      <c r="J83" s="77">
        <v>2070</v>
      </c>
      <c r="K83" s="77">
        <v>86.374128369719202</v>
      </c>
      <c r="L83" s="77" t="s">
        <v>225</v>
      </c>
      <c r="M83" s="77">
        <v>1</v>
      </c>
      <c r="N83" s="80" t="s">
        <v>226</v>
      </c>
    </row>
    <row r="84" spans="1:14" ht="57.6" x14ac:dyDescent="0.3">
      <c r="A84" s="168" t="s">
        <v>426</v>
      </c>
      <c r="B84" s="81" t="s">
        <v>220</v>
      </c>
      <c r="C84" s="77" t="s">
        <v>287</v>
      </c>
      <c r="D84" s="77" t="s">
        <v>222</v>
      </c>
      <c r="E84" s="77" t="s">
        <v>7</v>
      </c>
      <c r="F84" s="77" t="s">
        <v>7</v>
      </c>
      <c r="G84" s="79" t="s">
        <v>223</v>
      </c>
      <c r="H84" s="79" t="s">
        <v>454</v>
      </c>
      <c r="I84" s="77">
        <v>2069</v>
      </c>
      <c r="J84" s="77">
        <v>2070</v>
      </c>
      <c r="K84" s="77">
        <v>17.720127606372127</v>
      </c>
      <c r="L84" s="77" t="s">
        <v>225</v>
      </c>
      <c r="M84" s="77">
        <v>1</v>
      </c>
      <c r="N84" s="80" t="s">
        <v>226</v>
      </c>
    </row>
    <row r="85" spans="1:14" ht="57.6" x14ac:dyDescent="0.3">
      <c r="A85" s="168" t="s">
        <v>426</v>
      </c>
      <c r="B85" s="81" t="s">
        <v>220</v>
      </c>
      <c r="C85" s="77" t="s">
        <v>285</v>
      </c>
      <c r="D85" s="77" t="s">
        <v>222</v>
      </c>
      <c r="E85" s="77" t="s">
        <v>7</v>
      </c>
      <c r="F85" s="77" t="s">
        <v>7</v>
      </c>
      <c r="G85" s="79" t="s">
        <v>223</v>
      </c>
      <c r="H85" s="79" t="s">
        <v>455</v>
      </c>
      <c r="I85" s="77">
        <v>2069</v>
      </c>
      <c r="J85" s="77">
        <v>2070</v>
      </c>
      <c r="K85" s="77">
        <v>5.6769299999999996</v>
      </c>
      <c r="L85" s="77" t="s">
        <v>225</v>
      </c>
      <c r="M85" s="77">
        <v>1</v>
      </c>
      <c r="N85" s="80" t="s">
        <v>226</v>
      </c>
    </row>
    <row r="86" spans="1:14" ht="57.6" x14ac:dyDescent="0.3">
      <c r="A86" s="168" t="s">
        <v>426</v>
      </c>
      <c r="B86" s="81" t="s">
        <v>220</v>
      </c>
      <c r="C86" s="77" t="s">
        <v>265</v>
      </c>
      <c r="D86" s="77" t="s">
        <v>222</v>
      </c>
      <c r="E86" s="77" t="s">
        <v>7</v>
      </c>
      <c r="F86" s="77" t="s">
        <v>7</v>
      </c>
      <c r="G86" s="79" t="s">
        <v>223</v>
      </c>
      <c r="H86" s="79" t="s">
        <v>456</v>
      </c>
      <c r="I86" s="77">
        <v>2069</v>
      </c>
      <c r="J86" s="77">
        <v>2070</v>
      </c>
      <c r="K86" s="77">
        <v>32.529709999999994</v>
      </c>
      <c r="L86" s="77" t="s">
        <v>225</v>
      </c>
      <c r="M86" s="77">
        <v>1</v>
      </c>
      <c r="N86" s="80" t="s">
        <v>226</v>
      </c>
    </row>
    <row r="87" spans="1:14" ht="57.6" x14ac:dyDescent="0.3">
      <c r="A87" s="168" t="s">
        <v>426</v>
      </c>
      <c r="B87" s="81" t="s">
        <v>220</v>
      </c>
      <c r="C87" s="77" t="s">
        <v>430</v>
      </c>
      <c r="D87" s="77" t="s">
        <v>222</v>
      </c>
      <c r="E87" s="77" t="s">
        <v>7</v>
      </c>
      <c r="F87" s="77" t="s">
        <v>7</v>
      </c>
      <c r="G87" s="79" t="s">
        <v>223</v>
      </c>
      <c r="H87" s="79" t="s">
        <v>457</v>
      </c>
      <c r="I87" s="77">
        <v>2069</v>
      </c>
      <c r="J87" s="77">
        <v>2070</v>
      </c>
      <c r="K87" s="77">
        <v>97.589129999999997</v>
      </c>
      <c r="L87" s="77" t="s">
        <v>225</v>
      </c>
      <c r="M87" s="77">
        <v>1</v>
      </c>
      <c r="N87" s="80" t="s">
        <v>226</v>
      </c>
    </row>
    <row r="88" spans="1:14" ht="57.6" x14ac:dyDescent="0.3">
      <c r="A88" s="168" t="s">
        <v>426</v>
      </c>
      <c r="B88" s="81" t="s">
        <v>220</v>
      </c>
      <c r="C88" s="77" t="s">
        <v>227</v>
      </c>
      <c r="D88" s="77" t="s">
        <v>222</v>
      </c>
      <c r="E88" s="77" t="s">
        <v>7</v>
      </c>
      <c r="F88" s="77" t="s">
        <v>7</v>
      </c>
      <c r="G88" s="79" t="s">
        <v>223</v>
      </c>
      <c r="H88" s="79" t="s">
        <v>458</v>
      </c>
      <c r="I88" s="77">
        <v>2069</v>
      </c>
      <c r="J88" s="77">
        <v>2070</v>
      </c>
      <c r="K88" s="77">
        <v>207.25299999999999</v>
      </c>
      <c r="L88" s="77" t="s">
        <v>225</v>
      </c>
      <c r="M88" s="77">
        <v>1</v>
      </c>
      <c r="N88" s="80" t="s">
        <v>226</v>
      </c>
    </row>
    <row r="89" spans="1:14" ht="57.6" x14ac:dyDescent="0.3">
      <c r="A89" s="168" t="s">
        <v>426</v>
      </c>
      <c r="B89" s="81" t="s">
        <v>220</v>
      </c>
      <c r="C89" s="77" t="s">
        <v>431</v>
      </c>
      <c r="D89" s="77" t="s">
        <v>222</v>
      </c>
      <c r="E89" s="77" t="s">
        <v>7</v>
      </c>
      <c r="F89" s="77" t="s">
        <v>7</v>
      </c>
      <c r="G89" s="79" t="s">
        <v>223</v>
      </c>
      <c r="H89" s="79" t="s">
        <v>459</v>
      </c>
      <c r="I89" s="77">
        <v>2069</v>
      </c>
      <c r="J89" s="77">
        <v>2070</v>
      </c>
      <c r="K89" s="77">
        <v>3.9831669993323016</v>
      </c>
      <c r="L89" s="77" t="s">
        <v>225</v>
      </c>
      <c r="M89" s="77">
        <v>1</v>
      </c>
      <c r="N89" s="80" t="s">
        <v>226</v>
      </c>
    </row>
    <row r="90" spans="1:14" ht="57.6" x14ac:dyDescent="0.3">
      <c r="A90" s="168" t="s">
        <v>426</v>
      </c>
      <c r="B90" s="82" t="s">
        <v>247</v>
      </c>
      <c r="C90" s="77" t="s">
        <v>242</v>
      </c>
      <c r="D90" s="77" t="s">
        <v>249</v>
      </c>
      <c r="E90" s="77" t="s">
        <v>11</v>
      </c>
      <c r="F90" s="77" t="s">
        <v>7</v>
      </c>
      <c r="G90" s="79" t="s">
        <v>223</v>
      </c>
      <c r="H90" s="79" t="s">
        <v>447</v>
      </c>
      <c r="I90" s="77">
        <v>2069</v>
      </c>
      <c r="J90" s="77">
        <v>2070</v>
      </c>
      <c r="K90" s="77">
        <v>3.5165331412376015</v>
      </c>
      <c r="L90" s="77" t="s">
        <v>225</v>
      </c>
      <c r="M90" s="77">
        <v>1</v>
      </c>
      <c r="N90" s="80" t="s">
        <v>251</v>
      </c>
    </row>
    <row r="91" spans="1:14" ht="57.6" x14ac:dyDescent="0.3">
      <c r="A91" s="168" t="s">
        <v>426</v>
      </c>
      <c r="B91" s="82" t="s">
        <v>247</v>
      </c>
      <c r="C91" s="77" t="s">
        <v>243</v>
      </c>
      <c r="D91" s="77" t="s">
        <v>249</v>
      </c>
      <c r="E91" s="77" t="s">
        <v>11</v>
      </c>
      <c r="F91" s="77" t="s">
        <v>7</v>
      </c>
      <c r="G91" s="79" t="s">
        <v>223</v>
      </c>
      <c r="H91" s="79" t="s">
        <v>424</v>
      </c>
      <c r="I91" s="77">
        <v>2069</v>
      </c>
      <c r="J91" s="77">
        <v>2070</v>
      </c>
      <c r="K91" s="77">
        <v>0</v>
      </c>
      <c r="L91" s="77" t="s">
        <v>225</v>
      </c>
      <c r="M91" s="77">
        <v>1</v>
      </c>
      <c r="N91" s="80" t="s">
        <v>251</v>
      </c>
    </row>
    <row r="92" spans="1:14" ht="57.6" x14ac:dyDescent="0.3">
      <c r="A92" s="168" t="s">
        <v>426</v>
      </c>
      <c r="B92" s="82" t="s">
        <v>247</v>
      </c>
      <c r="C92" s="77" t="s">
        <v>238</v>
      </c>
      <c r="D92" s="77" t="s">
        <v>249</v>
      </c>
      <c r="E92" s="77" t="s">
        <v>11</v>
      </c>
      <c r="F92" s="77" t="s">
        <v>7</v>
      </c>
      <c r="G92" s="79" t="s">
        <v>223</v>
      </c>
      <c r="H92" s="79" t="s">
        <v>424</v>
      </c>
      <c r="I92" s="77">
        <v>2069</v>
      </c>
      <c r="J92" s="77">
        <v>2070</v>
      </c>
      <c r="K92" s="77">
        <v>0</v>
      </c>
      <c r="L92" s="77" t="s">
        <v>225</v>
      </c>
      <c r="M92" s="77">
        <v>1</v>
      </c>
      <c r="N92" s="80" t="s">
        <v>251</v>
      </c>
    </row>
    <row r="93" spans="1:14" ht="57.6" x14ac:dyDescent="0.3">
      <c r="A93" s="168" t="s">
        <v>426</v>
      </c>
      <c r="B93" s="82" t="s">
        <v>247</v>
      </c>
      <c r="C93" s="77" t="s">
        <v>239</v>
      </c>
      <c r="D93" s="77" t="s">
        <v>249</v>
      </c>
      <c r="E93" s="77" t="s">
        <v>11</v>
      </c>
      <c r="F93" s="77" t="s">
        <v>7</v>
      </c>
      <c r="G93" s="79" t="s">
        <v>223</v>
      </c>
      <c r="H93" s="79" t="s">
        <v>424</v>
      </c>
      <c r="I93" s="77">
        <v>2069</v>
      </c>
      <c r="J93" s="77">
        <v>2070</v>
      </c>
      <c r="K93" s="77">
        <v>0</v>
      </c>
      <c r="L93" s="77" t="s">
        <v>225</v>
      </c>
      <c r="M93" s="77">
        <v>1</v>
      </c>
      <c r="N93" s="80" t="s">
        <v>251</v>
      </c>
    </row>
    <row r="94" spans="1:14" ht="57.6" x14ac:dyDescent="0.3">
      <c r="A94" s="168" t="s">
        <v>426</v>
      </c>
      <c r="B94" s="82" t="s">
        <v>247</v>
      </c>
      <c r="C94" s="77" t="s">
        <v>240</v>
      </c>
      <c r="D94" s="77" t="s">
        <v>249</v>
      </c>
      <c r="E94" s="77" t="s">
        <v>11</v>
      </c>
      <c r="F94" s="77" t="s">
        <v>7</v>
      </c>
      <c r="G94" s="79" t="s">
        <v>223</v>
      </c>
      <c r="H94" s="79" t="s">
        <v>448</v>
      </c>
      <c r="I94" s="77">
        <v>2069</v>
      </c>
      <c r="J94" s="77">
        <v>2070</v>
      </c>
      <c r="K94" s="77">
        <v>0.51</v>
      </c>
      <c r="L94" s="77" t="s">
        <v>225</v>
      </c>
      <c r="M94" s="77">
        <v>1</v>
      </c>
      <c r="N94" s="80" t="s">
        <v>251</v>
      </c>
    </row>
    <row r="95" spans="1:14" ht="57.6" x14ac:dyDescent="0.3">
      <c r="A95" s="168" t="s">
        <v>426</v>
      </c>
      <c r="B95" s="82" t="s">
        <v>247</v>
      </c>
      <c r="C95" s="77" t="s">
        <v>245</v>
      </c>
      <c r="D95" s="77" t="s">
        <v>249</v>
      </c>
      <c r="E95" s="77" t="s">
        <v>11</v>
      </c>
      <c r="F95" s="77" t="s">
        <v>7</v>
      </c>
      <c r="G95" s="79" t="s">
        <v>223</v>
      </c>
      <c r="H95" s="79" t="s">
        <v>449</v>
      </c>
      <c r="I95" s="77">
        <v>2069</v>
      </c>
      <c r="J95" s="77">
        <v>2070</v>
      </c>
      <c r="K95" s="77">
        <v>4.6919999999999993</v>
      </c>
      <c r="L95" s="77" t="s">
        <v>225</v>
      </c>
      <c r="M95" s="77">
        <v>1</v>
      </c>
      <c r="N95" s="80" t="s">
        <v>251</v>
      </c>
    </row>
    <row r="96" spans="1:14" ht="57.6" x14ac:dyDescent="0.3">
      <c r="A96" s="168" t="s">
        <v>426</v>
      </c>
      <c r="B96" s="82" t="s">
        <v>247</v>
      </c>
      <c r="C96" s="77" t="s">
        <v>262</v>
      </c>
      <c r="D96" s="77" t="s">
        <v>249</v>
      </c>
      <c r="E96" s="77" t="s">
        <v>7</v>
      </c>
      <c r="F96" s="77" t="s">
        <v>7</v>
      </c>
      <c r="G96" s="79" t="s">
        <v>223</v>
      </c>
      <c r="H96" s="79" t="s">
        <v>450</v>
      </c>
      <c r="I96" s="77">
        <v>2069</v>
      </c>
      <c r="J96" s="77">
        <v>2070</v>
      </c>
      <c r="K96" s="77">
        <v>1.0200000000000001E-2</v>
      </c>
      <c r="L96" s="77" t="s">
        <v>225</v>
      </c>
      <c r="M96" s="77">
        <v>1</v>
      </c>
      <c r="N96" s="80" t="s">
        <v>226</v>
      </c>
    </row>
    <row r="97" spans="1:14" ht="57.6" x14ac:dyDescent="0.3">
      <c r="A97" s="168" t="s">
        <v>426</v>
      </c>
      <c r="B97" s="82" t="s">
        <v>247</v>
      </c>
      <c r="C97" s="77" t="s">
        <v>257</v>
      </c>
      <c r="D97" s="77" t="s">
        <v>249</v>
      </c>
      <c r="E97" s="77" t="s">
        <v>7</v>
      </c>
      <c r="F97" s="77" t="s">
        <v>7</v>
      </c>
      <c r="G97" s="79" t="s">
        <v>223</v>
      </c>
      <c r="H97" s="79" t="s">
        <v>451</v>
      </c>
      <c r="I97" s="77">
        <v>2069</v>
      </c>
      <c r="J97" s="77">
        <v>2070</v>
      </c>
      <c r="K97" s="77">
        <v>2.4470712593755199</v>
      </c>
      <c r="L97" s="77" t="s">
        <v>225</v>
      </c>
      <c r="M97" s="77">
        <v>1</v>
      </c>
      <c r="N97" s="80" t="s">
        <v>226</v>
      </c>
    </row>
    <row r="98" spans="1:14" ht="57.6" x14ac:dyDescent="0.3">
      <c r="A98" s="168" t="s">
        <v>426</v>
      </c>
      <c r="B98" s="82" t="s">
        <v>247</v>
      </c>
      <c r="C98" s="77" t="s">
        <v>405</v>
      </c>
      <c r="D98" s="77" t="s">
        <v>249</v>
      </c>
      <c r="E98" s="77" t="s">
        <v>11</v>
      </c>
      <c r="F98" s="77" t="s">
        <v>7</v>
      </c>
      <c r="G98" s="79" t="s">
        <v>223</v>
      </c>
      <c r="H98" s="79" t="s">
        <v>460</v>
      </c>
      <c r="I98" s="77">
        <v>2069</v>
      </c>
      <c r="J98" s="77">
        <v>2070</v>
      </c>
      <c r="K98" s="77">
        <v>16.678006164677818</v>
      </c>
      <c r="L98" s="77" t="s">
        <v>225</v>
      </c>
      <c r="M98" s="77">
        <v>1</v>
      </c>
      <c r="N98" s="80" t="s">
        <v>251</v>
      </c>
    </row>
    <row r="99" spans="1:14" ht="57.6" x14ac:dyDescent="0.3">
      <c r="A99" s="168" t="s">
        <v>426</v>
      </c>
      <c r="B99" s="82" t="s">
        <v>247</v>
      </c>
      <c r="C99" s="77" t="s">
        <v>231</v>
      </c>
      <c r="D99" s="77" t="s">
        <v>249</v>
      </c>
      <c r="E99" s="77" t="s">
        <v>11</v>
      </c>
      <c r="F99" s="77" t="s">
        <v>7</v>
      </c>
      <c r="G99" s="79" t="s">
        <v>223</v>
      </c>
      <c r="H99" s="79" t="s">
        <v>461</v>
      </c>
      <c r="I99" s="77">
        <v>2069</v>
      </c>
      <c r="J99" s="77">
        <v>2070</v>
      </c>
      <c r="K99" s="77">
        <v>88.101610937113591</v>
      </c>
      <c r="L99" s="77" t="s">
        <v>225</v>
      </c>
      <c r="M99" s="77">
        <v>1</v>
      </c>
      <c r="N99" s="80" t="s">
        <v>251</v>
      </c>
    </row>
    <row r="100" spans="1:14" ht="57.6" x14ac:dyDescent="0.3">
      <c r="A100" s="168" t="s">
        <v>426</v>
      </c>
      <c r="B100" s="82" t="s">
        <v>247</v>
      </c>
      <c r="C100" s="77" t="s">
        <v>287</v>
      </c>
      <c r="D100" s="77" t="s">
        <v>249</v>
      </c>
      <c r="E100" s="77" t="s">
        <v>11</v>
      </c>
      <c r="F100" s="77" t="s">
        <v>7</v>
      </c>
      <c r="G100" s="79" t="s">
        <v>223</v>
      </c>
      <c r="H100" s="79" t="s">
        <v>462</v>
      </c>
      <c r="I100" s="77">
        <v>2069</v>
      </c>
      <c r="J100" s="77">
        <v>2070</v>
      </c>
      <c r="K100" s="77">
        <v>18.07453015849957</v>
      </c>
      <c r="L100" s="77" t="s">
        <v>225</v>
      </c>
      <c r="M100" s="77">
        <v>1</v>
      </c>
      <c r="N100" s="80" t="s">
        <v>251</v>
      </c>
    </row>
    <row r="101" spans="1:14" ht="57.6" x14ac:dyDescent="0.3">
      <c r="A101" s="168" t="s">
        <v>426</v>
      </c>
      <c r="B101" s="82" t="s">
        <v>247</v>
      </c>
      <c r="C101" s="77" t="s">
        <v>285</v>
      </c>
      <c r="D101" s="77" t="s">
        <v>249</v>
      </c>
      <c r="E101" s="77" t="s">
        <v>11</v>
      </c>
      <c r="F101" s="77" t="s">
        <v>7</v>
      </c>
      <c r="G101" s="79" t="s">
        <v>223</v>
      </c>
      <c r="H101" s="79" t="s">
        <v>463</v>
      </c>
      <c r="I101" s="77">
        <v>2069</v>
      </c>
      <c r="J101" s="77">
        <v>2070</v>
      </c>
      <c r="K101" s="77">
        <v>5.7904685999999996</v>
      </c>
      <c r="L101" s="77" t="s">
        <v>225</v>
      </c>
      <c r="M101" s="77">
        <v>1</v>
      </c>
      <c r="N101" s="80" t="s">
        <v>251</v>
      </c>
    </row>
    <row r="102" spans="1:14" ht="57.6" x14ac:dyDescent="0.3">
      <c r="A102" s="168" t="s">
        <v>426</v>
      </c>
      <c r="B102" s="82" t="s">
        <v>247</v>
      </c>
      <c r="C102" s="77" t="s">
        <v>265</v>
      </c>
      <c r="D102" s="77" t="s">
        <v>249</v>
      </c>
      <c r="E102" s="77" t="s">
        <v>11</v>
      </c>
      <c r="F102" s="77" t="s">
        <v>7</v>
      </c>
      <c r="G102" s="79" t="s">
        <v>223</v>
      </c>
      <c r="H102" s="79" t="s">
        <v>464</v>
      </c>
      <c r="I102" s="77">
        <v>2069</v>
      </c>
      <c r="J102" s="77">
        <v>2070</v>
      </c>
      <c r="K102" s="77">
        <v>33.180304199999995</v>
      </c>
      <c r="L102" s="77" t="s">
        <v>225</v>
      </c>
      <c r="M102" s="77">
        <v>1</v>
      </c>
      <c r="N102" s="80" t="s">
        <v>251</v>
      </c>
    </row>
    <row r="103" spans="1:14" ht="57.6" x14ac:dyDescent="0.3">
      <c r="A103" s="168" t="s">
        <v>426</v>
      </c>
      <c r="B103" s="82" t="s">
        <v>247</v>
      </c>
      <c r="C103" s="77" t="s">
        <v>430</v>
      </c>
      <c r="D103" s="77" t="s">
        <v>249</v>
      </c>
      <c r="E103" s="77" t="s">
        <v>11</v>
      </c>
      <c r="F103" s="77" t="s">
        <v>7</v>
      </c>
      <c r="G103" s="79" t="s">
        <v>223</v>
      </c>
      <c r="H103" s="79" t="s">
        <v>465</v>
      </c>
      <c r="I103" s="77">
        <v>2069</v>
      </c>
      <c r="J103" s="77">
        <v>2070</v>
      </c>
      <c r="K103" s="77">
        <v>99.540912599999999</v>
      </c>
      <c r="L103" s="77" t="s">
        <v>225</v>
      </c>
      <c r="M103" s="77">
        <v>1</v>
      </c>
      <c r="N103" s="80" t="s">
        <v>251</v>
      </c>
    </row>
    <row r="104" spans="1:14" ht="57.6" x14ac:dyDescent="0.3">
      <c r="A104" s="168" t="s">
        <v>426</v>
      </c>
      <c r="B104" s="82" t="s">
        <v>247</v>
      </c>
      <c r="C104" s="77" t="s">
        <v>227</v>
      </c>
      <c r="D104" s="77" t="s">
        <v>249</v>
      </c>
      <c r="E104" s="77" t="s">
        <v>11</v>
      </c>
      <c r="F104" s="77" t="s">
        <v>7</v>
      </c>
      <c r="G104" s="79" t="s">
        <v>223</v>
      </c>
      <c r="H104" s="79" t="s">
        <v>466</v>
      </c>
      <c r="I104" s="77">
        <v>2069</v>
      </c>
      <c r="J104" s="77">
        <v>2070</v>
      </c>
      <c r="K104" s="77">
        <v>211.39805999999999</v>
      </c>
      <c r="L104" s="77" t="s">
        <v>225</v>
      </c>
      <c r="M104" s="77">
        <v>1</v>
      </c>
      <c r="N104" s="80" t="s">
        <v>251</v>
      </c>
    </row>
    <row r="105" spans="1:14" ht="57.6" x14ac:dyDescent="0.3">
      <c r="A105" s="168" t="s">
        <v>426</v>
      </c>
      <c r="B105" s="82" t="s">
        <v>247</v>
      </c>
      <c r="C105" s="77" t="s">
        <v>431</v>
      </c>
      <c r="D105" s="77" t="s">
        <v>249</v>
      </c>
      <c r="E105" s="77" t="s">
        <v>7</v>
      </c>
      <c r="F105" s="77" t="s">
        <v>7</v>
      </c>
      <c r="G105" s="79" t="s">
        <v>223</v>
      </c>
      <c r="H105" s="79" t="s">
        <v>467</v>
      </c>
      <c r="I105" s="77">
        <v>2069</v>
      </c>
      <c r="J105" s="77">
        <v>2070</v>
      </c>
      <c r="K105" s="77">
        <v>4.062830339318948</v>
      </c>
      <c r="L105" s="77" t="s">
        <v>225</v>
      </c>
      <c r="M105" s="77">
        <v>1</v>
      </c>
      <c r="N105" s="80" t="s">
        <v>226</v>
      </c>
    </row>
    <row r="106" spans="1:14" ht="57.6" x14ac:dyDescent="0.3">
      <c r="A106" s="168" t="s">
        <v>426</v>
      </c>
      <c r="B106" s="83" t="s">
        <v>253</v>
      </c>
      <c r="C106" s="77" t="s">
        <v>242</v>
      </c>
      <c r="D106" s="77" t="s">
        <v>425</v>
      </c>
      <c r="E106" s="77" t="s">
        <v>7</v>
      </c>
      <c r="F106" s="77" t="s">
        <v>7</v>
      </c>
      <c r="G106" s="79" t="s">
        <v>223</v>
      </c>
      <c r="H106" s="79" t="s">
        <v>432</v>
      </c>
      <c r="I106" s="77">
        <v>2069</v>
      </c>
      <c r="J106" s="77">
        <v>2070</v>
      </c>
      <c r="K106" s="77">
        <v>99999</v>
      </c>
      <c r="L106" s="77" t="s">
        <v>218</v>
      </c>
      <c r="M106" s="77">
        <v>1</v>
      </c>
      <c r="N106" s="80" t="s">
        <v>255</v>
      </c>
    </row>
    <row r="107" spans="1:14" ht="57.6" x14ac:dyDescent="0.3">
      <c r="A107" s="168" t="s">
        <v>426</v>
      </c>
      <c r="B107" s="83" t="s">
        <v>253</v>
      </c>
      <c r="C107" s="77" t="s">
        <v>243</v>
      </c>
      <c r="D107" s="77" t="s">
        <v>425</v>
      </c>
      <c r="E107" s="77" t="s">
        <v>7</v>
      </c>
      <c r="F107" s="77" t="s">
        <v>7</v>
      </c>
      <c r="G107" s="79" t="s">
        <v>223</v>
      </c>
      <c r="H107" s="79" t="s">
        <v>432</v>
      </c>
      <c r="I107" s="77">
        <v>2069</v>
      </c>
      <c r="J107" s="77">
        <v>2070</v>
      </c>
      <c r="K107" s="77">
        <v>99999</v>
      </c>
      <c r="L107" s="77" t="s">
        <v>218</v>
      </c>
      <c r="M107" s="77">
        <v>1</v>
      </c>
      <c r="N107" s="80" t="s">
        <v>255</v>
      </c>
    </row>
    <row r="108" spans="1:14" ht="57.6" x14ac:dyDescent="0.3">
      <c r="A108" s="168" t="s">
        <v>426</v>
      </c>
      <c r="B108" s="83" t="s">
        <v>253</v>
      </c>
      <c r="C108" s="77" t="s">
        <v>238</v>
      </c>
      <c r="D108" s="77" t="s">
        <v>425</v>
      </c>
      <c r="E108" s="77" t="s">
        <v>7</v>
      </c>
      <c r="F108" s="77" t="s">
        <v>7</v>
      </c>
      <c r="G108" s="79" t="s">
        <v>223</v>
      </c>
      <c r="H108" s="79" t="s">
        <v>432</v>
      </c>
      <c r="I108" s="77">
        <v>2069</v>
      </c>
      <c r="J108" s="77">
        <v>2070</v>
      </c>
      <c r="K108" s="77">
        <v>99999</v>
      </c>
      <c r="L108" s="77" t="s">
        <v>218</v>
      </c>
      <c r="M108" s="77">
        <v>1</v>
      </c>
      <c r="N108" s="80" t="s">
        <v>255</v>
      </c>
    </row>
    <row r="109" spans="1:14" ht="57.6" x14ac:dyDescent="0.3">
      <c r="A109" s="168" t="s">
        <v>426</v>
      </c>
      <c r="B109" s="83" t="s">
        <v>253</v>
      </c>
      <c r="C109" s="77" t="s">
        <v>239</v>
      </c>
      <c r="D109" s="77" t="s">
        <v>425</v>
      </c>
      <c r="E109" s="77" t="s">
        <v>7</v>
      </c>
      <c r="F109" s="77" t="s">
        <v>7</v>
      </c>
      <c r="G109" s="79" t="s">
        <v>223</v>
      </c>
      <c r="H109" s="79" t="s">
        <v>432</v>
      </c>
      <c r="I109" s="77">
        <v>2069</v>
      </c>
      <c r="J109" s="77">
        <v>2070</v>
      </c>
      <c r="K109" s="77">
        <v>99999</v>
      </c>
      <c r="L109" s="77" t="s">
        <v>218</v>
      </c>
      <c r="M109" s="77">
        <v>1</v>
      </c>
      <c r="N109" s="80" t="s">
        <v>255</v>
      </c>
    </row>
    <row r="110" spans="1:14" ht="57.6" x14ac:dyDescent="0.3">
      <c r="A110" s="168" t="s">
        <v>426</v>
      </c>
      <c r="B110" s="83" t="s">
        <v>253</v>
      </c>
      <c r="C110" s="77" t="s">
        <v>240</v>
      </c>
      <c r="D110" s="77" t="s">
        <v>425</v>
      </c>
      <c r="E110" s="77" t="s">
        <v>7</v>
      </c>
      <c r="F110" s="77" t="s">
        <v>7</v>
      </c>
      <c r="G110" s="79" t="s">
        <v>223</v>
      </c>
      <c r="H110" s="79" t="s">
        <v>432</v>
      </c>
      <c r="I110" s="77">
        <v>2069</v>
      </c>
      <c r="J110" s="77">
        <v>2070</v>
      </c>
      <c r="K110" s="77">
        <v>99999</v>
      </c>
      <c r="L110" s="77" t="s">
        <v>218</v>
      </c>
      <c r="M110" s="77">
        <v>1</v>
      </c>
      <c r="N110" s="80" t="s">
        <v>255</v>
      </c>
    </row>
    <row r="111" spans="1:14" ht="57.6" x14ac:dyDescent="0.3">
      <c r="A111" s="168" t="s">
        <v>426</v>
      </c>
      <c r="B111" s="83" t="s">
        <v>253</v>
      </c>
      <c r="C111" s="77" t="s">
        <v>245</v>
      </c>
      <c r="D111" s="77" t="s">
        <v>425</v>
      </c>
      <c r="E111" s="77" t="s">
        <v>7</v>
      </c>
      <c r="F111" s="77" t="s">
        <v>7</v>
      </c>
      <c r="G111" s="79" t="s">
        <v>223</v>
      </c>
      <c r="H111" s="79" t="s">
        <v>432</v>
      </c>
      <c r="I111" s="77">
        <v>2069</v>
      </c>
      <c r="J111" s="77">
        <v>2070</v>
      </c>
      <c r="K111" s="77">
        <v>99999</v>
      </c>
      <c r="L111" s="77" t="s">
        <v>218</v>
      </c>
      <c r="M111" s="77">
        <v>1</v>
      </c>
      <c r="N111" s="80" t="s">
        <v>255</v>
      </c>
    </row>
    <row r="112" spans="1:14" ht="57.6" x14ac:dyDescent="0.3">
      <c r="A112" s="168" t="s">
        <v>426</v>
      </c>
      <c r="B112" s="83" t="s">
        <v>253</v>
      </c>
      <c r="C112" s="77" t="s">
        <v>262</v>
      </c>
      <c r="D112" s="77" t="s">
        <v>425</v>
      </c>
      <c r="E112" s="77" t="s">
        <v>7</v>
      </c>
      <c r="F112" s="77" t="s">
        <v>7</v>
      </c>
      <c r="G112" s="79" t="s">
        <v>223</v>
      </c>
      <c r="H112" s="79" t="s">
        <v>432</v>
      </c>
      <c r="I112" s="77">
        <v>2069</v>
      </c>
      <c r="J112" s="77">
        <v>2070</v>
      </c>
      <c r="K112" s="77">
        <v>99999</v>
      </c>
      <c r="L112" s="77" t="s">
        <v>218</v>
      </c>
      <c r="M112" s="77">
        <v>1</v>
      </c>
      <c r="N112" s="80" t="s">
        <v>255</v>
      </c>
    </row>
    <row r="113" spans="1:14" ht="57.6" x14ac:dyDescent="0.3">
      <c r="A113" s="168" t="s">
        <v>426</v>
      </c>
      <c r="B113" s="83" t="s">
        <v>253</v>
      </c>
      <c r="C113" s="77" t="s">
        <v>257</v>
      </c>
      <c r="D113" s="77" t="s">
        <v>425</v>
      </c>
      <c r="E113" s="77" t="s">
        <v>7</v>
      </c>
      <c r="F113" s="77" t="s">
        <v>7</v>
      </c>
      <c r="G113" s="79" t="s">
        <v>223</v>
      </c>
      <c r="H113" s="79" t="s">
        <v>432</v>
      </c>
      <c r="I113" s="77">
        <v>2069</v>
      </c>
      <c r="J113" s="77">
        <v>2070</v>
      </c>
      <c r="K113" s="77">
        <v>99999</v>
      </c>
      <c r="L113" s="77" t="s">
        <v>218</v>
      </c>
      <c r="M113" s="77">
        <v>1</v>
      </c>
      <c r="N113" s="80" t="s">
        <v>255</v>
      </c>
    </row>
    <row r="114" spans="1:14" ht="57.6" x14ac:dyDescent="0.3">
      <c r="A114" s="168" t="s">
        <v>426</v>
      </c>
      <c r="B114" s="83" t="s">
        <v>253</v>
      </c>
      <c r="C114" s="77" t="s">
        <v>405</v>
      </c>
      <c r="D114" s="77" t="s">
        <v>425</v>
      </c>
      <c r="E114" s="77" t="s">
        <v>7</v>
      </c>
      <c r="F114" s="77" t="s">
        <v>7</v>
      </c>
      <c r="G114" s="79" t="s">
        <v>223</v>
      </c>
      <c r="H114" s="79" t="s">
        <v>432</v>
      </c>
      <c r="I114" s="77">
        <v>2069</v>
      </c>
      <c r="J114" s="77">
        <v>2070</v>
      </c>
      <c r="K114" s="77">
        <v>99999</v>
      </c>
      <c r="L114" s="77" t="s">
        <v>218</v>
      </c>
      <c r="M114" s="77">
        <v>1</v>
      </c>
      <c r="N114" s="80" t="s">
        <v>255</v>
      </c>
    </row>
    <row r="115" spans="1:14" ht="57.6" x14ac:dyDescent="0.3">
      <c r="A115" s="168" t="s">
        <v>426</v>
      </c>
      <c r="B115" s="83" t="s">
        <v>253</v>
      </c>
      <c r="C115" s="77" t="s">
        <v>231</v>
      </c>
      <c r="D115" s="77" t="s">
        <v>425</v>
      </c>
      <c r="E115" s="77" t="s">
        <v>7</v>
      </c>
      <c r="F115" s="77" t="s">
        <v>7</v>
      </c>
      <c r="G115" s="79" t="s">
        <v>223</v>
      </c>
      <c r="H115" s="79" t="s">
        <v>432</v>
      </c>
      <c r="I115" s="77">
        <v>2069</v>
      </c>
      <c r="J115" s="77">
        <v>2070</v>
      </c>
      <c r="K115" s="77">
        <v>99999</v>
      </c>
      <c r="L115" s="77" t="s">
        <v>218</v>
      </c>
      <c r="M115" s="77">
        <v>1</v>
      </c>
      <c r="N115" s="80" t="s">
        <v>255</v>
      </c>
    </row>
    <row r="116" spans="1:14" ht="57.6" x14ac:dyDescent="0.3">
      <c r="A116" s="168" t="s">
        <v>426</v>
      </c>
      <c r="B116" s="83" t="s">
        <v>253</v>
      </c>
      <c r="C116" s="77" t="s">
        <v>287</v>
      </c>
      <c r="D116" s="77" t="s">
        <v>425</v>
      </c>
      <c r="E116" s="77" t="s">
        <v>7</v>
      </c>
      <c r="F116" s="77" t="s">
        <v>7</v>
      </c>
      <c r="G116" s="79" t="s">
        <v>223</v>
      </c>
      <c r="H116" s="79" t="s">
        <v>432</v>
      </c>
      <c r="I116" s="77">
        <v>2069</v>
      </c>
      <c r="J116" s="77">
        <v>2070</v>
      </c>
      <c r="K116" s="77">
        <v>99999</v>
      </c>
      <c r="L116" s="77" t="s">
        <v>218</v>
      </c>
      <c r="M116" s="77">
        <v>1</v>
      </c>
      <c r="N116" s="80" t="s">
        <v>255</v>
      </c>
    </row>
    <row r="117" spans="1:14" ht="57.6" x14ac:dyDescent="0.3">
      <c r="A117" s="168" t="s">
        <v>426</v>
      </c>
      <c r="B117" s="83" t="s">
        <v>253</v>
      </c>
      <c r="C117" s="77" t="s">
        <v>285</v>
      </c>
      <c r="D117" s="77" t="s">
        <v>425</v>
      </c>
      <c r="E117" s="77" t="s">
        <v>7</v>
      </c>
      <c r="F117" s="77" t="s">
        <v>7</v>
      </c>
      <c r="G117" s="79" t="s">
        <v>223</v>
      </c>
      <c r="H117" s="79" t="s">
        <v>432</v>
      </c>
      <c r="I117" s="77">
        <v>2069</v>
      </c>
      <c r="J117" s="77">
        <v>2070</v>
      </c>
      <c r="K117" s="77">
        <v>99999</v>
      </c>
      <c r="L117" s="77" t="s">
        <v>218</v>
      </c>
      <c r="M117" s="77">
        <v>1</v>
      </c>
      <c r="N117" s="80" t="s">
        <v>255</v>
      </c>
    </row>
    <row r="118" spans="1:14" ht="57.6" x14ac:dyDescent="0.3">
      <c r="A118" s="168" t="s">
        <v>426</v>
      </c>
      <c r="B118" s="83" t="s">
        <v>253</v>
      </c>
      <c r="C118" s="77" t="s">
        <v>265</v>
      </c>
      <c r="D118" s="77" t="s">
        <v>425</v>
      </c>
      <c r="E118" s="77" t="s">
        <v>7</v>
      </c>
      <c r="F118" s="77" t="s">
        <v>7</v>
      </c>
      <c r="G118" s="79" t="s">
        <v>223</v>
      </c>
      <c r="H118" s="79" t="s">
        <v>432</v>
      </c>
      <c r="I118" s="77">
        <v>2069</v>
      </c>
      <c r="J118" s="77">
        <v>2070</v>
      </c>
      <c r="K118" s="77">
        <v>99999</v>
      </c>
      <c r="L118" s="77" t="s">
        <v>218</v>
      </c>
      <c r="M118" s="77">
        <v>1</v>
      </c>
      <c r="N118" s="80" t="s">
        <v>255</v>
      </c>
    </row>
    <row r="119" spans="1:14" ht="57.6" x14ac:dyDescent="0.3">
      <c r="A119" s="168" t="s">
        <v>426</v>
      </c>
      <c r="B119" s="83" t="s">
        <v>253</v>
      </c>
      <c r="C119" s="77" t="s">
        <v>430</v>
      </c>
      <c r="D119" s="77" t="s">
        <v>425</v>
      </c>
      <c r="E119" s="77" t="s">
        <v>7</v>
      </c>
      <c r="F119" s="77" t="s">
        <v>7</v>
      </c>
      <c r="G119" s="79" t="s">
        <v>223</v>
      </c>
      <c r="H119" s="79" t="s">
        <v>432</v>
      </c>
      <c r="I119" s="77">
        <v>2069</v>
      </c>
      <c r="J119" s="77">
        <v>2070</v>
      </c>
      <c r="K119" s="77">
        <v>99999</v>
      </c>
      <c r="L119" s="77" t="s">
        <v>218</v>
      </c>
      <c r="M119" s="77">
        <v>1</v>
      </c>
      <c r="N119" s="80" t="s">
        <v>255</v>
      </c>
    </row>
    <row r="120" spans="1:14" ht="57.6" x14ac:dyDescent="0.3">
      <c r="A120" s="168" t="s">
        <v>426</v>
      </c>
      <c r="B120" s="83" t="s">
        <v>253</v>
      </c>
      <c r="C120" s="77" t="s">
        <v>227</v>
      </c>
      <c r="D120" s="77" t="s">
        <v>425</v>
      </c>
      <c r="E120" s="77" t="s">
        <v>7</v>
      </c>
      <c r="F120" s="77" t="s">
        <v>7</v>
      </c>
      <c r="G120" s="79" t="s">
        <v>223</v>
      </c>
      <c r="H120" s="79" t="s">
        <v>432</v>
      </c>
      <c r="I120" s="77">
        <v>2069</v>
      </c>
      <c r="J120" s="77">
        <v>2070</v>
      </c>
      <c r="K120" s="77">
        <v>99999</v>
      </c>
      <c r="L120" s="77" t="s">
        <v>218</v>
      </c>
      <c r="M120" s="77">
        <v>1</v>
      </c>
      <c r="N120" s="80" t="s">
        <v>255</v>
      </c>
    </row>
    <row r="121" spans="1:14" ht="57.6" x14ac:dyDescent="0.3">
      <c r="A121" s="168" t="s">
        <v>426</v>
      </c>
      <c r="B121" s="83" t="s">
        <v>253</v>
      </c>
      <c r="C121" s="77" t="s">
        <v>431</v>
      </c>
      <c r="D121" s="77" t="s">
        <v>425</v>
      </c>
      <c r="E121" s="77" t="s">
        <v>7</v>
      </c>
      <c r="F121" s="77" t="s">
        <v>7</v>
      </c>
      <c r="G121" s="79" t="s">
        <v>223</v>
      </c>
      <c r="H121" s="79" t="s">
        <v>432</v>
      </c>
      <c r="I121" s="77">
        <v>2069</v>
      </c>
      <c r="J121" s="77">
        <v>2070</v>
      </c>
      <c r="K121" s="77">
        <v>99999</v>
      </c>
      <c r="L121" s="77" t="s">
        <v>218</v>
      </c>
      <c r="M121" s="77">
        <v>1</v>
      </c>
      <c r="N121" s="80" t="s">
        <v>255</v>
      </c>
    </row>
    <row r="122" spans="1:14" ht="57.6" x14ac:dyDescent="0.3">
      <c r="A122" s="168" t="s">
        <v>428</v>
      </c>
      <c r="B122" s="81" t="s">
        <v>220</v>
      </c>
      <c r="C122" s="77" t="s">
        <v>221</v>
      </c>
      <c r="D122" s="77" t="s">
        <v>222</v>
      </c>
      <c r="E122" s="77" t="s">
        <v>7</v>
      </c>
      <c r="F122" s="77" t="s">
        <v>7</v>
      </c>
      <c r="G122" s="79" t="s">
        <v>223</v>
      </c>
      <c r="H122" s="79" t="s">
        <v>224</v>
      </c>
      <c r="I122" s="77">
        <v>2069</v>
      </c>
      <c r="J122" s="77">
        <v>2070</v>
      </c>
      <c r="K122" s="77">
        <v>1E-4</v>
      </c>
      <c r="L122" s="77" t="s">
        <v>225</v>
      </c>
      <c r="M122" s="77">
        <v>1</v>
      </c>
      <c r="N122" s="80" t="s">
        <v>226</v>
      </c>
    </row>
    <row r="123" spans="1:14" ht="57.6" x14ac:dyDescent="0.3">
      <c r="A123" s="168" t="s">
        <v>428</v>
      </c>
      <c r="B123" s="81" t="s">
        <v>220</v>
      </c>
      <c r="C123" s="77" t="s">
        <v>227</v>
      </c>
      <c r="D123" s="77" t="s">
        <v>222</v>
      </c>
      <c r="E123" s="77" t="s">
        <v>7</v>
      </c>
      <c r="F123" s="77" t="s">
        <v>7</v>
      </c>
      <c r="G123" s="79" t="s">
        <v>223</v>
      </c>
      <c r="H123" s="159" t="s">
        <v>228</v>
      </c>
      <c r="I123" s="77">
        <v>2069</v>
      </c>
      <c r="J123" s="77">
        <v>2070</v>
      </c>
      <c r="K123" s="77">
        <v>0.81840000000000002</v>
      </c>
      <c r="L123" s="77" t="s">
        <v>225</v>
      </c>
      <c r="M123" s="77">
        <v>1</v>
      </c>
      <c r="N123" s="80" t="s">
        <v>226</v>
      </c>
    </row>
    <row r="124" spans="1:14" ht="57.6" x14ac:dyDescent="0.3">
      <c r="A124" s="168" t="s">
        <v>428</v>
      </c>
      <c r="B124" s="81" t="s">
        <v>220</v>
      </c>
      <c r="C124" s="77" t="s">
        <v>229</v>
      </c>
      <c r="D124" s="77" t="s">
        <v>222</v>
      </c>
      <c r="E124" s="77" t="s">
        <v>7</v>
      </c>
      <c r="F124" s="77" t="s">
        <v>7</v>
      </c>
      <c r="G124" s="79" t="s">
        <v>223</v>
      </c>
      <c r="H124" s="159" t="s">
        <v>230</v>
      </c>
      <c r="I124" s="77">
        <v>2069</v>
      </c>
      <c r="J124" s="77">
        <v>2070</v>
      </c>
      <c r="K124" s="77">
        <v>0.50739999999999996</v>
      </c>
      <c r="L124" s="77" t="s">
        <v>225</v>
      </c>
      <c r="M124" s="77">
        <v>1</v>
      </c>
      <c r="N124" s="80" t="s">
        <v>226</v>
      </c>
    </row>
    <row r="125" spans="1:14" ht="57.6" x14ac:dyDescent="0.3">
      <c r="A125" s="168" t="s">
        <v>428</v>
      </c>
      <c r="B125" s="81" t="s">
        <v>220</v>
      </c>
      <c r="C125" s="77" t="s">
        <v>231</v>
      </c>
      <c r="D125" s="77" t="s">
        <v>222</v>
      </c>
      <c r="E125" s="77" t="s">
        <v>7</v>
      </c>
      <c r="F125" s="77" t="s">
        <v>7</v>
      </c>
      <c r="G125" s="79" t="s">
        <v>223</v>
      </c>
      <c r="H125" s="159" t="s">
        <v>232</v>
      </c>
      <c r="I125" s="77">
        <v>2069</v>
      </c>
      <c r="J125" s="77">
        <v>2070</v>
      </c>
      <c r="K125" s="77">
        <v>5.8897000000000004</v>
      </c>
      <c r="L125" s="77" t="s">
        <v>225</v>
      </c>
      <c r="M125" s="77">
        <v>1</v>
      </c>
      <c r="N125" s="80" t="s">
        <v>226</v>
      </c>
    </row>
    <row r="126" spans="1:14" ht="57.6" x14ac:dyDescent="0.3">
      <c r="A126" s="168" t="s">
        <v>428</v>
      </c>
      <c r="B126" s="81" t="s">
        <v>220</v>
      </c>
      <c r="C126" s="77" t="s">
        <v>233</v>
      </c>
      <c r="D126" s="77" t="s">
        <v>222</v>
      </c>
      <c r="E126" s="77" t="s">
        <v>7</v>
      </c>
      <c r="F126" s="77" t="s">
        <v>7</v>
      </c>
      <c r="G126" s="79" t="s">
        <v>223</v>
      </c>
      <c r="H126" s="159" t="s">
        <v>234</v>
      </c>
      <c r="I126" s="77">
        <v>2069</v>
      </c>
      <c r="J126" s="77">
        <v>2070</v>
      </c>
      <c r="K126" s="77">
        <v>14.08287</v>
      </c>
      <c r="L126" s="77" t="s">
        <v>225</v>
      </c>
      <c r="M126" s="77">
        <v>1</v>
      </c>
      <c r="N126" s="80" t="s">
        <v>226</v>
      </c>
    </row>
    <row r="127" spans="1:14" x14ac:dyDescent="0.3">
      <c r="A127" s="168" t="s">
        <v>428</v>
      </c>
      <c r="B127" s="81" t="s">
        <v>220</v>
      </c>
      <c r="C127" s="77" t="s">
        <v>216</v>
      </c>
      <c r="D127" s="77" t="s">
        <v>222</v>
      </c>
      <c r="E127" s="77" t="s">
        <v>7</v>
      </c>
      <c r="F127" s="77" t="s">
        <v>7</v>
      </c>
      <c r="G127" s="79" t="s">
        <v>235</v>
      </c>
      <c r="H127" s="79" t="s">
        <v>235</v>
      </c>
      <c r="I127" s="77">
        <v>2030</v>
      </c>
      <c r="J127" s="77">
        <v>2031</v>
      </c>
      <c r="K127" s="77">
        <v>0</v>
      </c>
      <c r="L127" s="77" t="s">
        <v>225</v>
      </c>
      <c r="M127" s="77">
        <v>1</v>
      </c>
      <c r="N127" s="80" t="s">
        <v>226</v>
      </c>
    </row>
    <row r="128" spans="1:14" x14ac:dyDescent="0.3">
      <c r="A128" s="168" t="s">
        <v>428</v>
      </c>
      <c r="B128" s="81" t="s">
        <v>220</v>
      </c>
      <c r="C128" s="77" t="s">
        <v>236</v>
      </c>
      <c r="D128" s="77" t="s">
        <v>222</v>
      </c>
      <c r="E128" s="77" t="s">
        <v>7</v>
      </c>
      <c r="F128" s="77" t="s">
        <v>7</v>
      </c>
      <c r="G128" s="79" t="s">
        <v>235</v>
      </c>
      <c r="H128" s="79" t="s">
        <v>235</v>
      </c>
      <c r="I128" s="77">
        <v>2030</v>
      </c>
      <c r="J128" s="77">
        <v>2031</v>
      </c>
      <c r="K128" s="77">
        <v>0</v>
      </c>
      <c r="L128" s="77" t="s">
        <v>225</v>
      </c>
      <c r="M128" s="77">
        <v>1</v>
      </c>
      <c r="N128" s="80" t="s">
        <v>226</v>
      </c>
    </row>
    <row r="129" spans="1:14" x14ac:dyDescent="0.3">
      <c r="A129" s="168" t="s">
        <v>428</v>
      </c>
      <c r="B129" s="81" t="s">
        <v>220</v>
      </c>
      <c r="C129" s="77" t="s">
        <v>237</v>
      </c>
      <c r="D129" s="77" t="s">
        <v>222</v>
      </c>
      <c r="E129" s="77" t="s">
        <v>7</v>
      </c>
      <c r="F129" s="77" t="s">
        <v>7</v>
      </c>
      <c r="G129" s="79" t="s">
        <v>235</v>
      </c>
      <c r="H129" s="79" t="s">
        <v>235</v>
      </c>
      <c r="I129" s="77">
        <v>2030</v>
      </c>
      <c r="J129" s="77">
        <v>2031</v>
      </c>
      <c r="K129" s="77">
        <v>0</v>
      </c>
      <c r="L129" s="77" t="s">
        <v>225</v>
      </c>
      <c r="M129" s="77">
        <v>1</v>
      </c>
      <c r="N129" s="80" t="s">
        <v>226</v>
      </c>
    </row>
    <row r="130" spans="1:14" x14ac:dyDescent="0.3">
      <c r="A130" s="168" t="s">
        <v>428</v>
      </c>
      <c r="B130" s="81" t="s">
        <v>220</v>
      </c>
      <c r="C130" s="77" t="s">
        <v>238</v>
      </c>
      <c r="D130" s="77" t="s">
        <v>222</v>
      </c>
      <c r="E130" s="77" t="s">
        <v>7</v>
      </c>
      <c r="F130" s="77" t="s">
        <v>7</v>
      </c>
      <c r="G130" s="79" t="s">
        <v>235</v>
      </c>
      <c r="H130" s="79" t="s">
        <v>235</v>
      </c>
      <c r="I130" s="77">
        <v>2030</v>
      </c>
      <c r="J130" s="77">
        <v>2031</v>
      </c>
      <c r="K130" s="77">
        <v>0</v>
      </c>
      <c r="L130" s="77" t="s">
        <v>225</v>
      </c>
      <c r="M130" s="77">
        <v>1</v>
      </c>
      <c r="N130" s="80" t="s">
        <v>226</v>
      </c>
    </row>
    <row r="131" spans="1:14" x14ac:dyDescent="0.3">
      <c r="A131" s="168" t="s">
        <v>428</v>
      </c>
      <c r="B131" s="81" t="s">
        <v>220</v>
      </c>
      <c r="C131" s="77" t="s">
        <v>239</v>
      </c>
      <c r="D131" s="77" t="s">
        <v>222</v>
      </c>
      <c r="E131" s="77" t="s">
        <v>7</v>
      </c>
      <c r="F131" s="77" t="s">
        <v>7</v>
      </c>
      <c r="G131" s="79" t="s">
        <v>235</v>
      </c>
      <c r="H131" s="79" t="s">
        <v>235</v>
      </c>
      <c r="I131" s="77">
        <v>2030</v>
      </c>
      <c r="J131" s="77">
        <v>2031</v>
      </c>
      <c r="K131" s="77">
        <v>0</v>
      </c>
      <c r="L131" s="77" t="s">
        <v>225</v>
      </c>
      <c r="M131" s="77">
        <v>1</v>
      </c>
      <c r="N131" s="80" t="s">
        <v>226</v>
      </c>
    </row>
    <row r="132" spans="1:14" x14ac:dyDescent="0.3">
      <c r="A132" s="168" t="s">
        <v>428</v>
      </c>
      <c r="B132" s="81" t="s">
        <v>220</v>
      </c>
      <c r="C132" s="77" t="s">
        <v>240</v>
      </c>
      <c r="D132" s="77" t="s">
        <v>222</v>
      </c>
      <c r="E132" s="77" t="s">
        <v>7</v>
      </c>
      <c r="F132" s="77" t="s">
        <v>7</v>
      </c>
      <c r="G132" s="79" t="s">
        <v>235</v>
      </c>
      <c r="H132" s="79" t="s">
        <v>235</v>
      </c>
      <c r="I132" s="77">
        <v>2030</v>
      </c>
      <c r="J132" s="77">
        <v>2031</v>
      </c>
      <c r="K132" s="77">
        <v>0</v>
      </c>
      <c r="L132" s="77" t="s">
        <v>225</v>
      </c>
      <c r="M132" s="77">
        <v>1</v>
      </c>
      <c r="N132" s="80" t="s">
        <v>226</v>
      </c>
    </row>
    <row r="133" spans="1:14" x14ac:dyDescent="0.3">
      <c r="A133" s="168" t="s">
        <v>428</v>
      </c>
      <c r="B133" s="81" t="s">
        <v>220</v>
      </c>
      <c r="C133" s="77" t="s">
        <v>241</v>
      </c>
      <c r="D133" s="77" t="s">
        <v>222</v>
      </c>
      <c r="E133" s="77" t="s">
        <v>7</v>
      </c>
      <c r="F133" s="77" t="s">
        <v>7</v>
      </c>
      <c r="G133" s="79" t="s">
        <v>235</v>
      </c>
      <c r="H133" s="79" t="s">
        <v>235</v>
      </c>
      <c r="I133" s="77">
        <v>2030</v>
      </c>
      <c r="J133" s="77">
        <v>2031</v>
      </c>
      <c r="K133" s="77">
        <v>0</v>
      </c>
      <c r="L133" s="77" t="s">
        <v>225</v>
      </c>
      <c r="M133" s="77">
        <v>1</v>
      </c>
      <c r="N133" s="80" t="s">
        <v>226</v>
      </c>
    </row>
    <row r="134" spans="1:14" x14ac:dyDescent="0.3">
      <c r="A134" s="168" t="s">
        <v>428</v>
      </c>
      <c r="B134" s="81" t="s">
        <v>220</v>
      </c>
      <c r="C134" s="77" t="s">
        <v>242</v>
      </c>
      <c r="D134" s="77" t="s">
        <v>222</v>
      </c>
      <c r="E134" s="77" t="s">
        <v>7</v>
      </c>
      <c r="F134" s="77" t="s">
        <v>7</v>
      </c>
      <c r="G134" s="79" t="s">
        <v>235</v>
      </c>
      <c r="H134" s="79" t="s">
        <v>235</v>
      </c>
      <c r="I134" s="77">
        <v>2030</v>
      </c>
      <c r="J134" s="77">
        <v>2031</v>
      </c>
      <c r="K134" s="77">
        <v>0</v>
      </c>
      <c r="L134" s="77" t="s">
        <v>225</v>
      </c>
      <c r="M134" s="77">
        <v>1</v>
      </c>
      <c r="N134" s="80" t="s">
        <v>226</v>
      </c>
    </row>
    <row r="135" spans="1:14" x14ac:dyDescent="0.3">
      <c r="A135" s="168" t="s">
        <v>428</v>
      </c>
      <c r="B135" s="81" t="s">
        <v>220</v>
      </c>
      <c r="C135" s="77" t="s">
        <v>243</v>
      </c>
      <c r="D135" s="77" t="s">
        <v>222</v>
      </c>
      <c r="E135" s="77" t="s">
        <v>7</v>
      </c>
      <c r="F135" s="77" t="s">
        <v>7</v>
      </c>
      <c r="G135" s="79" t="s">
        <v>235</v>
      </c>
      <c r="H135" s="79" t="s">
        <v>235</v>
      </c>
      <c r="I135" s="77">
        <v>2030</v>
      </c>
      <c r="J135" s="77">
        <v>2031</v>
      </c>
      <c r="K135" s="77">
        <v>0</v>
      </c>
      <c r="L135" s="77" t="s">
        <v>225</v>
      </c>
      <c r="M135" s="77">
        <v>1</v>
      </c>
      <c r="N135" s="80" t="s">
        <v>226</v>
      </c>
    </row>
    <row r="136" spans="1:14" x14ac:dyDescent="0.3">
      <c r="A136" s="168" t="s">
        <v>428</v>
      </c>
      <c r="B136" s="81" t="s">
        <v>220</v>
      </c>
      <c r="C136" s="77" t="s">
        <v>244</v>
      </c>
      <c r="D136" s="77" t="s">
        <v>222</v>
      </c>
      <c r="E136" s="77" t="s">
        <v>7</v>
      </c>
      <c r="F136" s="77" t="s">
        <v>7</v>
      </c>
      <c r="G136" s="79" t="s">
        <v>235</v>
      </c>
      <c r="H136" s="79" t="s">
        <v>235</v>
      </c>
      <c r="I136" s="77">
        <v>2030</v>
      </c>
      <c r="J136" s="77">
        <v>2031</v>
      </c>
      <c r="K136" s="77">
        <v>0</v>
      </c>
      <c r="L136" s="77" t="s">
        <v>225</v>
      </c>
      <c r="M136" s="77">
        <v>1</v>
      </c>
      <c r="N136" s="80" t="s">
        <v>226</v>
      </c>
    </row>
    <row r="137" spans="1:14" x14ac:dyDescent="0.3">
      <c r="A137" s="168" t="s">
        <v>428</v>
      </c>
      <c r="B137" s="81" t="s">
        <v>220</v>
      </c>
      <c r="C137" s="77" t="s">
        <v>245</v>
      </c>
      <c r="D137" s="77" t="s">
        <v>222</v>
      </c>
      <c r="E137" s="77" t="s">
        <v>7</v>
      </c>
      <c r="F137" s="77" t="s">
        <v>7</v>
      </c>
      <c r="G137" s="79" t="s">
        <v>235</v>
      </c>
      <c r="H137" s="79" t="s">
        <v>235</v>
      </c>
      <c r="I137" s="77">
        <v>2030</v>
      </c>
      <c r="J137" s="77">
        <v>2031</v>
      </c>
      <c r="K137" s="77">
        <v>0</v>
      </c>
      <c r="L137" s="77" t="s">
        <v>225</v>
      </c>
      <c r="M137" s="77">
        <v>1</v>
      </c>
      <c r="N137" s="80" t="s">
        <v>226</v>
      </c>
    </row>
    <row r="138" spans="1:14" x14ac:dyDescent="0.3">
      <c r="A138" s="168" t="s">
        <v>428</v>
      </c>
      <c r="B138" s="81" t="s">
        <v>220</v>
      </c>
      <c r="C138" s="77" t="s">
        <v>246</v>
      </c>
      <c r="D138" s="77" t="s">
        <v>222</v>
      </c>
      <c r="E138" s="77" t="s">
        <v>7</v>
      </c>
      <c r="F138" s="77" t="s">
        <v>7</v>
      </c>
      <c r="G138" s="79" t="s">
        <v>235</v>
      </c>
      <c r="H138" s="79" t="s">
        <v>235</v>
      </c>
      <c r="I138" s="77">
        <v>2030</v>
      </c>
      <c r="J138" s="77">
        <v>2031</v>
      </c>
      <c r="K138" s="77">
        <v>0</v>
      </c>
      <c r="L138" s="77" t="s">
        <v>225</v>
      </c>
      <c r="M138" s="77">
        <v>1</v>
      </c>
      <c r="N138" s="80" t="s">
        <v>226</v>
      </c>
    </row>
    <row r="139" spans="1:14" ht="57.6" x14ac:dyDescent="0.3">
      <c r="A139" s="168" t="s">
        <v>428</v>
      </c>
      <c r="B139" s="82" t="s">
        <v>247</v>
      </c>
      <c r="C139" s="77" t="s">
        <v>248</v>
      </c>
      <c r="D139" s="77" t="s">
        <v>249</v>
      </c>
      <c r="E139" s="77" t="s">
        <v>11</v>
      </c>
      <c r="F139" s="77" t="s">
        <v>7</v>
      </c>
      <c r="G139" s="79" t="s">
        <v>223</v>
      </c>
      <c r="H139" s="79" t="s">
        <v>250</v>
      </c>
      <c r="I139" s="77">
        <v>2069</v>
      </c>
      <c r="J139" s="77">
        <v>2070</v>
      </c>
      <c r="K139" s="77">
        <v>9.4100077500000001</v>
      </c>
      <c r="L139" s="77" t="s">
        <v>225</v>
      </c>
      <c r="M139" s="77">
        <v>1</v>
      </c>
      <c r="N139" s="80" t="s">
        <v>251</v>
      </c>
    </row>
    <row r="140" spans="1:14" ht="57.6" x14ac:dyDescent="0.3">
      <c r="A140" s="168" t="s">
        <v>428</v>
      </c>
      <c r="B140" s="81" t="s">
        <v>220</v>
      </c>
      <c r="C140" s="77" t="s">
        <v>248</v>
      </c>
      <c r="D140" s="77" t="s">
        <v>222</v>
      </c>
      <c r="E140" s="77" t="s">
        <v>7</v>
      </c>
      <c r="F140" s="77" t="s">
        <v>7</v>
      </c>
      <c r="G140" s="79" t="s">
        <v>223</v>
      </c>
      <c r="H140" s="79" t="s">
        <v>252</v>
      </c>
      <c r="I140" s="77">
        <v>2069</v>
      </c>
      <c r="J140" s="77">
        <v>2070</v>
      </c>
      <c r="K140" s="77">
        <v>8.4690069749999992</v>
      </c>
      <c r="L140" s="77" t="s">
        <v>225</v>
      </c>
      <c r="M140" s="77">
        <v>1</v>
      </c>
      <c r="N140" s="80" t="s">
        <v>226</v>
      </c>
    </row>
    <row r="141" spans="1:14" x14ac:dyDescent="0.3">
      <c r="A141" s="168" t="s">
        <v>428</v>
      </c>
      <c r="B141" s="83" t="s">
        <v>253</v>
      </c>
      <c r="C141" s="77" t="s">
        <v>233</v>
      </c>
      <c r="D141" s="77" t="s">
        <v>254</v>
      </c>
      <c r="E141" s="77" t="s">
        <v>7</v>
      </c>
      <c r="F141" s="77" t="s">
        <v>7</v>
      </c>
      <c r="G141" s="79" t="s">
        <v>235</v>
      </c>
      <c r="H141" s="79" t="s">
        <v>235</v>
      </c>
      <c r="I141" s="77">
        <v>2021</v>
      </c>
      <c r="J141" s="77">
        <v>2022</v>
      </c>
      <c r="K141" s="77">
        <v>99</v>
      </c>
      <c r="L141" s="77" t="s">
        <v>218</v>
      </c>
      <c r="M141" s="77">
        <v>1</v>
      </c>
      <c r="N141" s="80" t="s">
        <v>255</v>
      </c>
    </row>
    <row r="142" spans="1:14" x14ac:dyDescent="0.3">
      <c r="A142" s="168" t="s">
        <v>428</v>
      </c>
      <c r="B142" s="83" t="s">
        <v>253</v>
      </c>
      <c r="C142" s="77" t="s">
        <v>248</v>
      </c>
      <c r="D142" s="77" t="s">
        <v>256</v>
      </c>
      <c r="E142" s="77" t="s">
        <v>7</v>
      </c>
      <c r="F142" s="77" t="s">
        <v>7</v>
      </c>
      <c r="G142" s="79" t="s">
        <v>235</v>
      </c>
      <c r="H142" s="79" t="s">
        <v>235</v>
      </c>
      <c r="I142" s="77">
        <v>2021</v>
      </c>
      <c r="J142" s="77">
        <v>2022</v>
      </c>
      <c r="K142" s="77">
        <v>99</v>
      </c>
      <c r="L142" s="77" t="s">
        <v>218</v>
      </c>
      <c r="M142" s="77">
        <v>1</v>
      </c>
      <c r="N142" s="80" t="s">
        <v>255</v>
      </c>
    </row>
    <row r="143" spans="1:14" ht="57.6" x14ac:dyDescent="0.3">
      <c r="A143" s="168" t="s">
        <v>428</v>
      </c>
      <c r="B143" s="82" t="s">
        <v>247</v>
      </c>
      <c r="C143" s="77" t="s">
        <v>257</v>
      </c>
      <c r="D143" s="77" t="s">
        <v>249</v>
      </c>
      <c r="E143" s="77" t="s">
        <v>7</v>
      </c>
      <c r="F143" s="77" t="s">
        <v>7</v>
      </c>
      <c r="G143" s="79" t="s">
        <v>223</v>
      </c>
      <c r="H143" s="79" t="s">
        <v>258</v>
      </c>
      <c r="I143" s="77">
        <v>2069</v>
      </c>
      <c r="J143" s="77">
        <v>2070</v>
      </c>
      <c r="K143" s="77">
        <v>75.687258698999997</v>
      </c>
      <c r="L143" s="77" t="s">
        <v>225</v>
      </c>
      <c r="M143" s="77">
        <v>1</v>
      </c>
      <c r="N143" s="80" t="s">
        <v>226</v>
      </c>
    </row>
    <row r="144" spans="1:14" ht="57.6" x14ac:dyDescent="0.3">
      <c r="A144" s="168" t="s">
        <v>428</v>
      </c>
      <c r="B144" s="81" t="s">
        <v>220</v>
      </c>
      <c r="C144" s="77" t="s">
        <v>257</v>
      </c>
      <c r="D144" s="77" t="s">
        <v>222</v>
      </c>
      <c r="E144" s="77" t="s">
        <v>7</v>
      </c>
      <c r="F144" s="77" t="s">
        <v>7</v>
      </c>
      <c r="G144" s="79" t="s">
        <v>223</v>
      </c>
      <c r="H144" s="159" t="s">
        <v>259</v>
      </c>
      <c r="I144" s="77">
        <v>2069</v>
      </c>
      <c r="J144" s="77">
        <v>2070</v>
      </c>
      <c r="K144" s="77">
        <v>70.648377554700005</v>
      </c>
      <c r="L144" s="77" t="s">
        <v>225</v>
      </c>
      <c r="M144" s="77">
        <v>1</v>
      </c>
      <c r="N144" s="80" t="s">
        <v>226</v>
      </c>
    </row>
    <row r="145" spans="1:14" ht="57.6" x14ac:dyDescent="0.3">
      <c r="A145" s="168" t="s">
        <v>428</v>
      </c>
      <c r="B145" s="81" t="s">
        <v>220</v>
      </c>
      <c r="C145" s="77" t="s">
        <v>260</v>
      </c>
      <c r="D145" s="77" t="s">
        <v>222</v>
      </c>
      <c r="E145" s="77" t="s">
        <v>11</v>
      </c>
      <c r="F145" s="77" t="s">
        <v>7</v>
      </c>
      <c r="G145" s="79" t="s">
        <v>223</v>
      </c>
      <c r="H145" s="159" t="s">
        <v>261</v>
      </c>
      <c r="I145" s="77">
        <v>2069</v>
      </c>
      <c r="J145" s="77">
        <v>2070</v>
      </c>
      <c r="K145" s="77">
        <v>22.89226</v>
      </c>
      <c r="L145" s="77" t="s">
        <v>225</v>
      </c>
      <c r="M145" s="77">
        <v>1</v>
      </c>
      <c r="N145" s="80" t="s">
        <v>251</v>
      </c>
    </row>
    <row r="146" spans="1:14" ht="57.6" x14ac:dyDescent="0.3">
      <c r="A146" s="168" t="s">
        <v>428</v>
      </c>
      <c r="B146" s="82" t="s">
        <v>247</v>
      </c>
      <c r="C146" s="77" t="s">
        <v>262</v>
      </c>
      <c r="D146" s="77" t="s">
        <v>249</v>
      </c>
      <c r="E146" s="77" t="s">
        <v>7</v>
      </c>
      <c r="F146" s="77" t="s">
        <v>7</v>
      </c>
      <c r="G146" s="79" t="s">
        <v>223</v>
      </c>
      <c r="H146" s="79" t="s">
        <v>263</v>
      </c>
      <c r="I146" s="77">
        <v>2069</v>
      </c>
      <c r="J146" s="77">
        <v>2070</v>
      </c>
      <c r="K146" s="77">
        <v>11.63302798086</v>
      </c>
      <c r="L146" s="77" t="s">
        <v>225</v>
      </c>
      <c r="M146" s="77">
        <v>1</v>
      </c>
      <c r="N146" s="80" t="s">
        <v>226</v>
      </c>
    </row>
    <row r="147" spans="1:14" ht="57.6" x14ac:dyDescent="0.3">
      <c r="A147" s="168" t="s">
        <v>428</v>
      </c>
      <c r="B147" s="81" t="s">
        <v>220</v>
      </c>
      <c r="C147" s="77" t="s">
        <v>262</v>
      </c>
      <c r="D147" s="77" t="s">
        <v>222</v>
      </c>
      <c r="E147" s="77" t="s">
        <v>7</v>
      </c>
      <c r="F147" s="77" t="s">
        <v>7</v>
      </c>
      <c r="G147" s="79" t="s">
        <v>223</v>
      </c>
      <c r="H147" s="79" t="s">
        <v>264</v>
      </c>
      <c r="I147" s="77">
        <v>2069</v>
      </c>
      <c r="J147" s="77">
        <v>2070</v>
      </c>
      <c r="K147" s="77">
        <v>11.517849485999999</v>
      </c>
      <c r="L147" s="77" t="s">
        <v>225</v>
      </c>
      <c r="M147" s="77">
        <v>1</v>
      </c>
      <c r="N147" s="80" t="s">
        <v>226</v>
      </c>
    </row>
    <row r="148" spans="1:14" ht="57.6" x14ac:dyDescent="0.3">
      <c r="A148" s="168" t="s">
        <v>428</v>
      </c>
      <c r="B148" s="82" t="s">
        <v>247</v>
      </c>
      <c r="C148" s="77" t="s">
        <v>265</v>
      </c>
      <c r="D148" s="77" t="s">
        <v>249</v>
      </c>
      <c r="E148" s="77" t="s">
        <v>11</v>
      </c>
      <c r="F148" s="77" t="s">
        <v>7</v>
      </c>
      <c r="G148" s="79" t="s">
        <v>223</v>
      </c>
      <c r="H148" s="79" t="s">
        <v>266</v>
      </c>
      <c r="I148" s="77">
        <v>2069</v>
      </c>
      <c r="J148" s="77">
        <v>2070</v>
      </c>
      <c r="K148" s="77">
        <v>3.6964983840420702</v>
      </c>
      <c r="L148" s="77" t="s">
        <v>225</v>
      </c>
      <c r="M148" s="77">
        <v>1</v>
      </c>
      <c r="N148" s="80" t="s">
        <v>251</v>
      </c>
    </row>
    <row r="149" spans="1:14" ht="57.6" x14ac:dyDescent="0.3">
      <c r="A149" s="168" t="s">
        <v>428</v>
      </c>
      <c r="B149" s="81" t="s">
        <v>220</v>
      </c>
      <c r="C149" s="77" t="s">
        <v>265</v>
      </c>
      <c r="D149" s="77" t="s">
        <v>222</v>
      </c>
      <c r="E149" s="77" t="s">
        <v>7</v>
      </c>
      <c r="F149" s="77" t="s">
        <v>7</v>
      </c>
      <c r="G149" s="79" t="s">
        <v>223</v>
      </c>
      <c r="H149" s="79" t="s">
        <v>267</v>
      </c>
      <c r="I149" s="77">
        <v>2069</v>
      </c>
      <c r="J149" s="77">
        <v>2070</v>
      </c>
      <c r="K149" s="77">
        <v>3.65989939014066</v>
      </c>
      <c r="L149" s="77" t="s">
        <v>225</v>
      </c>
      <c r="M149" s="77">
        <v>1</v>
      </c>
      <c r="N149" s="80" t="s">
        <v>226</v>
      </c>
    </row>
    <row r="150" spans="1:14" ht="72" x14ac:dyDescent="0.3">
      <c r="A150" s="168" t="s">
        <v>428</v>
      </c>
      <c r="B150" s="82" t="s">
        <v>247</v>
      </c>
      <c r="C150" s="77" t="s">
        <v>268</v>
      </c>
      <c r="D150" s="77" t="s">
        <v>249</v>
      </c>
      <c r="E150" s="77" t="s">
        <v>11</v>
      </c>
      <c r="F150" s="77" t="s">
        <v>7</v>
      </c>
      <c r="G150" s="79" t="s">
        <v>223</v>
      </c>
      <c r="H150" s="79" t="s">
        <v>269</v>
      </c>
      <c r="I150" s="77">
        <v>2069</v>
      </c>
      <c r="J150" s="77">
        <v>2070</v>
      </c>
      <c r="K150" s="77">
        <v>2.8114403119551601E-2</v>
      </c>
      <c r="L150" s="77" t="s">
        <v>225</v>
      </c>
      <c r="M150" s="77">
        <v>1</v>
      </c>
      <c r="N150" s="80" t="s">
        <v>251</v>
      </c>
    </row>
    <row r="151" spans="1:14" ht="72" x14ac:dyDescent="0.3">
      <c r="A151" s="168" t="s">
        <v>428</v>
      </c>
      <c r="B151" s="81" t="s">
        <v>220</v>
      </c>
      <c r="C151" s="77" t="s">
        <v>268</v>
      </c>
      <c r="D151" s="77" t="s">
        <v>222</v>
      </c>
      <c r="E151" s="77" t="s">
        <v>7</v>
      </c>
      <c r="F151" s="77" t="s">
        <v>7</v>
      </c>
      <c r="G151" s="79" t="s">
        <v>223</v>
      </c>
      <c r="H151" s="79" t="s">
        <v>270</v>
      </c>
      <c r="I151" s="77">
        <v>2069</v>
      </c>
      <c r="J151" s="77">
        <v>2070</v>
      </c>
      <c r="K151" s="77">
        <v>2.7836042692625299E-2</v>
      </c>
      <c r="L151" s="77" t="s">
        <v>225</v>
      </c>
      <c r="M151" s="77">
        <v>1</v>
      </c>
      <c r="N151" s="80" t="s">
        <v>226</v>
      </c>
    </row>
    <row r="152" spans="1:14" ht="57.6" x14ac:dyDescent="0.3">
      <c r="A152" s="168" t="s">
        <v>428</v>
      </c>
      <c r="B152" s="82" t="s">
        <v>247</v>
      </c>
      <c r="C152" s="77" t="s">
        <v>271</v>
      </c>
      <c r="D152" s="77" t="s">
        <v>249</v>
      </c>
      <c r="E152" s="77" t="s">
        <v>11</v>
      </c>
      <c r="F152" s="77" t="s">
        <v>7</v>
      </c>
      <c r="G152" s="79" t="s">
        <v>223</v>
      </c>
      <c r="H152" s="79" t="s">
        <v>272</v>
      </c>
      <c r="I152" s="77">
        <v>2069</v>
      </c>
      <c r="J152" s="77">
        <v>2070</v>
      </c>
      <c r="K152" s="77">
        <v>0.15734653665332601</v>
      </c>
      <c r="L152" s="77" t="s">
        <v>225</v>
      </c>
      <c r="M152" s="77">
        <v>1</v>
      </c>
      <c r="N152" s="80" t="s">
        <v>251</v>
      </c>
    </row>
    <row r="153" spans="1:14" ht="57.6" x14ac:dyDescent="0.3">
      <c r="A153" s="168" t="s">
        <v>428</v>
      </c>
      <c r="B153" s="81" t="s">
        <v>220</v>
      </c>
      <c r="C153" s="77" t="s">
        <v>271</v>
      </c>
      <c r="D153" s="77" t="s">
        <v>222</v>
      </c>
      <c r="E153" s="77" t="s">
        <v>7</v>
      </c>
      <c r="F153" s="77" t="s">
        <v>7</v>
      </c>
      <c r="G153" s="79" t="s">
        <v>223</v>
      </c>
      <c r="H153" s="79" t="s">
        <v>273</v>
      </c>
      <c r="I153" s="77">
        <v>2069</v>
      </c>
      <c r="J153" s="77">
        <v>2070</v>
      </c>
      <c r="K153" s="77">
        <v>0.15578865015180801</v>
      </c>
      <c r="L153" s="77" t="s">
        <v>225</v>
      </c>
      <c r="M153" s="77">
        <v>1</v>
      </c>
      <c r="N153" s="80" t="s">
        <v>226</v>
      </c>
    </row>
    <row r="154" spans="1:14" ht="57.6" x14ac:dyDescent="0.3">
      <c r="A154" s="168" t="s">
        <v>428</v>
      </c>
      <c r="B154" s="85" t="s">
        <v>292</v>
      </c>
      <c r="C154" s="77" t="s">
        <v>246</v>
      </c>
      <c r="D154" s="77" t="s">
        <v>293</v>
      </c>
      <c r="E154" s="77" t="s">
        <v>11</v>
      </c>
      <c r="F154" s="77" t="s">
        <v>7</v>
      </c>
      <c r="G154" s="79" t="s">
        <v>223</v>
      </c>
      <c r="H154" s="79" t="s">
        <v>294</v>
      </c>
      <c r="I154" s="77">
        <v>2069</v>
      </c>
      <c r="J154" s="77">
        <v>2070</v>
      </c>
      <c r="K154" s="77">
        <v>0</v>
      </c>
      <c r="L154" s="77" t="s">
        <v>218</v>
      </c>
      <c r="M154" s="77">
        <v>1</v>
      </c>
      <c r="N154" s="80" t="s">
        <v>219</v>
      </c>
    </row>
    <row r="155" spans="1:14" ht="57.6" x14ac:dyDescent="0.3">
      <c r="A155" s="168" t="s">
        <v>428</v>
      </c>
      <c r="B155" s="85" t="s">
        <v>292</v>
      </c>
      <c r="C155" s="77" t="s">
        <v>245</v>
      </c>
      <c r="D155" s="77" t="s">
        <v>293</v>
      </c>
      <c r="E155" s="77" t="s">
        <v>11</v>
      </c>
      <c r="F155" s="77" t="s">
        <v>7</v>
      </c>
      <c r="G155" s="79" t="s">
        <v>223</v>
      </c>
      <c r="H155" s="79" t="s">
        <v>295</v>
      </c>
      <c r="I155" s="77">
        <v>2069</v>
      </c>
      <c r="J155" s="77">
        <v>2070</v>
      </c>
      <c r="K155" s="77">
        <v>0</v>
      </c>
      <c r="L155" s="77" t="s">
        <v>218</v>
      </c>
      <c r="M155" s="77">
        <v>1</v>
      </c>
      <c r="N155" s="80" t="s">
        <v>219</v>
      </c>
    </row>
    <row r="156" spans="1:14" ht="57.6" x14ac:dyDescent="0.3">
      <c r="A156" s="168" t="s">
        <v>428</v>
      </c>
      <c r="B156" s="85" t="s">
        <v>292</v>
      </c>
      <c r="C156" s="77" t="s">
        <v>244</v>
      </c>
      <c r="D156" s="77" t="s">
        <v>293</v>
      </c>
      <c r="E156" s="77" t="s">
        <v>11</v>
      </c>
      <c r="F156" s="77" t="s">
        <v>7</v>
      </c>
      <c r="G156" s="79" t="s">
        <v>223</v>
      </c>
      <c r="H156" s="79" t="s">
        <v>296</v>
      </c>
      <c r="I156" s="77">
        <v>2069</v>
      </c>
      <c r="J156" s="77">
        <v>2070</v>
      </c>
      <c r="K156" s="77">
        <v>0</v>
      </c>
      <c r="L156" s="77" t="s">
        <v>218</v>
      </c>
      <c r="M156" s="77">
        <v>1</v>
      </c>
      <c r="N156" s="80" t="s">
        <v>219</v>
      </c>
    </row>
    <row r="157" spans="1:14" ht="57.6" x14ac:dyDescent="0.3">
      <c r="A157" s="168" t="s">
        <v>428</v>
      </c>
      <c r="B157" s="85" t="s">
        <v>292</v>
      </c>
      <c r="C157" s="77" t="s">
        <v>240</v>
      </c>
      <c r="D157" s="77" t="s">
        <v>293</v>
      </c>
      <c r="E157" s="77" t="s">
        <v>11</v>
      </c>
      <c r="F157" s="77" t="s">
        <v>7</v>
      </c>
      <c r="G157" s="79" t="s">
        <v>223</v>
      </c>
      <c r="H157" s="79" t="s">
        <v>297</v>
      </c>
      <c r="I157" s="77">
        <v>2069</v>
      </c>
      <c r="J157" s="77">
        <v>2070</v>
      </c>
      <c r="K157" s="77">
        <v>0</v>
      </c>
      <c r="L157" s="77" t="s">
        <v>218</v>
      </c>
      <c r="M157" s="77">
        <v>1</v>
      </c>
      <c r="N157" s="80" t="s">
        <v>219</v>
      </c>
    </row>
    <row r="158" spans="1:14" ht="57.6" x14ac:dyDescent="0.3">
      <c r="A158" s="168" t="s">
        <v>428</v>
      </c>
      <c r="B158" s="85" t="s">
        <v>292</v>
      </c>
      <c r="C158" s="77" t="s">
        <v>239</v>
      </c>
      <c r="D158" s="77" t="s">
        <v>293</v>
      </c>
      <c r="E158" s="77" t="s">
        <v>11</v>
      </c>
      <c r="F158" s="77" t="s">
        <v>7</v>
      </c>
      <c r="G158" s="79" t="s">
        <v>223</v>
      </c>
      <c r="H158" s="79" t="s">
        <v>298</v>
      </c>
      <c r="I158" s="77">
        <v>2069</v>
      </c>
      <c r="J158" s="77">
        <v>2070</v>
      </c>
      <c r="K158" s="77">
        <v>0</v>
      </c>
      <c r="L158" s="77" t="s">
        <v>218</v>
      </c>
      <c r="M158" s="77">
        <v>1</v>
      </c>
      <c r="N158" s="80" t="s">
        <v>219</v>
      </c>
    </row>
    <row r="159" spans="1:14" ht="57.6" x14ac:dyDescent="0.3">
      <c r="A159" s="168" t="s">
        <v>428</v>
      </c>
      <c r="B159" s="85" t="s">
        <v>292</v>
      </c>
      <c r="C159" s="77" t="s">
        <v>238</v>
      </c>
      <c r="D159" s="77" t="s">
        <v>293</v>
      </c>
      <c r="E159" s="77" t="s">
        <v>11</v>
      </c>
      <c r="F159" s="77" t="s">
        <v>7</v>
      </c>
      <c r="G159" s="79" t="s">
        <v>223</v>
      </c>
      <c r="H159" s="79" t="s">
        <v>299</v>
      </c>
      <c r="I159" s="77">
        <v>2069</v>
      </c>
      <c r="J159" s="77">
        <v>2070</v>
      </c>
      <c r="K159" s="77">
        <v>0</v>
      </c>
      <c r="L159" s="77" t="s">
        <v>218</v>
      </c>
      <c r="M159" s="77">
        <v>1</v>
      </c>
      <c r="N159" s="80" t="s">
        <v>219</v>
      </c>
    </row>
    <row r="160" spans="1:14" x14ac:dyDescent="0.3">
      <c r="A160" s="168" t="s">
        <v>428</v>
      </c>
      <c r="B160" s="83" t="s">
        <v>253</v>
      </c>
      <c r="C160" s="77" t="s">
        <v>245</v>
      </c>
      <c r="D160" s="77" t="s">
        <v>300</v>
      </c>
      <c r="E160" s="77" t="s">
        <v>7</v>
      </c>
      <c r="F160" s="77" t="s">
        <v>7</v>
      </c>
      <c r="G160" s="79" t="s">
        <v>235</v>
      </c>
      <c r="H160" s="79" t="s">
        <v>235</v>
      </c>
      <c r="I160" s="77">
        <v>2033</v>
      </c>
      <c r="J160" s="77">
        <v>2070</v>
      </c>
      <c r="K160" s="77">
        <v>99</v>
      </c>
      <c r="L160" s="77" t="s">
        <v>218</v>
      </c>
      <c r="M160" s="77">
        <v>1</v>
      </c>
      <c r="N160" s="80" t="s">
        <v>255</v>
      </c>
    </row>
    <row r="161" spans="1:14" x14ac:dyDescent="0.3">
      <c r="A161" s="168" t="s">
        <v>428</v>
      </c>
      <c r="B161" s="83" t="s">
        <v>253</v>
      </c>
      <c r="C161" s="77" t="s">
        <v>244</v>
      </c>
      <c r="D161" s="77" t="s">
        <v>300</v>
      </c>
      <c r="E161" s="77" t="s">
        <v>7</v>
      </c>
      <c r="F161" s="77" t="s">
        <v>7</v>
      </c>
      <c r="G161" s="79" t="s">
        <v>235</v>
      </c>
      <c r="H161" s="79" t="s">
        <v>235</v>
      </c>
      <c r="I161" s="77">
        <v>2033</v>
      </c>
      <c r="J161" s="77">
        <v>2070</v>
      </c>
      <c r="K161" s="77">
        <v>99</v>
      </c>
      <c r="L161" s="77" t="s">
        <v>218</v>
      </c>
      <c r="M161" s="77">
        <v>1</v>
      </c>
      <c r="N161" s="80" t="s">
        <v>255</v>
      </c>
    </row>
    <row r="162" spans="1:14" ht="57.6" x14ac:dyDescent="0.3">
      <c r="A162" s="168" t="s">
        <v>428</v>
      </c>
      <c r="B162" s="82" t="s">
        <v>247</v>
      </c>
      <c r="C162" s="77" t="s">
        <v>285</v>
      </c>
      <c r="D162" s="77" t="s">
        <v>249</v>
      </c>
      <c r="E162" s="77" t="s">
        <v>11</v>
      </c>
      <c r="F162" s="77" t="s">
        <v>7</v>
      </c>
      <c r="G162" s="79" t="s">
        <v>223</v>
      </c>
      <c r="H162" s="79" t="s">
        <v>301</v>
      </c>
      <c r="I162" s="77">
        <v>2069</v>
      </c>
      <c r="J162" s="77">
        <v>2070</v>
      </c>
      <c r="K162" s="77">
        <v>1.2584036033071799</v>
      </c>
      <c r="L162" s="77" t="s">
        <v>225</v>
      </c>
      <c r="M162" s="77">
        <v>1</v>
      </c>
      <c r="N162" s="80" t="s">
        <v>251</v>
      </c>
    </row>
    <row r="163" spans="1:14" ht="57.6" x14ac:dyDescent="0.3">
      <c r="A163" s="168" t="s">
        <v>428</v>
      </c>
      <c r="B163" s="81" t="s">
        <v>220</v>
      </c>
      <c r="C163" s="77" t="s">
        <v>285</v>
      </c>
      <c r="D163" s="77" t="s">
        <v>222</v>
      </c>
      <c r="E163" s="77" t="s">
        <v>7</v>
      </c>
      <c r="F163" s="77" t="s">
        <v>7</v>
      </c>
      <c r="G163" s="79" t="s">
        <v>223</v>
      </c>
      <c r="H163" s="79" t="s">
        <v>302</v>
      </c>
      <c r="I163" s="77">
        <v>2069</v>
      </c>
      <c r="J163" s="77">
        <v>2070</v>
      </c>
      <c r="K163" s="77">
        <v>1.24594416169028</v>
      </c>
      <c r="L163" s="77" t="s">
        <v>225</v>
      </c>
      <c r="M163" s="77">
        <v>1</v>
      </c>
      <c r="N163" s="80" t="s">
        <v>226</v>
      </c>
    </row>
    <row r="164" spans="1:14" ht="57.6" x14ac:dyDescent="0.3">
      <c r="A164" s="168" t="s">
        <v>428</v>
      </c>
      <c r="B164" s="82" t="s">
        <v>247</v>
      </c>
      <c r="C164" s="77" t="s">
        <v>287</v>
      </c>
      <c r="D164" s="77" t="s">
        <v>249</v>
      </c>
      <c r="E164" s="77" t="s">
        <v>11</v>
      </c>
      <c r="F164" s="77" t="s">
        <v>7</v>
      </c>
      <c r="G164" s="79" t="s">
        <v>223</v>
      </c>
      <c r="H164" s="79" t="s">
        <v>303</v>
      </c>
      <c r="I164" s="77">
        <v>2069</v>
      </c>
      <c r="J164" s="77">
        <v>2070</v>
      </c>
      <c r="K164" s="77">
        <v>0.28242402523336502</v>
      </c>
      <c r="L164" s="77" t="s">
        <v>225</v>
      </c>
      <c r="M164" s="77">
        <v>1</v>
      </c>
      <c r="N164" s="80" t="s">
        <v>251</v>
      </c>
    </row>
    <row r="165" spans="1:14" ht="57.6" x14ac:dyDescent="0.3">
      <c r="A165" s="168" t="s">
        <v>428</v>
      </c>
      <c r="B165" s="81" t="s">
        <v>220</v>
      </c>
      <c r="C165" s="77" t="s">
        <v>287</v>
      </c>
      <c r="D165" s="77" t="s">
        <v>222</v>
      </c>
      <c r="E165" s="77" t="s">
        <v>7</v>
      </c>
      <c r="F165" s="77" t="s">
        <v>7</v>
      </c>
      <c r="G165" s="79" t="s">
        <v>223</v>
      </c>
      <c r="H165" s="79" t="s">
        <v>304</v>
      </c>
      <c r="I165" s="77">
        <v>2069</v>
      </c>
      <c r="J165" s="77">
        <v>2070</v>
      </c>
      <c r="K165" s="77">
        <v>0.27962774775580701</v>
      </c>
      <c r="L165" s="77" t="s">
        <v>225</v>
      </c>
      <c r="M165" s="77">
        <v>1</v>
      </c>
      <c r="N165" s="80" t="s">
        <v>226</v>
      </c>
    </row>
    <row r="166" spans="1:14" ht="72" x14ac:dyDescent="0.3">
      <c r="A166" s="168" t="s">
        <v>428</v>
      </c>
      <c r="B166" s="82" t="s">
        <v>247</v>
      </c>
      <c r="C166" s="77" t="s">
        <v>283</v>
      </c>
      <c r="D166" s="77" t="s">
        <v>249</v>
      </c>
      <c r="E166" s="77" t="s">
        <v>11</v>
      </c>
      <c r="F166" s="77" t="s">
        <v>7</v>
      </c>
      <c r="G166" s="79" t="s">
        <v>223</v>
      </c>
      <c r="H166" s="79" t="s">
        <v>305</v>
      </c>
      <c r="I166" s="77">
        <v>2069</v>
      </c>
      <c r="J166" s="77">
        <v>2070</v>
      </c>
      <c r="K166" s="77">
        <v>1.1467462192901999E-2</v>
      </c>
      <c r="L166" s="77" t="s">
        <v>225</v>
      </c>
      <c r="M166" s="77">
        <v>1</v>
      </c>
      <c r="N166" s="80" t="s">
        <v>251</v>
      </c>
    </row>
    <row r="167" spans="1:14" ht="72" x14ac:dyDescent="0.3">
      <c r="A167" s="168" t="s">
        <v>428</v>
      </c>
      <c r="B167" s="81" t="s">
        <v>220</v>
      </c>
      <c r="C167" s="77" t="s">
        <v>283</v>
      </c>
      <c r="D167" s="77" t="s">
        <v>222</v>
      </c>
      <c r="E167" s="77" t="s">
        <v>7</v>
      </c>
      <c r="F167" s="77" t="s">
        <v>7</v>
      </c>
      <c r="G167" s="79" t="s">
        <v>223</v>
      </c>
      <c r="H167" s="79" t="s">
        <v>306</v>
      </c>
      <c r="I167" s="77">
        <v>2069</v>
      </c>
      <c r="J167" s="77">
        <v>2070</v>
      </c>
      <c r="K167" s="77">
        <v>1.13539229632693E-2</v>
      </c>
      <c r="L167" s="77" t="s">
        <v>225</v>
      </c>
      <c r="M167" s="77">
        <v>1</v>
      </c>
      <c r="N167" s="80" t="s">
        <v>226</v>
      </c>
    </row>
  </sheetData>
  <autoFilter ref="A1:N167" xr:uid="{00000000-0009-0000-0000-000006000000}"/>
  <pageMargins left="0.7" right="0.7" top="0.75" bottom="0.75" header="0.3" footer="0.3"/>
  <pageSetup paperSize="9" orientation="portrait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P96"/>
  <sheetViews>
    <sheetView zoomScale="83" workbookViewId="0">
      <pane ySplit="1" topLeftCell="A71" activePane="bottomLeft" state="frozen"/>
      <selection activeCell="BN12" sqref="BN12"/>
      <selection pane="bottomLeft" activeCell="C85" sqref="C85"/>
    </sheetView>
  </sheetViews>
  <sheetFormatPr baseColWidth="10" defaultColWidth="9.109375" defaultRowHeight="14.4" x14ac:dyDescent="0.3"/>
  <cols>
    <col min="1" max="1" width="11.5546875" bestFit="1" customWidth="1"/>
    <col min="2" max="2" width="11.5546875" customWidth="1"/>
    <col min="3" max="3" width="23.88671875" bestFit="1" customWidth="1"/>
    <col min="4" max="4" width="27.88671875" bestFit="1" customWidth="1"/>
    <col min="5" max="5" width="20.88671875" bestFit="1" customWidth="1"/>
    <col min="6" max="6" width="10.44140625" bestFit="1" customWidth="1"/>
    <col min="7" max="7" width="8.5546875" bestFit="1" customWidth="1"/>
    <col min="8" max="8" width="8.5546875" customWidth="1"/>
    <col min="9" max="9" width="8.44140625" customWidth="1"/>
    <col min="10" max="10" width="9.44140625" customWidth="1"/>
    <col min="11" max="13" width="6.109375" customWidth="1"/>
    <col min="14" max="14" width="6.88671875" customWidth="1"/>
    <col min="15" max="19" width="9.88671875" customWidth="1"/>
    <col min="20" max="20" width="20.5546875" customWidth="1"/>
  </cols>
  <sheetData>
    <row r="1" spans="1:68" ht="15" thickBot="1" x14ac:dyDescent="0.35">
      <c r="A1" s="11" t="s">
        <v>16</v>
      </c>
      <c r="B1" s="11" t="s">
        <v>74</v>
      </c>
      <c r="C1" s="12" t="s">
        <v>42</v>
      </c>
      <c r="D1" s="12" t="s">
        <v>43</v>
      </c>
      <c r="E1" s="12" t="s">
        <v>44</v>
      </c>
      <c r="F1" s="12" t="s">
        <v>47</v>
      </c>
      <c r="G1" s="12" t="s">
        <v>48</v>
      </c>
      <c r="H1" s="40" t="s">
        <v>75</v>
      </c>
      <c r="I1" s="12" t="s">
        <v>49</v>
      </c>
      <c r="J1" s="12" t="s">
        <v>50</v>
      </c>
      <c r="K1" s="12" t="s">
        <v>51</v>
      </c>
      <c r="L1" s="12" t="s">
        <v>52</v>
      </c>
      <c r="M1" s="12" t="s">
        <v>53</v>
      </c>
      <c r="N1" s="12" t="s">
        <v>54</v>
      </c>
      <c r="O1" s="12" t="s">
        <v>55</v>
      </c>
      <c r="P1" s="12" t="s">
        <v>56</v>
      </c>
      <c r="Q1" s="12" t="s">
        <v>57</v>
      </c>
      <c r="R1" s="12" t="s">
        <v>58</v>
      </c>
      <c r="S1" s="12" t="s">
        <v>59</v>
      </c>
      <c r="T1" s="41" t="s">
        <v>76</v>
      </c>
      <c r="U1" s="42" t="s">
        <v>77</v>
      </c>
      <c r="V1" s="42" t="s">
        <v>78</v>
      </c>
      <c r="W1" s="42" t="s">
        <v>79</v>
      </c>
      <c r="X1" s="42" t="s">
        <v>80</v>
      </c>
      <c r="Y1" s="42" t="s">
        <v>81</v>
      </c>
      <c r="Z1" s="42" t="s">
        <v>82</v>
      </c>
      <c r="AA1" s="42" t="s">
        <v>83</v>
      </c>
      <c r="AB1" s="42" t="s">
        <v>84</v>
      </c>
      <c r="AC1" s="42" t="s">
        <v>85</v>
      </c>
      <c r="AD1" s="42" t="s">
        <v>86</v>
      </c>
      <c r="AE1" s="42" t="s">
        <v>87</v>
      </c>
      <c r="AF1" s="42" t="s">
        <v>88</v>
      </c>
      <c r="AG1" s="42" t="s">
        <v>89</v>
      </c>
      <c r="AH1" s="42" t="s">
        <v>90</v>
      </c>
      <c r="AI1" s="42" t="s">
        <v>91</v>
      </c>
      <c r="AJ1" s="42" t="s">
        <v>92</v>
      </c>
      <c r="AK1" s="42" t="s">
        <v>93</v>
      </c>
      <c r="AL1" s="42" t="s">
        <v>94</v>
      </c>
      <c r="AM1" s="42" t="s">
        <v>95</v>
      </c>
      <c r="AN1" s="42" t="s">
        <v>96</v>
      </c>
      <c r="AO1" s="42" t="s">
        <v>97</v>
      </c>
      <c r="AP1" s="42" t="s">
        <v>98</v>
      </c>
      <c r="AQ1" s="42" t="s">
        <v>99</v>
      </c>
      <c r="AR1" s="42" t="s">
        <v>100</v>
      </c>
      <c r="AS1" s="42" t="s">
        <v>101</v>
      </c>
      <c r="AT1" s="42" t="s">
        <v>102</v>
      </c>
      <c r="AU1" s="42" t="s">
        <v>103</v>
      </c>
      <c r="AV1" s="42" t="s">
        <v>104</v>
      </c>
      <c r="AW1" s="42" t="s">
        <v>105</v>
      </c>
      <c r="AX1" s="42" t="s">
        <v>106</v>
      </c>
      <c r="AY1" s="42" t="s">
        <v>107</v>
      </c>
      <c r="AZ1" s="42" t="s">
        <v>108</v>
      </c>
      <c r="BA1" s="42" t="s">
        <v>109</v>
      </c>
      <c r="BB1" s="42" t="s">
        <v>110</v>
      </c>
      <c r="BC1" s="42" t="s">
        <v>111</v>
      </c>
      <c r="BD1" s="42" t="s">
        <v>112</v>
      </c>
      <c r="BE1" s="42" t="s">
        <v>113</v>
      </c>
      <c r="BF1" s="42" t="s">
        <v>114</v>
      </c>
      <c r="BG1" s="42" t="s">
        <v>115</v>
      </c>
      <c r="BH1" s="42" t="s">
        <v>116</v>
      </c>
      <c r="BI1" s="42" t="s">
        <v>117</v>
      </c>
      <c r="BJ1" s="42" t="s">
        <v>118</v>
      </c>
      <c r="BK1" s="42" t="s">
        <v>119</v>
      </c>
      <c r="BL1" s="42" t="s">
        <v>120</v>
      </c>
      <c r="BM1" s="42" t="s">
        <v>121</v>
      </c>
      <c r="BN1" s="42" t="s">
        <v>122</v>
      </c>
      <c r="BO1" s="42" t="s">
        <v>123</v>
      </c>
      <c r="BP1" s="42" t="s">
        <v>124</v>
      </c>
    </row>
    <row r="2" spans="1:68" x14ac:dyDescent="0.3">
      <c r="A2" s="43" t="s">
        <v>6</v>
      </c>
      <c r="B2" s="44" t="s">
        <v>125</v>
      </c>
      <c r="C2" s="44" t="s">
        <v>126</v>
      </c>
      <c r="D2" s="44" t="s">
        <v>127</v>
      </c>
      <c r="E2" s="44" t="s">
        <v>128</v>
      </c>
      <c r="F2" s="44" t="s">
        <v>11</v>
      </c>
      <c r="G2" s="44" t="s">
        <v>7</v>
      </c>
      <c r="H2" s="44" t="s">
        <v>11</v>
      </c>
      <c r="I2" s="44" t="s">
        <v>64</v>
      </c>
      <c r="J2" s="44" t="s">
        <v>64</v>
      </c>
      <c r="K2" s="44" t="s">
        <v>64</v>
      </c>
      <c r="L2" s="44" t="s">
        <v>64</v>
      </c>
      <c r="M2" s="44" t="s">
        <v>64</v>
      </c>
      <c r="N2" s="44">
        <v>2023</v>
      </c>
      <c r="O2" s="44">
        <v>0</v>
      </c>
      <c r="P2" s="44">
        <v>0</v>
      </c>
      <c r="Q2" s="44">
        <v>0</v>
      </c>
      <c r="R2" s="44">
        <v>0</v>
      </c>
      <c r="S2" s="44">
        <v>0</v>
      </c>
      <c r="T2" s="45" t="s">
        <v>129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</row>
    <row r="3" spans="1:68" x14ac:dyDescent="0.3">
      <c r="A3" s="46" t="s">
        <v>10</v>
      </c>
      <c r="B3" s="47" t="s">
        <v>125</v>
      </c>
      <c r="C3" s="47" t="s">
        <v>130</v>
      </c>
      <c r="D3" s="48" t="s">
        <v>131</v>
      </c>
      <c r="E3" s="47" t="s">
        <v>132</v>
      </c>
      <c r="F3" s="47" t="s">
        <v>11</v>
      </c>
      <c r="G3" s="47" t="s">
        <v>11</v>
      </c>
      <c r="H3" s="47" t="s">
        <v>7</v>
      </c>
      <c r="I3" s="47" t="s">
        <v>64</v>
      </c>
      <c r="J3" s="47" t="s">
        <v>64</v>
      </c>
      <c r="K3" s="47" t="s">
        <v>64</v>
      </c>
      <c r="L3" s="47" t="s">
        <v>64</v>
      </c>
      <c r="M3" s="47" t="s">
        <v>64</v>
      </c>
      <c r="N3" s="47">
        <v>2023</v>
      </c>
      <c r="O3" s="47">
        <v>0.05</v>
      </c>
      <c r="P3" s="47">
        <v>0.05</v>
      </c>
      <c r="Q3" s="47">
        <v>0.05</v>
      </c>
      <c r="R3" s="47">
        <v>0.05</v>
      </c>
      <c r="S3" s="47">
        <v>0.05</v>
      </c>
      <c r="T3" s="49" t="s">
        <v>133</v>
      </c>
      <c r="U3" s="50">
        <v>0</v>
      </c>
      <c r="V3" s="50">
        <v>0</v>
      </c>
      <c r="W3" s="50">
        <v>0</v>
      </c>
      <c r="X3" s="50">
        <v>0</v>
      </c>
      <c r="Y3" s="50">
        <v>0</v>
      </c>
      <c r="Z3" s="50">
        <v>0</v>
      </c>
      <c r="AA3" s="50">
        <v>0</v>
      </c>
      <c r="AB3" s="50">
        <v>0</v>
      </c>
      <c r="AC3" s="50">
        <v>0</v>
      </c>
      <c r="AD3" s="50">
        <v>0</v>
      </c>
      <c r="AE3" s="50">
        <v>0</v>
      </c>
      <c r="AF3" s="50">
        <v>0</v>
      </c>
      <c r="AG3" s="50">
        <v>0</v>
      </c>
      <c r="AH3" s="50">
        <v>0</v>
      </c>
      <c r="AI3" s="50">
        <v>0</v>
      </c>
      <c r="AJ3" s="50">
        <v>0</v>
      </c>
      <c r="AK3" s="50">
        <v>0</v>
      </c>
      <c r="AL3" s="50">
        <v>0</v>
      </c>
      <c r="AM3" s="50">
        <v>0</v>
      </c>
      <c r="AN3" s="50">
        <v>0</v>
      </c>
      <c r="AO3" s="50">
        <v>0</v>
      </c>
      <c r="AP3" s="50">
        <v>0</v>
      </c>
      <c r="AQ3" s="50">
        <v>0</v>
      </c>
      <c r="AR3" s="50">
        <v>0</v>
      </c>
      <c r="AS3" s="50">
        <v>0</v>
      </c>
      <c r="AT3" s="50">
        <v>0</v>
      </c>
      <c r="AU3" s="50">
        <v>0</v>
      </c>
      <c r="AV3" s="50">
        <v>0</v>
      </c>
      <c r="AW3" s="50">
        <v>0</v>
      </c>
      <c r="AX3" s="50">
        <v>0</v>
      </c>
      <c r="AY3" s="50">
        <v>0</v>
      </c>
      <c r="AZ3" s="50">
        <v>0</v>
      </c>
      <c r="BA3" s="50">
        <v>0</v>
      </c>
      <c r="BB3" s="50">
        <v>0</v>
      </c>
      <c r="BC3" s="50">
        <v>0</v>
      </c>
      <c r="BD3" s="50">
        <v>0</v>
      </c>
      <c r="BE3" s="50">
        <v>0</v>
      </c>
      <c r="BF3" s="50">
        <v>0</v>
      </c>
      <c r="BG3" s="50">
        <v>0</v>
      </c>
      <c r="BH3" s="50">
        <v>0</v>
      </c>
      <c r="BI3" s="50">
        <v>0</v>
      </c>
      <c r="BJ3" s="50">
        <v>0</v>
      </c>
      <c r="BK3" s="50">
        <v>0</v>
      </c>
      <c r="BL3" s="50">
        <v>0</v>
      </c>
      <c r="BM3" s="50">
        <v>0</v>
      </c>
      <c r="BN3" s="50">
        <v>0</v>
      </c>
      <c r="BO3" s="50">
        <v>0</v>
      </c>
      <c r="BP3" s="50">
        <v>0</v>
      </c>
    </row>
    <row r="4" spans="1:68" x14ac:dyDescent="0.3">
      <c r="A4" s="46" t="s">
        <v>10</v>
      </c>
      <c r="B4" s="47" t="s">
        <v>125</v>
      </c>
      <c r="C4" s="47" t="s">
        <v>60</v>
      </c>
      <c r="D4" s="48" t="s">
        <v>134</v>
      </c>
      <c r="E4" s="47" t="s">
        <v>135</v>
      </c>
      <c r="F4" s="47" t="s">
        <v>11</v>
      </c>
      <c r="G4" s="47" t="s">
        <v>11</v>
      </c>
      <c r="H4" s="47" t="s">
        <v>7</v>
      </c>
      <c r="I4" s="47" t="s">
        <v>64</v>
      </c>
      <c r="J4" s="47" t="s">
        <v>64</v>
      </c>
      <c r="K4" s="47" t="s">
        <v>64</v>
      </c>
      <c r="L4" s="47" t="s">
        <v>64</v>
      </c>
      <c r="M4" s="47" t="s">
        <v>64</v>
      </c>
      <c r="N4" s="47">
        <v>2023</v>
      </c>
      <c r="O4" s="47" t="s">
        <v>136</v>
      </c>
      <c r="P4" s="47" t="s">
        <v>136</v>
      </c>
      <c r="Q4" s="47">
        <f>70.6/100</f>
        <v>0.70599999999999996</v>
      </c>
      <c r="R4" s="47">
        <f t="shared" ref="R4:S9" si="0">Q4+0.001</f>
        <v>0.70699999999999996</v>
      </c>
      <c r="S4" s="47">
        <f>R4+0.001</f>
        <v>0.70799999999999996</v>
      </c>
      <c r="T4" s="49" t="s">
        <v>129</v>
      </c>
      <c r="U4" s="51">
        <v>1.3155555555555555E-3</v>
      </c>
      <c r="V4" s="51">
        <v>2.151111111111111E-3</v>
      </c>
      <c r="W4" s="51">
        <v>2.9866666666666665E-3</v>
      </c>
      <c r="X4" s="51">
        <v>3.8222222222222221E-3</v>
      </c>
      <c r="Y4" s="51">
        <v>4.657777777777778E-3</v>
      </c>
      <c r="Z4" s="51">
        <v>5.4933333333333336E-3</v>
      </c>
      <c r="AA4" s="51">
        <v>6.3288888888888891E-3</v>
      </c>
      <c r="AB4" s="51">
        <v>7.1644444444444446E-3</v>
      </c>
      <c r="AC4" s="51">
        <v>8.0000000000000002E-3</v>
      </c>
      <c r="AD4" s="51">
        <v>1.0666666666666666E-2</v>
      </c>
      <c r="AE4" s="51">
        <v>1.3333333333333332E-2</v>
      </c>
      <c r="AF4" s="51">
        <v>1.6E-2</v>
      </c>
      <c r="AG4" s="51">
        <v>2.8000000000000001E-2</v>
      </c>
      <c r="AH4" s="51">
        <v>4.2000000000000003E-2</v>
      </c>
      <c r="AI4" s="51">
        <v>5.6000000000000001E-2</v>
      </c>
      <c r="AJ4" s="51">
        <v>7.0000000000000007E-2</v>
      </c>
      <c r="AK4" s="51">
        <v>8.4000000000000005E-2</v>
      </c>
      <c r="AL4" s="51">
        <v>9.8000000000000004E-2</v>
      </c>
      <c r="AM4" s="51">
        <v>0.13490000000000002</v>
      </c>
      <c r="AN4" s="51">
        <v>0.17180000000000001</v>
      </c>
      <c r="AO4" s="51">
        <v>0.2087</v>
      </c>
      <c r="AP4" s="51">
        <v>0.24559999999999998</v>
      </c>
      <c r="AQ4" s="51">
        <v>0.28249999999999997</v>
      </c>
      <c r="AR4" s="51">
        <v>0.31939999999999996</v>
      </c>
      <c r="AS4" s="51">
        <v>0.35629999999999995</v>
      </c>
      <c r="AT4" s="51">
        <v>0.39319999999999994</v>
      </c>
      <c r="AU4" s="51">
        <v>0.43009999999999993</v>
      </c>
      <c r="AV4" s="51">
        <v>0.46700000000000003</v>
      </c>
      <c r="AW4" s="51">
        <v>0.48447000000000001</v>
      </c>
      <c r="AX4" s="51">
        <v>0.50194000000000005</v>
      </c>
      <c r="AY4" s="51">
        <v>0.51941000000000004</v>
      </c>
      <c r="AZ4" s="51">
        <v>0.53688000000000002</v>
      </c>
      <c r="BA4" s="51">
        <v>0.55435000000000001</v>
      </c>
      <c r="BB4" s="51">
        <v>0.57181999999999999</v>
      </c>
      <c r="BC4" s="51">
        <v>0.58928999999999998</v>
      </c>
      <c r="BD4" s="51">
        <v>0.60675999999999997</v>
      </c>
      <c r="BE4" s="51">
        <v>0.62422999999999995</v>
      </c>
      <c r="BF4" s="51">
        <v>0.64170000000000005</v>
      </c>
      <c r="BG4" s="51">
        <v>0.651115</v>
      </c>
      <c r="BH4" s="51">
        <v>0.66052999999999995</v>
      </c>
      <c r="BI4" s="51">
        <v>0.6699449999999999</v>
      </c>
      <c r="BJ4" s="51">
        <v>0.67935999999999985</v>
      </c>
      <c r="BK4" s="51">
        <v>0.6887749999999998</v>
      </c>
      <c r="BL4" s="51">
        <v>0.69818999999999976</v>
      </c>
      <c r="BM4" s="51">
        <v>0.70760499999999971</v>
      </c>
      <c r="BN4" s="51">
        <v>0.71701999999999966</v>
      </c>
      <c r="BO4" s="51">
        <v>0.72643499999999961</v>
      </c>
      <c r="BP4" s="51">
        <v>0.73584999999999956</v>
      </c>
    </row>
    <row r="5" spans="1:68" x14ac:dyDescent="0.3">
      <c r="A5" s="46" t="s">
        <v>10</v>
      </c>
      <c r="B5" s="47" t="s">
        <v>125</v>
      </c>
      <c r="C5" s="47" t="s">
        <v>60</v>
      </c>
      <c r="D5" s="48" t="s">
        <v>137</v>
      </c>
      <c r="E5" s="47" t="s">
        <v>138</v>
      </c>
      <c r="F5" s="47" t="s">
        <v>11</v>
      </c>
      <c r="G5" s="47" t="s">
        <v>11</v>
      </c>
      <c r="H5" s="47" t="s">
        <v>7</v>
      </c>
      <c r="I5" s="47" t="s">
        <v>64</v>
      </c>
      <c r="J5" s="47" t="s">
        <v>64</v>
      </c>
      <c r="K5" s="47" t="s">
        <v>64</v>
      </c>
      <c r="L5" s="47" t="s">
        <v>64</v>
      </c>
      <c r="M5" s="47" t="s">
        <v>64</v>
      </c>
      <c r="N5" s="47">
        <v>2023</v>
      </c>
      <c r="O5" s="47" t="s">
        <v>136</v>
      </c>
      <c r="P5" s="47" t="s">
        <v>136</v>
      </c>
      <c r="Q5" s="47">
        <f t="shared" ref="Q5:Q6" si="1">93.9/100</f>
        <v>0.93900000000000006</v>
      </c>
      <c r="R5" s="47">
        <f t="shared" si="0"/>
        <v>0.94000000000000006</v>
      </c>
      <c r="S5" s="47">
        <f t="shared" si="0"/>
        <v>0.94100000000000006</v>
      </c>
      <c r="T5" s="49" t="s">
        <v>129</v>
      </c>
      <c r="U5" s="51">
        <v>5.0000000000000001E-4</v>
      </c>
      <c r="V5" s="51">
        <v>5.9999999999999995E-4</v>
      </c>
      <c r="W5" s="51">
        <v>6.4999999999999997E-4</v>
      </c>
      <c r="X5" s="51">
        <v>6.9999999999999999E-4</v>
      </c>
      <c r="Y5" s="51">
        <v>7.5000000000000002E-4</v>
      </c>
      <c r="Z5" s="51">
        <v>1E-3</v>
      </c>
      <c r="AA5" s="51">
        <v>2E-3</v>
      </c>
      <c r="AB5" s="51">
        <v>3.0000000000000001E-3</v>
      </c>
      <c r="AC5" s="51">
        <v>1.2914285714285715E-2</v>
      </c>
      <c r="AD5" s="51">
        <v>2.2828571428571427E-2</v>
      </c>
      <c r="AE5" s="51">
        <v>3.2742857142857143E-2</v>
      </c>
      <c r="AF5" s="51">
        <v>4.2657142857142859E-2</v>
      </c>
      <c r="AG5" s="51">
        <v>5.2571428571428575E-2</v>
      </c>
      <c r="AH5" s="51">
        <v>6.248571428571429E-2</v>
      </c>
      <c r="AI5" s="51">
        <v>7.2400000000000006E-2</v>
      </c>
      <c r="AJ5" s="51">
        <v>8.2314285714285715E-2</v>
      </c>
      <c r="AK5" s="51">
        <v>9.2228571428571424E-2</v>
      </c>
      <c r="AL5" s="51">
        <v>0.10214285714285715</v>
      </c>
      <c r="AM5" s="51">
        <v>0.14438857142857142</v>
      </c>
      <c r="AN5" s="51">
        <v>0.1866342857142857</v>
      </c>
      <c r="AO5" s="51">
        <v>0.22887999999999997</v>
      </c>
      <c r="AP5" s="51">
        <v>0.27112571428571425</v>
      </c>
      <c r="AQ5" s="51">
        <v>0.31337142857142852</v>
      </c>
      <c r="AR5" s="51">
        <v>0.3556171428571428</v>
      </c>
      <c r="AS5" s="51">
        <v>0.39786285714285707</v>
      </c>
      <c r="AT5" s="51">
        <v>0.44010857142857135</v>
      </c>
      <c r="AU5" s="51">
        <v>0.48235428571428562</v>
      </c>
      <c r="AV5" s="51">
        <v>0.52460000000000007</v>
      </c>
      <c r="AW5" s="51">
        <v>0.57230000000000003</v>
      </c>
      <c r="AX5" s="51">
        <v>0.58888000000000007</v>
      </c>
      <c r="AY5" s="51">
        <v>0.60546000000000011</v>
      </c>
      <c r="AZ5" s="51">
        <v>0.62204000000000015</v>
      </c>
      <c r="BA5" s="51">
        <v>0.63862000000000019</v>
      </c>
      <c r="BB5" s="51">
        <v>0.65520000000000012</v>
      </c>
      <c r="BC5" s="51">
        <v>0.66400000000000015</v>
      </c>
      <c r="BD5" s="51">
        <v>0.67280000000000018</v>
      </c>
      <c r="BE5" s="51">
        <v>0.68160000000000021</v>
      </c>
      <c r="BF5" s="51">
        <v>0.69040000000000024</v>
      </c>
      <c r="BG5" s="51">
        <v>0.69920000000000027</v>
      </c>
      <c r="BH5" s="51">
        <v>0.70799999999999996</v>
      </c>
      <c r="BI5" s="51">
        <v>0.71389999999999998</v>
      </c>
      <c r="BJ5" s="51">
        <v>0.7198</v>
      </c>
      <c r="BK5" s="51">
        <v>0.72570000000000001</v>
      </c>
      <c r="BL5" s="51">
        <v>0.73160000000000003</v>
      </c>
      <c r="BM5" s="51">
        <v>0.73750000000000004</v>
      </c>
      <c r="BN5" s="51">
        <v>0.74340000000000006</v>
      </c>
      <c r="BO5" s="51">
        <v>0.74930000000000008</v>
      </c>
      <c r="BP5" s="51">
        <v>0.75</v>
      </c>
    </row>
    <row r="6" spans="1:68" x14ac:dyDescent="0.3">
      <c r="A6" s="46" t="s">
        <v>10</v>
      </c>
      <c r="B6" s="47" t="s">
        <v>125</v>
      </c>
      <c r="C6" s="47" t="s">
        <v>60</v>
      </c>
      <c r="D6" s="48" t="s">
        <v>139</v>
      </c>
      <c r="E6" s="47" t="s">
        <v>140</v>
      </c>
      <c r="F6" s="47" t="s">
        <v>11</v>
      </c>
      <c r="G6" s="47" t="s">
        <v>11</v>
      </c>
      <c r="H6" s="47" t="s">
        <v>7</v>
      </c>
      <c r="I6" s="47" t="s">
        <v>64</v>
      </c>
      <c r="J6" s="47" t="s">
        <v>64</v>
      </c>
      <c r="K6" s="47" t="s">
        <v>64</v>
      </c>
      <c r="L6" s="47" t="s">
        <v>64</v>
      </c>
      <c r="M6" s="47" t="s">
        <v>64</v>
      </c>
      <c r="N6" s="47">
        <v>2023</v>
      </c>
      <c r="O6" s="47" t="s">
        <v>136</v>
      </c>
      <c r="P6" s="47" t="s">
        <v>136</v>
      </c>
      <c r="Q6" s="47">
        <f t="shared" si="1"/>
        <v>0.93900000000000006</v>
      </c>
      <c r="R6" s="47">
        <f t="shared" si="0"/>
        <v>0.94000000000000006</v>
      </c>
      <c r="S6" s="47">
        <f t="shared" si="0"/>
        <v>0.94100000000000006</v>
      </c>
      <c r="T6" s="49" t="s">
        <v>129</v>
      </c>
      <c r="U6" s="51">
        <v>2E-3</v>
      </c>
      <c r="V6" s="51">
        <v>2.5000000000000001E-3</v>
      </c>
      <c r="W6" s="51">
        <v>3.2000000000000002E-3</v>
      </c>
      <c r="X6" s="51">
        <v>4.0000000000000001E-3</v>
      </c>
      <c r="Y6" s="51">
        <v>5.4999999999999997E-3</v>
      </c>
      <c r="Z6" s="51">
        <v>7.0000000000000001E-3</v>
      </c>
      <c r="AA6" s="51">
        <v>1.7657142857142857E-2</v>
      </c>
      <c r="AB6" s="51">
        <v>2.8314285714285715E-2</v>
      </c>
      <c r="AC6" s="51">
        <v>3.8971428571428574E-2</v>
      </c>
      <c r="AD6" s="51">
        <v>4.9628571428571432E-2</v>
      </c>
      <c r="AE6" s="51">
        <v>6.028571428571429E-2</v>
      </c>
      <c r="AF6" s="51">
        <v>7.0942857142857141E-2</v>
      </c>
      <c r="AG6" s="51">
        <v>8.1600000000000006E-2</v>
      </c>
      <c r="AH6" s="51">
        <v>9.894E-2</v>
      </c>
      <c r="AI6" s="51">
        <v>0.11627999999999999</v>
      </c>
      <c r="AJ6" s="51">
        <v>0.13361999999999999</v>
      </c>
      <c r="AK6" s="51">
        <v>0.15095999999999998</v>
      </c>
      <c r="AL6" s="51">
        <v>0.16829999999999998</v>
      </c>
      <c r="AM6" s="51">
        <v>0.18563999999999997</v>
      </c>
      <c r="AN6" s="51">
        <v>0.20297999999999997</v>
      </c>
      <c r="AO6" s="51">
        <v>0.22031999999999996</v>
      </c>
      <c r="AP6" s="51">
        <v>0.23765999999999995</v>
      </c>
      <c r="AQ6" s="51">
        <v>0.255</v>
      </c>
      <c r="AR6" s="51">
        <v>0.26950000000000002</v>
      </c>
      <c r="AS6" s="51">
        <v>0.28400000000000003</v>
      </c>
      <c r="AT6" s="51">
        <v>0.29850000000000004</v>
      </c>
      <c r="AU6" s="51">
        <v>0.31300000000000006</v>
      </c>
      <c r="AV6" s="51">
        <v>0.32750000000000007</v>
      </c>
      <c r="AW6" s="51">
        <v>0.34200000000000008</v>
      </c>
      <c r="AX6" s="51">
        <v>0.35650000000000009</v>
      </c>
      <c r="AY6" s="51">
        <v>0.37100000000000011</v>
      </c>
      <c r="AZ6" s="51">
        <v>0.38550000000000012</v>
      </c>
      <c r="BA6" s="51">
        <v>0.4</v>
      </c>
      <c r="BB6" s="51">
        <v>0.41155000000000003</v>
      </c>
      <c r="BC6" s="51">
        <v>0.42310000000000003</v>
      </c>
      <c r="BD6" s="51">
        <v>0.43465000000000004</v>
      </c>
      <c r="BE6" s="51">
        <v>0.44620000000000004</v>
      </c>
      <c r="BF6" s="51">
        <v>0.45775000000000005</v>
      </c>
      <c r="BG6" s="51">
        <v>0.46930000000000005</v>
      </c>
      <c r="BH6" s="51">
        <v>0.48085000000000006</v>
      </c>
      <c r="BI6" s="51">
        <v>0.49240000000000006</v>
      </c>
      <c r="BJ6" s="51">
        <v>0.50395000000000001</v>
      </c>
      <c r="BK6" s="51">
        <v>0.51549999999999996</v>
      </c>
      <c r="BL6" s="51">
        <v>0.52704999999999991</v>
      </c>
      <c r="BM6" s="51">
        <v>0.53859999999999986</v>
      </c>
      <c r="BN6" s="51">
        <v>0.55014999999999981</v>
      </c>
      <c r="BO6" s="51">
        <v>0.56169999999999976</v>
      </c>
      <c r="BP6" s="51">
        <v>0.5732499999999997</v>
      </c>
    </row>
    <row r="7" spans="1:68" x14ac:dyDescent="0.3">
      <c r="A7" s="46" t="s">
        <v>10</v>
      </c>
      <c r="B7" s="47" t="s">
        <v>125</v>
      </c>
      <c r="C7" s="47" t="s">
        <v>126</v>
      </c>
      <c r="D7" s="48" t="s">
        <v>141</v>
      </c>
      <c r="E7" s="47" t="s">
        <v>142</v>
      </c>
      <c r="F7" s="47" t="s">
        <v>11</v>
      </c>
      <c r="G7" s="47" t="s">
        <v>11</v>
      </c>
      <c r="H7" s="47" t="s">
        <v>7</v>
      </c>
      <c r="I7" s="47" t="s">
        <v>64</v>
      </c>
      <c r="J7" s="47" t="s">
        <v>64</v>
      </c>
      <c r="K7" s="47" t="s">
        <v>64</v>
      </c>
      <c r="L7" s="47" t="s">
        <v>64</v>
      </c>
      <c r="M7" s="47" t="s">
        <v>64</v>
      </c>
      <c r="N7" s="47">
        <v>2023</v>
      </c>
      <c r="O7" s="47" t="s">
        <v>136</v>
      </c>
      <c r="P7" s="47">
        <v>1</v>
      </c>
      <c r="Q7" s="47">
        <v>1</v>
      </c>
      <c r="R7" s="47">
        <v>1</v>
      </c>
      <c r="S7" s="47">
        <v>1</v>
      </c>
      <c r="T7" s="49" t="s">
        <v>129</v>
      </c>
      <c r="U7" s="51">
        <v>1.9799999999999999E-4</v>
      </c>
      <c r="V7" s="51">
        <v>5.1650000000000003E-3</v>
      </c>
      <c r="W7" s="51">
        <v>1.0132E-2</v>
      </c>
      <c r="X7" s="51">
        <v>1.5099E-2</v>
      </c>
      <c r="Y7" s="51">
        <v>2.0065999999999997E-2</v>
      </c>
      <c r="Z7" s="51">
        <v>2.5032999999999996E-2</v>
      </c>
      <c r="AA7" s="51">
        <v>0.03</v>
      </c>
      <c r="AB7" s="51">
        <v>5.1428571428571428E-2</v>
      </c>
      <c r="AC7" s="51">
        <v>7.2857142857142856E-2</v>
      </c>
      <c r="AD7" s="51">
        <v>9.4285714285714278E-2</v>
      </c>
      <c r="AE7" s="51">
        <v>0.1157142857142857</v>
      </c>
      <c r="AF7" s="51">
        <v>0.13714285714285712</v>
      </c>
      <c r="AG7" s="51">
        <v>0.15857142857142853</v>
      </c>
      <c r="AH7" s="51">
        <v>0.18</v>
      </c>
      <c r="AI7" s="51">
        <v>0.19799999999999998</v>
      </c>
      <c r="AJ7" s="51">
        <v>0.216</v>
      </c>
      <c r="AK7" s="51">
        <v>0.23399999999999999</v>
      </c>
      <c r="AL7" s="51">
        <v>0.252</v>
      </c>
      <c r="AM7" s="51">
        <v>0.27</v>
      </c>
      <c r="AN7" s="51">
        <v>0.28800000000000003</v>
      </c>
      <c r="AO7" s="51">
        <v>0.30600000000000005</v>
      </c>
      <c r="AP7" s="51">
        <v>0.32400000000000007</v>
      </c>
      <c r="AQ7" s="51">
        <v>0.34200000000000008</v>
      </c>
      <c r="AR7" s="51">
        <v>0.36</v>
      </c>
      <c r="AS7" s="51">
        <v>0.372</v>
      </c>
      <c r="AT7" s="51">
        <v>0.38400000000000001</v>
      </c>
      <c r="AU7" s="51">
        <v>0.39600000000000002</v>
      </c>
      <c r="AV7" s="51">
        <v>0.40800000000000003</v>
      </c>
      <c r="AW7" s="51">
        <v>0.42000000000000004</v>
      </c>
      <c r="AX7" s="51">
        <v>0.43200000000000005</v>
      </c>
      <c r="AY7" s="51">
        <v>0.44400000000000006</v>
      </c>
      <c r="AZ7" s="51">
        <v>0.45600000000000007</v>
      </c>
      <c r="BA7" s="51">
        <v>0.46800000000000008</v>
      </c>
      <c r="BB7" s="51">
        <v>0.48</v>
      </c>
      <c r="BC7" s="51">
        <v>0.48449999999999999</v>
      </c>
      <c r="BD7" s="51">
        <v>0.48899999999999993</v>
      </c>
      <c r="BE7" s="51">
        <v>0.49349999999999994</v>
      </c>
      <c r="BF7" s="51">
        <v>0.49799999999999989</v>
      </c>
      <c r="BG7" s="51">
        <v>0.50249999999999984</v>
      </c>
      <c r="BH7" s="51">
        <v>0.50699999999999978</v>
      </c>
      <c r="BI7" s="51">
        <v>0.51149999999999984</v>
      </c>
      <c r="BJ7" s="51">
        <v>0.51599999999999979</v>
      </c>
      <c r="BK7" s="51">
        <v>0.52049999999999974</v>
      </c>
      <c r="BL7" s="51">
        <v>0.52499999999999969</v>
      </c>
      <c r="BM7" s="51">
        <v>0.52949999999999964</v>
      </c>
      <c r="BN7" s="51">
        <v>0.5339999999999997</v>
      </c>
      <c r="BO7" s="51">
        <v>0.53849999999999965</v>
      </c>
      <c r="BP7" s="51">
        <v>0.54299999999999959</v>
      </c>
    </row>
    <row r="8" spans="1:68" x14ac:dyDescent="0.3">
      <c r="A8" s="46" t="s">
        <v>10</v>
      </c>
      <c r="B8" s="47" t="s">
        <v>125</v>
      </c>
      <c r="C8" s="47" t="s">
        <v>126</v>
      </c>
      <c r="D8" s="48" t="s">
        <v>143</v>
      </c>
      <c r="E8" s="47" t="s">
        <v>128</v>
      </c>
      <c r="F8" s="47" t="s">
        <v>11</v>
      </c>
      <c r="G8" s="47" t="s">
        <v>11</v>
      </c>
      <c r="H8" s="47" t="s">
        <v>7</v>
      </c>
      <c r="I8" s="47" t="s">
        <v>64</v>
      </c>
      <c r="J8" s="47" t="s">
        <v>64</v>
      </c>
      <c r="K8" s="47" t="s">
        <v>64</v>
      </c>
      <c r="L8" s="47" t="s">
        <v>64</v>
      </c>
      <c r="M8" s="47" t="s">
        <v>64</v>
      </c>
      <c r="N8" s="47">
        <v>2023</v>
      </c>
      <c r="O8" s="47" t="s">
        <v>136</v>
      </c>
      <c r="P8" s="47" t="s">
        <v>136</v>
      </c>
      <c r="Q8" s="47">
        <f t="shared" ref="Q8:Q9" si="2">46.9/100</f>
        <v>0.46899999999999997</v>
      </c>
      <c r="R8" s="47">
        <f t="shared" si="0"/>
        <v>0.47</v>
      </c>
      <c r="S8" s="47">
        <f t="shared" si="0"/>
        <v>0.47099999999999997</v>
      </c>
      <c r="T8" s="49" t="s">
        <v>129</v>
      </c>
      <c r="U8" s="51">
        <v>5.0000000000000001E-4</v>
      </c>
      <c r="V8" s="51">
        <v>1E-3</v>
      </c>
      <c r="W8" s="51">
        <v>3.0000000000000001E-3</v>
      </c>
      <c r="X8" s="51">
        <v>8.0000000000000002E-3</v>
      </c>
      <c r="Y8" s="51">
        <v>8.9999999999999993E-3</v>
      </c>
      <c r="Z8" s="51">
        <v>0.01</v>
      </c>
      <c r="AA8" s="51">
        <v>2.2352941176470589E-2</v>
      </c>
      <c r="AB8" s="51">
        <v>3.4705882352941177E-2</v>
      </c>
      <c r="AC8" s="51">
        <v>4.7058823529411764E-2</v>
      </c>
      <c r="AD8" s="51">
        <v>5.9411764705882351E-2</v>
      </c>
      <c r="AE8" s="51">
        <v>7.1764705882352939E-2</v>
      </c>
      <c r="AF8" s="51">
        <v>8.4117647058823519E-2</v>
      </c>
      <c r="AG8" s="51">
        <v>9.6470588235294114E-2</v>
      </c>
      <c r="AH8" s="51">
        <v>0.10882352941176471</v>
      </c>
      <c r="AI8" s="51">
        <v>0.1211764705882353</v>
      </c>
      <c r="AJ8" s="51">
        <v>0.1335294117647059</v>
      </c>
      <c r="AK8" s="51">
        <v>0.14588235294117649</v>
      </c>
      <c r="AL8" s="51">
        <v>0.15823529411764709</v>
      </c>
      <c r="AM8" s="51">
        <v>0.17058823529411768</v>
      </c>
      <c r="AN8" s="51">
        <v>0.18294117647058827</v>
      </c>
      <c r="AO8" s="51">
        <v>0.19529411764705887</v>
      </c>
      <c r="AP8" s="51">
        <v>0.20764705882352946</v>
      </c>
      <c r="AQ8" s="51">
        <v>0.22</v>
      </c>
      <c r="AR8" s="51">
        <v>0.23980000000000001</v>
      </c>
      <c r="AS8" s="51">
        <v>0.2596</v>
      </c>
      <c r="AT8" s="51">
        <v>0.27939999999999998</v>
      </c>
      <c r="AU8" s="51">
        <v>0.29919999999999997</v>
      </c>
      <c r="AV8" s="51">
        <v>0.31899999999999995</v>
      </c>
      <c r="AW8" s="51">
        <v>0.33879999999999993</v>
      </c>
      <c r="AX8" s="51">
        <v>0.35859999999999992</v>
      </c>
      <c r="AY8" s="51">
        <v>0.3783999999999999</v>
      </c>
      <c r="AZ8" s="51">
        <v>0.39819999999999989</v>
      </c>
      <c r="BA8" s="51">
        <v>0.41799999999999998</v>
      </c>
      <c r="BB8" s="51">
        <v>0.43179999999999996</v>
      </c>
      <c r="BC8" s="51">
        <v>0.44559999999999994</v>
      </c>
      <c r="BD8" s="51">
        <v>0.45939999999999992</v>
      </c>
      <c r="BE8" s="51">
        <v>0.4731999999999999</v>
      </c>
      <c r="BF8" s="51">
        <v>0.48699999999999988</v>
      </c>
      <c r="BG8" s="51">
        <v>0.50079999999999991</v>
      </c>
      <c r="BH8" s="51">
        <v>0.51459999999999995</v>
      </c>
      <c r="BI8" s="51">
        <v>0.52839999999999998</v>
      </c>
      <c r="BJ8" s="51">
        <v>0.54220000000000002</v>
      </c>
      <c r="BK8" s="51">
        <v>0.55600000000000005</v>
      </c>
      <c r="BL8" s="51">
        <v>0.56980000000000008</v>
      </c>
      <c r="BM8" s="51">
        <v>0.58360000000000012</v>
      </c>
      <c r="BN8" s="51">
        <v>0.59740000000000015</v>
      </c>
      <c r="BO8" s="51">
        <v>0.61120000000000019</v>
      </c>
      <c r="BP8" s="51">
        <v>0.62500000000000022</v>
      </c>
    </row>
    <row r="9" spans="1:68" x14ac:dyDescent="0.3">
      <c r="A9" s="46" t="s">
        <v>10</v>
      </c>
      <c r="B9" s="47" t="s">
        <v>125</v>
      </c>
      <c r="C9" s="47" t="s">
        <v>126</v>
      </c>
      <c r="D9" s="48" t="s">
        <v>144</v>
      </c>
      <c r="E9" s="47" t="s">
        <v>145</v>
      </c>
      <c r="F9" s="47" t="s">
        <v>11</v>
      </c>
      <c r="G9" s="47" t="s">
        <v>11</v>
      </c>
      <c r="H9" s="47" t="s">
        <v>7</v>
      </c>
      <c r="I9" s="47" t="s">
        <v>64</v>
      </c>
      <c r="J9" s="47" t="s">
        <v>64</v>
      </c>
      <c r="K9" s="47" t="s">
        <v>64</v>
      </c>
      <c r="L9" s="47" t="s">
        <v>64</v>
      </c>
      <c r="M9" s="47" t="s">
        <v>64</v>
      </c>
      <c r="N9" s="47">
        <v>2023</v>
      </c>
      <c r="O9" s="47" t="s">
        <v>136</v>
      </c>
      <c r="P9" s="47" t="s">
        <v>136</v>
      </c>
      <c r="Q9" s="47">
        <f t="shared" si="2"/>
        <v>0.46899999999999997</v>
      </c>
      <c r="R9" s="47">
        <f t="shared" si="0"/>
        <v>0.47</v>
      </c>
      <c r="S9" s="47">
        <f t="shared" si="0"/>
        <v>0.47099999999999997</v>
      </c>
      <c r="T9" s="49" t="s">
        <v>129</v>
      </c>
      <c r="U9" s="51">
        <v>6.9999999999999999E-4</v>
      </c>
      <c r="V9" s="51">
        <v>1.1999999999999999E-3</v>
      </c>
      <c r="W9" s="51">
        <v>3.5000000000000001E-3</v>
      </c>
      <c r="X9" s="51">
        <v>8.9999999999999993E-3</v>
      </c>
      <c r="Y9" s="51">
        <v>0.01</v>
      </c>
      <c r="Z9" s="51">
        <v>1.1714285714285715E-2</v>
      </c>
      <c r="AA9" s="51">
        <v>1.842857142857143E-2</v>
      </c>
      <c r="AB9" s="51">
        <v>0.02</v>
      </c>
      <c r="AC9" s="51">
        <v>3.1857142857142862E-2</v>
      </c>
      <c r="AD9" s="51">
        <v>3.8571428571428576E-2</v>
      </c>
      <c r="AE9" s="51">
        <v>4.528571428571429E-2</v>
      </c>
      <c r="AF9" s="51">
        <v>5.1999999999999998E-2</v>
      </c>
      <c r="AG9" s="51">
        <v>6.9400000000000003E-2</v>
      </c>
      <c r="AH9" s="51">
        <v>8.6800000000000002E-2</v>
      </c>
      <c r="AI9" s="51">
        <v>0.1042</v>
      </c>
      <c r="AJ9" s="51">
        <v>0.1216</v>
      </c>
      <c r="AK9" s="51">
        <v>0.13900000000000001</v>
      </c>
      <c r="AL9" s="51">
        <v>0.15640000000000001</v>
      </c>
      <c r="AM9" s="51">
        <v>0.17380000000000001</v>
      </c>
      <c r="AN9" s="51">
        <v>0.19120000000000001</v>
      </c>
      <c r="AO9" s="51">
        <v>0.20860000000000001</v>
      </c>
      <c r="AP9" s="51">
        <v>0.22600000000000001</v>
      </c>
      <c r="AQ9" s="51">
        <v>0.246</v>
      </c>
      <c r="AR9" s="51">
        <v>0.26600000000000001</v>
      </c>
      <c r="AS9" s="51">
        <v>0.28600000000000003</v>
      </c>
      <c r="AT9" s="51">
        <v>0.30600000000000005</v>
      </c>
      <c r="AU9" s="51">
        <v>0.32600000000000007</v>
      </c>
      <c r="AV9" s="51">
        <v>0.34600000000000009</v>
      </c>
      <c r="AW9" s="51">
        <v>0.3660000000000001</v>
      </c>
      <c r="AX9" s="51">
        <v>0.38600000000000012</v>
      </c>
      <c r="AY9" s="51">
        <v>0.40600000000000014</v>
      </c>
      <c r="AZ9" s="51">
        <v>0.42599999999999999</v>
      </c>
      <c r="BA9" s="51">
        <v>0.43924999999999997</v>
      </c>
      <c r="BB9" s="51">
        <v>0.45249999999999996</v>
      </c>
      <c r="BC9" s="51">
        <v>0.46574999999999994</v>
      </c>
      <c r="BD9" s="51">
        <v>0.47899999999999993</v>
      </c>
      <c r="BE9" s="51">
        <v>0.49224999999999991</v>
      </c>
      <c r="BF9" s="51">
        <v>0.50549999999999995</v>
      </c>
      <c r="BG9" s="51">
        <v>0.51874999999999993</v>
      </c>
      <c r="BH9" s="51">
        <v>0.53199999999999992</v>
      </c>
      <c r="BI9" s="51">
        <v>0.5452499999999999</v>
      </c>
      <c r="BJ9" s="51">
        <v>0.55849999999999989</v>
      </c>
      <c r="BK9" s="51">
        <v>0.57174999999999987</v>
      </c>
      <c r="BL9" s="51">
        <v>0.58499999999999985</v>
      </c>
      <c r="BM9" s="51">
        <v>0.59824999999999984</v>
      </c>
      <c r="BN9" s="51">
        <v>0.61149999999999982</v>
      </c>
      <c r="BO9" s="51">
        <v>0.61799999999999999</v>
      </c>
      <c r="BP9" s="51">
        <v>0.625</v>
      </c>
    </row>
    <row r="10" spans="1:68" x14ac:dyDescent="0.3">
      <c r="A10" s="46" t="s">
        <v>10</v>
      </c>
      <c r="B10" s="47" t="s">
        <v>125</v>
      </c>
      <c r="C10" s="47" t="s">
        <v>126</v>
      </c>
      <c r="D10" s="48" t="s">
        <v>146</v>
      </c>
      <c r="E10" s="47" t="s">
        <v>147</v>
      </c>
      <c r="F10" s="47" t="s">
        <v>11</v>
      </c>
      <c r="G10" s="47" t="s">
        <v>11</v>
      </c>
      <c r="H10" s="47" t="s">
        <v>7</v>
      </c>
      <c r="I10" s="47" t="s">
        <v>64</v>
      </c>
      <c r="J10" s="47" t="s">
        <v>64</v>
      </c>
      <c r="K10" s="47" t="s">
        <v>64</v>
      </c>
      <c r="L10" s="47" t="s">
        <v>64</v>
      </c>
      <c r="M10" s="47" t="s">
        <v>64</v>
      </c>
      <c r="N10" s="47">
        <v>2023</v>
      </c>
      <c r="O10" s="47" t="s">
        <v>136</v>
      </c>
      <c r="P10" s="47" t="s">
        <v>136</v>
      </c>
      <c r="Q10" s="47">
        <f>43.5/100</f>
        <v>0.435</v>
      </c>
      <c r="R10" s="47">
        <f t="shared" ref="R10:S14" si="3">Q10+0.001</f>
        <v>0.436</v>
      </c>
      <c r="S10" s="47">
        <f t="shared" si="3"/>
        <v>0.437</v>
      </c>
      <c r="T10" s="49" t="s">
        <v>129</v>
      </c>
      <c r="U10" s="51">
        <v>1.4500000000000001E-3</v>
      </c>
      <c r="V10" s="51">
        <v>2.3600000000000001E-3</v>
      </c>
      <c r="W10" s="51">
        <v>3.2700000000000003E-3</v>
      </c>
      <c r="X10" s="51">
        <v>4.1800000000000006E-3</v>
      </c>
      <c r="Y10" s="51">
        <v>5.0900000000000008E-3</v>
      </c>
      <c r="Z10" s="51">
        <v>6.0000000000000001E-3</v>
      </c>
      <c r="AA10" s="51">
        <v>1.0857142857142857E-2</v>
      </c>
      <c r="AB10" s="51">
        <v>1.5714285714285715E-2</v>
      </c>
      <c r="AC10" s="51">
        <v>2.0571428571428574E-2</v>
      </c>
      <c r="AD10" s="51">
        <v>2.5428571428571432E-2</v>
      </c>
      <c r="AE10" s="51">
        <v>3.0285714285714291E-2</v>
      </c>
      <c r="AF10" s="51">
        <v>3.5142857142857149E-2</v>
      </c>
      <c r="AG10" s="51">
        <v>0.04</v>
      </c>
      <c r="AH10" s="51">
        <v>5.5599999999999997E-2</v>
      </c>
      <c r="AI10" s="51">
        <v>7.1199999999999999E-2</v>
      </c>
      <c r="AJ10" s="51">
        <v>8.6800000000000002E-2</v>
      </c>
      <c r="AK10" s="51">
        <v>0.1024</v>
      </c>
      <c r="AL10" s="51">
        <v>0.11800000000000001</v>
      </c>
      <c r="AM10" s="51">
        <v>0.1336</v>
      </c>
      <c r="AN10" s="51">
        <v>0.1492</v>
      </c>
      <c r="AO10" s="51">
        <v>0.1648</v>
      </c>
      <c r="AP10" s="51">
        <v>0.1804</v>
      </c>
      <c r="AQ10" s="51">
        <v>0.19600000000000001</v>
      </c>
      <c r="AR10" s="51">
        <v>0.22770000000000001</v>
      </c>
      <c r="AS10" s="51">
        <v>0.25940000000000002</v>
      </c>
      <c r="AT10" s="51">
        <v>0.29110000000000003</v>
      </c>
      <c r="AU10" s="51">
        <v>0.32280000000000003</v>
      </c>
      <c r="AV10" s="51">
        <v>0.35450000000000004</v>
      </c>
      <c r="AW10" s="51">
        <v>0.38620000000000004</v>
      </c>
      <c r="AX10" s="51">
        <v>0.41790000000000005</v>
      </c>
      <c r="AY10" s="51">
        <v>0.44960000000000006</v>
      </c>
      <c r="AZ10" s="51">
        <v>0.48130000000000006</v>
      </c>
      <c r="BA10" s="51">
        <v>0.51300000000000001</v>
      </c>
      <c r="BB10" s="51">
        <v>0.52775000000000005</v>
      </c>
      <c r="BC10" s="51">
        <v>0.54250000000000009</v>
      </c>
      <c r="BD10" s="51">
        <v>0.55725000000000013</v>
      </c>
      <c r="BE10" s="51">
        <v>0.57200000000000017</v>
      </c>
      <c r="BF10" s="51">
        <v>0.58675000000000022</v>
      </c>
      <c r="BG10" s="51">
        <v>0.60150000000000026</v>
      </c>
      <c r="BH10" s="51">
        <v>0.6162500000000003</v>
      </c>
      <c r="BI10" s="51">
        <v>0.63100000000000034</v>
      </c>
      <c r="BJ10" s="51">
        <v>0.64575000000000038</v>
      </c>
      <c r="BK10" s="51">
        <v>0.66050000000000042</v>
      </c>
      <c r="BL10" s="51">
        <v>0.67525000000000046</v>
      </c>
      <c r="BM10" s="51">
        <v>0.6900000000000005</v>
      </c>
      <c r="BN10" s="51">
        <v>0.70475000000000054</v>
      </c>
      <c r="BO10" s="51">
        <v>0.71950000000000058</v>
      </c>
      <c r="BP10" s="51">
        <v>0.73425000000000062</v>
      </c>
    </row>
    <row r="11" spans="1:68" x14ac:dyDescent="0.3">
      <c r="A11" s="46" t="s">
        <v>10</v>
      </c>
      <c r="B11" s="47" t="s">
        <v>125</v>
      </c>
      <c r="C11" s="47" t="s">
        <v>130</v>
      </c>
      <c r="D11" s="48" t="s">
        <v>148</v>
      </c>
      <c r="E11" s="47" t="s">
        <v>149</v>
      </c>
      <c r="F11" s="47" t="s">
        <v>11</v>
      </c>
      <c r="G11" s="47" t="s">
        <v>11</v>
      </c>
      <c r="H11" s="47" t="s">
        <v>7</v>
      </c>
      <c r="I11" s="47" t="s">
        <v>64</v>
      </c>
      <c r="J11" s="47" t="s">
        <v>64</v>
      </c>
      <c r="K11" s="47" t="s">
        <v>64</v>
      </c>
      <c r="L11" s="47" t="s">
        <v>64</v>
      </c>
      <c r="M11" s="47" t="s">
        <v>64</v>
      </c>
      <c r="N11" s="47">
        <v>2023</v>
      </c>
      <c r="O11" s="47">
        <f>7/100</f>
        <v>7.0000000000000007E-2</v>
      </c>
      <c r="P11" s="47">
        <f>6.1/100</f>
        <v>6.0999999999999999E-2</v>
      </c>
      <c r="Q11" s="47">
        <f>9.5/100</f>
        <v>9.5000000000000001E-2</v>
      </c>
      <c r="R11" s="47">
        <f t="shared" si="3"/>
        <v>9.6000000000000002E-2</v>
      </c>
      <c r="S11" s="47">
        <f t="shared" si="3"/>
        <v>9.7000000000000003E-2</v>
      </c>
      <c r="T11" s="49" t="s">
        <v>133</v>
      </c>
      <c r="U11" s="51">
        <v>0</v>
      </c>
      <c r="V11" s="51">
        <v>0</v>
      </c>
      <c r="W11" s="51">
        <v>0</v>
      </c>
      <c r="X11" s="51">
        <v>0</v>
      </c>
      <c r="Y11" s="51">
        <v>0</v>
      </c>
      <c r="Z11" s="51">
        <v>0</v>
      </c>
      <c r="AA11" s="51">
        <v>0</v>
      </c>
      <c r="AB11" s="51">
        <v>0</v>
      </c>
      <c r="AC11" s="51">
        <v>0</v>
      </c>
      <c r="AD11" s="51">
        <v>0</v>
      </c>
      <c r="AE11" s="51">
        <v>0</v>
      </c>
      <c r="AF11" s="51">
        <v>0</v>
      </c>
      <c r="AG11" s="51">
        <v>1E-4</v>
      </c>
      <c r="AH11" s="51">
        <v>2.0000000000000001E-4</v>
      </c>
      <c r="AI11" s="51">
        <v>4.0000000000000002E-4</v>
      </c>
      <c r="AJ11" s="51">
        <v>5.9999999999999995E-4</v>
      </c>
      <c r="AK11" s="51">
        <v>1.6666666666666668E-3</v>
      </c>
      <c r="AL11" s="51">
        <v>3.3333333333333335E-3</v>
      </c>
      <c r="AM11" s="51">
        <v>5.0000000000000001E-3</v>
      </c>
      <c r="AN11" s="51">
        <v>6.6666666666666671E-3</v>
      </c>
      <c r="AO11" s="51">
        <v>8.3333333333333332E-3</v>
      </c>
      <c r="AP11" s="51">
        <v>0.01</v>
      </c>
      <c r="AQ11" s="51">
        <v>1.9000000000000003E-2</v>
      </c>
      <c r="AR11" s="51">
        <v>2.8000000000000004E-2</v>
      </c>
      <c r="AS11" s="51">
        <v>3.7000000000000005E-2</v>
      </c>
      <c r="AT11" s="51">
        <v>4.6000000000000006E-2</v>
      </c>
      <c r="AU11" s="51">
        <v>5.5000000000000007E-2</v>
      </c>
      <c r="AV11" s="51">
        <v>6.4000000000000001E-2</v>
      </c>
      <c r="AW11" s="51">
        <v>7.3000000000000009E-2</v>
      </c>
      <c r="AX11" s="51">
        <v>8.2000000000000017E-2</v>
      </c>
      <c r="AY11" s="51">
        <v>9.1000000000000025E-2</v>
      </c>
      <c r="AZ11" s="51">
        <v>0.1</v>
      </c>
      <c r="BA11" s="51">
        <v>0.11235000000000001</v>
      </c>
      <c r="BB11" s="51">
        <v>0.12470000000000001</v>
      </c>
      <c r="BC11" s="51">
        <v>0.13705000000000001</v>
      </c>
      <c r="BD11" s="51">
        <v>0.14940000000000001</v>
      </c>
      <c r="BE11" s="51">
        <v>0.16175</v>
      </c>
      <c r="BF11" s="51">
        <v>0.1741</v>
      </c>
      <c r="BG11" s="51">
        <v>0.18645</v>
      </c>
      <c r="BH11" s="51">
        <v>0.1988</v>
      </c>
      <c r="BI11" s="51">
        <v>0.21115</v>
      </c>
      <c r="BJ11" s="51">
        <v>0.2235</v>
      </c>
      <c r="BK11" s="51">
        <v>0.24476249999999999</v>
      </c>
      <c r="BL11" s="51">
        <v>0.26602499999999996</v>
      </c>
      <c r="BM11" s="51">
        <v>0.28728749999999992</v>
      </c>
      <c r="BN11" s="51">
        <f>1.01*0.30855</f>
        <v>0.31163550000000001</v>
      </c>
      <c r="BO11" s="51">
        <f>1.03*0.3298125</f>
        <v>0.33970687500000002</v>
      </c>
      <c r="BP11" s="51">
        <f>1.05*0.351075</f>
        <v>0.36862875000000006</v>
      </c>
    </row>
    <row r="12" spans="1:68" x14ac:dyDescent="0.3">
      <c r="A12" s="46" t="s">
        <v>10</v>
      </c>
      <c r="B12" s="47" t="s">
        <v>125</v>
      </c>
      <c r="C12" s="47" t="s">
        <v>130</v>
      </c>
      <c r="D12" s="48" t="s">
        <v>150</v>
      </c>
      <c r="E12" s="47" t="s">
        <v>151</v>
      </c>
      <c r="F12" s="47" t="s">
        <v>11</v>
      </c>
      <c r="G12" s="47" t="s">
        <v>11</v>
      </c>
      <c r="H12" s="47" t="s">
        <v>7</v>
      </c>
      <c r="I12" s="47" t="s">
        <v>64</v>
      </c>
      <c r="J12" s="47" t="s">
        <v>64</v>
      </c>
      <c r="K12" s="47" t="s">
        <v>64</v>
      </c>
      <c r="L12" s="47" t="s">
        <v>64</v>
      </c>
      <c r="M12" s="47" t="s">
        <v>64</v>
      </c>
      <c r="N12" s="47">
        <v>2023</v>
      </c>
      <c r="O12" s="47">
        <v>1E-3</v>
      </c>
      <c r="P12" s="47">
        <f>3.1/100</f>
        <v>3.1E-2</v>
      </c>
      <c r="Q12" s="47">
        <f>7.1/100</f>
        <v>7.0999999999999994E-2</v>
      </c>
      <c r="R12" s="47">
        <f t="shared" si="3"/>
        <v>7.1999999999999995E-2</v>
      </c>
      <c r="S12" s="47">
        <f t="shared" si="3"/>
        <v>7.2999999999999995E-2</v>
      </c>
      <c r="T12" s="49" t="s">
        <v>133</v>
      </c>
      <c r="U12" s="51">
        <v>0</v>
      </c>
      <c r="V12" s="51">
        <v>0</v>
      </c>
      <c r="W12" s="51">
        <v>0</v>
      </c>
      <c r="X12" s="51">
        <v>0</v>
      </c>
      <c r="Y12" s="51">
        <v>0</v>
      </c>
      <c r="Z12" s="51">
        <v>0</v>
      </c>
      <c r="AA12" s="51">
        <v>0</v>
      </c>
      <c r="AB12" s="51">
        <v>0</v>
      </c>
      <c r="AC12" s="51">
        <v>0</v>
      </c>
      <c r="AD12" s="51">
        <v>0</v>
      </c>
      <c r="AE12" s="51">
        <v>0</v>
      </c>
      <c r="AF12" s="51">
        <v>0</v>
      </c>
      <c r="AG12" s="51">
        <v>0</v>
      </c>
      <c r="AH12" s="51">
        <v>1E-3</v>
      </c>
      <c r="AI12" s="51">
        <v>1.5E-3</v>
      </c>
      <c r="AJ12" s="51">
        <v>2E-3</v>
      </c>
      <c r="AK12" s="51">
        <v>2.5000000000000001E-3</v>
      </c>
      <c r="AL12" s="51">
        <v>3.0000000000000001E-3</v>
      </c>
      <c r="AM12" s="51">
        <v>3.6999999999999997E-3</v>
      </c>
      <c r="AN12" s="51">
        <v>7.3999999999999995E-3</v>
      </c>
      <c r="AO12" s="51">
        <v>1.1099999999999999E-2</v>
      </c>
      <c r="AP12" s="51">
        <v>1.4799999999999999E-2</v>
      </c>
      <c r="AQ12" s="51">
        <v>1.8499999999999999E-2</v>
      </c>
      <c r="AR12" s="51">
        <v>2.2199999999999998E-2</v>
      </c>
      <c r="AS12" s="51">
        <v>2.5899999999999996E-2</v>
      </c>
      <c r="AT12" s="51">
        <v>2.9599999999999994E-2</v>
      </c>
      <c r="AU12" s="51">
        <v>3.3299999999999996E-2</v>
      </c>
      <c r="AV12" s="51">
        <v>3.6999999999999998E-2</v>
      </c>
      <c r="AW12" s="51">
        <v>0.04</v>
      </c>
      <c r="AX12" s="51">
        <v>4.3000000000000003E-2</v>
      </c>
      <c r="AY12" s="51">
        <v>4.6000000000000006E-2</v>
      </c>
      <c r="AZ12" s="51">
        <v>4.9000000000000009E-2</v>
      </c>
      <c r="BA12" s="51">
        <v>5.2000000000000011E-2</v>
      </c>
      <c r="BB12" s="51">
        <v>5.5000000000000014E-2</v>
      </c>
      <c r="BC12" s="51">
        <v>5.8000000000000017E-2</v>
      </c>
      <c r="BD12" s="51">
        <v>6.1000000000000019E-2</v>
      </c>
      <c r="BE12" s="51">
        <v>6.4000000000000015E-2</v>
      </c>
      <c r="BF12" s="51">
        <v>6.7000000000000004E-2</v>
      </c>
      <c r="BG12" s="51">
        <v>7.1099999999999997E-2</v>
      </c>
      <c r="BH12" s="51">
        <v>7.5199999999999989E-2</v>
      </c>
      <c r="BI12" s="51">
        <v>7.9299999999999982E-2</v>
      </c>
      <c r="BJ12" s="51">
        <v>8.3399999999999974E-2</v>
      </c>
      <c r="BK12" s="51">
        <v>8.7499999999999967E-2</v>
      </c>
      <c r="BL12" s="51">
        <v>9.1599999999999959E-2</v>
      </c>
      <c r="BM12" s="51">
        <v>9.5699999999999952E-2</v>
      </c>
      <c r="BN12" s="51">
        <f>1.01*0.0997999999999999</f>
        <v>0.1007979999999999</v>
      </c>
      <c r="BO12" s="51">
        <f>1.03*0.1039</f>
        <v>0.10701700000000001</v>
      </c>
      <c r="BP12" s="51">
        <f>1.05*0.108</f>
        <v>0.1134</v>
      </c>
    </row>
    <row r="13" spans="1:68" x14ac:dyDescent="0.3">
      <c r="A13" s="46" t="s">
        <v>10</v>
      </c>
      <c r="B13" s="47" t="s">
        <v>125</v>
      </c>
      <c r="C13" s="47" t="s">
        <v>152</v>
      </c>
      <c r="D13" s="48" t="s">
        <v>153</v>
      </c>
      <c r="E13" s="47" t="s">
        <v>154</v>
      </c>
      <c r="F13" s="47" t="s">
        <v>11</v>
      </c>
      <c r="G13" s="47" t="s">
        <v>11</v>
      </c>
      <c r="H13" s="47" t="s">
        <v>7</v>
      </c>
      <c r="I13" s="47" t="s">
        <v>64</v>
      </c>
      <c r="J13" s="47" t="s">
        <v>64</v>
      </c>
      <c r="K13" s="47" t="s">
        <v>64</v>
      </c>
      <c r="L13" s="47" t="s">
        <v>64</v>
      </c>
      <c r="M13" s="47" t="s">
        <v>64</v>
      </c>
      <c r="N13" s="47">
        <v>2023</v>
      </c>
      <c r="O13" s="47">
        <f>8/100</f>
        <v>0.08</v>
      </c>
      <c r="P13" s="47">
        <f>8.2/100</f>
        <v>8.199999999999999E-2</v>
      </c>
      <c r="Q13" s="47">
        <f>19.2/100</f>
        <v>0.192</v>
      </c>
      <c r="R13" s="47">
        <f t="shared" si="3"/>
        <v>0.193</v>
      </c>
      <c r="S13" s="47">
        <f t="shared" si="3"/>
        <v>0.19400000000000001</v>
      </c>
      <c r="T13" s="49" t="s">
        <v>129</v>
      </c>
      <c r="U13" s="51">
        <v>0</v>
      </c>
      <c r="V13" s="51">
        <v>0</v>
      </c>
      <c r="W13" s="51">
        <v>0</v>
      </c>
      <c r="X13" s="51">
        <v>0</v>
      </c>
      <c r="Y13" s="51">
        <v>0</v>
      </c>
      <c r="Z13" s="51">
        <v>0</v>
      </c>
      <c r="AA13" s="51">
        <v>0</v>
      </c>
      <c r="AB13" s="51">
        <v>5.0000000000000001E-4</v>
      </c>
      <c r="AC13" s="51">
        <v>1.8571428571428571E-3</v>
      </c>
      <c r="AD13" s="51">
        <v>3.7142857142857142E-3</v>
      </c>
      <c r="AE13" s="51">
        <v>5.5714285714285709E-3</v>
      </c>
      <c r="AF13" s="51">
        <v>7.4285714285714285E-3</v>
      </c>
      <c r="AG13" s="51">
        <v>9.285714285714286E-3</v>
      </c>
      <c r="AH13" s="51">
        <v>1.1142857142857144E-2</v>
      </c>
      <c r="AI13" s="51">
        <v>1.8499999999999999E-2</v>
      </c>
      <c r="AJ13" s="51">
        <v>2.9749999999999999E-2</v>
      </c>
      <c r="AK13" s="51">
        <v>4.1000000000000002E-2</v>
      </c>
      <c r="AL13" s="51">
        <v>5.2250000000000005E-2</v>
      </c>
      <c r="AM13" s="51">
        <v>6.3500000000000001E-2</v>
      </c>
      <c r="AN13" s="51">
        <v>7.4749999999999997E-2</v>
      </c>
      <c r="AO13" s="51">
        <v>8.5999999999999993E-2</v>
      </c>
      <c r="AP13" s="51">
        <v>9.7249999999999989E-2</v>
      </c>
      <c r="AQ13" s="51">
        <v>0.10849999999999999</v>
      </c>
      <c r="AR13" s="51">
        <v>0.11974999999999998</v>
      </c>
      <c r="AS13" s="51">
        <v>0.13099999999999998</v>
      </c>
      <c r="AT13" s="51">
        <v>0.14224999999999999</v>
      </c>
      <c r="AU13" s="51">
        <v>0.1535</v>
      </c>
      <c r="AV13" s="51">
        <v>0.16475000000000001</v>
      </c>
      <c r="AW13" s="51">
        <v>0.17600000000000002</v>
      </c>
      <c r="AX13" s="51">
        <v>0.18725000000000003</v>
      </c>
      <c r="AY13" s="51">
        <v>0.19850000000000001</v>
      </c>
      <c r="AZ13" s="51">
        <v>0.22520000000000001</v>
      </c>
      <c r="BA13" s="51">
        <v>0.26640000000000003</v>
      </c>
      <c r="BB13" s="51">
        <v>0.30760000000000004</v>
      </c>
      <c r="BC13" s="51">
        <v>0.34880000000000005</v>
      </c>
      <c r="BD13" s="51">
        <v>0.39000000000000007</v>
      </c>
      <c r="BE13" s="51">
        <v>0.43120000000000008</v>
      </c>
      <c r="BF13" s="51">
        <v>0.4724000000000001</v>
      </c>
      <c r="BG13" s="51">
        <v>0.51360000000000006</v>
      </c>
      <c r="BH13" s="51">
        <v>0.55480000000000007</v>
      </c>
      <c r="BI13" s="51">
        <v>0.59599999999999997</v>
      </c>
      <c r="BJ13" s="51">
        <v>0.61119999999999997</v>
      </c>
      <c r="BK13" s="51">
        <v>0.62639999999999996</v>
      </c>
      <c r="BL13" s="51">
        <v>0.64159999999999995</v>
      </c>
      <c r="BM13" s="51">
        <v>0.65679999999999994</v>
      </c>
      <c r="BN13" s="51">
        <v>0.67199999999999993</v>
      </c>
      <c r="BO13" s="51">
        <v>0.68719999999999992</v>
      </c>
      <c r="BP13" s="51">
        <v>0.70239999999999991</v>
      </c>
    </row>
    <row r="14" spans="1:68" ht="15" thickBot="1" x14ac:dyDescent="0.35">
      <c r="A14" s="52" t="s">
        <v>10</v>
      </c>
      <c r="B14" s="53" t="s">
        <v>125</v>
      </c>
      <c r="C14" s="53" t="s">
        <v>155</v>
      </c>
      <c r="D14" s="54" t="s">
        <v>156</v>
      </c>
      <c r="E14" s="53" t="s">
        <v>157</v>
      </c>
      <c r="F14" s="53" t="s">
        <v>11</v>
      </c>
      <c r="G14" s="53" t="s">
        <v>11</v>
      </c>
      <c r="H14" s="53" t="s">
        <v>7</v>
      </c>
      <c r="I14" s="53" t="s">
        <v>64</v>
      </c>
      <c r="J14" s="53" t="s">
        <v>64</v>
      </c>
      <c r="K14" s="53" t="s">
        <v>64</v>
      </c>
      <c r="L14" s="53" t="s">
        <v>64</v>
      </c>
      <c r="M14" s="53" t="s">
        <v>64</v>
      </c>
      <c r="N14" s="53">
        <v>2023</v>
      </c>
      <c r="O14" s="53">
        <f>3/100</f>
        <v>0.03</v>
      </c>
      <c r="P14" s="53">
        <v>0.1</v>
      </c>
      <c r="Q14" s="53">
        <v>0.4</v>
      </c>
      <c r="R14" s="53">
        <f t="shared" si="3"/>
        <v>0.40100000000000002</v>
      </c>
      <c r="S14" s="53">
        <f t="shared" si="3"/>
        <v>0.40200000000000002</v>
      </c>
      <c r="T14" s="55" t="s">
        <v>129</v>
      </c>
      <c r="U14" s="51">
        <v>5.4693877551020408E-3</v>
      </c>
      <c r="V14" s="51">
        <v>5.9387755102040815E-3</v>
      </c>
      <c r="W14" s="51">
        <v>6.4081632653061223E-3</v>
      </c>
      <c r="X14" s="51">
        <v>6.877551020408163E-3</v>
      </c>
      <c r="Y14" s="51">
        <v>7.3469387755102037E-3</v>
      </c>
      <c r="Z14" s="51">
        <v>7.8163265306122436E-3</v>
      </c>
      <c r="AA14" s="51">
        <v>8.2857142857142851E-3</v>
      </c>
      <c r="AB14" s="51">
        <v>1.1571428571428571E-2</v>
      </c>
      <c r="AC14" s="51">
        <v>1.4857142857142857E-2</v>
      </c>
      <c r="AD14" s="51">
        <v>1.8142857142857141E-2</v>
      </c>
      <c r="AE14" s="51">
        <v>2.1428571428571425E-2</v>
      </c>
      <c r="AF14" s="51">
        <v>2.4714285714285709E-2</v>
      </c>
      <c r="AG14" s="51">
        <v>2.8000000000000001E-2</v>
      </c>
      <c r="AH14" s="51">
        <v>3.73E-2</v>
      </c>
      <c r="AI14" s="51">
        <v>4.6600000000000003E-2</v>
      </c>
      <c r="AJ14" s="51">
        <v>5.5900000000000005E-2</v>
      </c>
      <c r="AK14" s="51">
        <v>6.5200000000000008E-2</v>
      </c>
      <c r="AL14" s="51">
        <v>7.4500000000000011E-2</v>
      </c>
      <c r="AM14" s="51">
        <v>8.3800000000000013E-2</v>
      </c>
      <c r="AN14" s="51">
        <v>9.3100000000000016E-2</v>
      </c>
      <c r="AO14" s="51">
        <v>0.10240000000000002</v>
      </c>
      <c r="AP14" s="51">
        <v>0.11170000000000002</v>
      </c>
      <c r="AQ14" s="51">
        <v>0.121</v>
      </c>
      <c r="AR14" s="51">
        <v>0.16259999999999999</v>
      </c>
      <c r="AS14" s="51">
        <v>0.20419999999999999</v>
      </c>
      <c r="AT14" s="51">
        <v>0.24579999999999999</v>
      </c>
      <c r="AU14" s="51">
        <v>0.28739999999999999</v>
      </c>
      <c r="AV14" s="51">
        <v>0.32900000000000001</v>
      </c>
      <c r="AW14" s="51">
        <v>0.37060000000000004</v>
      </c>
      <c r="AX14" s="51">
        <v>0.41220000000000007</v>
      </c>
      <c r="AY14" s="51">
        <v>0.45380000000000009</v>
      </c>
      <c r="AZ14" s="51">
        <v>0.49540000000000012</v>
      </c>
      <c r="BA14" s="51">
        <v>0.53700000000000003</v>
      </c>
      <c r="BB14" s="51">
        <v>0.55180000000000007</v>
      </c>
      <c r="BC14" s="51">
        <v>0.5666000000000001</v>
      </c>
      <c r="BD14" s="51">
        <v>0.58140000000000014</v>
      </c>
      <c r="BE14" s="51">
        <v>0.59620000000000017</v>
      </c>
      <c r="BF14" s="51">
        <v>0.61100000000000021</v>
      </c>
      <c r="BG14" s="51">
        <v>0.62580000000000024</v>
      </c>
      <c r="BH14" s="51">
        <v>0.64060000000000028</v>
      </c>
      <c r="BI14" s="51">
        <v>0.65540000000000032</v>
      </c>
      <c r="BJ14" s="51">
        <v>0.67020000000000035</v>
      </c>
      <c r="BK14" s="51">
        <v>0.68500000000000039</v>
      </c>
      <c r="BL14" s="51">
        <v>0.69980000000000042</v>
      </c>
      <c r="BM14" s="51">
        <v>0.71460000000000046</v>
      </c>
      <c r="BN14" s="51">
        <v>0.72940000000000049</v>
      </c>
      <c r="BO14" s="51">
        <v>0.74420000000000053</v>
      </c>
      <c r="BP14" s="51">
        <v>0.75900000000000056</v>
      </c>
    </row>
    <row r="15" spans="1:68" x14ac:dyDescent="0.3">
      <c r="A15" s="56" t="s">
        <v>10</v>
      </c>
      <c r="B15" s="57" t="s">
        <v>125</v>
      </c>
      <c r="C15" s="57" t="s">
        <v>126</v>
      </c>
      <c r="D15" s="58" t="s">
        <v>158</v>
      </c>
      <c r="E15" s="59" t="s">
        <v>159</v>
      </c>
      <c r="F15" s="57" t="s">
        <v>11</v>
      </c>
      <c r="G15" s="57" t="s">
        <v>11</v>
      </c>
      <c r="H15" s="57" t="s">
        <v>7</v>
      </c>
      <c r="I15" s="57" t="s">
        <v>64</v>
      </c>
      <c r="J15" s="57" t="s">
        <v>64</v>
      </c>
      <c r="K15" s="57" t="s">
        <v>64</v>
      </c>
      <c r="L15" s="57" t="s">
        <v>64</v>
      </c>
      <c r="M15" s="57" t="s">
        <v>64</v>
      </c>
      <c r="N15" s="57">
        <v>2023</v>
      </c>
      <c r="O15" s="57" t="s">
        <v>136</v>
      </c>
      <c r="P15" s="57">
        <v>0</v>
      </c>
      <c r="Q15" s="57">
        <v>0</v>
      </c>
      <c r="R15" s="57">
        <v>0</v>
      </c>
      <c r="S15" s="57">
        <v>0</v>
      </c>
      <c r="T15" s="60" t="s">
        <v>129</v>
      </c>
      <c r="U15" s="51">
        <v>1E-3</v>
      </c>
      <c r="V15" s="51">
        <v>2E-3</v>
      </c>
      <c r="W15" s="51">
        <v>4.0000000000000001E-3</v>
      </c>
      <c r="X15" s="51">
        <v>8.0000000000000002E-3</v>
      </c>
      <c r="Y15" s="51">
        <v>0.01</v>
      </c>
      <c r="Z15" s="51">
        <v>1.2E-2</v>
      </c>
      <c r="AA15" s="51">
        <v>1.842857142857143E-2</v>
      </c>
      <c r="AB15" s="51">
        <v>2.4857142857142859E-2</v>
      </c>
      <c r="AC15" s="51">
        <v>3.1285714285714285E-2</v>
      </c>
      <c r="AD15" s="51">
        <v>3.7714285714285714E-2</v>
      </c>
      <c r="AE15" s="51">
        <v>4.4142857142857143E-2</v>
      </c>
      <c r="AF15" s="51">
        <v>5.0571428571428573E-2</v>
      </c>
      <c r="AG15" s="51">
        <v>5.7000000000000002E-2</v>
      </c>
      <c r="AH15" s="51">
        <v>6.8900000000000003E-2</v>
      </c>
      <c r="AI15" s="51">
        <v>8.0799999999999997E-2</v>
      </c>
      <c r="AJ15" s="51">
        <v>9.2699999999999991E-2</v>
      </c>
      <c r="AK15" s="51">
        <v>0.10459999999999998</v>
      </c>
      <c r="AL15" s="51">
        <v>0.11649999999999998</v>
      </c>
      <c r="AM15" s="51">
        <v>0.12839999999999999</v>
      </c>
      <c r="AN15" s="51">
        <v>0.14029999999999998</v>
      </c>
      <c r="AO15" s="51">
        <v>0.15219999999999997</v>
      </c>
      <c r="AP15" s="51">
        <v>0.16409999999999997</v>
      </c>
      <c r="AQ15" s="51">
        <v>0.17599999999999999</v>
      </c>
      <c r="AR15" s="51">
        <v>0.1772</v>
      </c>
      <c r="AS15" s="51">
        <v>0.1784</v>
      </c>
      <c r="AT15" s="51">
        <v>0.17960000000000001</v>
      </c>
      <c r="AU15" s="51">
        <v>0.18080000000000002</v>
      </c>
      <c r="AV15" s="51">
        <v>0.18200000000000002</v>
      </c>
      <c r="AW15" s="51">
        <v>0.18320000000000003</v>
      </c>
      <c r="AX15" s="51">
        <v>0.18440000000000004</v>
      </c>
      <c r="AY15" s="51">
        <v>0.18560000000000004</v>
      </c>
      <c r="AZ15" s="51">
        <v>0.18680000000000005</v>
      </c>
      <c r="BA15" s="51">
        <v>0.188</v>
      </c>
      <c r="BB15" s="51">
        <v>0.18725</v>
      </c>
      <c r="BC15" s="51">
        <v>0.1865</v>
      </c>
      <c r="BD15" s="51">
        <v>0.18575</v>
      </c>
      <c r="BE15" s="51">
        <v>0.185</v>
      </c>
      <c r="BF15" s="51">
        <v>0.18425</v>
      </c>
      <c r="BG15" s="51">
        <v>0.1835</v>
      </c>
      <c r="BH15" s="51">
        <v>0.18275</v>
      </c>
      <c r="BI15" s="51">
        <v>0.182</v>
      </c>
      <c r="BJ15" s="51">
        <v>0.18124999999999999</v>
      </c>
      <c r="BK15" s="51">
        <v>0.18049999999999999</v>
      </c>
      <c r="BL15" s="51">
        <v>0.18</v>
      </c>
      <c r="BM15" s="51">
        <v>0.18</v>
      </c>
      <c r="BN15" s="51">
        <v>0.18</v>
      </c>
      <c r="BO15" s="51">
        <v>0.18</v>
      </c>
      <c r="BP15" s="51">
        <v>0.18</v>
      </c>
    </row>
    <row r="16" spans="1:68" x14ac:dyDescent="0.3">
      <c r="A16" s="61" t="s">
        <v>10</v>
      </c>
      <c r="B16" s="62" t="s">
        <v>125</v>
      </c>
      <c r="C16" s="62" t="s">
        <v>60</v>
      </c>
      <c r="D16" s="48" t="s">
        <v>160</v>
      </c>
      <c r="E16" s="63" t="s">
        <v>161</v>
      </c>
      <c r="F16" s="62" t="s">
        <v>11</v>
      </c>
      <c r="G16" s="62" t="s">
        <v>11</v>
      </c>
      <c r="H16" s="62" t="s">
        <v>7</v>
      </c>
      <c r="I16" s="62" t="s">
        <v>64</v>
      </c>
      <c r="J16" s="62" t="s">
        <v>64</v>
      </c>
      <c r="K16" s="62" t="s">
        <v>64</v>
      </c>
      <c r="L16" s="62" t="s">
        <v>64</v>
      </c>
      <c r="M16" s="62" t="s">
        <v>64</v>
      </c>
      <c r="N16" s="62">
        <v>2023</v>
      </c>
      <c r="O16" s="62" t="s">
        <v>136</v>
      </c>
      <c r="P16" s="62">
        <v>0</v>
      </c>
      <c r="Q16" s="62">
        <v>0</v>
      </c>
      <c r="R16" s="62">
        <v>0</v>
      </c>
      <c r="S16" s="62">
        <v>0</v>
      </c>
      <c r="T16" s="64" t="s">
        <v>129</v>
      </c>
      <c r="U16" s="65">
        <v>0</v>
      </c>
      <c r="V16" s="51">
        <v>0</v>
      </c>
      <c r="W16" s="51">
        <v>0</v>
      </c>
      <c r="X16" s="51">
        <v>0</v>
      </c>
      <c r="Y16" s="51">
        <v>1E-3</v>
      </c>
      <c r="Z16" s="65">
        <v>4.0000000000000001E-3</v>
      </c>
      <c r="AA16" s="51">
        <v>0.02</v>
      </c>
      <c r="AB16" s="51">
        <v>3.6000000000000004E-2</v>
      </c>
      <c r="AC16" s="51">
        <v>5.2000000000000005E-2</v>
      </c>
      <c r="AD16" s="51">
        <v>6.8000000000000005E-2</v>
      </c>
      <c r="AE16" s="51">
        <v>8.4000000000000005E-2</v>
      </c>
      <c r="AF16" s="51">
        <v>0.1</v>
      </c>
      <c r="AG16" s="51">
        <v>0.10181818181818182</v>
      </c>
      <c r="AH16" s="51">
        <v>0.10363636363636364</v>
      </c>
      <c r="AI16" s="51">
        <v>0.10545454545454545</v>
      </c>
      <c r="AJ16" s="51">
        <v>0.10727272727272727</v>
      </c>
      <c r="AK16" s="51">
        <v>0.10909090909090909</v>
      </c>
      <c r="AL16" s="51">
        <v>0.1109090909090909</v>
      </c>
      <c r="AM16" s="51">
        <v>0.11272727272727272</v>
      </c>
      <c r="AN16" s="51">
        <v>0.11454545454545453</v>
      </c>
      <c r="AO16" s="51">
        <v>0.11636363636363635</v>
      </c>
      <c r="AP16" s="51">
        <v>0.11818181818181817</v>
      </c>
      <c r="AQ16" s="51">
        <v>0.12</v>
      </c>
      <c r="AR16" s="51">
        <v>0.12079999999999999</v>
      </c>
      <c r="AS16" s="51">
        <v>0.12159999999999999</v>
      </c>
      <c r="AT16" s="51">
        <v>0.12239999999999998</v>
      </c>
      <c r="AU16" s="51">
        <v>0.12319999999999998</v>
      </c>
      <c r="AV16" s="51">
        <v>0.12399999999999997</v>
      </c>
      <c r="AW16" s="51">
        <v>0.12479999999999997</v>
      </c>
      <c r="AX16" s="51">
        <v>0.12559999999999996</v>
      </c>
      <c r="AY16" s="51">
        <v>0.12639999999999996</v>
      </c>
      <c r="AZ16" s="51">
        <v>0.12719999999999995</v>
      </c>
      <c r="BA16" s="51">
        <v>0.12799999999999995</v>
      </c>
      <c r="BB16" s="51">
        <v>0.12879999999999994</v>
      </c>
      <c r="BC16" s="51">
        <v>0.12959999999999994</v>
      </c>
      <c r="BD16" s="51">
        <v>0.13039999999999993</v>
      </c>
      <c r="BE16" s="51">
        <v>0.13119999999999993</v>
      </c>
      <c r="BF16" s="51">
        <v>0.13199999999999992</v>
      </c>
      <c r="BG16" s="51">
        <v>0.13279999999999992</v>
      </c>
      <c r="BH16" s="51">
        <v>0.13359999999999991</v>
      </c>
      <c r="BI16" s="51">
        <v>0.13439999999999991</v>
      </c>
      <c r="BJ16" s="51">
        <v>0.1351999999999999</v>
      </c>
      <c r="BK16" s="51">
        <v>0.1359999999999999</v>
      </c>
      <c r="BL16" s="51">
        <v>0.13679999999999989</v>
      </c>
      <c r="BM16" s="51">
        <v>0.13759999999999989</v>
      </c>
      <c r="BN16" s="51">
        <v>0.13839999999999988</v>
      </c>
      <c r="BO16" s="51">
        <v>0.13919999999999988</v>
      </c>
      <c r="BP16" s="51">
        <v>0.14000000000000001</v>
      </c>
    </row>
    <row r="17" spans="1:68" x14ac:dyDescent="0.3">
      <c r="A17" s="61" t="s">
        <v>10</v>
      </c>
      <c r="B17" s="62" t="s">
        <v>125</v>
      </c>
      <c r="C17" s="62" t="s">
        <v>60</v>
      </c>
      <c r="D17" s="48" t="s">
        <v>162</v>
      </c>
      <c r="E17" s="62" t="s">
        <v>163</v>
      </c>
      <c r="F17" s="62" t="s">
        <v>11</v>
      </c>
      <c r="G17" s="62" t="s">
        <v>11</v>
      </c>
      <c r="H17" s="62" t="s">
        <v>7</v>
      </c>
      <c r="I17" s="62" t="s">
        <v>64</v>
      </c>
      <c r="J17" s="62" t="s">
        <v>64</v>
      </c>
      <c r="K17" s="62" t="s">
        <v>64</v>
      </c>
      <c r="L17" s="62" t="s">
        <v>64</v>
      </c>
      <c r="M17" s="62" t="s">
        <v>64</v>
      </c>
      <c r="N17" s="62">
        <v>2023</v>
      </c>
      <c r="O17" s="62" t="s">
        <v>136</v>
      </c>
      <c r="P17" s="62" t="s">
        <v>136</v>
      </c>
      <c r="Q17" s="62">
        <f>(1-Q4)*0.9</f>
        <v>0.26460000000000006</v>
      </c>
      <c r="R17" s="62">
        <f>(1-R4)*0.9</f>
        <v>0.26370000000000005</v>
      </c>
      <c r="S17" s="62">
        <f>(1-S4)*0.9</f>
        <v>0.26280000000000003</v>
      </c>
      <c r="T17" s="64" t="s">
        <v>129</v>
      </c>
      <c r="U17" s="65">
        <v>0.9985844444444445</v>
      </c>
      <c r="V17" s="65">
        <v>0.99774888888888891</v>
      </c>
      <c r="W17" s="65">
        <v>0.99691333333333332</v>
      </c>
      <c r="X17" s="65">
        <v>0.99607777777777784</v>
      </c>
      <c r="Y17" s="65">
        <v>0.99424222222222225</v>
      </c>
      <c r="Z17" s="65">
        <v>0.99040666666666666</v>
      </c>
      <c r="AA17" s="65">
        <v>0.97357111111111105</v>
      </c>
      <c r="AB17" s="65">
        <v>0.95673555555555556</v>
      </c>
      <c r="AC17" s="65">
        <v>0.93989999999999996</v>
      </c>
      <c r="AD17" s="65">
        <v>0.92123333333333324</v>
      </c>
      <c r="AE17" s="65">
        <v>0.90256666666666674</v>
      </c>
      <c r="AF17" s="65">
        <v>0.88390000000000002</v>
      </c>
      <c r="AG17" s="65">
        <v>0.87008181818181818</v>
      </c>
      <c r="AH17" s="65">
        <v>0.85426363636363634</v>
      </c>
      <c r="AI17" s="65">
        <v>0.83844545454545449</v>
      </c>
      <c r="AJ17" s="65">
        <v>0.82262727272727276</v>
      </c>
      <c r="AK17" s="65">
        <v>0.80680909090909092</v>
      </c>
      <c r="AL17" s="65">
        <v>0.79099090909090919</v>
      </c>
      <c r="AM17" s="65">
        <v>0.75227272727272732</v>
      </c>
      <c r="AN17" s="65">
        <v>0.71355454545454555</v>
      </c>
      <c r="AO17" s="65">
        <v>0.67483636363636368</v>
      </c>
      <c r="AP17" s="65">
        <v>0.6361181818181818</v>
      </c>
      <c r="AQ17" s="65">
        <v>0.59740000000000004</v>
      </c>
      <c r="AR17" s="65">
        <v>0.55970000000000009</v>
      </c>
      <c r="AS17" s="65">
        <v>0.52200000000000013</v>
      </c>
      <c r="AT17" s="65">
        <v>0.48430000000000012</v>
      </c>
      <c r="AU17" s="65">
        <v>0.44660000000000011</v>
      </c>
      <c r="AV17" s="65">
        <v>0.40889999999999999</v>
      </c>
      <c r="AW17" s="65">
        <v>0.39062999999999998</v>
      </c>
      <c r="AX17" s="65">
        <v>0.37236000000000002</v>
      </c>
      <c r="AY17" s="65">
        <v>0.35409000000000002</v>
      </c>
      <c r="AZ17" s="65">
        <v>0.33582000000000001</v>
      </c>
      <c r="BA17" s="65">
        <v>0.31755000000000011</v>
      </c>
      <c r="BB17" s="65">
        <v>0.2992800000000001</v>
      </c>
      <c r="BC17" s="65">
        <v>0.28101000000000009</v>
      </c>
      <c r="BD17" s="65">
        <v>0.26274000000000008</v>
      </c>
      <c r="BE17" s="65">
        <v>0.24447000000000008</v>
      </c>
      <c r="BF17" s="65">
        <v>0.22620000000000007</v>
      </c>
      <c r="BG17" s="65">
        <v>0.21598500000000009</v>
      </c>
      <c r="BH17" s="65">
        <v>0.20577000000000012</v>
      </c>
      <c r="BI17" s="65">
        <v>0.19555500000000026</v>
      </c>
      <c r="BJ17" s="65">
        <v>0.18534000000000028</v>
      </c>
      <c r="BK17" s="65">
        <v>0.17512500000000031</v>
      </c>
      <c r="BL17" s="65">
        <v>0.16491000000000033</v>
      </c>
      <c r="BM17" s="65">
        <v>0.15469500000000036</v>
      </c>
      <c r="BN17" s="65">
        <v>0.1444800000000005</v>
      </c>
      <c r="BO17" s="65">
        <v>0.13426500000000052</v>
      </c>
      <c r="BP17" s="65">
        <v>0.12405000000000044</v>
      </c>
    </row>
    <row r="18" spans="1:68" x14ac:dyDescent="0.3">
      <c r="A18" s="61" t="s">
        <v>10</v>
      </c>
      <c r="B18" s="62" t="s">
        <v>125</v>
      </c>
      <c r="C18" s="62" t="s">
        <v>126</v>
      </c>
      <c r="D18" s="48" t="s">
        <v>164</v>
      </c>
      <c r="E18" s="62" t="s">
        <v>165</v>
      </c>
      <c r="F18" s="62" t="s">
        <v>11</v>
      </c>
      <c r="G18" s="62" t="s">
        <v>11</v>
      </c>
      <c r="H18" s="62" t="s">
        <v>7</v>
      </c>
      <c r="I18" s="62" t="s">
        <v>64</v>
      </c>
      <c r="J18" s="62" t="s">
        <v>64</v>
      </c>
      <c r="K18" s="62" t="s">
        <v>64</v>
      </c>
      <c r="L18" s="62" t="s">
        <v>64</v>
      </c>
      <c r="M18" s="62" t="s">
        <v>64</v>
      </c>
      <c r="N18" s="62">
        <v>2023</v>
      </c>
      <c r="O18" s="62" t="s">
        <v>136</v>
      </c>
      <c r="P18" s="62">
        <v>0</v>
      </c>
      <c r="Q18" s="62">
        <v>0</v>
      </c>
      <c r="R18" s="62">
        <v>0</v>
      </c>
      <c r="S18" s="62">
        <v>0</v>
      </c>
      <c r="T18" s="64" t="s">
        <v>129</v>
      </c>
      <c r="U18" s="51">
        <v>0.99980199999999997</v>
      </c>
      <c r="V18" s="51">
        <v>0.99473500000000004</v>
      </c>
      <c r="W18" s="51">
        <v>0.98976799999999998</v>
      </c>
      <c r="X18" s="51">
        <v>0.98480100000000004</v>
      </c>
      <c r="Y18" s="51">
        <v>0.97983399999999998</v>
      </c>
      <c r="Z18" s="51">
        <v>0.97486700000000004</v>
      </c>
      <c r="AA18" s="51">
        <v>0.96989999999999998</v>
      </c>
      <c r="AB18" s="51">
        <v>0.94847142857142863</v>
      </c>
      <c r="AC18" s="51">
        <v>0.92704285714285717</v>
      </c>
      <c r="AD18" s="51">
        <v>0.9056142857142857</v>
      </c>
      <c r="AE18" s="51">
        <v>0.88418571428571435</v>
      </c>
      <c r="AF18" s="51">
        <v>0.86275714285714289</v>
      </c>
      <c r="AG18" s="51">
        <v>0.84132857142857143</v>
      </c>
      <c r="AH18" s="51">
        <v>0.81990000000000007</v>
      </c>
      <c r="AI18" s="51">
        <v>0.80190000000000006</v>
      </c>
      <c r="AJ18" s="51">
        <v>0.78390000000000004</v>
      </c>
      <c r="AK18" s="51">
        <v>0.76590000000000003</v>
      </c>
      <c r="AL18" s="51">
        <v>0.74790000000000001</v>
      </c>
      <c r="AM18" s="51">
        <v>0.72989999999999999</v>
      </c>
      <c r="AN18" s="51">
        <v>0.71189999999999998</v>
      </c>
      <c r="AO18" s="51">
        <v>0.69389999999999996</v>
      </c>
      <c r="AP18" s="51">
        <v>0.67589999999999995</v>
      </c>
      <c r="AQ18" s="51">
        <v>0.65789999999999993</v>
      </c>
      <c r="AR18" s="51">
        <v>0.63990000000000002</v>
      </c>
      <c r="AS18" s="51">
        <v>0.62790000000000001</v>
      </c>
      <c r="AT18" s="51">
        <v>0.6159</v>
      </c>
      <c r="AU18" s="51">
        <v>0.60389999999999999</v>
      </c>
      <c r="AV18" s="51">
        <v>0.59189999999999998</v>
      </c>
      <c r="AW18" s="51">
        <v>0.57989999999999997</v>
      </c>
      <c r="AX18" s="51">
        <v>0.56789999999999996</v>
      </c>
      <c r="AY18" s="51">
        <v>0.55589999999999995</v>
      </c>
      <c r="AZ18" s="51">
        <v>0.54389999999999994</v>
      </c>
      <c r="BA18" s="51">
        <v>0.53189999999999993</v>
      </c>
      <c r="BB18" s="51">
        <v>0.51990000000000003</v>
      </c>
      <c r="BC18" s="51">
        <v>0.51540000000000008</v>
      </c>
      <c r="BD18" s="51">
        <v>0.51090000000000013</v>
      </c>
      <c r="BE18" s="51">
        <v>0.50640000000000007</v>
      </c>
      <c r="BF18" s="51">
        <v>0.50190000000000012</v>
      </c>
      <c r="BG18" s="51">
        <v>0.49740000000000018</v>
      </c>
      <c r="BH18" s="51">
        <v>0.49290000000000023</v>
      </c>
      <c r="BI18" s="51">
        <v>0.48840000000000017</v>
      </c>
      <c r="BJ18" s="51">
        <v>0.48390000000000022</v>
      </c>
      <c r="BK18" s="51">
        <v>0.47940000000000027</v>
      </c>
      <c r="BL18" s="51">
        <v>0.47490000000000032</v>
      </c>
      <c r="BM18" s="51">
        <v>0.47040000000000037</v>
      </c>
      <c r="BN18" s="51">
        <v>0.46590000000000031</v>
      </c>
      <c r="BO18" s="51">
        <v>0.46140000000000037</v>
      </c>
      <c r="BP18" s="51">
        <v>0.45690000000000042</v>
      </c>
    </row>
    <row r="19" spans="1:68" x14ac:dyDescent="0.3">
      <c r="A19" s="61" t="s">
        <v>10</v>
      </c>
      <c r="B19" s="62" t="s">
        <v>125</v>
      </c>
      <c r="C19" s="62" t="s">
        <v>60</v>
      </c>
      <c r="D19" s="48" t="s">
        <v>166</v>
      </c>
      <c r="E19" s="62" t="s">
        <v>167</v>
      </c>
      <c r="F19" s="62" t="s">
        <v>11</v>
      </c>
      <c r="G19" s="62" t="s">
        <v>11</v>
      </c>
      <c r="H19" s="62" t="s">
        <v>7</v>
      </c>
      <c r="I19" s="62" t="s">
        <v>64</v>
      </c>
      <c r="J19" s="62" t="s">
        <v>64</v>
      </c>
      <c r="K19" s="62" t="s">
        <v>64</v>
      </c>
      <c r="L19" s="62" t="s">
        <v>64</v>
      </c>
      <c r="M19" s="62" t="s">
        <v>64</v>
      </c>
      <c r="N19" s="62">
        <v>2023</v>
      </c>
      <c r="O19" s="62" t="s">
        <v>136</v>
      </c>
      <c r="P19" s="62" t="s">
        <v>136</v>
      </c>
      <c r="Q19" s="62">
        <v>0</v>
      </c>
      <c r="R19" s="62">
        <v>0</v>
      </c>
      <c r="S19" s="62">
        <v>0</v>
      </c>
      <c r="T19" s="64" t="s">
        <v>129</v>
      </c>
      <c r="U19" s="51">
        <v>0</v>
      </c>
      <c r="V19" s="51">
        <v>0</v>
      </c>
      <c r="W19" s="51">
        <v>0</v>
      </c>
      <c r="X19" s="51">
        <v>0</v>
      </c>
      <c r="Y19" s="51">
        <v>0</v>
      </c>
      <c r="Z19" s="51">
        <v>0</v>
      </c>
      <c r="AA19" s="51">
        <v>0</v>
      </c>
      <c r="AB19" s="51">
        <v>0</v>
      </c>
      <c r="AC19" s="51">
        <v>0</v>
      </c>
      <c r="AD19" s="51">
        <v>0</v>
      </c>
      <c r="AE19" s="51">
        <v>0</v>
      </c>
      <c r="AF19" s="51">
        <v>0</v>
      </c>
      <c r="AG19" s="51">
        <v>0</v>
      </c>
      <c r="AH19" s="51">
        <v>0</v>
      </c>
      <c r="AI19" s="51">
        <v>0</v>
      </c>
      <c r="AJ19" s="51">
        <v>0</v>
      </c>
      <c r="AK19" s="51">
        <v>0</v>
      </c>
      <c r="AL19" s="51">
        <v>0</v>
      </c>
      <c r="AM19" s="51">
        <v>0</v>
      </c>
      <c r="AN19" s="51">
        <v>0</v>
      </c>
      <c r="AO19" s="51">
        <v>0</v>
      </c>
      <c r="AP19" s="51">
        <v>0</v>
      </c>
      <c r="AQ19" s="51">
        <v>0</v>
      </c>
      <c r="AR19" s="51">
        <v>0</v>
      </c>
      <c r="AS19" s="51">
        <v>0</v>
      </c>
      <c r="AT19" s="51">
        <v>0</v>
      </c>
      <c r="AU19" s="51">
        <v>0</v>
      </c>
      <c r="AV19" s="51">
        <v>0</v>
      </c>
      <c r="AW19" s="51">
        <v>0</v>
      </c>
      <c r="AX19" s="51">
        <v>0</v>
      </c>
      <c r="AY19" s="51">
        <v>0</v>
      </c>
      <c r="AZ19" s="51">
        <v>0</v>
      </c>
      <c r="BA19" s="51">
        <v>0</v>
      </c>
      <c r="BB19" s="51">
        <v>0</v>
      </c>
      <c r="BC19" s="51">
        <v>0</v>
      </c>
      <c r="BD19" s="51">
        <v>0</v>
      </c>
      <c r="BE19" s="51">
        <v>0</v>
      </c>
      <c r="BF19" s="51">
        <v>0</v>
      </c>
      <c r="BG19" s="51">
        <v>0</v>
      </c>
      <c r="BH19" s="51">
        <v>0</v>
      </c>
      <c r="BI19" s="51">
        <v>0</v>
      </c>
      <c r="BJ19" s="51">
        <v>0</v>
      </c>
      <c r="BK19" s="51">
        <v>0</v>
      </c>
      <c r="BL19" s="51">
        <v>0</v>
      </c>
      <c r="BM19" s="51">
        <v>0</v>
      </c>
      <c r="BN19" s="51">
        <v>0</v>
      </c>
      <c r="BO19" s="51">
        <v>0</v>
      </c>
      <c r="BP19" s="51">
        <v>0</v>
      </c>
    </row>
    <row r="20" spans="1:68" x14ac:dyDescent="0.3">
      <c r="A20" s="61" t="s">
        <v>10</v>
      </c>
      <c r="B20" s="62" t="s">
        <v>125</v>
      </c>
      <c r="C20" s="62" t="s">
        <v>60</v>
      </c>
      <c r="D20" s="48" t="s">
        <v>168</v>
      </c>
      <c r="E20" s="66" t="s">
        <v>169</v>
      </c>
      <c r="F20" s="62" t="s">
        <v>11</v>
      </c>
      <c r="G20" s="62" t="s">
        <v>11</v>
      </c>
      <c r="H20" s="62" t="s">
        <v>7</v>
      </c>
      <c r="I20" s="62" t="s">
        <v>64</v>
      </c>
      <c r="J20" s="62" t="s">
        <v>64</v>
      </c>
      <c r="K20" s="62" t="s">
        <v>64</v>
      </c>
      <c r="L20" s="62" t="s">
        <v>64</v>
      </c>
      <c r="M20" s="62" t="s">
        <v>64</v>
      </c>
      <c r="N20" s="62">
        <v>2023</v>
      </c>
      <c r="O20" s="62" t="s">
        <v>136</v>
      </c>
      <c r="P20" s="62">
        <v>0</v>
      </c>
      <c r="Q20" s="62">
        <v>0</v>
      </c>
      <c r="R20" s="62">
        <v>0</v>
      </c>
      <c r="S20" s="62">
        <v>0</v>
      </c>
      <c r="T20" s="64" t="s">
        <v>129</v>
      </c>
      <c r="U20" s="51">
        <v>0</v>
      </c>
      <c r="V20" s="51">
        <v>0</v>
      </c>
      <c r="W20" s="51">
        <v>0</v>
      </c>
      <c r="X20" s="51">
        <v>0</v>
      </c>
      <c r="Y20" s="51">
        <v>0</v>
      </c>
      <c r="Z20" s="51">
        <v>0</v>
      </c>
      <c r="AA20" s="51">
        <v>0</v>
      </c>
      <c r="AB20" s="51">
        <v>0</v>
      </c>
      <c r="AC20" s="51">
        <v>0</v>
      </c>
      <c r="AD20" s="51">
        <v>0</v>
      </c>
      <c r="AE20" s="51">
        <v>0</v>
      </c>
      <c r="AF20" s="51">
        <v>0</v>
      </c>
      <c r="AG20" s="51">
        <v>0</v>
      </c>
      <c r="AH20" s="51">
        <v>0</v>
      </c>
      <c r="AI20" s="51">
        <v>0</v>
      </c>
      <c r="AJ20" s="51">
        <v>0</v>
      </c>
      <c r="AK20" s="51">
        <v>0</v>
      </c>
      <c r="AL20" s="51">
        <v>0</v>
      </c>
      <c r="AM20" s="51">
        <v>0</v>
      </c>
      <c r="AN20" s="51">
        <v>0</v>
      </c>
      <c r="AO20" s="51">
        <v>0</v>
      </c>
      <c r="AP20" s="51">
        <v>0</v>
      </c>
      <c r="AQ20" s="51">
        <v>0</v>
      </c>
      <c r="AR20" s="51">
        <v>0</v>
      </c>
      <c r="AS20" s="51">
        <v>0</v>
      </c>
      <c r="AT20" s="51">
        <v>0</v>
      </c>
      <c r="AU20" s="51">
        <v>0</v>
      </c>
      <c r="AV20" s="51">
        <v>0</v>
      </c>
      <c r="AW20" s="51">
        <v>0</v>
      </c>
      <c r="AX20" s="51">
        <v>0</v>
      </c>
      <c r="AY20" s="51">
        <v>0</v>
      </c>
      <c r="AZ20" s="51">
        <v>0</v>
      </c>
      <c r="BA20" s="51">
        <v>0</v>
      </c>
      <c r="BB20" s="51">
        <v>0</v>
      </c>
      <c r="BC20" s="51">
        <v>0</v>
      </c>
      <c r="BD20" s="51">
        <v>0</v>
      </c>
      <c r="BE20" s="51">
        <v>0</v>
      </c>
      <c r="BF20" s="51">
        <v>0</v>
      </c>
      <c r="BG20" s="51">
        <v>0</v>
      </c>
      <c r="BH20" s="51">
        <v>0</v>
      </c>
      <c r="BI20" s="51">
        <v>0</v>
      </c>
      <c r="BJ20" s="51">
        <v>0</v>
      </c>
      <c r="BK20" s="51">
        <v>0</v>
      </c>
      <c r="BL20" s="51">
        <v>0</v>
      </c>
      <c r="BM20" s="51">
        <v>0</v>
      </c>
      <c r="BN20" s="51">
        <v>0</v>
      </c>
      <c r="BO20" s="51">
        <v>0</v>
      </c>
      <c r="BP20" s="51">
        <v>0</v>
      </c>
    </row>
    <row r="21" spans="1:68" x14ac:dyDescent="0.3">
      <c r="A21" s="61" t="s">
        <v>10</v>
      </c>
      <c r="B21" s="62" t="s">
        <v>125</v>
      </c>
      <c r="C21" s="62" t="s">
        <v>60</v>
      </c>
      <c r="D21" s="48" t="s">
        <v>170</v>
      </c>
      <c r="E21" s="62" t="s">
        <v>171</v>
      </c>
      <c r="F21" s="62" t="s">
        <v>11</v>
      </c>
      <c r="G21" s="62" t="s">
        <v>11</v>
      </c>
      <c r="H21" s="62" t="s">
        <v>7</v>
      </c>
      <c r="I21" s="62" t="s">
        <v>64</v>
      </c>
      <c r="J21" s="62" t="s">
        <v>64</v>
      </c>
      <c r="K21" s="62" t="s">
        <v>64</v>
      </c>
      <c r="L21" s="62" t="s">
        <v>64</v>
      </c>
      <c r="M21" s="62" t="s">
        <v>64</v>
      </c>
      <c r="N21" s="62">
        <v>2023</v>
      </c>
      <c r="O21" s="62" t="s">
        <v>136</v>
      </c>
      <c r="P21" s="62" t="s">
        <v>136</v>
      </c>
      <c r="Q21" s="62">
        <f>(1-Q5)*0.9</f>
        <v>5.4899999999999949E-2</v>
      </c>
      <c r="R21" s="62">
        <f t="shared" ref="R21:S21" si="4">(1-R5)*0.9</f>
        <v>5.3999999999999951E-2</v>
      </c>
      <c r="S21" s="62">
        <f t="shared" si="4"/>
        <v>5.3099999999999946E-2</v>
      </c>
      <c r="T21" s="64" t="s">
        <v>129</v>
      </c>
      <c r="U21" s="51">
        <v>0.99940000000000007</v>
      </c>
      <c r="V21" s="51">
        <v>0.99929999999999997</v>
      </c>
      <c r="W21" s="51">
        <v>0.99924999999999997</v>
      </c>
      <c r="X21" s="51">
        <v>0.99919999999999998</v>
      </c>
      <c r="Y21" s="51">
        <v>0.99914999999999998</v>
      </c>
      <c r="Z21" s="51">
        <v>0.99890000000000001</v>
      </c>
      <c r="AA21" s="51">
        <v>0.99790000000000001</v>
      </c>
      <c r="AB21" s="51">
        <v>0.99690000000000001</v>
      </c>
      <c r="AC21" s="51">
        <v>0.98698571428571424</v>
      </c>
      <c r="AD21" s="51">
        <v>0.97707142857142859</v>
      </c>
      <c r="AE21" s="51">
        <v>0.96715714285714283</v>
      </c>
      <c r="AF21" s="51">
        <v>0.95724285714285717</v>
      </c>
      <c r="AG21" s="51">
        <v>0.94732857142857141</v>
      </c>
      <c r="AH21" s="51">
        <v>0.93741428571428576</v>
      </c>
      <c r="AI21" s="51">
        <v>0.92749999999999999</v>
      </c>
      <c r="AJ21" s="51">
        <v>0.91758571428571434</v>
      </c>
      <c r="AK21" s="51">
        <v>0.90767142857142857</v>
      </c>
      <c r="AL21" s="51">
        <v>0.89775714285714292</v>
      </c>
      <c r="AM21" s="51">
        <v>0.85551142857142859</v>
      </c>
      <c r="AN21" s="51">
        <v>0.81326571428571426</v>
      </c>
      <c r="AO21" s="51">
        <v>0.77102000000000004</v>
      </c>
      <c r="AP21" s="51">
        <v>0.72877428571428582</v>
      </c>
      <c r="AQ21" s="51">
        <v>0.68652857142857149</v>
      </c>
      <c r="AR21" s="51">
        <v>0.64428285714285716</v>
      </c>
      <c r="AS21" s="51">
        <v>0.60203714285714294</v>
      </c>
      <c r="AT21" s="51">
        <v>0.55979142857142872</v>
      </c>
      <c r="AU21" s="51">
        <v>0.51754571428571439</v>
      </c>
      <c r="AV21" s="51">
        <v>0.47529999999999994</v>
      </c>
      <c r="AW21" s="51">
        <v>0.42759999999999998</v>
      </c>
      <c r="AX21" s="51">
        <v>0.41101999999999994</v>
      </c>
      <c r="AY21" s="51">
        <v>0.3944399999999999</v>
      </c>
      <c r="AZ21" s="51">
        <v>0.37785999999999986</v>
      </c>
      <c r="BA21" s="51">
        <v>0.36127999999999982</v>
      </c>
      <c r="BB21" s="51">
        <v>0.3446999999999999</v>
      </c>
      <c r="BC21" s="51">
        <v>0.33589999999999987</v>
      </c>
      <c r="BD21" s="51">
        <v>0.32709999999999984</v>
      </c>
      <c r="BE21" s="51">
        <v>0.31829999999999981</v>
      </c>
      <c r="BF21" s="51">
        <v>0.30949999999999978</v>
      </c>
      <c r="BG21" s="51">
        <v>0.30069999999999975</v>
      </c>
      <c r="BH21" s="51">
        <v>0.29190000000000005</v>
      </c>
      <c r="BI21" s="51">
        <v>0.28600000000000003</v>
      </c>
      <c r="BJ21" s="51">
        <v>0.28010000000000002</v>
      </c>
      <c r="BK21" s="51">
        <v>0.2742</v>
      </c>
      <c r="BL21" s="51">
        <v>0.26829999999999998</v>
      </c>
      <c r="BM21" s="51">
        <v>0.26239999999999997</v>
      </c>
      <c r="BN21" s="51">
        <v>0.25649999999999995</v>
      </c>
      <c r="BO21" s="51">
        <v>0.25059999999999993</v>
      </c>
      <c r="BP21" s="51">
        <v>0.24990000000000001</v>
      </c>
    </row>
    <row r="22" spans="1:68" x14ac:dyDescent="0.3">
      <c r="A22" s="61" t="s">
        <v>10</v>
      </c>
      <c r="B22" s="62" t="s">
        <v>125</v>
      </c>
      <c r="C22" s="62" t="s">
        <v>126</v>
      </c>
      <c r="D22" s="48" t="s">
        <v>172</v>
      </c>
      <c r="E22" s="62" t="s">
        <v>173</v>
      </c>
      <c r="F22" s="62" t="s">
        <v>11</v>
      </c>
      <c r="G22" s="62" t="s">
        <v>11</v>
      </c>
      <c r="H22" s="62" t="s">
        <v>7</v>
      </c>
      <c r="I22" s="62" t="s">
        <v>64</v>
      </c>
      <c r="J22" s="62" t="s">
        <v>64</v>
      </c>
      <c r="K22" s="62" t="s">
        <v>64</v>
      </c>
      <c r="L22" s="62" t="s">
        <v>64</v>
      </c>
      <c r="M22" s="62" t="s">
        <v>64</v>
      </c>
      <c r="N22" s="62">
        <v>2023</v>
      </c>
      <c r="O22" s="62" t="s">
        <v>136</v>
      </c>
      <c r="P22" s="62" t="s">
        <v>136</v>
      </c>
      <c r="Q22" s="62">
        <f>(1-Q9)*0.9*0.97</f>
        <v>0.46356300000000006</v>
      </c>
      <c r="R22" s="62">
        <f t="shared" ref="R22:S22" si="5">(1-R9)*0.9*0.97</f>
        <v>0.46269000000000005</v>
      </c>
      <c r="S22" s="62">
        <f t="shared" si="5"/>
        <v>0.46181700000000003</v>
      </c>
      <c r="T22" s="64" t="s">
        <v>129</v>
      </c>
      <c r="U22" s="51">
        <v>0.96819999999999995</v>
      </c>
      <c r="V22" s="51">
        <v>0.96155714285714289</v>
      </c>
      <c r="W22" s="51">
        <v>0.9551142857142858</v>
      </c>
      <c r="X22" s="51">
        <v>0.94447142857142852</v>
      </c>
      <c r="Y22" s="51">
        <v>0.9393285714285714</v>
      </c>
      <c r="Z22" s="51">
        <v>0.93447142857142862</v>
      </c>
      <c r="AA22" s="51">
        <v>0.92561428571428561</v>
      </c>
      <c r="AB22" s="51">
        <v>0.91789999999999994</v>
      </c>
      <c r="AC22" s="51">
        <v>0.90124285714285712</v>
      </c>
      <c r="AD22" s="51">
        <v>0.88972857142857142</v>
      </c>
      <c r="AE22" s="51">
        <v>0.87821428571428573</v>
      </c>
      <c r="AF22" s="51">
        <v>0.86670000000000003</v>
      </c>
      <c r="AG22" s="51">
        <v>0.84449999999999992</v>
      </c>
      <c r="AH22" s="51">
        <v>0.8155</v>
      </c>
      <c r="AI22" s="51">
        <v>0.78650000000000009</v>
      </c>
      <c r="AJ22" s="51">
        <v>0.75749999999999995</v>
      </c>
      <c r="AK22" s="51">
        <v>0.72849999999999993</v>
      </c>
      <c r="AL22" s="51">
        <v>0.69950000000000001</v>
      </c>
      <c r="AM22" s="51">
        <v>0.67190000000000005</v>
      </c>
      <c r="AN22" s="51">
        <v>0.64429999999999987</v>
      </c>
      <c r="AO22" s="51">
        <v>0.61670000000000003</v>
      </c>
      <c r="AP22" s="51">
        <v>0.58910000000000007</v>
      </c>
      <c r="AQ22" s="51">
        <v>0.55889999999999995</v>
      </c>
      <c r="AR22" s="51">
        <v>0.53900000000000003</v>
      </c>
      <c r="AS22" s="51">
        <v>0.51909999999999989</v>
      </c>
      <c r="AT22" s="51">
        <v>0.49919999999999998</v>
      </c>
      <c r="AU22" s="51">
        <v>0.4793</v>
      </c>
      <c r="AV22" s="51">
        <v>0.45939999999999992</v>
      </c>
      <c r="AW22" s="51">
        <v>0.43809999999999988</v>
      </c>
      <c r="AX22" s="51">
        <v>0.41679999999999995</v>
      </c>
      <c r="AY22" s="51">
        <v>0.39549999999999991</v>
      </c>
      <c r="AZ22" s="51">
        <v>0.37420000000000009</v>
      </c>
      <c r="BA22" s="51">
        <v>0.35965000000000008</v>
      </c>
      <c r="BB22" s="51">
        <v>0.34750000000000009</v>
      </c>
      <c r="BC22" s="51">
        <v>0.3353500000000002</v>
      </c>
      <c r="BD22" s="51">
        <v>0.32320000000000021</v>
      </c>
      <c r="BE22" s="51">
        <v>0.31105000000000022</v>
      </c>
      <c r="BF22" s="51">
        <v>0.29890000000000011</v>
      </c>
      <c r="BG22" s="51">
        <v>0.28675000000000017</v>
      </c>
      <c r="BH22" s="51">
        <v>0.27460000000000018</v>
      </c>
      <c r="BI22" s="51">
        <v>0.26245000000000018</v>
      </c>
      <c r="BJ22" s="51">
        <v>0.25030000000000024</v>
      </c>
      <c r="BK22" s="51">
        <v>0.23815000000000025</v>
      </c>
      <c r="BL22" s="51">
        <v>0.22600000000000031</v>
      </c>
      <c r="BM22" s="51">
        <v>0.21385000000000032</v>
      </c>
      <c r="BN22" s="51">
        <v>0.20170000000000032</v>
      </c>
      <c r="BO22" s="51">
        <v>0.1963000000000002</v>
      </c>
      <c r="BP22" s="51">
        <v>0.19040000000000018</v>
      </c>
    </row>
    <row r="23" spans="1:68" x14ac:dyDescent="0.3">
      <c r="A23" s="61" t="s">
        <v>10</v>
      </c>
      <c r="B23" s="62" t="s">
        <v>125</v>
      </c>
      <c r="C23" s="62" t="s">
        <v>152</v>
      </c>
      <c r="D23" s="48" t="s">
        <v>174</v>
      </c>
      <c r="E23" s="62" t="s">
        <v>175</v>
      </c>
      <c r="F23" s="62" t="s">
        <v>11</v>
      </c>
      <c r="G23" s="62" t="s">
        <v>11</v>
      </c>
      <c r="H23" s="62" t="s">
        <v>7</v>
      </c>
      <c r="I23" s="62" t="s">
        <v>64</v>
      </c>
      <c r="J23" s="62" t="s">
        <v>64</v>
      </c>
      <c r="K23" s="62" t="s">
        <v>64</v>
      </c>
      <c r="L23" s="62" t="s">
        <v>64</v>
      </c>
      <c r="M23" s="62" t="s">
        <v>64</v>
      </c>
      <c r="N23" s="62">
        <v>2023</v>
      </c>
      <c r="O23" s="62">
        <f>(1-O13)*0.95</f>
        <v>0.874</v>
      </c>
      <c r="P23" s="62">
        <f t="shared" ref="P23:S23" si="6">(1-P13)*0.95</f>
        <v>0.87209999999999999</v>
      </c>
      <c r="Q23" s="62">
        <f t="shared" si="6"/>
        <v>0.76760000000000006</v>
      </c>
      <c r="R23" s="62">
        <f t="shared" si="6"/>
        <v>0.76664999999999994</v>
      </c>
      <c r="S23" s="62">
        <f t="shared" si="6"/>
        <v>0.76570000000000005</v>
      </c>
      <c r="T23" s="64" t="s">
        <v>129</v>
      </c>
      <c r="U23" s="51">
        <v>0.99990000000000001</v>
      </c>
      <c r="V23" s="51">
        <v>0.99990000000000001</v>
      </c>
      <c r="W23" s="51">
        <v>0.99990000000000001</v>
      </c>
      <c r="X23" s="51">
        <v>0.99990000000000001</v>
      </c>
      <c r="Y23" s="51">
        <v>0.99990000000000001</v>
      </c>
      <c r="Z23" s="51">
        <v>0.99990000000000001</v>
      </c>
      <c r="AA23" s="51">
        <v>0.99990000000000001</v>
      </c>
      <c r="AB23" s="51">
        <v>0.99940000000000007</v>
      </c>
      <c r="AC23" s="51">
        <v>0.99804285714285712</v>
      </c>
      <c r="AD23" s="51">
        <v>0.99618571428571434</v>
      </c>
      <c r="AE23" s="51">
        <v>0.99432857142857145</v>
      </c>
      <c r="AF23" s="51">
        <v>0.99247142857142856</v>
      </c>
      <c r="AG23" s="51">
        <v>0.99061428571428567</v>
      </c>
      <c r="AH23" s="51">
        <v>0.98875714285714289</v>
      </c>
      <c r="AI23" s="51">
        <v>0.98140000000000005</v>
      </c>
      <c r="AJ23" s="51">
        <v>0.97015000000000007</v>
      </c>
      <c r="AK23" s="51">
        <v>0.95889999999999997</v>
      </c>
      <c r="AL23" s="51">
        <v>0.94764999999999999</v>
      </c>
      <c r="AM23" s="51">
        <v>0.93640000000000001</v>
      </c>
      <c r="AN23" s="51">
        <v>0.92515000000000003</v>
      </c>
      <c r="AO23" s="51">
        <v>0.91390000000000005</v>
      </c>
      <c r="AP23" s="51">
        <v>0.90265000000000006</v>
      </c>
      <c r="AQ23" s="51">
        <v>0.89139999999999997</v>
      </c>
      <c r="AR23" s="51">
        <v>0.88014999999999999</v>
      </c>
      <c r="AS23" s="51">
        <v>0.86890000000000001</v>
      </c>
      <c r="AT23" s="51">
        <v>0.85765000000000002</v>
      </c>
      <c r="AU23" s="51">
        <v>0.84640000000000004</v>
      </c>
      <c r="AV23" s="51">
        <v>0.83515000000000006</v>
      </c>
      <c r="AW23" s="51">
        <v>0.82389999999999997</v>
      </c>
      <c r="AX23" s="51">
        <v>0.81264999999999998</v>
      </c>
      <c r="AY23" s="51">
        <v>0.8014</v>
      </c>
      <c r="AZ23" s="51">
        <v>0.77469999999999994</v>
      </c>
      <c r="BA23" s="51">
        <v>0.73350000000000004</v>
      </c>
      <c r="BB23" s="51">
        <v>0.69229999999999992</v>
      </c>
      <c r="BC23" s="51">
        <v>0.65110000000000001</v>
      </c>
      <c r="BD23" s="51">
        <v>0.60989999999999989</v>
      </c>
      <c r="BE23" s="51">
        <v>0.56869999999999998</v>
      </c>
      <c r="BF23" s="51">
        <v>0.52749999999999986</v>
      </c>
      <c r="BG23" s="51">
        <v>0.48629999999999995</v>
      </c>
      <c r="BH23" s="51">
        <v>0.44509999999999994</v>
      </c>
      <c r="BI23" s="51">
        <v>0.40390000000000004</v>
      </c>
      <c r="BJ23" s="51">
        <v>0.38870000000000005</v>
      </c>
      <c r="BK23" s="51">
        <v>0.37350000000000005</v>
      </c>
      <c r="BL23" s="51">
        <v>0.35830000000000006</v>
      </c>
      <c r="BM23" s="51">
        <v>0.34310000000000007</v>
      </c>
      <c r="BN23" s="51">
        <v>0.32790000000000008</v>
      </c>
      <c r="BO23" s="51">
        <v>0.31270000000000009</v>
      </c>
      <c r="BP23" s="51">
        <v>0.2975000000000001</v>
      </c>
    </row>
    <row r="24" spans="1:68" x14ac:dyDescent="0.3">
      <c r="A24" s="61" t="s">
        <v>10</v>
      </c>
      <c r="B24" s="62" t="s">
        <v>125</v>
      </c>
      <c r="C24" s="62" t="s">
        <v>126</v>
      </c>
      <c r="D24" s="48" t="s">
        <v>176</v>
      </c>
      <c r="E24" s="62" t="s">
        <v>177</v>
      </c>
      <c r="F24" s="62" t="s">
        <v>11</v>
      </c>
      <c r="G24" s="62" t="s">
        <v>11</v>
      </c>
      <c r="H24" s="62" t="s">
        <v>7</v>
      </c>
      <c r="I24" s="62" t="s">
        <v>64</v>
      </c>
      <c r="J24" s="62" t="s">
        <v>64</v>
      </c>
      <c r="K24" s="62" t="s">
        <v>64</v>
      </c>
      <c r="L24" s="62" t="s">
        <v>64</v>
      </c>
      <c r="M24" s="62" t="s">
        <v>64</v>
      </c>
      <c r="N24" s="62">
        <v>2023</v>
      </c>
      <c r="O24" s="62" t="s">
        <v>136</v>
      </c>
      <c r="P24" s="62" t="s">
        <v>136</v>
      </c>
      <c r="Q24" s="62">
        <f>(1-Q9)*0.9*0.03</f>
        <v>1.4337000000000001E-2</v>
      </c>
      <c r="R24" s="62">
        <f t="shared" ref="R24:S24" si="7">(1-R9)*0.9*0.03</f>
        <v>1.431E-2</v>
      </c>
      <c r="S24" s="62">
        <f t="shared" si="7"/>
        <v>1.4283000000000001E-2</v>
      </c>
      <c r="T24" s="64" t="s">
        <v>129</v>
      </c>
      <c r="U24" s="51">
        <v>2.1000000000000001E-2</v>
      </c>
      <c r="V24" s="51">
        <v>2.2142857142857145E-2</v>
      </c>
      <c r="W24" s="51">
        <v>2.3285714285714288E-2</v>
      </c>
      <c r="X24" s="51">
        <v>2.4428571428571431E-2</v>
      </c>
      <c r="Y24" s="51">
        <v>2.5571428571428575E-2</v>
      </c>
      <c r="Z24" s="51">
        <v>2.6714285714285718E-2</v>
      </c>
      <c r="AA24" s="51">
        <v>2.7857142857142862E-2</v>
      </c>
      <c r="AB24" s="51">
        <v>2.9000000000000001E-2</v>
      </c>
      <c r="AC24" s="51">
        <v>2.8800000000000003E-2</v>
      </c>
      <c r="AD24" s="51">
        <v>2.8600000000000004E-2</v>
      </c>
      <c r="AE24" s="51">
        <v>2.8400000000000005E-2</v>
      </c>
      <c r="AF24" s="51">
        <v>2.8200000000000006E-2</v>
      </c>
      <c r="AG24" s="51">
        <v>2.8000000000000008E-2</v>
      </c>
      <c r="AH24" s="51">
        <v>2.7800000000000009E-2</v>
      </c>
      <c r="AI24" s="51">
        <v>2.760000000000001E-2</v>
      </c>
      <c r="AJ24" s="51">
        <v>2.7400000000000011E-2</v>
      </c>
      <c r="AK24" s="51">
        <v>2.7200000000000012E-2</v>
      </c>
      <c r="AL24" s="51">
        <v>2.7E-2</v>
      </c>
      <c r="AM24" s="51">
        <v>2.5399999999999999E-2</v>
      </c>
      <c r="AN24" s="51">
        <v>2.3799999999999998E-2</v>
      </c>
      <c r="AO24" s="51">
        <v>2.2199999999999998E-2</v>
      </c>
      <c r="AP24" s="51">
        <v>2.0599999999999997E-2</v>
      </c>
      <c r="AQ24" s="51">
        <v>1.8999999999999996E-2</v>
      </c>
      <c r="AR24" s="51">
        <v>1.7399999999999995E-2</v>
      </c>
      <c r="AS24" s="51">
        <v>1.5799999999999995E-2</v>
      </c>
      <c r="AT24" s="51">
        <v>1.4199999999999994E-2</v>
      </c>
      <c r="AU24" s="51">
        <v>1.2599999999999993E-2</v>
      </c>
      <c r="AV24" s="51">
        <v>1.0999999999999999E-2</v>
      </c>
      <c r="AW24" s="51">
        <v>1.0799999999999999E-2</v>
      </c>
      <c r="AX24" s="51">
        <v>1.0599999999999998E-2</v>
      </c>
      <c r="AY24" s="51">
        <v>1.0399999999999998E-2</v>
      </c>
      <c r="AZ24" s="51">
        <v>1.0199999999999997E-2</v>
      </c>
      <c r="BA24" s="51">
        <v>9.9999999999999967E-3</v>
      </c>
      <c r="BB24" s="51">
        <v>9.7999999999999962E-3</v>
      </c>
      <c r="BC24" s="51">
        <v>9.5999999999999957E-3</v>
      </c>
      <c r="BD24" s="51">
        <v>9.3999999999999952E-3</v>
      </c>
      <c r="BE24" s="51">
        <v>9.1999999999999946E-3</v>
      </c>
      <c r="BF24" s="51">
        <v>8.9999999999999941E-3</v>
      </c>
      <c r="BG24" s="51">
        <v>8.7999999999999936E-3</v>
      </c>
      <c r="BH24" s="51">
        <v>8.5999999999999931E-3</v>
      </c>
      <c r="BI24" s="51">
        <v>8.3999999999999925E-3</v>
      </c>
      <c r="BJ24" s="51">
        <v>8.199999999999992E-3</v>
      </c>
      <c r="BK24" s="51">
        <v>7.9999999999999915E-3</v>
      </c>
      <c r="BL24" s="51">
        <v>7.7999999999999918E-3</v>
      </c>
      <c r="BM24" s="51">
        <v>7.5999999999999922E-3</v>
      </c>
      <c r="BN24" s="51">
        <v>7.3999999999999925E-3</v>
      </c>
      <c r="BO24" s="51">
        <v>7.1999999999999929E-3</v>
      </c>
      <c r="BP24" s="51">
        <v>7.0000000000000001E-3</v>
      </c>
    </row>
    <row r="25" spans="1:68" x14ac:dyDescent="0.3">
      <c r="A25" s="61" t="s">
        <v>10</v>
      </c>
      <c r="B25" s="62" t="s">
        <v>125</v>
      </c>
      <c r="C25" s="62" t="s">
        <v>126</v>
      </c>
      <c r="D25" s="48" t="s">
        <v>178</v>
      </c>
      <c r="E25" s="62" t="s">
        <v>179</v>
      </c>
      <c r="F25" s="62" t="s">
        <v>11</v>
      </c>
      <c r="G25" s="62" t="s">
        <v>11</v>
      </c>
      <c r="H25" s="62" t="s">
        <v>7</v>
      </c>
      <c r="I25" s="62" t="s">
        <v>64</v>
      </c>
      <c r="J25" s="62" t="s">
        <v>64</v>
      </c>
      <c r="K25" s="62" t="s">
        <v>64</v>
      </c>
      <c r="L25" s="62" t="s">
        <v>64</v>
      </c>
      <c r="M25" s="62" t="s">
        <v>64</v>
      </c>
      <c r="N25" s="62">
        <v>2023</v>
      </c>
      <c r="O25" s="62" t="s">
        <v>136</v>
      </c>
      <c r="P25" s="62" t="s">
        <v>136</v>
      </c>
      <c r="Q25" s="62">
        <f>(1-Q8)*0.9</f>
        <v>0.47790000000000005</v>
      </c>
      <c r="R25" s="62">
        <f t="shared" ref="R25:S25" si="8">(1-R8)*0.9</f>
        <v>0.47700000000000004</v>
      </c>
      <c r="S25" s="62">
        <f t="shared" si="8"/>
        <v>0.47610000000000002</v>
      </c>
      <c r="T25" s="64" t="s">
        <v>129</v>
      </c>
      <c r="U25" s="65">
        <v>0.99140000000000006</v>
      </c>
      <c r="V25" s="65">
        <v>0.9899</v>
      </c>
      <c r="W25" s="65">
        <v>0.9859</v>
      </c>
      <c r="X25" s="65">
        <v>0.97689999999999999</v>
      </c>
      <c r="Y25" s="65">
        <v>0.97389999999999999</v>
      </c>
      <c r="Z25" s="65">
        <v>0.97089999999999999</v>
      </c>
      <c r="AA25" s="65">
        <v>0.95211848739495797</v>
      </c>
      <c r="AB25" s="65">
        <v>0.93333697478991595</v>
      </c>
      <c r="AC25" s="65">
        <v>0.91475546218487391</v>
      </c>
      <c r="AD25" s="65">
        <v>0.89617394957983187</v>
      </c>
      <c r="AE25" s="65">
        <v>0.87759243697478995</v>
      </c>
      <c r="AF25" s="65">
        <v>0.85901092436974791</v>
      </c>
      <c r="AG25" s="65">
        <v>0.84042941176470587</v>
      </c>
      <c r="AH25" s="65">
        <v>0.81637647058823526</v>
      </c>
      <c r="AI25" s="65">
        <v>0.79232352941176465</v>
      </c>
      <c r="AJ25" s="65">
        <v>0.76827058823529415</v>
      </c>
      <c r="AK25" s="65">
        <v>0.74421764705882354</v>
      </c>
      <c r="AL25" s="65">
        <v>0.72016470588235304</v>
      </c>
      <c r="AM25" s="65">
        <v>0.6964117647058824</v>
      </c>
      <c r="AN25" s="65">
        <v>0.67265882352941175</v>
      </c>
      <c r="AO25" s="65">
        <v>0.64890588235294122</v>
      </c>
      <c r="AP25" s="65">
        <v>0.62515294117647058</v>
      </c>
      <c r="AQ25" s="65">
        <v>0.60140000000000016</v>
      </c>
      <c r="AR25" s="65">
        <v>0.58089999999999997</v>
      </c>
      <c r="AS25" s="65">
        <v>0.56040000000000001</v>
      </c>
      <c r="AT25" s="65">
        <v>0.53990000000000005</v>
      </c>
      <c r="AU25" s="65">
        <v>0.51940000000000008</v>
      </c>
      <c r="AV25" s="65">
        <v>0.49890000000000001</v>
      </c>
      <c r="AW25" s="65">
        <v>0.47789999999999999</v>
      </c>
      <c r="AX25" s="65">
        <v>0.45690000000000008</v>
      </c>
      <c r="AY25" s="65">
        <v>0.43590000000000012</v>
      </c>
      <c r="AZ25" s="65">
        <v>0.41490000000000005</v>
      </c>
      <c r="BA25" s="65">
        <v>0.39390000000000008</v>
      </c>
      <c r="BB25" s="65">
        <v>0.38085000000000002</v>
      </c>
      <c r="BC25" s="65">
        <v>0.36780000000000002</v>
      </c>
      <c r="BD25" s="65">
        <v>0.35475000000000012</v>
      </c>
      <c r="BE25" s="65">
        <v>0.34170000000000017</v>
      </c>
      <c r="BF25" s="65">
        <v>0.32865000000000011</v>
      </c>
      <c r="BG25" s="65">
        <v>0.3156000000000001</v>
      </c>
      <c r="BH25" s="65">
        <v>0.3025500000000001</v>
      </c>
      <c r="BI25" s="65">
        <v>0.28950000000000004</v>
      </c>
      <c r="BJ25" s="65">
        <v>0.27644999999999997</v>
      </c>
      <c r="BK25" s="65">
        <v>0.26339999999999997</v>
      </c>
      <c r="BL25" s="65">
        <v>0.25009999999999993</v>
      </c>
      <c r="BM25" s="65">
        <v>0.2362999999999999</v>
      </c>
      <c r="BN25" s="65">
        <v>0.22249999999999986</v>
      </c>
      <c r="BO25" s="65">
        <v>0.20869999999999983</v>
      </c>
      <c r="BP25" s="65">
        <v>0.1948999999999998</v>
      </c>
    </row>
    <row r="26" spans="1:68" x14ac:dyDescent="0.3">
      <c r="A26" s="61" t="s">
        <v>10</v>
      </c>
      <c r="B26" s="62" t="s">
        <v>125</v>
      </c>
      <c r="C26" s="62" t="s">
        <v>126</v>
      </c>
      <c r="D26" s="48" t="s">
        <v>180</v>
      </c>
      <c r="E26" s="62" t="s">
        <v>181</v>
      </c>
      <c r="F26" s="62" t="s">
        <v>11</v>
      </c>
      <c r="G26" s="62" t="s">
        <v>11</v>
      </c>
      <c r="H26" s="62" t="s">
        <v>7</v>
      </c>
      <c r="I26" s="62" t="s">
        <v>64</v>
      </c>
      <c r="J26" s="62" t="s">
        <v>64</v>
      </c>
      <c r="K26" s="62" t="s">
        <v>64</v>
      </c>
      <c r="L26" s="62" t="s">
        <v>64</v>
      </c>
      <c r="M26" s="62" t="s">
        <v>64</v>
      </c>
      <c r="N26" s="62">
        <v>2023</v>
      </c>
      <c r="O26" s="62" t="s">
        <v>136</v>
      </c>
      <c r="P26" s="62" t="s">
        <v>136</v>
      </c>
      <c r="Q26" s="62">
        <f>(1-Q10)*0.9*0.27</f>
        <v>0.137295</v>
      </c>
      <c r="R26" s="62">
        <f t="shared" ref="R26:S26" si="9">(1-R10)*0.9*0.27</f>
        <v>0.13705200000000003</v>
      </c>
      <c r="S26" s="62">
        <f t="shared" si="9"/>
        <v>0.13680899999999999</v>
      </c>
      <c r="T26" s="64" t="s">
        <v>129</v>
      </c>
      <c r="U26" s="51">
        <v>0.26816666666666666</v>
      </c>
      <c r="V26" s="51">
        <v>0.26633333333333331</v>
      </c>
      <c r="W26" s="51">
        <v>0.26449999999999996</v>
      </c>
      <c r="X26" s="51">
        <v>0.2626666666666666</v>
      </c>
      <c r="Y26" s="51">
        <v>0.26083333333333325</v>
      </c>
      <c r="Z26" s="51">
        <v>0.25900000000000001</v>
      </c>
      <c r="AA26" s="51">
        <v>0.25600000000000001</v>
      </c>
      <c r="AB26" s="51">
        <v>0.253</v>
      </c>
      <c r="AC26" s="51">
        <v>0.2447</v>
      </c>
      <c r="AD26" s="51">
        <v>0.2364</v>
      </c>
      <c r="AE26" s="51">
        <v>0.2281</v>
      </c>
      <c r="AF26" s="51">
        <v>0.2198</v>
      </c>
      <c r="AG26" s="51">
        <v>0.21149999999999999</v>
      </c>
      <c r="AH26" s="51">
        <v>0.20319999999999999</v>
      </c>
      <c r="AI26" s="51">
        <v>0.19489999999999999</v>
      </c>
      <c r="AJ26" s="51">
        <v>0.18659999999999999</v>
      </c>
      <c r="AK26" s="51">
        <v>0.17829999999999999</v>
      </c>
      <c r="AL26" s="51">
        <v>0.17</v>
      </c>
      <c r="AM26" s="51">
        <v>0.16240000000000002</v>
      </c>
      <c r="AN26" s="51">
        <v>0.15480000000000002</v>
      </c>
      <c r="AO26" s="51">
        <v>0.14720000000000003</v>
      </c>
      <c r="AP26" s="51">
        <v>0.13960000000000003</v>
      </c>
      <c r="AQ26" s="51">
        <v>0.13200000000000003</v>
      </c>
      <c r="AR26" s="51">
        <v>0.12440000000000004</v>
      </c>
      <c r="AS26" s="51">
        <v>0.11680000000000004</v>
      </c>
      <c r="AT26" s="51">
        <v>0.10920000000000005</v>
      </c>
      <c r="AU26" s="51">
        <v>0.10160000000000005</v>
      </c>
      <c r="AV26" s="51">
        <v>9.4E-2</v>
      </c>
      <c r="AW26" s="51">
        <v>9.11E-2</v>
      </c>
      <c r="AX26" s="51">
        <v>8.8200000000000001E-2</v>
      </c>
      <c r="AY26" s="51">
        <v>8.5300000000000001E-2</v>
      </c>
      <c r="AZ26" s="51">
        <v>8.2400000000000001E-2</v>
      </c>
      <c r="BA26" s="51">
        <v>7.9500000000000001E-2</v>
      </c>
      <c r="BB26" s="51">
        <v>7.6600000000000001E-2</v>
      </c>
      <c r="BC26" s="51">
        <v>7.3700000000000002E-2</v>
      </c>
      <c r="BD26" s="51">
        <v>7.0800000000000002E-2</v>
      </c>
      <c r="BE26" s="51">
        <v>6.7900000000000002E-2</v>
      </c>
      <c r="BF26" s="51">
        <v>6.5000000000000002E-2</v>
      </c>
      <c r="BG26" s="51">
        <v>6.2100000000000002E-2</v>
      </c>
      <c r="BH26" s="51">
        <v>5.9200000000000003E-2</v>
      </c>
      <c r="BI26" s="51">
        <v>5.6300000000000003E-2</v>
      </c>
      <c r="BJ26" s="51">
        <v>5.3400000000000003E-2</v>
      </c>
      <c r="BK26" s="51">
        <v>5.0500000000000003E-2</v>
      </c>
      <c r="BL26" s="51">
        <v>4.7600000000000003E-2</v>
      </c>
      <c r="BM26" s="51">
        <v>4.4700000000000004E-2</v>
      </c>
      <c r="BN26" s="51">
        <v>4.1800000000000004E-2</v>
      </c>
      <c r="BO26" s="51">
        <v>3.8900000000000004E-2</v>
      </c>
      <c r="BP26" s="51">
        <v>3.5999999999999997E-2</v>
      </c>
    </row>
    <row r="27" spans="1:68" x14ac:dyDescent="0.3">
      <c r="A27" s="61" t="s">
        <v>10</v>
      </c>
      <c r="B27" s="62" t="s">
        <v>125</v>
      </c>
      <c r="C27" s="62" t="s">
        <v>126</v>
      </c>
      <c r="D27" s="48" t="s">
        <v>182</v>
      </c>
      <c r="E27" s="63" t="s">
        <v>183</v>
      </c>
      <c r="F27" s="62" t="s">
        <v>11</v>
      </c>
      <c r="G27" s="62" t="s">
        <v>11</v>
      </c>
      <c r="H27" s="62" t="s">
        <v>7</v>
      </c>
      <c r="I27" s="62" t="s">
        <v>64</v>
      </c>
      <c r="J27" s="62" t="s">
        <v>64</v>
      </c>
      <c r="K27" s="62" t="s">
        <v>64</v>
      </c>
      <c r="L27" s="62" t="s">
        <v>64</v>
      </c>
      <c r="M27" s="62" t="s">
        <v>64</v>
      </c>
      <c r="N27" s="62">
        <v>2023</v>
      </c>
      <c r="O27" s="62" t="s">
        <v>136</v>
      </c>
      <c r="P27" s="62">
        <v>0</v>
      </c>
      <c r="Q27" s="62">
        <v>0</v>
      </c>
      <c r="R27" s="62">
        <v>0</v>
      </c>
      <c r="S27" s="62">
        <v>0</v>
      </c>
      <c r="T27" s="64" t="s">
        <v>129</v>
      </c>
      <c r="U27" s="51">
        <v>0.01</v>
      </c>
      <c r="V27" s="51">
        <v>1.4999999999999999E-2</v>
      </c>
      <c r="W27" s="51">
        <v>1.7999999999999999E-2</v>
      </c>
      <c r="X27" s="51">
        <v>2.1999999999999999E-2</v>
      </c>
      <c r="Y27" s="51">
        <v>2.5000000000000001E-2</v>
      </c>
      <c r="Z27" s="51">
        <v>2.7E-2</v>
      </c>
      <c r="AA27" s="51">
        <v>2.8000000000000001E-2</v>
      </c>
      <c r="AB27" s="51">
        <v>3.3000000000000002E-2</v>
      </c>
      <c r="AC27" s="51">
        <v>3.7999999999999999E-2</v>
      </c>
      <c r="AD27" s="51">
        <v>4.2999999999999997E-2</v>
      </c>
      <c r="AE27" s="51">
        <v>4.7999999999999994E-2</v>
      </c>
      <c r="AF27" s="51">
        <v>5.2999999999999992E-2</v>
      </c>
      <c r="AG27" s="51">
        <v>5.8000000000000003E-2</v>
      </c>
      <c r="AH27" s="51">
        <v>6.9800000000000001E-2</v>
      </c>
      <c r="AI27" s="51">
        <v>8.1600000000000006E-2</v>
      </c>
      <c r="AJ27" s="51">
        <v>9.3400000000000011E-2</v>
      </c>
      <c r="AK27" s="51">
        <v>0.10520000000000002</v>
      </c>
      <c r="AL27" s="51">
        <v>0.11700000000000002</v>
      </c>
      <c r="AM27" s="51">
        <v>0.12880000000000003</v>
      </c>
      <c r="AN27" s="51">
        <v>0.14060000000000003</v>
      </c>
      <c r="AO27" s="51">
        <v>0.15240000000000004</v>
      </c>
      <c r="AP27" s="51">
        <v>0.16420000000000004</v>
      </c>
      <c r="AQ27" s="51">
        <v>0.17599999999999999</v>
      </c>
      <c r="AR27" s="51">
        <v>0.17749999999999999</v>
      </c>
      <c r="AS27" s="51">
        <v>0.17899999999999999</v>
      </c>
      <c r="AT27" s="51">
        <v>0.18049999999999999</v>
      </c>
      <c r="AU27" s="51">
        <v>0.182</v>
      </c>
      <c r="AV27" s="51">
        <v>0.1835</v>
      </c>
      <c r="AW27" s="51">
        <v>0.185</v>
      </c>
      <c r="AX27" s="51">
        <v>0.1865</v>
      </c>
      <c r="AY27" s="51">
        <v>0.188</v>
      </c>
      <c r="AZ27" s="51">
        <v>0.1895</v>
      </c>
      <c r="BA27" s="51">
        <v>0.191</v>
      </c>
      <c r="BB27" s="51">
        <v>0.19009999999999999</v>
      </c>
      <c r="BC27" s="51">
        <v>0.18919999999999998</v>
      </c>
      <c r="BD27" s="51">
        <v>0.18829999999999997</v>
      </c>
      <c r="BE27" s="51">
        <v>0.18739999999999996</v>
      </c>
      <c r="BF27" s="51">
        <v>0.18649999999999994</v>
      </c>
      <c r="BG27" s="51">
        <v>0.18559999999999993</v>
      </c>
      <c r="BH27" s="51">
        <v>0.18469999999999992</v>
      </c>
      <c r="BI27" s="51">
        <v>0.18379999999999991</v>
      </c>
      <c r="BJ27" s="51">
        <v>0.1828999999999999</v>
      </c>
      <c r="BK27" s="51">
        <v>0.18199999999999988</v>
      </c>
      <c r="BL27" s="51">
        <v>0.18109999999999987</v>
      </c>
      <c r="BM27" s="51">
        <v>0.18019999999999986</v>
      </c>
      <c r="BN27" s="51">
        <v>0.17929999999999985</v>
      </c>
      <c r="BO27" s="51">
        <v>0.17839999999999984</v>
      </c>
      <c r="BP27" s="51">
        <v>0.17749999999999982</v>
      </c>
    </row>
    <row r="28" spans="1:68" x14ac:dyDescent="0.3">
      <c r="A28" s="61" t="s">
        <v>10</v>
      </c>
      <c r="B28" s="62" t="s">
        <v>125</v>
      </c>
      <c r="C28" s="62" t="s">
        <v>126</v>
      </c>
      <c r="D28" s="48" t="s">
        <v>184</v>
      </c>
      <c r="E28" s="62" t="s">
        <v>185</v>
      </c>
      <c r="F28" s="62" t="s">
        <v>11</v>
      </c>
      <c r="G28" s="62" t="s">
        <v>11</v>
      </c>
      <c r="H28" s="62" t="s">
        <v>7</v>
      </c>
      <c r="I28" s="62" t="s">
        <v>64</v>
      </c>
      <c r="J28" s="62" t="s">
        <v>64</v>
      </c>
      <c r="K28" s="62" t="s">
        <v>64</v>
      </c>
      <c r="L28" s="62" t="s">
        <v>64</v>
      </c>
      <c r="M28" s="62" t="s">
        <v>64</v>
      </c>
      <c r="N28" s="62">
        <v>2023</v>
      </c>
      <c r="O28" s="62" t="s">
        <v>136</v>
      </c>
      <c r="P28" s="62">
        <v>0</v>
      </c>
      <c r="Q28" s="62">
        <v>0</v>
      </c>
      <c r="R28" s="62">
        <v>0</v>
      </c>
      <c r="S28" s="62">
        <v>0</v>
      </c>
      <c r="T28" s="64" t="s">
        <v>129</v>
      </c>
      <c r="U28" s="51">
        <v>7.0000000000000001E-3</v>
      </c>
      <c r="V28" s="51">
        <v>7.0000000000000001E-3</v>
      </c>
      <c r="W28" s="51">
        <v>7.0000000000000001E-3</v>
      </c>
      <c r="X28" s="51">
        <v>7.0000000000000001E-3</v>
      </c>
      <c r="Y28" s="51">
        <v>7.0000000000000001E-3</v>
      </c>
      <c r="Z28" s="51">
        <v>7.0000000000000001E-3</v>
      </c>
      <c r="AA28" s="51">
        <v>7.0000000000000001E-3</v>
      </c>
      <c r="AB28" s="51">
        <v>7.0000000000000001E-3</v>
      </c>
      <c r="AC28" s="51">
        <v>6.8000000000000005E-3</v>
      </c>
      <c r="AD28" s="51">
        <v>6.6000000000000008E-3</v>
      </c>
      <c r="AE28" s="51">
        <v>6.4000000000000012E-3</v>
      </c>
      <c r="AF28" s="51">
        <v>6.2000000000000015E-3</v>
      </c>
      <c r="AG28" s="51">
        <v>6.0000000000000019E-3</v>
      </c>
      <c r="AH28" s="51">
        <v>5.8000000000000022E-3</v>
      </c>
      <c r="AI28" s="51">
        <v>5.6000000000000025E-3</v>
      </c>
      <c r="AJ28" s="51">
        <v>5.4000000000000029E-3</v>
      </c>
      <c r="AK28" s="51">
        <v>5.2000000000000032E-3</v>
      </c>
      <c r="AL28" s="51">
        <v>5.0000000000000001E-3</v>
      </c>
      <c r="AM28" s="51">
        <v>4.5000000000000005E-3</v>
      </c>
      <c r="AN28" s="51">
        <v>4.0000000000000001E-3</v>
      </c>
      <c r="AO28" s="51">
        <v>3.5000000000000001E-3</v>
      </c>
      <c r="AP28" s="51">
        <v>3.0000000000000001E-3</v>
      </c>
      <c r="AQ28" s="51">
        <v>2.5000000000000001E-3</v>
      </c>
      <c r="AR28" s="51">
        <v>2E-3</v>
      </c>
      <c r="AS28" s="51">
        <v>1.5E-3</v>
      </c>
      <c r="AT28" s="51">
        <v>1E-3</v>
      </c>
      <c r="AU28" s="51">
        <v>5.0000000000000001E-4</v>
      </c>
      <c r="AV28" s="51">
        <v>0</v>
      </c>
      <c r="AW28" s="51">
        <v>0</v>
      </c>
      <c r="AX28" s="51">
        <v>0</v>
      </c>
      <c r="AY28" s="51">
        <v>0</v>
      </c>
      <c r="AZ28" s="51">
        <v>0</v>
      </c>
      <c r="BA28" s="51">
        <v>0</v>
      </c>
      <c r="BB28" s="51">
        <v>0</v>
      </c>
      <c r="BC28" s="51">
        <v>0</v>
      </c>
      <c r="BD28" s="51">
        <v>0</v>
      </c>
      <c r="BE28" s="51">
        <v>0</v>
      </c>
      <c r="BF28" s="51">
        <v>0</v>
      </c>
      <c r="BG28" s="51">
        <v>0</v>
      </c>
      <c r="BH28" s="51">
        <v>0</v>
      </c>
      <c r="BI28" s="51">
        <v>0</v>
      </c>
      <c r="BJ28" s="51">
        <v>0</v>
      </c>
      <c r="BK28" s="51">
        <v>0</v>
      </c>
      <c r="BL28" s="51">
        <v>0</v>
      </c>
      <c r="BM28" s="51">
        <v>0</v>
      </c>
      <c r="BN28" s="51">
        <v>0</v>
      </c>
      <c r="BO28" s="51">
        <v>0</v>
      </c>
      <c r="BP28" s="51">
        <v>0</v>
      </c>
    </row>
    <row r="29" spans="1:68" x14ac:dyDescent="0.3">
      <c r="A29" s="61" t="s">
        <v>10</v>
      </c>
      <c r="B29" s="62" t="s">
        <v>125</v>
      </c>
      <c r="C29" s="62" t="s">
        <v>130</v>
      </c>
      <c r="D29" s="48" t="s">
        <v>186</v>
      </c>
      <c r="E29" s="62" t="s">
        <v>187</v>
      </c>
      <c r="F29" s="62" t="s">
        <v>11</v>
      </c>
      <c r="G29" s="62" t="s">
        <v>11</v>
      </c>
      <c r="H29" s="62" t="s">
        <v>7</v>
      </c>
      <c r="I29" s="62" t="s">
        <v>64</v>
      </c>
      <c r="J29" s="62" t="s">
        <v>64</v>
      </c>
      <c r="K29" s="62" t="s">
        <v>64</v>
      </c>
      <c r="L29" s="62" t="s">
        <v>64</v>
      </c>
      <c r="M29" s="62" t="s">
        <v>64</v>
      </c>
      <c r="N29" s="62">
        <v>2023</v>
      </c>
      <c r="O29" s="62">
        <f>(1-SUM(O11:O12))*0.95</f>
        <v>0.88255000000000006</v>
      </c>
      <c r="P29" s="62">
        <f t="shared" ref="P29:S29" si="10">(1-SUM(P11:P12))*0.95</f>
        <v>0.86260000000000003</v>
      </c>
      <c r="Q29" s="62">
        <f t="shared" si="10"/>
        <v>0.7923</v>
      </c>
      <c r="R29" s="62">
        <f t="shared" si="10"/>
        <v>0.79039999999999999</v>
      </c>
      <c r="S29" s="62">
        <f t="shared" si="10"/>
        <v>0.78849999999999998</v>
      </c>
      <c r="T29" s="64" t="s">
        <v>129</v>
      </c>
      <c r="U29" s="51">
        <v>0.99990000000000001</v>
      </c>
      <c r="V29" s="51">
        <v>0.99990000000000001</v>
      </c>
      <c r="W29" s="51">
        <v>0.99990000000000001</v>
      </c>
      <c r="X29" s="51">
        <v>0.99990000000000001</v>
      </c>
      <c r="Y29" s="51">
        <v>0.99990000000000001</v>
      </c>
      <c r="Z29" s="51">
        <v>0.99990000000000001</v>
      </c>
      <c r="AA29" s="51">
        <v>0.99990000000000001</v>
      </c>
      <c r="AB29" s="51">
        <v>0.99990000000000001</v>
      </c>
      <c r="AC29" s="51">
        <v>0.99990000000000001</v>
      </c>
      <c r="AD29" s="51">
        <v>0.99990000000000001</v>
      </c>
      <c r="AE29" s="51">
        <v>0.99990000000000001</v>
      </c>
      <c r="AF29" s="51">
        <v>0.99990000000000001</v>
      </c>
      <c r="AG29" s="51">
        <v>0.99980000000000002</v>
      </c>
      <c r="AH29" s="51">
        <v>0.99870000000000003</v>
      </c>
      <c r="AI29" s="51">
        <v>0.99800000000000011</v>
      </c>
      <c r="AJ29" s="51">
        <v>0.99729999999999996</v>
      </c>
      <c r="AK29" s="51">
        <v>0.99573333333333336</v>
      </c>
      <c r="AL29" s="51">
        <v>0.99356666666666671</v>
      </c>
      <c r="AM29" s="51">
        <v>0.99119999999999997</v>
      </c>
      <c r="AN29" s="51">
        <v>0.98583333333333334</v>
      </c>
      <c r="AO29" s="51">
        <v>0.98046666666666671</v>
      </c>
      <c r="AP29" s="51">
        <v>0.97509999999999997</v>
      </c>
      <c r="AQ29" s="51">
        <v>0.96240000000000003</v>
      </c>
      <c r="AR29" s="51">
        <v>0.94969999999999999</v>
      </c>
      <c r="AS29" s="51">
        <v>0.93699999999999994</v>
      </c>
      <c r="AT29" s="51">
        <v>0.92430000000000001</v>
      </c>
      <c r="AU29" s="51">
        <v>0.91159999999999997</v>
      </c>
      <c r="AV29" s="51">
        <v>0.89889999999999992</v>
      </c>
      <c r="AW29" s="51">
        <v>0.88690000000000002</v>
      </c>
      <c r="AX29" s="51">
        <v>0.8748999999999999</v>
      </c>
      <c r="AY29" s="51">
        <v>0.8629</v>
      </c>
      <c r="AZ29" s="51">
        <v>0.85089999999999999</v>
      </c>
      <c r="BA29" s="51">
        <v>0.83555000000000001</v>
      </c>
      <c r="BB29" s="51">
        <v>0.82019999999999993</v>
      </c>
      <c r="BC29" s="51">
        <v>0.80484999999999995</v>
      </c>
      <c r="BD29" s="51">
        <v>0.78949999999999998</v>
      </c>
      <c r="BE29" s="51">
        <v>0.77414999999999989</v>
      </c>
      <c r="BF29" s="51">
        <v>0.75879999999999992</v>
      </c>
      <c r="BG29" s="51">
        <v>0.74235000000000007</v>
      </c>
      <c r="BH29" s="51">
        <v>0.72589999999999999</v>
      </c>
      <c r="BI29" s="51">
        <v>0.70945000000000014</v>
      </c>
      <c r="BJ29" s="51">
        <v>0.69300000000000006</v>
      </c>
      <c r="BK29" s="51">
        <v>0.66763750000000011</v>
      </c>
      <c r="BL29" s="51">
        <v>0.64227500000000015</v>
      </c>
      <c r="BM29" s="51">
        <v>0.6169125000000002</v>
      </c>
      <c r="BN29" s="51">
        <v>0.59155000000000024</v>
      </c>
      <c r="BO29" s="51">
        <v>0.56618750000000029</v>
      </c>
      <c r="BP29" s="51">
        <v>0.54082500000000033</v>
      </c>
    </row>
    <row r="30" spans="1:68" x14ac:dyDescent="0.3">
      <c r="A30" s="61" t="s">
        <v>10</v>
      </c>
      <c r="B30" s="62" t="s">
        <v>125</v>
      </c>
      <c r="C30" s="62" t="s">
        <v>155</v>
      </c>
      <c r="D30" s="48" t="s">
        <v>188</v>
      </c>
      <c r="E30" s="62" t="s">
        <v>189</v>
      </c>
      <c r="F30" s="62" t="s">
        <v>11</v>
      </c>
      <c r="G30" s="62" t="s">
        <v>11</v>
      </c>
      <c r="H30" s="62" t="s">
        <v>7</v>
      </c>
      <c r="I30" s="62" t="s">
        <v>64</v>
      </c>
      <c r="J30" s="62" t="s">
        <v>64</v>
      </c>
      <c r="K30" s="62" t="s">
        <v>64</v>
      </c>
      <c r="L30" s="62" t="s">
        <v>64</v>
      </c>
      <c r="M30" s="62" t="s">
        <v>64</v>
      </c>
      <c r="N30" s="62">
        <v>2023</v>
      </c>
      <c r="O30" s="62">
        <f>(1-O14)*0.95*0.34</f>
        <v>0.31331000000000003</v>
      </c>
      <c r="P30" s="62">
        <f t="shared" ref="P30:S30" si="11">(1-P14)*0.95*0.34</f>
        <v>0.29070000000000001</v>
      </c>
      <c r="Q30" s="62">
        <f t="shared" si="11"/>
        <v>0.1938</v>
      </c>
      <c r="R30" s="62">
        <f t="shared" si="11"/>
        <v>0.19347699999999998</v>
      </c>
      <c r="S30" s="62">
        <f t="shared" si="11"/>
        <v>0.19315399999999999</v>
      </c>
      <c r="T30" s="64" t="s">
        <v>129</v>
      </c>
      <c r="U30" s="51">
        <v>0.33336326530612242</v>
      </c>
      <c r="V30" s="51">
        <v>0.33332653061224488</v>
      </c>
      <c r="W30" s="51">
        <v>0.33328979591836733</v>
      </c>
      <c r="X30" s="51">
        <v>0.33325306122448978</v>
      </c>
      <c r="Y30" s="51">
        <v>0.33321632653061223</v>
      </c>
      <c r="Z30" s="51">
        <v>0.33317959183673468</v>
      </c>
      <c r="AA30" s="51">
        <v>0.33314285714285718</v>
      </c>
      <c r="AB30" s="51">
        <v>0.33228571428571435</v>
      </c>
      <c r="AC30" s="51">
        <v>0.33142857142857152</v>
      </c>
      <c r="AD30" s="51">
        <v>0.33057142857142868</v>
      </c>
      <c r="AE30" s="51">
        <v>0.32971428571428585</v>
      </c>
      <c r="AF30" s="51">
        <v>0.32885714285714301</v>
      </c>
      <c r="AG30" s="51">
        <v>0.32800000000000001</v>
      </c>
      <c r="AH30" s="51">
        <v>0.3251</v>
      </c>
      <c r="AI30" s="51">
        <v>0.32219999999999999</v>
      </c>
      <c r="AJ30" s="51">
        <v>0.31929999999999997</v>
      </c>
      <c r="AK30" s="51">
        <v>0.31639999999999996</v>
      </c>
      <c r="AL30" s="51">
        <v>0.31349999999999995</v>
      </c>
      <c r="AM30" s="51">
        <v>0.31059999999999993</v>
      </c>
      <c r="AN30" s="51">
        <v>0.30769999999999992</v>
      </c>
      <c r="AO30" s="51">
        <v>0.3047999999999999</v>
      </c>
      <c r="AP30" s="51">
        <v>0.30189999999999989</v>
      </c>
      <c r="AQ30" s="51">
        <v>0.29899999999999999</v>
      </c>
      <c r="AR30" s="51">
        <v>0.2848</v>
      </c>
      <c r="AS30" s="51">
        <v>0.27060000000000001</v>
      </c>
      <c r="AT30" s="51">
        <v>0.25640000000000002</v>
      </c>
      <c r="AU30" s="51">
        <v>0.24220000000000003</v>
      </c>
      <c r="AV30" s="51">
        <v>0.22800000000000004</v>
      </c>
      <c r="AW30" s="51">
        <v>0.21380000000000005</v>
      </c>
      <c r="AX30" s="51">
        <v>0.19960000000000006</v>
      </c>
      <c r="AY30" s="51">
        <v>0.18540000000000006</v>
      </c>
      <c r="AZ30" s="51">
        <v>0.17120000000000007</v>
      </c>
      <c r="BA30" s="51">
        <v>0.157</v>
      </c>
      <c r="BB30" s="51">
        <v>0.15195</v>
      </c>
      <c r="BC30" s="51">
        <v>0.1469</v>
      </c>
      <c r="BD30" s="51">
        <v>0.14185</v>
      </c>
      <c r="BE30" s="51">
        <v>0.1368</v>
      </c>
      <c r="BF30" s="51">
        <v>0.13175000000000001</v>
      </c>
      <c r="BG30" s="51">
        <v>0.12670000000000001</v>
      </c>
      <c r="BH30" s="51">
        <v>0.12165000000000001</v>
      </c>
      <c r="BI30" s="51">
        <v>0.11660000000000001</v>
      </c>
      <c r="BJ30" s="51">
        <v>0.11155000000000001</v>
      </c>
      <c r="BK30" s="51">
        <v>0.10650000000000001</v>
      </c>
      <c r="BL30" s="51">
        <v>0.10145000000000001</v>
      </c>
      <c r="BM30" s="51">
        <v>9.6400000000000013E-2</v>
      </c>
      <c r="BN30" s="51">
        <v>9.1350000000000015E-2</v>
      </c>
      <c r="BO30" s="51">
        <v>8.6300000000000016E-2</v>
      </c>
      <c r="BP30" s="51">
        <v>8.1250000000000017E-2</v>
      </c>
    </row>
    <row r="31" spans="1:68" x14ac:dyDescent="0.3">
      <c r="A31" s="61" t="s">
        <v>10</v>
      </c>
      <c r="B31" s="62" t="s">
        <v>125</v>
      </c>
      <c r="C31" s="62" t="s">
        <v>155</v>
      </c>
      <c r="D31" s="48" t="s">
        <v>190</v>
      </c>
      <c r="E31" s="62" t="s">
        <v>191</v>
      </c>
      <c r="F31" s="62" t="s">
        <v>11</v>
      </c>
      <c r="G31" s="62" t="s">
        <v>11</v>
      </c>
      <c r="H31" s="62" t="s">
        <v>7</v>
      </c>
      <c r="I31" s="62" t="s">
        <v>64</v>
      </c>
      <c r="J31" s="62" t="s">
        <v>64</v>
      </c>
      <c r="K31" s="62" t="s">
        <v>64</v>
      </c>
      <c r="L31" s="62" t="s">
        <v>64</v>
      </c>
      <c r="M31" s="62" t="s">
        <v>64</v>
      </c>
      <c r="N31" s="62">
        <v>2023</v>
      </c>
      <c r="O31" s="62">
        <f>(1-O14)*0.95*0.66</f>
        <v>0.60819000000000001</v>
      </c>
      <c r="P31" s="62">
        <f t="shared" ref="P31:S31" si="12">(1-P14)*0.95*0.66</f>
        <v>0.56430000000000002</v>
      </c>
      <c r="Q31" s="62">
        <f t="shared" si="12"/>
        <v>0.37619999999999998</v>
      </c>
      <c r="R31" s="62">
        <f t="shared" si="12"/>
        <v>0.37557299999999999</v>
      </c>
      <c r="S31" s="62">
        <f t="shared" si="12"/>
        <v>0.374946</v>
      </c>
      <c r="T31" s="64" t="s">
        <v>129</v>
      </c>
      <c r="U31" s="51">
        <v>0.66106734693877545</v>
      </c>
      <c r="V31" s="51">
        <v>0.66063469387755114</v>
      </c>
      <c r="W31" s="51">
        <v>0.6602020408163265</v>
      </c>
      <c r="X31" s="51">
        <v>0.65976938775510208</v>
      </c>
      <c r="Y31" s="51">
        <v>0.65933673469387755</v>
      </c>
      <c r="Z31" s="51">
        <v>0.65890408163265313</v>
      </c>
      <c r="AA31" s="51">
        <v>0.6584714285714286</v>
      </c>
      <c r="AB31" s="51">
        <v>0.65604285714285715</v>
      </c>
      <c r="AC31" s="51">
        <v>0.65361428571428559</v>
      </c>
      <c r="AD31" s="51">
        <v>0.65118571428571415</v>
      </c>
      <c r="AE31" s="51">
        <v>0.6487571428571427</v>
      </c>
      <c r="AF31" s="51">
        <v>0.64632857142857136</v>
      </c>
      <c r="AG31" s="51">
        <v>0.64389999999999992</v>
      </c>
      <c r="AH31" s="51">
        <v>0.63750000000000007</v>
      </c>
      <c r="AI31" s="51">
        <v>0.63109999999999999</v>
      </c>
      <c r="AJ31" s="51">
        <v>0.62470000000000003</v>
      </c>
      <c r="AK31" s="51">
        <v>0.61829999999999996</v>
      </c>
      <c r="AL31" s="51">
        <v>0.61190000000000011</v>
      </c>
      <c r="AM31" s="51">
        <v>0.60550000000000004</v>
      </c>
      <c r="AN31" s="51">
        <v>0.59910000000000019</v>
      </c>
      <c r="AO31" s="51">
        <v>0.5927</v>
      </c>
      <c r="AP31" s="51">
        <v>0.58630000000000015</v>
      </c>
      <c r="AQ31" s="51">
        <v>0.57990000000000008</v>
      </c>
      <c r="AR31" s="51">
        <v>0.5525000000000001</v>
      </c>
      <c r="AS31" s="51">
        <v>0.52510000000000012</v>
      </c>
      <c r="AT31" s="51">
        <v>0.49770000000000003</v>
      </c>
      <c r="AU31" s="51">
        <v>0.47030000000000005</v>
      </c>
      <c r="AV31" s="51">
        <v>0.44290000000000002</v>
      </c>
      <c r="AW31" s="51">
        <v>0.41549999999999998</v>
      </c>
      <c r="AX31" s="51">
        <v>0.38809999999999995</v>
      </c>
      <c r="AY31" s="51">
        <v>0.36069999999999991</v>
      </c>
      <c r="AZ31" s="51">
        <v>0.33329999999999987</v>
      </c>
      <c r="BA31" s="51">
        <v>0.30589999999999995</v>
      </c>
      <c r="BB31" s="51">
        <v>0.29614999999999991</v>
      </c>
      <c r="BC31" s="51">
        <v>0.28639999999999988</v>
      </c>
      <c r="BD31" s="51">
        <v>0.27664999999999984</v>
      </c>
      <c r="BE31" s="51">
        <v>0.2668999999999998</v>
      </c>
      <c r="BF31" s="51">
        <v>0.25714999999999977</v>
      </c>
      <c r="BG31" s="51">
        <v>0.24739999999999973</v>
      </c>
      <c r="BH31" s="51">
        <v>0.23764999999999969</v>
      </c>
      <c r="BI31" s="51">
        <v>0.22789999999999966</v>
      </c>
      <c r="BJ31" s="51">
        <v>0.21814999999999962</v>
      </c>
      <c r="BK31" s="51">
        <v>0.20839999999999959</v>
      </c>
      <c r="BL31" s="51">
        <v>0.19864999999999955</v>
      </c>
      <c r="BM31" s="51">
        <v>0.18889999999999951</v>
      </c>
      <c r="BN31" s="51">
        <v>0.17914999999999948</v>
      </c>
      <c r="BO31" s="51">
        <v>0.16939999999999944</v>
      </c>
      <c r="BP31" s="51">
        <v>0.1596499999999994</v>
      </c>
    </row>
    <row r="32" spans="1:68" x14ac:dyDescent="0.3">
      <c r="A32" s="61" t="s">
        <v>10</v>
      </c>
      <c r="B32" s="62" t="s">
        <v>125</v>
      </c>
      <c r="C32" s="62" t="s">
        <v>60</v>
      </c>
      <c r="D32" s="48" t="s">
        <v>192</v>
      </c>
      <c r="E32" s="66" t="s">
        <v>193</v>
      </c>
      <c r="F32" s="62" t="s">
        <v>11</v>
      </c>
      <c r="G32" s="62" t="s">
        <v>11</v>
      </c>
      <c r="H32" s="62" t="s">
        <v>7</v>
      </c>
      <c r="I32" s="62" t="s">
        <v>64</v>
      </c>
      <c r="J32" s="62" t="s">
        <v>64</v>
      </c>
      <c r="K32" s="62" t="s">
        <v>64</v>
      </c>
      <c r="L32" s="62" t="s">
        <v>64</v>
      </c>
      <c r="M32" s="62" t="s">
        <v>64</v>
      </c>
      <c r="N32" s="62">
        <v>2023</v>
      </c>
      <c r="O32" s="62" t="s">
        <v>136</v>
      </c>
      <c r="P32" s="62">
        <v>0</v>
      </c>
      <c r="Q32" s="62">
        <v>0</v>
      </c>
      <c r="R32" s="62">
        <v>0</v>
      </c>
      <c r="S32" s="62">
        <v>0</v>
      </c>
      <c r="T32" s="64" t="s">
        <v>129</v>
      </c>
      <c r="U32" s="51">
        <v>1E-3</v>
      </c>
      <c r="V32" s="51">
        <v>2E-3</v>
      </c>
      <c r="W32" s="51">
        <v>3.0000000000000001E-3</v>
      </c>
      <c r="X32" s="51">
        <v>3.5000000000000001E-3</v>
      </c>
      <c r="Y32" s="51">
        <v>4.1999999999999997E-3</v>
      </c>
      <c r="Z32" s="51">
        <v>5.0000000000000001E-3</v>
      </c>
      <c r="AA32" s="51">
        <v>1.3142857142857144E-2</v>
      </c>
      <c r="AB32" s="51">
        <v>2.1285714285714286E-2</v>
      </c>
      <c r="AC32" s="51">
        <v>2.9428571428571429E-2</v>
      </c>
      <c r="AD32" s="51">
        <v>3.7571428571428575E-2</v>
      </c>
      <c r="AE32" s="51">
        <v>4.5714285714285721E-2</v>
      </c>
      <c r="AF32" s="51">
        <v>5.3857142857142867E-2</v>
      </c>
      <c r="AG32" s="51">
        <v>6.2E-2</v>
      </c>
      <c r="AH32" s="51">
        <v>7.9000000000000001E-2</v>
      </c>
      <c r="AI32" s="51">
        <v>9.6000000000000002E-2</v>
      </c>
      <c r="AJ32" s="51">
        <v>0.113</v>
      </c>
      <c r="AK32" s="51">
        <v>0.13</v>
      </c>
      <c r="AL32" s="51">
        <v>0.14700000000000002</v>
      </c>
      <c r="AM32" s="51">
        <v>0.16400000000000003</v>
      </c>
      <c r="AN32" s="51">
        <v>0.18100000000000005</v>
      </c>
      <c r="AO32" s="51">
        <v>0.19800000000000006</v>
      </c>
      <c r="AP32" s="51">
        <v>0.21500000000000008</v>
      </c>
      <c r="AQ32" s="51">
        <v>0.23200000000000001</v>
      </c>
      <c r="AR32" s="51">
        <v>0.23820000000000002</v>
      </c>
      <c r="AS32" s="51">
        <v>0.24440000000000001</v>
      </c>
      <c r="AT32" s="51">
        <v>0.25059999999999999</v>
      </c>
      <c r="AU32" s="51">
        <v>0.25679999999999997</v>
      </c>
      <c r="AV32" s="51">
        <v>0.26299999999999996</v>
      </c>
      <c r="AW32" s="51">
        <v>0.26919999999999994</v>
      </c>
      <c r="AX32" s="51">
        <v>0.27539999999999992</v>
      </c>
      <c r="AY32" s="51">
        <v>0.28159999999999991</v>
      </c>
      <c r="AZ32" s="51">
        <v>0.28779999999999989</v>
      </c>
      <c r="BA32" s="51">
        <v>0.29399999999999998</v>
      </c>
      <c r="BB32" s="51">
        <v>0.29674999999999996</v>
      </c>
      <c r="BC32" s="51">
        <v>0.29949999999999993</v>
      </c>
      <c r="BD32" s="51">
        <v>0.30224999999999991</v>
      </c>
      <c r="BE32" s="51">
        <v>0.30499999999999988</v>
      </c>
      <c r="BF32" s="51">
        <v>0.30774999999999986</v>
      </c>
      <c r="BG32" s="51">
        <v>0.31049999999999983</v>
      </c>
      <c r="BH32" s="51">
        <v>0.31324999999999981</v>
      </c>
      <c r="BI32" s="51">
        <v>0.31599999999999978</v>
      </c>
      <c r="BJ32" s="51">
        <v>0.31874999999999976</v>
      </c>
      <c r="BK32" s="51">
        <v>0.32149999999999973</v>
      </c>
      <c r="BL32" s="51">
        <v>0.32424999999999971</v>
      </c>
      <c r="BM32" s="51">
        <v>0.32699999999999968</v>
      </c>
      <c r="BN32" s="51">
        <v>0.32974999999999965</v>
      </c>
      <c r="BO32" s="51">
        <v>0.33249999999999963</v>
      </c>
      <c r="BP32" s="51">
        <v>0.3352499999999996</v>
      </c>
    </row>
    <row r="33" spans="1:68" x14ac:dyDescent="0.3">
      <c r="A33" s="61" t="s">
        <v>10</v>
      </c>
      <c r="B33" s="62" t="s">
        <v>125</v>
      </c>
      <c r="C33" s="62" t="s">
        <v>60</v>
      </c>
      <c r="D33" s="48" t="s">
        <v>194</v>
      </c>
      <c r="E33" s="62" t="s">
        <v>195</v>
      </c>
      <c r="F33" s="62" t="s">
        <v>11</v>
      </c>
      <c r="G33" s="62" t="s">
        <v>11</v>
      </c>
      <c r="H33" s="62" t="s">
        <v>7</v>
      </c>
      <c r="I33" s="62" t="s">
        <v>64</v>
      </c>
      <c r="J33" s="62" t="s">
        <v>64</v>
      </c>
      <c r="K33" s="62" t="s">
        <v>64</v>
      </c>
      <c r="L33" s="62" t="s">
        <v>64</v>
      </c>
      <c r="M33" s="62" t="s">
        <v>64</v>
      </c>
      <c r="N33" s="62">
        <v>2023</v>
      </c>
      <c r="O33" s="62" t="s">
        <v>136</v>
      </c>
      <c r="P33" s="62">
        <f>Q33</f>
        <v>5.4899999999999949E-2</v>
      </c>
      <c r="Q33" s="62">
        <f>(1-Q6)*0.9</f>
        <v>5.4899999999999949E-2</v>
      </c>
      <c r="R33" s="62">
        <f t="shared" ref="R33:S33" si="13">(1-R6)*0.9</f>
        <v>5.3999999999999951E-2</v>
      </c>
      <c r="S33" s="62">
        <f t="shared" si="13"/>
        <v>5.3099999999999946E-2</v>
      </c>
      <c r="T33" s="64" t="s">
        <v>129</v>
      </c>
      <c r="U33" s="51">
        <v>0.99690000000000001</v>
      </c>
      <c r="V33" s="51">
        <v>0.99540000000000006</v>
      </c>
      <c r="W33" s="51">
        <v>0.99370000000000003</v>
      </c>
      <c r="X33" s="51">
        <v>0.99240000000000006</v>
      </c>
      <c r="Y33" s="51">
        <v>0.99020000000000008</v>
      </c>
      <c r="Z33" s="51">
        <v>0.9879</v>
      </c>
      <c r="AA33" s="51">
        <v>0.96910000000000007</v>
      </c>
      <c r="AB33" s="51">
        <v>0.95030000000000003</v>
      </c>
      <c r="AC33" s="51">
        <v>0.93149999999999999</v>
      </c>
      <c r="AD33" s="51">
        <v>0.91269999999999996</v>
      </c>
      <c r="AE33" s="51">
        <v>0.89390000000000003</v>
      </c>
      <c r="AF33" s="51">
        <v>0.87509999999999999</v>
      </c>
      <c r="AG33" s="51">
        <v>0.85630000000000006</v>
      </c>
      <c r="AH33" s="51">
        <v>0.82196000000000002</v>
      </c>
      <c r="AI33" s="51">
        <v>0.7876200000000001</v>
      </c>
      <c r="AJ33" s="51">
        <v>0.75328000000000006</v>
      </c>
      <c r="AK33" s="51">
        <v>0.71894000000000002</v>
      </c>
      <c r="AL33" s="51">
        <v>0.68459999999999999</v>
      </c>
      <c r="AM33" s="51">
        <v>0.65025999999999995</v>
      </c>
      <c r="AN33" s="51">
        <v>0.61592000000000002</v>
      </c>
      <c r="AO33" s="51">
        <v>0.58157999999999999</v>
      </c>
      <c r="AP33" s="51">
        <v>0.54723999999999995</v>
      </c>
      <c r="AQ33" s="51">
        <v>0.51290000000000002</v>
      </c>
      <c r="AR33" s="51">
        <v>0.49219999999999992</v>
      </c>
      <c r="AS33" s="51">
        <v>0.47149999999999997</v>
      </c>
      <c r="AT33" s="51">
        <v>0.45080000000000003</v>
      </c>
      <c r="AU33" s="51">
        <v>0.43009999999999998</v>
      </c>
      <c r="AV33" s="51">
        <v>0.40939999999999993</v>
      </c>
      <c r="AW33" s="51">
        <v>0.38869999999999999</v>
      </c>
      <c r="AX33" s="51">
        <v>0.36800000000000005</v>
      </c>
      <c r="AY33" s="51">
        <v>0.3473</v>
      </c>
      <c r="AZ33" s="51">
        <v>0.32659999999999995</v>
      </c>
      <c r="BA33" s="51">
        <v>0.30590000000000001</v>
      </c>
      <c r="BB33" s="51">
        <v>0.29159999999999997</v>
      </c>
      <c r="BC33" s="51">
        <v>0.27730000000000005</v>
      </c>
      <c r="BD33" s="51">
        <v>0.26300000000000012</v>
      </c>
      <c r="BE33" s="51">
        <v>0.24870000000000009</v>
      </c>
      <c r="BF33" s="51">
        <v>0.23440000000000005</v>
      </c>
      <c r="BG33" s="51">
        <v>0.22010000000000013</v>
      </c>
      <c r="BH33" s="51">
        <v>0.2058000000000002</v>
      </c>
      <c r="BI33" s="51">
        <v>0.19150000000000017</v>
      </c>
      <c r="BJ33" s="51">
        <v>0.17720000000000025</v>
      </c>
      <c r="BK33" s="51">
        <v>0.16290000000000032</v>
      </c>
      <c r="BL33" s="51">
        <v>0.1486000000000004</v>
      </c>
      <c r="BM33" s="51">
        <v>0.13430000000000047</v>
      </c>
      <c r="BN33" s="51">
        <v>0.12000000000000055</v>
      </c>
      <c r="BO33" s="51">
        <v>0.10570000000000063</v>
      </c>
      <c r="BP33" s="51">
        <v>9.1400000000000703E-2</v>
      </c>
    </row>
    <row r="34" spans="1:68" x14ac:dyDescent="0.3">
      <c r="A34" s="61" t="s">
        <v>10</v>
      </c>
      <c r="B34" s="62" t="s">
        <v>125</v>
      </c>
      <c r="C34" s="62" t="s">
        <v>126</v>
      </c>
      <c r="D34" s="48" t="s">
        <v>196</v>
      </c>
      <c r="E34" s="63" t="s">
        <v>197</v>
      </c>
      <c r="F34" s="62" t="s">
        <v>11</v>
      </c>
      <c r="G34" s="62" t="s">
        <v>11</v>
      </c>
      <c r="H34" s="62" t="s">
        <v>7</v>
      </c>
      <c r="I34" s="62" t="s">
        <v>64</v>
      </c>
      <c r="J34" s="62" t="s">
        <v>64</v>
      </c>
      <c r="K34" s="62" t="s">
        <v>64</v>
      </c>
      <c r="L34" s="62" t="s">
        <v>64</v>
      </c>
      <c r="M34" s="62" t="s">
        <v>64</v>
      </c>
      <c r="N34" s="62">
        <v>2023</v>
      </c>
      <c r="O34" s="62" t="s">
        <v>136</v>
      </c>
      <c r="P34" s="62">
        <v>0</v>
      </c>
      <c r="Q34" s="62">
        <v>0</v>
      </c>
      <c r="R34" s="62">
        <v>0</v>
      </c>
      <c r="S34" s="62">
        <v>0</v>
      </c>
      <c r="T34" s="64" t="s">
        <v>129</v>
      </c>
      <c r="U34" s="51">
        <v>2.2000000000000001E-3</v>
      </c>
      <c r="V34" s="51">
        <v>4.3600000000000002E-3</v>
      </c>
      <c r="W34" s="51">
        <v>6.5199999999999998E-3</v>
      </c>
      <c r="X34" s="51">
        <v>8.6800000000000002E-3</v>
      </c>
      <c r="Y34" s="51">
        <v>1.0840000000000001E-2</v>
      </c>
      <c r="Z34" s="51">
        <v>1.2999999999999999E-2</v>
      </c>
      <c r="AA34" s="51">
        <v>1.8285714285714287E-2</v>
      </c>
      <c r="AB34" s="51">
        <v>2.3571428571428573E-2</v>
      </c>
      <c r="AC34" s="51">
        <v>2.8857142857142859E-2</v>
      </c>
      <c r="AD34" s="51">
        <v>3.4142857142857148E-2</v>
      </c>
      <c r="AE34" s="51">
        <v>3.9428571428571438E-2</v>
      </c>
      <c r="AF34" s="51">
        <v>4.4714285714285727E-2</v>
      </c>
      <c r="AG34" s="51">
        <v>0.05</v>
      </c>
      <c r="AH34" s="51">
        <v>6.2300000000000001E-2</v>
      </c>
      <c r="AI34" s="51">
        <v>7.46E-2</v>
      </c>
      <c r="AJ34" s="51">
        <v>8.6900000000000005E-2</v>
      </c>
      <c r="AK34" s="51">
        <v>9.920000000000001E-2</v>
      </c>
      <c r="AL34" s="51">
        <v>0.11150000000000002</v>
      </c>
      <c r="AM34" s="51">
        <v>0.11575000000000002</v>
      </c>
      <c r="AN34" s="51">
        <v>0.12000000000000002</v>
      </c>
      <c r="AO34" s="51">
        <v>0.12425000000000003</v>
      </c>
      <c r="AP34" s="51">
        <v>0.12850000000000003</v>
      </c>
      <c r="AQ34" s="51">
        <v>0.13275000000000003</v>
      </c>
      <c r="AR34" s="51">
        <v>0.13700000000000004</v>
      </c>
      <c r="AS34" s="51">
        <v>0.14125000000000004</v>
      </c>
      <c r="AT34" s="51">
        <v>0.14550000000000005</v>
      </c>
      <c r="AU34" s="51">
        <v>0.14975000000000005</v>
      </c>
      <c r="AV34" s="51">
        <v>0.154</v>
      </c>
      <c r="AW34" s="51">
        <v>0.1502</v>
      </c>
      <c r="AX34" s="51">
        <v>0.1464</v>
      </c>
      <c r="AY34" s="51">
        <v>0.1426</v>
      </c>
      <c r="AZ34" s="51">
        <v>0.13880000000000001</v>
      </c>
      <c r="BA34" s="51">
        <v>0.13500000000000001</v>
      </c>
      <c r="BB34" s="51">
        <v>0.13215000000000002</v>
      </c>
      <c r="BC34" s="51">
        <v>0.12930000000000003</v>
      </c>
      <c r="BD34" s="51">
        <v>0.12645000000000003</v>
      </c>
      <c r="BE34" s="51">
        <v>0.12360000000000003</v>
      </c>
      <c r="BF34" s="51">
        <v>0.12075000000000002</v>
      </c>
      <c r="BG34" s="51">
        <v>0.11790000000000002</v>
      </c>
      <c r="BH34" s="51">
        <v>0.11505000000000001</v>
      </c>
      <c r="BI34" s="51">
        <v>0.11220000000000001</v>
      </c>
      <c r="BJ34" s="51">
        <v>0.10935</v>
      </c>
      <c r="BK34" s="51">
        <v>0.1065</v>
      </c>
      <c r="BL34" s="51">
        <v>0.10364999999999999</v>
      </c>
      <c r="BM34" s="51">
        <v>0.10079999999999999</v>
      </c>
      <c r="BN34" s="51">
        <v>9.7949999999999982E-2</v>
      </c>
      <c r="BO34" s="51">
        <v>9.5099999999999976E-2</v>
      </c>
      <c r="BP34" s="51">
        <v>9.2249999999999971E-2</v>
      </c>
    </row>
    <row r="35" spans="1:68" ht="15" thickBot="1" x14ac:dyDescent="0.35">
      <c r="A35" s="67" t="s">
        <v>10</v>
      </c>
      <c r="B35" s="68" t="s">
        <v>125</v>
      </c>
      <c r="C35" s="68" t="s">
        <v>126</v>
      </c>
      <c r="D35" s="54" t="s">
        <v>198</v>
      </c>
      <c r="E35" s="68" t="s">
        <v>199</v>
      </c>
      <c r="F35" s="68" t="s">
        <v>11</v>
      </c>
      <c r="G35" s="68" t="s">
        <v>11</v>
      </c>
      <c r="H35" s="68" t="s">
        <v>7</v>
      </c>
      <c r="I35" s="68" t="s">
        <v>64</v>
      </c>
      <c r="J35" s="68" t="s">
        <v>64</v>
      </c>
      <c r="K35" s="68" t="s">
        <v>64</v>
      </c>
      <c r="L35" s="68" t="s">
        <v>64</v>
      </c>
      <c r="M35" s="68" t="s">
        <v>64</v>
      </c>
      <c r="N35" s="68">
        <v>2023</v>
      </c>
      <c r="O35" s="68" t="s">
        <v>136</v>
      </c>
      <c r="P35" s="68" t="s">
        <v>136</v>
      </c>
      <c r="Q35" s="68">
        <f>(1-Q10)*0.9*(1-0.27)</f>
        <v>0.37120499999999995</v>
      </c>
      <c r="R35" s="68">
        <f t="shared" ref="R35:S35" si="14">(1-R10)*0.9*(1-0.27)</f>
        <v>0.37054800000000004</v>
      </c>
      <c r="S35" s="68">
        <f t="shared" si="14"/>
        <v>0.36989099999999991</v>
      </c>
      <c r="T35" s="69" t="s">
        <v>129</v>
      </c>
      <c r="U35" s="51">
        <v>0.72808333333333342</v>
      </c>
      <c r="V35" s="51">
        <v>0.72684666666666664</v>
      </c>
      <c r="W35" s="51">
        <v>0.72561000000000009</v>
      </c>
      <c r="X35" s="51">
        <v>0.72437333333333342</v>
      </c>
      <c r="Y35" s="51">
        <v>0.72313666666666676</v>
      </c>
      <c r="Z35" s="51">
        <v>0.72189999999999999</v>
      </c>
      <c r="AA35" s="51">
        <v>0.71475714285714287</v>
      </c>
      <c r="AB35" s="51">
        <v>0.70761428571428575</v>
      </c>
      <c r="AC35" s="51">
        <v>0.70577142857142849</v>
      </c>
      <c r="AD35" s="51">
        <v>0.70392857142857135</v>
      </c>
      <c r="AE35" s="51">
        <v>0.70208571428571431</v>
      </c>
      <c r="AF35" s="51">
        <v>0.70024285714285717</v>
      </c>
      <c r="AG35" s="51">
        <v>0.69839999999999991</v>
      </c>
      <c r="AH35" s="51">
        <v>0.67880000000000007</v>
      </c>
      <c r="AI35" s="51">
        <v>0.65920000000000001</v>
      </c>
      <c r="AJ35" s="51">
        <v>0.63960000000000006</v>
      </c>
      <c r="AK35" s="51">
        <v>0.61999999999999988</v>
      </c>
      <c r="AL35" s="51">
        <v>0.60039999999999993</v>
      </c>
      <c r="AM35" s="51">
        <v>0.58815000000000006</v>
      </c>
      <c r="AN35" s="51">
        <v>0.57589999999999997</v>
      </c>
      <c r="AO35" s="51">
        <v>0.56364999999999998</v>
      </c>
      <c r="AP35" s="51">
        <v>0.55139999999999989</v>
      </c>
      <c r="AQ35" s="51">
        <v>0.53915000000000002</v>
      </c>
      <c r="AR35" s="51">
        <v>0.51079999999999992</v>
      </c>
      <c r="AS35" s="51">
        <v>0.48244999999999988</v>
      </c>
      <c r="AT35" s="51">
        <v>0.45409999999999984</v>
      </c>
      <c r="AU35" s="51">
        <v>0.42574999999999996</v>
      </c>
      <c r="AV35" s="51">
        <v>0.39739999999999998</v>
      </c>
      <c r="AW35" s="51">
        <v>0.37239999999999995</v>
      </c>
      <c r="AX35" s="51">
        <v>0.34739999999999993</v>
      </c>
      <c r="AY35" s="51">
        <v>0.32240000000000002</v>
      </c>
      <c r="AZ35" s="51">
        <v>0.29739999999999989</v>
      </c>
      <c r="BA35" s="51">
        <v>0.27239999999999998</v>
      </c>
      <c r="BB35" s="51">
        <v>0.26339999999999997</v>
      </c>
      <c r="BC35" s="51">
        <v>0.2543999999999999</v>
      </c>
      <c r="BD35" s="51">
        <v>0.24539999999999987</v>
      </c>
      <c r="BE35" s="51">
        <v>0.23639999999999978</v>
      </c>
      <c r="BF35" s="51">
        <v>0.22739999999999977</v>
      </c>
      <c r="BG35" s="51">
        <v>0.21839999999999976</v>
      </c>
      <c r="BH35" s="51">
        <v>0.20939999999999967</v>
      </c>
      <c r="BI35" s="51">
        <v>0.20039999999999963</v>
      </c>
      <c r="BJ35" s="51">
        <v>0.19139999999999963</v>
      </c>
      <c r="BK35" s="51">
        <v>0.18239999999999962</v>
      </c>
      <c r="BL35" s="51">
        <v>0.17339999999999958</v>
      </c>
      <c r="BM35" s="51">
        <v>0.16439999999999949</v>
      </c>
      <c r="BN35" s="51">
        <v>0.15539999999999948</v>
      </c>
      <c r="BO35" s="51">
        <v>0.14639999999999947</v>
      </c>
      <c r="BP35" s="51">
        <v>0.13739999999999941</v>
      </c>
    </row>
    <row r="36" spans="1:68" x14ac:dyDescent="0.3">
      <c r="A36" s="46" t="s">
        <v>10</v>
      </c>
      <c r="B36" s="47" t="s">
        <v>125</v>
      </c>
      <c r="C36" s="47" t="s">
        <v>130</v>
      </c>
      <c r="D36" s="48" t="s">
        <v>200</v>
      </c>
      <c r="E36" s="47" t="s">
        <v>201</v>
      </c>
      <c r="F36" s="47" t="s">
        <v>11</v>
      </c>
      <c r="G36" s="47" t="s">
        <v>11</v>
      </c>
      <c r="H36" s="47" t="s">
        <v>7</v>
      </c>
      <c r="I36" s="47" t="s">
        <v>64</v>
      </c>
      <c r="J36" s="47" t="s">
        <v>64</v>
      </c>
      <c r="K36" s="47" t="s">
        <v>64</v>
      </c>
      <c r="L36" s="47" t="s">
        <v>64</v>
      </c>
      <c r="M36" s="47" t="s">
        <v>64</v>
      </c>
      <c r="N36" s="47">
        <v>2023</v>
      </c>
      <c r="O36" s="47">
        <f t="shared" ref="O36:O37" si="15">7/100</f>
        <v>7.0000000000000007E-2</v>
      </c>
      <c r="P36" s="47">
        <f t="shared" ref="P36:P37" si="16">6.1/100</f>
        <v>6.0999999999999999E-2</v>
      </c>
      <c r="Q36" s="47">
        <f t="shared" ref="Q36:Q37" si="17">9.5/100</f>
        <v>9.5000000000000001E-2</v>
      </c>
      <c r="R36" s="47">
        <f t="shared" ref="R36:R37" si="18">Q36+0.001</f>
        <v>9.6000000000000002E-2</v>
      </c>
      <c r="S36" s="47">
        <f t="shared" ref="S36:S37" si="19">R36+0.001</f>
        <v>9.7000000000000003E-2</v>
      </c>
      <c r="T36" s="49" t="s">
        <v>202</v>
      </c>
      <c r="U36" s="51">
        <v>0</v>
      </c>
      <c r="V36" s="51">
        <v>0</v>
      </c>
      <c r="W36" s="51">
        <v>0</v>
      </c>
      <c r="X36" s="51">
        <v>0</v>
      </c>
      <c r="Y36" s="51">
        <v>0</v>
      </c>
      <c r="Z36" s="51">
        <v>0</v>
      </c>
      <c r="AA36" s="51">
        <v>0</v>
      </c>
      <c r="AB36" s="51">
        <v>0</v>
      </c>
      <c r="AC36" s="51">
        <v>0</v>
      </c>
      <c r="AD36" s="51">
        <v>0</v>
      </c>
      <c r="AE36" s="51">
        <v>0</v>
      </c>
      <c r="AF36" s="51">
        <v>0</v>
      </c>
      <c r="AG36" s="51">
        <v>0</v>
      </c>
      <c r="AH36" s="51">
        <v>0</v>
      </c>
      <c r="AI36" s="51">
        <v>0</v>
      </c>
      <c r="AJ36" s="51">
        <v>0</v>
      </c>
      <c r="AK36" s="51">
        <v>0</v>
      </c>
      <c r="AL36" s="51">
        <v>0</v>
      </c>
      <c r="AM36" s="51">
        <v>0</v>
      </c>
      <c r="AN36" s="51">
        <v>0</v>
      </c>
      <c r="AO36" s="51">
        <v>0</v>
      </c>
      <c r="AP36" s="51">
        <v>0</v>
      </c>
      <c r="AQ36" s="51">
        <v>0</v>
      </c>
      <c r="AR36" s="51">
        <v>0</v>
      </c>
      <c r="AS36" s="51">
        <v>0</v>
      </c>
      <c r="AT36" s="51">
        <v>0</v>
      </c>
      <c r="AU36" s="51">
        <v>0</v>
      </c>
      <c r="AV36" s="51">
        <v>0</v>
      </c>
      <c r="AW36" s="51">
        <v>0</v>
      </c>
      <c r="AX36" s="51">
        <v>0</v>
      </c>
      <c r="AY36" s="51">
        <v>0</v>
      </c>
      <c r="AZ36" s="51">
        <v>0</v>
      </c>
      <c r="BA36" s="51">
        <v>0</v>
      </c>
      <c r="BB36" s="51">
        <v>0</v>
      </c>
      <c r="BC36" s="51">
        <v>0</v>
      </c>
      <c r="BD36" s="51">
        <v>0</v>
      </c>
      <c r="BE36" s="51">
        <v>0</v>
      </c>
      <c r="BF36" s="51">
        <v>0</v>
      </c>
      <c r="BG36" s="51">
        <v>0</v>
      </c>
      <c r="BH36" s="51">
        <v>0</v>
      </c>
      <c r="BI36" s="51">
        <v>0</v>
      </c>
      <c r="BJ36" s="51">
        <v>0</v>
      </c>
      <c r="BK36" s="51">
        <v>0</v>
      </c>
      <c r="BL36" s="51">
        <v>0</v>
      </c>
      <c r="BM36" s="51">
        <v>0</v>
      </c>
      <c r="BN36" s="51">
        <v>0</v>
      </c>
      <c r="BO36" s="51">
        <v>0</v>
      </c>
      <c r="BP36" s="51">
        <v>0</v>
      </c>
    </row>
    <row r="37" spans="1:68" x14ac:dyDescent="0.3">
      <c r="A37" s="46" t="s">
        <v>10</v>
      </c>
      <c r="B37" s="47" t="s">
        <v>125</v>
      </c>
      <c r="C37" s="47" t="s">
        <v>130</v>
      </c>
      <c r="D37" s="48" t="s">
        <v>203</v>
      </c>
      <c r="E37" s="47" t="s">
        <v>204</v>
      </c>
      <c r="F37" s="47" t="s">
        <v>11</v>
      </c>
      <c r="G37" s="47" t="s">
        <v>11</v>
      </c>
      <c r="H37" s="47" t="s">
        <v>7</v>
      </c>
      <c r="I37" s="47" t="s">
        <v>64</v>
      </c>
      <c r="J37" s="47" t="s">
        <v>64</v>
      </c>
      <c r="K37" s="47" t="s">
        <v>64</v>
      </c>
      <c r="L37" s="47" t="s">
        <v>64</v>
      </c>
      <c r="M37" s="47" t="s">
        <v>64</v>
      </c>
      <c r="N37" s="47">
        <v>2023</v>
      </c>
      <c r="O37" s="47">
        <f t="shared" si="15"/>
        <v>7.0000000000000007E-2</v>
      </c>
      <c r="P37" s="47">
        <f t="shared" si="16"/>
        <v>6.0999999999999999E-2</v>
      </c>
      <c r="Q37" s="47">
        <f t="shared" si="17"/>
        <v>9.5000000000000001E-2</v>
      </c>
      <c r="R37" s="47">
        <f t="shared" si="18"/>
        <v>9.6000000000000002E-2</v>
      </c>
      <c r="S37" s="47">
        <f t="shared" si="19"/>
        <v>9.7000000000000003E-2</v>
      </c>
      <c r="T37" s="49" t="s">
        <v>202</v>
      </c>
      <c r="U37" s="51">
        <v>0</v>
      </c>
      <c r="V37" s="51">
        <v>0</v>
      </c>
      <c r="W37" s="51">
        <v>0</v>
      </c>
      <c r="X37" s="51">
        <v>0</v>
      </c>
      <c r="Y37" s="51">
        <v>0</v>
      </c>
      <c r="Z37" s="51">
        <v>0</v>
      </c>
      <c r="AA37" s="51">
        <v>0</v>
      </c>
      <c r="AB37" s="51">
        <v>0</v>
      </c>
      <c r="AC37" s="51">
        <v>0</v>
      </c>
      <c r="AD37" s="51">
        <v>0</v>
      </c>
      <c r="AE37" s="51">
        <v>0</v>
      </c>
      <c r="AF37" s="51">
        <v>0</v>
      </c>
      <c r="AG37" s="51">
        <v>0</v>
      </c>
      <c r="AH37" s="51">
        <v>0</v>
      </c>
      <c r="AI37" s="51">
        <v>0</v>
      </c>
      <c r="AJ37" s="51">
        <v>0</v>
      </c>
      <c r="AK37" s="51">
        <v>0</v>
      </c>
      <c r="AL37" s="51">
        <v>0</v>
      </c>
      <c r="AM37" s="51">
        <v>0</v>
      </c>
      <c r="AN37" s="51">
        <v>0</v>
      </c>
      <c r="AO37" s="51">
        <v>0</v>
      </c>
      <c r="AP37" s="51">
        <v>0</v>
      </c>
      <c r="AQ37" s="51">
        <v>0</v>
      </c>
      <c r="AR37" s="51">
        <v>0</v>
      </c>
      <c r="AS37" s="51">
        <v>0</v>
      </c>
      <c r="AT37" s="51">
        <v>0</v>
      </c>
      <c r="AU37" s="51">
        <v>0</v>
      </c>
      <c r="AV37" s="51">
        <v>0</v>
      </c>
      <c r="AW37" s="51">
        <v>0</v>
      </c>
      <c r="AX37" s="51">
        <v>0</v>
      </c>
      <c r="AY37" s="51">
        <v>0</v>
      </c>
      <c r="AZ37" s="51">
        <v>0</v>
      </c>
      <c r="BA37" s="51">
        <v>0</v>
      </c>
      <c r="BB37" s="51">
        <v>0</v>
      </c>
      <c r="BC37" s="51">
        <v>0</v>
      </c>
      <c r="BD37" s="51">
        <v>0</v>
      </c>
      <c r="BE37" s="51">
        <v>0</v>
      </c>
      <c r="BF37" s="51">
        <v>0</v>
      </c>
      <c r="BG37" s="51">
        <v>0</v>
      </c>
      <c r="BH37" s="51">
        <v>0</v>
      </c>
      <c r="BI37" s="51">
        <v>0</v>
      </c>
      <c r="BJ37" s="51">
        <v>0</v>
      </c>
      <c r="BK37" s="51">
        <v>0</v>
      </c>
      <c r="BL37" s="51">
        <v>0</v>
      </c>
      <c r="BM37" s="51">
        <v>0</v>
      </c>
      <c r="BN37" s="51">
        <v>0</v>
      </c>
      <c r="BO37" s="51">
        <v>0</v>
      </c>
      <c r="BP37" s="51">
        <v>0</v>
      </c>
    </row>
    <row r="38" spans="1:68" x14ac:dyDescent="0.3">
      <c r="A38" s="169" t="s">
        <v>426</v>
      </c>
      <c r="B38" s="47" t="s">
        <v>125</v>
      </c>
      <c r="C38" s="47" t="s">
        <v>130</v>
      </c>
      <c r="D38" s="48" t="s">
        <v>131</v>
      </c>
      <c r="E38" s="47" t="s">
        <v>132</v>
      </c>
      <c r="F38" s="47" t="s">
        <v>11</v>
      </c>
      <c r="G38" s="47" t="s">
        <v>11</v>
      </c>
      <c r="H38" s="47" t="s">
        <v>7</v>
      </c>
      <c r="I38" s="47" t="s">
        <v>64</v>
      </c>
      <c r="J38" s="47" t="s">
        <v>64</v>
      </c>
      <c r="K38" s="47" t="s">
        <v>64</v>
      </c>
      <c r="L38" s="47" t="s">
        <v>64</v>
      </c>
      <c r="M38" s="47" t="s">
        <v>64</v>
      </c>
      <c r="N38" s="47">
        <v>2023</v>
      </c>
      <c r="O38" s="47">
        <v>0.05</v>
      </c>
      <c r="P38" s="47">
        <v>0.05</v>
      </c>
      <c r="Q38" s="47">
        <v>0.05</v>
      </c>
      <c r="R38" s="47">
        <v>0.05</v>
      </c>
      <c r="S38" s="47">
        <v>0.05</v>
      </c>
      <c r="T38" s="49" t="s">
        <v>133</v>
      </c>
      <c r="U38" s="50">
        <v>0</v>
      </c>
      <c r="V38" s="50">
        <v>0</v>
      </c>
      <c r="W38" s="50">
        <v>0</v>
      </c>
      <c r="X38" s="50">
        <v>0</v>
      </c>
      <c r="Y38" s="50">
        <v>0</v>
      </c>
      <c r="Z38" s="50">
        <v>0</v>
      </c>
      <c r="AA38" s="50">
        <v>0</v>
      </c>
      <c r="AB38" s="50">
        <v>0</v>
      </c>
      <c r="AC38" s="50">
        <v>0</v>
      </c>
      <c r="AD38" s="50">
        <v>0</v>
      </c>
      <c r="AE38" s="50">
        <v>0</v>
      </c>
      <c r="AF38" s="50">
        <v>0</v>
      </c>
      <c r="AG38" s="50">
        <v>0</v>
      </c>
      <c r="AH38" s="50">
        <v>0</v>
      </c>
      <c r="AI38" s="50">
        <v>0</v>
      </c>
      <c r="AJ38" s="50">
        <v>0</v>
      </c>
      <c r="AK38" s="50">
        <v>0</v>
      </c>
      <c r="AL38" s="50">
        <v>0</v>
      </c>
      <c r="AM38" s="50">
        <v>0</v>
      </c>
      <c r="AN38" s="50">
        <v>0</v>
      </c>
      <c r="AO38" s="50">
        <v>0</v>
      </c>
      <c r="AP38" s="50">
        <v>0</v>
      </c>
      <c r="AQ38" s="50">
        <v>0</v>
      </c>
      <c r="AR38" s="50">
        <v>0</v>
      </c>
      <c r="AS38" s="50">
        <v>0</v>
      </c>
      <c r="AT38" s="50">
        <v>0</v>
      </c>
      <c r="AU38" s="50">
        <v>0</v>
      </c>
      <c r="AV38" s="50">
        <v>0</v>
      </c>
      <c r="AW38" s="50">
        <v>0</v>
      </c>
      <c r="AX38" s="50">
        <v>0</v>
      </c>
      <c r="AY38" s="50">
        <v>0</v>
      </c>
      <c r="AZ38" s="50">
        <v>0</v>
      </c>
      <c r="BA38" s="50">
        <v>0</v>
      </c>
      <c r="BB38" s="50">
        <v>0</v>
      </c>
      <c r="BC38" s="50">
        <v>0</v>
      </c>
      <c r="BD38" s="50">
        <v>0</v>
      </c>
      <c r="BE38" s="50">
        <v>0</v>
      </c>
      <c r="BF38" s="50">
        <v>0</v>
      </c>
      <c r="BG38" s="50">
        <v>0</v>
      </c>
      <c r="BH38" s="50">
        <v>0</v>
      </c>
      <c r="BI38" s="50">
        <v>0</v>
      </c>
      <c r="BJ38" s="50">
        <v>0</v>
      </c>
      <c r="BK38" s="50">
        <v>0</v>
      </c>
      <c r="BL38" s="50">
        <v>0</v>
      </c>
      <c r="BM38" s="50">
        <v>0</v>
      </c>
      <c r="BN38" s="50">
        <v>0</v>
      </c>
      <c r="BO38" s="50">
        <v>0</v>
      </c>
      <c r="BP38" s="50">
        <v>0</v>
      </c>
    </row>
    <row r="39" spans="1:68" x14ac:dyDescent="0.3">
      <c r="A39" s="169" t="s">
        <v>426</v>
      </c>
      <c r="B39" s="47" t="s">
        <v>125</v>
      </c>
      <c r="C39" s="47" t="s">
        <v>60</v>
      </c>
      <c r="D39" s="48" t="s">
        <v>134</v>
      </c>
      <c r="E39" s="47" t="s">
        <v>135</v>
      </c>
      <c r="F39" s="47" t="s">
        <v>11</v>
      </c>
      <c r="G39" s="47" t="s">
        <v>11</v>
      </c>
      <c r="H39" s="47" t="s">
        <v>7</v>
      </c>
      <c r="I39" s="47" t="s">
        <v>64</v>
      </c>
      <c r="J39" s="47" t="s">
        <v>64</v>
      </c>
      <c r="K39" s="47" t="s">
        <v>64</v>
      </c>
      <c r="L39" s="47" t="s">
        <v>64</v>
      </c>
      <c r="M39" s="47" t="s">
        <v>64</v>
      </c>
      <c r="N39" s="47">
        <v>2023</v>
      </c>
      <c r="O39" s="47" t="s">
        <v>136</v>
      </c>
      <c r="P39" s="47" t="s">
        <v>136</v>
      </c>
      <c r="Q39" s="47">
        <f>70.6/100</f>
        <v>0.70599999999999996</v>
      </c>
      <c r="R39" s="47">
        <f t="shared" ref="R39:R41" si="20">Q39+0.001</f>
        <v>0.70699999999999996</v>
      </c>
      <c r="S39" s="47">
        <f>R39+0.001</f>
        <v>0.70799999999999996</v>
      </c>
      <c r="T39" s="49" t="s">
        <v>129</v>
      </c>
      <c r="U39" s="51">
        <v>1.3155555555555555E-3</v>
      </c>
      <c r="V39" s="51">
        <v>2.151111111111111E-3</v>
      </c>
      <c r="W39" s="51">
        <v>2.9866666666666665E-3</v>
      </c>
      <c r="X39" s="51">
        <v>3.8222222222222221E-3</v>
      </c>
      <c r="Y39" s="51">
        <v>4.657777777777778E-3</v>
      </c>
      <c r="Z39" s="51">
        <v>5.4933333333333336E-3</v>
      </c>
      <c r="AA39" s="51">
        <v>6.3288888888888891E-3</v>
      </c>
      <c r="AB39" s="51">
        <v>7.1644444444444446E-3</v>
      </c>
      <c r="AC39" s="51">
        <v>8.0000000000000002E-3</v>
      </c>
      <c r="AD39" s="51">
        <v>1.0666666666666666E-2</v>
      </c>
      <c r="AE39" s="51">
        <v>1.3333333333333332E-2</v>
      </c>
      <c r="AF39" s="51">
        <v>1.6E-2</v>
      </c>
      <c r="AG39" s="51">
        <v>2.8000000000000001E-2</v>
      </c>
      <c r="AH39" s="51">
        <v>4.2000000000000003E-2</v>
      </c>
      <c r="AI39" s="51">
        <v>5.6000000000000001E-2</v>
      </c>
      <c r="AJ39" s="51">
        <v>7.0000000000000007E-2</v>
      </c>
      <c r="AK39" s="51">
        <v>8.4000000000000005E-2</v>
      </c>
      <c r="AL39" s="51">
        <v>9.8000000000000004E-2</v>
      </c>
      <c r="AM39" s="51">
        <v>0.13490000000000002</v>
      </c>
      <c r="AN39" s="51">
        <v>0.17180000000000001</v>
      </c>
      <c r="AO39" s="51">
        <v>0.2087</v>
      </c>
      <c r="AP39" s="51">
        <v>0.24559999999999998</v>
      </c>
      <c r="AQ39" s="51">
        <v>0.28249999999999997</v>
      </c>
      <c r="AR39" s="51">
        <v>0.31939999999999996</v>
      </c>
      <c r="AS39" s="51">
        <v>0.35629999999999995</v>
      </c>
      <c r="AT39" s="51">
        <v>0.39319999999999994</v>
      </c>
      <c r="AU39" s="51">
        <v>0.43009999999999993</v>
      </c>
      <c r="AV39" s="51">
        <v>0.46700000000000003</v>
      </c>
      <c r="AW39" s="51">
        <v>0.48447000000000001</v>
      </c>
      <c r="AX39" s="51">
        <v>0.50194000000000005</v>
      </c>
      <c r="AY39" s="51">
        <v>0.51941000000000004</v>
      </c>
      <c r="AZ39" s="51">
        <v>0.53688000000000002</v>
      </c>
      <c r="BA39" s="51">
        <v>0.55435000000000001</v>
      </c>
      <c r="BB39" s="51">
        <v>0.57181999999999999</v>
      </c>
      <c r="BC39" s="51">
        <v>0.58928999999999998</v>
      </c>
      <c r="BD39" s="51">
        <v>0.60675999999999997</v>
      </c>
      <c r="BE39" s="51">
        <v>0.62422999999999995</v>
      </c>
      <c r="BF39" s="51">
        <v>0.64170000000000005</v>
      </c>
      <c r="BG39" s="51">
        <v>0.651115</v>
      </c>
      <c r="BH39" s="51">
        <v>0.66052999999999995</v>
      </c>
      <c r="BI39" s="51">
        <v>0.6699449999999999</v>
      </c>
      <c r="BJ39" s="51">
        <v>0.67935999999999985</v>
      </c>
      <c r="BK39" s="51">
        <v>0.6887749999999998</v>
      </c>
      <c r="BL39" s="51">
        <v>0.69818999999999976</v>
      </c>
      <c r="BM39" s="51">
        <v>0.70760499999999971</v>
      </c>
      <c r="BN39" s="51">
        <v>0.71701999999999966</v>
      </c>
      <c r="BO39" s="51">
        <v>0.72643499999999961</v>
      </c>
      <c r="BP39" s="51">
        <v>0.73584999999999956</v>
      </c>
    </row>
    <row r="40" spans="1:68" x14ac:dyDescent="0.3">
      <c r="A40" s="169" t="s">
        <v>426</v>
      </c>
      <c r="B40" s="47" t="s">
        <v>125</v>
      </c>
      <c r="C40" s="47" t="s">
        <v>60</v>
      </c>
      <c r="D40" s="48" t="s">
        <v>137</v>
      </c>
      <c r="E40" s="47" t="s">
        <v>138</v>
      </c>
      <c r="F40" s="47" t="s">
        <v>11</v>
      </c>
      <c r="G40" s="47" t="s">
        <v>11</v>
      </c>
      <c r="H40" s="47" t="s">
        <v>7</v>
      </c>
      <c r="I40" s="47" t="s">
        <v>64</v>
      </c>
      <c r="J40" s="47" t="s">
        <v>64</v>
      </c>
      <c r="K40" s="47" t="s">
        <v>64</v>
      </c>
      <c r="L40" s="47" t="s">
        <v>64</v>
      </c>
      <c r="M40" s="47" t="s">
        <v>64</v>
      </c>
      <c r="N40" s="47">
        <v>2023</v>
      </c>
      <c r="O40" s="47" t="s">
        <v>136</v>
      </c>
      <c r="P40" s="47" t="s">
        <v>136</v>
      </c>
      <c r="Q40" s="47">
        <f t="shared" ref="Q40:Q41" si="21">93.9/100</f>
        <v>0.93900000000000006</v>
      </c>
      <c r="R40" s="47">
        <f t="shared" si="20"/>
        <v>0.94000000000000006</v>
      </c>
      <c r="S40" s="47">
        <f t="shared" ref="S40:S41" si="22">R40+0.001</f>
        <v>0.94100000000000006</v>
      </c>
      <c r="T40" s="49" t="s">
        <v>129</v>
      </c>
      <c r="U40" s="51">
        <v>5.0000000000000001E-4</v>
      </c>
      <c r="V40" s="51">
        <v>5.9999999999999995E-4</v>
      </c>
      <c r="W40" s="51">
        <v>6.4999999999999997E-4</v>
      </c>
      <c r="X40" s="51">
        <v>6.9999999999999999E-4</v>
      </c>
      <c r="Y40" s="51">
        <v>7.5000000000000002E-4</v>
      </c>
      <c r="Z40" s="51">
        <v>1E-3</v>
      </c>
      <c r="AA40" s="51">
        <v>2E-3</v>
      </c>
      <c r="AB40" s="51">
        <v>3.0000000000000001E-3</v>
      </c>
      <c r="AC40" s="51">
        <v>1.2914285714285715E-2</v>
      </c>
      <c r="AD40" s="51">
        <v>2.2828571428571427E-2</v>
      </c>
      <c r="AE40" s="51">
        <v>3.2742857142857143E-2</v>
      </c>
      <c r="AF40" s="51">
        <v>4.2657142857142859E-2</v>
      </c>
      <c r="AG40" s="51">
        <v>5.2571428571428575E-2</v>
      </c>
      <c r="AH40" s="51">
        <v>6.248571428571429E-2</v>
      </c>
      <c r="AI40" s="51">
        <v>7.2400000000000006E-2</v>
      </c>
      <c r="AJ40" s="51">
        <v>8.2314285714285715E-2</v>
      </c>
      <c r="AK40" s="51">
        <v>9.2228571428571424E-2</v>
      </c>
      <c r="AL40" s="51">
        <v>0.10214285714285715</v>
      </c>
      <c r="AM40" s="51">
        <v>0.14438857142857142</v>
      </c>
      <c r="AN40" s="51">
        <v>0.1866342857142857</v>
      </c>
      <c r="AO40" s="51">
        <v>0.22887999999999997</v>
      </c>
      <c r="AP40" s="51">
        <v>0.27112571428571425</v>
      </c>
      <c r="AQ40" s="51">
        <v>0.31337142857142852</v>
      </c>
      <c r="AR40" s="51">
        <v>0.3556171428571428</v>
      </c>
      <c r="AS40" s="51">
        <v>0.39786285714285707</v>
      </c>
      <c r="AT40" s="51">
        <v>0.44010857142857135</v>
      </c>
      <c r="AU40" s="51">
        <v>0.48235428571428562</v>
      </c>
      <c r="AV40" s="51">
        <v>0.52460000000000007</v>
      </c>
      <c r="AW40" s="51">
        <v>0.57230000000000003</v>
      </c>
      <c r="AX40" s="51">
        <v>0.58888000000000007</v>
      </c>
      <c r="AY40" s="51">
        <v>0.60546000000000011</v>
      </c>
      <c r="AZ40" s="51">
        <v>0.62204000000000015</v>
      </c>
      <c r="BA40" s="51">
        <v>0.63862000000000019</v>
      </c>
      <c r="BB40" s="51">
        <v>0.65520000000000012</v>
      </c>
      <c r="BC40" s="51">
        <v>0.66400000000000015</v>
      </c>
      <c r="BD40" s="51">
        <v>0.67280000000000018</v>
      </c>
      <c r="BE40" s="51">
        <v>0.68160000000000021</v>
      </c>
      <c r="BF40" s="51">
        <v>0.69040000000000024</v>
      </c>
      <c r="BG40" s="51">
        <v>0.69920000000000027</v>
      </c>
      <c r="BH40" s="51">
        <v>0.70799999999999996</v>
      </c>
      <c r="BI40" s="51">
        <v>0.71389999999999998</v>
      </c>
      <c r="BJ40" s="51">
        <v>0.7198</v>
      </c>
      <c r="BK40" s="51">
        <v>0.72570000000000001</v>
      </c>
      <c r="BL40" s="51">
        <v>0.73160000000000003</v>
      </c>
      <c r="BM40" s="51">
        <v>0.73750000000000004</v>
      </c>
      <c r="BN40" s="51">
        <v>0.74340000000000006</v>
      </c>
      <c r="BO40" s="51">
        <v>0.74930000000000008</v>
      </c>
      <c r="BP40" s="51">
        <v>0.75</v>
      </c>
    </row>
    <row r="41" spans="1:68" x14ac:dyDescent="0.3">
      <c r="A41" s="169" t="s">
        <v>426</v>
      </c>
      <c r="B41" s="47" t="s">
        <v>125</v>
      </c>
      <c r="C41" s="47" t="s">
        <v>60</v>
      </c>
      <c r="D41" s="48" t="s">
        <v>139</v>
      </c>
      <c r="E41" s="47" t="s">
        <v>140</v>
      </c>
      <c r="F41" s="47" t="s">
        <v>11</v>
      </c>
      <c r="G41" s="47" t="s">
        <v>11</v>
      </c>
      <c r="H41" s="47" t="s">
        <v>7</v>
      </c>
      <c r="I41" s="47" t="s">
        <v>64</v>
      </c>
      <c r="J41" s="47" t="s">
        <v>64</v>
      </c>
      <c r="K41" s="47" t="s">
        <v>64</v>
      </c>
      <c r="L41" s="47" t="s">
        <v>64</v>
      </c>
      <c r="M41" s="47" t="s">
        <v>64</v>
      </c>
      <c r="N41" s="47">
        <v>2023</v>
      </c>
      <c r="O41" s="47" t="s">
        <v>136</v>
      </c>
      <c r="P41" s="47" t="s">
        <v>136</v>
      </c>
      <c r="Q41" s="47">
        <f t="shared" si="21"/>
        <v>0.93900000000000006</v>
      </c>
      <c r="R41" s="47">
        <f t="shared" si="20"/>
        <v>0.94000000000000006</v>
      </c>
      <c r="S41" s="47">
        <f t="shared" si="22"/>
        <v>0.94100000000000006</v>
      </c>
      <c r="T41" s="49" t="s">
        <v>129</v>
      </c>
      <c r="U41" s="51">
        <v>2E-3</v>
      </c>
      <c r="V41" s="51">
        <v>2.5000000000000001E-3</v>
      </c>
      <c r="W41" s="51">
        <v>3.2000000000000002E-3</v>
      </c>
      <c r="X41" s="51">
        <v>4.0000000000000001E-3</v>
      </c>
      <c r="Y41" s="51">
        <v>5.4999999999999997E-3</v>
      </c>
      <c r="Z41" s="51">
        <v>7.0000000000000001E-3</v>
      </c>
      <c r="AA41" s="51">
        <v>1.7657142857142857E-2</v>
      </c>
      <c r="AB41" s="51">
        <v>2.8314285714285715E-2</v>
      </c>
      <c r="AC41" s="51">
        <v>3.8971428571428574E-2</v>
      </c>
      <c r="AD41" s="51">
        <v>4.9628571428571432E-2</v>
      </c>
      <c r="AE41" s="51">
        <v>6.028571428571429E-2</v>
      </c>
      <c r="AF41" s="51">
        <v>7.0942857142857141E-2</v>
      </c>
      <c r="AG41" s="51">
        <v>8.1600000000000006E-2</v>
      </c>
      <c r="AH41" s="51">
        <v>9.894E-2</v>
      </c>
      <c r="AI41" s="51">
        <v>0.11627999999999999</v>
      </c>
      <c r="AJ41" s="51">
        <v>0.13361999999999999</v>
      </c>
      <c r="AK41" s="51">
        <v>0.15095999999999998</v>
      </c>
      <c r="AL41" s="51">
        <v>0.16829999999999998</v>
      </c>
      <c r="AM41" s="51">
        <v>0.18563999999999997</v>
      </c>
      <c r="AN41" s="51">
        <v>0.20297999999999997</v>
      </c>
      <c r="AO41" s="51">
        <v>0.22031999999999996</v>
      </c>
      <c r="AP41" s="51">
        <v>0.23765999999999995</v>
      </c>
      <c r="AQ41" s="51">
        <v>0.255</v>
      </c>
      <c r="AR41" s="51">
        <v>0.26950000000000002</v>
      </c>
      <c r="AS41" s="51">
        <v>0.28400000000000003</v>
      </c>
      <c r="AT41" s="51">
        <v>0.29850000000000004</v>
      </c>
      <c r="AU41" s="51">
        <v>0.31300000000000006</v>
      </c>
      <c r="AV41" s="51">
        <v>0.32750000000000007</v>
      </c>
      <c r="AW41" s="51">
        <v>0.34200000000000008</v>
      </c>
      <c r="AX41" s="51">
        <v>0.35650000000000009</v>
      </c>
      <c r="AY41" s="51">
        <v>0.37100000000000011</v>
      </c>
      <c r="AZ41" s="51">
        <v>0.38550000000000012</v>
      </c>
      <c r="BA41" s="51">
        <v>0.4</v>
      </c>
      <c r="BB41" s="51">
        <v>0.41155000000000003</v>
      </c>
      <c r="BC41" s="51">
        <v>0.42310000000000003</v>
      </c>
      <c r="BD41" s="51">
        <v>0.43465000000000004</v>
      </c>
      <c r="BE41" s="51">
        <v>0.44620000000000004</v>
      </c>
      <c r="BF41" s="51">
        <v>0.45775000000000005</v>
      </c>
      <c r="BG41" s="51">
        <v>0.46930000000000005</v>
      </c>
      <c r="BH41" s="51">
        <v>0.48085000000000006</v>
      </c>
      <c r="BI41" s="51">
        <v>0.49240000000000006</v>
      </c>
      <c r="BJ41" s="51">
        <v>0.50395000000000001</v>
      </c>
      <c r="BK41" s="51">
        <v>0.51549999999999996</v>
      </c>
      <c r="BL41" s="51">
        <v>0.52704999999999991</v>
      </c>
      <c r="BM41" s="51">
        <v>0.53859999999999986</v>
      </c>
      <c r="BN41" s="51">
        <v>0.55014999999999981</v>
      </c>
      <c r="BO41" s="51">
        <v>0.56169999999999976</v>
      </c>
      <c r="BP41" s="51">
        <v>0.5732499999999997</v>
      </c>
    </row>
    <row r="42" spans="1:68" x14ac:dyDescent="0.3">
      <c r="A42" s="169" t="s">
        <v>426</v>
      </c>
      <c r="B42" s="47" t="s">
        <v>125</v>
      </c>
      <c r="C42" s="47" t="s">
        <v>126</v>
      </c>
      <c r="D42" s="48" t="s">
        <v>141</v>
      </c>
      <c r="E42" s="47" t="s">
        <v>142</v>
      </c>
      <c r="F42" s="47" t="s">
        <v>11</v>
      </c>
      <c r="G42" s="47" t="s">
        <v>11</v>
      </c>
      <c r="H42" s="47" t="s">
        <v>7</v>
      </c>
      <c r="I42" s="47" t="s">
        <v>64</v>
      </c>
      <c r="J42" s="47" t="s">
        <v>64</v>
      </c>
      <c r="K42" s="47" t="s">
        <v>64</v>
      </c>
      <c r="L42" s="47" t="s">
        <v>64</v>
      </c>
      <c r="M42" s="47" t="s">
        <v>64</v>
      </c>
      <c r="N42" s="47">
        <v>2023</v>
      </c>
      <c r="O42" s="47" t="s">
        <v>136</v>
      </c>
      <c r="P42" s="47">
        <v>1</v>
      </c>
      <c r="Q42" s="47">
        <v>1</v>
      </c>
      <c r="R42" s="47">
        <v>1</v>
      </c>
      <c r="S42" s="47">
        <v>1</v>
      </c>
      <c r="T42" s="49" t="s">
        <v>129</v>
      </c>
      <c r="U42" s="51">
        <v>1.9799999999999999E-4</v>
      </c>
      <c r="V42" s="51">
        <v>5.1650000000000003E-3</v>
      </c>
      <c r="W42" s="51">
        <v>1.0132E-2</v>
      </c>
      <c r="X42" s="51">
        <v>1.5099E-2</v>
      </c>
      <c r="Y42" s="51">
        <v>2.0065999999999997E-2</v>
      </c>
      <c r="Z42" s="51">
        <v>2.5032999999999996E-2</v>
      </c>
      <c r="AA42" s="51">
        <v>0.03</v>
      </c>
      <c r="AB42" s="51">
        <v>5.1428571428571428E-2</v>
      </c>
      <c r="AC42" s="51">
        <v>7.2857142857142856E-2</v>
      </c>
      <c r="AD42" s="51">
        <v>9.4285714285714278E-2</v>
      </c>
      <c r="AE42" s="51">
        <v>0.1157142857142857</v>
      </c>
      <c r="AF42" s="51">
        <v>0.13714285714285712</v>
      </c>
      <c r="AG42" s="51">
        <v>0.15857142857142853</v>
      </c>
      <c r="AH42" s="51">
        <v>0.18</v>
      </c>
      <c r="AI42" s="51">
        <v>0.19799999999999998</v>
      </c>
      <c r="AJ42" s="51">
        <v>0.216</v>
      </c>
      <c r="AK42" s="51">
        <v>0.23399999999999999</v>
      </c>
      <c r="AL42" s="51">
        <v>0.252</v>
      </c>
      <c r="AM42" s="51">
        <v>0.27</v>
      </c>
      <c r="AN42" s="51">
        <v>0.28800000000000003</v>
      </c>
      <c r="AO42" s="51">
        <v>0.30600000000000005</v>
      </c>
      <c r="AP42" s="51">
        <v>0.32400000000000007</v>
      </c>
      <c r="AQ42" s="51">
        <v>0.34200000000000008</v>
      </c>
      <c r="AR42" s="51">
        <v>0.36</v>
      </c>
      <c r="AS42" s="51">
        <v>0.372</v>
      </c>
      <c r="AT42" s="51">
        <v>0.38400000000000001</v>
      </c>
      <c r="AU42" s="51">
        <v>0.39600000000000002</v>
      </c>
      <c r="AV42" s="51">
        <v>0.40800000000000003</v>
      </c>
      <c r="AW42" s="51">
        <v>0.42000000000000004</v>
      </c>
      <c r="AX42" s="51">
        <v>0.43200000000000005</v>
      </c>
      <c r="AY42" s="51">
        <v>0.44400000000000006</v>
      </c>
      <c r="AZ42" s="51">
        <v>0.45600000000000007</v>
      </c>
      <c r="BA42" s="51">
        <v>0.46800000000000008</v>
      </c>
      <c r="BB42" s="51">
        <v>0.48</v>
      </c>
      <c r="BC42" s="51">
        <v>0.48449999999999999</v>
      </c>
      <c r="BD42" s="51">
        <v>0.48899999999999993</v>
      </c>
      <c r="BE42" s="51">
        <v>0.49349999999999994</v>
      </c>
      <c r="BF42" s="51">
        <v>0.49799999999999989</v>
      </c>
      <c r="BG42" s="51">
        <v>0.50249999999999984</v>
      </c>
      <c r="BH42" s="51">
        <v>0.50699999999999978</v>
      </c>
      <c r="BI42" s="51">
        <v>0.51149999999999984</v>
      </c>
      <c r="BJ42" s="51">
        <v>0.51599999999999979</v>
      </c>
      <c r="BK42" s="51">
        <v>0.52049999999999974</v>
      </c>
      <c r="BL42" s="51">
        <v>0.52499999999999969</v>
      </c>
      <c r="BM42" s="51">
        <v>0.52949999999999964</v>
      </c>
      <c r="BN42" s="51">
        <v>0.5339999999999997</v>
      </c>
      <c r="BO42" s="51">
        <v>0.53849999999999965</v>
      </c>
      <c r="BP42" s="51">
        <v>0.54299999999999959</v>
      </c>
    </row>
    <row r="43" spans="1:68" x14ac:dyDescent="0.3">
      <c r="A43" s="169" t="s">
        <v>426</v>
      </c>
      <c r="B43" s="47" t="s">
        <v>125</v>
      </c>
      <c r="C43" s="47" t="s">
        <v>126</v>
      </c>
      <c r="D43" s="48" t="s">
        <v>143</v>
      </c>
      <c r="E43" s="47" t="s">
        <v>128</v>
      </c>
      <c r="F43" s="47" t="s">
        <v>11</v>
      </c>
      <c r="G43" s="47" t="s">
        <v>11</v>
      </c>
      <c r="H43" s="47" t="s">
        <v>7</v>
      </c>
      <c r="I43" s="47" t="s">
        <v>64</v>
      </c>
      <c r="J43" s="47" t="s">
        <v>64</v>
      </c>
      <c r="K43" s="47" t="s">
        <v>64</v>
      </c>
      <c r="L43" s="47" t="s">
        <v>64</v>
      </c>
      <c r="M43" s="47" t="s">
        <v>64</v>
      </c>
      <c r="N43" s="47">
        <v>2023</v>
      </c>
      <c r="O43" s="47" t="s">
        <v>136</v>
      </c>
      <c r="P43" s="47" t="s">
        <v>136</v>
      </c>
      <c r="Q43" s="47">
        <f t="shared" ref="Q43:Q44" si="23">46.9/100</f>
        <v>0.46899999999999997</v>
      </c>
      <c r="R43" s="47">
        <f t="shared" ref="R43:R49" si="24">Q43+0.001</f>
        <v>0.47</v>
      </c>
      <c r="S43" s="47">
        <f t="shared" ref="S43:S49" si="25">R43+0.001</f>
        <v>0.47099999999999997</v>
      </c>
      <c r="T43" s="49" t="s">
        <v>129</v>
      </c>
      <c r="U43" s="51">
        <v>5.0000000000000001E-4</v>
      </c>
      <c r="V43" s="51">
        <v>1E-3</v>
      </c>
      <c r="W43" s="51">
        <v>3.0000000000000001E-3</v>
      </c>
      <c r="X43" s="51">
        <v>8.0000000000000002E-3</v>
      </c>
      <c r="Y43" s="51">
        <v>8.9999999999999993E-3</v>
      </c>
      <c r="Z43" s="51">
        <v>0.01</v>
      </c>
      <c r="AA43" s="51">
        <v>2.2352941176470589E-2</v>
      </c>
      <c r="AB43" s="51">
        <v>3.4705882352941177E-2</v>
      </c>
      <c r="AC43" s="51">
        <v>4.7058823529411764E-2</v>
      </c>
      <c r="AD43" s="51">
        <v>5.9411764705882351E-2</v>
      </c>
      <c r="AE43" s="51">
        <v>7.1764705882352939E-2</v>
      </c>
      <c r="AF43" s="51">
        <v>8.4117647058823519E-2</v>
      </c>
      <c r="AG43" s="51">
        <v>9.6470588235294114E-2</v>
      </c>
      <c r="AH43" s="51">
        <v>0.10882352941176471</v>
      </c>
      <c r="AI43" s="51">
        <v>0.1211764705882353</v>
      </c>
      <c r="AJ43" s="51">
        <v>0.1335294117647059</v>
      </c>
      <c r="AK43" s="51">
        <v>0.14588235294117649</v>
      </c>
      <c r="AL43" s="51">
        <v>0.15823529411764709</v>
      </c>
      <c r="AM43" s="51">
        <v>0.17058823529411768</v>
      </c>
      <c r="AN43" s="51">
        <v>0.18294117647058827</v>
      </c>
      <c r="AO43" s="51">
        <v>0.19529411764705887</v>
      </c>
      <c r="AP43" s="51">
        <v>0.20764705882352946</v>
      </c>
      <c r="AQ43" s="51">
        <v>0.22</v>
      </c>
      <c r="AR43" s="51">
        <v>0.23980000000000001</v>
      </c>
      <c r="AS43" s="51">
        <v>0.2596</v>
      </c>
      <c r="AT43" s="51">
        <v>0.27939999999999998</v>
      </c>
      <c r="AU43" s="51">
        <v>0.29919999999999997</v>
      </c>
      <c r="AV43" s="51">
        <v>0.31899999999999995</v>
      </c>
      <c r="AW43" s="51">
        <v>0.33879999999999993</v>
      </c>
      <c r="AX43" s="51">
        <v>0.35859999999999992</v>
      </c>
      <c r="AY43" s="51">
        <v>0.3783999999999999</v>
      </c>
      <c r="AZ43" s="51">
        <v>0.39819999999999989</v>
      </c>
      <c r="BA43" s="51">
        <v>0.41799999999999998</v>
      </c>
      <c r="BB43" s="51">
        <v>0.43179999999999996</v>
      </c>
      <c r="BC43" s="51">
        <v>0.44559999999999994</v>
      </c>
      <c r="BD43" s="51">
        <v>0.45939999999999992</v>
      </c>
      <c r="BE43" s="51">
        <v>0.4731999999999999</v>
      </c>
      <c r="BF43" s="51">
        <v>0.48699999999999988</v>
      </c>
      <c r="BG43" s="51">
        <v>0.50079999999999991</v>
      </c>
      <c r="BH43" s="51">
        <v>0.51459999999999995</v>
      </c>
      <c r="BI43" s="51">
        <v>0.52839999999999998</v>
      </c>
      <c r="BJ43" s="51">
        <v>0.54220000000000002</v>
      </c>
      <c r="BK43" s="51">
        <v>0.55600000000000005</v>
      </c>
      <c r="BL43" s="51">
        <v>0.56980000000000008</v>
      </c>
      <c r="BM43" s="51">
        <v>0.58360000000000012</v>
      </c>
      <c r="BN43" s="51">
        <v>0.59740000000000015</v>
      </c>
      <c r="BO43" s="51">
        <v>0.61120000000000019</v>
      </c>
      <c r="BP43" s="51">
        <v>0.62500000000000022</v>
      </c>
    </row>
    <row r="44" spans="1:68" x14ac:dyDescent="0.3">
      <c r="A44" s="169" t="s">
        <v>426</v>
      </c>
      <c r="B44" s="47" t="s">
        <v>125</v>
      </c>
      <c r="C44" s="47" t="s">
        <v>126</v>
      </c>
      <c r="D44" s="48" t="s">
        <v>144</v>
      </c>
      <c r="E44" s="47" t="s">
        <v>145</v>
      </c>
      <c r="F44" s="47" t="s">
        <v>11</v>
      </c>
      <c r="G44" s="47" t="s">
        <v>11</v>
      </c>
      <c r="H44" s="47" t="s">
        <v>7</v>
      </c>
      <c r="I44" s="47" t="s">
        <v>64</v>
      </c>
      <c r="J44" s="47" t="s">
        <v>64</v>
      </c>
      <c r="K44" s="47" t="s">
        <v>64</v>
      </c>
      <c r="L44" s="47" t="s">
        <v>64</v>
      </c>
      <c r="M44" s="47" t="s">
        <v>64</v>
      </c>
      <c r="N44" s="47">
        <v>2023</v>
      </c>
      <c r="O44" s="47" t="s">
        <v>136</v>
      </c>
      <c r="P44" s="47" t="s">
        <v>136</v>
      </c>
      <c r="Q44" s="47">
        <f t="shared" si="23"/>
        <v>0.46899999999999997</v>
      </c>
      <c r="R44" s="47">
        <f t="shared" si="24"/>
        <v>0.47</v>
      </c>
      <c r="S44" s="47">
        <f t="shared" si="25"/>
        <v>0.47099999999999997</v>
      </c>
      <c r="T44" s="49" t="s">
        <v>129</v>
      </c>
      <c r="U44" s="51">
        <v>6.9999999999999999E-4</v>
      </c>
      <c r="V44" s="51">
        <v>1.1999999999999999E-3</v>
      </c>
      <c r="W44" s="51">
        <v>3.5000000000000001E-3</v>
      </c>
      <c r="X44" s="51">
        <v>8.9999999999999993E-3</v>
      </c>
      <c r="Y44" s="51">
        <v>0.01</v>
      </c>
      <c r="Z44" s="51">
        <v>1.1714285714285715E-2</v>
      </c>
      <c r="AA44" s="51">
        <v>1.842857142857143E-2</v>
      </c>
      <c r="AB44" s="51">
        <v>0.02</v>
      </c>
      <c r="AC44" s="51">
        <v>3.1857142857142862E-2</v>
      </c>
      <c r="AD44" s="51">
        <v>3.8571428571428576E-2</v>
      </c>
      <c r="AE44" s="51">
        <v>4.528571428571429E-2</v>
      </c>
      <c r="AF44" s="51">
        <v>5.1999999999999998E-2</v>
      </c>
      <c r="AG44" s="51">
        <v>6.9400000000000003E-2</v>
      </c>
      <c r="AH44" s="51">
        <v>8.6800000000000002E-2</v>
      </c>
      <c r="AI44" s="51">
        <v>0.1042</v>
      </c>
      <c r="AJ44" s="51">
        <v>0.1216</v>
      </c>
      <c r="AK44" s="51">
        <v>0.13900000000000001</v>
      </c>
      <c r="AL44" s="51">
        <v>0.15640000000000001</v>
      </c>
      <c r="AM44" s="51">
        <v>0.17380000000000001</v>
      </c>
      <c r="AN44" s="51">
        <v>0.19120000000000001</v>
      </c>
      <c r="AO44" s="51">
        <v>0.20860000000000001</v>
      </c>
      <c r="AP44" s="51">
        <v>0.22600000000000001</v>
      </c>
      <c r="AQ44" s="51">
        <v>0.246</v>
      </c>
      <c r="AR44" s="51">
        <v>0.26600000000000001</v>
      </c>
      <c r="AS44" s="51">
        <v>0.28600000000000003</v>
      </c>
      <c r="AT44" s="51">
        <v>0.30600000000000005</v>
      </c>
      <c r="AU44" s="51">
        <v>0.32600000000000007</v>
      </c>
      <c r="AV44" s="51">
        <v>0.34600000000000009</v>
      </c>
      <c r="AW44" s="51">
        <v>0.3660000000000001</v>
      </c>
      <c r="AX44" s="51">
        <v>0.38600000000000012</v>
      </c>
      <c r="AY44" s="51">
        <v>0.40600000000000014</v>
      </c>
      <c r="AZ44" s="51">
        <v>0.42599999999999999</v>
      </c>
      <c r="BA44" s="51">
        <v>0.43924999999999997</v>
      </c>
      <c r="BB44" s="51">
        <v>0.45249999999999996</v>
      </c>
      <c r="BC44" s="51">
        <v>0.46574999999999994</v>
      </c>
      <c r="BD44" s="51">
        <v>0.47899999999999993</v>
      </c>
      <c r="BE44" s="51">
        <v>0.49224999999999991</v>
      </c>
      <c r="BF44" s="51">
        <v>0.50549999999999995</v>
      </c>
      <c r="BG44" s="51">
        <v>0.51874999999999993</v>
      </c>
      <c r="BH44" s="51">
        <v>0.53199999999999992</v>
      </c>
      <c r="BI44" s="51">
        <v>0.5452499999999999</v>
      </c>
      <c r="BJ44" s="51">
        <v>0.55849999999999989</v>
      </c>
      <c r="BK44" s="51">
        <v>0.57174999999999987</v>
      </c>
      <c r="BL44" s="51">
        <v>0.58499999999999985</v>
      </c>
      <c r="BM44" s="51">
        <v>0.59824999999999984</v>
      </c>
      <c r="BN44" s="51">
        <v>0.61149999999999982</v>
      </c>
      <c r="BO44" s="51">
        <v>0.61799999999999999</v>
      </c>
      <c r="BP44" s="51">
        <v>0.625</v>
      </c>
    </row>
    <row r="45" spans="1:68" x14ac:dyDescent="0.3">
      <c r="A45" s="169" t="s">
        <v>426</v>
      </c>
      <c r="B45" s="47" t="s">
        <v>125</v>
      </c>
      <c r="C45" s="47" t="s">
        <v>126</v>
      </c>
      <c r="D45" s="48" t="s">
        <v>146</v>
      </c>
      <c r="E45" s="47" t="s">
        <v>147</v>
      </c>
      <c r="F45" s="47" t="s">
        <v>11</v>
      </c>
      <c r="G45" s="47" t="s">
        <v>11</v>
      </c>
      <c r="H45" s="47" t="s">
        <v>7</v>
      </c>
      <c r="I45" s="47" t="s">
        <v>64</v>
      </c>
      <c r="J45" s="47" t="s">
        <v>64</v>
      </c>
      <c r="K45" s="47" t="s">
        <v>64</v>
      </c>
      <c r="L45" s="47" t="s">
        <v>64</v>
      </c>
      <c r="M45" s="47" t="s">
        <v>64</v>
      </c>
      <c r="N45" s="47">
        <v>2023</v>
      </c>
      <c r="O45" s="47" t="s">
        <v>136</v>
      </c>
      <c r="P45" s="47" t="s">
        <v>136</v>
      </c>
      <c r="Q45" s="47">
        <f>43.5/100</f>
        <v>0.435</v>
      </c>
      <c r="R45" s="47">
        <f t="shared" si="24"/>
        <v>0.436</v>
      </c>
      <c r="S45" s="47">
        <f t="shared" si="25"/>
        <v>0.437</v>
      </c>
      <c r="T45" s="49" t="s">
        <v>129</v>
      </c>
      <c r="U45" s="51">
        <v>1.4500000000000001E-3</v>
      </c>
      <c r="V45" s="51">
        <v>2.3600000000000001E-3</v>
      </c>
      <c r="W45" s="51">
        <v>3.2700000000000003E-3</v>
      </c>
      <c r="X45" s="51">
        <v>4.1800000000000006E-3</v>
      </c>
      <c r="Y45" s="51">
        <v>5.0900000000000008E-3</v>
      </c>
      <c r="Z45" s="51">
        <v>6.0000000000000001E-3</v>
      </c>
      <c r="AA45" s="51">
        <v>1.0857142857142857E-2</v>
      </c>
      <c r="AB45" s="51">
        <v>1.5714285714285715E-2</v>
      </c>
      <c r="AC45" s="51">
        <v>2.0571428571428574E-2</v>
      </c>
      <c r="AD45" s="51">
        <v>2.5428571428571432E-2</v>
      </c>
      <c r="AE45" s="51">
        <v>3.0285714285714291E-2</v>
      </c>
      <c r="AF45" s="51">
        <v>3.5142857142857149E-2</v>
      </c>
      <c r="AG45" s="51">
        <v>0.04</v>
      </c>
      <c r="AH45" s="51">
        <v>5.5599999999999997E-2</v>
      </c>
      <c r="AI45" s="51">
        <v>7.1199999999999999E-2</v>
      </c>
      <c r="AJ45" s="51">
        <v>8.6800000000000002E-2</v>
      </c>
      <c r="AK45" s="51">
        <v>0.1024</v>
      </c>
      <c r="AL45" s="51">
        <v>0.11800000000000001</v>
      </c>
      <c r="AM45" s="51">
        <v>0.1336</v>
      </c>
      <c r="AN45" s="51">
        <v>0.1492</v>
      </c>
      <c r="AO45" s="51">
        <v>0.1648</v>
      </c>
      <c r="AP45" s="51">
        <v>0.1804</v>
      </c>
      <c r="AQ45" s="51">
        <v>0.19600000000000001</v>
      </c>
      <c r="AR45" s="51">
        <v>0.22770000000000001</v>
      </c>
      <c r="AS45" s="51">
        <v>0.25940000000000002</v>
      </c>
      <c r="AT45" s="51">
        <v>0.29110000000000003</v>
      </c>
      <c r="AU45" s="51">
        <v>0.32280000000000003</v>
      </c>
      <c r="AV45" s="51">
        <v>0.35450000000000004</v>
      </c>
      <c r="AW45" s="51">
        <v>0.38620000000000004</v>
      </c>
      <c r="AX45" s="51">
        <v>0.41790000000000005</v>
      </c>
      <c r="AY45" s="51">
        <v>0.44960000000000006</v>
      </c>
      <c r="AZ45" s="51">
        <v>0.48130000000000006</v>
      </c>
      <c r="BA45" s="51">
        <v>0.51300000000000001</v>
      </c>
      <c r="BB45" s="51">
        <v>0.52775000000000005</v>
      </c>
      <c r="BC45" s="51">
        <v>0.54250000000000009</v>
      </c>
      <c r="BD45" s="51">
        <v>0.55725000000000013</v>
      </c>
      <c r="BE45" s="51">
        <v>0.57200000000000017</v>
      </c>
      <c r="BF45" s="51">
        <v>0.58675000000000022</v>
      </c>
      <c r="BG45" s="51">
        <v>0.60150000000000026</v>
      </c>
      <c r="BH45" s="51">
        <v>0.6162500000000003</v>
      </c>
      <c r="BI45" s="51">
        <v>0.63100000000000034</v>
      </c>
      <c r="BJ45" s="51">
        <v>0.64575000000000038</v>
      </c>
      <c r="BK45" s="51">
        <v>0.66050000000000042</v>
      </c>
      <c r="BL45" s="51">
        <v>0.67525000000000046</v>
      </c>
      <c r="BM45" s="51">
        <v>0.6900000000000005</v>
      </c>
      <c r="BN45" s="51">
        <v>0.70475000000000054</v>
      </c>
      <c r="BO45" s="51">
        <v>0.71950000000000058</v>
      </c>
      <c r="BP45" s="51">
        <v>0.73425000000000062</v>
      </c>
    </row>
    <row r="46" spans="1:68" x14ac:dyDescent="0.3">
      <c r="A46" s="169" t="s">
        <v>426</v>
      </c>
      <c r="B46" s="47" t="s">
        <v>125</v>
      </c>
      <c r="C46" s="47" t="s">
        <v>130</v>
      </c>
      <c r="D46" s="48" t="s">
        <v>148</v>
      </c>
      <c r="E46" s="47" t="s">
        <v>149</v>
      </c>
      <c r="F46" s="47" t="s">
        <v>11</v>
      </c>
      <c r="G46" s="47" t="s">
        <v>11</v>
      </c>
      <c r="H46" s="47" t="s">
        <v>7</v>
      </c>
      <c r="I46" s="47" t="s">
        <v>64</v>
      </c>
      <c r="J46" s="47" t="s">
        <v>64</v>
      </c>
      <c r="K46" s="47" t="s">
        <v>64</v>
      </c>
      <c r="L46" s="47" t="s">
        <v>64</v>
      </c>
      <c r="M46" s="47" t="s">
        <v>64</v>
      </c>
      <c r="N46" s="47">
        <v>2023</v>
      </c>
      <c r="O46" s="47">
        <f>7/100</f>
        <v>7.0000000000000007E-2</v>
      </c>
      <c r="P46" s="47">
        <f>6.1/100</f>
        <v>6.0999999999999999E-2</v>
      </c>
      <c r="Q46" s="47">
        <f>9.5/100</f>
        <v>9.5000000000000001E-2</v>
      </c>
      <c r="R46" s="47">
        <f t="shared" si="24"/>
        <v>9.6000000000000002E-2</v>
      </c>
      <c r="S46" s="47">
        <f t="shared" si="25"/>
        <v>9.7000000000000003E-2</v>
      </c>
      <c r="T46" s="49" t="s">
        <v>133</v>
      </c>
      <c r="U46" s="51">
        <v>0</v>
      </c>
      <c r="V46" s="51">
        <v>0</v>
      </c>
      <c r="W46" s="51">
        <v>0</v>
      </c>
      <c r="X46" s="51">
        <v>0</v>
      </c>
      <c r="Y46" s="51">
        <v>0</v>
      </c>
      <c r="Z46" s="51">
        <v>0</v>
      </c>
      <c r="AA46" s="51">
        <v>0</v>
      </c>
      <c r="AB46" s="51">
        <v>0</v>
      </c>
      <c r="AC46" s="51">
        <v>0</v>
      </c>
      <c r="AD46" s="51">
        <v>0</v>
      </c>
      <c r="AE46" s="51">
        <v>0</v>
      </c>
      <c r="AF46" s="51">
        <v>0</v>
      </c>
      <c r="AG46" s="51">
        <v>1E-4</v>
      </c>
      <c r="AH46" s="51">
        <v>2.0000000000000001E-4</v>
      </c>
      <c r="AI46" s="51">
        <v>4.0000000000000002E-4</v>
      </c>
      <c r="AJ46" s="51">
        <v>5.9999999999999995E-4</v>
      </c>
      <c r="AK46" s="51">
        <v>1.6666666666666668E-3</v>
      </c>
      <c r="AL46" s="51">
        <v>3.3333333333333335E-3</v>
      </c>
      <c r="AM46" s="51">
        <v>5.0000000000000001E-3</v>
      </c>
      <c r="AN46" s="51">
        <v>6.6666666666666671E-3</v>
      </c>
      <c r="AO46" s="51">
        <v>8.3333333333333332E-3</v>
      </c>
      <c r="AP46" s="51">
        <v>0.01</v>
      </c>
      <c r="AQ46" s="51">
        <v>1.9000000000000003E-2</v>
      </c>
      <c r="AR46" s="51">
        <v>2.8000000000000004E-2</v>
      </c>
      <c r="AS46" s="51">
        <v>3.7000000000000005E-2</v>
      </c>
      <c r="AT46" s="51">
        <v>4.6000000000000006E-2</v>
      </c>
      <c r="AU46" s="51">
        <v>5.5000000000000007E-2</v>
      </c>
      <c r="AV46" s="51">
        <v>6.4000000000000001E-2</v>
      </c>
      <c r="AW46" s="51">
        <v>7.3000000000000009E-2</v>
      </c>
      <c r="AX46" s="51">
        <v>8.2000000000000017E-2</v>
      </c>
      <c r="AY46" s="51">
        <v>9.1000000000000025E-2</v>
      </c>
      <c r="AZ46" s="51">
        <v>0.1</v>
      </c>
      <c r="BA46" s="51">
        <v>0.11235000000000001</v>
      </c>
      <c r="BB46" s="51">
        <v>0.12470000000000001</v>
      </c>
      <c r="BC46" s="51">
        <v>0.13705000000000001</v>
      </c>
      <c r="BD46" s="51">
        <v>0.14940000000000001</v>
      </c>
      <c r="BE46" s="51">
        <v>0.16175</v>
      </c>
      <c r="BF46" s="51">
        <v>0.1741</v>
      </c>
      <c r="BG46" s="51">
        <v>0.18645</v>
      </c>
      <c r="BH46" s="51">
        <v>0.1988</v>
      </c>
      <c r="BI46" s="51">
        <v>0.21115</v>
      </c>
      <c r="BJ46" s="51">
        <v>0.2235</v>
      </c>
      <c r="BK46" s="51">
        <v>0.24476249999999999</v>
      </c>
      <c r="BL46" s="51">
        <v>0.26602499999999996</v>
      </c>
      <c r="BM46" s="51">
        <v>0.28728749999999992</v>
      </c>
      <c r="BN46" s="51">
        <f>1.01*0.30855</f>
        <v>0.31163550000000001</v>
      </c>
      <c r="BO46" s="51">
        <f>1.03*0.3298125</f>
        <v>0.33970687500000002</v>
      </c>
      <c r="BP46" s="51">
        <f>1.05*0.351075</f>
        <v>0.36862875000000006</v>
      </c>
    </row>
    <row r="47" spans="1:68" x14ac:dyDescent="0.3">
      <c r="A47" s="169" t="s">
        <v>426</v>
      </c>
      <c r="B47" s="47" t="s">
        <v>125</v>
      </c>
      <c r="C47" s="47" t="s">
        <v>130</v>
      </c>
      <c r="D47" s="48" t="s">
        <v>150</v>
      </c>
      <c r="E47" s="47" t="s">
        <v>151</v>
      </c>
      <c r="F47" s="47" t="s">
        <v>11</v>
      </c>
      <c r="G47" s="47" t="s">
        <v>11</v>
      </c>
      <c r="H47" s="47" t="s">
        <v>7</v>
      </c>
      <c r="I47" s="47" t="s">
        <v>64</v>
      </c>
      <c r="J47" s="47" t="s">
        <v>64</v>
      </c>
      <c r="K47" s="47" t="s">
        <v>64</v>
      </c>
      <c r="L47" s="47" t="s">
        <v>64</v>
      </c>
      <c r="M47" s="47" t="s">
        <v>64</v>
      </c>
      <c r="N47" s="47">
        <v>2023</v>
      </c>
      <c r="O47" s="47">
        <v>1E-3</v>
      </c>
      <c r="P47" s="47">
        <f>3.1/100</f>
        <v>3.1E-2</v>
      </c>
      <c r="Q47" s="47">
        <f>7.1/100</f>
        <v>7.0999999999999994E-2</v>
      </c>
      <c r="R47" s="47">
        <f t="shared" si="24"/>
        <v>7.1999999999999995E-2</v>
      </c>
      <c r="S47" s="47">
        <f t="shared" si="25"/>
        <v>7.2999999999999995E-2</v>
      </c>
      <c r="T47" s="49" t="s">
        <v>133</v>
      </c>
      <c r="U47" s="51">
        <v>0</v>
      </c>
      <c r="V47" s="51">
        <v>0</v>
      </c>
      <c r="W47" s="51">
        <v>0</v>
      </c>
      <c r="X47" s="51">
        <v>0</v>
      </c>
      <c r="Y47" s="51">
        <v>0</v>
      </c>
      <c r="Z47" s="51">
        <v>0</v>
      </c>
      <c r="AA47" s="51">
        <v>0</v>
      </c>
      <c r="AB47" s="51">
        <v>0</v>
      </c>
      <c r="AC47" s="51">
        <v>0</v>
      </c>
      <c r="AD47" s="51">
        <v>0</v>
      </c>
      <c r="AE47" s="51">
        <v>0</v>
      </c>
      <c r="AF47" s="51">
        <v>0</v>
      </c>
      <c r="AG47" s="51">
        <v>0</v>
      </c>
      <c r="AH47" s="51">
        <v>1E-3</v>
      </c>
      <c r="AI47" s="51">
        <v>1.5E-3</v>
      </c>
      <c r="AJ47" s="51">
        <v>2E-3</v>
      </c>
      <c r="AK47" s="51">
        <v>2.5000000000000001E-3</v>
      </c>
      <c r="AL47" s="51">
        <v>3.0000000000000001E-3</v>
      </c>
      <c r="AM47" s="51">
        <v>3.6999999999999997E-3</v>
      </c>
      <c r="AN47" s="51">
        <v>7.3999999999999995E-3</v>
      </c>
      <c r="AO47" s="51">
        <v>1.1099999999999999E-2</v>
      </c>
      <c r="AP47" s="51">
        <v>1.4799999999999999E-2</v>
      </c>
      <c r="AQ47" s="51">
        <v>1.8499999999999999E-2</v>
      </c>
      <c r="AR47" s="51">
        <v>2.2199999999999998E-2</v>
      </c>
      <c r="AS47" s="51">
        <v>2.5899999999999996E-2</v>
      </c>
      <c r="AT47" s="51">
        <v>2.9599999999999994E-2</v>
      </c>
      <c r="AU47" s="51">
        <v>3.3299999999999996E-2</v>
      </c>
      <c r="AV47" s="51">
        <v>3.6999999999999998E-2</v>
      </c>
      <c r="AW47" s="51">
        <v>0.04</v>
      </c>
      <c r="AX47" s="51">
        <v>4.3000000000000003E-2</v>
      </c>
      <c r="AY47" s="51">
        <v>4.6000000000000006E-2</v>
      </c>
      <c r="AZ47" s="51">
        <v>4.9000000000000009E-2</v>
      </c>
      <c r="BA47" s="51">
        <v>5.2000000000000011E-2</v>
      </c>
      <c r="BB47" s="51">
        <v>5.5000000000000014E-2</v>
      </c>
      <c r="BC47" s="51">
        <v>5.8000000000000017E-2</v>
      </c>
      <c r="BD47" s="51">
        <v>6.1000000000000019E-2</v>
      </c>
      <c r="BE47" s="51">
        <v>6.4000000000000015E-2</v>
      </c>
      <c r="BF47" s="51">
        <v>6.7000000000000004E-2</v>
      </c>
      <c r="BG47" s="51">
        <v>7.1099999999999997E-2</v>
      </c>
      <c r="BH47" s="51">
        <v>7.5199999999999989E-2</v>
      </c>
      <c r="BI47" s="51">
        <v>7.9299999999999982E-2</v>
      </c>
      <c r="BJ47" s="51">
        <v>8.3399999999999974E-2</v>
      </c>
      <c r="BK47" s="51">
        <v>8.7499999999999967E-2</v>
      </c>
      <c r="BL47" s="51">
        <v>9.1599999999999959E-2</v>
      </c>
      <c r="BM47" s="51">
        <v>9.5699999999999952E-2</v>
      </c>
      <c r="BN47" s="51">
        <f>1.01*0.0997999999999999</f>
        <v>0.1007979999999999</v>
      </c>
      <c r="BO47" s="51">
        <f>1.03*0.1039</f>
        <v>0.10701700000000001</v>
      </c>
      <c r="BP47" s="51">
        <f>1.05*0.108</f>
        <v>0.1134</v>
      </c>
    </row>
    <row r="48" spans="1:68" x14ac:dyDescent="0.3">
      <c r="A48" s="169" t="s">
        <v>426</v>
      </c>
      <c r="B48" s="47" t="s">
        <v>125</v>
      </c>
      <c r="C48" s="47" t="s">
        <v>152</v>
      </c>
      <c r="D48" s="48" t="s">
        <v>153</v>
      </c>
      <c r="E48" s="47" t="s">
        <v>154</v>
      </c>
      <c r="F48" s="47" t="s">
        <v>11</v>
      </c>
      <c r="G48" s="47" t="s">
        <v>11</v>
      </c>
      <c r="H48" s="47" t="s">
        <v>7</v>
      </c>
      <c r="I48" s="47" t="s">
        <v>64</v>
      </c>
      <c r="J48" s="47" t="s">
        <v>64</v>
      </c>
      <c r="K48" s="47" t="s">
        <v>64</v>
      </c>
      <c r="L48" s="47" t="s">
        <v>64</v>
      </c>
      <c r="M48" s="47" t="s">
        <v>64</v>
      </c>
      <c r="N48" s="47">
        <v>2023</v>
      </c>
      <c r="O48" s="47">
        <f>8/100</f>
        <v>0.08</v>
      </c>
      <c r="P48" s="47">
        <f>8.2/100</f>
        <v>8.199999999999999E-2</v>
      </c>
      <c r="Q48" s="47">
        <f>19.2/100</f>
        <v>0.192</v>
      </c>
      <c r="R48" s="47">
        <f t="shared" si="24"/>
        <v>0.193</v>
      </c>
      <c r="S48" s="47">
        <f t="shared" si="25"/>
        <v>0.19400000000000001</v>
      </c>
      <c r="T48" s="49" t="s">
        <v>129</v>
      </c>
      <c r="U48" s="51">
        <v>0</v>
      </c>
      <c r="V48" s="51">
        <v>0</v>
      </c>
      <c r="W48" s="51">
        <v>0</v>
      </c>
      <c r="X48" s="51">
        <v>0</v>
      </c>
      <c r="Y48" s="51">
        <v>0</v>
      </c>
      <c r="Z48" s="51">
        <v>0</v>
      </c>
      <c r="AA48" s="51">
        <v>0</v>
      </c>
      <c r="AB48" s="51">
        <v>5.0000000000000001E-4</v>
      </c>
      <c r="AC48" s="51">
        <v>1.8571428571428571E-3</v>
      </c>
      <c r="AD48" s="51">
        <v>3.7142857142857142E-3</v>
      </c>
      <c r="AE48" s="51">
        <v>5.5714285714285709E-3</v>
      </c>
      <c r="AF48" s="51">
        <v>7.4285714285714285E-3</v>
      </c>
      <c r="AG48" s="51">
        <v>9.285714285714286E-3</v>
      </c>
      <c r="AH48" s="51">
        <v>1.1142857142857144E-2</v>
      </c>
      <c r="AI48" s="51">
        <v>1.8499999999999999E-2</v>
      </c>
      <c r="AJ48" s="51">
        <v>2.9749999999999999E-2</v>
      </c>
      <c r="AK48" s="51">
        <v>4.1000000000000002E-2</v>
      </c>
      <c r="AL48" s="51">
        <v>5.2250000000000005E-2</v>
      </c>
      <c r="AM48" s="51">
        <v>6.3500000000000001E-2</v>
      </c>
      <c r="AN48" s="51">
        <v>7.4749999999999997E-2</v>
      </c>
      <c r="AO48" s="51">
        <v>8.5999999999999993E-2</v>
      </c>
      <c r="AP48" s="51">
        <v>9.7249999999999989E-2</v>
      </c>
      <c r="AQ48" s="51">
        <v>0.10849999999999999</v>
      </c>
      <c r="AR48" s="51">
        <v>0.11974999999999998</v>
      </c>
      <c r="AS48" s="51">
        <v>0.13099999999999998</v>
      </c>
      <c r="AT48" s="51">
        <v>0.14224999999999999</v>
      </c>
      <c r="AU48" s="51">
        <v>0.1535</v>
      </c>
      <c r="AV48" s="51">
        <v>0.16475000000000001</v>
      </c>
      <c r="AW48" s="51">
        <v>0.17600000000000002</v>
      </c>
      <c r="AX48" s="51">
        <v>0.18725000000000003</v>
      </c>
      <c r="AY48" s="51">
        <v>0.19850000000000001</v>
      </c>
      <c r="AZ48" s="51">
        <v>0.22520000000000001</v>
      </c>
      <c r="BA48" s="51">
        <v>0.26640000000000003</v>
      </c>
      <c r="BB48" s="51">
        <v>0.30760000000000004</v>
      </c>
      <c r="BC48" s="51">
        <v>0.34880000000000005</v>
      </c>
      <c r="BD48" s="51">
        <v>0.39000000000000007</v>
      </c>
      <c r="BE48" s="51">
        <v>0.43120000000000008</v>
      </c>
      <c r="BF48" s="51">
        <v>0.4724000000000001</v>
      </c>
      <c r="BG48" s="51">
        <v>0.51360000000000006</v>
      </c>
      <c r="BH48" s="51">
        <v>0.55480000000000007</v>
      </c>
      <c r="BI48" s="51">
        <v>0.59599999999999997</v>
      </c>
      <c r="BJ48" s="51">
        <v>0.61119999999999997</v>
      </c>
      <c r="BK48" s="51">
        <v>0.62639999999999996</v>
      </c>
      <c r="BL48" s="51">
        <v>0.64159999999999995</v>
      </c>
      <c r="BM48" s="51">
        <v>0.65679999999999994</v>
      </c>
      <c r="BN48" s="51">
        <v>0.67199999999999993</v>
      </c>
      <c r="BO48" s="51">
        <v>0.68719999999999992</v>
      </c>
      <c r="BP48" s="51">
        <v>0.70239999999999991</v>
      </c>
    </row>
    <row r="49" spans="1:68" ht="15" thickBot="1" x14ac:dyDescent="0.35">
      <c r="A49" s="169" t="s">
        <v>426</v>
      </c>
      <c r="B49" s="53" t="s">
        <v>125</v>
      </c>
      <c r="C49" s="53" t="s">
        <v>155</v>
      </c>
      <c r="D49" s="54" t="s">
        <v>156</v>
      </c>
      <c r="E49" s="53" t="s">
        <v>157</v>
      </c>
      <c r="F49" s="53" t="s">
        <v>11</v>
      </c>
      <c r="G49" s="53" t="s">
        <v>11</v>
      </c>
      <c r="H49" s="53" t="s">
        <v>7</v>
      </c>
      <c r="I49" s="53" t="s">
        <v>64</v>
      </c>
      <c r="J49" s="53" t="s">
        <v>64</v>
      </c>
      <c r="K49" s="53" t="s">
        <v>64</v>
      </c>
      <c r="L49" s="53" t="s">
        <v>64</v>
      </c>
      <c r="M49" s="53" t="s">
        <v>64</v>
      </c>
      <c r="N49" s="53">
        <v>2023</v>
      </c>
      <c r="O49" s="53">
        <f>3/100</f>
        <v>0.03</v>
      </c>
      <c r="P49" s="53">
        <v>0.1</v>
      </c>
      <c r="Q49" s="53">
        <v>0.4</v>
      </c>
      <c r="R49" s="53">
        <f t="shared" si="24"/>
        <v>0.40100000000000002</v>
      </c>
      <c r="S49" s="53">
        <f t="shared" si="25"/>
        <v>0.40200000000000002</v>
      </c>
      <c r="T49" s="55" t="s">
        <v>129</v>
      </c>
      <c r="U49" s="51">
        <v>5.4693877551020408E-3</v>
      </c>
      <c r="V49" s="51">
        <v>5.9387755102040815E-3</v>
      </c>
      <c r="W49" s="51">
        <v>6.4081632653061223E-3</v>
      </c>
      <c r="X49" s="51">
        <v>6.877551020408163E-3</v>
      </c>
      <c r="Y49" s="51">
        <v>7.3469387755102037E-3</v>
      </c>
      <c r="Z49" s="51">
        <v>7.8163265306122436E-3</v>
      </c>
      <c r="AA49" s="51">
        <v>8.2857142857142851E-3</v>
      </c>
      <c r="AB49" s="51">
        <v>1.1571428571428571E-2</v>
      </c>
      <c r="AC49" s="51">
        <v>1.4857142857142857E-2</v>
      </c>
      <c r="AD49" s="51">
        <v>1.8142857142857141E-2</v>
      </c>
      <c r="AE49" s="51">
        <v>2.1428571428571425E-2</v>
      </c>
      <c r="AF49" s="51">
        <v>2.4714285714285709E-2</v>
      </c>
      <c r="AG49" s="51">
        <v>2.8000000000000001E-2</v>
      </c>
      <c r="AH49" s="51">
        <v>3.73E-2</v>
      </c>
      <c r="AI49" s="51">
        <v>4.6600000000000003E-2</v>
      </c>
      <c r="AJ49" s="51">
        <v>5.5900000000000005E-2</v>
      </c>
      <c r="AK49" s="51">
        <v>6.5200000000000008E-2</v>
      </c>
      <c r="AL49" s="51">
        <v>7.4500000000000011E-2</v>
      </c>
      <c r="AM49" s="51">
        <v>8.3800000000000013E-2</v>
      </c>
      <c r="AN49" s="51">
        <v>9.3100000000000016E-2</v>
      </c>
      <c r="AO49" s="51">
        <v>0.10240000000000002</v>
      </c>
      <c r="AP49" s="51">
        <v>0.11170000000000002</v>
      </c>
      <c r="AQ49" s="51">
        <v>0.121</v>
      </c>
      <c r="AR49" s="51">
        <v>0.16259999999999999</v>
      </c>
      <c r="AS49" s="51">
        <v>0.20419999999999999</v>
      </c>
      <c r="AT49" s="51">
        <v>0.24579999999999999</v>
      </c>
      <c r="AU49" s="51">
        <v>0.28739999999999999</v>
      </c>
      <c r="AV49" s="51">
        <v>0.32900000000000001</v>
      </c>
      <c r="AW49" s="51">
        <v>0.37060000000000004</v>
      </c>
      <c r="AX49" s="51">
        <v>0.41220000000000007</v>
      </c>
      <c r="AY49" s="51">
        <v>0.45380000000000009</v>
      </c>
      <c r="AZ49" s="51">
        <v>0.49540000000000012</v>
      </c>
      <c r="BA49" s="51">
        <v>0.53700000000000003</v>
      </c>
      <c r="BB49" s="51">
        <v>0.55180000000000007</v>
      </c>
      <c r="BC49" s="51">
        <v>0.5666000000000001</v>
      </c>
      <c r="BD49" s="51">
        <v>0.58140000000000014</v>
      </c>
      <c r="BE49" s="51">
        <v>0.59620000000000017</v>
      </c>
      <c r="BF49" s="51">
        <v>0.61100000000000021</v>
      </c>
      <c r="BG49" s="51">
        <v>0.62580000000000024</v>
      </c>
      <c r="BH49" s="51">
        <v>0.64060000000000028</v>
      </c>
      <c r="BI49" s="51">
        <v>0.65540000000000032</v>
      </c>
      <c r="BJ49" s="51">
        <v>0.67020000000000035</v>
      </c>
      <c r="BK49" s="51">
        <v>0.68500000000000039</v>
      </c>
      <c r="BL49" s="51">
        <v>0.69980000000000042</v>
      </c>
      <c r="BM49" s="51">
        <v>0.71460000000000046</v>
      </c>
      <c r="BN49" s="51">
        <v>0.72940000000000049</v>
      </c>
      <c r="BO49" s="51">
        <v>0.74420000000000053</v>
      </c>
      <c r="BP49" s="51">
        <v>0.75900000000000056</v>
      </c>
    </row>
    <row r="50" spans="1:68" x14ac:dyDescent="0.3">
      <c r="A50" s="169" t="s">
        <v>426</v>
      </c>
      <c r="B50" s="57" t="s">
        <v>125</v>
      </c>
      <c r="C50" s="57" t="s">
        <v>126</v>
      </c>
      <c r="D50" s="58" t="s">
        <v>158</v>
      </c>
      <c r="E50" s="59" t="s">
        <v>159</v>
      </c>
      <c r="F50" s="57" t="s">
        <v>11</v>
      </c>
      <c r="G50" s="57" t="s">
        <v>11</v>
      </c>
      <c r="H50" s="57" t="s">
        <v>7</v>
      </c>
      <c r="I50" s="57" t="s">
        <v>64</v>
      </c>
      <c r="J50" s="57" t="s">
        <v>64</v>
      </c>
      <c r="K50" s="57" t="s">
        <v>64</v>
      </c>
      <c r="L50" s="57" t="s">
        <v>64</v>
      </c>
      <c r="M50" s="57" t="s">
        <v>64</v>
      </c>
      <c r="N50" s="57">
        <v>2023</v>
      </c>
      <c r="O50" s="57" t="s">
        <v>136</v>
      </c>
      <c r="P50" s="57">
        <v>0</v>
      </c>
      <c r="Q50" s="57">
        <v>0</v>
      </c>
      <c r="R50" s="57">
        <v>0</v>
      </c>
      <c r="S50" s="57">
        <v>0</v>
      </c>
      <c r="T50" s="60" t="s">
        <v>129</v>
      </c>
      <c r="U50" s="51">
        <v>1E-3</v>
      </c>
      <c r="V50" s="51">
        <v>2E-3</v>
      </c>
      <c r="W50" s="51">
        <v>4.0000000000000001E-3</v>
      </c>
      <c r="X50" s="51">
        <v>8.0000000000000002E-3</v>
      </c>
      <c r="Y50" s="51">
        <v>0.01</v>
      </c>
      <c r="Z50" s="51">
        <v>1.2E-2</v>
      </c>
      <c r="AA50" s="51">
        <v>1.842857142857143E-2</v>
      </c>
      <c r="AB50" s="51">
        <v>2.4857142857142859E-2</v>
      </c>
      <c r="AC50" s="51">
        <v>3.1285714285714285E-2</v>
      </c>
      <c r="AD50" s="51">
        <v>3.7714285714285714E-2</v>
      </c>
      <c r="AE50" s="51">
        <v>4.4142857142857143E-2</v>
      </c>
      <c r="AF50" s="51">
        <v>5.0571428571428573E-2</v>
      </c>
      <c r="AG50" s="51">
        <v>5.7000000000000002E-2</v>
      </c>
      <c r="AH50" s="51">
        <v>6.8900000000000003E-2</v>
      </c>
      <c r="AI50" s="51">
        <v>8.0799999999999997E-2</v>
      </c>
      <c r="AJ50" s="51">
        <v>9.2699999999999991E-2</v>
      </c>
      <c r="AK50" s="51">
        <v>0.10459999999999998</v>
      </c>
      <c r="AL50" s="51">
        <v>0.11649999999999998</v>
      </c>
      <c r="AM50" s="51">
        <v>0.12839999999999999</v>
      </c>
      <c r="AN50" s="51">
        <v>0.14029999999999998</v>
      </c>
      <c r="AO50" s="51">
        <v>0.15219999999999997</v>
      </c>
      <c r="AP50" s="51">
        <v>0.16409999999999997</v>
      </c>
      <c r="AQ50" s="51">
        <v>0.17599999999999999</v>
      </c>
      <c r="AR50" s="51">
        <v>0.1772</v>
      </c>
      <c r="AS50" s="51">
        <v>0.1784</v>
      </c>
      <c r="AT50" s="51">
        <v>0.17960000000000001</v>
      </c>
      <c r="AU50" s="51">
        <v>0.18080000000000002</v>
      </c>
      <c r="AV50" s="51">
        <v>0.18200000000000002</v>
      </c>
      <c r="AW50" s="51">
        <v>0.18320000000000003</v>
      </c>
      <c r="AX50" s="51">
        <v>0.18440000000000004</v>
      </c>
      <c r="AY50" s="51">
        <v>0.18560000000000004</v>
      </c>
      <c r="AZ50" s="51">
        <v>0.18680000000000005</v>
      </c>
      <c r="BA50" s="51">
        <v>0.188</v>
      </c>
      <c r="BB50" s="51">
        <v>0.18725</v>
      </c>
      <c r="BC50" s="51">
        <v>0.1865</v>
      </c>
      <c r="BD50" s="51">
        <v>0.18575</v>
      </c>
      <c r="BE50" s="51">
        <v>0.185</v>
      </c>
      <c r="BF50" s="51">
        <v>0.18425</v>
      </c>
      <c r="BG50" s="51">
        <v>0.1835</v>
      </c>
      <c r="BH50" s="51">
        <v>0.18275</v>
      </c>
      <c r="BI50" s="51">
        <v>0.182</v>
      </c>
      <c r="BJ50" s="51">
        <v>0.18124999999999999</v>
      </c>
      <c r="BK50" s="51">
        <v>0.18049999999999999</v>
      </c>
      <c r="BL50" s="51">
        <v>0.18</v>
      </c>
      <c r="BM50" s="51">
        <v>0.18</v>
      </c>
      <c r="BN50" s="51">
        <v>0.18</v>
      </c>
      <c r="BO50" s="51">
        <v>0.18</v>
      </c>
      <c r="BP50" s="51">
        <v>0.18</v>
      </c>
    </row>
    <row r="51" spans="1:68" x14ac:dyDescent="0.3">
      <c r="A51" s="169" t="s">
        <v>426</v>
      </c>
      <c r="B51" s="62" t="s">
        <v>125</v>
      </c>
      <c r="C51" s="62" t="s">
        <v>60</v>
      </c>
      <c r="D51" s="48" t="s">
        <v>160</v>
      </c>
      <c r="E51" s="63" t="s">
        <v>161</v>
      </c>
      <c r="F51" s="62" t="s">
        <v>11</v>
      </c>
      <c r="G51" s="62" t="s">
        <v>11</v>
      </c>
      <c r="H51" s="62" t="s">
        <v>7</v>
      </c>
      <c r="I51" s="62" t="s">
        <v>64</v>
      </c>
      <c r="J51" s="62" t="s">
        <v>64</v>
      </c>
      <c r="K51" s="62" t="s">
        <v>64</v>
      </c>
      <c r="L51" s="62" t="s">
        <v>64</v>
      </c>
      <c r="M51" s="62" t="s">
        <v>64</v>
      </c>
      <c r="N51" s="62">
        <v>2023</v>
      </c>
      <c r="O51" s="62" t="s">
        <v>136</v>
      </c>
      <c r="P51" s="62">
        <v>0</v>
      </c>
      <c r="Q51" s="62">
        <v>0</v>
      </c>
      <c r="R51" s="62">
        <v>0</v>
      </c>
      <c r="S51" s="62">
        <v>0</v>
      </c>
      <c r="T51" s="64" t="s">
        <v>129</v>
      </c>
      <c r="U51" s="65">
        <v>0</v>
      </c>
      <c r="V51" s="51">
        <v>0</v>
      </c>
      <c r="W51" s="51">
        <v>0</v>
      </c>
      <c r="X51" s="51">
        <v>0</v>
      </c>
      <c r="Y51" s="51">
        <v>1E-3</v>
      </c>
      <c r="Z51" s="65">
        <v>4.0000000000000001E-3</v>
      </c>
      <c r="AA51" s="51">
        <v>0.02</v>
      </c>
      <c r="AB51" s="51">
        <v>3.6000000000000004E-2</v>
      </c>
      <c r="AC51" s="51">
        <v>5.2000000000000005E-2</v>
      </c>
      <c r="AD51" s="51">
        <v>6.8000000000000005E-2</v>
      </c>
      <c r="AE51" s="51">
        <v>8.4000000000000005E-2</v>
      </c>
      <c r="AF51" s="51">
        <v>0.1</v>
      </c>
      <c r="AG51" s="51">
        <v>0.10181818181818182</v>
      </c>
      <c r="AH51" s="51">
        <v>0.10363636363636364</v>
      </c>
      <c r="AI51" s="51">
        <v>0.10545454545454545</v>
      </c>
      <c r="AJ51" s="51">
        <v>0.10727272727272727</v>
      </c>
      <c r="AK51" s="51">
        <v>0.10909090909090909</v>
      </c>
      <c r="AL51" s="51">
        <v>0.1109090909090909</v>
      </c>
      <c r="AM51" s="51">
        <v>0.11272727272727272</v>
      </c>
      <c r="AN51" s="51">
        <v>0.11454545454545453</v>
      </c>
      <c r="AO51" s="51">
        <v>0.11636363636363635</v>
      </c>
      <c r="AP51" s="51">
        <v>0.11818181818181817</v>
      </c>
      <c r="AQ51" s="51">
        <v>0.12</v>
      </c>
      <c r="AR51" s="51">
        <v>0.12079999999999999</v>
      </c>
      <c r="AS51" s="51">
        <v>0.12159999999999999</v>
      </c>
      <c r="AT51" s="51">
        <v>0.12239999999999998</v>
      </c>
      <c r="AU51" s="51">
        <v>0.12319999999999998</v>
      </c>
      <c r="AV51" s="51">
        <v>0.12399999999999997</v>
      </c>
      <c r="AW51" s="51">
        <v>0.12479999999999997</v>
      </c>
      <c r="AX51" s="51">
        <v>0.12559999999999996</v>
      </c>
      <c r="AY51" s="51">
        <v>0.12639999999999996</v>
      </c>
      <c r="AZ51" s="51">
        <v>0.12719999999999995</v>
      </c>
      <c r="BA51" s="51">
        <v>0.12799999999999995</v>
      </c>
      <c r="BB51" s="51">
        <v>0.12879999999999994</v>
      </c>
      <c r="BC51" s="51">
        <v>0.12959999999999994</v>
      </c>
      <c r="BD51" s="51">
        <v>0.13039999999999993</v>
      </c>
      <c r="BE51" s="51">
        <v>0.13119999999999993</v>
      </c>
      <c r="BF51" s="51">
        <v>0.13199999999999992</v>
      </c>
      <c r="BG51" s="51">
        <v>0.13279999999999992</v>
      </c>
      <c r="BH51" s="51">
        <v>0.13359999999999991</v>
      </c>
      <c r="BI51" s="51">
        <v>0.13439999999999991</v>
      </c>
      <c r="BJ51" s="51">
        <v>0.1351999999999999</v>
      </c>
      <c r="BK51" s="51">
        <v>0.1359999999999999</v>
      </c>
      <c r="BL51" s="51">
        <v>0.13679999999999989</v>
      </c>
      <c r="BM51" s="51">
        <v>0.13759999999999989</v>
      </c>
      <c r="BN51" s="51">
        <v>0.13839999999999988</v>
      </c>
      <c r="BO51" s="51">
        <v>0.13919999999999988</v>
      </c>
      <c r="BP51" s="51">
        <v>0.14000000000000001</v>
      </c>
    </row>
    <row r="52" spans="1:68" x14ac:dyDescent="0.3">
      <c r="A52" s="169" t="s">
        <v>426</v>
      </c>
      <c r="B52" s="62" t="s">
        <v>125</v>
      </c>
      <c r="C52" s="62" t="s">
        <v>60</v>
      </c>
      <c r="D52" s="48" t="s">
        <v>162</v>
      </c>
      <c r="E52" s="62" t="s">
        <v>163</v>
      </c>
      <c r="F52" s="62" t="s">
        <v>11</v>
      </c>
      <c r="G52" s="62" t="s">
        <v>11</v>
      </c>
      <c r="H52" s="62" t="s">
        <v>7</v>
      </c>
      <c r="I52" s="62" t="s">
        <v>64</v>
      </c>
      <c r="J52" s="62" t="s">
        <v>64</v>
      </c>
      <c r="K52" s="62" t="s">
        <v>64</v>
      </c>
      <c r="L52" s="62" t="s">
        <v>64</v>
      </c>
      <c r="M52" s="62" t="s">
        <v>64</v>
      </c>
      <c r="N52" s="62">
        <v>2023</v>
      </c>
      <c r="O52" s="62" t="s">
        <v>136</v>
      </c>
      <c r="P52" s="62" t="s">
        <v>136</v>
      </c>
      <c r="Q52" s="62">
        <f>(1-Q39)*0.9</f>
        <v>0.26460000000000006</v>
      </c>
      <c r="R52" s="62">
        <f>(1-R39)*0.9</f>
        <v>0.26370000000000005</v>
      </c>
      <c r="S52" s="62">
        <f>(1-S39)*0.9</f>
        <v>0.26280000000000003</v>
      </c>
      <c r="T52" s="64" t="s">
        <v>129</v>
      </c>
      <c r="U52" s="65">
        <v>0.9985844444444445</v>
      </c>
      <c r="V52" s="65">
        <v>0.99774888888888891</v>
      </c>
      <c r="W52" s="65">
        <v>0.99691333333333332</v>
      </c>
      <c r="X52" s="65">
        <v>0.99607777777777784</v>
      </c>
      <c r="Y52" s="65">
        <v>0.99424222222222225</v>
      </c>
      <c r="Z52" s="65">
        <v>0.99040666666666666</v>
      </c>
      <c r="AA52" s="65">
        <v>0.97357111111111105</v>
      </c>
      <c r="AB52" s="65">
        <v>0.95673555555555556</v>
      </c>
      <c r="AC52" s="65">
        <v>0.93989999999999996</v>
      </c>
      <c r="AD52" s="65">
        <v>0.92123333333333324</v>
      </c>
      <c r="AE52" s="65">
        <v>0.90256666666666674</v>
      </c>
      <c r="AF52" s="65">
        <v>0.88390000000000002</v>
      </c>
      <c r="AG52" s="65">
        <v>0.87008181818181818</v>
      </c>
      <c r="AH52" s="65">
        <v>0.85426363636363634</v>
      </c>
      <c r="AI52" s="65">
        <v>0.83844545454545449</v>
      </c>
      <c r="AJ52" s="65">
        <v>0.82262727272727276</v>
      </c>
      <c r="AK52" s="65">
        <v>0.80680909090909092</v>
      </c>
      <c r="AL52" s="65">
        <v>0.79099090909090919</v>
      </c>
      <c r="AM52" s="65">
        <v>0.75227272727272732</v>
      </c>
      <c r="AN52" s="65">
        <v>0.71355454545454555</v>
      </c>
      <c r="AO52" s="65">
        <v>0.67483636363636368</v>
      </c>
      <c r="AP52" s="65">
        <v>0.6361181818181818</v>
      </c>
      <c r="AQ52" s="65">
        <v>0.59740000000000004</v>
      </c>
      <c r="AR52" s="65">
        <v>0.55970000000000009</v>
      </c>
      <c r="AS52" s="65">
        <v>0.52200000000000013</v>
      </c>
      <c r="AT52" s="65">
        <v>0.48430000000000012</v>
      </c>
      <c r="AU52" s="65">
        <v>0.44660000000000011</v>
      </c>
      <c r="AV52" s="65">
        <v>0.40889999999999999</v>
      </c>
      <c r="AW52" s="65">
        <v>0.39062999999999998</v>
      </c>
      <c r="AX52" s="65">
        <v>0.37236000000000002</v>
      </c>
      <c r="AY52" s="65">
        <v>0.35409000000000002</v>
      </c>
      <c r="AZ52" s="65">
        <v>0.33582000000000001</v>
      </c>
      <c r="BA52" s="65">
        <v>0.31755000000000011</v>
      </c>
      <c r="BB52" s="65">
        <v>0.2992800000000001</v>
      </c>
      <c r="BC52" s="65">
        <v>0.28101000000000009</v>
      </c>
      <c r="BD52" s="65">
        <v>0.26274000000000008</v>
      </c>
      <c r="BE52" s="65">
        <v>0.24447000000000008</v>
      </c>
      <c r="BF52" s="65">
        <v>0.22620000000000007</v>
      </c>
      <c r="BG52" s="65">
        <v>0.21598500000000009</v>
      </c>
      <c r="BH52" s="65">
        <v>0.20577000000000012</v>
      </c>
      <c r="BI52" s="65">
        <v>0.19555500000000026</v>
      </c>
      <c r="BJ52" s="65">
        <v>0.18534000000000028</v>
      </c>
      <c r="BK52" s="65">
        <v>0.17512500000000031</v>
      </c>
      <c r="BL52" s="65">
        <v>0.16491000000000033</v>
      </c>
      <c r="BM52" s="65">
        <v>0.15469500000000036</v>
      </c>
      <c r="BN52" s="65">
        <v>0.1444800000000005</v>
      </c>
      <c r="BO52" s="65">
        <v>0.13426500000000052</v>
      </c>
      <c r="BP52" s="65">
        <v>0.12405000000000044</v>
      </c>
    </row>
    <row r="53" spans="1:68" x14ac:dyDescent="0.3">
      <c r="A53" s="169" t="s">
        <v>426</v>
      </c>
      <c r="B53" s="62" t="s">
        <v>125</v>
      </c>
      <c r="C53" s="62" t="s">
        <v>126</v>
      </c>
      <c r="D53" s="48" t="s">
        <v>164</v>
      </c>
      <c r="E53" s="62" t="s">
        <v>165</v>
      </c>
      <c r="F53" s="62" t="s">
        <v>11</v>
      </c>
      <c r="G53" s="62" t="s">
        <v>11</v>
      </c>
      <c r="H53" s="62" t="s">
        <v>7</v>
      </c>
      <c r="I53" s="62" t="s">
        <v>64</v>
      </c>
      <c r="J53" s="62" t="s">
        <v>64</v>
      </c>
      <c r="K53" s="62" t="s">
        <v>64</v>
      </c>
      <c r="L53" s="62" t="s">
        <v>64</v>
      </c>
      <c r="M53" s="62" t="s">
        <v>64</v>
      </c>
      <c r="N53" s="62">
        <v>2023</v>
      </c>
      <c r="O53" s="62" t="s">
        <v>136</v>
      </c>
      <c r="P53" s="62">
        <v>0</v>
      </c>
      <c r="Q53" s="62">
        <v>0</v>
      </c>
      <c r="R53" s="62">
        <v>0</v>
      </c>
      <c r="S53" s="62">
        <v>0</v>
      </c>
      <c r="T53" s="64" t="s">
        <v>129</v>
      </c>
      <c r="U53" s="51">
        <v>0.99980199999999997</v>
      </c>
      <c r="V53" s="51">
        <v>0.99473500000000004</v>
      </c>
      <c r="W53" s="51">
        <v>0.98976799999999998</v>
      </c>
      <c r="X53" s="51">
        <v>0.98480100000000004</v>
      </c>
      <c r="Y53" s="51">
        <v>0.97983399999999998</v>
      </c>
      <c r="Z53" s="51">
        <v>0.97486700000000004</v>
      </c>
      <c r="AA53" s="51">
        <v>0.96989999999999998</v>
      </c>
      <c r="AB53" s="51">
        <v>0.94847142857142863</v>
      </c>
      <c r="AC53" s="51">
        <v>0.92704285714285717</v>
      </c>
      <c r="AD53" s="51">
        <v>0.9056142857142857</v>
      </c>
      <c r="AE53" s="51">
        <v>0.88418571428571435</v>
      </c>
      <c r="AF53" s="51">
        <v>0.86275714285714289</v>
      </c>
      <c r="AG53" s="51">
        <v>0.84132857142857143</v>
      </c>
      <c r="AH53" s="51">
        <v>0.81990000000000007</v>
      </c>
      <c r="AI53" s="51">
        <v>0.80190000000000006</v>
      </c>
      <c r="AJ53" s="51">
        <v>0.78390000000000004</v>
      </c>
      <c r="AK53" s="51">
        <v>0.76590000000000003</v>
      </c>
      <c r="AL53" s="51">
        <v>0.74790000000000001</v>
      </c>
      <c r="AM53" s="51">
        <v>0.72989999999999999</v>
      </c>
      <c r="AN53" s="51">
        <v>0.71189999999999998</v>
      </c>
      <c r="AO53" s="51">
        <v>0.69389999999999996</v>
      </c>
      <c r="AP53" s="51">
        <v>0.67589999999999995</v>
      </c>
      <c r="AQ53" s="51">
        <v>0.65789999999999993</v>
      </c>
      <c r="AR53" s="51">
        <v>0.63990000000000002</v>
      </c>
      <c r="AS53" s="51">
        <v>0.62790000000000001</v>
      </c>
      <c r="AT53" s="51">
        <v>0.6159</v>
      </c>
      <c r="AU53" s="51">
        <v>0.60389999999999999</v>
      </c>
      <c r="AV53" s="51">
        <v>0.59189999999999998</v>
      </c>
      <c r="AW53" s="51">
        <v>0.57989999999999997</v>
      </c>
      <c r="AX53" s="51">
        <v>0.56789999999999996</v>
      </c>
      <c r="AY53" s="51">
        <v>0.55589999999999995</v>
      </c>
      <c r="AZ53" s="51">
        <v>0.54389999999999994</v>
      </c>
      <c r="BA53" s="51">
        <v>0.53189999999999993</v>
      </c>
      <c r="BB53" s="51">
        <v>0.51990000000000003</v>
      </c>
      <c r="BC53" s="51">
        <v>0.51540000000000008</v>
      </c>
      <c r="BD53" s="51">
        <v>0.51090000000000013</v>
      </c>
      <c r="BE53" s="51">
        <v>0.50640000000000007</v>
      </c>
      <c r="BF53" s="51">
        <v>0.50190000000000012</v>
      </c>
      <c r="BG53" s="51">
        <v>0.49740000000000018</v>
      </c>
      <c r="BH53" s="51">
        <v>0.49290000000000023</v>
      </c>
      <c r="BI53" s="51">
        <v>0.48840000000000017</v>
      </c>
      <c r="BJ53" s="51">
        <v>0.48390000000000022</v>
      </c>
      <c r="BK53" s="51">
        <v>0.47940000000000027</v>
      </c>
      <c r="BL53" s="51">
        <v>0.47490000000000032</v>
      </c>
      <c r="BM53" s="51">
        <v>0.47040000000000037</v>
      </c>
      <c r="BN53" s="51">
        <v>0.46590000000000031</v>
      </c>
      <c r="BO53" s="51">
        <v>0.46140000000000037</v>
      </c>
      <c r="BP53" s="51">
        <v>0.45690000000000042</v>
      </c>
    </row>
    <row r="54" spans="1:68" x14ac:dyDescent="0.3">
      <c r="A54" s="169" t="s">
        <v>426</v>
      </c>
      <c r="B54" s="62" t="s">
        <v>125</v>
      </c>
      <c r="C54" s="62" t="s">
        <v>60</v>
      </c>
      <c r="D54" s="48" t="s">
        <v>166</v>
      </c>
      <c r="E54" s="62" t="s">
        <v>167</v>
      </c>
      <c r="F54" s="62" t="s">
        <v>11</v>
      </c>
      <c r="G54" s="62" t="s">
        <v>11</v>
      </c>
      <c r="H54" s="62" t="s">
        <v>7</v>
      </c>
      <c r="I54" s="62" t="s">
        <v>64</v>
      </c>
      <c r="J54" s="62" t="s">
        <v>64</v>
      </c>
      <c r="K54" s="62" t="s">
        <v>64</v>
      </c>
      <c r="L54" s="62" t="s">
        <v>64</v>
      </c>
      <c r="M54" s="62" t="s">
        <v>64</v>
      </c>
      <c r="N54" s="62">
        <v>2023</v>
      </c>
      <c r="O54" s="62" t="s">
        <v>136</v>
      </c>
      <c r="P54" s="62" t="s">
        <v>136</v>
      </c>
      <c r="Q54" s="62">
        <v>0</v>
      </c>
      <c r="R54" s="62">
        <v>0</v>
      </c>
      <c r="S54" s="62">
        <v>0</v>
      </c>
      <c r="T54" s="64" t="s">
        <v>129</v>
      </c>
      <c r="U54" s="51">
        <v>0</v>
      </c>
      <c r="V54" s="51">
        <v>0</v>
      </c>
      <c r="W54" s="51">
        <v>0</v>
      </c>
      <c r="X54" s="51">
        <v>0</v>
      </c>
      <c r="Y54" s="51">
        <v>0</v>
      </c>
      <c r="Z54" s="51">
        <v>0</v>
      </c>
      <c r="AA54" s="51">
        <v>0</v>
      </c>
      <c r="AB54" s="51">
        <v>0</v>
      </c>
      <c r="AC54" s="51">
        <v>0</v>
      </c>
      <c r="AD54" s="51">
        <v>0</v>
      </c>
      <c r="AE54" s="51">
        <v>0</v>
      </c>
      <c r="AF54" s="51">
        <v>0</v>
      </c>
      <c r="AG54" s="51">
        <v>0</v>
      </c>
      <c r="AH54" s="51">
        <v>0</v>
      </c>
      <c r="AI54" s="51">
        <v>0</v>
      </c>
      <c r="AJ54" s="51">
        <v>0</v>
      </c>
      <c r="AK54" s="51">
        <v>0</v>
      </c>
      <c r="AL54" s="51">
        <v>0</v>
      </c>
      <c r="AM54" s="51">
        <v>0</v>
      </c>
      <c r="AN54" s="51">
        <v>0</v>
      </c>
      <c r="AO54" s="51">
        <v>0</v>
      </c>
      <c r="AP54" s="51">
        <v>0</v>
      </c>
      <c r="AQ54" s="51">
        <v>0</v>
      </c>
      <c r="AR54" s="51">
        <v>0</v>
      </c>
      <c r="AS54" s="51">
        <v>0</v>
      </c>
      <c r="AT54" s="51">
        <v>0</v>
      </c>
      <c r="AU54" s="51">
        <v>0</v>
      </c>
      <c r="AV54" s="51">
        <v>0</v>
      </c>
      <c r="AW54" s="51">
        <v>0</v>
      </c>
      <c r="AX54" s="51">
        <v>0</v>
      </c>
      <c r="AY54" s="51">
        <v>0</v>
      </c>
      <c r="AZ54" s="51">
        <v>0</v>
      </c>
      <c r="BA54" s="51">
        <v>0</v>
      </c>
      <c r="BB54" s="51">
        <v>0</v>
      </c>
      <c r="BC54" s="51">
        <v>0</v>
      </c>
      <c r="BD54" s="51">
        <v>0</v>
      </c>
      <c r="BE54" s="51">
        <v>0</v>
      </c>
      <c r="BF54" s="51">
        <v>0</v>
      </c>
      <c r="BG54" s="51">
        <v>0</v>
      </c>
      <c r="BH54" s="51">
        <v>0</v>
      </c>
      <c r="BI54" s="51">
        <v>0</v>
      </c>
      <c r="BJ54" s="51">
        <v>0</v>
      </c>
      <c r="BK54" s="51">
        <v>0</v>
      </c>
      <c r="BL54" s="51">
        <v>0</v>
      </c>
      <c r="BM54" s="51">
        <v>0</v>
      </c>
      <c r="BN54" s="51">
        <v>0</v>
      </c>
      <c r="BO54" s="51">
        <v>0</v>
      </c>
      <c r="BP54" s="51">
        <v>0</v>
      </c>
    </row>
    <row r="55" spans="1:68" x14ac:dyDescent="0.3">
      <c r="A55" s="169" t="s">
        <v>426</v>
      </c>
      <c r="B55" s="62" t="s">
        <v>125</v>
      </c>
      <c r="C55" s="62" t="s">
        <v>60</v>
      </c>
      <c r="D55" s="48" t="s">
        <v>168</v>
      </c>
      <c r="E55" s="66" t="s">
        <v>169</v>
      </c>
      <c r="F55" s="62" t="s">
        <v>11</v>
      </c>
      <c r="G55" s="62" t="s">
        <v>11</v>
      </c>
      <c r="H55" s="62" t="s">
        <v>7</v>
      </c>
      <c r="I55" s="62" t="s">
        <v>64</v>
      </c>
      <c r="J55" s="62" t="s">
        <v>64</v>
      </c>
      <c r="K55" s="62" t="s">
        <v>64</v>
      </c>
      <c r="L55" s="62" t="s">
        <v>64</v>
      </c>
      <c r="M55" s="62" t="s">
        <v>64</v>
      </c>
      <c r="N55" s="62">
        <v>2023</v>
      </c>
      <c r="O55" s="62" t="s">
        <v>136</v>
      </c>
      <c r="P55" s="62">
        <v>0</v>
      </c>
      <c r="Q55" s="62">
        <v>0</v>
      </c>
      <c r="R55" s="62">
        <v>0</v>
      </c>
      <c r="S55" s="62">
        <v>0</v>
      </c>
      <c r="T55" s="64" t="s">
        <v>129</v>
      </c>
      <c r="U55" s="51">
        <v>0</v>
      </c>
      <c r="V55" s="51">
        <v>0</v>
      </c>
      <c r="W55" s="51">
        <v>0</v>
      </c>
      <c r="X55" s="51">
        <v>0</v>
      </c>
      <c r="Y55" s="51">
        <v>0</v>
      </c>
      <c r="Z55" s="51">
        <v>0</v>
      </c>
      <c r="AA55" s="51">
        <v>0</v>
      </c>
      <c r="AB55" s="51">
        <v>0</v>
      </c>
      <c r="AC55" s="51">
        <v>0</v>
      </c>
      <c r="AD55" s="51">
        <v>0</v>
      </c>
      <c r="AE55" s="51">
        <v>0</v>
      </c>
      <c r="AF55" s="51">
        <v>0</v>
      </c>
      <c r="AG55" s="51">
        <v>0</v>
      </c>
      <c r="AH55" s="51">
        <v>0</v>
      </c>
      <c r="AI55" s="51">
        <v>0</v>
      </c>
      <c r="AJ55" s="51">
        <v>0</v>
      </c>
      <c r="AK55" s="51">
        <v>0</v>
      </c>
      <c r="AL55" s="51">
        <v>0</v>
      </c>
      <c r="AM55" s="51">
        <v>0</v>
      </c>
      <c r="AN55" s="51">
        <v>0</v>
      </c>
      <c r="AO55" s="51">
        <v>0</v>
      </c>
      <c r="AP55" s="51">
        <v>0</v>
      </c>
      <c r="AQ55" s="51">
        <v>0</v>
      </c>
      <c r="AR55" s="51">
        <v>0</v>
      </c>
      <c r="AS55" s="51">
        <v>0</v>
      </c>
      <c r="AT55" s="51">
        <v>0</v>
      </c>
      <c r="AU55" s="51">
        <v>0</v>
      </c>
      <c r="AV55" s="51">
        <v>0</v>
      </c>
      <c r="AW55" s="51">
        <v>0</v>
      </c>
      <c r="AX55" s="51">
        <v>0</v>
      </c>
      <c r="AY55" s="51">
        <v>0</v>
      </c>
      <c r="AZ55" s="51">
        <v>0</v>
      </c>
      <c r="BA55" s="51">
        <v>0</v>
      </c>
      <c r="BB55" s="51">
        <v>0</v>
      </c>
      <c r="BC55" s="51">
        <v>0</v>
      </c>
      <c r="BD55" s="51">
        <v>0</v>
      </c>
      <c r="BE55" s="51">
        <v>0</v>
      </c>
      <c r="BF55" s="51">
        <v>0</v>
      </c>
      <c r="BG55" s="51">
        <v>0</v>
      </c>
      <c r="BH55" s="51">
        <v>0</v>
      </c>
      <c r="BI55" s="51">
        <v>0</v>
      </c>
      <c r="BJ55" s="51">
        <v>0</v>
      </c>
      <c r="BK55" s="51">
        <v>0</v>
      </c>
      <c r="BL55" s="51">
        <v>0</v>
      </c>
      <c r="BM55" s="51">
        <v>0</v>
      </c>
      <c r="BN55" s="51">
        <v>0</v>
      </c>
      <c r="BO55" s="51">
        <v>0</v>
      </c>
      <c r="BP55" s="51">
        <v>0</v>
      </c>
    </row>
    <row r="56" spans="1:68" x14ac:dyDescent="0.3">
      <c r="A56" s="169" t="s">
        <v>426</v>
      </c>
      <c r="B56" s="62" t="s">
        <v>125</v>
      </c>
      <c r="C56" s="62" t="s">
        <v>60</v>
      </c>
      <c r="D56" s="48" t="s">
        <v>170</v>
      </c>
      <c r="E56" s="62" t="s">
        <v>171</v>
      </c>
      <c r="F56" s="62" t="s">
        <v>11</v>
      </c>
      <c r="G56" s="62" t="s">
        <v>11</v>
      </c>
      <c r="H56" s="62" t="s">
        <v>7</v>
      </c>
      <c r="I56" s="62" t="s">
        <v>64</v>
      </c>
      <c r="J56" s="62" t="s">
        <v>64</v>
      </c>
      <c r="K56" s="62" t="s">
        <v>64</v>
      </c>
      <c r="L56" s="62" t="s">
        <v>64</v>
      </c>
      <c r="M56" s="62" t="s">
        <v>64</v>
      </c>
      <c r="N56" s="62">
        <v>2023</v>
      </c>
      <c r="O56" s="62" t="s">
        <v>136</v>
      </c>
      <c r="P56" s="62" t="s">
        <v>136</v>
      </c>
      <c r="Q56" s="62">
        <f>(1-Q40)*0.9</f>
        <v>5.4899999999999949E-2</v>
      </c>
      <c r="R56" s="62">
        <f t="shared" ref="R56:S56" si="26">(1-R40)*0.9</f>
        <v>5.3999999999999951E-2</v>
      </c>
      <c r="S56" s="62">
        <f t="shared" si="26"/>
        <v>5.3099999999999946E-2</v>
      </c>
      <c r="T56" s="64" t="s">
        <v>129</v>
      </c>
      <c r="U56" s="51">
        <v>0.99940000000000007</v>
      </c>
      <c r="V56" s="51">
        <v>0.99929999999999997</v>
      </c>
      <c r="W56" s="51">
        <v>0.99924999999999997</v>
      </c>
      <c r="X56" s="51">
        <v>0.99919999999999998</v>
      </c>
      <c r="Y56" s="51">
        <v>0.99914999999999998</v>
      </c>
      <c r="Z56" s="51">
        <v>0.99890000000000001</v>
      </c>
      <c r="AA56" s="51">
        <v>0.99790000000000001</v>
      </c>
      <c r="AB56" s="51">
        <v>0.99690000000000001</v>
      </c>
      <c r="AC56" s="51">
        <v>0.98698571428571424</v>
      </c>
      <c r="AD56" s="51">
        <v>0.97707142857142859</v>
      </c>
      <c r="AE56" s="51">
        <v>0.96715714285714283</v>
      </c>
      <c r="AF56" s="51">
        <v>0.95724285714285717</v>
      </c>
      <c r="AG56" s="51">
        <v>0.94732857142857141</v>
      </c>
      <c r="AH56" s="51">
        <v>0.93741428571428576</v>
      </c>
      <c r="AI56" s="51">
        <v>0.92749999999999999</v>
      </c>
      <c r="AJ56" s="51">
        <v>0.91758571428571434</v>
      </c>
      <c r="AK56" s="51">
        <v>0.90767142857142857</v>
      </c>
      <c r="AL56" s="51">
        <v>0.89775714285714292</v>
      </c>
      <c r="AM56" s="51">
        <v>0.85551142857142859</v>
      </c>
      <c r="AN56" s="51">
        <v>0.81326571428571426</v>
      </c>
      <c r="AO56" s="51">
        <v>0.77102000000000004</v>
      </c>
      <c r="AP56" s="51">
        <v>0.72877428571428582</v>
      </c>
      <c r="AQ56" s="51">
        <v>0.68652857142857149</v>
      </c>
      <c r="AR56" s="51">
        <v>0.64428285714285716</v>
      </c>
      <c r="AS56" s="51">
        <v>0.60203714285714294</v>
      </c>
      <c r="AT56" s="51">
        <v>0.55979142857142872</v>
      </c>
      <c r="AU56" s="51">
        <v>0.51754571428571439</v>
      </c>
      <c r="AV56" s="51">
        <v>0.47529999999999994</v>
      </c>
      <c r="AW56" s="51">
        <v>0.42759999999999998</v>
      </c>
      <c r="AX56" s="51">
        <v>0.41101999999999994</v>
      </c>
      <c r="AY56" s="51">
        <v>0.3944399999999999</v>
      </c>
      <c r="AZ56" s="51">
        <v>0.37785999999999986</v>
      </c>
      <c r="BA56" s="51">
        <v>0.36127999999999982</v>
      </c>
      <c r="BB56" s="51">
        <v>0.3446999999999999</v>
      </c>
      <c r="BC56" s="51">
        <v>0.33589999999999987</v>
      </c>
      <c r="BD56" s="51">
        <v>0.32709999999999984</v>
      </c>
      <c r="BE56" s="51">
        <v>0.31829999999999981</v>
      </c>
      <c r="BF56" s="51">
        <v>0.30949999999999978</v>
      </c>
      <c r="BG56" s="51">
        <v>0.30069999999999975</v>
      </c>
      <c r="BH56" s="51">
        <v>0.29190000000000005</v>
      </c>
      <c r="BI56" s="51">
        <v>0.28600000000000003</v>
      </c>
      <c r="BJ56" s="51">
        <v>0.28010000000000002</v>
      </c>
      <c r="BK56" s="51">
        <v>0.2742</v>
      </c>
      <c r="BL56" s="51">
        <v>0.26829999999999998</v>
      </c>
      <c r="BM56" s="51">
        <v>0.26239999999999997</v>
      </c>
      <c r="BN56" s="51">
        <v>0.25649999999999995</v>
      </c>
      <c r="BO56" s="51">
        <v>0.25059999999999993</v>
      </c>
      <c r="BP56" s="51">
        <v>0.24990000000000001</v>
      </c>
    </row>
    <row r="57" spans="1:68" x14ac:dyDescent="0.3">
      <c r="A57" s="169" t="s">
        <v>426</v>
      </c>
      <c r="B57" s="62" t="s">
        <v>125</v>
      </c>
      <c r="C57" s="62" t="s">
        <v>126</v>
      </c>
      <c r="D57" s="48" t="s">
        <v>172</v>
      </c>
      <c r="E57" s="62" t="s">
        <v>173</v>
      </c>
      <c r="F57" s="62" t="s">
        <v>11</v>
      </c>
      <c r="G57" s="62" t="s">
        <v>11</v>
      </c>
      <c r="H57" s="62" t="s">
        <v>7</v>
      </c>
      <c r="I57" s="62" t="s">
        <v>64</v>
      </c>
      <c r="J57" s="62" t="s">
        <v>64</v>
      </c>
      <c r="K57" s="62" t="s">
        <v>64</v>
      </c>
      <c r="L57" s="62" t="s">
        <v>64</v>
      </c>
      <c r="M57" s="62" t="s">
        <v>64</v>
      </c>
      <c r="N57" s="62">
        <v>2023</v>
      </c>
      <c r="O57" s="62" t="s">
        <v>136</v>
      </c>
      <c r="P57" s="62" t="s">
        <v>136</v>
      </c>
      <c r="Q57" s="62">
        <f>(1-Q44)*0.9*0.97</f>
        <v>0.46356300000000006</v>
      </c>
      <c r="R57" s="62">
        <f t="shared" ref="R57:S57" si="27">(1-R44)*0.9*0.97</f>
        <v>0.46269000000000005</v>
      </c>
      <c r="S57" s="62">
        <f t="shared" si="27"/>
        <v>0.46181700000000003</v>
      </c>
      <c r="T57" s="64" t="s">
        <v>129</v>
      </c>
      <c r="U57" s="51">
        <v>0.96819999999999995</v>
      </c>
      <c r="V57" s="51">
        <v>0.96155714285714289</v>
      </c>
      <c r="W57" s="51">
        <v>0.9551142857142858</v>
      </c>
      <c r="X57" s="51">
        <v>0.94447142857142852</v>
      </c>
      <c r="Y57" s="51">
        <v>0.9393285714285714</v>
      </c>
      <c r="Z57" s="51">
        <v>0.93447142857142862</v>
      </c>
      <c r="AA57" s="51">
        <v>0.92561428571428561</v>
      </c>
      <c r="AB57" s="51">
        <v>0.91789999999999994</v>
      </c>
      <c r="AC57" s="51">
        <v>0.90124285714285712</v>
      </c>
      <c r="AD57" s="51">
        <v>0.88972857142857142</v>
      </c>
      <c r="AE57" s="51">
        <v>0.87821428571428573</v>
      </c>
      <c r="AF57" s="51">
        <v>0.86670000000000003</v>
      </c>
      <c r="AG57" s="51">
        <v>0.84449999999999992</v>
      </c>
      <c r="AH57" s="51">
        <v>0.8155</v>
      </c>
      <c r="AI57" s="51">
        <v>0.78650000000000009</v>
      </c>
      <c r="AJ57" s="51">
        <v>0.75749999999999995</v>
      </c>
      <c r="AK57" s="51">
        <v>0.72849999999999993</v>
      </c>
      <c r="AL57" s="51">
        <v>0.69950000000000001</v>
      </c>
      <c r="AM57" s="51">
        <v>0.67190000000000005</v>
      </c>
      <c r="AN57" s="51">
        <v>0.64429999999999987</v>
      </c>
      <c r="AO57" s="51">
        <v>0.61670000000000003</v>
      </c>
      <c r="AP57" s="51">
        <v>0.58910000000000007</v>
      </c>
      <c r="AQ57" s="51">
        <v>0.55889999999999995</v>
      </c>
      <c r="AR57" s="51">
        <v>0.53900000000000003</v>
      </c>
      <c r="AS57" s="51">
        <v>0.51909999999999989</v>
      </c>
      <c r="AT57" s="51">
        <v>0.49919999999999998</v>
      </c>
      <c r="AU57" s="51">
        <v>0.4793</v>
      </c>
      <c r="AV57" s="51">
        <v>0.45939999999999992</v>
      </c>
      <c r="AW57" s="51">
        <v>0.43809999999999988</v>
      </c>
      <c r="AX57" s="51">
        <v>0.41679999999999995</v>
      </c>
      <c r="AY57" s="51">
        <v>0.39549999999999991</v>
      </c>
      <c r="AZ57" s="51">
        <v>0.37420000000000009</v>
      </c>
      <c r="BA57" s="51">
        <v>0.35965000000000008</v>
      </c>
      <c r="BB57" s="51">
        <v>0.34750000000000009</v>
      </c>
      <c r="BC57" s="51">
        <v>0.3353500000000002</v>
      </c>
      <c r="BD57" s="51">
        <v>0.32320000000000021</v>
      </c>
      <c r="BE57" s="51">
        <v>0.31105000000000022</v>
      </c>
      <c r="BF57" s="51">
        <v>0.29890000000000011</v>
      </c>
      <c r="BG57" s="51">
        <v>0.28675000000000017</v>
      </c>
      <c r="BH57" s="51">
        <v>0.27460000000000018</v>
      </c>
      <c r="BI57" s="51">
        <v>0.26245000000000018</v>
      </c>
      <c r="BJ57" s="51">
        <v>0.25030000000000024</v>
      </c>
      <c r="BK57" s="51">
        <v>0.23815000000000025</v>
      </c>
      <c r="BL57" s="51">
        <v>0.22600000000000031</v>
      </c>
      <c r="BM57" s="51">
        <v>0.21385000000000032</v>
      </c>
      <c r="BN57" s="51">
        <v>0.20170000000000032</v>
      </c>
      <c r="BO57" s="51">
        <v>0.1963000000000002</v>
      </c>
      <c r="BP57" s="51">
        <v>0.19040000000000018</v>
      </c>
    </row>
    <row r="58" spans="1:68" x14ac:dyDescent="0.3">
      <c r="A58" s="169" t="s">
        <v>426</v>
      </c>
      <c r="B58" s="62" t="s">
        <v>125</v>
      </c>
      <c r="C58" s="62" t="s">
        <v>152</v>
      </c>
      <c r="D58" s="48" t="s">
        <v>174</v>
      </c>
      <c r="E58" s="62" t="s">
        <v>175</v>
      </c>
      <c r="F58" s="62" t="s">
        <v>11</v>
      </c>
      <c r="G58" s="62" t="s">
        <v>11</v>
      </c>
      <c r="H58" s="62" t="s">
        <v>7</v>
      </c>
      <c r="I58" s="62" t="s">
        <v>64</v>
      </c>
      <c r="J58" s="62" t="s">
        <v>64</v>
      </c>
      <c r="K58" s="62" t="s">
        <v>64</v>
      </c>
      <c r="L58" s="62" t="s">
        <v>64</v>
      </c>
      <c r="M58" s="62" t="s">
        <v>64</v>
      </c>
      <c r="N58" s="62">
        <v>2023</v>
      </c>
      <c r="O58" s="62">
        <f>(1-O48)*0.95</f>
        <v>0.874</v>
      </c>
      <c r="P58" s="62">
        <f t="shared" ref="P58:S58" si="28">(1-P48)*0.95</f>
        <v>0.87209999999999999</v>
      </c>
      <c r="Q58" s="62">
        <f t="shared" si="28"/>
        <v>0.76760000000000006</v>
      </c>
      <c r="R58" s="62">
        <f t="shared" si="28"/>
        <v>0.76664999999999994</v>
      </c>
      <c r="S58" s="62">
        <f t="shared" si="28"/>
        <v>0.76570000000000005</v>
      </c>
      <c r="T58" s="64" t="s">
        <v>129</v>
      </c>
      <c r="U58" s="51">
        <v>0.99990000000000001</v>
      </c>
      <c r="V58" s="51">
        <v>0.99990000000000001</v>
      </c>
      <c r="W58" s="51">
        <v>0.99990000000000001</v>
      </c>
      <c r="X58" s="51">
        <v>0.99990000000000001</v>
      </c>
      <c r="Y58" s="51">
        <v>0.99990000000000001</v>
      </c>
      <c r="Z58" s="51">
        <v>0.99990000000000001</v>
      </c>
      <c r="AA58" s="51">
        <v>0.99990000000000001</v>
      </c>
      <c r="AB58" s="51">
        <v>0.99940000000000007</v>
      </c>
      <c r="AC58" s="51">
        <v>0.99804285714285712</v>
      </c>
      <c r="AD58" s="51">
        <v>0.99618571428571434</v>
      </c>
      <c r="AE58" s="51">
        <v>0.99432857142857145</v>
      </c>
      <c r="AF58" s="51">
        <v>0.99247142857142856</v>
      </c>
      <c r="AG58" s="51">
        <v>0.99061428571428567</v>
      </c>
      <c r="AH58" s="51">
        <v>0.98875714285714289</v>
      </c>
      <c r="AI58" s="51">
        <v>0.98140000000000005</v>
      </c>
      <c r="AJ58" s="51">
        <v>0.97015000000000007</v>
      </c>
      <c r="AK58" s="51">
        <v>0.95889999999999997</v>
      </c>
      <c r="AL58" s="51">
        <v>0.94764999999999999</v>
      </c>
      <c r="AM58" s="51">
        <v>0.93640000000000001</v>
      </c>
      <c r="AN58" s="51">
        <v>0.92515000000000003</v>
      </c>
      <c r="AO58" s="51">
        <v>0.91390000000000005</v>
      </c>
      <c r="AP58" s="51">
        <v>0.90265000000000006</v>
      </c>
      <c r="AQ58" s="51">
        <v>0.89139999999999997</v>
      </c>
      <c r="AR58" s="51">
        <v>0.88014999999999999</v>
      </c>
      <c r="AS58" s="51">
        <v>0.86890000000000001</v>
      </c>
      <c r="AT58" s="51">
        <v>0.85765000000000002</v>
      </c>
      <c r="AU58" s="51">
        <v>0.84640000000000004</v>
      </c>
      <c r="AV58" s="51">
        <v>0.83515000000000006</v>
      </c>
      <c r="AW58" s="51">
        <v>0.82389999999999997</v>
      </c>
      <c r="AX58" s="51">
        <v>0.81264999999999998</v>
      </c>
      <c r="AY58" s="51">
        <v>0.8014</v>
      </c>
      <c r="AZ58" s="51">
        <v>0.77469999999999994</v>
      </c>
      <c r="BA58" s="51">
        <v>0.73350000000000004</v>
      </c>
      <c r="BB58" s="51">
        <v>0.69229999999999992</v>
      </c>
      <c r="BC58" s="51">
        <v>0.65110000000000001</v>
      </c>
      <c r="BD58" s="51">
        <v>0.60989999999999989</v>
      </c>
      <c r="BE58" s="51">
        <v>0.56869999999999998</v>
      </c>
      <c r="BF58" s="51">
        <v>0.52749999999999986</v>
      </c>
      <c r="BG58" s="51">
        <v>0.48629999999999995</v>
      </c>
      <c r="BH58" s="51">
        <v>0.44509999999999994</v>
      </c>
      <c r="BI58" s="51">
        <v>0.40390000000000004</v>
      </c>
      <c r="BJ58" s="51">
        <v>0.38870000000000005</v>
      </c>
      <c r="BK58" s="51">
        <v>0.37350000000000005</v>
      </c>
      <c r="BL58" s="51">
        <v>0.35830000000000006</v>
      </c>
      <c r="BM58" s="51">
        <v>0.34310000000000007</v>
      </c>
      <c r="BN58" s="51">
        <v>0.32790000000000008</v>
      </c>
      <c r="BO58" s="51">
        <v>0.31270000000000009</v>
      </c>
      <c r="BP58" s="51">
        <v>0.2975000000000001</v>
      </c>
    </row>
    <row r="59" spans="1:68" x14ac:dyDescent="0.3">
      <c r="A59" s="169" t="s">
        <v>426</v>
      </c>
      <c r="B59" s="62" t="s">
        <v>125</v>
      </c>
      <c r="C59" s="62" t="s">
        <v>126</v>
      </c>
      <c r="D59" s="48" t="s">
        <v>176</v>
      </c>
      <c r="E59" s="62" t="s">
        <v>177</v>
      </c>
      <c r="F59" s="62" t="s">
        <v>11</v>
      </c>
      <c r="G59" s="62" t="s">
        <v>11</v>
      </c>
      <c r="H59" s="62" t="s">
        <v>7</v>
      </c>
      <c r="I59" s="62" t="s">
        <v>64</v>
      </c>
      <c r="J59" s="62" t="s">
        <v>64</v>
      </c>
      <c r="K59" s="62" t="s">
        <v>64</v>
      </c>
      <c r="L59" s="62" t="s">
        <v>64</v>
      </c>
      <c r="M59" s="62" t="s">
        <v>64</v>
      </c>
      <c r="N59" s="62">
        <v>2023</v>
      </c>
      <c r="O59" s="62" t="s">
        <v>136</v>
      </c>
      <c r="P59" s="62" t="s">
        <v>136</v>
      </c>
      <c r="Q59" s="62">
        <f>(1-Q44)*0.9*0.03</f>
        <v>1.4337000000000001E-2</v>
      </c>
      <c r="R59" s="62">
        <f t="shared" ref="R59:S59" si="29">(1-R44)*0.9*0.03</f>
        <v>1.431E-2</v>
      </c>
      <c r="S59" s="62">
        <f t="shared" si="29"/>
        <v>1.4283000000000001E-2</v>
      </c>
      <c r="T59" s="64" t="s">
        <v>129</v>
      </c>
      <c r="U59" s="51">
        <v>2.1000000000000001E-2</v>
      </c>
      <c r="V59" s="51">
        <v>2.2142857142857145E-2</v>
      </c>
      <c r="W59" s="51">
        <v>2.3285714285714288E-2</v>
      </c>
      <c r="X59" s="51">
        <v>2.4428571428571431E-2</v>
      </c>
      <c r="Y59" s="51">
        <v>2.5571428571428575E-2</v>
      </c>
      <c r="Z59" s="51">
        <v>2.6714285714285718E-2</v>
      </c>
      <c r="AA59" s="51">
        <v>2.7857142857142862E-2</v>
      </c>
      <c r="AB59" s="51">
        <v>2.9000000000000001E-2</v>
      </c>
      <c r="AC59" s="51">
        <v>2.8800000000000003E-2</v>
      </c>
      <c r="AD59" s="51">
        <v>2.8600000000000004E-2</v>
      </c>
      <c r="AE59" s="51">
        <v>2.8400000000000005E-2</v>
      </c>
      <c r="AF59" s="51">
        <v>2.8200000000000006E-2</v>
      </c>
      <c r="AG59" s="51">
        <v>2.8000000000000008E-2</v>
      </c>
      <c r="AH59" s="51">
        <v>2.7800000000000009E-2</v>
      </c>
      <c r="AI59" s="51">
        <v>2.760000000000001E-2</v>
      </c>
      <c r="AJ59" s="51">
        <v>2.7400000000000011E-2</v>
      </c>
      <c r="AK59" s="51">
        <v>2.7200000000000012E-2</v>
      </c>
      <c r="AL59" s="51">
        <v>2.7E-2</v>
      </c>
      <c r="AM59" s="51">
        <v>2.5399999999999999E-2</v>
      </c>
      <c r="AN59" s="51">
        <v>2.3799999999999998E-2</v>
      </c>
      <c r="AO59" s="51">
        <v>2.2199999999999998E-2</v>
      </c>
      <c r="AP59" s="51">
        <v>2.0599999999999997E-2</v>
      </c>
      <c r="AQ59" s="51">
        <v>1.8999999999999996E-2</v>
      </c>
      <c r="AR59" s="51">
        <v>1.7399999999999995E-2</v>
      </c>
      <c r="AS59" s="51">
        <v>1.5799999999999995E-2</v>
      </c>
      <c r="AT59" s="51">
        <v>1.4199999999999994E-2</v>
      </c>
      <c r="AU59" s="51">
        <v>1.2599999999999993E-2</v>
      </c>
      <c r="AV59" s="51">
        <v>1.0999999999999999E-2</v>
      </c>
      <c r="AW59" s="51">
        <v>1.0799999999999999E-2</v>
      </c>
      <c r="AX59" s="51">
        <v>1.0599999999999998E-2</v>
      </c>
      <c r="AY59" s="51">
        <v>1.0399999999999998E-2</v>
      </c>
      <c r="AZ59" s="51">
        <v>1.0199999999999997E-2</v>
      </c>
      <c r="BA59" s="51">
        <v>9.9999999999999967E-3</v>
      </c>
      <c r="BB59" s="51">
        <v>9.7999999999999962E-3</v>
      </c>
      <c r="BC59" s="51">
        <v>9.5999999999999957E-3</v>
      </c>
      <c r="BD59" s="51">
        <v>9.3999999999999952E-3</v>
      </c>
      <c r="BE59" s="51">
        <v>9.1999999999999946E-3</v>
      </c>
      <c r="BF59" s="51">
        <v>8.9999999999999941E-3</v>
      </c>
      <c r="BG59" s="51">
        <v>8.7999999999999936E-3</v>
      </c>
      <c r="BH59" s="51">
        <v>8.5999999999999931E-3</v>
      </c>
      <c r="BI59" s="51">
        <v>8.3999999999999925E-3</v>
      </c>
      <c r="BJ59" s="51">
        <v>8.199999999999992E-3</v>
      </c>
      <c r="BK59" s="51">
        <v>7.9999999999999915E-3</v>
      </c>
      <c r="BL59" s="51">
        <v>7.7999999999999918E-3</v>
      </c>
      <c r="BM59" s="51">
        <v>7.5999999999999922E-3</v>
      </c>
      <c r="BN59" s="51">
        <v>7.3999999999999925E-3</v>
      </c>
      <c r="BO59" s="51">
        <v>7.1999999999999929E-3</v>
      </c>
      <c r="BP59" s="51">
        <v>7.0000000000000001E-3</v>
      </c>
    </row>
    <row r="60" spans="1:68" x14ac:dyDescent="0.3">
      <c r="A60" s="169" t="s">
        <v>426</v>
      </c>
      <c r="B60" s="62" t="s">
        <v>125</v>
      </c>
      <c r="C60" s="62" t="s">
        <v>126</v>
      </c>
      <c r="D60" s="48" t="s">
        <v>178</v>
      </c>
      <c r="E60" s="62" t="s">
        <v>179</v>
      </c>
      <c r="F60" s="62" t="s">
        <v>11</v>
      </c>
      <c r="G60" s="62" t="s">
        <v>11</v>
      </c>
      <c r="H60" s="62" t="s">
        <v>7</v>
      </c>
      <c r="I60" s="62" t="s">
        <v>64</v>
      </c>
      <c r="J60" s="62" t="s">
        <v>64</v>
      </c>
      <c r="K60" s="62" t="s">
        <v>64</v>
      </c>
      <c r="L60" s="62" t="s">
        <v>64</v>
      </c>
      <c r="M60" s="62" t="s">
        <v>64</v>
      </c>
      <c r="N60" s="62">
        <v>2023</v>
      </c>
      <c r="O60" s="62" t="s">
        <v>136</v>
      </c>
      <c r="P60" s="62" t="s">
        <v>136</v>
      </c>
      <c r="Q60" s="62">
        <f>(1-Q43)*0.9</f>
        <v>0.47790000000000005</v>
      </c>
      <c r="R60" s="62">
        <f t="shared" ref="R60:S60" si="30">(1-R43)*0.9</f>
        <v>0.47700000000000004</v>
      </c>
      <c r="S60" s="62">
        <f t="shared" si="30"/>
        <v>0.47610000000000002</v>
      </c>
      <c r="T60" s="64" t="s">
        <v>129</v>
      </c>
      <c r="U60" s="65">
        <v>0.99140000000000006</v>
      </c>
      <c r="V60" s="65">
        <v>0.9899</v>
      </c>
      <c r="W60" s="65">
        <v>0.9859</v>
      </c>
      <c r="X60" s="65">
        <v>0.97689999999999999</v>
      </c>
      <c r="Y60" s="65">
        <v>0.97389999999999999</v>
      </c>
      <c r="Z60" s="65">
        <v>0.97089999999999999</v>
      </c>
      <c r="AA60" s="65">
        <v>0.95211848739495797</v>
      </c>
      <c r="AB60" s="65">
        <v>0.93333697478991595</v>
      </c>
      <c r="AC60" s="65">
        <v>0.91475546218487391</v>
      </c>
      <c r="AD60" s="65">
        <v>0.89617394957983187</v>
      </c>
      <c r="AE60" s="65">
        <v>0.87759243697478995</v>
      </c>
      <c r="AF60" s="65">
        <v>0.85901092436974791</v>
      </c>
      <c r="AG60" s="65">
        <v>0.84042941176470587</v>
      </c>
      <c r="AH60" s="65">
        <v>0.81637647058823526</v>
      </c>
      <c r="AI60" s="65">
        <v>0.79232352941176465</v>
      </c>
      <c r="AJ60" s="65">
        <v>0.76827058823529415</v>
      </c>
      <c r="AK60" s="65">
        <v>0.74421764705882354</v>
      </c>
      <c r="AL60" s="65">
        <v>0.72016470588235304</v>
      </c>
      <c r="AM60" s="65">
        <v>0.6964117647058824</v>
      </c>
      <c r="AN60" s="65">
        <v>0.67265882352941175</v>
      </c>
      <c r="AO60" s="65">
        <v>0.64890588235294122</v>
      </c>
      <c r="AP60" s="65">
        <v>0.62515294117647058</v>
      </c>
      <c r="AQ60" s="65">
        <v>0.60140000000000016</v>
      </c>
      <c r="AR60" s="65">
        <v>0.58089999999999997</v>
      </c>
      <c r="AS60" s="65">
        <v>0.56040000000000001</v>
      </c>
      <c r="AT60" s="65">
        <v>0.53990000000000005</v>
      </c>
      <c r="AU60" s="65">
        <v>0.51940000000000008</v>
      </c>
      <c r="AV60" s="65">
        <v>0.49890000000000001</v>
      </c>
      <c r="AW60" s="65">
        <v>0.47789999999999999</v>
      </c>
      <c r="AX60" s="65">
        <v>0.45690000000000008</v>
      </c>
      <c r="AY60" s="65">
        <v>0.43590000000000012</v>
      </c>
      <c r="AZ60" s="65">
        <v>0.41490000000000005</v>
      </c>
      <c r="BA60" s="65">
        <v>0.39390000000000008</v>
      </c>
      <c r="BB60" s="65">
        <v>0.38085000000000002</v>
      </c>
      <c r="BC60" s="65">
        <v>0.36780000000000002</v>
      </c>
      <c r="BD60" s="65">
        <v>0.35475000000000012</v>
      </c>
      <c r="BE60" s="65">
        <v>0.34170000000000017</v>
      </c>
      <c r="BF60" s="65">
        <v>0.32865000000000011</v>
      </c>
      <c r="BG60" s="65">
        <v>0.3156000000000001</v>
      </c>
      <c r="BH60" s="65">
        <v>0.3025500000000001</v>
      </c>
      <c r="BI60" s="65">
        <v>0.28950000000000004</v>
      </c>
      <c r="BJ60" s="65">
        <v>0.27644999999999997</v>
      </c>
      <c r="BK60" s="65">
        <v>0.26339999999999997</v>
      </c>
      <c r="BL60" s="65">
        <v>0.25009999999999993</v>
      </c>
      <c r="BM60" s="65">
        <v>0.2362999999999999</v>
      </c>
      <c r="BN60" s="65">
        <v>0.22249999999999986</v>
      </c>
      <c r="BO60" s="65">
        <v>0.20869999999999983</v>
      </c>
      <c r="BP60" s="65">
        <v>0.1948999999999998</v>
      </c>
    </row>
    <row r="61" spans="1:68" x14ac:dyDescent="0.3">
      <c r="A61" s="169" t="s">
        <v>426</v>
      </c>
      <c r="B61" s="62" t="s">
        <v>125</v>
      </c>
      <c r="C61" s="62" t="s">
        <v>126</v>
      </c>
      <c r="D61" s="48" t="s">
        <v>180</v>
      </c>
      <c r="E61" s="62" t="s">
        <v>181</v>
      </c>
      <c r="F61" s="62" t="s">
        <v>11</v>
      </c>
      <c r="G61" s="62" t="s">
        <v>11</v>
      </c>
      <c r="H61" s="62" t="s">
        <v>7</v>
      </c>
      <c r="I61" s="62" t="s">
        <v>64</v>
      </c>
      <c r="J61" s="62" t="s">
        <v>64</v>
      </c>
      <c r="K61" s="62" t="s">
        <v>64</v>
      </c>
      <c r="L61" s="62" t="s">
        <v>64</v>
      </c>
      <c r="M61" s="62" t="s">
        <v>64</v>
      </c>
      <c r="N61" s="62">
        <v>2023</v>
      </c>
      <c r="O61" s="62" t="s">
        <v>136</v>
      </c>
      <c r="P61" s="62" t="s">
        <v>136</v>
      </c>
      <c r="Q61" s="62">
        <f>(1-Q45)*0.9*0.27</f>
        <v>0.137295</v>
      </c>
      <c r="R61" s="62">
        <f t="shared" ref="R61:S61" si="31">(1-R45)*0.9*0.27</f>
        <v>0.13705200000000003</v>
      </c>
      <c r="S61" s="62">
        <f t="shared" si="31"/>
        <v>0.13680899999999999</v>
      </c>
      <c r="T61" s="64" t="s">
        <v>129</v>
      </c>
      <c r="U61" s="51">
        <v>0.26816666666666666</v>
      </c>
      <c r="V61" s="51">
        <v>0.26633333333333331</v>
      </c>
      <c r="W61" s="51">
        <v>0.26449999999999996</v>
      </c>
      <c r="X61" s="51">
        <v>0.2626666666666666</v>
      </c>
      <c r="Y61" s="51">
        <v>0.26083333333333325</v>
      </c>
      <c r="Z61" s="51">
        <v>0.25900000000000001</v>
      </c>
      <c r="AA61" s="51">
        <v>0.25600000000000001</v>
      </c>
      <c r="AB61" s="51">
        <v>0.253</v>
      </c>
      <c r="AC61" s="51">
        <v>0.2447</v>
      </c>
      <c r="AD61" s="51">
        <v>0.2364</v>
      </c>
      <c r="AE61" s="51">
        <v>0.2281</v>
      </c>
      <c r="AF61" s="51">
        <v>0.2198</v>
      </c>
      <c r="AG61" s="51">
        <v>0.21149999999999999</v>
      </c>
      <c r="AH61" s="51">
        <v>0.20319999999999999</v>
      </c>
      <c r="AI61" s="51">
        <v>0.19489999999999999</v>
      </c>
      <c r="AJ61" s="51">
        <v>0.18659999999999999</v>
      </c>
      <c r="AK61" s="51">
        <v>0.17829999999999999</v>
      </c>
      <c r="AL61" s="51">
        <v>0.17</v>
      </c>
      <c r="AM61" s="51">
        <v>0.16240000000000002</v>
      </c>
      <c r="AN61" s="51">
        <v>0.15480000000000002</v>
      </c>
      <c r="AO61" s="51">
        <v>0.14720000000000003</v>
      </c>
      <c r="AP61" s="51">
        <v>0.13960000000000003</v>
      </c>
      <c r="AQ61" s="51">
        <v>0.13200000000000003</v>
      </c>
      <c r="AR61" s="51">
        <v>0.12440000000000004</v>
      </c>
      <c r="AS61" s="51">
        <v>0.11680000000000004</v>
      </c>
      <c r="AT61" s="51">
        <v>0.10920000000000005</v>
      </c>
      <c r="AU61" s="51">
        <v>0.10160000000000005</v>
      </c>
      <c r="AV61" s="51">
        <v>9.4E-2</v>
      </c>
      <c r="AW61" s="51">
        <v>9.11E-2</v>
      </c>
      <c r="AX61" s="51">
        <v>8.8200000000000001E-2</v>
      </c>
      <c r="AY61" s="51">
        <v>8.5300000000000001E-2</v>
      </c>
      <c r="AZ61" s="51">
        <v>8.2400000000000001E-2</v>
      </c>
      <c r="BA61" s="51">
        <v>7.9500000000000001E-2</v>
      </c>
      <c r="BB61" s="51">
        <v>7.6600000000000001E-2</v>
      </c>
      <c r="BC61" s="51">
        <v>7.3700000000000002E-2</v>
      </c>
      <c r="BD61" s="51">
        <v>7.0800000000000002E-2</v>
      </c>
      <c r="BE61" s="51">
        <v>6.7900000000000002E-2</v>
      </c>
      <c r="BF61" s="51">
        <v>6.5000000000000002E-2</v>
      </c>
      <c r="BG61" s="51">
        <v>6.2100000000000002E-2</v>
      </c>
      <c r="BH61" s="51">
        <v>5.9200000000000003E-2</v>
      </c>
      <c r="BI61" s="51">
        <v>5.6300000000000003E-2</v>
      </c>
      <c r="BJ61" s="51">
        <v>5.3400000000000003E-2</v>
      </c>
      <c r="BK61" s="51">
        <v>5.0500000000000003E-2</v>
      </c>
      <c r="BL61" s="51">
        <v>4.7600000000000003E-2</v>
      </c>
      <c r="BM61" s="51">
        <v>4.4700000000000004E-2</v>
      </c>
      <c r="BN61" s="51">
        <v>4.1800000000000004E-2</v>
      </c>
      <c r="BO61" s="51">
        <v>3.8900000000000004E-2</v>
      </c>
      <c r="BP61" s="51">
        <v>3.5999999999999997E-2</v>
      </c>
    </row>
    <row r="62" spans="1:68" x14ac:dyDescent="0.3">
      <c r="A62" s="169" t="s">
        <v>426</v>
      </c>
      <c r="B62" s="62" t="s">
        <v>125</v>
      </c>
      <c r="C62" s="62" t="s">
        <v>126</v>
      </c>
      <c r="D62" s="48" t="s">
        <v>182</v>
      </c>
      <c r="E62" s="63" t="s">
        <v>183</v>
      </c>
      <c r="F62" s="62" t="s">
        <v>11</v>
      </c>
      <c r="G62" s="62" t="s">
        <v>11</v>
      </c>
      <c r="H62" s="62" t="s">
        <v>7</v>
      </c>
      <c r="I62" s="62" t="s">
        <v>64</v>
      </c>
      <c r="J62" s="62" t="s">
        <v>64</v>
      </c>
      <c r="K62" s="62" t="s">
        <v>64</v>
      </c>
      <c r="L62" s="62" t="s">
        <v>64</v>
      </c>
      <c r="M62" s="62" t="s">
        <v>64</v>
      </c>
      <c r="N62" s="62">
        <v>2023</v>
      </c>
      <c r="O62" s="62" t="s">
        <v>136</v>
      </c>
      <c r="P62" s="62">
        <v>0</v>
      </c>
      <c r="Q62" s="62">
        <v>0</v>
      </c>
      <c r="R62" s="62">
        <v>0</v>
      </c>
      <c r="S62" s="62">
        <v>0</v>
      </c>
      <c r="T62" s="64" t="s">
        <v>129</v>
      </c>
      <c r="U62" s="51">
        <v>0.01</v>
      </c>
      <c r="V62" s="51">
        <v>1.4999999999999999E-2</v>
      </c>
      <c r="W62" s="51">
        <v>1.7999999999999999E-2</v>
      </c>
      <c r="X62" s="51">
        <v>2.1999999999999999E-2</v>
      </c>
      <c r="Y62" s="51">
        <v>2.5000000000000001E-2</v>
      </c>
      <c r="Z62" s="51">
        <v>2.7E-2</v>
      </c>
      <c r="AA62" s="51">
        <v>2.8000000000000001E-2</v>
      </c>
      <c r="AB62" s="51">
        <v>3.3000000000000002E-2</v>
      </c>
      <c r="AC62" s="51">
        <v>3.7999999999999999E-2</v>
      </c>
      <c r="AD62" s="51">
        <v>4.2999999999999997E-2</v>
      </c>
      <c r="AE62" s="51">
        <v>4.7999999999999994E-2</v>
      </c>
      <c r="AF62" s="51">
        <v>5.2999999999999992E-2</v>
      </c>
      <c r="AG62" s="51">
        <v>5.8000000000000003E-2</v>
      </c>
      <c r="AH62" s="51">
        <v>6.9800000000000001E-2</v>
      </c>
      <c r="AI62" s="51">
        <v>8.1600000000000006E-2</v>
      </c>
      <c r="AJ62" s="51">
        <v>9.3400000000000011E-2</v>
      </c>
      <c r="AK62" s="51">
        <v>0.10520000000000002</v>
      </c>
      <c r="AL62" s="51">
        <v>0.11700000000000002</v>
      </c>
      <c r="AM62" s="51">
        <v>0.12880000000000003</v>
      </c>
      <c r="AN62" s="51">
        <v>0.14060000000000003</v>
      </c>
      <c r="AO62" s="51">
        <v>0.15240000000000004</v>
      </c>
      <c r="AP62" s="51">
        <v>0.16420000000000004</v>
      </c>
      <c r="AQ62" s="51">
        <v>0.17599999999999999</v>
      </c>
      <c r="AR62" s="51">
        <v>0.17749999999999999</v>
      </c>
      <c r="AS62" s="51">
        <v>0.17899999999999999</v>
      </c>
      <c r="AT62" s="51">
        <v>0.18049999999999999</v>
      </c>
      <c r="AU62" s="51">
        <v>0.182</v>
      </c>
      <c r="AV62" s="51">
        <v>0.1835</v>
      </c>
      <c r="AW62" s="51">
        <v>0.185</v>
      </c>
      <c r="AX62" s="51">
        <v>0.1865</v>
      </c>
      <c r="AY62" s="51">
        <v>0.188</v>
      </c>
      <c r="AZ62" s="51">
        <v>0.1895</v>
      </c>
      <c r="BA62" s="51">
        <v>0.191</v>
      </c>
      <c r="BB62" s="51">
        <v>0.19009999999999999</v>
      </c>
      <c r="BC62" s="51">
        <v>0.18919999999999998</v>
      </c>
      <c r="BD62" s="51">
        <v>0.18829999999999997</v>
      </c>
      <c r="BE62" s="51">
        <v>0.18739999999999996</v>
      </c>
      <c r="BF62" s="51">
        <v>0.18649999999999994</v>
      </c>
      <c r="BG62" s="51">
        <v>0.18559999999999993</v>
      </c>
      <c r="BH62" s="51">
        <v>0.18469999999999992</v>
      </c>
      <c r="BI62" s="51">
        <v>0.18379999999999991</v>
      </c>
      <c r="BJ62" s="51">
        <v>0.1828999999999999</v>
      </c>
      <c r="BK62" s="51">
        <v>0.18199999999999988</v>
      </c>
      <c r="BL62" s="51">
        <v>0.18109999999999987</v>
      </c>
      <c r="BM62" s="51">
        <v>0.18019999999999986</v>
      </c>
      <c r="BN62" s="51">
        <v>0.17929999999999985</v>
      </c>
      <c r="BO62" s="51">
        <v>0.17839999999999984</v>
      </c>
      <c r="BP62" s="51">
        <v>0.17749999999999982</v>
      </c>
    </row>
    <row r="63" spans="1:68" x14ac:dyDescent="0.3">
      <c r="A63" s="169" t="s">
        <v>426</v>
      </c>
      <c r="B63" s="62" t="s">
        <v>125</v>
      </c>
      <c r="C63" s="62" t="s">
        <v>126</v>
      </c>
      <c r="D63" s="48" t="s">
        <v>184</v>
      </c>
      <c r="E63" s="62" t="s">
        <v>185</v>
      </c>
      <c r="F63" s="62" t="s">
        <v>11</v>
      </c>
      <c r="G63" s="62" t="s">
        <v>11</v>
      </c>
      <c r="H63" s="62" t="s">
        <v>7</v>
      </c>
      <c r="I63" s="62" t="s">
        <v>64</v>
      </c>
      <c r="J63" s="62" t="s">
        <v>64</v>
      </c>
      <c r="K63" s="62" t="s">
        <v>64</v>
      </c>
      <c r="L63" s="62" t="s">
        <v>64</v>
      </c>
      <c r="M63" s="62" t="s">
        <v>64</v>
      </c>
      <c r="N63" s="62">
        <v>2023</v>
      </c>
      <c r="O63" s="62" t="s">
        <v>136</v>
      </c>
      <c r="P63" s="62">
        <v>0</v>
      </c>
      <c r="Q63" s="62">
        <v>0</v>
      </c>
      <c r="R63" s="62">
        <v>0</v>
      </c>
      <c r="S63" s="62">
        <v>0</v>
      </c>
      <c r="T63" s="64" t="s">
        <v>129</v>
      </c>
      <c r="U63" s="51">
        <v>7.0000000000000001E-3</v>
      </c>
      <c r="V63" s="51">
        <v>7.0000000000000001E-3</v>
      </c>
      <c r="W63" s="51">
        <v>7.0000000000000001E-3</v>
      </c>
      <c r="X63" s="51">
        <v>7.0000000000000001E-3</v>
      </c>
      <c r="Y63" s="51">
        <v>7.0000000000000001E-3</v>
      </c>
      <c r="Z63" s="51">
        <v>7.0000000000000001E-3</v>
      </c>
      <c r="AA63" s="51">
        <v>7.0000000000000001E-3</v>
      </c>
      <c r="AB63" s="51">
        <v>7.0000000000000001E-3</v>
      </c>
      <c r="AC63" s="51">
        <v>6.8000000000000005E-3</v>
      </c>
      <c r="AD63" s="51">
        <v>6.6000000000000008E-3</v>
      </c>
      <c r="AE63" s="51">
        <v>6.4000000000000012E-3</v>
      </c>
      <c r="AF63" s="51">
        <v>6.2000000000000015E-3</v>
      </c>
      <c r="AG63" s="51">
        <v>6.0000000000000019E-3</v>
      </c>
      <c r="AH63" s="51">
        <v>5.8000000000000022E-3</v>
      </c>
      <c r="AI63" s="51">
        <v>5.6000000000000025E-3</v>
      </c>
      <c r="AJ63" s="51">
        <v>5.4000000000000029E-3</v>
      </c>
      <c r="AK63" s="51">
        <v>5.2000000000000032E-3</v>
      </c>
      <c r="AL63" s="51">
        <v>5.0000000000000001E-3</v>
      </c>
      <c r="AM63" s="51">
        <v>4.5000000000000005E-3</v>
      </c>
      <c r="AN63" s="51">
        <v>4.0000000000000001E-3</v>
      </c>
      <c r="AO63" s="51">
        <v>3.5000000000000001E-3</v>
      </c>
      <c r="AP63" s="51">
        <v>3.0000000000000001E-3</v>
      </c>
      <c r="AQ63" s="51">
        <v>2.5000000000000001E-3</v>
      </c>
      <c r="AR63" s="51">
        <v>2E-3</v>
      </c>
      <c r="AS63" s="51">
        <v>1.5E-3</v>
      </c>
      <c r="AT63" s="51">
        <v>1E-3</v>
      </c>
      <c r="AU63" s="51">
        <v>5.0000000000000001E-4</v>
      </c>
      <c r="AV63" s="51">
        <v>0</v>
      </c>
      <c r="AW63" s="51">
        <v>0</v>
      </c>
      <c r="AX63" s="51">
        <v>0</v>
      </c>
      <c r="AY63" s="51">
        <v>0</v>
      </c>
      <c r="AZ63" s="51">
        <v>0</v>
      </c>
      <c r="BA63" s="51">
        <v>0</v>
      </c>
      <c r="BB63" s="51">
        <v>0</v>
      </c>
      <c r="BC63" s="51">
        <v>0</v>
      </c>
      <c r="BD63" s="51">
        <v>0</v>
      </c>
      <c r="BE63" s="51">
        <v>0</v>
      </c>
      <c r="BF63" s="51">
        <v>0</v>
      </c>
      <c r="BG63" s="51">
        <v>0</v>
      </c>
      <c r="BH63" s="51">
        <v>0</v>
      </c>
      <c r="BI63" s="51">
        <v>0</v>
      </c>
      <c r="BJ63" s="51">
        <v>0</v>
      </c>
      <c r="BK63" s="51">
        <v>0</v>
      </c>
      <c r="BL63" s="51">
        <v>0</v>
      </c>
      <c r="BM63" s="51">
        <v>0</v>
      </c>
      <c r="BN63" s="51">
        <v>0</v>
      </c>
      <c r="BO63" s="51">
        <v>0</v>
      </c>
      <c r="BP63" s="51">
        <v>0</v>
      </c>
    </row>
    <row r="64" spans="1:68" x14ac:dyDescent="0.3">
      <c r="A64" s="169" t="s">
        <v>426</v>
      </c>
      <c r="B64" s="62" t="s">
        <v>125</v>
      </c>
      <c r="C64" s="62" t="s">
        <v>130</v>
      </c>
      <c r="D64" s="48" t="s">
        <v>186</v>
      </c>
      <c r="E64" s="62" t="s">
        <v>187</v>
      </c>
      <c r="F64" s="62" t="s">
        <v>11</v>
      </c>
      <c r="G64" s="62" t="s">
        <v>11</v>
      </c>
      <c r="H64" s="62" t="s">
        <v>7</v>
      </c>
      <c r="I64" s="62" t="s">
        <v>64</v>
      </c>
      <c r="J64" s="62" t="s">
        <v>64</v>
      </c>
      <c r="K64" s="62" t="s">
        <v>64</v>
      </c>
      <c r="L64" s="62" t="s">
        <v>64</v>
      </c>
      <c r="M64" s="62" t="s">
        <v>64</v>
      </c>
      <c r="N64" s="62">
        <v>2023</v>
      </c>
      <c r="O64" s="62">
        <f>(1-SUM(O46:O47))*0.95</f>
        <v>0.88255000000000006</v>
      </c>
      <c r="P64" s="62">
        <f t="shared" ref="P64:S64" si="32">(1-SUM(P46:P47))*0.95</f>
        <v>0.86260000000000003</v>
      </c>
      <c r="Q64" s="62">
        <f t="shared" si="32"/>
        <v>0.7923</v>
      </c>
      <c r="R64" s="62">
        <f t="shared" si="32"/>
        <v>0.79039999999999999</v>
      </c>
      <c r="S64" s="62">
        <f t="shared" si="32"/>
        <v>0.78849999999999998</v>
      </c>
      <c r="T64" s="64" t="s">
        <v>129</v>
      </c>
      <c r="U64" s="51">
        <v>0.99990000000000001</v>
      </c>
      <c r="V64" s="51">
        <v>0.99990000000000001</v>
      </c>
      <c r="W64" s="51">
        <v>0.99990000000000001</v>
      </c>
      <c r="X64" s="51">
        <v>0.99990000000000001</v>
      </c>
      <c r="Y64" s="51">
        <v>0.99990000000000001</v>
      </c>
      <c r="Z64" s="51">
        <v>0.99990000000000001</v>
      </c>
      <c r="AA64" s="51">
        <v>0.99990000000000001</v>
      </c>
      <c r="AB64" s="51">
        <v>0.99990000000000001</v>
      </c>
      <c r="AC64" s="51">
        <v>0.99990000000000001</v>
      </c>
      <c r="AD64" s="51">
        <v>0.99990000000000001</v>
      </c>
      <c r="AE64" s="51">
        <v>0.99990000000000001</v>
      </c>
      <c r="AF64" s="51">
        <v>0.99990000000000001</v>
      </c>
      <c r="AG64" s="51">
        <v>0.99980000000000002</v>
      </c>
      <c r="AH64" s="51">
        <v>0.99870000000000003</v>
      </c>
      <c r="AI64" s="51">
        <v>0.99800000000000011</v>
      </c>
      <c r="AJ64" s="51">
        <v>0.99729999999999996</v>
      </c>
      <c r="AK64" s="51">
        <v>0.99573333333333336</v>
      </c>
      <c r="AL64" s="51">
        <v>0.99356666666666671</v>
      </c>
      <c r="AM64" s="51">
        <v>0.99119999999999997</v>
      </c>
      <c r="AN64" s="51">
        <v>0.98583333333333334</v>
      </c>
      <c r="AO64" s="51">
        <v>0.98046666666666671</v>
      </c>
      <c r="AP64" s="51">
        <v>0.97509999999999997</v>
      </c>
      <c r="AQ64" s="51">
        <v>0.96240000000000003</v>
      </c>
      <c r="AR64" s="51">
        <v>0.94969999999999999</v>
      </c>
      <c r="AS64" s="51">
        <v>0.93699999999999994</v>
      </c>
      <c r="AT64" s="51">
        <v>0.92430000000000001</v>
      </c>
      <c r="AU64" s="51">
        <v>0.91159999999999997</v>
      </c>
      <c r="AV64" s="51">
        <v>0.89889999999999992</v>
      </c>
      <c r="AW64" s="51">
        <v>0.88690000000000002</v>
      </c>
      <c r="AX64" s="51">
        <v>0.8748999999999999</v>
      </c>
      <c r="AY64" s="51">
        <v>0.8629</v>
      </c>
      <c r="AZ64" s="51">
        <v>0.85089999999999999</v>
      </c>
      <c r="BA64" s="51">
        <v>0.83555000000000001</v>
      </c>
      <c r="BB64" s="51">
        <v>0.82019999999999993</v>
      </c>
      <c r="BC64" s="51">
        <v>0.80484999999999995</v>
      </c>
      <c r="BD64" s="51">
        <v>0.78949999999999998</v>
      </c>
      <c r="BE64" s="51">
        <v>0.77414999999999989</v>
      </c>
      <c r="BF64" s="51">
        <v>0.75879999999999992</v>
      </c>
      <c r="BG64" s="51">
        <v>0.74235000000000007</v>
      </c>
      <c r="BH64" s="51">
        <v>0.72589999999999999</v>
      </c>
      <c r="BI64" s="51">
        <v>0.70945000000000014</v>
      </c>
      <c r="BJ64" s="51">
        <v>0.69300000000000006</v>
      </c>
      <c r="BK64" s="51">
        <v>0.66763750000000011</v>
      </c>
      <c r="BL64" s="51">
        <v>0.64227500000000015</v>
      </c>
      <c r="BM64" s="51">
        <v>0.6169125000000002</v>
      </c>
      <c r="BN64" s="51">
        <v>0.59155000000000024</v>
      </c>
      <c r="BO64" s="51">
        <v>0.56618750000000029</v>
      </c>
      <c r="BP64" s="51">
        <v>0.54082500000000033</v>
      </c>
    </row>
    <row r="65" spans="1:68" x14ac:dyDescent="0.3">
      <c r="A65" s="169" t="s">
        <v>426</v>
      </c>
      <c r="B65" s="62" t="s">
        <v>125</v>
      </c>
      <c r="C65" s="62" t="s">
        <v>155</v>
      </c>
      <c r="D65" s="48" t="s">
        <v>188</v>
      </c>
      <c r="E65" s="62" t="s">
        <v>189</v>
      </c>
      <c r="F65" s="62" t="s">
        <v>11</v>
      </c>
      <c r="G65" s="62" t="s">
        <v>11</v>
      </c>
      <c r="H65" s="62" t="s">
        <v>7</v>
      </c>
      <c r="I65" s="62" t="s">
        <v>64</v>
      </c>
      <c r="J65" s="62" t="s">
        <v>64</v>
      </c>
      <c r="K65" s="62" t="s">
        <v>64</v>
      </c>
      <c r="L65" s="62" t="s">
        <v>64</v>
      </c>
      <c r="M65" s="62" t="s">
        <v>64</v>
      </c>
      <c r="N65" s="62">
        <v>2023</v>
      </c>
      <c r="O65" s="62">
        <f>(1-O49)*0.95*0.34</f>
        <v>0.31331000000000003</v>
      </c>
      <c r="P65" s="62">
        <f t="shared" ref="P65:S65" si="33">(1-P49)*0.95*0.34</f>
        <v>0.29070000000000001</v>
      </c>
      <c r="Q65" s="62">
        <f t="shared" si="33"/>
        <v>0.1938</v>
      </c>
      <c r="R65" s="62">
        <f t="shared" si="33"/>
        <v>0.19347699999999998</v>
      </c>
      <c r="S65" s="62">
        <f t="shared" si="33"/>
        <v>0.19315399999999999</v>
      </c>
      <c r="T65" s="64" t="s">
        <v>129</v>
      </c>
      <c r="U65" s="51">
        <v>0.33336326530612242</v>
      </c>
      <c r="V65" s="51">
        <v>0.33332653061224488</v>
      </c>
      <c r="W65" s="51">
        <v>0.33328979591836733</v>
      </c>
      <c r="X65" s="51">
        <v>0.33325306122448978</v>
      </c>
      <c r="Y65" s="51">
        <v>0.33321632653061223</v>
      </c>
      <c r="Z65" s="51">
        <v>0.33317959183673468</v>
      </c>
      <c r="AA65" s="51">
        <v>0.33314285714285718</v>
      </c>
      <c r="AB65" s="51">
        <v>0.33228571428571435</v>
      </c>
      <c r="AC65" s="51">
        <v>0.33142857142857152</v>
      </c>
      <c r="AD65" s="51">
        <v>0.33057142857142868</v>
      </c>
      <c r="AE65" s="51">
        <v>0.32971428571428585</v>
      </c>
      <c r="AF65" s="51">
        <v>0.32885714285714301</v>
      </c>
      <c r="AG65" s="51">
        <v>0.32800000000000001</v>
      </c>
      <c r="AH65" s="51">
        <v>0.3251</v>
      </c>
      <c r="AI65" s="51">
        <v>0.32219999999999999</v>
      </c>
      <c r="AJ65" s="51">
        <v>0.31929999999999997</v>
      </c>
      <c r="AK65" s="51">
        <v>0.31639999999999996</v>
      </c>
      <c r="AL65" s="51">
        <v>0.31349999999999995</v>
      </c>
      <c r="AM65" s="51">
        <v>0.31059999999999993</v>
      </c>
      <c r="AN65" s="51">
        <v>0.30769999999999992</v>
      </c>
      <c r="AO65" s="51">
        <v>0.3047999999999999</v>
      </c>
      <c r="AP65" s="51">
        <v>0.30189999999999989</v>
      </c>
      <c r="AQ65" s="51">
        <v>0.29899999999999999</v>
      </c>
      <c r="AR65" s="51">
        <v>0.2848</v>
      </c>
      <c r="AS65" s="51">
        <v>0.27060000000000001</v>
      </c>
      <c r="AT65" s="51">
        <v>0.25640000000000002</v>
      </c>
      <c r="AU65" s="51">
        <v>0.24220000000000003</v>
      </c>
      <c r="AV65" s="51">
        <v>0.22800000000000004</v>
      </c>
      <c r="AW65" s="51">
        <v>0.21380000000000005</v>
      </c>
      <c r="AX65" s="51">
        <v>0.19960000000000006</v>
      </c>
      <c r="AY65" s="51">
        <v>0.18540000000000006</v>
      </c>
      <c r="AZ65" s="51">
        <v>0.17120000000000007</v>
      </c>
      <c r="BA65" s="51">
        <v>0.157</v>
      </c>
      <c r="BB65" s="51">
        <v>0.15195</v>
      </c>
      <c r="BC65" s="51">
        <v>0.1469</v>
      </c>
      <c r="BD65" s="51">
        <v>0.14185</v>
      </c>
      <c r="BE65" s="51">
        <v>0.1368</v>
      </c>
      <c r="BF65" s="51">
        <v>0.13175000000000001</v>
      </c>
      <c r="BG65" s="51">
        <v>0.12670000000000001</v>
      </c>
      <c r="BH65" s="51">
        <v>0.12165000000000001</v>
      </c>
      <c r="BI65" s="51">
        <v>0.11660000000000001</v>
      </c>
      <c r="BJ65" s="51">
        <v>0.11155000000000001</v>
      </c>
      <c r="BK65" s="51">
        <v>0.10650000000000001</v>
      </c>
      <c r="BL65" s="51">
        <v>0.10145000000000001</v>
      </c>
      <c r="BM65" s="51">
        <v>9.6400000000000013E-2</v>
      </c>
      <c r="BN65" s="51">
        <v>9.1350000000000015E-2</v>
      </c>
      <c r="BO65" s="51">
        <v>8.6300000000000016E-2</v>
      </c>
      <c r="BP65" s="51">
        <v>8.1250000000000017E-2</v>
      </c>
    </row>
    <row r="66" spans="1:68" x14ac:dyDescent="0.3">
      <c r="A66" s="169" t="s">
        <v>426</v>
      </c>
      <c r="B66" s="62" t="s">
        <v>125</v>
      </c>
      <c r="C66" s="62" t="s">
        <v>155</v>
      </c>
      <c r="D66" s="48" t="s">
        <v>190</v>
      </c>
      <c r="E66" s="62" t="s">
        <v>191</v>
      </c>
      <c r="F66" s="62" t="s">
        <v>11</v>
      </c>
      <c r="G66" s="62" t="s">
        <v>11</v>
      </c>
      <c r="H66" s="62" t="s">
        <v>7</v>
      </c>
      <c r="I66" s="62" t="s">
        <v>64</v>
      </c>
      <c r="J66" s="62" t="s">
        <v>64</v>
      </c>
      <c r="K66" s="62" t="s">
        <v>64</v>
      </c>
      <c r="L66" s="62" t="s">
        <v>64</v>
      </c>
      <c r="M66" s="62" t="s">
        <v>64</v>
      </c>
      <c r="N66" s="62">
        <v>2023</v>
      </c>
      <c r="O66" s="62">
        <f>(1-O49)*0.95*0.66</f>
        <v>0.60819000000000001</v>
      </c>
      <c r="P66" s="62">
        <f t="shared" ref="P66:S66" si="34">(1-P49)*0.95*0.66</f>
        <v>0.56430000000000002</v>
      </c>
      <c r="Q66" s="62">
        <f t="shared" si="34"/>
        <v>0.37619999999999998</v>
      </c>
      <c r="R66" s="62">
        <f t="shared" si="34"/>
        <v>0.37557299999999999</v>
      </c>
      <c r="S66" s="62">
        <f t="shared" si="34"/>
        <v>0.374946</v>
      </c>
      <c r="T66" s="64" t="s">
        <v>129</v>
      </c>
      <c r="U66" s="51">
        <v>0.66106734693877545</v>
      </c>
      <c r="V66" s="51">
        <v>0.66063469387755114</v>
      </c>
      <c r="W66" s="51">
        <v>0.6602020408163265</v>
      </c>
      <c r="X66" s="51">
        <v>0.65976938775510208</v>
      </c>
      <c r="Y66" s="51">
        <v>0.65933673469387755</v>
      </c>
      <c r="Z66" s="51">
        <v>0.65890408163265313</v>
      </c>
      <c r="AA66" s="51">
        <v>0.6584714285714286</v>
      </c>
      <c r="AB66" s="51">
        <v>0.65604285714285715</v>
      </c>
      <c r="AC66" s="51">
        <v>0.65361428571428559</v>
      </c>
      <c r="AD66" s="51">
        <v>0.65118571428571415</v>
      </c>
      <c r="AE66" s="51">
        <v>0.6487571428571427</v>
      </c>
      <c r="AF66" s="51">
        <v>0.64632857142857136</v>
      </c>
      <c r="AG66" s="51">
        <v>0.64389999999999992</v>
      </c>
      <c r="AH66" s="51">
        <v>0.63750000000000007</v>
      </c>
      <c r="AI66" s="51">
        <v>0.63109999999999999</v>
      </c>
      <c r="AJ66" s="51">
        <v>0.62470000000000003</v>
      </c>
      <c r="AK66" s="51">
        <v>0.61829999999999996</v>
      </c>
      <c r="AL66" s="51">
        <v>0.61190000000000011</v>
      </c>
      <c r="AM66" s="51">
        <v>0.60550000000000004</v>
      </c>
      <c r="AN66" s="51">
        <v>0.59910000000000019</v>
      </c>
      <c r="AO66" s="51">
        <v>0.5927</v>
      </c>
      <c r="AP66" s="51">
        <v>0.58630000000000015</v>
      </c>
      <c r="AQ66" s="51">
        <v>0.57990000000000008</v>
      </c>
      <c r="AR66" s="51">
        <v>0.5525000000000001</v>
      </c>
      <c r="AS66" s="51">
        <v>0.52510000000000012</v>
      </c>
      <c r="AT66" s="51">
        <v>0.49770000000000003</v>
      </c>
      <c r="AU66" s="51">
        <v>0.47030000000000005</v>
      </c>
      <c r="AV66" s="51">
        <v>0.44290000000000002</v>
      </c>
      <c r="AW66" s="51">
        <v>0.41549999999999998</v>
      </c>
      <c r="AX66" s="51">
        <v>0.38809999999999995</v>
      </c>
      <c r="AY66" s="51">
        <v>0.36069999999999991</v>
      </c>
      <c r="AZ66" s="51">
        <v>0.33329999999999987</v>
      </c>
      <c r="BA66" s="51">
        <v>0.30589999999999995</v>
      </c>
      <c r="BB66" s="51">
        <v>0.29614999999999991</v>
      </c>
      <c r="BC66" s="51">
        <v>0.28639999999999988</v>
      </c>
      <c r="BD66" s="51">
        <v>0.27664999999999984</v>
      </c>
      <c r="BE66" s="51">
        <v>0.2668999999999998</v>
      </c>
      <c r="BF66" s="51">
        <v>0.25714999999999977</v>
      </c>
      <c r="BG66" s="51">
        <v>0.24739999999999973</v>
      </c>
      <c r="BH66" s="51">
        <v>0.23764999999999969</v>
      </c>
      <c r="BI66" s="51">
        <v>0.22789999999999966</v>
      </c>
      <c r="BJ66" s="51">
        <v>0.21814999999999962</v>
      </c>
      <c r="BK66" s="51">
        <v>0.20839999999999959</v>
      </c>
      <c r="BL66" s="51">
        <v>0.19864999999999955</v>
      </c>
      <c r="BM66" s="51">
        <v>0.18889999999999951</v>
      </c>
      <c r="BN66" s="51">
        <v>0.17914999999999948</v>
      </c>
      <c r="BO66" s="51">
        <v>0.16939999999999944</v>
      </c>
      <c r="BP66" s="51">
        <v>0.1596499999999994</v>
      </c>
    </row>
    <row r="67" spans="1:68" x14ac:dyDescent="0.3">
      <c r="A67" s="169" t="s">
        <v>426</v>
      </c>
      <c r="B67" s="62" t="s">
        <v>125</v>
      </c>
      <c r="C67" s="62" t="s">
        <v>60</v>
      </c>
      <c r="D67" s="48" t="s">
        <v>192</v>
      </c>
      <c r="E67" s="66" t="s">
        <v>193</v>
      </c>
      <c r="F67" s="62" t="s">
        <v>11</v>
      </c>
      <c r="G67" s="62" t="s">
        <v>11</v>
      </c>
      <c r="H67" s="62" t="s">
        <v>7</v>
      </c>
      <c r="I67" s="62" t="s">
        <v>64</v>
      </c>
      <c r="J67" s="62" t="s">
        <v>64</v>
      </c>
      <c r="K67" s="62" t="s">
        <v>64</v>
      </c>
      <c r="L67" s="62" t="s">
        <v>64</v>
      </c>
      <c r="M67" s="62" t="s">
        <v>64</v>
      </c>
      <c r="N67" s="62">
        <v>2023</v>
      </c>
      <c r="O67" s="62" t="s">
        <v>136</v>
      </c>
      <c r="P67" s="62">
        <v>0</v>
      </c>
      <c r="Q67" s="62">
        <v>0</v>
      </c>
      <c r="R67" s="62">
        <v>0</v>
      </c>
      <c r="S67" s="62">
        <v>0</v>
      </c>
      <c r="T67" s="64" t="s">
        <v>129</v>
      </c>
      <c r="U67" s="51">
        <v>1E-3</v>
      </c>
      <c r="V67" s="51">
        <v>2E-3</v>
      </c>
      <c r="W67" s="51">
        <v>3.0000000000000001E-3</v>
      </c>
      <c r="X67" s="51">
        <v>3.5000000000000001E-3</v>
      </c>
      <c r="Y67" s="51">
        <v>4.1999999999999997E-3</v>
      </c>
      <c r="Z67" s="51">
        <v>5.0000000000000001E-3</v>
      </c>
      <c r="AA67" s="51">
        <v>1.3142857142857144E-2</v>
      </c>
      <c r="AB67" s="51">
        <v>2.1285714285714286E-2</v>
      </c>
      <c r="AC67" s="51">
        <v>2.9428571428571429E-2</v>
      </c>
      <c r="AD67" s="51">
        <v>3.7571428571428575E-2</v>
      </c>
      <c r="AE67" s="51">
        <v>4.5714285714285721E-2</v>
      </c>
      <c r="AF67" s="51">
        <v>5.3857142857142867E-2</v>
      </c>
      <c r="AG67" s="51">
        <v>6.2E-2</v>
      </c>
      <c r="AH67" s="51">
        <v>7.9000000000000001E-2</v>
      </c>
      <c r="AI67" s="51">
        <v>9.6000000000000002E-2</v>
      </c>
      <c r="AJ67" s="51">
        <v>0.113</v>
      </c>
      <c r="AK67" s="51">
        <v>0.13</v>
      </c>
      <c r="AL67" s="51">
        <v>0.14700000000000002</v>
      </c>
      <c r="AM67" s="51">
        <v>0.16400000000000003</v>
      </c>
      <c r="AN67" s="51">
        <v>0.18100000000000005</v>
      </c>
      <c r="AO67" s="51">
        <v>0.19800000000000006</v>
      </c>
      <c r="AP67" s="51">
        <v>0.21500000000000008</v>
      </c>
      <c r="AQ67" s="51">
        <v>0.23200000000000001</v>
      </c>
      <c r="AR67" s="51">
        <v>0.23820000000000002</v>
      </c>
      <c r="AS67" s="51">
        <v>0.24440000000000001</v>
      </c>
      <c r="AT67" s="51">
        <v>0.25059999999999999</v>
      </c>
      <c r="AU67" s="51">
        <v>0.25679999999999997</v>
      </c>
      <c r="AV67" s="51">
        <v>0.26299999999999996</v>
      </c>
      <c r="AW67" s="51">
        <v>0.26919999999999994</v>
      </c>
      <c r="AX67" s="51">
        <v>0.27539999999999992</v>
      </c>
      <c r="AY67" s="51">
        <v>0.28159999999999991</v>
      </c>
      <c r="AZ67" s="51">
        <v>0.28779999999999989</v>
      </c>
      <c r="BA67" s="51">
        <v>0.29399999999999998</v>
      </c>
      <c r="BB67" s="51">
        <v>0.29674999999999996</v>
      </c>
      <c r="BC67" s="51">
        <v>0.29949999999999993</v>
      </c>
      <c r="BD67" s="51">
        <v>0.30224999999999991</v>
      </c>
      <c r="BE67" s="51">
        <v>0.30499999999999988</v>
      </c>
      <c r="BF67" s="51">
        <v>0.30774999999999986</v>
      </c>
      <c r="BG67" s="51">
        <v>0.31049999999999983</v>
      </c>
      <c r="BH67" s="51">
        <v>0.31324999999999981</v>
      </c>
      <c r="BI67" s="51">
        <v>0.31599999999999978</v>
      </c>
      <c r="BJ67" s="51">
        <v>0.31874999999999976</v>
      </c>
      <c r="BK67" s="51">
        <v>0.32149999999999973</v>
      </c>
      <c r="BL67" s="51">
        <v>0.32424999999999971</v>
      </c>
      <c r="BM67" s="51">
        <v>0.32699999999999968</v>
      </c>
      <c r="BN67" s="51">
        <v>0.32974999999999965</v>
      </c>
      <c r="BO67" s="51">
        <v>0.33249999999999963</v>
      </c>
      <c r="BP67" s="51">
        <v>0.3352499999999996</v>
      </c>
    </row>
    <row r="68" spans="1:68" x14ac:dyDescent="0.3">
      <c r="A68" s="169" t="s">
        <v>426</v>
      </c>
      <c r="B68" s="62" t="s">
        <v>125</v>
      </c>
      <c r="C68" s="62" t="s">
        <v>60</v>
      </c>
      <c r="D68" s="48" t="s">
        <v>194</v>
      </c>
      <c r="E68" s="62" t="s">
        <v>195</v>
      </c>
      <c r="F68" s="62" t="s">
        <v>11</v>
      </c>
      <c r="G68" s="62" t="s">
        <v>11</v>
      </c>
      <c r="H68" s="62" t="s">
        <v>7</v>
      </c>
      <c r="I68" s="62" t="s">
        <v>64</v>
      </c>
      <c r="J68" s="62" t="s">
        <v>64</v>
      </c>
      <c r="K68" s="62" t="s">
        <v>64</v>
      </c>
      <c r="L68" s="62" t="s">
        <v>64</v>
      </c>
      <c r="M68" s="62" t="s">
        <v>64</v>
      </c>
      <c r="N68" s="62">
        <v>2023</v>
      </c>
      <c r="O68" s="62" t="s">
        <v>136</v>
      </c>
      <c r="P68" s="62">
        <f>Q68</f>
        <v>5.4899999999999949E-2</v>
      </c>
      <c r="Q68" s="62">
        <f>(1-Q41)*0.9</f>
        <v>5.4899999999999949E-2</v>
      </c>
      <c r="R68" s="62">
        <f t="shared" ref="R68:S68" si="35">(1-R41)*0.9</f>
        <v>5.3999999999999951E-2</v>
      </c>
      <c r="S68" s="62">
        <f t="shared" si="35"/>
        <v>5.3099999999999946E-2</v>
      </c>
      <c r="T68" s="64" t="s">
        <v>129</v>
      </c>
      <c r="U68" s="51">
        <v>0.99690000000000001</v>
      </c>
      <c r="V68" s="51">
        <v>0.99540000000000006</v>
      </c>
      <c r="W68" s="51">
        <v>0.99370000000000003</v>
      </c>
      <c r="X68" s="51">
        <v>0.99240000000000006</v>
      </c>
      <c r="Y68" s="51">
        <v>0.99020000000000008</v>
      </c>
      <c r="Z68" s="51">
        <v>0.9879</v>
      </c>
      <c r="AA68" s="51">
        <v>0.96910000000000007</v>
      </c>
      <c r="AB68" s="51">
        <v>0.95030000000000003</v>
      </c>
      <c r="AC68" s="51">
        <v>0.93149999999999999</v>
      </c>
      <c r="AD68" s="51">
        <v>0.91269999999999996</v>
      </c>
      <c r="AE68" s="51">
        <v>0.89390000000000003</v>
      </c>
      <c r="AF68" s="51">
        <v>0.87509999999999999</v>
      </c>
      <c r="AG68" s="51">
        <v>0.85630000000000006</v>
      </c>
      <c r="AH68" s="51">
        <v>0.82196000000000002</v>
      </c>
      <c r="AI68" s="51">
        <v>0.7876200000000001</v>
      </c>
      <c r="AJ68" s="51">
        <v>0.75328000000000006</v>
      </c>
      <c r="AK68" s="51">
        <v>0.71894000000000002</v>
      </c>
      <c r="AL68" s="51">
        <v>0.68459999999999999</v>
      </c>
      <c r="AM68" s="51">
        <v>0.65025999999999995</v>
      </c>
      <c r="AN68" s="51">
        <v>0.61592000000000002</v>
      </c>
      <c r="AO68" s="51">
        <v>0.58157999999999999</v>
      </c>
      <c r="AP68" s="51">
        <v>0.54723999999999995</v>
      </c>
      <c r="AQ68" s="51">
        <v>0.51290000000000002</v>
      </c>
      <c r="AR68" s="51">
        <v>0.49219999999999992</v>
      </c>
      <c r="AS68" s="51">
        <v>0.47149999999999997</v>
      </c>
      <c r="AT68" s="51">
        <v>0.45080000000000003</v>
      </c>
      <c r="AU68" s="51">
        <v>0.43009999999999998</v>
      </c>
      <c r="AV68" s="51">
        <v>0.40939999999999993</v>
      </c>
      <c r="AW68" s="51">
        <v>0.38869999999999999</v>
      </c>
      <c r="AX68" s="51">
        <v>0.36800000000000005</v>
      </c>
      <c r="AY68" s="51">
        <v>0.3473</v>
      </c>
      <c r="AZ68" s="51">
        <v>0.32659999999999995</v>
      </c>
      <c r="BA68" s="51">
        <v>0.30590000000000001</v>
      </c>
      <c r="BB68" s="51">
        <v>0.29159999999999997</v>
      </c>
      <c r="BC68" s="51">
        <v>0.27730000000000005</v>
      </c>
      <c r="BD68" s="51">
        <v>0.26300000000000012</v>
      </c>
      <c r="BE68" s="51">
        <v>0.24870000000000009</v>
      </c>
      <c r="BF68" s="51">
        <v>0.23440000000000005</v>
      </c>
      <c r="BG68" s="51">
        <v>0.22010000000000013</v>
      </c>
      <c r="BH68" s="51">
        <v>0.2058000000000002</v>
      </c>
      <c r="BI68" s="51">
        <v>0.19150000000000017</v>
      </c>
      <c r="BJ68" s="51">
        <v>0.17720000000000025</v>
      </c>
      <c r="BK68" s="51">
        <v>0.16290000000000032</v>
      </c>
      <c r="BL68" s="51">
        <v>0.1486000000000004</v>
      </c>
      <c r="BM68" s="51">
        <v>0.13430000000000047</v>
      </c>
      <c r="BN68" s="51">
        <v>0.12000000000000055</v>
      </c>
      <c r="BO68" s="51">
        <v>0.10570000000000063</v>
      </c>
      <c r="BP68" s="51">
        <v>9.1400000000000703E-2</v>
      </c>
    </row>
    <row r="69" spans="1:68" x14ac:dyDescent="0.3">
      <c r="A69" s="169" t="s">
        <v>426</v>
      </c>
      <c r="B69" s="62" t="s">
        <v>125</v>
      </c>
      <c r="C69" s="62" t="s">
        <v>126</v>
      </c>
      <c r="D69" s="48" t="s">
        <v>196</v>
      </c>
      <c r="E69" s="63" t="s">
        <v>197</v>
      </c>
      <c r="F69" s="62" t="s">
        <v>11</v>
      </c>
      <c r="G69" s="62" t="s">
        <v>11</v>
      </c>
      <c r="H69" s="62" t="s">
        <v>7</v>
      </c>
      <c r="I69" s="62" t="s">
        <v>64</v>
      </c>
      <c r="J69" s="62" t="s">
        <v>64</v>
      </c>
      <c r="K69" s="62" t="s">
        <v>64</v>
      </c>
      <c r="L69" s="62" t="s">
        <v>64</v>
      </c>
      <c r="M69" s="62" t="s">
        <v>64</v>
      </c>
      <c r="N69" s="62">
        <v>2023</v>
      </c>
      <c r="O69" s="62" t="s">
        <v>136</v>
      </c>
      <c r="P69" s="62">
        <v>0</v>
      </c>
      <c r="Q69" s="62">
        <v>0</v>
      </c>
      <c r="R69" s="62">
        <v>0</v>
      </c>
      <c r="S69" s="62">
        <v>0</v>
      </c>
      <c r="T69" s="64" t="s">
        <v>129</v>
      </c>
      <c r="U69" s="51">
        <v>2.2000000000000001E-3</v>
      </c>
      <c r="V69" s="51">
        <v>4.3600000000000002E-3</v>
      </c>
      <c r="W69" s="51">
        <v>6.5199999999999998E-3</v>
      </c>
      <c r="X69" s="51">
        <v>8.6800000000000002E-3</v>
      </c>
      <c r="Y69" s="51">
        <v>1.0840000000000001E-2</v>
      </c>
      <c r="Z69" s="51">
        <v>1.2999999999999999E-2</v>
      </c>
      <c r="AA69" s="51">
        <v>1.8285714285714287E-2</v>
      </c>
      <c r="AB69" s="51">
        <v>2.3571428571428573E-2</v>
      </c>
      <c r="AC69" s="51">
        <v>2.8857142857142859E-2</v>
      </c>
      <c r="AD69" s="51">
        <v>3.4142857142857148E-2</v>
      </c>
      <c r="AE69" s="51">
        <v>3.9428571428571438E-2</v>
      </c>
      <c r="AF69" s="51">
        <v>4.4714285714285727E-2</v>
      </c>
      <c r="AG69" s="51">
        <v>0.05</v>
      </c>
      <c r="AH69" s="51">
        <v>6.2300000000000001E-2</v>
      </c>
      <c r="AI69" s="51">
        <v>7.46E-2</v>
      </c>
      <c r="AJ69" s="51">
        <v>8.6900000000000005E-2</v>
      </c>
      <c r="AK69" s="51">
        <v>9.920000000000001E-2</v>
      </c>
      <c r="AL69" s="51">
        <v>0.11150000000000002</v>
      </c>
      <c r="AM69" s="51">
        <v>0.11575000000000002</v>
      </c>
      <c r="AN69" s="51">
        <v>0.12000000000000002</v>
      </c>
      <c r="AO69" s="51">
        <v>0.12425000000000003</v>
      </c>
      <c r="AP69" s="51">
        <v>0.12850000000000003</v>
      </c>
      <c r="AQ69" s="51">
        <v>0.13275000000000003</v>
      </c>
      <c r="AR69" s="51">
        <v>0.13700000000000004</v>
      </c>
      <c r="AS69" s="51">
        <v>0.14125000000000004</v>
      </c>
      <c r="AT69" s="51">
        <v>0.14550000000000005</v>
      </c>
      <c r="AU69" s="51">
        <v>0.14975000000000005</v>
      </c>
      <c r="AV69" s="51">
        <v>0.154</v>
      </c>
      <c r="AW69" s="51">
        <v>0.1502</v>
      </c>
      <c r="AX69" s="51">
        <v>0.1464</v>
      </c>
      <c r="AY69" s="51">
        <v>0.1426</v>
      </c>
      <c r="AZ69" s="51">
        <v>0.13880000000000001</v>
      </c>
      <c r="BA69" s="51">
        <v>0.13500000000000001</v>
      </c>
      <c r="BB69" s="51">
        <v>0.13215000000000002</v>
      </c>
      <c r="BC69" s="51">
        <v>0.12930000000000003</v>
      </c>
      <c r="BD69" s="51">
        <v>0.12645000000000003</v>
      </c>
      <c r="BE69" s="51">
        <v>0.12360000000000003</v>
      </c>
      <c r="BF69" s="51">
        <v>0.12075000000000002</v>
      </c>
      <c r="BG69" s="51">
        <v>0.11790000000000002</v>
      </c>
      <c r="BH69" s="51">
        <v>0.11505000000000001</v>
      </c>
      <c r="BI69" s="51">
        <v>0.11220000000000001</v>
      </c>
      <c r="BJ69" s="51">
        <v>0.10935</v>
      </c>
      <c r="BK69" s="51">
        <v>0.1065</v>
      </c>
      <c r="BL69" s="51">
        <v>0.10364999999999999</v>
      </c>
      <c r="BM69" s="51">
        <v>0.10079999999999999</v>
      </c>
      <c r="BN69" s="51">
        <v>9.7949999999999982E-2</v>
      </c>
      <c r="BO69" s="51">
        <v>9.5099999999999976E-2</v>
      </c>
      <c r="BP69" s="51">
        <v>9.2249999999999971E-2</v>
      </c>
    </row>
    <row r="70" spans="1:68" ht="15" thickBot="1" x14ac:dyDescent="0.35">
      <c r="A70" s="169" t="s">
        <v>426</v>
      </c>
      <c r="B70" s="68" t="s">
        <v>125</v>
      </c>
      <c r="C70" s="68" t="s">
        <v>126</v>
      </c>
      <c r="D70" s="54" t="s">
        <v>198</v>
      </c>
      <c r="E70" s="68" t="s">
        <v>199</v>
      </c>
      <c r="F70" s="68" t="s">
        <v>11</v>
      </c>
      <c r="G70" s="68" t="s">
        <v>11</v>
      </c>
      <c r="H70" s="68" t="s">
        <v>7</v>
      </c>
      <c r="I70" s="68" t="s">
        <v>64</v>
      </c>
      <c r="J70" s="68" t="s">
        <v>64</v>
      </c>
      <c r="K70" s="68" t="s">
        <v>64</v>
      </c>
      <c r="L70" s="68" t="s">
        <v>64</v>
      </c>
      <c r="M70" s="68" t="s">
        <v>64</v>
      </c>
      <c r="N70" s="68">
        <v>2023</v>
      </c>
      <c r="O70" s="68" t="s">
        <v>136</v>
      </c>
      <c r="P70" s="68" t="s">
        <v>136</v>
      </c>
      <c r="Q70" s="68">
        <f>(1-Q45)*0.9*(1-0.27)</f>
        <v>0.37120499999999995</v>
      </c>
      <c r="R70" s="68">
        <f t="shared" ref="R70:S70" si="36">(1-R45)*0.9*(1-0.27)</f>
        <v>0.37054800000000004</v>
      </c>
      <c r="S70" s="68">
        <f t="shared" si="36"/>
        <v>0.36989099999999991</v>
      </c>
      <c r="T70" s="69" t="s">
        <v>129</v>
      </c>
      <c r="U70" s="51">
        <v>0.72808333333333342</v>
      </c>
      <c r="V70" s="51">
        <v>0.72684666666666664</v>
      </c>
      <c r="W70" s="51">
        <v>0.72561000000000009</v>
      </c>
      <c r="X70" s="51">
        <v>0.72437333333333342</v>
      </c>
      <c r="Y70" s="51">
        <v>0.72313666666666676</v>
      </c>
      <c r="Z70" s="51">
        <v>0.72189999999999999</v>
      </c>
      <c r="AA70" s="51">
        <v>0.71475714285714287</v>
      </c>
      <c r="AB70" s="51">
        <v>0.70761428571428575</v>
      </c>
      <c r="AC70" s="51">
        <v>0.70577142857142849</v>
      </c>
      <c r="AD70" s="51">
        <v>0.70392857142857135</v>
      </c>
      <c r="AE70" s="51">
        <v>0.70208571428571431</v>
      </c>
      <c r="AF70" s="51">
        <v>0.70024285714285717</v>
      </c>
      <c r="AG70" s="51">
        <v>0.69839999999999991</v>
      </c>
      <c r="AH70" s="51">
        <v>0.67880000000000007</v>
      </c>
      <c r="AI70" s="51">
        <v>0.65920000000000001</v>
      </c>
      <c r="AJ70" s="51">
        <v>0.63960000000000006</v>
      </c>
      <c r="AK70" s="51">
        <v>0.61999999999999988</v>
      </c>
      <c r="AL70" s="51">
        <v>0.60039999999999993</v>
      </c>
      <c r="AM70" s="51">
        <v>0.58815000000000006</v>
      </c>
      <c r="AN70" s="51">
        <v>0.57589999999999997</v>
      </c>
      <c r="AO70" s="51">
        <v>0.56364999999999998</v>
      </c>
      <c r="AP70" s="51">
        <v>0.55139999999999989</v>
      </c>
      <c r="AQ70" s="51">
        <v>0.53915000000000002</v>
      </c>
      <c r="AR70" s="51">
        <v>0.51079999999999992</v>
      </c>
      <c r="AS70" s="51">
        <v>0.48244999999999988</v>
      </c>
      <c r="AT70" s="51">
        <v>0.45409999999999984</v>
      </c>
      <c r="AU70" s="51">
        <v>0.42574999999999996</v>
      </c>
      <c r="AV70" s="51">
        <v>0.39739999999999998</v>
      </c>
      <c r="AW70" s="51">
        <v>0.37239999999999995</v>
      </c>
      <c r="AX70" s="51">
        <v>0.34739999999999993</v>
      </c>
      <c r="AY70" s="51">
        <v>0.32240000000000002</v>
      </c>
      <c r="AZ70" s="51">
        <v>0.29739999999999989</v>
      </c>
      <c r="BA70" s="51">
        <v>0.27239999999999998</v>
      </c>
      <c r="BB70" s="51">
        <v>0.26339999999999997</v>
      </c>
      <c r="BC70" s="51">
        <v>0.2543999999999999</v>
      </c>
      <c r="BD70" s="51">
        <v>0.24539999999999987</v>
      </c>
      <c r="BE70" s="51">
        <v>0.23639999999999978</v>
      </c>
      <c r="BF70" s="51">
        <v>0.22739999999999977</v>
      </c>
      <c r="BG70" s="51">
        <v>0.21839999999999976</v>
      </c>
      <c r="BH70" s="51">
        <v>0.20939999999999967</v>
      </c>
      <c r="BI70" s="51">
        <v>0.20039999999999963</v>
      </c>
      <c r="BJ70" s="51">
        <v>0.19139999999999963</v>
      </c>
      <c r="BK70" s="51">
        <v>0.18239999999999962</v>
      </c>
      <c r="BL70" s="51">
        <v>0.17339999999999958</v>
      </c>
      <c r="BM70" s="51">
        <v>0.16439999999999949</v>
      </c>
      <c r="BN70" s="51">
        <v>0.15539999999999948</v>
      </c>
      <c r="BO70" s="51">
        <v>0.14639999999999947</v>
      </c>
      <c r="BP70" s="51">
        <v>0.13739999999999941</v>
      </c>
    </row>
    <row r="71" spans="1:68" x14ac:dyDescent="0.3">
      <c r="A71" s="169" t="s">
        <v>426</v>
      </c>
      <c r="B71" s="47" t="s">
        <v>125</v>
      </c>
      <c r="C71" s="47" t="s">
        <v>130</v>
      </c>
      <c r="D71" s="48" t="s">
        <v>200</v>
      </c>
      <c r="E71" s="47" t="s">
        <v>201</v>
      </c>
      <c r="F71" s="47" t="s">
        <v>11</v>
      </c>
      <c r="G71" s="47" t="s">
        <v>11</v>
      </c>
      <c r="H71" s="47" t="s">
        <v>7</v>
      </c>
      <c r="I71" s="47" t="s">
        <v>64</v>
      </c>
      <c r="J71" s="47" t="s">
        <v>64</v>
      </c>
      <c r="K71" s="47" t="s">
        <v>64</v>
      </c>
      <c r="L71" s="47" t="s">
        <v>64</v>
      </c>
      <c r="M71" s="47" t="s">
        <v>64</v>
      </c>
      <c r="N71" s="47">
        <v>2023</v>
      </c>
      <c r="O71" s="47">
        <f t="shared" ref="O71:O72" si="37">7/100</f>
        <v>7.0000000000000007E-2</v>
      </c>
      <c r="P71" s="47">
        <f t="shared" ref="P71:P72" si="38">6.1/100</f>
        <v>6.0999999999999999E-2</v>
      </c>
      <c r="Q71" s="47">
        <f t="shared" ref="Q71:Q72" si="39">9.5/100</f>
        <v>9.5000000000000001E-2</v>
      </c>
      <c r="R71" s="47">
        <f t="shared" ref="R71:R73" si="40">Q71+0.001</f>
        <v>9.6000000000000002E-2</v>
      </c>
      <c r="S71" s="47">
        <f t="shared" ref="S71:S73" si="41">R71+0.001</f>
        <v>9.7000000000000003E-2</v>
      </c>
      <c r="T71" s="49" t="s">
        <v>202</v>
      </c>
      <c r="U71" s="51">
        <v>0</v>
      </c>
      <c r="V71" s="51">
        <v>0</v>
      </c>
      <c r="W71" s="51">
        <v>0</v>
      </c>
      <c r="X71" s="51">
        <v>0</v>
      </c>
      <c r="Y71" s="51">
        <v>0</v>
      </c>
      <c r="Z71" s="51">
        <v>0</v>
      </c>
      <c r="AA71" s="51">
        <v>0</v>
      </c>
      <c r="AB71" s="51">
        <v>0</v>
      </c>
      <c r="AC71" s="51">
        <v>0</v>
      </c>
      <c r="AD71" s="51">
        <v>0</v>
      </c>
      <c r="AE71" s="51">
        <v>0</v>
      </c>
      <c r="AF71" s="51">
        <v>0</v>
      </c>
      <c r="AG71" s="51">
        <v>0</v>
      </c>
      <c r="AH71" s="51">
        <v>0</v>
      </c>
      <c r="AI71" s="51">
        <v>0</v>
      </c>
      <c r="AJ71" s="51">
        <v>0</v>
      </c>
      <c r="AK71" s="51">
        <v>0</v>
      </c>
      <c r="AL71" s="51">
        <v>0</v>
      </c>
      <c r="AM71" s="51">
        <v>0</v>
      </c>
      <c r="AN71" s="51">
        <v>0</v>
      </c>
      <c r="AO71" s="51">
        <v>0</v>
      </c>
      <c r="AP71" s="51">
        <v>0</v>
      </c>
      <c r="AQ71" s="51">
        <v>0</v>
      </c>
      <c r="AR71" s="51">
        <v>0</v>
      </c>
      <c r="AS71" s="51">
        <v>0</v>
      </c>
      <c r="AT71" s="51">
        <v>0</v>
      </c>
      <c r="AU71" s="51">
        <v>0</v>
      </c>
      <c r="AV71" s="51">
        <v>0</v>
      </c>
      <c r="AW71" s="51">
        <v>0</v>
      </c>
      <c r="AX71" s="51">
        <v>0</v>
      </c>
      <c r="AY71" s="51">
        <v>0</v>
      </c>
      <c r="AZ71" s="51">
        <v>0</v>
      </c>
      <c r="BA71" s="51">
        <v>0</v>
      </c>
      <c r="BB71" s="51">
        <v>0</v>
      </c>
      <c r="BC71" s="51">
        <v>0</v>
      </c>
      <c r="BD71" s="51">
        <v>0</v>
      </c>
      <c r="BE71" s="51">
        <v>0</v>
      </c>
      <c r="BF71" s="51">
        <v>0</v>
      </c>
      <c r="BG71" s="51">
        <v>0</v>
      </c>
      <c r="BH71" s="51">
        <v>0</v>
      </c>
      <c r="BI71" s="51">
        <v>0</v>
      </c>
      <c r="BJ71" s="51">
        <v>0</v>
      </c>
      <c r="BK71" s="51">
        <v>0</v>
      </c>
      <c r="BL71" s="51">
        <v>0</v>
      </c>
      <c r="BM71" s="51">
        <v>0</v>
      </c>
      <c r="BN71" s="51">
        <v>0</v>
      </c>
      <c r="BO71" s="51">
        <v>0</v>
      </c>
      <c r="BP71" s="51">
        <v>0</v>
      </c>
    </row>
    <row r="72" spans="1:68" x14ac:dyDescent="0.3">
      <c r="A72" s="169" t="s">
        <v>426</v>
      </c>
      <c r="B72" s="47" t="s">
        <v>125</v>
      </c>
      <c r="C72" s="47" t="s">
        <v>130</v>
      </c>
      <c r="D72" s="48" t="s">
        <v>203</v>
      </c>
      <c r="E72" s="47" t="s">
        <v>204</v>
      </c>
      <c r="F72" s="47" t="s">
        <v>11</v>
      </c>
      <c r="G72" s="47" t="s">
        <v>11</v>
      </c>
      <c r="H72" s="47" t="s">
        <v>7</v>
      </c>
      <c r="I72" s="47" t="s">
        <v>64</v>
      </c>
      <c r="J72" s="47" t="s">
        <v>64</v>
      </c>
      <c r="K72" s="47" t="s">
        <v>64</v>
      </c>
      <c r="L72" s="47" t="s">
        <v>64</v>
      </c>
      <c r="M72" s="47" t="s">
        <v>64</v>
      </c>
      <c r="N72" s="47">
        <v>2023</v>
      </c>
      <c r="O72" s="47">
        <f t="shared" si="37"/>
        <v>7.0000000000000007E-2</v>
      </c>
      <c r="P72" s="47">
        <f t="shared" si="38"/>
        <v>6.0999999999999999E-2</v>
      </c>
      <c r="Q72" s="47">
        <f t="shared" si="39"/>
        <v>9.5000000000000001E-2</v>
      </c>
      <c r="R72" s="47">
        <f t="shared" si="40"/>
        <v>9.6000000000000002E-2</v>
      </c>
      <c r="S72" s="47">
        <f t="shared" si="41"/>
        <v>9.7000000000000003E-2</v>
      </c>
      <c r="T72" s="49" t="s">
        <v>202</v>
      </c>
      <c r="U72" s="51">
        <v>0</v>
      </c>
      <c r="V72" s="51">
        <v>0</v>
      </c>
      <c r="W72" s="51">
        <v>0</v>
      </c>
      <c r="X72" s="51">
        <v>0</v>
      </c>
      <c r="Y72" s="51">
        <v>0</v>
      </c>
      <c r="Z72" s="51">
        <v>0</v>
      </c>
      <c r="AA72" s="51">
        <v>0</v>
      </c>
      <c r="AB72" s="51">
        <v>0</v>
      </c>
      <c r="AC72" s="51">
        <v>0</v>
      </c>
      <c r="AD72" s="51">
        <v>0</v>
      </c>
      <c r="AE72" s="51">
        <v>0</v>
      </c>
      <c r="AF72" s="51">
        <v>0</v>
      </c>
      <c r="AG72" s="51">
        <v>0</v>
      </c>
      <c r="AH72" s="51">
        <v>0</v>
      </c>
      <c r="AI72" s="51">
        <v>0</v>
      </c>
      <c r="AJ72" s="51">
        <v>0</v>
      </c>
      <c r="AK72" s="51">
        <v>0</v>
      </c>
      <c r="AL72" s="51">
        <v>0</v>
      </c>
      <c r="AM72" s="51">
        <v>0</v>
      </c>
      <c r="AN72" s="51">
        <v>0</v>
      </c>
      <c r="AO72" s="51">
        <v>0</v>
      </c>
      <c r="AP72" s="51">
        <v>0</v>
      </c>
      <c r="AQ72" s="51">
        <v>0</v>
      </c>
      <c r="AR72" s="51">
        <v>0</v>
      </c>
      <c r="AS72" s="51">
        <v>0</v>
      </c>
      <c r="AT72" s="51">
        <v>0</v>
      </c>
      <c r="AU72" s="51">
        <v>0</v>
      </c>
      <c r="AV72" s="51">
        <v>0</v>
      </c>
      <c r="AW72" s="51">
        <v>0</v>
      </c>
      <c r="AX72" s="51">
        <v>0</v>
      </c>
      <c r="AY72" s="51">
        <v>0</v>
      </c>
      <c r="AZ72" s="51">
        <v>0</v>
      </c>
      <c r="BA72" s="51">
        <v>0</v>
      </c>
      <c r="BB72" s="51">
        <v>0</v>
      </c>
      <c r="BC72" s="51">
        <v>0</v>
      </c>
      <c r="BD72" s="51">
        <v>0</v>
      </c>
      <c r="BE72" s="51">
        <v>0</v>
      </c>
      <c r="BF72" s="51">
        <v>0</v>
      </c>
      <c r="BG72" s="51">
        <v>0</v>
      </c>
      <c r="BH72" s="51">
        <v>0</v>
      </c>
      <c r="BI72" s="51">
        <v>0</v>
      </c>
      <c r="BJ72" s="51">
        <v>0</v>
      </c>
      <c r="BK72" s="51">
        <v>0</v>
      </c>
      <c r="BL72" s="51">
        <v>0</v>
      </c>
      <c r="BM72" s="51">
        <v>0</v>
      </c>
      <c r="BN72" s="51">
        <v>0</v>
      </c>
      <c r="BO72" s="51">
        <v>0</v>
      </c>
      <c r="BP72" s="51">
        <v>0</v>
      </c>
    </row>
    <row r="73" spans="1:68" ht="15" thickBot="1" x14ac:dyDescent="0.35">
      <c r="A73" s="170" t="s">
        <v>428</v>
      </c>
      <c r="B73" s="53" t="s">
        <v>125</v>
      </c>
      <c r="C73" s="53" t="s">
        <v>155</v>
      </c>
      <c r="D73" s="54" t="s">
        <v>156</v>
      </c>
      <c r="E73" s="53" t="s">
        <v>157</v>
      </c>
      <c r="F73" s="53" t="s">
        <v>11</v>
      </c>
      <c r="G73" s="53" t="s">
        <v>11</v>
      </c>
      <c r="H73" s="53" t="s">
        <v>7</v>
      </c>
      <c r="I73" s="53" t="s">
        <v>64</v>
      </c>
      <c r="J73" s="53" t="s">
        <v>64</v>
      </c>
      <c r="K73" s="53" t="s">
        <v>64</v>
      </c>
      <c r="L73" s="53" t="s">
        <v>64</v>
      </c>
      <c r="M73" s="53" t="s">
        <v>64</v>
      </c>
      <c r="N73" s="53">
        <v>2023</v>
      </c>
      <c r="O73" s="53">
        <f>3/100</f>
        <v>0.03</v>
      </c>
      <c r="P73" s="53">
        <v>0.1</v>
      </c>
      <c r="Q73" s="53">
        <v>0.4</v>
      </c>
      <c r="R73" s="53">
        <f t="shared" si="40"/>
        <v>0.40100000000000002</v>
      </c>
      <c r="S73" s="53">
        <f t="shared" si="41"/>
        <v>0.40200000000000002</v>
      </c>
      <c r="T73" s="55" t="s">
        <v>129</v>
      </c>
      <c r="U73" s="51">
        <v>5.4693877551020408E-3</v>
      </c>
      <c r="V73" s="51">
        <v>5.9387755102040815E-3</v>
      </c>
      <c r="W73" s="51">
        <v>6.4081632653061223E-3</v>
      </c>
      <c r="X73" s="51">
        <v>6.877551020408163E-3</v>
      </c>
      <c r="Y73" s="51">
        <v>7.3469387755102037E-3</v>
      </c>
      <c r="Z73" s="51">
        <v>7.8163265306122436E-3</v>
      </c>
      <c r="AA73" s="51">
        <v>8.2857142857142851E-3</v>
      </c>
      <c r="AB73" s="51">
        <v>1.1571428571428571E-2</v>
      </c>
      <c r="AC73" s="51">
        <v>1.4857142857142857E-2</v>
      </c>
      <c r="AD73" s="51">
        <v>1.8142857142857141E-2</v>
      </c>
      <c r="AE73" s="51">
        <v>2.1428571428571425E-2</v>
      </c>
      <c r="AF73" s="51">
        <v>2.4714285714285709E-2</v>
      </c>
      <c r="AG73" s="51">
        <v>2.8000000000000001E-2</v>
      </c>
      <c r="AH73" s="51">
        <v>3.73E-2</v>
      </c>
      <c r="AI73" s="51">
        <v>4.6600000000000003E-2</v>
      </c>
      <c r="AJ73" s="51">
        <v>5.5900000000000005E-2</v>
      </c>
      <c r="AK73" s="51">
        <v>6.5200000000000008E-2</v>
      </c>
      <c r="AL73" s="51">
        <v>7.4500000000000011E-2</v>
      </c>
      <c r="AM73" s="51">
        <v>8.3800000000000013E-2</v>
      </c>
      <c r="AN73" s="51">
        <v>9.3100000000000016E-2</v>
      </c>
      <c r="AO73" s="51">
        <v>0.10240000000000002</v>
      </c>
      <c r="AP73" s="51">
        <v>0.11170000000000002</v>
      </c>
      <c r="AQ73" s="51">
        <v>0.121</v>
      </c>
      <c r="AR73" s="51">
        <v>0.16259999999999999</v>
      </c>
      <c r="AS73" s="51">
        <v>0.20419999999999999</v>
      </c>
      <c r="AT73" s="51">
        <v>0.24579999999999999</v>
      </c>
      <c r="AU73" s="51">
        <v>0.28739999999999999</v>
      </c>
      <c r="AV73" s="51">
        <v>0.32900000000000001</v>
      </c>
      <c r="AW73" s="51">
        <v>0.37060000000000004</v>
      </c>
      <c r="AX73" s="51">
        <v>0.41220000000000007</v>
      </c>
      <c r="AY73" s="51">
        <v>0.45380000000000009</v>
      </c>
      <c r="AZ73" s="51">
        <v>0.49540000000000012</v>
      </c>
      <c r="BA73" s="51">
        <v>0.53700000000000003</v>
      </c>
      <c r="BB73" s="51">
        <v>0.55180000000000007</v>
      </c>
      <c r="BC73" s="51">
        <v>0.5666000000000001</v>
      </c>
      <c r="BD73" s="51">
        <v>0.58140000000000014</v>
      </c>
      <c r="BE73" s="51">
        <v>0.59620000000000017</v>
      </c>
      <c r="BF73" s="51">
        <v>0.61100000000000021</v>
      </c>
      <c r="BG73" s="51">
        <v>0.62580000000000024</v>
      </c>
      <c r="BH73" s="51">
        <v>0.64060000000000028</v>
      </c>
      <c r="BI73" s="51">
        <v>0.65540000000000032</v>
      </c>
      <c r="BJ73" s="51">
        <v>0.67020000000000035</v>
      </c>
      <c r="BK73" s="51">
        <v>0.68500000000000039</v>
      </c>
      <c r="BL73" s="51">
        <v>0.69980000000000042</v>
      </c>
      <c r="BM73" s="51">
        <v>0.71460000000000046</v>
      </c>
      <c r="BN73" s="51">
        <v>0.72940000000000049</v>
      </c>
      <c r="BO73" s="51">
        <v>0.74420000000000053</v>
      </c>
      <c r="BP73" s="51">
        <v>0.75900000000000056</v>
      </c>
    </row>
    <row r="74" spans="1:68" ht="15" thickBot="1" x14ac:dyDescent="0.35">
      <c r="A74" s="170" t="s">
        <v>428</v>
      </c>
      <c r="B74" s="57" t="s">
        <v>125</v>
      </c>
      <c r="C74" s="57" t="s">
        <v>126</v>
      </c>
      <c r="D74" s="58" t="s">
        <v>158</v>
      </c>
      <c r="E74" s="59" t="s">
        <v>159</v>
      </c>
      <c r="F74" s="57" t="s">
        <v>11</v>
      </c>
      <c r="G74" s="57" t="s">
        <v>11</v>
      </c>
      <c r="H74" s="57" t="s">
        <v>7</v>
      </c>
      <c r="I74" s="57" t="s">
        <v>64</v>
      </c>
      <c r="J74" s="57" t="s">
        <v>64</v>
      </c>
      <c r="K74" s="57" t="s">
        <v>64</v>
      </c>
      <c r="L74" s="57" t="s">
        <v>64</v>
      </c>
      <c r="M74" s="57" t="s">
        <v>64</v>
      </c>
      <c r="N74" s="57">
        <v>2023</v>
      </c>
      <c r="O74" s="57" t="s">
        <v>136</v>
      </c>
      <c r="P74" s="57">
        <v>0</v>
      </c>
      <c r="Q74" s="57">
        <v>0</v>
      </c>
      <c r="R74" s="57">
        <v>0</v>
      </c>
      <c r="S74" s="57">
        <v>0</v>
      </c>
      <c r="T74" s="60" t="s">
        <v>129</v>
      </c>
      <c r="U74" s="51">
        <v>1E-3</v>
      </c>
      <c r="V74" s="51">
        <v>2E-3</v>
      </c>
      <c r="W74" s="51">
        <v>4.0000000000000001E-3</v>
      </c>
      <c r="X74" s="51">
        <v>8.0000000000000002E-3</v>
      </c>
      <c r="Y74" s="51">
        <v>0.01</v>
      </c>
      <c r="Z74" s="51">
        <v>1.2E-2</v>
      </c>
      <c r="AA74" s="51">
        <v>1.842857142857143E-2</v>
      </c>
      <c r="AB74" s="51">
        <v>2.4857142857142859E-2</v>
      </c>
      <c r="AC74" s="51">
        <v>3.1285714285714285E-2</v>
      </c>
      <c r="AD74" s="51">
        <v>3.7714285714285714E-2</v>
      </c>
      <c r="AE74" s="51">
        <v>4.4142857142857143E-2</v>
      </c>
      <c r="AF74" s="51">
        <v>5.0571428571428573E-2</v>
      </c>
      <c r="AG74" s="51">
        <v>5.7000000000000002E-2</v>
      </c>
      <c r="AH74" s="51">
        <v>6.8900000000000003E-2</v>
      </c>
      <c r="AI74" s="51">
        <v>8.0799999999999997E-2</v>
      </c>
      <c r="AJ74" s="51">
        <v>9.2699999999999991E-2</v>
      </c>
      <c r="AK74" s="51">
        <v>0.10459999999999998</v>
      </c>
      <c r="AL74" s="51">
        <v>0.11649999999999998</v>
      </c>
      <c r="AM74" s="51">
        <v>0.12839999999999999</v>
      </c>
      <c r="AN74" s="51">
        <v>0.14029999999999998</v>
      </c>
      <c r="AO74" s="51">
        <v>0.15219999999999997</v>
      </c>
      <c r="AP74" s="51">
        <v>0.16409999999999997</v>
      </c>
      <c r="AQ74" s="51">
        <v>0.17599999999999999</v>
      </c>
      <c r="AR74" s="51">
        <v>0.1772</v>
      </c>
      <c r="AS74" s="51">
        <v>0.1784</v>
      </c>
      <c r="AT74" s="51">
        <v>0.17960000000000001</v>
      </c>
      <c r="AU74" s="51">
        <v>0.18080000000000002</v>
      </c>
      <c r="AV74" s="51">
        <v>0.18200000000000002</v>
      </c>
      <c r="AW74" s="51">
        <v>0.18320000000000003</v>
      </c>
      <c r="AX74" s="51">
        <v>0.18440000000000004</v>
      </c>
      <c r="AY74" s="51">
        <v>0.18560000000000004</v>
      </c>
      <c r="AZ74" s="51">
        <v>0.18680000000000005</v>
      </c>
      <c r="BA74" s="51">
        <v>0.188</v>
      </c>
      <c r="BB74" s="51">
        <v>0.18725</v>
      </c>
      <c r="BC74" s="51">
        <v>0.1865</v>
      </c>
      <c r="BD74" s="51">
        <v>0.18575</v>
      </c>
      <c r="BE74" s="51">
        <v>0.185</v>
      </c>
      <c r="BF74" s="51">
        <v>0.18425</v>
      </c>
      <c r="BG74" s="51">
        <v>0.1835</v>
      </c>
      <c r="BH74" s="51">
        <v>0.18275</v>
      </c>
      <c r="BI74" s="51">
        <v>0.182</v>
      </c>
      <c r="BJ74" s="51">
        <v>0.18124999999999999</v>
      </c>
      <c r="BK74" s="51">
        <v>0.18049999999999999</v>
      </c>
      <c r="BL74" s="51">
        <v>0.18</v>
      </c>
      <c r="BM74" s="51">
        <v>0.18</v>
      </c>
      <c r="BN74" s="51">
        <v>0.18</v>
      </c>
      <c r="BO74" s="51">
        <v>0.18</v>
      </c>
      <c r="BP74" s="51">
        <v>0.18</v>
      </c>
    </row>
    <row r="75" spans="1:68" ht="15" thickBot="1" x14ac:dyDescent="0.35">
      <c r="A75" s="170" t="s">
        <v>428</v>
      </c>
      <c r="B75" s="62" t="s">
        <v>125</v>
      </c>
      <c r="C75" s="62" t="s">
        <v>60</v>
      </c>
      <c r="D75" s="48" t="s">
        <v>160</v>
      </c>
      <c r="E75" s="63" t="s">
        <v>161</v>
      </c>
      <c r="F75" s="62" t="s">
        <v>11</v>
      </c>
      <c r="G75" s="62" t="s">
        <v>11</v>
      </c>
      <c r="H75" s="62" t="s">
        <v>7</v>
      </c>
      <c r="I75" s="62" t="s">
        <v>64</v>
      </c>
      <c r="J75" s="62" t="s">
        <v>64</v>
      </c>
      <c r="K75" s="62" t="s">
        <v>64</v>
      </c>
      <c r="L75" s="62" t="s">
        <v>64</v>
      </c>
      <c r="M75" s="62" t="s">
        <v>64</v>
      </c>
      <c r="N75" s="62">
        <v>2023</v>
      </c>
      <c r="O75" s="62" t="s">
        <v>136</v>
      </c>
      <c r="P75" s="62">
        <v>0</v>
      </c>
      <c r="Q75" s="62">
        <v>0</v>
      </c>
      <c r="R75" s="62">
        <v>0</v>
      </c>
      <c r="S75" s="62">
        <v>0</v>
      </c>
      <c r="T75" s="64" t="s">
        <v>129</v>
      </c>
      <c r="U75" s="65">
        <v>0</v>
      </c>
      <c r="V75" s="51">
        <v>0</v>
      </c>
      <c r="W75" s="51">
        <v>0</v>
      </c>
      <c r="X75" s="51">
        <v>0</v>
      </c>
      <c r="Y75" s="51">
        <v>1E-3</v>
      </c>
      <c r="Z75" s="65">
        <v>4.0000000000000001E-3</v>
      </c>
      <c r="AA75" s="51">
        <v>0.02</v>
      </c>
      <c r="AB75" s="51">
        <v>3.6000000000000004E-2</v>
      </c>
      <c r="AC75" s="51">
        <v>5.2000000000000005E-2</v>
      </c>
      <c r="AD75" s="51">
        <v>6.8000000000000005E-2</v>
      </c>
      <c r="AE75" s="51">
        <v>8.4000000000000005E-2</v>
      </c>
      <c r="AF75" s="51">
        <v>0.1</v>
      </c>
      <c r="AG75" s="51">
        <v>0.10181818181818182</v>
      </c>
      <c r="AH75" s="51">
        <v>0.10363636363636364</v>
      </c>
      <c r="AI75" s="51">
        <v>0.10545454545454545</v>
      </c>
      <c r="AJ75" s="51">
        <v>0.10727272727272727</v>
      </c>
      <c r="AK75" s="51">
        <v>0.10909090909090909</v>
      </c>
      <c r="AL75" s="51">
        <v>0.1109090909090909</v>
      </c>
      <c r="AM75" s="51">
        <v>0.11272727272727272</v>
      </c>
      <c r="AN75" s="51">
        <v>0.11454545454545453</v>
      </c>
      <c r="AO75" s="51">
        <v>0.11636363636363635</v>
      </c>
      <c r="AP75" s="51">
        <v>0.11818181818181817</v>
      </c>
      <c r="AQ75" s="51">
        <v>0.12</v>
      </c>
      <c r="AR75" s="51">
        <v>0.12079999999999999</v>
      </c>
      <c r="AS75" s="51">
        <v>0.12159999999999999</v>
      </c>
      <c r="AT75" s="51">
        <v>0.12239999999999998</v>
      </c>
      <c r="AU75" s="51">
        <v>0.12319999999999998</v>
      </c>
      <c r="AV75" s="51">
        <v>0.12399999999999997</v>
      </c>
      <c r="AW75" s="51">
        <v>0.12479999999999997</v>
      </c>
      <c r="AX75" s="51">
        <v>0.12559999999999996</v>
      </c>
      <c r="AY75" s="51">
        <v>0.12639999999999996</v>
      </c>
      <c r="AZ75" s="51">
        <v>0.12719999999999995</v>
      </c>
      <c r="BA75" s="51">
        <v>0.12799999999999995</v>
      </c>
      <c r="BB75" s="51">
        <v>0.12879999999999994</v>
      </c>
      <c r="BC75" s="51">
        <v>0.12959999999999994</v>
      </c>
      <c r="BD75" s="51">
        <v>0.13039999999999993</v>
      </c>
      <c r="BE75" s="51">
        <v>0.13119999999999993</v>
      </c>
      <c r="BF75" s="51">
        <v>0.13199999999999992</v>
      </c>
      <c r="BG75" s="51">
        <v>0.13279999999999992</v>
      </c>
      <c r="BH75" s="51">
        <v>0.13359999999999991</v>
      </c>
      <c r="BI75" s="51">
        <v>0.13439999999999991</v>
      </c>
      <c r="BJ75" s="51">
        <v>0.1351999999999999</v>
      </c>
      <c r="BK75" s="51">
        <v>0.1359999999999999</v>
      </c>
      <c r="BL75" s="51">
        <v>0.13679999999999989</v>
      </c>
      <c r="BM75" s="51">
        <v>0.13759999999999989</v>
      </c>
      <c r="BN75" s="51">
        <v>0.13839999999999988</v>
      </c>
      <c r="BO75" s="51">
        <v>0.13919999999999988</v>
      </c>
      <c r="BP75" s="51">
        <v>0.14000000000000001</v>
      </c>
    </row>
    <row r="76" spans="1:68" ht="15" thickBot="1" x14ac:dyDescent="0.35">
      <c r="A76" s="170" t="s">
        <v>428</v>
      </c>
      <c r="B76" s="62" t="s">
        <v>125</v>
      </c>
      <c r="C76" s="62" t="s">
        <v>60</v>
      </c>
      <c r="D76" s="48" t="s">
        <v>162</v>
      </c>
      <c r="E76" s="62" t="s">
        <v>163</v>
      </c>
      <c r="F76" s="62" t="s">
        <v>11</v>
      </c>
      <c r="G76" s="62" t="s">
        <v>11</v>
      </c>
      <c r="H76" s="62" t="s">
        <v>7</v>
      </c>
      <c r="I76" s="62" t="s">
        <v>64</v>
      </c>
      <c r="J76" s="62" t="s">
        <v>64</v>
      </c>
      <c r="K76" s="62" t="s">
        <v>64</v>
      </c>
      <c r="L76" s="62" t="s">
        <v>64</v>
      </c>
      <c r="M76" s="62" t="s">
        <v>64</v>
      </c>
      <c r="N76" s="62">
        <v>2023</v>
      </c>
      <c r="O76" s="62" t="s">
        <v>136</v>
      </c>
      <c r="P76" s="62" t="s">
        <v>136</v>
      </c>
      <c r="Q76" s="62">
        <f>(1-Q63)*0.9</f>
        <v>0.9</v>
      </c>
      <c r="R76" s="62">
        <f>(1-R63)*0.9</f>
        <v>0.9</v>
      </c>
      <c r="S76" s="62">
        <f>(1-S63)*0.9</f>
        <v>0.9</v>
      </c>
      <c r="T76" s="64" t="s">
        <v>129</v>
      </c>
      <c r="U76" s="65">
        <v>0.9985844444444445</v>
      </c>
      <c r="V76" s="65">
        <v>0.99774888888888891</v>
      </c>
      <c r="W76" s="65">
        <v>0.99691333333333332</v>
      </c>
      <c r="X76" s="65">
        <v>0.99607777777777784</v>
      </c>
      <c r="Y76" s="65">
        <v>0.99424222222222225</v>
      </c>
      <c r="Z76" s="65">
        <v>0.99040666666666666</v>
      </c>
      <c r="AA76" s="65">
        <v>0.97357111111111105</v>
      </c>
      <c r="AB76" s="65">
        <v>0.95673555555555556</v>
      </c>
      <c r="AC76" s="65">
        <v>0.93989999999999996</v>
      </c>
      <c r="AD76" s="65">
        <v>0.92123333333333324</v>
      </c>
      <c r="AE76" s="65">
        <v>0.90256666666666674</v>
      </c>
      <c r="AF76" s="65">
        <v>0.88390000000000002</v>
      </c>
      <c r="AG76" s="65">
        <v>0.87008181818181818</v>
      </c>
      <c r="AH76" s="65">
        <v>0.85426363636363634</v>
      </c>
      <c r="AI76" s="65">
        <v>0.83844545454545449</v>
      </c>
      <c r="AJ76" s="65">
        <v>0.82262727272727276</v>
      </c>
      <c r="AK76" s="65">
        <v>0.80680909090909092</v>
      </c>
      <c r="AL76" s="65">
        <v>0.79099090909090919</v>
      </c>
      <c r="AM76" s="65">
        <v>0.75227272727272732</v>
      </c>
      <c r="AN76" s="65">
        <v>0.71355454545454555</v>
      </c>
      <c r="AO76" s="65">
        <v>0.67483636363636368</v>
      </c>
      <c r="AP76" s="65">
        <v>0.6361181818181818</v>
      </c>
      <c r="AQ76" s="65">
        <v>0.59740000000000004</v>
      </c>
      <c r="AR76" s="65">
        <v>0.55970000000000009</v>
      </c>
      <c r="AS76" s="65">
        <v>0.52200000000000013</v>
      </c>
      <c r="AT76" s="65">
        <v>0.48430000000000012</v>
      </c>
      <c r="AU76" s="65">
        <v>0.44660000000000011</v>
      </c>
      <c r="AV76" s="65">
        <v>0.40889999999999999</v>
      </c>
      <c r="AW76" s="65">
        <v>0.39062999999999998</v>
      </c>
      <c r="AX76" s="65">
        <v>0.37236000000000002</v>
      </c>
      <c r="AY76" s="65">
        <v>0.35409000000000002</v>
      </c>
      <c r="AZ76" s="65">
        <v>0.33582000000000001</v>
      </c>
      <c r="BA76" s="65">
        <v>0.31755000000000011</v>
      </c>
      <c r="BB76" s="65">
        <v>0.2992800000000001</v>
      </c>
      <c r="BC76" s="65">
        <v>0.28101000000000009</v>
      </c>
      <c r="BD76" s="65">
        <v>0.26274000000000008</v>
      </c>
      <c r="BE76" s="65">
        <v>0.24447000000000008</v>
      </c>
      <c r="BF76" s="65">
        <v>0.22620000000000007</v>
      </c>
      <c r="BG76" s="65">
        <v>0.21598500000000009</v>
      </c>
      <c r="BH76" s="65">
        <v>0.20577000000000012</v>
      </c>
      <c r="BI76" s="65">
        <v>0.19555500000000026</v>
      </c>
      <c r="BJ76" s="65">
        <v>0.18534000000000028</v>
      </c>
      <c r="BK76" s="65">
        <v>0.17512500000000031</v>
      </c>
      <c r="BL76" s="65">
        <v>0.16491000000000033</v>
      </c>
      <c r="BM76" s="65">
        <v>0.15469500000000036</v>
      </c>
      <c r="BN76" s="65">
        <v>0.1444800000000005</v>
      </c>
      <c r="BO76" s="65">
        <v>0.13426500000000052</v>
      </c>
      <c r="BP76" s="65">
        <v>0.12405000000000044</v>
      </c>
    </row>
    <row r="77" spans="1:68" ht="15" thickBot="1" x14ac:dyDescent="0.35">
      <c r="A77" s="170" t="s">
        <v>428</v>
      </c>
      <c r="B77" s="62" t="s">
        <v>125</v>
      </c>
      <c r="C77" s="62" t="s">
        <v>126</v>
      </c>
      <c r="D77" s="48" t="s">
        <v>164</v>
      </c>
      <c r="E77" s="62" t="s">
        <v>165</v>
      </c>
      <c r="F77" s="62" t="s">
        <v>11</v>
      </c>
      <c r="G77" s="62" t="s">
        <v>11</v>
      </c>
      <c r="H77" s="62" t="s">
        <v>7</v>
      </c>
      <c r="I77" s="62" t="s">
        <v>64</v>
      </c>
      <c r="J77" s="62" t="s">
        <v>64</v>
      </c>
      <c r="K77" s="62" t="s">
        <v>64</v>
      </c>
      <c r="L77" s="62" t="s">
        <v>64</v>
      </c>
      <c r="M77" s="62" t="s">
        <v>64</v>
      </c>
      <c r="N77" s="62">
        <v>2023</v>
      </c>
      <c r="O77" s="62" t="s">
        <v>136</v>
      </c>
      <c r="P77" s="62">
        <v>0</v>
      </c>
      <c r="Q77" s="62">
        <v>0</v>
      </c>
      <c r="R77" s="62">
        <v>0</v>
      </c>
      <c r="S77" s="62">
        <v>0</v>
      </c>
      <c r="T77" s="64" t="s">
        <v>129</v>
      </c>
      <c r="U77" s="51">
        <v>0.99980199999999997</v>
      </c>
      <c r="V77" s="51">
        <v>0.99473500000000004</v>
      </c>
      <c r="W77" s="51">
        <v>0.98976799999999998</v>
      </c>
      <c r="X77" s="51">
        <v>0.98480100000000004</v>
      </c>
      <c r="Y77" s="51">
        <v>0.97983399999999998</v>
      </c>
      <c r="Z77" s="51">
        <v>0.97486700000000004</v>
      </c>
      <c r="AA77" s="51">
        <v>0.96989999999999998</v>
      </c>
      <c r="AB77" s="51">
        <v>0.94847142857142863</v>
      </c>
      <c r="AC77" s="51">
        <v>0.92704285714285717</v>
      </c>
      <c r="AD77" s="51">
        <v>0.9056142857142857</v>
      </c>
      <c r="AE77" s="51">
        <v>0.88418571428571435</v>
      </c>
      <c r="AF77" s="51">
        <v>0.86275714285714289</v>
      </c>
      <c r="AG77" s="51">
        <v>0.84132857142857143</v>
      </c>
      <c r="AH77" s="51">
        <v>0.81990000000000007</v>
      </c>
      <c r="AI77" s="51">
        <v>0.80190000000000006</v>
      </c>
      <c r="AJ77" s="51">
        <v>0.78390000000000004</v>
      </c>
      <c r="AK77" s="51">
        <v>0.76590000000000003</v>
      </c>
      <c r="AL77" s="51">
        <v>0.74790000000000001</v>
      </c>
      <c r="AM77" s="51">
        <v>0.72989999999999999</v>
      </c>
      <c r="AN77" s="51">
        <v>0.71189999999999998</v>
      </c>
      <c r="AO77" s="51">
        <v>0.69389999999999996</v>
      </c>
      <c r="AP77" s="51">
        <v>0.67589999999999995</v>
      </c>
      <c r="AQ77" s="51">
        <v>0.65789999999999993</v>
      </c>
      <c r="AR77" s="51">
        <v>0.63990000000000002</v>
      </c>
      <c r="AS77" s="51">
        <v>0.62790000000000001</v>
      </c>
      <c r="AT77" s="51">
        <v>0.6159</v>
      </c>
      <c r="AU77" s="51">
        <v>0.60389999999999999</v>
      </c>
      <c r="AV77" s="51">
        <v>0.59189999999999998</v>
      </c>
      <c r="AW77" s="51">
        <v>0.57989999999999997</v>
      </c>
      <c r="AX77" s="51">
        <v>0.56789999999999996</v>
      </c>
      <c r="AY77" s="51">
        <v>0.55589999999999995</v>
      </c>
      <c r="AZ77" s="51">
        <v>0.54389999999999994</v>
      </c>
      <c r="BA77" s="51">
        <v>0.53189999999999993</v>
      </c>
      <c r="BB77" s="51">
        <v>0.51990000000000003</v>
      </c>
      <c r="BC77" s="51">
        <v>0.51540000000000008</v>
      </c>
      <c r="BD77" s="51">
        <v>0.51090000000000013</v>
      </c>
      <c r="BE77" s="51">
        <v>0.50640000000000007</v>
      </c>
      <c r="BF77" s="51">
        <v>0.50190000000000012</v>
      </c>
      <c r="BG77" s="51">
        <v>0.49740000000000018</v>
      </c>
      <c r="BH77" s="51">
        <v>0.49290000000000023</v>
      </c>
      <c r="BI77" s="51">
        <v>0.48840000000000017</v>
      </c>
      <c r="BJ77" s="51">
        <v>0.48390000000000022</v>
      </c>
      <c r="BK77" s="51">
        <v>0.47940000000000027</v>
      </c>
      <c r="BL77" s="51">
        <v>0.47490000000000032</v>
      </c>
      <c r="BM77" s="51">
        <v>0.47040000000000037</v>
      </c>
      <c r="BN77" s="51">
        <v>0.46590000000000031</v>
      </c>
      <c r="BO77" s="51">
        <v>0.46140000000000037</v>
      </c>
      <c r="BP77" s="51">
        <v>0.45690000000000042</v>
      </c>
    </row>
    <row r="78" spans="1:68" ht="15" thickBot="1" x14ac:dyDescent="0.35">
      <c r="A78" s="170" t="s">
        <v>428</v>
      </c>
      <c r="B78" s="62" t="s">
        <v>125</v>
      </c>
      <c r="C78" s="62" t="s">
        <v>60</v>
      </c>
      <c r="D78" s="48" t="s">
        <v>166</v>
      </c>
      <c r="E78" s="62" t="s">
        <v>167</v>
      </c>
      <c r="F78" s="62" t="s">
        <v>11</v>
      </c>
      <c r="G78" s="62" t="s">
        <v>11</v>
      </c>
      <c r="H78" s="62" t="s">
        <v>7</v>
      </c>
      <c r="I78" s="62" t="s">
        <v>64</v>
      </c>
      <c r="J78" s="62" t="s">
        <v>64</v>
      </c>
      <c r="K78" s="62" t="s">
        <v>64</v>
      </c>
      <c r="L78" s="62" t="s">
        <v>64</v>
      </c>
      <c r="M78" s="62" t="s">
        <v>64</v>
      </c>
      <c r="N78" s="62">
        <v>2023</v>
      </c>
      <c r="O78" s="62" t="s">
        <v>136</v>
      </c>
      <c r="P78" s="62" t="s">
        <v>136</v>
      </c>
      <c r="Q78" s="62">
        <v>0</v>
      </c>
      <c r="R78" s="62">
        <v>0</v>
      </c>
      <c r="S78" s="62">
        <v>0</v>
      </c>
      <c r="T78" s="64" t="s">
        <v>129</v>
      </c>
      <c r="U78" s="51">
        <v>0</v>
      </c>
      <c r="V78" s="51">
        <v>0</v>
      </c>
      <c r="W78" s="51">
        <v>0</v>
      </c>
      <c r="X78" s="51">
        <v>0</v>
      </c>
      <c r="Y78" s="51">
        <v>0</v>
      </c>
      <c r="Z78" s="51">
        <v>0</v>
      </c>
      <c r="AA78" s="51">
        <v>0</v>
      </c>
      <c r="AB78" s="51">
        <v>0</v>
      </c>
      <c r="AC78" s="51">
        <v>0</v>
      </c>
      <c r="AD78" s="51">
        <v>0</v>
      </c>
      <c r="AE78" s="51">
        <v>0</v>
      </c>
      <c r="AF78" s="51">
        <v>0</v>
      </c>
      <c r="AG78" s="51">
        <v>0</v>
      </c>
      <c r="AH78" s="51">
        <v>0</v>
      </c>
      <c r="AI78" s="51">
        <v>0</v>
      </c>
      <c r="AJ78" s="51">
        <v>0</v>
      </c>
      <c r="AK78" s="51">
        <v>0</v>
      </c>
      <c r="AL78" s="51">
        <v>0</v>
      </c>
      <c r="AM78" s="51">
        <v>0</v>
      </c>
      <c r="AN78" s="51">
        <v>0</v>
      </c>
      <c r="AO78" s="51">
        <v>0</v>
      </c>
      <c r="AP78" s="51">
        <v>0</v>
      </c>
      <c r="AQ78" s="51">
        <v>0</v>
      </c>
      <c r="AR78" s="51">
        <v>0</v>
      </c>
      <c r="AS78" s="51">
        <v>0</v>
      </c>
      <c r="AT78" s="51">
        <v>0</v>
      </c>
      <c r="AU78" s="51">
        <v>0</v>
      </c>
      <c r="AV78" s="51">
        <v>0</v>
      </c>
      <c r="AW78" s="51">
        <v>0</v>
      </c>
      <c r="AX78" s="51">
        <v>0</v>
      </c>
      <c r="AY78" s="51">
        <v>0</v>
      </c>
      <c r="AZ78" s="51">
        <v>0</v>
      </c>
      <c r="BA78" s="51">
        <v>0</v>
      </c>
      <c r="BB78" s="51">
        <v>0</v>
      </c>
      <c r="BC78" s="51">
        <v>0</v>
      </c>
      <c r="BD78" s="51">
        <v>0</v>
      </c>
      <c r="BE78" s="51">
        <v>0</v>
      </c>
      <c r="BF78" s="51">
        <v>0</v>
      </c>
      <c r="BG78" s="51">
        <v>0</v>
      </c>
      <c r="BH78" s="51">
        <v>0</v>
      </c>
      <c r="BI78" s="51">
        <v>0</v>
      </c>
      <c r="BJ78" s="51">
        <v>0</v>
      </c>
      <c r="BK78" s="51">
        <v>0</v>
      </c>
      <c r="BL78" s="51">
        <v>0</v>
      </c>
      <c r="BM78" s="51">
        <v>0</v>
      </c>
      <c r="BN78" s="51">
        <v>0</v>
      </c>
      <c r="BO78" s="51">
        <v>0</v>
      </c>
      <c r="BP78" s="51">
        <v>0</v>
      </c>
    </row>
    <row r="79" spans="1:68" ht="15" thickBot="1" x14ac:dyDescent="0.35">
      <c r="A79" s="170" t="s">
        <v>428</v>
      </c>
      <c r="B79" s="62" t="s">
        <v>125</v>
      </c>
      <c r="C79" s="62" t="s">
        <v>60</v>
      </c>
      <c r="D79" s="48" t="s">
        <v>168</v>
      </c>
      <c r="E79" s="66" t="s">
        <v>169</v>
      </c>
      <c r="F79" s="62" t="s">
        <v>11</v>
      </c>
      <c r="G79" s="62" t="s">
        <v>11</v>
      </c>
      <c r="H79" s="62" t="s">
        <v>7</v>
      </c>
      <c r="I79" s="62" t="s">
        <v>64</v>
      </c>
      <c r="J79" s="62" t="s">
        <v>64</v>
      </c>
      <c r="K79" s="62" t="s">
        <v>64</v>
      </c>
      <c r="L79" s="62" t="s">
        <v>64</v>
      </c>
      <c r="M79" s="62" t="s">
        <v>64</v>
      </c>
      <c r="N79" s="62">
        <v>2023</v>
      </c>
      <c r="O79" s="62" t="s">
        <v>136</v>
      </c>
      <c r="P79" s="62">
        <v>0</v>
      </c>
      <c r="Q79" s="62">
        <v>0</v>
      </c>
      <c r="R79" s="62">
        <v>0</v>
      </c>
      <c r="S79" s="62">
        <v>0</v>
      </c>
      <c r="T79" s="64" t="s">
        <v>129</v>
      </c>
      <c r="U79" s="51">
        <v>0</v>
      </c>
      <c r="V79" s="51">
        <v>0</v>
      </c>
      <c r="W79" s="51">
        <v>0</v>
      </c>
      <c r="X79" s="51">
        <v>0</v>
      </c>
      <c r="Y79" s="51">
        <v>0</v>
      </c>
      <c r="Z79" s="51">
        <v>0</v>
      </c>
      <c r="AA79" s="51">
        <v>0</v>
      </c>
      <c r="AB79" s="51">
        <v>0</v>
      </c>
      <c r="AC79" s="51">
        <v>0</v>
      </c>
      <c r="AD79" s="51">
        <v>0</v>
      </c>
      <c r="AE79" s="51">
        <v>0</v>
      </c>
      <c r="AF79" s="51">
        <v>0</v>
      </c>
      <c r="AG79" s="51">
        <v>0</v>
      </c>
      <c r="AH79" s="51">
        <v>0</v>
      </c>
      <c r="AI79" s="51">
        <v>0</v>
      </c>
      <c r="AJ79" s="51">
        <v>0</v>
      </c>
      <c r="AK79" s="51">
        <v>0</v>
      </c>
      <c r="AL79" s="51">
        <v>0</v>
      </c>
      <c r="AM79" s="51">
        <v>0</v>
      </c>
      <c r="AN79" s="51">
        <v>0</v>
      </c>
      <c r="AO79" s="51">
        <v>0</v>
      </c>
      <c r="AP79" s="51">
        <v>0</v>
      </c>
      <c r="AQ79" s="51">
        <v>0</v>
      </c>
      <c r="AR79" s="51">
        <v>0</v>
      </c>
      <c r="AS79" s="51">
        <v>0</v>
      </c>
      <c r="AT79" s="51">
        <v>0</v>
      </c>
      <c r="AU79" s="51">
        <v>0</v>
      </c>
      <c r="AV79" s="51">
        <v>0</v>
      </c>
      <c r="AW79" s="51">
        <v>0</v>
      </c>
      <c r="AX79" s="51">
        <v>0</v>
      </c>
      <c r="AY79" s="51">
        <v>0</v>
      </c>
      <c r="AZ79" s="51">
        <v>0</v>
      </c>
      <c r="BA79" s="51">
        <v>0</v>
      </c>
      <c r="BB79" s="51">
        <v>0</v>
      </c>
      <c r="BC79" s="51">
        <v>0</v>
      </c>
      <c r="BD79" s="51">
        <v>0</v>
      </c>
      <c r="BE79" s="51">
        <v>0</v>
      </c>
      <c r="BF79" s="51">
        <v>0</v>
      </c>
      <c r="BG79" s="51">
        <v>0</v>
      </c>
      <c r="BH79" s="51">
        <v>0</v>
      </c>
      <c r="BI79" s="51">
        <v>0</v>
      </c>
      <c r="BJ79" s="51">
        <v>0</v>
      </c>
      <c r="BK79" s="51">
        <v>0</v>
      </c>
      <c r="BL79" s="51">
        <v>0</v>
      </c>
      <c r="BM79" s="51">
        <v>0</v>
      </c>
      <c r="BN79" s="51">
        <v>0</v>
      </c>
      <c r="BO79" s="51">
        <v>0</v>
      </c>
      <c r="BP79" s="51">
        <v>0</v>
      </c>
    </row>
    <row r="80" spans="1:68" ht="15" thickBot="1" x14ac:dyDescent="0.35">
      <c r="A80" s="170" t="s">
        <v>428</v>
      </c>
      <c r="B80" s="62" t="s">
        <v>125</v>
      </c>
      <c r="C80" s="62" t="s">
        <v>60</v>
      </c>
      <c r="D80" s="48" t="s">
        <v>170</v>
      </c>
      <c r="E80" s="62" t="s">
        <v>171</v>
      </c>
      <c r="F80" s="62" t="s">
        <v>11</v>
      </c>
      <c r="G80" s="62" t="s">
        <v>11</v>
      </c>
      <c r="H80" s="62" t="s">
        <v>7</v>
      </c>
      <c r="I80" s="62" t="s">
        <v>64</v>
      </c>
      <c r="J80" s="62" t="s">
        <v>64</v>
      </c>
      <c r="K80" s="62" t="s">
        <v>64</v>
      </c>
      <c r="L80" s="62" t="s">
        <v>64</v>
      </c>
      <c r="M80" s="62" t="s">
        <v>64</v>
      </c>
      <c r="N80" s="62">
        <v>2023</v>
      </c>
      <c r="O80" s="62" t="s">
        <v>136</v>
      </c>
      <c r="P80" s="62" t="s">
        <v>136</v>
      </c>
      <c r="Q80" s="62">
        <f>(1-Q64)*0.9</f>
        <v>0.18693000000000001</v>
      </c>
      <c r="R80" s="62">
        <f t="shared" ref="R80:S80" si="42">(1-R64)*0.9</f>
        <v>0.18864</v>
      </c>
      <c r="S80" s="62">
        <f t="shared" si="42"/>
        <v>0.19035000000000002</v>
      </c>
      <c r="T80" s="64" t="s">
        <v>129</v>
      </c>
      <c r="U80" s="51">
        <v>0.99940000000000007</v>
      </c>
      <c r="V80" s="51">
        <v>0.99929999999999997</v>
      </c>
      <c r="W80" s="51">
        <v>0.99924999999999997</v>
      </c>
      <c r="X80" s="51">
        <v>0.99919999999999998</v>
      </c>
      <c r="Y80" s="51">
        <v>0.99914999999999998</v>
      </c>
      <c r="Z80" s="51">
        <v>0.99890000000000001</v>
      </c>
      <c r="AA80" s="51">
        <v>0.99790000000000001</v>
      </c>
      <c r="AB80" s="51">
        <v>0.99690000000000001</v>
      </c>
      <c r="AC80" s="51">
        <v>0.98698571428571424</v>
      </c>
      <c r="AD80" s="51">
        <v>0.97707142857142859</v>
      </c>
      <c r="AE80" s="51">
        <v>0.96715714285714283</v>
      </c>
      <c r="AF80" s="51">
        <v>0.95724285714285717</v>
      </c>
      <c r="AG80" s="51">
        <v>0.94732857142857141</v>
      </c>
      <c r="AH80" s="51">
        <v>0.93741428571428576</v>
      </c>
      <c r="AI80" s="51">
        <v>0.92749999999999999</v>
      </c>
      <c r="AJ80" s="51">
        <v>0.91758571428571434</v>
      </c>
      <c r="AK80" s="51">
        <v>0.90767142857142857</v>
      </c>
      <c r="AL80" s="51">
        <v>0.89775714285714292</v>
      </c>
      <c r="AM80" s="51">
        <v>0.85551142857142859</v>
      </c>
      <c r="AN80" s="51">
        <v>0.81326571428571426</v>
      </c>
      <c r="AO80" s="51">
        <v>0.77102000000000004</v>
      </c>
      <c r="AP80" s="51">
        <v>0.72877428571428582</v>
      </c>
      <c r="AQ80" s="51">
        <v>0.68652857142857149</v>
      </c>
      <c r="AR80" s="51">
        <v>0.64428285714285716</v>
      </c>
      <c r="AS80" s="51">
        <v>0.60203714285714294</v>
      </c>
      <c r="AT80" s="51">
        <v>0.55979142857142872</v>
      </c>
      <c r="AU80" s="51">
        <v>0.51754571428571439</v>
      </c>
      <c r="AV80" s="51">
        <v>0.47529999999999994</v>
      </c>
      <c r="AW80" s="51">
        <v>0.42759999999999998</v>
      </c>
      <c r="AX80" s="51">
        <v>0.41101999999999994</v>
      </c>
      <c r="AY80" s="51">
        <v>0.3944399999999999</v>
      </c>
      <c r="AZ80" s="51">
        <v>0.37785999999999986</v>
      </c>
      <c r="BA80" s="51">
        <v>0.36127999999999982</v>
      </c>
      <c r="BB80" s="51">
        <v>0.3446999999999999</v>
      </c>
      <c r="BC80" s="51">
        <v>0.33589999999999987</v>
      </c>
      <c r="BD80" s="51">
        <v>0.32709999999999984</v>
      </c>
      <c r="BE80" s="51">
        <v>0.31829999999999981</v>
      </c>
      <c r="BF80" s="51">
        <v>0.30949999999999978</v>
      </c>
      <c r="BG80" s="51">
        <v>0.30069999999999975</v>
      </c>
      <c r="BH80" s="51">
        <v>0.29190000000000005</v>
      </c>
      <c r="BI80" s="51">
        <v>0.28600000000000003</v>
      </c>
      <c r="BJ80" s="51">
        <v>0.28010000000000002</v>
      </c>
      <c r="BK80" s="51">
        <v>0.2742</v>
      </c>
      <c r="BL80" s="51">
        <v>0.26829999999999998</v>
      </c>
      <c r="BM80" s="51">
        <v>0.26239999999999997</v>
      </c>
      <c r="BN80" s="51">
        <v>0.25649999999999995</v>
      </c>
      <c r="BO80" s="51">
        <v>0.25059999999999993</v>
      </c>
      <c r="BP80" s="51">
        <v>0.24990000000000001</v>
      </c>
    </row>
    <row r="81" spans="1:68" ht="15" thickBot="1" x14ac:dyDescent="0.35">
      <c r="A81" s="170" t="s">
        <v>428</v>
      </c>
      <c r="B81" s="62" t="s">
        <v>125</v>
      </c>
      <c r="C81" s="62" t="s">
        <v>126</v>
      </c>
      <c r="D81" s="48" t="s">
        <v>172</v>
      </c>
      <c r="E81" s="62" t="s">
        <v>173</v>
      </c>
      <c r="F81" s="62" t="s">
        <v>11</v>
      </c>
      <c r="G81" s="62" t="s">
        <v>11</v>
      </c>
      <c r="H81" s="62" t="s">
        <v>7</v>
      </c>
      <c r="I81" s="62" t="s">
        <v>64</v>
      </c>
      <c r="J81" s="62" t="s">
        <v>64</v>
      </c>
      <c r="K81" s="62" t="s">
        <v>64</v>
      </c>
      <c r="L81" s="62" t="s">
        <v>64</v>
      </c>
      <c r="M81" s="62" t="s">
        <v>64</v>
      </c>
      <c r="N81" s="62">
        <v>2023</v>
      </c>
      <c r="O81" s="62" t="s">
        <v>136</v>
      </c>
      <c r="P81" s="62" t="s">
        <v>136</v>
      </c>
      <c r="Q81" s="62">
        <f>(1-Q68)*0.9*0.97</f>
        <v>0.82507230000000009</v>
      </c>
      <c r="R81" s="62">
        <f t="shared" ref="R81:S81" si="43">(1-R68)*0.9*0.97</f>
        <v>0.82585799999999998</v>
      </c>
      <c r="S81" s="62">
        <f t="shared" si="43"/>
        <v>0.82664370000000009</v>
      </c>
      <c r="T81" s="64" t="s">
        <v>129</v>
      </c>
      <c r="U81" s="51">
        <v>0.96819999999999995</v>
      </c>
      <c r="V81" s="51">
        <v>0.96155714285714289</v>
      </c>
      <c r="W81" s="51">
        <v>0.9551142857142858</v>
      </c>
      <c r="X81" s="51">
        <v>0.94447142857142852</v>
      </c>
      <c r="Y81" s="51">
        <v>0.9393285714285714</v>
      </c>
      <c r="Z81" s="51">
        <v>0.93447142857142862</v>
      </c>
      <c r="AA81" s="51">
        <v>0.92561428571428561</v>
      </c>
      <c r="AB81" s="51">
        <v>0.91789999999999994</v>
      </c>
      <c r="AC81" s="51">
        <v>0.90124285714285712</v>
      </c>
      <c r="AD81" s="51">
        <v>0.88972857142857142</v>
      </c>
      <c r="AE81" s="51">
        <v>0.87821428571428573</v>
      </c>
      <c r="AF81" s="51">
        <v>0.86670000000000003</v>
      </c>
      <c r="AG81" s="51">
        <v>0.84449999999999992</v>
      </c>
      <c r="AH81" s="51">
        <v>0.8155</v>
      </c>
      <c r="AI81" s="51">
        <v>0.78650000000000009</v>
      </c>
      <c r="AJ81" s="51">
        <v>0.75749999999999995</v>
      </c>
      <c r="AK81" s="51">
        <v>0.72849999999999993</v>
      </c>
      <c r="AL81" s="51">
        <v>0.69950000000000001</v>
      </c>
      <c r="AM81" s="51">
        <v>0.67190000000000005</v>
      </c>
      <c r="AN81" s="51">
        <v>0.64429999999999987</v>
      </c>
      <c r="AO81" s="51">
        <v>0.61670000000000003</v>
      </c>
      <c r="AP81" s="51">
        <v>0.58910000000000007</v>
      </c>
      <c r="AQ81" s="51">
        <v>0.55889999999999995</v>
      </c>
      <c r="AR81" s="51">
        <v>0.53900000000000003</v>
      </c>
      <c r="AS81" s="51">
        <v>0.51909999999999989</v>
      </c>
      <c r="AT81" s="51">
        <v>0.49919999999999998</v>
      </c>
      <c r="AU81" s="51">
        <v>0.4793</v>
      </c>
      <c r="AV81" s="51">
        <v>0.45939999999999992</v>
      </c>
      <c r="AW81" s="51">
        <v>0.43809999999999988</v>
      </c>
      <c r="AX81" s="51">
        <v>0.41679999999999995</v>
      </c>
      <c r="AY81" s="51">
        <v>0.39549999999999991</v>
      </c>
      <c r="AZ81" s="51">
        <v>0.37420000000000009</v>
      </c>
      <c r="BA81" s="51">
        <v>0.35965000000000008</v>
      </c>
      <c r="BB81" s="51">
        <v>0.34750000000000009</v>
      </c>
      <c r="BC81" s="51">
        <v>0.3353500000000002</v>
      </c>
      <c r="BD81" s="51">
        <v>0.32320000000000021</v>
      </c>
      <c r="BE81" s="51">
        <v>0.31105000000000022</v>
      </c>
      <c r="BF81" s="51">
        <v>0.29890000000000011</v>
      </c>
      <c r="BG81" s="51">
        <v>0.28675000000000017</v>
      </c>
      <c r="BH81" s="51">
        <v>0.27460000000000018</v>
      </c>
      <c r="BI81" s="51">
        <v>0.26245000000000018</v>
      </c>
      <c r="BJ81" s="51">
        <v>0.25030000000000024</v>
      </c>
      <c r="BK81" s="51">
        <v>0.23815000000000025</v>
      </c>
      <c r="BL81" s="51">
        <v>0.22600000000000031</v>
      </c>
      <c r="BM81" s="51">
        <v>0.21385000000000032</v>
      </c>
      <c r="BN81" s="51">
        <v>0.20170000000000032</v>
      </c>
      <c r="BO81" s="51">
        <v>0.1963000000000002</v>
      </c>
      <c r="BP81" s="51">
        <v>0.19040000000000018</v>
      </c>
    </row>
    <row r="82" spans="1:68" ht="15" thickBot="1" x14ac:dyDescent="0.35">
      <c r="A82" s="170" t="s">
        <v>428</v>
      </c>
      <c r="B82" s="62" t="s">
        <v>125</v>
      </c>
      <c r="C82" s="62" t="s">
        <v>152</v>
      </c>
      <c r="D82" s="48" t="s">
        <v>174</v>
      </c>
      <c r="E82" s="62" t="s">
        <v>175</v>
      </c>
      <c r="F82" s="62" t="s">
        <v>11</v>
      </c>
      <c r="G82" s="62" t="s">
        <v>11</v>
      </c>
      <c r="H82" s="62" t="s">
        <v>7</v>
      </c>
      <c r="I82" s="62" t="s">
        <v>64</v>
      </c>
      <c r="J82" s="62" t="s">
        <v>64</v>
      </c>
      <c r="K82" s="62" t="s">
        <v>64</v>
      </c>
      <c r="L82" s="62" t="s">
        <v>64</v>
      </c>
      <c r="M82" s="62" t="s">
        <v>64</v>
      </c>
      <c r="N82" s="62">
        <v>2023</v>
      </c>
      <c r="O82" s="62">
        <f>(1-O72)*0.95</f>
        <v>0.88349999999999995</v>
      </c>
      <c r="P82" s="62">
        <f t="shared" ref="P82:S82" si="44">(1-P72)*0.95</f>
        <v>0.89205000000000001</v>
      </c>
      <c r="Q82" s="62">
        <f t="shared" si="44"/>
        <v>0.85975000000000001</v>
      </c>
      <c r="R82" s="62">
        <f t="shared" si="44"/>
        <v>0.85880000000000001</v>
      </c>
      <c r="S82" s="62">
        <f t="shared" si="44"/>
        <v>0.85785</v>
      </c>
      <c r="T82" s="64" t="s">
        <v>129</v>
      </c>
      <c r="U82" s="51">
        <v>0.99990000000000001</v>
      </c>
      <c r="V82" s="51">
        <v>0.99990000000000001</v>
      </c>
      <c r="W82" s="51">
        <v>0.99990000000000001</v>
      </c>
      <c r="X82" s="51">
        <v>0.99990000000000001</v>
      </c>
      <c r="Y82" s="51">
        <v>0.99990000000000001</v>
      </c>
      <c r="Z82" s="51">
        <v>0.99990000000000001</v>
      </c>
      <c r="AA82" s="51">
        <v>0.99990000000000001</v>
      </c>
      <c r="AB82" s="51">
        <v>0.99940000000000007</v>
      </c>
      <c r="AC82" s="51">
        <v>0.99804285714285712</v>
      </c>
      <c r="AD82" s="51">
        <v>0.99618571428571434</v>
      </c>
      <c r="AE82" s="51">
        <v>0.99432857142857145</v>
      </c>
      <c r="AF82" s="51">
        <v>0.99247142857142856</v>
      </c>
      <c r="AG82" s="51">
        <v>0.99061428571428567</v>
      </c>
      <c r="AH82" s="51">
        <v>0.98875714285714289</v>
      </c>
      <c r="AI82" s="51">
        <v>0.98140000000000005</v>
      </c>
      <c r="AJ82" s="51">
        <v>0.97015000000000007</v>
      </c>
      <c r="AK82" s="51">
        <v>0.95889999999999997</v>
      </c>
      <c r="AL82" s="51">
        <v>0.94764999999999999</v>
      </c>
      <c r="AM82" s="51">
        <v>0.93640000000000001</v>
      </c>
      <c r="AN82" s="51">
        <v>0.92515000000000003</v>
      </c>
      <c r="AO82" s="51">
        <v>0.91390000000000005</v>
      </c>
      <c r="AP82" s="51">
        <v>0.90265000000000006</v>
      </c>
      <c r="AQ82" s="51">
        <v>0.89139999999999997</v>
      </c>
      <c r="AR82" s="51">
        <v>0.88014999999999999</v>
      </c>
      <c r="AS82" s="51">
        <v>0.86890000000000001</v>
      </c>
      <c r="AT82" s="51">
        <v>0.85765000000000002</v>
      </c>
      <c r="AU82" s="51">
        <v>0.84640000000000004</v>
      </c>
      <c r="AV82" s="51">
        <v>0.83515000000000006</v>
      </c>
      <c r="AW82" s="51">
        <v>0.82389999999999997</v>
      </c>
      <c r="AX82" s="51">
        <v>0.81264999999999998</v>
      </c>
      <c r="AY82" s="51">
        <v>0.8014</v>
      </c>
      <c r="AZ82" s="51">
        <v>0.77469999999999994</v>
      </c>
      <c r="BA82" s="51">
        <v>0.73350000000000004</v>
      </c>
      <c r="BB82" s="51">
        <v>0.69229999999999992</v>
      </c>
      <c r="BC82" s="51">
        <v>0.65110000000000001</v>
      </c>
      <c r="BD82" s="51">
        <v>0.60989999999999989</v>
      </c>
      <c r="BE82" s="51">
        <v>0.56869999999999998</v>
      </c>
      <c r="BF82" s="51">
        <v>0.52749999999999986</v>
      </c>
      <c r="BG82" s="51">
        <v>0.48629999999999995</v>
      </c>
      <c r="BH82" s="51">
        <v>0.44509999999999994</v>
      </c>
      <c r="BI82" s="51">
        <v>0.40390000000000004</v>
      </c>
      <c r="BJ82" s="51">
        <v>0.38870000000000005</v>
      </c>
      <c r="BK82" s="51">
        <v>0.37350000000000005</v>
      </c>
      <c r="BL82" s="51">
        <v>0.35830000000000006</v>
      </c>
      <c r="BM82" s="51">
        <v>0.34310000000000007</v>
      </c>
      <c r="BN82" s="51">
        <v>0.32790000000000008</v>
      </c>
      <c r="BO82" s="51">
        <v>0.31270000000000009</v>
      </c>
      <c r="BP82" s="51">
        <v>0.2975000000000001</v>
      </c>
    </row>
    <row r="83" spans="1:68" ht="15" thickBot="1" x14ac:dyDescent="0.35">
      <c r="A83" s="170" t="s">
        <v>428</v>
      </c>
      <c r="B83" s="62" t="s">
        <v>125</v>
      </c>
      <c r="C83" s="62" t="s">
        <v>126</v>
      </c>
      <c r="D83" s="48" t="s">
        <v>176</v>
      </c>
      <c r="E83" s="62" t="s">
        <v>177</v>
      </c>
      <c r="F83" s="62" t="s">
        <v>11</v>
      </c>
      <c r="G83" s="62" t="s">
        <v>11</v>
      </c>
      <c r="H83" s="62" t="s">
        <v>7</v>
      </c>
      <c r="I83" s="62" t="s">
        <v>64</v>
      </c>
      <c r="J83" s="62" t="s">
        <v>64</v>
      </c>
      <c r="K83" s="62" t="s">
        <v>64</v>
      </c>
      <c r="L83" s="62" t="s">
        <v>64</v>
      </c>
      <c r="M83" s="62" t="s">
        <v>64</v>
      </c>
      <c r="N83" s="62">
        <v>2023</v>
      </c>
      <c r="O83" s="62" t="s">
        <v>136</v>
      </c>
      <c r="P83" s="62" t="s">
        <v>136</v>
      </c>
      <c r="Q83" s="62">
        <f>(1-Q68)*0.9*0.03</f>
        <v>2.5517700000000001E-2</v>
      </c>
      <c r="R83" s="62">
        <f t="shared" ref="R83:S83" si="45">(1-R68)*0.9*0.03</f>
        <v>2.5541999999999999E-2</v>
      </c>
      <c r="S83" s="62">
        <f t="shared" si="45"/>
        <v>2.5566300000000004E-2</v>
      </c>
      <c r="T83" s="64" t="s">
        <v>129</v>
      </c>
      <c r="U83" s="51">
        <v>2.1000000000000001E-2</v>
      </c>
      <c r="V83" s="51">
        <v>2.2142857142857145E-2</v>
      </c>
      <c r="W83" s="51">
        <v>2.3285714285714288E-2</v>
      </c>
      <c r="X83" s="51">
        <v>2.4428571428571431E-2</v>
      </c>
      <c r="Y83" s="51">
        <v>2.5571428571428575E-2</v>
      </c>
      <c r="Z83" s="51">
        <v>2.6714285714285718E-2</v>
      </c>
      <c r="AA83" s="51">
        <v>2.7857142857142862E-2</v>
      </c>
      <c r="AB83" s="51">
        <v>2.9000000000000001E-2</v>
      </c>
      <c r="AC83" s="51">
        <v>2.8800000000000003E-2</v>
      </c>
      <c r="AD83" s="51">
        <v>2.8600000000000004E-2</v>
      </c>
      <c r="AE83" s="51">
        <v>2.8400000000000005E-2</v>
      </c>
      <c r="AF83" s="51">
        <v>2.8200000000000006E-2</v>
      </c>
      <c r="AG83" s="51">
        <v>2.8000000000000008E-2</v>
      </c>
      <c r="AH83" s="51">
        <v>2.7800000000000009E-2</v>
      </c>
      <c r="AI83" s="51">
        <v>2.760000000000001E-2</v>
      </c>
      <c r="AJ83" s="51">
        <v>2.7400000000000011E-2</v>
      </c>
      <c r="AK83" s="51">
        <v>2.7200000000000012E-2</v>
      </c>
      <c r="AL83" s="51">
        <v>2.7E-2</v>
      </c>
      <c r="AM83" s="51">
        <v>2.5399999999999999E-2</v>
      </c>
      <c r="AN83" s="51">
        <v>2.3799999999999998E-2</v>
      </c>
      <c r="AO83" s="51">
        <v>2.2199999999999998E-2</v>
      </c>
      <c r="AP83" s="51">
        <v>2.0599999999999997E-2</v>
      </c>
      <c r="AQ83" s="51">
        <v>1.8999999999999996E-2</v>
      </c>
      <c r="AR83" s="51">
        <v>1.7399999999999995E-2</v>
      </c>
      <c r="AS83" s="51">
        <v>1.5799999999999995E-2</v>
      </c>
      <c r="AT83" s="51">
        <v>1.4199999999999994E-2</v>
      </c>
      <c r="AU83" s="51">
        <v>1.2599999999999993E-2</v>
      </c>
      <c r="AV83" s="51">
        <v>1.0999999999999999E-2</v>
      </c>
      <c r="AW83" s="51">
        <v>1.0799999999999999E-2</v>
      </c>
      <c r="AX83" s="51">
        <v>1.0599999999999998E-2</v>
      </c>
      <c r="AY83" s="51">
        <v>1.0399999999999998E-2</v>
      </c>
      <c r="AZ83" s="51">
        <v>1.0199999999999997E-2</v>
      </c>
      <c r="BA83" s="51">
        <v>9.9999999999999967E-3</v>
      </c>
      <c r="BB83" s="51">
        <v>9.7999999999999962E-3</v>
      </c>
      <c r="BC83" s="51">
        <v>9.5999999999999957E-3</v>
      </c>
      <c r="BD83" s="51">
        <v>9.3999999999999952E-3</v>
      </c>
      <c r="BE83" s="51">
        <v>9.1999999999999946E-3</v>
      </c>
      <c r="BF83" s="51">
        <v>8.9999999999999941E-3</v>
      </c>
      <c r="BG83" s="51">
        <v>8.7999999999999936E-3</v>
      </c>
      <c r="BH83" s="51">
        <v>8.5999999999999931E-3</v>
      </c>
      <c r="BI83" s="51">
        <v>8.3999999999999925E-3</v>
      </c>
      <c r="BJ83" s="51">
        <v>8.199999999999992E-3</v>
      </c>
      <c r="BK83" s="51">
        <v>7.9999999999999915E-3</v>
      </c>
      <c r="BL83" s="51">
        <v>7.7999999999999918E-3</v>
      </c>
      <c r="BM83" s="51">
        <v>7.5999999999999922E-3</v>
      </c>
      <c r="BN83" s="51">
        <v>7.3999999999999925E-3</v>
      </c>
      <c r="BO83" s="51">
        <v>7.1999999999999929E-3</v>
      </c>
      <c r="BP83" s="51">
        <v>7.0000000000000001E-3</v>
      </c>
    </row>
    <row r="84" spans="1:68" ht="15" thickBot="1" x14ac:dyDescent="0.35">
      <c r="A84" s="170" t="s">
        <v>428</v>
      </c>
      <c r="B84" s="62" t="s">
        <v>125</v>
      </c>
      <c r="C84" s="62" t="s">
        <v>126</v>
      </c>
      <c r="D84" s="48" t="s">
        <v>178</v>
      </c>
      <c r="E84" s="62" t="s">
        <v>179</v>
      </c>
      <c r="F84" s="62" t="s">
        <v>11</v>
      </c>
      <c r="G84" s="62" t="s">
        <v>11</v>
      </c>
      <c r="H84" s="62" t="s">
        <v>7</v>
      </c>
      <c r="I84" s="62" t="s">
        <v>64</v>
      </c>
      <c r="J84" s="62" t="s">
        <v>64</v>
      </c>
      <c r="K84" s="62" t="s">
        <v>64</v>
      </c>
      <c r="L84" s="62" t="s">
        <v>64</v>
      </c>
      <c r="M84" s="62" t="s">
        <v>64</v>
      </c>
      <c r="N84" s="62">
        <v>2023</v>
      </c>
      <c r="O84" s="62" t="s">
        <v>136</v>
      </c>
      <c r="P84" s="62" t="s">
        <v>136</v>
      </c>
      <c r="Q84" s="62">
        <f>(1-Q67)*0.9</f>
        <v>0.9</v>
      </c>
      <c r="R84" s="62">
        <f t="shared" ref="R84:S84" si="46">(1-R67)*0.9</f>
        <v>0.9</v>
      </c>
      <c r="S84" s="62">
        <f t="shared" si="46"/>
        <v>0.9</v>
      </c>
      <c r="T84" s="64" t="s">
        <v>129</v>
      </c>
      <c r="U84" s="65">
        <v>0.99140000000000006</v>
      </c>
      <c r="V84" s="65">
        <v>0.9899</v>
      </c>
      <c r="W84" s="65">
        <v>0.9859</v>
      </c>
      <c r="X84" s="65">
        <v>0.97689999999999999</v>
      </c>
      <c r="Y84" s="65">
        <v>0.97389999999999999</v>
      </c>
      <c r="Z84" s="65">
        <v>0.97089999999999999</v>
      </c>
      <c r="AA84" s="65">
        <v>0.95211848739495797</v>
      </c>
      <c r="AB84" s="65">
        <v>0.93333697478991595</v>
      </c>
      <c r="AC84" s="65">
        <v>0.91475546218487391</v>
      </c>
      <c r="AD84" s="65">
        <v>0.89617394957983187</v>
      </c>
      <c r="AE84" s="65">
        <v>0.87759243697478995</v>
      </c>
      <c r="AF84" s="65">
        <v>0.85901092436974791</v>
      </c>
      <c r="AG84" s="65">
        <v>0.84042941176470587</v>
      </c>
      <c r="AH84" s="65">
        <v>0.81637647058823526</v>
      </c>
      <c r="AI84" s="65">
        <v>0.79232352941176465</v>
      </c>
      <c r="AJ84" s="65">
        <v>0.76827058823529415</v>
      </c>
      <c r="AK84" s="65">
        <v>0.74421764705882354</v>
      </c>
      <c r="AL84" s="65">
        <v>0.72016470588235304</v>
      </c>
      <c r="AM84" s="65">
        <v>0.6964117647058824</v>
      </c>
      <c r="AN84" s="65">
        <v>0.67265882352941175</v>
      </c>
      <c r="AO84" s="65">
        <v>0.64890588235294122</v>
      </c>
      <c r="AP84" s="65">
        <v>0.62515294117647058</v>
      </c>
      <c r="AQ84" s="65">
        <v>0.60140000000000016</v>
      </c>
      <c r="AR84" s="65">
        <v>0.58089999999999997</v>
      </c>
      <c r="AS84" s="65">
        <v>0.56040000000000001</v>
      </c>
      <c r="AT84" s="65">
        <v>0.53990000000000005</v>
      </c>
      <c r="AU84" s="65">
        <v>0.51940000000000008</v>
      </c>
      <c r="AV84" s="65">
        <v>0.49890000000000001</v>
      </c>
      <c r="AW84" s="65">
        <v>0.47789999999999999</v>
      </c>
      <c r="AX84" s="65">
        <v>0.45690000000000008</v>
      </c>
      <c r="AY84" s="65">
        <v>0.43590000000000012</v>
      </c>
      <c r="AZ84" s="65">
        <v>0.41490000000000005</v>
      </c>
      <c r="BA84" s="65">
        <v>0.39390000000000008</v>
      </c>
      <c r="BB84" s="65">
        <v>0.38085000000000002</v>
      </c>
      <c r="BC84" s="65">
        <v>0.36780000000000002</v>
      </c>
      <c r="BD84" s="65">
        <v>0.35475000000000012</v>
      </c>
      <c r="BE84" s="65">
        <v>0.34170000000000017</v>
      </c>
      <c r="BF84" s="65">
        <v>0.32865000000000011</v>
      </c>
      <c r="BG84" s="65">
        <v>0.3156000000000001</v>
      </c>
      <c r="BH84" s="65">
        <v>0.3025500000000001</v>
      </c>
      <c r="BI84" s="65">
        <v>0.28950000000000004</v>
      </c>
      <c r="BJ84" s="65">
        <v>0.27644999999999997</v>
      </c>
      <c r="BK84" s="65">
        <v>0.26339999999999997</v>
      </c>
      <c r="BL84" s="65">
        <v>0.25009999999999993</v>
      </c>
      <c r="BM84" s="65">
        <v>0.2362999999999999</v>
      </c>
      <c r="BN84" s="65">
        <v>0.22249999999999986</v>
      </c>
      <c r="BO84" s="65">
        <v>0.20869999999999983</v>
      </c>
      <c r="BP84" s="65">
        <v>0.1948999999999998</v>
      </c>
    </row>
    <row r="85" spans="1:68" ht="15" thickBot="1" x14ac:dyDescent="0.35">
      <c r="A85" s="170" t="s">
        <v>428</v>
      </c>
      <c r="B85" s="62" t="s">
        <v>125</v>
      </c>
      <c r="C85" s="62" t="s">
        <v>126</v>
      </c>
      <c r="D85" s="48" t="s">
        <v>180</v>
      </c>
      <c r="E85" s="62" t="s">
        <v>181</v>
      </c>
      <c r="F85" s="62" t="s">
        <v>11</v>
      </c>
      <c r="G85" s="62" t="s">
        <v>11</v>
      </c>
      <c r="H85" s="62" t="s">
        <v>7</v>
      </c>
      <c r="I85" s="62" t="s">
        <v>64</v>
      </c>
      <c r="J85" s="62" t="s">
        <v>64</v>
      </c>
      <c r="K85" s="62" t="s">
        <v>64</v>
      </c>
      <c r="L85" s="62" t="s">
        <v>64</v>
      </c>
      <c r="M85" s="62" t="s">
        <v>64</v>
      </c>
      <c r="N85" s="62">
        <v>2023</v>
      </c>
      <c r="O85" s="62" t="s">
        <v>136</v>
      </c>
      <c r="P85" s="62" t="s">
        <v>136</v>
      </c>
      <c r="Q85" s="62">
        <f>(1-Q69)*0.9*0.27</f>
        <v>0.24300000000000002</v>
      </c>
      <c r="R85" s="62">
        <f t="shared" ref="R85:S85" si="47">(1-R69)*0.9*0.27</f>
        <v>0.24300000000000002</v>
      </c>
      <c r="S85" s="62">
        <f t="shared" si="47"/>
        <v>0.24300000000000002</v>
      </c>
      <c r="T85" s="64" t="s">
        <v>129</v>
      </c>
      <c r="U85" s="51">
        <v>0.26816666666666666</v>
      </c>
      <c r="V85" s="51">
        <v>0.26633333333333331</v>
      </c>
      <c r="W85" s="51">
        <v>0.26449999999999996</v>
      </c>
      <c r="X85" s="51">
        <v>0.2626666666666666</v>
      </c>
      <c r="Y85" s="51">
        <v>0.26083333333333325</v>
      </c>
      <c r="Z85" s="51">
        <v>0.25900000000000001</v>
      </c>
      <c r="AA85" s="51">
        <v>0.25600000000000001</v>
      </c>
      <c r="AB85" s="51">
        <v>0.253</v>
      </c>
      <c r="AC85" s="51">
        <v>0.2447</v>
      </c>
      <c r="AD85" s="51">
        <v>0.2364</v>
      </c>
      <c r="AE85" s="51">
        <v>0.2281</v>
      </c>
      <c r="AF85" s="51">
        <v>0.2198</v>
      </c>
      <c r="AG85" s="51">
        <v>0.21149999999999999</v>
      </c>
      <c r="AH85" s="51">
        <v>0.20319999999999999</v>
      </c>
      <c r="AI85" s="51">
        <v>0.19489999999999999</v>
      </c>
      <c r="AJ85" s="51">
        <v>0.18659999999999999</v>
      </c>
      <c r="AK85" s="51">
        <v>0.17829999999999999</v>
      </c>
      <c r="AL85" s="51">
        <v>0.17</v>
      </c>
      <c r="AM85" s="51">
        <v>0.16240000000000002</v>
      </c>
      <c r="AN85" s="51">
        <v>0.15480000000000002</v>
      </c>
      <c r="AO85" s="51">
        <v>0.14720000000000003</v>
      </c>
      <c r="AP85" s="51">
        <v>0.13960000000000003</v>
      </c>
      <c r="AQ85" s="51">
        <v>0.13200000000000003</v>
      </c>
      <c r="AR85" s="51">
        <v>0.12440000000000004</v>
      </c>
      <c r="AS85" s="51">
        <v>0.11680000000000004</v>
      </c>
      <c r="AT85" s="51">
        <v>0.10920000000000005</v>
      </c>
      <c r="AU85" s="51">
        <v>0.10160000000000005</v>
      </c>
      <c r="AV85" s="51">
        <v>9.4E-2</v>
      </c>
      <c r="AW85" s="51">
        <v>9.11E-2</v>
      </c>
      <c r="AX85" s="51">
        <v>8.8200000000000001E-2</v>
      </c>
      <c r="AY85" s="51">
        <v>8.5300000000000001E-2</v>
      </c>
      <c r="AZ85" s="51">
        <v>8.2400000000000001E-2</v>
      </c>
      <c r="BA85" s="51">
        <v>7.9500000000000001E-2</v>
      </c>
      <c r="BB85" s="51">
        <v>7.6600000000000001E-2</v>
      </c>
      <c r="BC85" s="51">
        <v>7.3700000000000002E-2</v>
      </c>
      <c r="BD85" s="51">
        <v>7.0800000000000002E-2</v>
      </c>
      <c r="BE85" s="51">
        <v>6.7900000000000002E-2</v>
      </c>
      <c r="BF85" s="51">
        <v>6.5000000000000002E-2</v>
      </c>
      <c r="BG85" s="51">
        <v>6.2100000000000002E-2</v>
      </c>
      <c r="BH85" s="51">
        <v>5.9200000000000003E-2</v>
      </c>
      <c r="BI85" s="51">
        <v>5.6300000000000003E-2</v>
      </c>
      <c r="BJ85" s="51">
        <v>5.3400000000000003E-2</v>
      </c>
      <c r="BK85" s="51">
        <v>5.0500000000000003E-2</v>
      </c>
      <c r="BL85" s="51">
        <v>4.7600000000000003E-2</v>
      </c>
      <c r="BM85" s="51">
        <v>4.4700000000000004E-2</v>
      </c>
      <c r="BN85" s="51">
        <v>4.1800000000000004E-2</v>
      </c>
      <c r="BO85" s="51">
        <v>3.8900000000000004E-2</v>
      </c>
      <c r="BP85" s="51">
        <v>3.5999999999999997E-2</v>
      </c>
    </row>
    <row r="86" spans="1:68" ht="15" thickBot="1" x14ac:dyDescent="0.35">
      <c r="A86" s="170" t="s">
        <v>428</v>
      </c>
      <c r="B86" s="62" t="s">
        <v>125</v>
      </c>
      <c r="C86" s="62" t="s">
        <v>126</v>
      </c>
      <c r="D86" s="48" t="s">
        <v>182</v>
      </c>
      <c r="E86" s="63" t="s">
        <v>183</v>
      </c>
      <c r="F86" s="62" t="s">
        <v>11</v>
      </c>
      <c r="G86" s="62" t="s">
        <v>11</v>
      </c>
      <c r="H86" s="62" t="s">
        <v>7</v>
      </c>
      <c r="I86" s="62" t="s">
        <v>64</v>
      </c>
      <c r="J86" s="62" t="s">
        <v>64</v>
      </c>
      <c r="K86" s="62" t="s">
        <v>64</v>
      </c>
      <c r="L86" s="62" t="s">
        <v>64</v>
      </c>
      <c r="M86" s="62" t="s">
        <v>64</v>
      </c>
      <c r="N86" s="62">
        <v>2023</v>
      </c>
      <c r="O86" s="62" t="s">
        <v>136</v>
      </c>
      <c r="P86" s="62">
        <v>0</v>
      </c>
      <c r="Q86" s="62">
        <v>0</v>
      </c>
      <c r="R86" s="62">
        <v>0</v>
      </c>
      <c r="S86" s="62">
        <v>0</v>
      </c>
      <c r="T86" s="64" t="s">
        <v>129</v>
      </c>
      <c r="U86" s="51">
        <v>0.01</v>
      </c>
      <c r="V86" s="51">
        <v>1.4999999999999999E-2</v>
      </c>
      <c r="W86" s="51">
        <v>1.7999999999999999E-2</v>
      </c>
      <c r="X86" s="51">
        <v>2.1999999999999999E-2</v>
      </c>
      <c r="Y86" s="51">
        <v>2.5000000000000001E-2</v>
      </c>
      <c r="Z86" s="51">
        <v>2.7E-2</v>
      </c>
      <c r="AA86" s="51">
        <v>2.8000000000000001E-2</v>
      </c>
      <c r="AB86" s="51">
        <v>3.3000000000000002E-2</v>
      </c>
      <c r="AC86" s="51">
        <v>3.7999999999999999E-2</v>
      </c>
      <c r="AD86" s="51">
        <v>4.2999999999999997E-2</v>
      </c>
      <c r="AE86" s="51">
        <v>4.7999999999999994E-2</v>
      </c>
      <c r="AF86" s="51">
        <v>5.2999999999999992E-2</v>
      </c>
      <c r="AG86" s="51">
        <v>5.8000000000000003E-2</v>
      </c>
      <c r="AH86" s="51">
        <v>6.9800000000000001E-2</v>
      </c>
      <c r="AI86" s="51">
        <v>8.1600000000000006E-2</v>
      </c>
      <c r="AJ86" s="51">
        <v>9.3400000000000011E-2</v>
      </c>
      <c r="AK86" s="51">
        <v>0.10520000000000002</v>
      </c>
      <c r="AL86" s="51">
        <v>0.11700000000000002</v>
      </c>
      <c r="AM86" s="51">
        <v>0.12880000000000003</v>
      </c>
      <c r="AN86" s="51">
        <v>0.14060000000000003</v>
      </c>
      <c r="AO86" s="51">
        <v>0.15240000000000004</v>
      </c>
      <c r="AP86" s="51">
        <v>0.16420000000000004</v>
      </c>
      <c r="AQ86" s="51">
        <v>0.17599999999999999</v>
      </c>
      <c r="AR86" s="51">
        <v>0.17749999999999999</v>
      </c>
      <c r="AS86" s="51">
        <v>0.17899999999999999</v>
      </c>
      <c r="AT86" s="51">
        <v>0.18049999999999999</v>
      </c>
      <c r="AU86" s="51">
        <v>0.182</v>
      </c>
      <c r="AV86" s="51">
        <v>0.1835</v>
      </c>
      <c r="AW86" s="51">
        <v>0.185</v>
      </c>
      <c r="AX86" s="51">
        <v>0.1865</v>
      </c>
      <c r="AY86" s="51">
        <v>0.188</v>
      </c>
      <c r="AZ86" s="51">
        <v>0.1895</v>
      </c>
      <c r="BA86" s="51">
        <v>0.191</v>
      </c>
      <c r="BB86" s="51">
        <v>0.19009999999999999</v>
      </c>
      <c r="BC86" s="51">
        <v>0.18919999999999998</v>
      </c>
      <c r="BD86" s="51">
        <v>0.18829999999999997</v>
      </c>
      <c r="BE86" s="51">
        <v>0.18739999999999996</v>
      </c>
      <c r="BF86" s="51">
        <v>0.18649999999999994</v>
      </c>
      <c r="BG86" s="51">
        <v>0.18559999999999993</v>
      </c>
      <c r="BH86" s="51">
        <v>0.18469999999999992</v>
      </c>
      <c r="BI86" s="51">
        <v>0.18379999999999991</v>
      </c>
      <c r="BJ86" s="51">
        <v>0.1828999999999999</v>
      </c>
      <c r="BK86" s="51">
        <v>0.18199999999999988</v>
      </c>
      <c r="BL86" s="51">
        <v>0.18109999999999987</v>
      </c>
      <c r="BM86" s="51">
        <v>0.18019999999999986</v>
      </c>
      <c r="BN86" s="51">
        <v>0.17929999999999985</v>
      </c>
      <c r="BO86" s="51">
        <v>0.17839999999999984</v>
      </c>
      <c r="BP86" s="51">
        <v>0.17749999999999982</v>
      </c>
    </row>
    <row r="87" spans="1:68" ht="15" thickBot="1" x14ac:dyDescent="0.35">
      <c r="A87" s="170" t="s">
        <v>428</v>
      </c>
      <c r="B87" s="62" t="s">
        <v>125</v>
      </c>
      <c r="C87" s="62" t="s">
        <v>126</v>
      </c>
      <c r="D87" s="48" t="s">
        <v>184</v>
      </c>
      <c r="E87" s="62" t="s">
        <v>185</v>
      </c>
      <c r="F87" s="62" t="s">
        <v>11</v>
      </c>
      <c r="G87" s="62" t="s">
        <v>11</v>
      </c>
      <c r="H87" s="62" t="s">
        <v>7</v>
      </c>
      <c r="I87" s="62" t="s">
        <v>64</v>
      </c>
      <c r="J87" s="62" t="s">
        <v>64</v>
      </c>
      <c r="K87" s="62" t="s">
        <v>64</v>
      </c>
      <c r="L87" s="62" t="s">
        <v>64</v>
      </c>
      <c r="M87" s="62" t="s">
        <v>64</v>
      </c>
      <c r="N87" s="62">
        <v>2023</v>
      </c>
      <c r="O87" s="62" t="s">
        <v>136</v>
      </c>
      <c r="P87" s="62">
        <v>0</v>
      </c>
      <c r="Q87" s="62">
        <v>0</v>
      </c>
      <c r="R87" s="62">
        <v>0</v>
      </c>
      <c r="S87" s="62">
        <v>0</v>
      </c>
      <c r="T87" s="64" t="s">
        <v>129</v>
      </c>
      <c r="U87" s="51">
        <v>7.0000000000000001E-3</v>
      </c>
      <c r="V87" s="51">
        <v>7.0000000000000001E-3</v>
      </c>
      <c r="W87" s="51">
        <v>7.0000000000000001E-3</v>
      </c>
      <c r="X87" s="51">
        <v>7.0000000000000001E-3</v>
      </c>
      <c r="Y87" s="51">
        <v>7.0000000000000001E-3</v>
      </c>
      <c r="Z87" s="51">
        <v>7.0000000000000001E-3</v>
      </c>
      <c r="AA87" s="51">
        <v>7.0000000000000001E-3</v>
      </c>
      <c r="AB87" s="51">
        <v>7.0000000000000001E-3</v>
      </c>
      <c r="AC87" s="51">
        <v>6.8000000000000005E-3</v>
      </c>
      <c r="AD87" s="51">
        <v>6.6000000000000008E-3</v>
      </c>
      <c r="AE87" s="51">
        <v>6.4000000000000012E-3</v>
      </c>
      <c r="AF87" s="51">
        <v>6.2000000000000015E-3</v>
      </c>
      <c r="AG87" s="51">
        <v>6.0000000000000019E-3</v>
      </c>
      <c r="AH87" s="51">
        <v>5.8000000000000022E-3</v>
      </c>
      <c r="AI87" s="51">
        <v>5.6000000000000025E-3</v>
      </c>
      <c r="AJ87" s="51">
        <v>5.4000000000000029E-3</v>
      </c>
      <c r="AK87" s="51">
        <v>5.2000000000000032E-3</v>
      </c>
      <c r="AL87" s="51">
        <v>5.0000000000000001E-3</v>
      </c>
      <c r="AM87" s="51">
        <v>4.5000000000000005E-3</v>
      </c>
      <c r="AN87" s="51">
        <v>4.0000000000000001E-3</v>
      </c>
      <c r="AO87" s="51">
        <v>3.5000000000000001E-3</v>
      </c>
      <c r="AP87" s="51">
        <v>3.0000000000000001E-3</v>
      </c>
      <c r="AQ87" s="51">
        <v>2.5000000000000001E-3</v>
      </c>
      <c r="AR87" s="51">
        <v>2E-3</v>
      </c>
      <c r="AS87" s="51">
        <v>1.5E-3</v>
      </c>
      <c r="AT87" s="51">
        <v>1E-3</v>
      </c>
      <c r="AU87" s="51">
        <v>5.0000000000000001E-4</v>
      </c>
      <c r="AV87" s="51">
        <v>0</v>
      </c>
      <c r="AW87" s="51">
        <v>0</v>
      </c>
      <c r="AX87" s="51">
        <v>0</v>
      </c>
      <c r="AY87" s="51">
        <v>0</v>
      </c>
      <c r="AZ87" s="51">
        <v>0</v>
      </c>
      <c r="BA87" s="51">
        <v>0</v>
      </c>
      <c r="BB87" s="51">
        <v>0</v>
      </c>
      <c r="BC87" s="51">
        <v>0</v>
      </c>
      <c r="BD87" s="51">
        <v>0</v>
      </c>
      <c r="BE87" s="51">
        <v>0</v>
      </c>
      <c r="BF87" s="51">
        <v>0</v>
      </c>
      <c r="BG87" s="51">
        <v>0</v>
      </c>
      <c r="BH87" s="51">
        <v>0</v>
      </c>
      <c r="BI87" s="51">
        <v>0</v>
      </c>
      <c r="BJ87" s="51">
        <v>0</v>
      </c>
      <c r="BK87" s="51">
        <v>0</v>
      </c>
      <c r="BL87" s="51">
        <v>0</v>
      </c>
      <c r="BM87" s="51">
        <v>0</v>
      </c>
      <c r="BN87" s="51">
        <v>0</v>
      </c>
      <c r="BO87" s="51">
        <v>0</v>
      </c>
      <c r="BP87" s="51">
        <v>0</v>
      </c>
    </row>
    <row r="88" spans="1:68" ht="15" thickBot="1" x14ac:dyDescent="0.35">
      <c r="A88" s="170" t="s">
        <v>428</v>
      </c>
      <c r="B88" s="62" t="s">
        <v>125</v>
      </c>
      <c r="C88" s="62" t="s">
        <v>130</v>
      </c>
      <c r="D88" s="48" t="s">
        <v>186</v>
      </c>
      <c r="E88" s="62" t="s">
        <v>187</v>
      </c>
      <c r="F88" s="62" t="s">
        <v>11</v>
      </c>
      <c r="G88" s="62" t="s">
        <v>11</v>
      </c>
      <c r="H88" s="62" t="s">
        <v>7</v>
      </c>
      <c r="I88" s="62" t="s">
        <v>64</v>
      </c>
      <c r="J88" s="62" t="s">
        <v>64</v>
      </c>
      <c r="K88" s="62" t="s">
        <v>64</v>
      </c>
      <c r="L88" s="62" t="s">
        <v>64</v>
      </c>
      <c r="M88" s="62" t="s">
        <v>64</v>
      </c>
      <c r="N88" s="62">
        <v>2023</v>
      </c>
      <c r="O88" s="62">
        <f>(1-SUM(O70:O71))*0.95</f>
        <v>0.88349999999999995</v>
      </c>
      <c r="P88" s="62">
        <f t="shared" ref="P88:S88" si="48">(1-SUM(P70:P71))*0.95</f>
        <v>0.89205000000000001</v>
      </c>
      <c r="Q88" s="62">
        <f t="shared" si="48"/>
        <v>0.50710524999999995</v>
      </c>
      <c r="R88" s="62">
        <f t="shared" si="48"/>
        <v>0.50677939999999988</v>
      </c>
      <c r="S88" s="62">
        <f t="shared" si="48"/>
        <v>0.50645355000000003</v>
      </c>
      <c r="T88" s="64" t="s">
        <v>129</v>
      </c>
      <c r="U88" s="51">
        <v>0.99990000000000001</v>
      </c>
      <c r="V88" s="51">
        <v>0.99990000000000001</v>
      </c>
      <c r="W88" s="51">
        <v>0.99990000000000001</v>
      </c>
      <c r="X88" s="51">
        <v>0.99990000000000001</v>
      </c>
      <c r="Y88" s="51">
        <v>0.99990000000000001</v>
      </c>
      <c r="Z88" s="51">
        <v>0.99990000000000001</v>
      </c>
      <c r="AA88" s="51">
        <v>0.99990000000000001</v>
      </c>
      <c r="AB88" s="51">
        <v>0.99990000000000001</v>
      </c>
      <c r="AC88" s="51">
        <v>0.99990000000000001</v>
      </c>
      <c r="AD88" s="51">
        <v>0.99990000000000001</v>
      </c>
      <c r="AE88" s="51">
        <v>0.99990000000000001</v>
      </c>
      <c r="AF88" s="51">
        <v>0.99990000000000001</v>
      </c>
      <c r="AG88" s="51">
        <v>0.99980000000000002</v>
      </c>
      <c r="AH88" s="51">
        <v>0.99870000000000003</v>
      </c>
      <c r="AI88" s="51">
        <v>0.99800000000000011</v>
      </c>
      <c r="AJ88" s="51">
        <v>0.99729999999999996</v>
      </c>
      <c r="AK88" s="51">
        <v>0.99573333333333336</v>
      </c>
      <c r="AL88" s="51">
        <v>0.99356666666666671</v>
      </c>
      <c r="AM88" s="51">
        <v>0.99119999999999997</v>
      </c>
      <c r="AN88" s="51">
        <v>0.98583333333333334</v>
      </c>
      <c r="AO88" s="51">
        <v>0.98046666666666671</v>
      </c>
      <c r="AP88" s="51">
        <v>0.97509999999999997</v>
      </c>
      <c r="AQ88" s="51">
        <v>0.96240000000000003</v>
      </c>
      <c r="AR88" s="51">
        <v>0.94969999999999999</v>
      </c>
      <c r="AS88" s="51">
        <v>0.93699999999999994</v>
      </c>
      <c r="AT88" s="51">
        <v>0.92430000000000001</v>
      </c>
      <c r="AU88" s="51">
        <v>0.91159999999999997</v>
      </c>
      <c r="AV88" s="51">
        <v>0.89889999999999992</v>
      </c>
      <c r="AW88" s="51">
        <v>0.88690000000000002</v>
      </c>
      <c r="AX88" s="51">
        <v>0.8748999999999999</v>
      </c>
      <c r="AY88" s="51">
        <v>0.8629</v>
      </c>
      <c r="AZ88" s="51">
        <v>0.85089999999999999</v>
      </c>
      <c r="BA88" s="51">
        <v>0.83555000000000001</v>
      </c>
      <c r="BB88" s="51">
        <v>0.82019999999999993</v>
      </c>
      <c r="BC88" s="51">
        <v>0.80484999999999995</v>
      </c>
      <c r="BD88" s="51">
        <v>0.78949999999999998</v>
      </c>
      <c r="BE88" s="51">
        <v>0.77414999999999989</v>
      </c>
      <c r="BF88" s="51">
        <v>0.75879999999999992</v>
      </c>
      <c r="BG88" s="51">
        <v>0.74235000000000007</v>
      </c>
      <c r="BH88" s="51">
        <v>0.72589999999999999</v>
      </c>
      <c r="BI88" s="51">
        <v>0.70945000000000014</v>
      </c>
      <c r="BJ88" s="51">
        <v>0.69300000000000006</v>
      </c>
      <c r="BK88" s="51">
        <v>0.66763750000000011</v>
      </c>
      <c r="BL88" s="51">
        <v>0.64227500000000015</v>
      </c>
      <c r="BM88" s="51">
        <v>0.6169125000000002</v>
      </c>
      <c r="BN88" s="51">
        <v>0.59155000000000024</v>
      </c>
      <c r="BO88" s="51">
        <v>0.56618750000000029</v>
      </c>
      <c r="BP88" s="51">
        <v>0.54082500000000033</v>
      </c>
    </row>
    <row r="89" spans="1:68" ht="15" thickBot="1" x14ac:dyDescent="0.35">
      <c r="A89" s="170" t="s">
        <v>428</v>
      </c>
      <c r="B89" s="62" t="s">
        <v>125</v>
      </c>
      <c r="C89" s="62" t="s">
        <v>155</v>
      </c>
      <c r="D89" s="48" t="s">
        <v>188</v>
      </c>
      <c r="E89" s="62" t="s">
        <v>189</v>
      </c>
      <c r="F89" s="62" t="s">
        <v>11</v>
      </c>
      <c r="G89" s="62" t="s">
        <v>11</v>
      </c>
      <c r="H89" s="62" t="s">
        <v>7</v>
      </c>
      <c r="I89" s="62" t="s">
        <v>64</v>
      </c>
      <c r="J89" s="62" t="s">
        <v>64</v>
      </c>
      <c r="K89" s="62" t="s">
        <v>64</v>
      </c>
      <c r="L89" s="62" t="s">
        <v>64</v>
      </c>
      <c r="M89" s="62" t="s">
        <v>64</v>
      </c>
      <c r="N89" s="62">
        <v>2023</v>
      </c>
      <c r="O89" s="62">
        <f>(1-O73)*0.95*0.34</f>
        <v>0.31331000000000003</v>
      </c>
      <c r="P89" s="62">
        <f t="shared" ref="P89:S89" si="49">(1-P73)*0.95*0.34</f>
        <v>0.29070000000000001</v>
      </c>
      <c r="Q89" s="62">
        <f t="shared" si="49"/>
        <v>0.1938</v>
      </c>
      <c r="R89" s="62">
        <f t="shared" si="49"/>
        <v>0.19347699999999998</v>
      </c>
      <c r="S89" s="62">
        <f t="shared" si="49"/>
        <v>0.19315399999999999</v>
      </c>
      <c r="T89" s="64" t="s">
        <v>129</v>
      </c>
      <c r="U89" s="51">
        <v>0.33336326530612242</v>
      </c>
      <c r="V89" s="51">
        <v>0.33332653061224488</v>
      </c>
      <c r="W89" s="51">
        <v>0.33328979591836733</v>
      </c>
      <c r="X89" s="51">
        <v>0.33325306122448978</v>
      </c>
      <c r="Y89" s="51">
        <v>0.33321632653061223</v>
      </c>
      <c r="Z89" s="51">
        <v>0.33317959183673468</v>
      </c>
      <c r="AA89" s="51">
        <v>0.33314285714285718</v>
      </c>
      <c r="AB89" s="51">
        <v>0.33228571428571435</v>
      </c>
      <c r="AC89" s="51">
        <v>0.33142857142857152</v>
      </c>
      <c r="AD89" s="51">
        <v>0.33057142857142868</v>
      </c>
      <c r="AE89" s="51">
        <v>0.32971428571428585</v>
      </c>
      <c r="AF89" s="51">
        <v>0.32885714285714301</v>
      </c>
      <c r="AG89" s="51">
        <v>0.32800000000000001</v>
      </c>
      <c r="AH89" s="51">
        <v>0.3251</v>
      </c>
      <c r="AI89" s="51">
        <v>0.32219999999999999</v>
      </c>
      <c r="AJ89" s="51">
        <v>0.31929999999999997</v>
      </c>
      <c r="AK89" s="51">
        <v>0.31639999999999996</v>
      </c>
      <c r="AL89" s="51">
        <v>0.31349999999999995</v>
      </c>
      <c r="AM89" s="51">
        <v>0.31059999999999993</v>
      </c>
      <c r="AN89" s="51">
        <v>0.30769999999999992</v>
      </c>
      <c r="AO89" s="51">
        <v>0.3047999999999999</v>
      </c>
      <c r="AP89" s="51">
        <v>0.30189999999999989</v>
      </c>
      <c r="AQ89" s="51">
        <v>0.29899999999999999</v>
      </c>
      <c r="AR89" s="51">
        <v>0.2848</v>
      </c>
      <c r="AS89" s="51">
        <v>0.27060000000000001</v>
      </c>
      <c r="AT89" s="51">
        <v>0.25640000000000002</v>
      </c>
      <c r="AU89" s="51">
        <v>0.24220000000000003</v>
      </c>
      <c r="AV89" s="51">
        <v>0.22800000000000004</v>
      </c>
      <c r="AW89" s="51">
        <v>0.21380000000000005</v>
      </c>
      <c r="AX89" s="51">
        <v>0.19960000000000006</v>
      </c>
      <c r="AY89" s="51">
        <v>0.18540000000000006</v>
      </c>
      <c r="AZ89" s="51">
        <v>0.17120000000000007</v>
      </c>
      <c r="BA89" s="51">
        <v>0.157</v>
      </c>
      <c r="BB89" s="51">
        <v>0.15195</v>
      </c>
      <c r="BC89" s="51">
        <v>0.1469</v>
      </c>
      <c r="BD89" s="51">
        <v>0.14185</v>
      </c>
      <c r="BE89" s="51">
        <v>0.1368</v>
      </c>
      <c r="BF89" s="51">
        <v>0.13175000000000001</v>
      </c>
      <c r="BG89" s="51">
        <v>0.12670000000000001</v>
      </c>
      <c r="BH89" s="51">
        <v>0.12165000000000001</v>
      </c>
      <c r="BI89" s="51">
        <v>0.11660000000000001</v>
      </c>
      <c r="BJ89" s="51">
        <v>0.11155000000000001</v>
      </c>
      <c r="BK89" s="51">
        <v>0.10650000000000001</v>
      </c>
      <c r="BL89" s="51">
        <v>0.10145000000000001</v>
      </c>
      <c r="BM89" s="51">
        <v>9.6400000000000013E-2</v>
      </c>
      <c r="BN89" s="51">
        <v>9.1350000000000015E-2</v>
      </c>
      <c r="BO89" s="51">
        <v>8.6300000000000016E-2</v>
      </c>
      <c r="BP89" s="51">
        <v>8.1250000000000017E-2</v>
      </c>
    </row>
    <row r="90" spans="1:68" ht="15" thickBot="1" x14ac:dyDescent="0.35">
      <c r="A90" s="170" t="s">
        <v>428</v>
      </c>
      <c r="B90" s="62" t="s">
        <v>125</v>
      </c>
      <c r="C90" s="62" t="s">
        <v>155</v>
      </c>
      <c r="D90" s="48" t="s">
        <v>190</v>
      </c>
      <c r="E90" s="62" t="s">
        <v>191</v>
      </c>
      <c r="F90" s="62" t="s">
        <v>11</v>
      </c>
      <c r="G90" s="62" t="s">
        <v>11</v>
      </c>
      <c r="H90" s="62" t="s">
        <v>7</v>
      </c>
      <c r="I90" s="62" t="s">
        <v>64</v>
      </c>
      <c r="J90" s="62" t="s">
        <v>64</v>
      </c>
      <c r="K90" s="62" t="s">
        <v>64</v>
      </c>
      <c r="L90" s="62" t="s">
        <v>64</v>
      </c>
      <c r="M90" s="62" t="s">
        <v>64</v>
      </c>
      <c r="N90" s="62">
        <v>2023</v>
      </c>
      <c r="O90" s="62">
        <f>(1-O73)*0.95*0.66</f>
        <v>0.60819000000000001</v>
      </c>
      <c r="P90" s="62">
        <f t="shared" ref="P90:S90" si="50">(1-P73)*0.95*0.66</f>
        <v>0.56430000000000002</v>
      </c>
      <c r="Q90" s="62">
        <f t="shared" si="50"/>
        <v>0.37619999999999998</v>
      </c>
      <c r="R90" s="62">
        <f t="shared" si="50"/>
        <v>0.37557299999999999</v>
      </c>
      <c r="S90" s="62">
        <f t="shared" si="50"/>
        <v>0.374946</v>
      </c>
      <c r="T90" s="64" t="s">
        <v>129</v>
      </c>
      <c r="U90" s="51">
        <v>0.66106734693877545</v>
      </c>
      <c r="V90" s="51">
        <v>0.66063469387755114</v>
      </c>
      <c r="W90" s="51">
        <v>0.6602020408163265</v>
      </c>
      <c r="X90" s="51">
        <v>0.65976938775510208</v>
      </c>
      <c r="Y90" s="51">
        <v>0.65933673469387755</v>
      </c>
      <c r="Z90" s="51">
        <v>0.65890408163265313</v>
      </c>
      <c r="AA90" s="51">
        <v>0.6584714285714286</v>
      </c>
      <c r="AB90" s="51">
        <v>0.65604285714285715</v>
      </c>
      <c r="AC90" s="51">
        <v>0.65361428571428559</v>
      </c>
      <c r="AD90" s="51">
        <v>0.65118571428571415</v>
      </c>
      <c r="AE90" s="51">
        <v>0.6487571428571427</v>
      </c>
      <c r="AF90" s="51">
        <v>0.64632857142857136</v>
      </c>
      <c r="AG90" s="51">
        <v>0.64389999999999992</v>
      </c>
      <c r="AH90" s="51">
        <v>0.63750000000000007</v>
      </c>
      <c r="AI90" s="51">
        <v>0.63109999999999999</v>
      </c>
      <c r="AJ90" s="51">
        <v>0.62470000000000003</v>
      </c>
      <c r="AK90" s="51">
        <v>0.61829999999999996</v>
      </c>
      <c r="AL90" s="51">
        <v>0.61190000000000011</v>
      </c>
      <c r="AM90" s="51">
        <v>0.60550000000000004</v>
      </c>
      <c r="AN90" s="51">
        <v>0.59910000000000019</v>
      </c>
      <c r="AO90" s="51">
        <v>0.5927</v>
      </c>
      <c r="AP90" s="51">
        <v>0.58630000000000015</v>
      </c>
      <c r="AQ90" s="51">
        <v>0.57990000000000008</v>
      </c>
      <c r="AR90" s="51">
        <v>0.5525000000000001</v>
      </c>
      <c r="AS90" s="51">
        <v>0.52510000000000012</v>
      </c>
      <c r="AT90" s="51">
        <v>0.49770000000000003</v>
      </c>
      <c r="AU90" s="51">
        <v>0.47030000000000005</v>
      </c>
      <c r="AV90" s="51">
        <v>0.44290000000000002</v>
      </c>
      <c r="AW90" s="51">
        <v>0.41549999999999998</v>
      </c>
      <c r="AX90" s="51">
        <v>0.38809999999999995</v>
      </c>
      <c r="AY90" s="51">
        <v>0.36069999999999991</v>
      </c>
      <c r="AZ90" s="51">
        <v>0.33329999999999987</v>
      </c>
      <c r="BA90" s="51">
        <v>0.30589999999999995</v>
      </c>
      <c r="BB90" s="51">
        <v>0.29614999999999991</v>
      </c>
      <c r="BC90" s="51">
        <v>0.28639999999999988</v>
      </c>
      <c r="BD90" s="51">
        <v>0.27664999999999984</v>
      </c>
      <c r="BE90" s="51">
        <v>0.2668999999999998</v>
      </c>
      <c r="BF90" s="51">
        <v>0.25714999999999977</v>
      </c>
      <c r="BG90" s="51">
        <v>0.24739999999999973</v>
      </c>
      <c r="BH90" s="51">
        <v>0.23764999999999969</v>
      </c>
      <c r="BI90" s="51">
        <v>0.22789999999999966</v>
      </c>
      <c r="BJ90" s="51">
        <v>0.21814999999999962</v>
      </c>
      <c r="BK90" s="51">
        <v>0.20839999999999959</v>
      </c>
      <c r="BL90" s="51">
        <v>0.19864999999999955</v>
      </c>
      <c r="BM90" s="51">
        <v>0.18889999999999951</v>
      </c>
      <c r="BN90" s="51">
        <v>0.17914999999999948</v>
      </c>
      <c r="BO90" s="51">
        <v>0.16939999999999944</v>
      </c>
      <c r="BP90" s="51">
        <v>0.1596499999999994</v>
      </c>
    </row>
    <row r="91" spans="1:68" ht="15" thickBot="1" x14ac:dyDescent="0.35">
      <c r="A91" s="170" t="s">
        <v>428</v>
      </c>
      <c r="B91" s="62" t="s">
        <v>125</v>
      </c>
      <c r="C91" s="62" t="s">
        <v>60</v>
      </c>
      <c r="D91" s="48" t="s">
        <v>192</v>
      </c>
      <c r="E91" s="66" t="s">
        <v>193</v>
      </c>
      <c r="F91" s="62" t="s">
        <v>11</v>
      </c>
      <c r="G91" s="62" t="s">
        <v>11</v>
      </c>
      <c r="H91" s="62" t="s">
        <v>7</v>
      </c>
      <c r="I91" s="62" t="s">
        <v>64</v>
      </c>
      <c r="J91" s="62" t="s">
        <v>64</v>
      </c>
      <c r="K91" s="62" t="s">
        <v>64</v>
      </c>
      <c r="L91" s="62" t="s">
        <v>64</v>
      </c>
      <c r="M91" s="62" t="s">
        <v>64</v>
      </c>
      <c r="N91" s="62">
        <v>2023</v>
      </c>
      <c r="O91" s="62" t="s">
        <v>136</v>
      </c>
      <c r="P91" s="62">
        <v>0</v>
      </c>
      <c r="Q91" s="62">
        <v>0</v>
      </c>
      <c r="R91" s="62">
        <v>0</v>
      </c>
      <c r="S91" s="62">
        <v>0</v>
      </c>
      <c r="T91" s="64" t="s">
        <v>129</v>
      </c>
      <c r="U91" s="51">
        <v>1E-3</v>
      </c>
      <c r="V91" s="51">
        <v>2E-3</v>
      </c>
      <c r="W91" s="51">
        <v>3.0000000000000001E-3</v>
      </c>
      <c r="X91" s="51">
        <v>3.5000000000000001E-3</v>
      </c>
      <c r="Y91" s="51">
        <v>4.1999999999999997E-3</v>
      </c>
      <c r="Z91" s="51">
        <v>5.0000000000000001E-3</v>
      </c>
      <c r="AA91" s="51">
        <v>1.3142857142857144E-2</v>
      </c>
      <c r="AB91" s="51">
        <v>2.1285714285714286E-2</v>
      </c>
      <c r="AC91" s="51">
        <v>2.9428571428571429E-2</v>
      </c>
      <c r="AD91" s="51">
        <v>3.7571428571428575E-2</v>
      </c>
      <c r="AE91" s="51">
        <v>4.5714285714285721E-2</v>
      </c>
      <c r="AF91" s="51">
        <v>5.3857142857142867E-2</v>
      </c>
      <c r="AG91" s="51">
        <v>6.2E-2</v>
      </c>
      <c r="AH91" s="51">
        <v>7.9000000000000001E-2</v>
      </c>
      <c r="AI91" s="51">
        <v>9.6000000000000002E-2</v>
      </c>
      <c r="AJ91" s="51">
        <v>0.113</v>
      </c>
      <c r="AK91" s="51">
        <v>0.13</v>
      </c>
      <c r="AL91" s="51">
        <v>0.14700000000000002</v>
      </c>
      <c r="AM91" s="51">
        <v>0.16400000000000003</v>
      </c>
      <c r="AN91" s="51">
        <v>0.18100000000000005</v>
      </c>
      <c r="AO91" s="51">
        <v>0.19800000000000006</v>
      </c>
      <c r="AP91" s="51">
        <v>0.21500000000000008</v>
      </c>
      <c r="AQ91" s="51">
        <v>0.23200000000000001</v>
      </c>
      <c r="AR91" s="51">
        <v>0.23820000000000002</v>
      </c>
      <c r="AS91" s="51">
        <v>0.24440000000000001</v>
      </c>
      <c r="AT91" s="51">
        <v>0.25059999999999999</v>
      </c>
      <c r="AU91" s="51">
        <v>0.25679999999999997</v>
      </c>
      <c r="AV91" s="51">
        <v>0.26299999999999996</v>
      </c>
      <c r="AW91" s="51">
        <v>0.26919999999999994</v>
      </c>
      <c r="AX91" s="51">
        <v>0.27539999999999992</v>
      </c>
      <c r="AY91" s="51">
        <v>0.28159999999999991</v>
      </c>
      <c r="AZ91" s="51">
        <v>0.28779999999999989</v>
      </c>
      <c r="BA91" s="51">
        <v>0.29399999999999998</v>
      </c>
      <c r="BB91" s="51">
        <v>0.29674999999999996</v>
      </c>
      <c r="BC91" s="51">
        <v>0.29949999999999993</v>
      </c>
      <c r="BD91" s="51">
        <v>0.30224999999999991</v>
      </c>
      <c r="BE91" s="51">
        <v>0.30499999999999988</v>
      </c>
      <c r="BF91" s="51">
        <v>0.30774999999999986</v>
      </c>
      <c r="BG91" s="51">
        <v>0.31049999999999983</v>
      </c>
      <c r="BH91" s="51">
        <v>0.31324999999999981</v>
      </c>
      <c r="BI91" s="51">
        <v>0.31599999999999978</v>
      </c>
      <c r="BJ91" s="51">
        <v>0.31874999999999976</v>
      </c>
      <c r="BK91" s="51">
        <v>0.32149999999999973</v>
      </c>
      <c r="BL91" s="51">
        <v>0.32424999999999971</v>
      </c>
      <c r="BM91" s="51">
        <v>0.32699999999999968</v>
      </c>
      <c r="BN91" s="51">
        <v>0.32974999999999965</v>
      </c>
      <c r="BO91" s="51">
        <v>0.33249999999999963</v>
      </c>
      <c r="BP91" s="51">
        <v>0.3352499999999996</v>
      </c>
    </row>
    <row r="92" spans="1:68" ht="15" thickBot="1" x14ac:dyDescent="0.35">
      <c r="A92" s="170" t="s">
        <v>428</v>
      </c>
      <c r="B92" s="62" t="s">
        <v>125</v>
      </c>
      <c r="C92" s="62" t="s">
        <v>60</v>
      </c>
      <c r="D92" s="48" t="s">
        <v>194</v>
      </c>
      <c r="E92" s="62" t="s">
        <v>195</v>
      </c>
      <c r="F92" s="62" t="s">
        <v>11</v>
      </c>
      <c r="G92" s="62" t="s">
        <v>11</v>
      </c>
      <c r="H92" s="62" t="s">
        <v>7</v>
      </c>
      <c r="I92" s="62" t="s">
        <v>64</v>
      </c>
      <c r="J92" s="62" t="s">
        <v>64</v>
      </c>
      <c r="K92" s="62" t="s">
        <v>64</v>
      </c>
      <c r="L92" s="62" t="s">
        <v>64</v>
      </c>
      <c r="M92" s="62" t="s">
        <v>64</v>
      </c>
      <c r="N92" s="62">
        <v>2023</v>
      </c>
      <c r="O92" s="62" t="s">
        <v>136</v>
      </c>
      <c r="P92" s="62">
        <f>Q92</f>
        <v>0.72558</v>
      </c>
      <c r="Q92" s="62">
        <f>(1-Q65)*0.9</f>
        <v>0.72558</v>
      </c>
      <c r="R92" s="62">
        <f t="shared" ref="R92:S92" si="51">(1-R65)*0.9</f>
        <v>0.72587069999999998</v>
      </c>
      <c r="S92" s="62">
        <f t="shared" si="51"/>
        <v>0.72616139999999996</v>
      </c>
      <c r="T92" s="64" t="s">
        <v>129</v>
      </c>
      <c r="U92" s="51">
        <v>0.99690000000000001</v>
      </c>
      <c r="V92" s="51">
        <v>0.99540000000000006</v>
      </c>
      <c r="W92" s="51">
        <v>0.99370000000000003</v>
      </c>
      <c r="X92" s="51">
        <v>0.99240000000000006</v>
      </c>
      <c r="Y92" s="51">
        <v>0.99020000000000008</v>
      </c>
      <c r="Z92" s="51">
        <v>0.9879</v>
      </c>
      <c r="AA92" s="51">
        <v>0.96910000000000007</v>
      </c>
      <c r="AB92" s="51">
        <v>0.95030000000000003</v>
      </c>
      <c r="AC92" s="51">
        <v>0.93149999999999999</v>
      </c>
      <c r="AD92" s="51">
        <v>0.91269999999999996</v>
      </c>
      <c r="AE92" s="51">
        <v>0.89390000000000003</v>
      </c>
      <c r="AF92" s="51">
        <v>0.87509999999999999</v>
      </c>
      <c r="AG92" s="51">
        <v>0.85630000000000006</v>
      </c>
      <c r="AH92" s="51">
        <v>0.82196000000000002</v>
      </c>
      <c r="AI92" s="51">
        <v>0.7876200000000001</v>
      </c>
      <c r="AJ92" s="51">
        <v>0.75328000000000006</v>
      </c>
      <c r="AK92" s="51">
        <v>0.71894000000000002</v>
      </c>
      <c r="AL92" s="51">
        <v>0.68459999999999999</v>
      </c>
      <c r="AM92" s="51">
        <v>0.65025999999999995</v>
      </c>
      <c r="AN92" s="51">
        <v>0.61592000000000002</v>
      </c>
      <c r="AO92" s="51">
        <v>0.58157999999999999</v>
      </c>
      <c r="AP92" s="51">
        <v>0.54723999999999995</v>
      </c>
      <c r="AQ92" s="51">
        <v>0.51290000000000002</v>
      </c>
      <c r="AR92" s="51">
        <v>0.49219999999999992</v>
      </c>
      <c r="AS92" s="51">
        <v>0.47149999999999997</v>
      </c>
      <c r="AT92" s="51">
        <v>0.45080000000000003</v>
      </c>
      <c r="AU92" s="51">
        <v>0.43009999999999998</v>
      </c>
      <c r="AV92" s="51">
        <v>0.40939999999999993</v>
      </c>
      <c r="AW92" s="51">
        <v>0.38869999999999999</v>
      </c>
      <c r="AX92" s="51">
        <v>0.36800000000000005</v>
      </c>
      <c r="AY92" s="51">
        <v>0.3473</v>
      </c>
      <c r="AZ92" s="51">
        <v>0.32659999999999995</v>
      </c>
      <c r="BA92" s="51">
        <v>0.30590000000000001</v>
      </c>
      <c r="BB92" s="51">
        <v>0.29159999999999997</v>
      </c>
      <c r="BC92" s="51">
        <v>0.27730000000000005</v>
      </c>
      <c r="BD92" s="51">
        <v>0.26300000000000012</v>
      </c>
      <c r="BE92" s="51">
        <v>0.24870000000000009</v>
      </c>
      <c r="BF92" s="51">
        <v>0.23440000000000005</v>
      </c>
      <c r="BG92" s="51">
        <v>0.22010000000000013</v>
      </c>
      <c r="BH92" s="51">
        <v>0.2058000000000002</v>
      </c>
      <c r="BI92" s="51">
        <v>0.19150000000000017</v>
      </c>
      <c r="BJ92" s="51">
        <v>0.17720000000000025</v>
      </c>
      <c r="BK92" s="51">
        <v>0.16290000000000032</v>
      </c>
      <c r="BL92" s="51">
        <v>0.1486000000000004</v>
      </c>
      <c r="BM92" s="51">
        <v>0.13430000000000047</v>
      </c>
      <c r="BN92" s="51">
        <v>0.12000000000000055</v>
      </c>
      <c r="BO92" s="51">
        <v>0.10570000000000063</v>
      </c>
      <c r="BP92" s="51">
        <v>9.1400000000000703E-2</v>
      </c>
    </row>
    <row r="93" spans="1:68" ht="15" thickBot="1" x14ac:dyDescent="0.35">
      <c r="A93" s="170" t="s">
        <v>428</v>
      </c>
      <c r="B93" s="62" t="s">
        <v>125</v>
      </c>
      <c r="C93" s="62" t="s">
        <v>126</v>
      </c>
      <c r="D93" s="48" t="s">
        <v>196</v>
      </c>
      <c r="E93" s="63" t="s">
        <v>197</v>
      </c>
      <c r="F93" s="62" t="s">
        <v>11</v>
      </c>
      <c r="G93" s="62" t="s">
        <v>11</v>
      </c>
      <c r="H93" s="62" t="s">
        <v>7</v>
      </c>
      <c r="I93" s="62" t="s">
        <v>64</v>
      </c>
      <c r="J93" s="62" t="s">
        <v>64</v>
      </c>
      <c r="K93" s="62" t="s">
        <v>64</v>
      </c>
      <c r="L93" s="62" t="s">
        <v>64</v>
      </c>
      <c r="M93" s="62" t="s">
        <v>64</v>
      </c>
      <c r="N93" s="62">
        <v>2023</v>
      </c>
      <c r="O93" s="62" t="s">
        <v>136</v>
      </c>
      <c r="P93" s="62">
        <v>0</v>
      </c>
      <c r="Q93" s="62">
        <v>0</v>
      </c>
      <c r="R93" s="62">
        <v>0</v>
      </c>
      <c r="S93" s="62">
        <v>0</v>
      </c>
      <c r="T93" s="64" t="s">
        <v>129</v>
      </c>
      <c r="U93" s="51">
        <v>2.2000000000000001E-3</v>
      </c>
      <c r="V93" s="51">
        <v>4.3600000000000002E-3</v>
      </c>
      <c r="W93" s="51">
        <v>6.5199999999999998E-3</v>
      </c>
      <c r="X93" s="51">
        <v>8.6800000000000002E-3</v>
      </c>
      <c r="Y93" s="51">
        <v>1.0840000000000001E-2</v>
      </c>
      <c r="Z93" s="51">
        <v>1.2999999999999999E-2</v>
      </c>
      <c r="AA93" s="51">
        <v>1.8285714285714287E-2</v>
      </c>
      <c r="AB93" s="51">
        <v>2.3571428571428573E-2</v>
      </c>
      <c r="AC93" s="51">
        <v>2.8857142857142859E-2</v>
      </c>
      <c r="AD93" s="51">
        <v>3.4142857142857148E-2</v>
      </c>
      <c r="AE93" s="51">
        <v>3.9428571428571438E-2</v>
      </c>
      <c r="AF93" s="51">
        <v>4.4714285714285727E-2</v>
      </c>
      <c r="AG93" s="51">
        <v>0.05</v>
      </c>
      <c r="AH93" s="51">
        <v>6.2300000000000001E-2</v>
      </c>
      <c r="AI93" s="51">
        <v>7.46E-2</v>
      </c>
      <c r="AJ93" s="51">
        <v>8.6900000000000005E-2</v>
      </c>
      <c r="AK93" s="51">
        <v>9.920000000000001E-2</v>
      </c>
      <c r="AL93" s="51">
        <v>0.11150000000000002</v>
      </c>
      <c r="AM93" s="51">
        <v>0.11575000000000002</v>
      </c>
      <c r="AN93" s="51">
        <v>0.12000000000000002</v>
      </c>
      <c r="AO93" s="51">
        <v>0.12425000000000003</v>
      </c>
      <c r="AP93" s="51">
        <v>0.12850000000000003</v>
      </c>
      <c r="AQ93" s="51">
        <v>0.13275000000000003</v>
      </c>
      <c r="AR93" s="51">
        <v>0.13700000000000004</v>
      </c>
      <c r="AS93" s="51">
        <v>0.14125000000000004</v>
      </c>
      <c r="AT93" s="51">
        <v>0.14550000000000005</v>
      </c>
      <c r="AU93" s="51">
        <v>0.14975000000000005</v>
      </c>
      <c r="AV93" s="51">
        <v>0.154</v>
      </c>
      <c r="AW93" s="51">
        <v>0.1502</v>
      </c>
      <c r="AX93" s="51">
        <v>0.1464</v>
      </c>
      <c r="AY93" s="51">
        <v>0.1426</v>
      </c>
      <c r="AZ93" s="51">
        <v>0.13880000000000001</v>
      </c>
      <c r="BA93" s="51">
        <v>0.13500000000000001</v>
      </c>
      <c r="BB93" s="51">
        <v>0.13215000000000002</v>
      </c>
      <c r="BC93" s="51">
        <v>0.12930000000000003</v>
      </c>
      <c r="BD93" s="51">
        <v>0.12645000000000003</v>
      </c>
      <c r="BE93" s="51">
        <v>0.12360000000000003</v>
      </c>
      <c r="BF93" s="51">
        <v>0.12075000000000002</v>
      </c>
      <c r="BG93" s="51">
        <v>0.11790000000000002</v>
      </c>
      <c r="BH93" s="51">
        <v>0.11505000000000001</v>
      </c>
      <c r="BI93" s="51">
        <v>0.11220000000000001</v>
      </c>
      <c r="BJ93" s="51">
        <v>0.10935</v>
      </c>
      <c r="BK93" s="51">
        <v>0.1065</v>
      </c>
      <c r="BL93" s="51">
        <v>0.10364999999999999</v>
      </c>
      <c r="BM93" s="51">
        <v>0.10079999999999999</v>
      </c>
      <c r="BN93" s="51">
        <v>9.7949999999999982E-2</v>
      </c>
      <c r="BO93" s="51">
        <v>9.5099999999999976E-2</v>
      </c>
      <c r="BP93" s="51">
        <v>9.2249999999999971E-2</v>
      </c>
    </row>
    <row r="94" spans="1:68" ht="15" thickBot="1" x14ac:dyDescent="0.35">
      <c r="A94" s="170" t="s">
        <v>428</v>
      </c>
      <c r="B94" s="68" t="s">
        <v>125</v>
      </c>
      <c r="C94" s="68" t="s">
        <v>126</v>
      </c>
      <c r="D94" s="54" t="s">
        <v>198</v>
      </c>
      <c r="E94" s="68" t="s">
        <v>199</v>
      </c>
      <c r="F94" s="68" t="s">
        <v>11</v>
      </c>
      <c r="G94" s="68" t="s">
        <v>11</v>
      </c>
      <c r="H94" s="68" t="s">
        <v>7</v>
      </c>
      <c r="I94" s="68" t="s">
        <v>64</v>
      </c>
      <c r="J94" s="68" t="s">
        <v>64</v>
      </c>
      <c r="K94" s="68" t="s">
        <v>64</v>
      </c>
      <c r="L94" s="68" t="s">
        <v>64</v>
      </c>
      <c r="M94" s="68" t="s">
        <v>64</v>
      </c>
      <c r="N94" s="68">
        <v>2023</v>
      </c>
      <c r="O94" s="68" t="s">
        <v>136</v>
      </c>
      <c r="P94" s="68" t="s">
        <v>136</v>
      </c>
      <c r="Q94" s="68">
        <f>(1-Q69)*0.9*(1-0.27)</f>
        <v>0.65700000000000003</v>
      </c>
      <c r="R94" s="68">
        <f t="shared" ref="R94:S94" si="52">(1-R69)*0.9*(1-0.27)</f>
        <v>0.65700000000000003</v>
      </c>
      <c r="S94" s="68">
        <f t="shared" si="52"/>
        <v>0.65700000000000003</v>
      </c>
      <c r="T94" s="69" t="s">
        <v>129</v>
      </c>
      <c r="U94" s="51">
        <v>0.72808333333333342</v>
      </c>
      <c r="V94" s="51">
        <v>0.72684666666666664</v>
      </c>
      <c r="W94" s="51">
        <v>0.72561000000000009</v>
      </c>
      <c r="X94" s="51">
        <v>0.72437333333333342</v>
      </c>
      <c r="Y94" s="51">
        <v>0.72313666666666676</v>
      </c>
      <c r="Z94" s="51">
        <v>0.72189999999999999</v>
      </c>
      <c r="AA94" s="51">
        <v>0.71475714285714287</v>
      </c>
      <c r="AB94" s="51">
        <v>0.70761428571428575</v>
      </c>
      <c r="AC94" s="51">
        <v>0.70577142857142849</v>
      </c>
      <c r="AD94" s="51">
        <v>0.70392857142857135</v>
      </c>
      <c r="AE94" s="51">
        <v>0.70208571428571431</v>
      </c>
      <c r="AF94" s="51">
        <v>0.70024285714285717</v>
      </c>
      <c r="AG94" s="51">
        <v>0.69839999999999991</v>
      </c>
      <c r="AH94" s="51">
        <v>0.67880000000000007</v>
      </c>
      <c r="AI94" s="51">
        <v>0.65920000000000001</v>
      </c>
      <c r="AJ94" s="51">
        <v>0.63960000000000006</v>
      </c>
      <c r="AK94" s="51">
        <v>0.61999999999999988</v>
      </c>
      <c r="AL94" s="51">
        <v>0.60039999999999993</v>
      </c>
      <c r="AM94" s="51">
        <v>0.58815000000000006</v>
      </c>
      <c r="AN94" s="51">
        <v>0.57589999999999997</v>
      </c>
      <c r="AO94" s="51">
        <v>0.56364999999999998</v>
      </c>
      <c r="AP94" s="51">
        <v>0.55139999999999989</v>
      </c>
      <c r="AQ94" s="51">
        <v>0.53915000000000002</v>
      </c>
      <c r="AR94" s="51">
        <v>0.51079999999999992</v>
      </c>
      <c r="AS94" s="51">
        <v>0.48244999999999988</v>
      </c>
      <c r="AT94" s="51">
        <v>0.45409999999999984</v>
      </c>
      <c r="AU94" s="51">
        <v>0.42574999999999996</v>
      </c>
      <c r="AV94" s="51">
        <v>0.39739999999999998</v>
      </c>
      <c r="AW94" s="51">
        <v>0.37239999999999995</v>
      </c>
      <c r="AX94" s="51">
        <v>0.34739999999999993</v>
      </c>
      <c r="AY94" s="51">
        <v>0.32240000000000002</v>
      </c>
      <c r="AZ94" s="51">
        <v>0.29739999999999989</v>
      </c>
      <c r="BA94" s="51">
        <v>0.27239999999999998</v>
      </c>
      <c r="BB94" s="51">
        <v>0.26339999999999997</v>
      </c>
      <c r="BC94" s="51">
        <v>0.2543999999999999</v>
      </c>
      <c r="BD94" s="51">
        <v>0.24539999999999987</v>
      </c>
      <c r="BE94" s="51">
        <v>0.23639999999999978</v>
      </c>
      <c r="BF94" s="51">
        <v>0.22739999999999977</v>
      </c>
      <c r="BG94" s="51">
        <v>0.21839999999999976</v>
      </c>
      <c r="BH94" s="51">
        <v>0.20939999999999967</v>
      </c>
      <c r="BI94" s="51">
        <v>0.20039999999999963</v>
      </c>
      <c r="BJ94" s="51">
        <v>0.19139999999999963</v>
      </c>
      <c r="BK94" s="51">
        <v>0.18239999999999962</v>
      </c>
      <c r="BL94" s="51">
        <v>0.17339999999999958</v>
      </c>
      <c r="BM94" s="51">
        <v>0.16439999999999949</v>
      </c>
      <c r="BN94" s="51">
        <v>0.15539999999999948</v>
      </c>
      <c r="BO94" s="51">
        <v>0.14639999999999947</v>
      </c>
      <c r="BP94" s="51">
        <v>0.13739999999999941</v>
      </c>
    </row>
    <row r="95" spans="1:68" ht="15" thickBot="1" x14ac:dyDescent="0.35">
      <c r="A95" s="170" t="s">
        <v>428</v>
      </c>
      <c r="B95" s="47" t="s">
        <v>125</v>
      </c>
      <c r="C95" s="47" t="s">
        <v>130</v>
      </c>
      <c r="D95" s="48" t="s">
        <v>200</v>
      </c>
      <c r="E95" s="47" t="s">
        <v>201</v>
      </c>
      <c r="F95" s="47" t="s">
        <v>11</v>
      </c>
      <c r="G95" s="47" t="s">
        <v>11</v>
      </c>
      <c r="H95" s="47" t="s">
        <v>7</v>
      </c>
      <c r="I95" s="47" t="s">
        <v>64</v>
      </c>
      <c r="J95" s="47" t="s">
        <v>64</v>
      </c>
      <c r="K95" s="47" t="s">
        <v>64</v>
      </c>
      <c r="L95" s="47" t="s">
        <v>64</v>
      </c>
      <c r="M95" s="47" t="s">
        <v>64</v>
      </c>
      <c r="N95" s="47">
        <v>2023</v>
      </c>
      <c r="O95" s="47">
        <f t="shared" ref="O95:O96" si="53">7/100</f>
        <v>7.0000000000000007E-2</v>
      </c>
      <c r="P95" s="47">
        <f t="shared" ref="P95:P96" si="54">6.1/100</f>
        <v>6.0999999999999999E-2</v>
      </c>
      <c r="Q95" s="47">
        <f t="shared" ref="Q95:Q96" si="55">9.5/100</f>
        <v>9.5000000000000001E-2</v>
      </c>
      <c r="R95" s="47">
        <f t="shared" ref="R95:R96" si="56">Q95+0.001</f>
        <v>9.6000000000000002E-2</v>
      </c>
      <c r="S95" s="47">
        <f t="shared" ref="S95:S96" si="57">R95+0.001</f>
        <v>9.7000000000000003E-2</v>
      </c>
      <c r="T95" s="49" t="s">
        <v>202</v>
      </c>
      <c r="U95" s="51">
        <v>0</v>
      </c>
      <c r="V95" s="51">
        <v>0</v>
      </c>
      <c r="W95" s="51">
        <v>0</v>
      </c>
      <c r="X95" s="51">
        <v>0</v>
      </c>
      <c r="Y95" s="51">
        <v>0</v>
      </c>
      <c r="Z95" s="51">
        <v>0</v>
      </c>
      <c r="AA95" s="51">
        <v>0</v>
      </c>
      <c r="AB95" s="51">
        <v>0</v>
      </c>
      <c r="AC95" s="51">
        <v>0</v>
      </c>
      <c r="AD95" s="51">
        <v>0</v>
      </c>
      <c r="AE95" s="51">
        <v>0</v>
      </c>
      <c r="AF95" s="51">
        <v>0</v>
      </c>
      <c r="AG95" s="51">
        <v>0</v>
      </c>
      <c r="AH95" s="51">
        <v>0</v>
      </c>
      <c r="AI95" s="51">
        <v>0</v>
      </c>
      <c r="AJ95" s="51">
        <v>0</v>
      </c>
      <c r="AK95" s="51">
        <v>0</v>
      </c>
      <c r="AL95" s="51">
        <v>0</v>
      </c>
      <c r="AM95" s="51">
        <v>0</v>
      </c>
      <c r="AN95" s="51">
        <v>0</v>
      </c>
      <c r="AO95" s="51">
        <v>0</v>
      </c>
      <c r="AP95" s="51">
        <v>0</v>
      </c>
      <c r="AQ95" s="51">
        <v>0</v>
      </c>
      <c r="AR95" s="51">
        <v>0</v>
      </c>
      <c r="AS95" s="51">
        <v>0</v>
      </c>
      <c r="AT95" s="51">
        <v>0</v>
      </c>
      <c r="AU95" s="51">
        <v>0</v>
      </c>
      <c r="AV95" s="51">
        <v>0</v>
      </c>
      <c r="AW95" s="51">
        <v>0</v>
      </c>
      <c r="AX95" s="51">
        <v>0</v>
      </c>
      <c r="AY95" s="51">
        <v>0</v>
      </c>
      <c r="AZ95" s="51">
        <v>0</v>
      </c>
      <c r="BA95" s="51">
        <v>0</v>
      </c>
      <c r="BB95" s="51">
        <v>0</v>
      </c>
      <c r="BC95" s="51">
        <v>0</v>
      </c>
      <c r="BD95" s="51">
        <v>0</v>
      </c>
      <c r="BE95" s="51">
        <v>0</v>
      </c>
      <c r="BF95" s="51">
        <v>0</v>
      </c>
      <c r="BG95" s="51">
        <v>0</v>
      </c>
      <c r="BH95" s="51">
        <v>0</v>
      </c>
      <c r="BI95" s="51">
        <v>0</v>
      </c>
      <c r="BJ95" s="51">
        <v>0</v>
      </c>
      <c r="BK95" s="51">
        <v>0</v>
      </c>
      <c r="BL95" s="51">
        <v>0</v>
      </c>
      <c r="BM95" s="51">
        <v>0</v>
      </c>
      <c r="BN95" s="51">
        <v>0</v>
      </c>
      <c r="BO95" s="51">
        <v>0</v>
      </c>
      <c r="BP95" s="51">
        <v>0</v>
      </c>
    </row>
    <row r="96" spans="1:68" ht="15" thickBot="1" x14ac:dyDescent="0.35">
      <c r="A96" s="170" t="s">
        <v>428</v>
      </c>
      <c r="B96" s="47" t="s">
        <v>125</v>
      </c>
      <c r="C96" s="47" t="s">
        <v>130</v>
      </c>
      <c r="D96" s="48" t="s">
        <v>203</v>
      </c>
      <c r="E96" s="47" t="s">
        <v>204</v>
      </c>
      <c r="F96" s="47" t="s">
        <v>11</v>
      </c>
      <c r="G96" s="47" t="s">
        <v>11</v>
      </c>
      <c r="H96" s="47" t="s">
        <v>7</v>
      </c>
      <c r="I96" s="47" t="s">
        <v>64</v>
      </c>
      <c r="J96" s="47" t="s">
        <v>64</v>
      </c>
      <c r="K96" s="47" t="s">
        <v>64</v>
      </c>
      <c r="L96" s="47" t="s">
        <v>64</v>
      </c>
      <c r="M96" s="47" t="s">
        <v>64</v>
      </c>
      <c r="N96" s="47">
        <v>2023</v>
      </c>
      <c r="O96" s="47">
        <f t="shared" si="53"/>
        <v>7.0000000000000007E-2</v>
      </c>
      <c r="P96" s="47">
        <f t="shared" si="54"/>
        <v>6.0999999999999999E-2</v>
      </c>
      <c r="Q96" s="47">
        <f t="shared" si="55"/>
        <v>9.5000000000000001E-2</v>
      </c>
      <c r="R96" s="47">
        <f t="shared" si="56"/>
        <v>9.6000000000000002E-2</v>
      </c>
      <c r="S96" s="47">
        <f t="shared" si="57"/>
        <v>9.7000000000000003E-2</v>
      </c>
      <c r="T96" s="49" t="s">
        <v>202</v>
      </c>
      <c r="U96" s="51">
        <v>0</v>
      </c>
      <c r="V96" s="51">
        <v>0</v>
      </c>
      <c r="W96" s="51">
        <v>0</v>
      </c>
      <c r="X96" s="51">
        <v>0</v>
      </c>
      <c r="Y96" s="51">
        <v>0</v>
      </c>
      <c r="Z96" s="51">
        <v>0</v>
      </c>
      <c r="AA96" s="51">
        <v>0</v>
      </c>
      <c r="AB96" s="51">
        <v>0</v>
      </c>
      <c r="AC96" s="51">
        <v>0</v>
      </c>
      <c r="AD96" s="51">
        <v>0</v>
      </c>
      <c r="AE96" s="51">
        <v>0</v>
      </c>
      <c r="AF96" s="51">
        <v>0</v>
      </c>
      <c r="AG96" s="51">
        <v>0</v>
      </c>
      <c r="AH96" s="51">
        <v>0</v>
      </c>
      <c r="AI96" s="51">
        <v>0</v>
      </c>
      <c r="AJ96" s="51">
        <v>0</v>
      </c>
      <c r="AK96" s="51">
        <v>0</v>
      </c>
      <c r="AL96" s="51">
        <v>0</v>
      </c>
      <c r="AM96" s="51">
        <v>0</v>
      </c>
      <c r="AN96" s="51">
        <v>0</v>
      </c>
      <c r="AO96" s="51">
        <v>0</v>
      </c>
      <c r="AP96" s="51">
        <v>0</v>
      </c>
      <c r="AQ96" s="51">
        <v>0</v>
      </c>
      <c r="AR96" s="51">
        <v>0</v>
      </c>
      <c r="AS96" s="51">
        <v>0</v>
      </c>
      <c r="AT96" s="51">
        <v>0</v>
      </c>
      <c r="AU96" s="51">
        <v>0</v>
      </c>
      <c r="AV96" s="51">
        <v>0</v>
      </c>
      <c r="AW96" s="51">
        <v>0</v>
      </c>
      <c r="AX96" s="51">
        <v>0</v>
      </c>
      <c r="AY96" s="51">
        <v>0</v>
      </c>
      <c r="AZ96" s="51">
        <v>0</v>
      </c>
      <c r="BA96" s="51">
        <v>0</v>
      </c>
      <c r="BB96" s="51">
        <v>0</v>
      </c>
      <c r="BC96" s="51">
        <v>0</v>
      </c>
      <c r="BD96" s="51">
        <v>0</v>
      </c>
      <c r="BE96" s="51">
        <v>0</v>
      </c>
      <c r="BF96" s="51">
        <v>0</v>
      </c>
      <c r="BG96" s="51">
        <v>0</v>
      </c>
      <c r="BH96" s="51">
        <v>0</v>
      </c>
      <c r="BI96" s="51">
        <v>0</v>
      </c>
      <c r="BJ96" s="51">
        <v>0</v>
      </c>
      <c r="BK96" s="51">
        <v>0</v>
      </c>
      <c r="BL96" s="51">
        <v>0</v>
      </c>
      <c r="BM96" s="51">
        <v>0</v>
      </c>
      <c r="BN96" s="51">
        <v>0</v>
      </c>
      <c r="BO96" s="51">
        <v>0</v>
      </c>
      <c r="BP96" s="51">
        <v>0</v>
      </c>
    </row>
  </sheetData>
  <autoFilter ref="A1:BP72" xr:uid="{00000000-0001-0000-0500-000000000000}"/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85"/>
  <sheetViews>
    <sheetView tabSelected="1" zoomScale="76" workbookViewId="0">
      <selection activeCell="Z19" sqref="Z19"/>
    </sheetView>
  </sheetViews>
  <sheetFormatPr baseColWidth="10" defaultColWidth="9.109375" defaultRowHeight="14.4" x14ac:dyDescent="0.3"/>
  <cols>
    <col min="1" max="1" width="11" bestFit="1" customWidth="1"/>
    <col min="2" max="2" width="23.88671875" bestFit="1" customWidth="1"/>
    <col min="3" max="3" width="15.109375" bestFit="1" customWidth="1"/>
    <col min="4" max="4" width="10" customWidth="1"/>
    <col min="5" max="5" width="44.44140625" bestFit="1" customWidth="1"/>
    <col min="6" max="6" width="12.44140625" customWidth="1"/>
    <col min="7" max="11" width="0" hidden="1" customWidth="1"/>
    <col min="12" max="12" width="9.5546875" hidden="1" customWidth="1"/>
    <col min="13" max="13" width="14.33203125" hidden="1" customWidth="1"/>
    <col min="14" max="18" width="9.5546875" hidden="1" customWidth="1"/>
    <col min="19" max="19" width="12.21875" bestFit="1" customWidth="1"/>
    <col min="20" max="20" width="9.5546875" customWidth="1"/>
    <col min="21" max="22" width="12.5546875" bestFit="1" customWidth="1"/>
    <col min="23" max="23" width="11.44140625" bestFit="1" customWidth="1"/>
    <col min="24" max="24" width="12.5546875" bestFit="1" customWidth="1"/>
    <col min="25" max="25" width="9.109375" bestFit="1" customWidth="1"/>
    <col min="26" max="26" width="9.44140625" bestFit="1" customWidth="1"/>
    <col min="27" max="27" width="11.44140625" bestFit="1" customWidth="1"/>
    <col min="28" max="29" width="10.44140625" bestFit="1" customWidth="1"/>
    <col min="30" max="30" width="11.44140625" bestFit="1" customWidth="1"/>
    <col min="31" max="34" width="9.109375" bestFit="1" customWidth="1"/>
    <col min="35" max="41" width="12.5546875" bestFit="1" customWidth="1"/>
    <col min="42" max="62" width="9.109375" bestFit="1" customWidth="1"/>
    <col min="63" max="72" width="10.109375" bestFit="1" customWidth="1"/>
    <col min="73" max="73" width="8.77734375" bestFit="1" customWidth="1"/>
    <col min="75" max="75" width="21.5546875" bestFit="1" customWidth="1"/>
  </cols>
  <sheetData>
    <row r="1" spans="1:101" s="86" customFormat="1" ht="43.8" thickBot="1" x14ac:dyDescent="0.35">
      <c r="A1" s="87" t="s">
        <v>16</v>
      </c>
      <c r="B1" s="88" t="s">
        <v>13</v>
      </c>
      <c r="C1" s="88" t="s">
        <v>307</v>
      </c>
      <c r="D1" s="88" t="s">
        <v>308</v>
      </c>
      <c r="E1" s="88" t="s">
        <v>43</v>
      </c>
      <c r="F1" s="89" t="s">
        <v>206</v>
      </c>
      <c r="G1" s="90" t="s">
        <v>3</v>
      </c>
      <c r="H1" s="91" t="s">
        <v>213</v>
      </c>
      <c r="I1" s="88" t="s">
        <v>54</v>
      </c>
      <c r="J1" s="88" t="s">
        <v>55</v>
      </c>
      <c r="K1" s="88" t="s">
        <v>56</v>
      </c>
      <c r="L1" s="90" t="s">
        <v>57</v>
      </c>
      <c r="M1" s="156">
        <v>2010</v>
      </c>
      <c r="N1" s="93">
        <v>2011</v>
      </c>
      <c r="O1" s="92">
        <v>2012</v>
      </c>
      <c r="P1" s="93">
        <v>2013</v>
      </c>
      <c r="Q1" s="92">
        <v>2014</v>
      </c>
      <c r="R1" s="93">
        <v>2015</v>
      </c>
      <c r="S1" s="92">
        <v>2016</v>
      </c>
      <c r="T1" s="93">
        <v>2017</v>
      </c>
      <c r="U1" s="92">
        <v>2018</v>
      </c>
      <c r="V1" s="93">
        <v>2019</v>
      </c>
      <c r="W1" s="93">
        <v>2020</v>
      </c>
      <c r="X1" s="93">
        <v>2021</v>
      </c>
      <c r="Y1" s="94">
        <v>2022</v>
      </c>
      <c r="Z1" s="89">
        <v>2023</v>
      </c>
      <c r="AA1" s="89">
        <v>2024</v>
      </c>
      <c r="AB1" s="89">
        <v>2025</v>
      </c>
      <c r="AC1" s="89">
        <v>2026</v>
      </c>
      <c r="AD1" s="89">
        <v>2027</v>
      </c>
      <c r="AE1" s="89">
        <v>2028</v>
      </c>
      <c r="AF1" s="89">
        <v>2029</v>
      </c>
      <c r="AG1" s="89">
        <v>2030</v>
      </c>
      <c r="AH1" s="89">
        <v>2031</v>
      </c>
      <c r="AI1" s="89">
        <v>2032</v>
      </c>
      <c r="AJ1" s="89">
        <v>2033</v>
      </c>
      <c r="AK1" s="89">
        <v>2034</v>
      </c>
      <c r="AL1" s="89">
        <v>2035</v>
      </c>
      <c r="AM1" s="89">
        <v>2036</v>
      </c>
      <c r="AN1" s="89">
        <v>2037</v>
      </c>
      <c r="AO1" s="89">
        <v>2038</v>
      </c>
      <c r="AP1" s="89">
        <v>2039</v>
      </c>
      <c r="AQ1" s="89">
        <v>2040</v>
      </c>
      <c r="AR1" s="89">
        <v>2041</v>
      </c>
      <c r="AS1" s="89">
        <v>2042</v>
      </c>
      <c r="AT1" s="89">
        <v>2043</v>
      </c>
      <c r="AU1" s="89">
        <v>2044</v>
      </c>
      <c r="AV1" s="89">
        <v>2045</v>
      </c>
      <c r="AW1" s="89">
        <v>2046</v>
      </c>
      <c r="AX1" s="89">
        <v>2047</v>
      </c>
      <c r="AY1" s="89">
        <v>2048</v>
      </c>
      <c r="AZ1" s="89">
        <v>2049</v>
      </c>
      <c r="BA1" s="89">
        <v>2050</v>
      </c>
      <c r="BB1" s="89">
        <v>2051</v>
      </c>
      <c r="BC1" s="89">
        <v>2052</v>
      </c>
      <c r="BD1" s="89">
        <v>2053</v>
      </c>
      <c r="BE1" s="89">
        <v>2054</v>
      </c>
      <c r="BF1" s="89">
        <v>2055</v>
      </c>
      <c r="BG1" s="89">
        <v>2056</v>
      </c>
      <c r="BH1" s="89">
        <v>2057</v>
      </c>
      <c r="BI1" s="89">
        <v>2058</v>
      </c>
      <c r="BJ1" s="89">
        <v>2059</v>
      </c>
      <c r="BK1" s="89">
        <v>2060</v>
      </c>
      <c r="BL1" s="89">
        <v>2061</v>
      </c>
      <c r="BM1" s="89">
        <v>2062</v>
      </c>
      <c r="BN1" s="89">
        <v>2063</v>
      </c>
      <c r="BO1" s="89">
        <v>2064</v>
      </c>
      <c r="BP1" s="89">
        <v>2065</v>
      </c>
      <c r="BQ1" s="89">
        <v>2066</v>
      </c>
      <c r="BR1" s="89">
        <v>2067</v>
      </c>
      <c r="BS1" s="89">
        <v>2068</v>
      </c>
      <c r="BT1" s="89">
        <v>2069</v>
      </c>
      <c r="BU1" s="95">
        <v>2070</v>
      </c>
    </row>
    <row r="2" spans="1:101" s="96" customFormat="1" ht="15" thickBot="1" x14ac:dyDescent="0.35">
      <c r="A2" s="97" t="s">
        <v>10</v>
      </c>
      <c r="B2" s="97" t="s">
        <v>309</v>
      </c>
      <c r="C2" s="97" t="s">
        <v>310</v>
      </c>
      <c r="D2" s="97" t="s">
        <v>311</v>
      </c>
      <c r="E2" s="157" t="s">
        <v>312</v>
      </c>
      <c r="F2" s="97" t="s">
        <v>7</v>
      </c>
      <c r="G2" s="97" t="s">
        <v>313</v>
      </c>
      <c r="H2" s="97" t="s">
        <v>75</v>
      </c>
      <c r="I2" s="97"/>
      <c r="J2" s="97"/>
      <c r="K2" s="97"/>
      <c r="L2" s="97"/>
      <c r="M2" s="98">
        <v>11.358783643222145</v>
      </c>
      <c r="N2" s="98">
        <v>11.114908317071787</v>
      </c>
      <c r="O2" s="98">
        <v>10.476187224773231</v>
      </c>
      <c r="P2" s="98">
        <v>9.9774041172419032</v>
      </c>
      <c r="Q2" s="98">
        <v>9.8403694101669394</v>
      </c>
      <c r="R2" s="98">
        <v>8.9072559598725949</v>
      </c>
      <c r="S2" s="98">
        <v>8.6302832680304018</v>
      </c>
      <c r="T2" s="98">
        <v>8.3742141755725275</v>
      </c>
      <c r="U2" s="98">
        <v>8.0826849999999997</v>
      </c>
      <c r="V2" s="99">
        <v>7.7284870000000003</v>
      </c>
      <c r="W2" s="99">
        <v>7.3394500000000003</v>
      </c>
      <c r="X2" s="99">
        <v>7.1160819999999996</v>
      </c>
      <c r="Y2" s="100">
        <v>6.5004519044544864</v>
      </c>
      <c r="Z2" s="101">
        <v>6.6692999999999998</v>
      </c>
      <c r="AA2" s="101">
        <v>6.4459809999999997</v>
      </c>
      <c r="AB2" s="101">
        <v>6.2226140000000001</v>
      </c>
      <c r="AC2" s="101">
        <v>6.0629080000000002</v>
      </c>
      <c r="AD2" s="101">
        <v>5.9032020000000003</v>
      </c>
      <c r="AE2" s="101">
        <v>5.7377525040000004</v>
      </c>
      <c r="AF2" s="101">
        <v>5.5279511100000001</v>
      </c>
      <c r="AG2" s="101">
        <v>5.3156013400000006</v>
      </c>
      <c r="AH2" s="101">
        <v>5.0244385868850001</v>
      </c>
      <c r="AI2" s="101">
        <v>4.7409637806160001</v>
      </c>
      <c r="AJ2" s="101">
        <v>4.4651750629200002</v>
      </c>
      <c r="AK2" s="101">
        <v>4.1970733798880007</v>
      </c>
      <c r="AL2" s="101">
        <v>3.936658731520001</v>
      </c>
      <c r="AM2" s="101">
        <v>3.711114110546001</v>
      </c>
      <c r="AN2" s="101">
        <v>3.4908825551460008</v>
      </c>
      <c r="AO2" s="101">
        <v>3.2759640653200015</v>
      </c>
      <c r="AP2" s="101">
        <v>3.0663586410680015</v>
      </c>
      <c r="AQ2" s="101">
        <v>2.8620656414799996</v>
      </c>
      <c r="AR2" s="101">
        <v>2.7011178676430001</v>
      </c>
      <c r="AS2" s="101">
        <v>2.54312114212</v>
      </c>
      <c r="AT2" s="101">
        <v>2.3880761058210003</v>
      </c>
      <c r="AU2" s="101">
        <v>2.2359827587460002</v>
      </c>
      <c r="AV2" s="101">
        <v>2.0868415963500002</v>
      </c>
      <c r="AW2" s="101">
        <v>1.9513621142560005</v>
      </c>
      <c r="AX2" s="101">
        <v>1.8174981135740005</v>
      </c>
      <c r="AY2" s="101">
        <v>1.6852495943040007</v>
      </c>
      <c r="AZ2" s="101">
        <v>1.5546165564460008</v>
      </c>
      <c r="BA2" s="101">
        <v>1.4255990000000001</v>
      </c>
      <c r="BB2" s="101">
        <v>1.3109976359999997</v>
      </c>
      <c r="BC2" s="101">
        <v>1.1977925239999998</v>
      </c>
      <c r="BD2" s="101">
        <v>1.0859836639999996</v>
      </c>
      <c r="BE2" s="101">
        <v>0.97557105599999971</v>
      </c>
      <c r="BF2" s="101">
        <v>0.86655469999999968</v>
      </c>
      <c r="BG2" s="101">
        <v>0.75910647999999969</v>
      </c>
      <c r="BH2" s="101">
        <v>0.65300827199999967</v>
      </c>
      <c r="BI2" s="101">
        <v>0.5482602959999997</v>
      </c>
      <c r="BJ2" s="101">
        <v>0.44486255199999974</v>
      </c>
      <c r="BK2" s="101">
        <v>0.34281503999999996</v>
      </c>
      <c r="BL2" s="101">
        <v>0.26487621999999994</v>
      </c>
      <c r="BM2" s="101">
        <v>0.1979418</v>
      </c>
      <c r="BN2" s="101">
        <v>0.14820117799999999</v>
      </c>
      <c r="BO2" s="101">
        <v>0.1231</v>
      </c>
      <c r="BP2" s="101">
        <v>0.1124</v>
      </c>
      <c r="BQ2" s="101">
        <v>0.1116</v>
      </c>
      <c r="BR2" s="101">
        <v>0.1108</v>
      </c>
      <c r="BS2" s="101">
        <v>0.1101</v>
      </c>
      <c r="BT2" s="101">
        <v>0.1094</v>
      </c>
      <c r="BU2" s="101">
        <v>0.1087</v>
      </c>
      <c r="BV2" s="10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</row>
    <row r="3" spans="1:101" s="96" customFormat="1" ht="15" thickBot="1" x14ac:dyDescent="0.35">
      <c r="A3" s="102" t="s">
        <v>10</v>
      </c>
      <c r="B3" s="102" t="s">
        <v>309</v>
      </c>
      <c r="C3" s="102" t="s">
        <v>314</v>
      </c>
      <c r="D3" s="102" t="s">
        <v>311</v>
      </c>
      <c r="E3" s="158" t="s">
        <v>315</v>
      </c>
      <c r="F3" s="102" t="s">
        <v>7</v>
      </c>
      <c r="G3" s="102" t="s">
        <v>313</v>
      </c>
      <c r="H3" s="102" t="s">
        <v>75</v>
      </c>
      <c r="I3" s="102"/>
      <c r="J3" s="102"/>
      <c r="K3" s="102"/>
      <c r="L3" s="102"/>
      <c r="M3" s="103">
        <v>31.794955319083638</v>
      </c>
      <c r="N3" s="103">
        <v>32.98762179506658</v>
      </c>
      <c r="O3" s="103">
        <v>34.129190583665633</v>
      </c>
      <c r="P3" s="103">
        <v>35.294566249341266</v>
      </c>
      <c r="Q3" s="103">
        <v>36.504652391477805</v>
      </c>
      <c r="R3" s="103">
        <v>36.546459590246435</v>
      </c>
      <c r="S3" s="103">
        <v>35.94780373010115</v>
      </c>
      <c r="T3" s="103">
        <v>36.038966649638311</v>
      </c>
      <c r="U3" s="103">
        <v>37.1881775038445</v>
      </c>
      <c r="V3" s="104">
        <v>38.3676044528952</v>
      </c>
      <c r="W3" s="104">
        <v>39.136214531015803</v>
      </c>
      <c r="X3" s="104">
        <v>39.917656399749603</v>
      </c>
      <c r="Y3" s="105">
        <v>41.302969657843768</v>
      </c>
      <c r="Z3" s="104">
        <v>40.99</v>
      </c>
      <c r="AA3" s="104">
        <v>41.51</v>
      </c>
      <c r="AB3" s="104">
        <v>42.04</v>
      </c>
      <c r="AC3" s="104">
        <v>42.55</v>
      </c>
      <c r="AD3" s="104">
        <v>43.06</v>
      </c>
      <c r="AE3" s="104">
        <v>43.526429999999998</v>
      </c>
      <c r="AF3" s="104">
        <v>43.829300000000003</v>
      </c>
      <c r="AG3" s="104">
        <v>43.8688</v>
      </c>
      <c r="AH3" s="104">
        <v>43.803280000000001</v>
      </c>
      <c r="AI3" s="104">
        <v>43.395679999999999</v>
      </c>
      <c r="AJ3" s="104">
        <v>42.989688999999998</v>
      </c>
      <c r="AK3" s="104">
        <v>42.404760000000003</v>
      </c>
      <c r="AL3" s="104">
        <v>41.768500000000003</v>
      </c>
      <c r="AM3" s="104">
        <v>40.868699999999997</v>
      </c>
      <c r="AN3" s="104">
        <v>39.888199999999998</v>
      </c>
      <c r="AO3" s="104">
        <v>38.875160000000001</v>
      </c>
      <c r="AP3" s="104">
        <v>37.9099</v>
      </c>
      <c r="AQ3" s="104">
        <v>36.78</v>
      </c>
      <c r="AR3" s="104">
        <v>35.596799999999995</v>
      </c>
      <c r="AS3" s="104">
        <v>34.375799999999998</v>
      </c>
      <c r="AT3" s="104">
        <v>33.131999999999998</v>
      </c>
      <c r="AU3" s="104">
        <v>31.859099999999994</v>
      </c>
      <c r="AV3" s="104">
        <v>30.557999999999993</v>
      </c>
      <c r="AW3" s="104">
        <v>29.229599999999991</v>
      </c>
      <c r="AX3" s="104">
        <v>27.87479999999999</v>
      </c>
      <c r="AY3" s="104">
        <v>26.494499999999992</v>
      </c>
      <c r="AZ3" s="104">
        <v>25.084799999999987</v>
      </c>
      <c r="BA3" s="104">
        <v>23.656500000000001</v>
      </c>
      <c r="BB3" s="104">
        <v>22.29271</v>
      </c>
      <c r="BC3" s="104">
        <v>21.103999999999999</v>
      </c>
      <c r="BD3" s="104">
        <v>20.01857</v>
      </c>
      <c r="BE3" s="104">
        <v>18.813580000000002</v>
      </c>
      <c r="BF3" s="104">
        <v>17.802880999999999</v>
      </c>
      <c r="BG3" s="104">
        <v>16.910546400000001</v>
      </c>
      <c r="BH3" s="104">
        <v>16.10971</v>
      </c>
      <c r="BI3" s="104">
        <v>15.5382</v>
      </c>
      <c r="BJ3" s="104">
        <v>14.912845099999998</v>
      </c>
      <c r="BK3" s="104">
        <v>14.34</v>
      </c>
      <c r="BL3" s="104">
        <v>13.88266666667</v>
      </c>
      <c r="BM3" s="104">
        <v>13.386559999999999</v>
      </c>
      <c r="BN3" s="104">
        <v>12.86084</v>
      </c>
      <c r="BO3" s="104">
        <v>12.636100000000001</v>
      </c>
      <c r="BP3" s="104">
        <v>12.5975</v>
      </c>
      <c r="BQ3" s="104">
        <v>12.5563</v>
      </c>
      <c r="BR3" s="104">
        <v>12.510400000000001</v>
      </c>
      <c r="BS3" s="104">
        <v>12.4643</v>
      </c>
      <c r="BT3" s="104">
        <v>12.413399999999999</v>
      </c>
      <c r="BU3" s="104">
        <v>12.3581</v>
      </c>
      <c r="BV3" s="102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</row>
    <row r="4" spans="1:101" s="96" customFormat="1" ht="12.9" customHeight="1" thickBot="1" x14ac:dyDescent="0.35">
      <c r="A4" s="97" t="s">
        <v>10</v>
      </c>
      <c r="B4" s="97" t="s">
        <v>309</v>
      </c>
      <c r="C4" s="97" t="s">
        <v>316</v>
      </c>
      <c r="D4" s="97" t="s">
        <v>311</v>
      </c>
      <c r="E4" s="157" t="s">
        <v>317</v>
      </c>
      <c r="F4" s="97" t="s">
        <v>7</v>
      </c>
      <c r="G4" s="97" t="s">
        <v>313</v>
      </c>
      <c r="H4" s="97" t="s">
        <v>75</v>
      </c>
      <c r="I4" s="97"/>
      <c r="J4" s="97"/>
      <c r="K4" s="97"/>
      <c r="L4" s="97"/>
      <c r="M4" s="106">
        <v>18.399514089706344</v>
      </c>
      <c r="N4" s="106">
        <v>19.251331946627307</v>
      </c>
      <c r="O4" s="106">
        <v>20.250503961403798</v>
      </c>
      <c r="P4" s="106">
        <v>21.159735055743361</v>
      </c>
      <c r="Q4" s="106">
        <v>22.89603174169196</v>
      </c>
      <c r="R4" s="106">
        <v>24.924099043161487</v>
      </c>
      <c r="S4" s="106">
        <v>25.561618113788189</v>
      </c>
      <c r="T4" s="106">
        <v>26.256082137778254</v>
      </c>
      <c r="U4" s="107">
        <v>26.624217749157602</v>
      </c>
      <c r="V4" s="101">
        <v>27.545137433144401</v>
      </c>
      <c r="W4" s="101">
        <v>29.009550701123501</v>
      </c>
      <c r="X4" s="101">
        <v>28.635027878821099</v>
      </c>
      <c r="Y4" s="108">
        <v>28.19864428663654</v>
      </c>
      <c r="Z4" s="101">
        <v>29.40164</v>
      </c>
      <c r="AA4" s="101">
        <v>29.779800000000002</v>
      </c>
      <c r="AB4" s="101">
        <v>30.15437</v>
      </c>
      <c r="AC4" s="101">
        <v>30.524940000000001</v>
      </c>
      <c r="AD4" s="101">
        <v>30.891380000000002</v>
      </c>
      <c r="AE4" s="101">
        <v>31.262076559999997</v>
      </c>
      <c r="AF4" s="101">
        <v>31.668483555279998</v>
      </c>
      <c r="AG4" s="101">
        <v>32.301853226385596</v>
      </c>
      <c r="AH4" s="101">
        <v>32.793995570451997</v>
      </c>
      <c r="AI4" s="101">
        <v>33.5033533450855</v>
      </c>
      <c r="AJ4" s="101">
        <v>34.087440532057698</v>
      </c>
      <c r="AK4" s="101">
        <v>34.636314937378302</v>
      </c>
      <c r="AL4" s="101">
        <v>35.182054568772998</v>
      </c>
      <c r="AM4" s="101">
        <v>35.608905716902903</v>
      </c>
      <c r="AN4" s="101">
        <v>36.267994774071965</v>
      </c>
      <c r="AO4" s="101">
        <v>36.993354669553405</v>
      </c>
      <c r="AP4" s="101">
        <v>37.918188536292234</v>
      </c>
      <c r="AQ4" s="101">
        <v>39.055734192381003</v>
      </c>
      <c r="AR4" s="101">
        <v>40.071183281382908</v>
      </c>
      <c r="AS4" s="101">
        <v>41.07296286341748</v>
      </c>
      <c r="AT4" s="101">
        <v>42.099786935002911</v>
      </c>
      <c r="AU4" s="101">
        <v>43.110181821442978</v>
      </c>
      <c r="AV4" s="101">
        <v>44.101716003336165</v>
      </c>
      <c r="AW4" s="101">
        <v>45.116055471412892</v>
      </c>
      <c r="AX4" s="101">
        <v>45.892796303484097</v>
      </c>
      <c r="AY4" s="101">
        <v>46.688102655429397</v>
      </c>
      <c r="AZ4" s="101">
        <v>47.269476605882524</v>
      </c>
      <c r="BA4" s="101">
        <v>47.836710325153113</v>
      </c>
      <c r="BB4" s="101">
        <v>48.280571664537</v>
      </c>
      <c r="BC4" s="101">
        <v>48.616225509452491</v>
      </c>
      <c r="BD4" s="101">
        <v>48.854439088018601</v>
      </c>
      <c r="BE4" s="101">
        <v>49.04367460072276</v>
      </c>
      <c r="BF4" s="101">
        <v>49.19080562452492</v>
      </c>
      <c r="BG4" s="101">
        <v>49.436759652647545</v>
      </c>
      <c r="BH4" s="101">
        <v>49.585069931605474</v>
      </c>
      <c r="BI4" s="101">
        <v>49.634655001537077</v>
      </c>
      <c r="BJ4" s="101">
        <v>49.73392431154015</v>
      </c>
      <c r="BK4" s="101">
        <v>49.73392431154015</v>
      </c>
      <c r="BL4" s="101">
        <v>49.733924311540157</v>
      </c>
      <c r="BM4" s="101">
        <v>49.833392160163228</v>
      </c>
      <c r="BN4" s="101">
        <v>49.833392160163228</v>
      </c>
      <c r="BO4" s="101">
        <v>49.845399999999998</v>
      </c>
      <c r="BP4" s="101">
        <v>49.939300000000003</v>
      </c>
      <c r="BQ4" s="101">
        <v>50.016199999999998</v>
      </c>
      <c r="BR4" s="101">
        <v>50.085000000000001</v>
      </c>
      <c r="BS4" s="101">
        <v>50.240900000000003</v>
      </c>
      <c r="BT4" s="101">
        <v>50.388599999999997</v>
      </c>
      <c r="BU4" s="101">
        <v>50.5214</v>
      </c>
      <c r="BV4" s="102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</row>
    <row r="5" spans="1:101" s="96" customFormat="1" ht="15" thickBot="1" x14ac:dyDescent="0.35">
      <c r="A5" s="102" t="s">
        <v>10</v>
      </c>
      <c r="B5" s="102" t="s">
        <v>309</v>
      </c>
      <c r="C5" s="102" t="s">
        <v>318</v>
      </c>
      <c r="D5" s="102" t="s">
        <v>311</v>
      </c>
      <c r="E5" s="158" t="s">
        <v>319</v>
      </c>
      <c r="F5" s="102" t="s">
        <v>7</v>
      </c>
      <c r="G5" s="102" t="s">
        <v>313</v>
      </c>
      <c r="H5" s="102" t="s">
        <v>75</v>
      </c>
      <c r="I5" s="102"/>
      <c r="J5" s="102"/>
      <c r="K5" s="102"/>
      <c r="L5" s="102"/>
      <c r="M5" s="109">
        <v>23.857974763966439</v>
      </c>
      <c r="N5" s="109">
        <v>25.835106872399699</v>
      </c>
      <c r="O5" s="109">
        <v>28.75812685297327</v>
      </c>
      <c r="P5" s="109">
        <v>28.89458090450978</v>
      </c>
      <c r="Q5" s="109">
        <v>30.289315507874445</v>
      </c>
      <c r="R5" s="109">
        <v>30.867067768635412</v>
      </c>
      <c r="S5" s="109">
        <v>32.08818636600256</v>
      </c>
      <c r="T5" s="109">
        <v>34.068802407666539</v>
      </c>
      <c r="U5" s="103">
        <v>35.971610607177787</v>
      </c>
      <c r="V5" s="104">
        <v>37.38028094346533</v>
      </c>
      <c r="W5" s="104">
        <v>36.49129731409343</v>
      </c>
      <c r="X5" s="104">
        <v>40.945505949568179</v>
      </c>
      <c r="Y5" s="105">
        <v>42.48766946417043</v>
      </c>
      <c r="Z5" s="104">
        <v>43.412210000000002</v>
      </c>
      <c r="AA5" s="104">
        <v>45.137619999999998</v>
      </c>
      <c r="AB5" s="104">
        <v>45.901359999999997</v>
      </c>
      <c r="AC5" s="104">
        <v>47.357300000000002</v>
      </c>
      <c r="AD5" s="104">
        <v>48.397860000000001</v>
      </c>
      <c r="AE5" s="104">
        <v>50.15531</v>
      </c>
      <c r="AF5" s="104">
        <v>50.746839999999999</v>
      </c>
      <c r="AG5" s="104">
        <v>52.324120000000001</v>
      </c>
      <c r="AH5" s="104">
        <v>53.510590000000001</v>
      </c>
      <c r="AI5" s="104">
        <v>55.175409999999999</v>
      </c>
      <c r="AJ5" s="104">
        <v>56.337440000000001</v>
      </c>
      <c r="AK5" s="104">
        <v>57.979320000000001</v>
      </c>
      <c r="AL5" s="104">
        <v>58.95532</v>
      </c>
      <c r="AM5" s="104">
        <v>60.729239999999997</v>
      </c>
      <c r="AN5" s="104">
        <v>61.746220000000001</v>
      </c>
      <c r="AO5" s="104">
        <v>63.420589999999997</v>
      </c>
      <c r="AP5" s="104">
        <v>64.688789999999997</v>
      </c>
      <c r="AQ5" s="104">
        <v>66.34666</v>
      </c>
      <c r="AR5" s="104">
        <v>67.560360000000003</v>
      </c>
      <c r="AS5" s="104">
        <v>69.217910000000003</v>
      </c>
      <c r="AT5" s="104">
        <v>70.157169999999994</v>
      </c>
      <c r="AU5" s="104">
        <v>71.813730000000007</v>
      </c>
      <c r="AV5" s="104">
        <v>72.902749999999997</v>
      </c>
      <c r="AW5" s="104">
        <v>74.658940000000001</v>
      </c>
      <c r="AX5" s="104">
        <v>75.810609999999997</v>
      </c>
      <c r="AY5" s="104">
        <v>77.232050000000001</v>
      </c>
      <c r="AZ5" s="104">
        <v>78.436809999999994</v>
      </c>
      <c r="BA5" s="104">
        <v>79.892700000000005</v>
      </c>
      <c r="BB5" s="104">
        <v>81.44</v>
      </c>
      <c r="BC5" s="104">
        <v>82.97</v>
      </c>
      <c r="BD5" s="104">
        <v>84.502899999999997</v>
      </c>
      <c r="BE5" s="104">
        <v>86.612600000000015</v>
      </c>
      <c r="BF5" s="104">
        <v>88.811899999999994</v>
      </c>
      <c r="BG5" s="104">
        <v>91.021199999999993</v>
      </c>
      <c r="BH5" s="104">
        <v>93.313800000000015</v>
      </c>
      <c r="BI5" s="104">
        <v>95.609200000000001</v>
      </c>
      <c r="BJ5" s="104">
        <v>97.985299999999981</v>
      </c>
      <c r="BK5" s="104">
        <v>100.42300000000002</v>
      </c>
      <c r="BL5" s="104">
        <v>102.93100000000001</v>
      </c>
      <c r="BM5" s="104">
        <v>105.48199999999999</v>
      </c>
      <c r="BN5" s="104">
        <v>108.08199999999999</v>
      </c>
      <c r="BO5" s="104">
        <v>110.754</v>
      </c>
      <c r="BP5" s="104">
        <v>113.48600000000002</v>
      </c>
      <c r="BQ5" s="104">
        <v>116.313</v>
      </c>
      <c r="BR5" s="104">
        <v>119.20399999999999</v>
      </c>
      <c r="BS5" s="104">
        <v>122.17199999999998</v>
      </c>
      <c r="BT5" s="104">
        <v>125.208</v>
      </c>
      <c r="BU5" s="104">
        <v>128.33099999999999</v>
      </c>
      <c r="BV5" s="102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</row>
    <row r="6" spans="1:101" s="96" customFormat="1" ht="15" thickBot="1" x14ac:dyDescent="0.35">
      <c r="A6" s="97" t="s">
        <v>10</v>
      </c>
      <c r="B6" s="97" t="s">
        <v>309</v>
      </c>
      <c r="C6" s="97" t="s">
        <v>320</v>
      </c>
      <c r="D6" s="97" t="s">
        <v>311</v>
      </c>
      <c r="E6" s="157" t="s">
        <v>321</v>
      </c>
      <c r="F6" s="97" t="s">
        <v>7</v>
      </c>
      <c r="G6" s="97" t="s">
        <v>313</v>
      </c>
      <c r="H6" s="97" t="s">
        <v>75</v>
      </c>
      <c r="I6" s="97"/>
      <c r="J6" s="97"/>
      <c r="K6" s="97"/>
      <c r="L6" s="97"/>
      <c r="M6" s="107">
        <v>9.7480451795528662</v>
      </c>
      <c r="N6" s="107">
        <v>10.056953926009987</v>
      </c>
      <c r="O6" s="107">
        <v>10.29095810800664</v>
      </c>
      <c r="P6" s="107">
        <v>10.507542623849695</v>
      </c>
      <c r="Q6" s="107">
        <v>10.703804195846889</v>
      </c>
      <c r="R6" s="107">
        <v>9.4641046212492359</v>
      </c>
      <c r="S6" s="107">
        <v>9.1342922754078</v>
      </c>
      <c r="T6" s="107">
        <v>9.148228008330678</v>
      </c>
      <c r="U6" s="107">
        <v>9.4607379223717292</v>
      </c>
      <c r="V6" s="101">
        <v>9.7371299586754692</v>
      </c>
      <c r="W6" s="101">
        <v>9.2977422803691905</v>
      </c>
      <c r="X6" s="101">
        <v>10.852196815581699</v>
      </c>
      <c r="Y6" s="108">
        <v>10.928405422853453</v>
      </c>
      <c r="Z6" s="101">
        <v>11.51</v>
      </c>
      <c r="AA6" s="101">
        <v>11.96</v>
      </c>
      <c r="AB6" s="101">
        <v>12.17</v>
      </c>
      <c r="AC6" s="101">
        <v>12.55</v>
      </c>
      <c r="AD6" s="101">
        <v>12.8</v>
      </c>
      <c r="AE6" s="101">
        <v>13.25</v>
      </c>
      <c r="AF6" s="101">
        <v>13.395</v>
      </c>
      <c r="AG6" s="101">
        <v>13.5328</v>
      </c>
      <c r="AH6" s="101">
        <v>13.6</v>
      </c>
      <c r="AI6" s="101">
        <v>13.523</v>
      </c>
      <c r="AJ6" s="101">
        <v>13.349600000000001</v>
      </c>
      <c r="AK6" s="101">
        <v>13.198</v>
      </c>
      <c r="AL6" s="101">
        <v>12.9954</v>
      </c>
      <c r="AM6" s="101">
        <v>12.812099999999999</v>
      </c>
      <c r="AN6" s="101">
        <v>12.64578</v>
      </c>
      <c r="AO6" s="101">
        <v>12.416</v>
      </c>
      <c r="AP6" s="101">
        <v>12.208600000000001</v>
      </c>
      <c r="AQ6" s="101">
        <v>12.057</v>
      </c>
      <c r="AR6" s="101">
        <v>11.8957</v>
      </c>
      <c r="AS6" s="101">
        <v>11.761900000000001</v>
      </c>
      <c r="AT6" s="101">
        <v>11.591200000000001</v>
      </c>
      <c r="AU6" s="101">
        <v>11.486700000000001</v>
      </c>
      <c r="AV6" s="101">
        <v>11.382199999999999</v>
      </c>
      <c r="AW6" s="101">
        <v>11.3073</v>
      </c>
      <c r="AX6" s="101">
        <v>11.2249</v>
      </c>
      <c r="AY6" s="101">
        <v>11.148999999999999</v>
      </c>
      <c r="AZ6" s="101">
        <v>11.0717</v>
      </c>
      <c r="BA6" s="101">
        <v>10.9777</v>
      </c>
      <c r="BB6" s="101">
        <v>10.922700000000003</v>
      </c>
      <c r="BC6" s="101">
        <v>11.040800000000001</v>
      </c>
      <c r="BD6" s="101">
        <v>11.165800000000001</v>
      </c>
      <c r="BE6" s="101">
        <v>11.2827</v>
      </c>
      <c r="BF6" s="101">
        <v>11.4063</v>
      </c>
      <c r="BG6" s="101">
        <v>11.521699999999999</v>
      </c>
      <c r="BH6" s="101">
        <v>11.643599999999999</v>
      </c>
      <c r="BI6" s="101">
        <v>11.762</v>
      </c>
      <c r="BJ6" s="101">
        <v>11.8819</v>
      </c>
      <c r="BK6" s="101">
        <v>12.003</v>
      </c>
      <c r="BL6" s="101">
        <v>12.125299999999999</v>
      </c>
      <c r="BM6" s="101">
        <v>12.2532</v>
      </c>
      <c r="BN6" s="101">
        <v>12.3728</v>
      </c>
      <c r="BO6" s="101">
        <v>12.4979</v>
      </c>
      <c r="BP6" s="101">
        <v>12.6236</v>
      </c>
      <c r="BQ6" s="101">
        <v>12.75</v>
      </c>
      <c r="BR6" s="101">
        <v>12.872299999999999</v>
      </c>
      <c r="BS6" s="101">
        <v>12.999499999999999</v>
      </c>
      <c r="BT6" s="101">
        <v>13.1225</v>
      </c>
      <c r="BU6" s="101">
        <v>13.25</v>
      </c>
      <c r="BV6" s="102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</row>
    <row r="7" spans="1:101" s="96" customFormat="1" ht="15" thickBot="1" x14ac:dyDescent="0.35">
      <c r="A7" s="102" t="s">
        <v>10</v>
      </c>
      <c r="B7" s="102" t="s">
        <v>309</v>
      </c>
      <c r="C7" s="102" t="s">
        <v>322</v>
      </c>
      <c r="D7" s="102" t="s">
        <v>311</v>
      </c>
      <c r="E7" s="158" t="s">
        <v>323</v>
      </c>
      <c r="F7" s="102" t="s">
        <v>7</v>
      </c>
      <c r="G7" s="102" t="s">
        <v>313</v>
      </c>
      <c r="H7" s="102" t="s">
        <v>75</v>
      </c>
      <c r="I7" s="102"/>
      <c r="J7" s="102"/>
      <c r="K7" s="102"/>
      <c r="L7" s="102"/>
      <c r="M7" s="103">
        <v>2.4648827607339703</v>
      </c>
      <c r="N7" s="103">
        <v>2.7720495405757299</v>
      </c>
      <c r="O7" s="103">
        <v>2.4033332736579278</v>
      </c>
      <c r="P7" s="103">
        <v>2.5548843691942213</v>
      </c>
      <c r="Q7" s="103">
        <v>3.6691623474859734</v>
      </c>
      <c r="R7" s="103">
        <v>4.2178818313242781</v>
      </c>
      <c r="S7" s="103">
        <v>3.4055447330282065</v>
      </c>
      <c r="T7" s="103">
        <v>3.7562606782539585</v>
      </c>
      <c r="U7" s="103">
        <v>3.9680445141082998</v>
      </c>
      <c r="V7" s="104">
        <v>4.1453383632536003</v>
      </c>
      <c r="W7" s="104">
        <v>3.6902606348657798</v>
      </c>
      <c r="X7" s="104">
        <v>4.1259797721259996</v>
      </c>
      <c r="Y7" s="105">
        <v>4.250161394448031</v>
      </c>
      <c r="Z7" s="104">
        <v>4.37</v>
      </c>
      <c r="AA7" s="104">
        <v>4.55</v>
      </c>
      <c r="AB7" s="104">
        <v>4.63</v>
      </c>
      <c r="AC7" s="104">
        <v>4.7699999999999996</v>
      </c>
      <c r="AD7" s="104">
        <v>4.88</v>
      </c>
      <c r="AE7" s="104">
        <v>5.0099200000000002</v>
      </c>
      <c r="AF7" s="104">
        <v>5.1100000000000003</v>
      </c>
      <c r="AG7" s="104">
        <v>5.2625000000000002</v>
      </c>
      <c r="AH7" s="104">
        <v>5.2510399999999997</v>
      </c>
      <c r="AI7" s="104">
        <v>5.2380800000000001</v>
      </c>
      <c r="AJ7" s="104">
        <v>5.2271200000000002</v>
      </c>
      <c r="AK7" s="104">
        <v>5.2191599999999996</v>
      </c>
      <c r="AL7" s="104">
        <v>5.2051999999999996</v>
      </c>
      <c r="AM7" s="104">
        <v>5.1942399999999997</v>
      </c>
      <c r="AN7" s="104">
        <v>5.1832799999999999</v>
      </c>
      <c r="AO7" s="104">
        <v>5.17232</v>
      </c>
      <c r="AP7" s="104">
        <v>5.1613600000000002</v>
      </c>
      <c r="AQ7" s="104">
        <v>5.1504000000000003</v>
      </c>
      <c r="AR7" s="104">
        <v>5.1494</v>
      </c>
      <c r="AS7" s="104">
        <v>5.1444000000000001</v>
      </c>
      <c r="AT7" s="104">
        <v>5.1390000000000002</v>
      </c>
      <c r="AU7" s="104">
        <v>5.1322000000000001</v>
      </c>
      <c r="AV7" s="104">
        <v>5.1378000000000004</v>
      </c>
      <c r="AW7" s="104">
        <v>5.1237000000000004</v>
      </c>
      <c r="AX7" s="104">
        <v>5.1093000000000002</v>
      </c>
      <c r="AY7" s="104">
        <v>5.0881999999999996</v>
      </c>
      <c r="AZ7" s="104">
        <v>5.0681000000000003</v>
      </c>
      <c r="BA7" s="104">
        <v>5.0891999999999999</v>
      </c>
      <c r="BB7" s="104">
        <v>5.1266999999999996</v>
      </c>
      <c r="BC7" s="104">
        <v>5.2257999999999996</v>
      </c>
      <c r="BD7" s="104">
        <v>5.3323999999999998</v>
      </c>
      <c r="BE7" s="104">
        <v>5.4320000000000004</v>
      </c>
      <c r="BF7" s="104">
        <v>5.5415000000000001</v>
      </c>
      <c r="BG7" s="104">
        <v>5.6489000000000011</v>
      </c>
      <c r="BH7" s="104">
        <v>5.7614000000000001</v>
      </c>
      <c r="BI7" s="104">
        <v>5.8666</v>
      </c>
      <c r="BJ7" s="104">
        <v>5.9794999999999998</v>
      </c>
      <c r="BK7" s="104">
        <v>6.0972999999999997</v>
      </c>
      <c r="BL7" s="104">
        <v>6.2184999999999997</v>
      </c>
      <c r="BM7" s="104">
        <v>6.3367000000000004</v>
      </c>
      <c r="BN7" s="104">
        <v>6.4630000000000001</v>
      </c>
      <c r="BO7" s="104">
        <v>6.5895000000000001</v>
      </c>
      <c r="BP7" s="104">
        <v>6.7161999999999997</v>
      </c>
      <c r="BQ7" s="104">
        <v>6.8476999999999997</v>
      </c>
      <c r="BR7" s="104">
        <v>6.9829999999999997</v>
      </c>
      <c r="BS7" s="104">
        <v>7.1185999999999998</v>
      </c>
      <c r="BT7" s="104">
        <v>7.2588999999999988</v>
      </c>
      <c r="BU7" s="104">
        <v>7.3994</v>
      </c>
      <c r="BV7" s="102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</row>
    <row r="8" spans="1:101" s="96" customFormat="1" ht="15" thickBot="1" x14ac:dyDescent="0.35">
      <c r="A8" s="97" t="s">
        <v>10</v>
      </c>
      <c r="B8" s="97" t="s">
        <v>309</v>
      </c>
      <c r="C8" s="97" t="s">
        <v>324</v>
      </c>
      <c r="D8" s="97" t="s">
        <v>311</v>
      </c>
      <c r="E8" s="157" t="s">
        <v>325</v>
      </c>
      <c r="F8" s="97" t="s">
        <v>7</v>
      </c>
      <c r="G8" s="97" t="s">
        <v>313</v>
      </c>
      <c r="H8" s="97" t="s">
        <v>75</v>
      </c>
      <c r="I8" s="97"/>
      <c r="J8" s="97"/>
      <c r="K8" s="97"/>
      <c r="L8" s="97"/>
      <c r="M8" s="107">
        <v>0</v>
      </c>
      <c r="N8" s="107">
        <v>6.5033420306761847E-2</v>
      </c>
      <c r="O8" s="107">
        <v>1.2292477749054895</v>
      </c>
      <c r="P8" s="107">
        <v>1.8151292132047996</v>
      </c>
      <c r="Q8" s="107">
        <v>2.0346170067401208</v>
      </c>
      <c r="R8" s="107">
        <v>0.81001447614225697</v>
      </c>
      <c r="S8" s="107">
        <v>2.3086864208900457</v>
      </c>
      <c r="T8" s="107">
        <v>2.1112635378159474</v>
      </c>
      <c r="U8" s="107">
        <v>1.96337828327746</v>
      </c>
      <c r="V8" s="101">
        <v>1.5793630784291599</v>
      </c>
      <c r="W8" s="101">
        <v>0.94433599472857999</v>
      </c>
      <c r="X8" s="101">
        <v>1.6548595399193</v>
      </c>
      <c r="Y8" s="108">
        <v>1.7430600387346675</v>
      </c>
      <c r="Z8" s="101">
        <v>1.75</v>
      </c>
      <c r="AA8" s="101">
        <v>1.82</v>
      </c>
      <c r="AB8" s="101">
        <v>1.86</v>
      </c>
      <c r="AC8" s="101">
        <v>1.91</v>
      </c>
      <c r="AD8" s="101">
        <v>1.96</v>
      </c>
      <c r="AE8" s="101">
        <v>2.0105</v>
      </c>
      <c r="AF8" s="101">
        <v>2.0449999999999999</v>
      </c>
      <c r="AG8" s="101">
        <v>2.06</v>
      </c>
      <c r="AH8" s="101">
        <v>2.0442800000000001</v>
      </c>
      <c r="AI8" s="101">
        <v>1.9991000000000001</v>
      </c>
      <c r="AJ8" s="101">
        <v>1.9595800000000001</v>
      </c>
      <c r="AK8" s="101">
        <v>1.927</v>
      </c>
      <c r="AL8" s="101">
        <v>1.8982000000000001</v>
      </c>
      <c r="AM8" s="101">
        <v>1.8724000000000001</v>
      </c>
      <c r="AN8" s="101">
        <v>1.8494999999999999</v>
      </c>
      <c r="AO8" s="101">
        <v>1.8324</v>
      </c>
      <c r="AP8" s="101">
        <v>1.8165000000000002</v>
      </c>
      <c r="AQ8" s="101">
        <v>1.8028</v>
      </c>
      <c r="AR8" s="101">
        <v>1.7869999999999999</v>
      </c>
      <c r="AS8" s="101">
        <v>1.7747000000000002</v>
      </c>
      <c r="AT8" s="101">
        <v>1.7607999999999999</v>
      </c>
      <c r="AU8" s="101">
        <v>1.7481</v>
      </c>
      <c r="AV8" s="101">
        <v>1.738</v>
      </c>
      <c r="AW8" s="101">
        <v>1.7262</v>
      </c>
      <c r="AX8" s="101">
        <v>1.7108000000000001</v>
      </c>
      <c r="AY8" s="101">
        <v>1.7014000000000002</v>
      </c>
      <c r="AZ8" s="101">
        <v>1.6880999999999999</v>
      </c>
      <c r="BA8" s="101">
        <v>1.6749000000000001</v>
      </c>
      <c r="BB8" s="101">
        <v>1.6645000000000001</v>
      </c>
      <c r="BC8" s="101">
        <v>1.6819999999999999</v>
      </c>
      <c r="BD8" s="101">
        <v>1.704</v>
      </c>
      <c r="BE8" s="101">
        <v>1.7205999999999999</v>
      </c>
      <c r="BF8" s="101">
        <v>1.7366999999999999</v>
      </c>
      <c r="BG8" s="101">
        <v>1.7572000000000001</v>
      </c>
      <c r="BH8" s="101">
        <v>1.7771999999999999</v>
      </c>
      <c r="BI8" s="101">
        <v>1.7919</v>
      </c>
      <c r="BJ8" s="101">
        <v>1.8108</v>
      </c>
      <c r="BK8" s="101">
        <v>1.8291999999999999</v>
      </c>
      <c r="BL8" s="101">
        <v>1.8471</v>
      </c>
      <c r="BM8" s="101">
        <v>1.869</v>
      </c>
      <c r="BN8" s="101">
        <v>1.8857999999999999</v>
      </c>
      <c r="BO8" s="101">
        <v>1.9066000000000001</v>
      </c>
      <c r="BP8" s="101">
        <v>1.9268000000000001</v>
      </c>
      <c r="BQ8" s="101">
        <v>1.9419000000000002</v>
      </c>
      <c r="BR8" s="101">
        <v>1.9608000000000001</v>
      </c>
      <c r="BS8" s="101">
        <v>1.9837</v>
      </c>
      <c r="BT8" s="101">
        <v>2.0013999999999998</v>
      </c>
      <c r="BU8" s="101">
        <v>2.0185</v>
      </c>
      <c r="BV8" s="102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</row>
    <row r="9" spans="1:101" s="96" customFormat="1" ht="15" thickBot="1" x14ac:dyDescent="0.35">
      <c r="A9" s="102" t="s">
        <v>10</v>
      </c>
      <c r="B9" s="102" t="s">
        <v>309</v>
      </c>
      <c r="C9" s="102" t="s">
        <v>326</v>
      </c>
      <c r="D9" s="102" t="s">
        <v>311</v>
      </c>
      <c r="E9" s="158" t="s">
        <v>327</v>
      </c>
      <c r="F9" s="102" t="s">
        <v>7</v>
      </c>
      <c r="G9" s="102" t="s">
        <v>313</v>
      </c>
      <c r="H9" s="102" t="s">
        <v>75</v>
      </c>
      <c r="I9" s="102"/>
      <c r="J9" s="102"/>
      <c r="K9" s="102"/>
      <c r="L9" s="102"/>
      <c r="M9" s="103">
        <v>27.569524965759427</v>
      </c>
      <c r="N9" s="103">
        <v>28.78832094097276</v>
      </c>
      <c r="O9" s="103">
        <v>31.857085461698087</v>
      </c>
      <c r="P9" s="103">
        <v>35.930964719485964</v>
      </c>
      <c r="Q9" s="103">
        <v>37.977775492533603</v>
      </c>
      <c r="R9" s="103">
        <v>33.522405545981954</v>
      </c>
      <c r="S9" s="103">
        <v>22.441755905678942</v>
      </c>
      <c r="T9" s="103">
        <v>21.529546054768918</v>
      </c>
      <c r="U9" s="103">
        <v>25.5848234317269</v>
      </c>
      <c r="V9" s="104">
        <v>22.023940567740599</v>
      </c>
      <c r="W9" s="104">
        <v>21.491393792287099</v>
      </c>
      <c r="X9" s="104">
        <v>20.510462487417801</v>
      </c>
      <c r="Y9" s="105">
        <v>28.440348612007746</v>
      </c>
      <c r="Z9" s="104">
        <v>21.75</v>
      </c>
      <c r="AA9" s="104">
        <v>22.61</v>
      </c>
      <c r="AB9" s="104">
        <v>22.99</v>
      </c>
      <c r="AC9" s="104">
        <v>23.72</v>
      </c>
      <c r="AD9" s="104">
        <v>24.24</v>
      </c>
      <c r="AE9" s="104">
        <v>24.8</v>
      </c>
      <c r="AF9" s="104">
        <v>25.395</v>
      </c>
      <c r="AG9" s="104">
        <v>26.1</v>
      </c>
      <c r="AH9" s="104">
        <v>25.951720000000002</v>
      </c>
      <c r="AI9" s="104">
        <v>25.434999999999999</v>
      </c>
      <c r="AJ9" s="104">
        <v>24.398700000000002</v>
      </c>
      <c r="AK9" s="104">
        <v>23.2807</v>
      </c>
      <c r="AL9" s="104">
        <v>22.212900000000001</v>
      </c>
      <c r="AM9" s="104">
        <v>21.547000000000001</v>
      </c>
      <c r="AN9" s="104">
        <v>20.90118</v>
      </c>
      <c r="AO9" s="104">
        <v>20.379799999999999</v>
      </c>
      <c r="AP9" s="104">
        <v>19.988</v>
      </c>
      <c r="AQ9" s="104">
        <v>19.6997</v>
      </c>
      <c r="AR9" s="104">
        <v>19.4133</v>
      </c>
      <c r="AS9" s="104">
        <v>19.136000000000003</v>
      </c>
      <c r="AT9" s="104">
        <v>18.844899999999999</v>
      </c>
      <c r="AU9" s="104">
        <v>18.563600000000001</v>
      </c>
      <c r="AV9" s="104">
        <v>18.263100000000001</v>
      </c>
      <c r="AW9" s="104">
        <v>18.014330000000001</v>
      </c>
      <c r="AX9" s="104">
        <v>17.763000000000002</v>
      </c>
      <c r="AY9" s="104">
        <v>17.531700000000001</v>
      </c>
      <c r="AZ9" s="104">
        <v>17.338200000000001</v>
      </c>
      <c r="BA9" s="104">
        <v>17.090199999999999</v>
      </c>
      <c r="BB9" s="104">
        <v>16.8704</v>
      </c>
      <c r="BC9" s="104">
        <v>16.6892</v>
      </c>
      <c r="BD9" s="104">
        <v>16.609200000000001</v>
      </c>
      <c r="BE9" s="104">
        <v>16.610399999999998</v>
      </c>
      <c r="BF9" s="104">
        <v>16.616</v>
      </c>
      <c r="BG9" s="104">
        <v>16.610299999999999</v>
      </c>
      <c r="BH9" s="104">
        <v>16.6006</v>
      </c>
      <c r="BI9" s="104">
        <v>16.5793</v>
      </c>
      <c r="BJ9" s="104">
        <v>16.5535</v>
      </c>
      <c r="BK9" s="104">
        <v>16.522600000000001</v>
      </c>
      <c r="BL9" s="104">
        <v>16.4864</v>
      </c>
      <c r="BM9" s="104">
        <v>16.447600000000001</v>
      </c>
      <c r="BN9" s="104">
        <v>16.396000000000001</v>
      </c>
      <c r="BO9" s="104">
        <v>16.337800000000001</v>
      </c>
      <c r="BP9" s="104">
        <v>16.2727</v>
      </c>
      <c r="BQ9" s="104">
        <v>16.197299999999998</v>
      </c>
      <c r="BR9" s="104">
        <v>16.117100000000001</v>
      </c>
      <c r="BS9" s="104">
        <v>16.0258</v>
      </c>
      <c r="BT9" s="104">
        <v>15.926200000000001</v>
      </c>
      <c r="BU9" s="104">
        <v>15.817500000000001</v>
      </c>
      <c r="BV9" s="102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</row>
    <row r="10" spans="1:101" s="96" customFormat="1" ht="15" thickBot="1" x14ac:dyDescent="0.35">
      <c r="A10" s="97" t="s">
        <v>10</v>
      </c>
      <c r="B10" s="97" t="s">
        <v>309</v>
      </c>
      <c r="C10" s="97" t="s">
        <v>328</v>
      </c>
      <c r="D10" s="97" t="s">
        <v>311</v>
      </c>
      <c r="E10" s="157" t="s">
        <v>329</v>
      </c>
      <c r="F10" s="97" t="s">
        <v>7</v>
      </c>
      <c r="G10" s="97" t="s">
        <v>313</v>
      </c>
      <c r="H10" s="97" t="s">
        <v>75</v>
      </c>
      <c r="I10" s="97"/>
      <c r="J10" s="97"/>
      <c r="K10" s="97"/>
      <c r="L10" s="97"/>
      <c r="M10" s="107">
        <v>1.0451799692158195E-2</v>
      </c>
      <c r="N10" s="107">
        <v>1.3935732922877591E-2</v>
      </c>
      <c r="O10" s="107">
        <v>1.9161632768956688E-2</v>
      </c>
      <c r="P10" s="107">
        <v>2.0322943845863157E-2</v>
      </c>
      <c r="Q10" s="107">
        <v>2.1484254922769622E-2</v>
      </c>
      <c r="R10" s="107">
        <v>2.1484254922769622E-2</v>
      </c>
      <c r="S10" s="107">
        <v>2.090359938431639E-2</v>
      </c>
      <c r="T10" s="107">
        <v>2.4387532615035786E-2</v>
      </c>
      <c r="U10" s="107">
        <v>3.077474353802135E-2</v>
      </c>
      <c r="V10" s="101">
        <v>3.4839332307193978E-3</v>
      </c>
      <c r="W10" s="101">
        <v>9.8711441537049603E-3</v>
      </c>
      <c r="X10" s="101">
        <v>1.9742288307409921E-2</v>
      </c>
      <c r="Y10" s="108">
        <v>0.02</v>
      </c>
      <c r="Z10" s="101">
        <v>0.02</v>
      </c>
      <c r="AA10" s="101">
        <v>0.02</v>
      </c>
      <c r="AB10" s="101">
        <v>0.02</v>
      </c>
      <c r="AC10" s="101">
        <v>0.02</v>
      </c>
      <c r="AD10" s="101">
        <v>0.02</v>
      </c>
      <c r="AE10" s="101">
        <v>0.02</v>
      </c>
      <c r="AF10" s="101">
        <v>0.02</v>
      </c>
      <c r="AG10" s="101">
        <v>0.03</v>
      </c>
      <c r="AH10" s="101">
        <v>0.03</v>
      </c>
      <c r="AI10" s="101">
        <v>0.03</v>
      </c>
      <c r="AJ10" s="101">
        <v>0.03</v>
      </c>
      <c r="AK10" s="101">
        <v>0.03</v>
      </c>
      <c r="AL10" s="101">
        <v>0.03</v>
      </c>
      <c r="AM10" s="101">
        <v>0.03</v>
      </c>
      <c r="AN10" s="101">
        <v>0.03</v>
      </c>
      <c r="AO10" s="101">
        <v>0.03</v>
      </c>
      <c r="AP10" s="101">
        <v>0.03</v>
      </c>
      <c r="AQ10" s="101">
        <v>0.03</v>
      </c>
      <c r="AR10" s="101">
        <v>0.03</v>
      </c>
      <c r="AS10" s="101">
        <v>0.03</v>
      </c>
      <c r="AT10" s="101">
        <v>0.03</v>
      </c>
      <c r="AU10" s="101">
        <v>0.04</v>
      </c>
      <c r="AV10" s="101">
        <v>0.04</v>
      </c>
      <c r="AW10" s="101">
        <v>0.04</v>
      </c>
      <c r="AX10" s="101">
        <v>0.04</v>
      </c>
      <c r="AY10" s="101">
        <v>0.04</v>
      </c>
      <c r="AZ10" s="101">
        <v>0.04</v>
      </c>
      <c r="BA10" s="101">
        <v>0.04</v>
      </c>
      <c r="BB10" s="101">
        <v>0.04</v>
      </c>
      <c r="BC10" s="101">
        <v>0.04</v>
      </c>
      <c r="BD10" s="101">
        <v>0.04</v>
      </c>
      <c r="BE10" s="101">
        <v>0.04</v>
      </c>
      <c r="BF10" s="101">
        <v>0.04</v>
      </c>
      <c r="BG10" s="101">
        <v>0.04</v>
      </c>
      <c r="BH10" s="101">
        <v>0.04</v>
      </c>
      <c r="BI10" s="101">
        <v>0.05</v>
      </c>
      <c r="BJ10" s="101">
        <v>0.05</v>
      </c>
      <c r="BK10" s="101">
        <v>0.05</v>
      </c>
      <c r="BL10" s="101">
        <v>0.05</v>
      </c>
      <c r="BM10" s="101">
        <v>0.05</v>
      </c>
      <c r="BN10" s="101">
        <v>0.05</v>
      </c>
      <c r="BO10" s="101">
        <v>0.05</v>
      </c>
      <c r="BP10" s="101">
        <v>0.05</v>
      </c>
      <c r="BQ10" s="101">
        <v>0.05</v>
      </c>
      <c r="BR10" s="101">
        <v>0.05</v>
      </c>
      <c r="BS10" s="101">
        <v>0.05</v>
      </c>
      <c r="BT10" s="101">
        <v>0.05</v>
      </c>
      <c r="BU10" s="101">
        <v>0.05</v>
      </c>
      <c r="BV10" s="102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</row>
    <row r="11" spans="1:101" s="96" customFormat="1" ht="15" thickBot="1" x14ac:dyDescent="0.35">
      <c r="A11" s="102" t="s">
        <v>10</v>
      </c>
      <c r="B11" s="102" t="s">
        <v>309</v>
      </c>
      <c r="C11" s="102" t="s">
        <v>330</v>
      </c>
      <c r="D11" s="102" t="s">
        <v>311</v>
      </c>
      <c r="E11" s="158" t="s">
        <v>331</v>
      </c>
      <c r="F11" s="102" t="s">
        <v>7</v>
      </c>
      <c r="G11" s="102" t="s">
        <v>313</v>
      </c>
      <c r="H11" s="102" t="s">
        <v>75</v>
      </c>
      <c r="I11" s="102"/>
      <c r="J11" s="102"/>
      <c r="K11" s="102"/>
      <c r="L11" s="102"/>
      <c r="M11" s="103">
        <v>5.2665457337708235</v>
      </c>
      <c r="N11" s="103">
        <v>6.1195287197586232</v>
      </c>
      <c r="O11" s="103">
        <v>6.4319213994464626</v>
      </c>
      <c r="P11" s="103">
        <v>6.2153368836034071</v>
      </c>
      <c r="Q11" s="103">
        <v>8.1692427704985366</v>
      </c>
      <c r="R11" s="103">
        <v>8.5472495260315906</v>
      </c>
      <c r="S11" s="103">
        <v>8.7220268431060131</v>
      </c>
      <c r="T11" s="103">
        <v>9.8937897197046372</v>
      </c>
      <c r="U11" s="103">
        <v>8.214677905071424</v>
      </c>
      <c r="V11" s="104">
        <v>8.9578359928439468</v>
      </c>
      <c r="W11" s="104">
        <v>9.0914695681679749</v>
      </c>
      <c r="X11" s="104">
        <v>7.6698878333929388</v>
      </c>
      <c r="Y11" s="105">
        <v>5.5353776630083926</v>
      </c>
      <c r="Z11" s="104">
        <v>7.67</v>
      </c>
      <c r="AA11" s="104">
        <v>7.67</v>
      </c>
      <c r="AB11" s="104">
        <v>7.67</v>
      </c>
      <c r="AC11" s="104">
        <v>7.67</v>
      </c>
      <c r="AD11" s="104">
        <v>7.67</v>
      </c>
      <c r="AE11" s="104">
        <v>7.67</v>
      </c>
      <c r="AF11" s="104">
        <v>7.67</v>
      </c>
      <c r="AG11" s="104">
        <v>7.67</v>
      </c>
      <c r="AH11" s="104">
        <v>7.67</v>
      </c>
      <c r="AI11" s="104">
        <v>7.67</v>
      </c>
      <c r="AJ11" s="104">
        <v>7.67</v>
      </c>
      <c r="AK11" s="104">
        <v>7.67</v>
      </c>
      <c r="AL11" s="104">
        <v>7.67</v>
      </c>
      <c r="AM11" s="104">
        <v>7.67</v>
      </c>
      <c r="AN11" s="104">
        <v>7.67</v>
      </c>
      <c r="AO11" s="104">
        <v>7.67</v>
      </c>
      <c r="AP11" s="104">
        <v>7.67</v>
      </c>
      <c r="AQ11" s="104">
        <v>7.67</v>
      </c>
      <c r="AR11" s="104">
        <v>7.67</v>
      </c>
      <c r="AS11" s="104">
        <v>7.67</v>
      </c>
      <c r="AT11" s="104">
        <v>7.67</v>
      </c>
      <c r="AU11" s="104">
        <v>7.67</v>
      </c>
      <c r="AV11" s="104">
        <v>7.67</v>
      </c>
      <c r="AW11" s="104">
        <v>7.67</v>
      </c>
      <c r="AX11" s="104">
        <v>7.67</v>
      </c>
      <c r="AY11" s="104">
        <v>7.67</v>
      </c>
      <c r="AZ11" s="104">
        <v>7.67</v>
      </c>
      <c r="BA11" s="104">
        <v>7.67</v>
      </c>
      <c r="BB11" s="104">
        <v>7.67</v>
      </c>
      <c r="BC11" s="104">
        <v>7.67</v>
      </c>
      <c r="BD11" s="104">
        <v>7.67</v>
      </c>
      <c r="BE11" s="104">
        <v>7.67</v>
      </c>
      <c r="BF11" s="104">
        <v>7.67</v>
      </c>
      <c r="BG11" s="104">
        <v>7.67</v>
      </c>
      <c r="BH11" s="104">
        <v>7.67</v>
      </c>
      <c r="BI11" s="104">
        <v>7.67</v>
      </c>
      <c r="BJ11" s="104">
        <v>7.67</v>
      </c>
      <c r="BK11" s="104">
        <v>7.67</v>
      </c>
      <c r="BL11" s="104">
        <v>7.67</v>
      </c>
      <c r="BM11" s="104">
        <v>7.67</v>
      </c>
      <c r="BN11" s="104">
        <v>7.67</v>
      </c>
      <c r="BO11" s="104">
        <v>7.67</v>
      </c>
      <c r="BP11" s="104">
        <v>7.67</v>
      </c>
      <c r="BQ11" s="104">
        <v>7.67</v>
      </c>
      <c r="BR11" s="104">
        <v>7.67</v>
      </c>
      <c r="BS11" s="104">
        <v>7.67</v>
      </c>
      <c r="BT11" s="104">
        <v>7.67</v>
      </c>
      <c r="BU11" s="104">
        <v>7.67</v>
      </c>
      <c r="BV11" s="102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</row>
    <row r="12" spans="1:101" s="96" customFormat="1" ht="15" thickBot="1" x14ac:dyDescent="0.35">
      <c r="A12" s="97" t="s">
        <v>10</v>
      </c>
      <c r="B12" s="97" t="s">
        <v>309</v>
      </c>
      <c r="C12" s="97" t="s">
        <v>332</v>
      </c>
      <c r="D12" s="97" t="s">
        <v>311</v>
      </c>
      <c r="E12" s="157" t="s">
        <v>333</v>
      </c>
      <c r="F12" s="97" t="s">
        <v>7</v>
      </c>
      <c r="G12" s="97" t="s">
        <v>313</v>
      </c>
      <c r="H12" s="97" t="s">
        <v>75</v>
      </c>
      <c r="I12" s="97"/>
      <c r="J12" s="97"/>
      <c r="K12" s="97"/>
      <c r="L12" s="97"/>
      <c r="M12" s="107">
        <v>0</v>
      </c>
      <c r="N12" s="107">
        <v>0</v>
      </c>
      <c r="O12" s="107">
        <v>0</v>
      </c>
      <c r="P12" s="107">
        <v>0</v>
      </c>
      <c r="Q12" s="107">
        <v>0</v>
      </c>
      <c r="R12" s="107">
        <v>0</v>
      </c>
      <c r="S12" s="107">
        <v>0</v>
      </c>
      <c r="T12" s="107">
        <v>0</v>
      </c>
      <c r="U12" s="107">
        <v>0</v>
      </c>
      <c r="V12" s="101">
        <v>0</v>
      </c>
      <c r="W12" s="101">
        <v>0</v>
      </c>
      <c r="X12" s="101">
        <v>0</v>
      </c>
      <c r="Y12" s="108">
        <v>0</v>
      </c>
      <c r="Z12" s="101">
        <v>0</v>
      </c>
      <c r="AA12" s="101">
        <v>0</v>
      </c>
      <c r="AB12" s="101">
        <v>0</v>
      </c>
      <c r="AC12" s="101">
        <v>0</v>
      </c>
      <c r="AD12" s="101">
        <v>0</v>
      </c>
      <c r="AE12" s="101">
        <v>4.3080000000000002E-3</v>
      </c>
      <c r="AF12" s="101">
        <v>8.6160000000000004E-3</v>
      </c>
      <c r="AG12" s="101">
        <v>1.2924000000000001E-2</v>
      </c>
      <c r="AH12" s="101">
        <v>1.7232000000000001E-2</v>
      </c>
      <c r="AI12" s="101">
        <v>2.154E-2</v>
      </c>
      <c r="AJ12" s="101">
        <v>2.154E-2</v>
      </c>
      <c r="AK12" s="101">
        <v>2.154E-2</v>
      </c>
      <c r="AL12" s="101">
        <v>2.154E-2</v>
      </c>
      <c r="AM12" s="101">
        <v>2.154E-2</v>
      </c>
      <c r="AN12" s="101">
        <v>2.8892000000000001E-2</v>
      </c>
      <c r="AO12" s="101">
        <v>3.6243999999999998E-2</v>
      </c>
      <c r="AP12" s="101">
        <v>4.3595999999999996E-2</v>
      </c>
      <c r="AQ12" s="101">
        <v>5.0947999999999993E-2</v>
      </c>
      <c r="AR12" s="101">
        <v>5.8299999999999998E-2</v>
      </c>
      <c r="AS12" s="101">
        <v>5.8299999999999998E-2</v>
      </c>
      <c r="AT12" s="101">
        <v>5.8299999999999998E-2</v>
      </c>
      <c r="AU12" s="101">
        <v>5.8299999999999998E-2</v>
      </c>
      <c r="AV12" s="101">
        <v>5.8299999999999998E-2</v>
      </c>
      <c r="AW12" s="101">
        <v>6.8599999999999994E-2</v>
      </c>
      <c r="AX12" s="101">
        <v>7.8899999999999998E-2</v>
      </c>
      <c r="AY12" s="101">
        <v>8.9200000000000002E-2</v>
      </c>
      <c r="AZ12" s="101">
        <v>9.9500000000000005E-2</v>
      </c>
      <c r="BA12" s="101">
        <v>0.10979999999999999</v>
      </c>
      <c r="BB12" s="101">
        <v>0.10979999999999999</v>
      </c>
      <c r="BC12" s="101">
        <v>0.10979999999999999</v>
      </c>
      <c r="BD12" s="101">
        <v>0.10979999999999999</v>
      </c>
      <c r="BE12" s="101">
        <v>0.10979999999999999</v>
      </c>
      <c r="BF12" s="101">
        <v>0.10979999999999999</v>
      </c>
      <c r="BG12" s="101">
        <v>0.10979999999999999</v>
      </c>
      <c r="BH12" s="101">
        <v>0.10979999999999999</v>
      </c>
      <c r="BI12" s="101">
        <v>0.10979999999999999</v>
      </c>
      <c r="BJ12" s="101">
        <v>0.10979999999999999</v>
      </c>
      <c r="BK12" s="101">
        <v>0.10979999999999999</v>
      </c>
      <c r="BL12" s="101">
        <v>0.10979999999999999</v>
      </c>
      <c r="BM12" s="101">
        <v>0.10979999999999999</v>
      </c>
      <c r="BN12" s="101">
        <v>0.10979999999999999</v>
      </c>
      <c r="BO12" s="101">
        <v>0.10979999999999999</v>
      </c>
      <c r="BP12" s="101">
        <v>0.10979999999999999</v>
      </c>
      <c r="BQ12" s="101">
        <v>0.10979999999999999</v>
      </c>
      <c r="BR12" s="101">
        <v>0.10979999999999999</v>
      </c>
      <c r="BS12" s="101">
        <v>0.10979999999999999</v>
      </c>
      <c r="BT12" s="101">
        <v>0.10979999999999999</v>
      </c>
      <c r="BU12" s="101">
        <v>0.10979999999999999</v>
      </c>
      <c r="BV12" s="10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</row>
    <row r="13" spans="1:101" s="96" customFormat="1" ht="15" thickBot="1" x14ac:dyDescent="0.35">
      <c r="A13" s="102" t="s">
        <v>10</v>
      </c>
      <c r="B13" s="102" t="s">
        <v>309</v>
      </c>
      <c r="C13" s="102" t="s">
        <v>334</v>
      </c>
      <c r="D13" s="102" t="s">
        <v>311</v>
      </c>
      <c r="E13" s="158" t="s">
        <v>335</v>
      </c>
      <c r="F13" s="102" t="s">
        <v>7</v>
      </c>
      <c r="G13" s="102" t="s">
        <v>313</v>
      </c>
      <c r="H13" s="102" t="s">
        <v>75</v>
      </c>
      <c r="I13" s="102"/>
      <c r="J13" s="102"/>
      <c r="K13" s="102"/>
      <c r="L13" s="102"/>
      <c r="M13" s="103">
        <v>2.0379768422691602</v>
      </c>
      <c r="N13" s="103">
        <v>2.0379768422691602</v>
      </c>
      <c r="O13" s="103">
        <v>2.0379768422691602</v>
      </c>
      <c r="P13" s="103">
        <v>2.0379768422691602</v>
      </c>
      <c r="Q13" s="103">
        <v>2.0379768422691602</v>
      </c>
      <c r="R13" s="103">
        <v>2.0379768422691602</v>
      </c>
      <c r="S13" s="103">
        <v>2.0379768422691602</v>
      </c>
      <c r="T13" s="103">
        <v>2.0379768422691602</v>
      </c>
      <c r="U13" s="103">
        <v>2.0379768422691602</v>
      </c>
      <c r="V13" s="104">
        <v>2.0787363758628801</v>
      </c>
      <c r="W13" s="104">
        <v>2.1203111033801298</v>
      </c>
      <c r="X13" s="104">
        <v>2.1627173296284599</v>
      </c>
      <c r="Y13" s="105">
        <v>2.2072950290510005</v>
      </c>
      <c r="Z13" s="104">
        <v>2.29</v>
      </c>
      <c r="AA13" s="104">
        <v>2.38</v>
      </c>
      <c r="AB13" s="104">
        <v>2.42</v>
      </c>
      <c r="AC13" s="104">
        <v>2.5</v>
      </c>
      <c r="AD13" s="104">
        <v>2.56</v>
      </c>
      <c r="AE13" s="104">
        <v>2.59</v>
      </c>
      <c r="AF13" s="104">
        <v>2.6324000000000001</v>
      </c>
      <c r="AG13" s="104">
        <v>2.65</v>
      </c>
      <c r="AH13" s="104">
        <v>2.6182400000000001</v>
      </c>
      <c r="AI13" s="104">
        <v>2.5611000000000002</v>
      </c>
      <c r="AJ13" s="104">
        <v>2.4906000000000001</v>
      </c>
      <c r="AK13" s="104">
        <v>2.3925299999999998</v>
      </c>
      <c r="AL13" s="104">
        <v>2.31853</v>
      </c>
      <c r="AM13" s="104">
        <v>2.2479</v>
      </c>
      <c r="AN13" s="104">
        <v>2.173</v>
      </c>
      <c r="AO13" s="104">
        <v>2.1225999999999998</v>
      </c>
      <c r="AP13" s="104">
        <v>2.0569000000000002</v>
      </c>
      <c r="AQ13" s="104">
        <v>2.0150999999999999</v>
      </c>
      <c r="AR13" s="104">
        <v>1.9656</v>
      </c>
      <c r="AS13" s="104">
        <v>1.9452</v>
      </c>
      <c r="AT13" s="104">
        <v>1.9020999999999999</v>
      </c>
      <c r="AU13" s="104">
        <v>1.8731</v>
      </c>
      <c r="AV13" s="104">
        <v>1.8498000000000001</v>
      </c>
      <c r="AW13" s="104">
        <v>1.8216000000000001</v>
      </c>
      <c r="AX13" s="104">
        <v>1.7948</v>
      </c>
      <c r="AY13" s="104">
        <v>1.7758</v>
      </c>
      <c r="AZ13" s="104">
        <v>1.7466999999999999</v>
      </c>
      <c r="BA13" s="104">
        <v>1.7249000000000001</v>
      </c>
      <c r="BB13" s="104">
        <v>1.6891</v>
      </c>
      <c r="BC13" s="104">
        <v>1.6737</v>
      </c>
      <c r="BD13" s="104">
        <v>1.6496999999999999</v>
      </c>
      <c r="BE13" s="104">
        <v>1.6305000000000001</v>
      </c>
      <c r="BF13" s="104">
        <v>1.6039000000000001</v>
      </c>
      <c r="BG13" s="104">
        <v>1.5814999999999999</v>
      </c>
      <c r="BH13" s="104">
        <v>1.5615000000000001</v>
      </c>
      <c r="BI13" s="104">
        <v>1.5467</v>
      </c>
      <c r="BJ13" s="104">
        <v>1.5337000000000001</v>
      </c>
      <c r="BK13" s="104">
        <v>1.5192000000000001</v>
      </c>
      <c r="BL13" s="104">
        <v>1.5006200000000001</v>
      </c>
      <c r="BM13" s="104">
        <v>1.48386</v>
      </c>
      <c r="BN13" s="104">
        <v>1.4722999999999999</v>
      </c>
      <c r="BO13" s="104">
        <v>1.4612000000000001</v>
      </c>
      <c r="BP13" s="104">
        <v>1.4444999999999999</v>
      </c>
      <c r="BQ13" s="104">
        <v>1.4313100000000001</v>
      </c>
      <c r="BR13" s="104">
        <v>1.4125000000000001</v>
      </c>
      <c r="BS13" s="104">
        <v>1.3950100000000001</v>
      </c>
      <c r="BT13" s="104">
        <v>1.3805700000000001</v>
      </c>
      <c r="BU13" s="104">
        <v>1.3594999999999999</v>
      </c>
      <c r="BV13" s="102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</row>
    <row r="14" spans="1:101" s="96" customFormat="1" ht="14.4" customHeight="1" thickBot="1" x14ac:dyDescent="0.35">
      <c r="A14" s="97" t="s">
        <v>10</v>
      </c>
      <c r="B14" s="97" t="s">
        <v>309</v>
      </c>
      <c r="C14" s="97" t="s">
        <v>336</v>
      </c>
      <c r="D14" s="97" t="s">
        <v>311</v>
      </c>
      <c r="E14" s="157" t="s">
        <v>337</v>
      </c>
      <c r="F14" s="97" t="s">
        <v>7</v>
      </c>
      <c r="G14" s="97" t="s">
        <v>313</v>
      </c>
      <c r="H14" s="97" t="s">
        <v>75</v>
      </c>
      <c r="I14" s="97"/>
      <c r="J14" s="97"/>
      <c r="K14" s="97"/>
      <c r="L14" s="97"/>
      <c r="M14" s="106">
        <v>1.2489900632128987</v>
      </c>
      <c r="N14" s="106">
        <v>1.6467391070533617</v>
      </c>
      <c r="O14" s="106">
        <v>1.703643349821778</v>
      </c>
      <c r="P14" s="106">
        <v>2.2419110339679231</v>
      </c>
      <c r="Q14" s="106">
        <v>2.0839727275086437</v>
      </c>
      <c r="R14" s="106">
        <v>2.1385543481232481</v>
      </c>
      <c r="S14" s="106">
        <v>1.338411016134696</v>
      </c>
      <c r="T14" s="106">
        <v>1.4371224576717452</v>
      </c>
      <c r="U14" s="107">
        <v>2.0131327518173499</v>
      </c>
      <c r="V14" s="101">
        <v>1.85229116766581</v>
      </c>
      <c r="W14" s="101">
        <v>1.9887452192023201</v>
      </c>
      <c r="X14" s="101">
        <v>2.2581693890446202</v>
      </c>
      <c r="Y14" s="108">
        <v>2.7493867010974822</v>
      </c>
      <c r="Z14" s="101">
        <v>2.4674200000000002</v>
      </c>
      <c r="AA14" s="101">
        <v>2.5505100000000001</v>
      </c>
      <c r="AB14" s="101">
        <v>2.6270500000000001</v>
      </c>
      <c r="AC14" s="101">
        <v>2.7078875</v>
      </c>
      <c r="AD14" s="101">
        <v>2.7961825</v>
      </c>
      <c r="AE14" s="101">
        <v>3.0364059289716829</v>
      </c>
      <c r="AF14" s="101">
        <v>3.3031612104242507</v>
      </c>
      <c r="AG14" s="101">
        <v>3.5583286162977417</v>
      </c>
      <c r="AH14" s="101">
        <v>3.7221268370509173</v>
      </c>
      <c r="AI14" s="101">
        <v>3.8054983411850669</v>
      </c>
      <c r="AJ14" s="101">
        <v>3.8859992687994365</v>
      </c>
      <c r="AK14" s="101">
        <v>4.0491104108920064</v>
      </c>
      <c r="AL14" s="101">
        <v>4.1437988355298652</v>
      </c>
      <c r="AM14" s="101">
        <v>4.2768780523397476</v>
      </c>
      <c r="AN14" s="101">
        <v>4.4375074441604188</v>
      </c>
      <c r="AO14" s="101">
        <v>4.5997283777128883</v>
      </c>
      <c r="AP14" s="101">
        <v>4.7666416146113129</v>
      </c>
      <c r="AQ14" s="101">
        <v>4.9354563155481959</v>
      </c>
      <c r="AR14" s="101">
        <v>5.0755033575683033</v>
      </c>
      <c r="AS14" s="101">
        <v>5.2415608955001751</v>
      </c>
      <c r="AT14" s="101">
        <v>5.4011483671283331</v>
      </c>
      <c r="AU14" s="101">
        <v>5.5610833156429846</v>
      </c>
      <c r="AV14" s="101">
        <v>5.726276353850599</v>
      </c>
      <c r="AW14" s="101">
        <v>5.8972028799855947</v>
      </c>
      <c r="AX14" s="101">
        <v>6.0645059123600582</v>
      </c>
      <c r="AY14" s="101">
        <v>6.2241733244025141</v>
      </c>
      <c r="AZ14" s="101">
        <v>6.4138775825445729</v>
      </c>
      <c r="BA14" s="101">
        <v>6.6359031309366712</v>
      </c>
      <c r="BB14" s="101">
        <v>6.8929822575711208</v>
      </c>
      <c r="BC14" s="101">
        <v>7.1719959258872104</v>
      </c>
      <c r="BD14" s="101">
        <v>7.4865412765710868</v>
      </c>
      <c r="BE14" s="101">
        <v>7.7964147071629553</v>
      </c>
      <c r="BF14" s="101">
        <v>8.1296863303224125</v>
      </c>
      <c r="BG14" s="101">
        <v>8.4599974384470862</v>
      </c>
      <c r="BH14" s="101">
        <v>8.8117626097552506</v>
      </c>
      <c r="BI14" s="101">
        <v>9.1623536776749877</v>
      </c>
      <c r="BJ14" s="101">
        <v>9.5331455204491338</v>
      </c>
      <c r="BK14" s="101">
        <v>9.9090565580605201</v>
      </c>
      <c r="BL14" s="101">
        <v>10.305008248434076</v>
      </c>
      <c r="BM14" s="101">
        <v>10.708514014911634</v>
      </c>
      <c r="BN14" s="101">
        <v>11.121818890490401</v>
      </c>
      <c r="BO14" s="101">
        <v>11.548451417400102</v>
      </c>
      <c r="BP14" s="101">
        <v>11.986385873318952</v>
      </c>
      <c r="BQ14" s="101">
        <v>12.438077934367488</v>
      </c>
      <c r="BR14" s="101">
        <v>12.902655034564193</v>
      </c>
      <c r="BS14" s="101">
        <v>13.382825617172937</v>
      </c>
      <c r="BT14" s="101">
        <v>13.873904774518884</v>
      </c>
      <c r="BU14" s="101">
        <v>14.381040000000022</v>
      </c>
      <c r="BV14" s="102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</row>
    <row r="15" spans="1:101" s="96" customFormat="1" ht="15" thickBot="1" x14ac:dyDescent="0.35">
      <c r="A15" s="102" t="s">
        <v>10</v>
      </c>
      <c r="B15" s="102" t="s">
        <v>309</v>
      </c>
      <c r="C15" s="102" t="s">
        <v>338</v>
      </c>
      <c r="D15" s="102" t="s">
        <v>311</v>
      </c>
      <c r="E15" s="158" t="s">
        <v>339</v>
      </c>
      <c r="F15" s="102" t="s">
        <v>7</v>
      </c>
      <c r="G15" s="102" t="s">
        <v>313</v>
      </c>
      <c r="H15" s="102" t="s">
        <v>75</v>
      </c>
      <c r="I15" s="102"/>
      <c r="J15" s="102"/>
      <c r="K15" s="102"/>
      <c r="L15" s="102"/>
      <c r="M15" s="103">
        <v>1.0422766915235497</v>
      </c>
      <c r="N15" s="103">
        <v>0.8222082424497752</v>
      </c>
      <c r="O15" s="103">
        <v>1.3111202058273959</v>
      </c>
      <c r="P15" s="103">
        <v>0.96911409367844259</v>
      </c>
      <c r="Q15" s="103">
        <v>0.90872591767930655</v>
      </c>
      <c r="R15" s="103">
        <v>1.013243914600888</v>
      </c>
      <c r="S15" s="103">
        <v>0.71652893445128718</v>
      </c>
      <c r="T15" s="103">
        <v>2.4695280050415915</v>
      </c>
      <c r="U15" s="103">
        <v>1.36845009233172</v>
      </c>
      <c r="V15" s="104">
        <v>1.05043927998158</v>
      </c>
      <c r="W15" s="104">
        <v>1.5998269764069799</v>
      </c>
      <c r="X15" s="104">
        <v>1.83258674971262</v>
      </c>
      <c r="Y15" s="105">
        <v>2.4914138153647514</v>
      </c>
      <c r="Z15" s="104">
        <v>2.0024999999999999</v>
      </c>
      <c r="AA15" s="104">
        <v>2.0700000000000003</v>
      </c>
      <c r="AB15" s="104">
        <v>2.1325000000000003</v>
      </c>
      <c r="AC15" s="104">
        <v>2.1974999999999998</v>
      </c>
      <c r="AD15" s="104">
        <v>2.2675000000000001</v>
      </c>
      <c r="AE15" s="104">
        <v>2.3398949317882765</v>
      </c>
      <c r="AF15" s="104">
        <v>2.424675794762837</v>
      </c>
      <c r="AG15" s="104">
        <v>2.4934236589696059</v>
      </c>
      <c r="AH15" s="104">
        <v>2.4947348064544728</v>
      </c>
      <c r="AI15" s="104">
        <v>2.4440696703007667</v>
      </c>
      <c r="AJ15" s="104">
        <v>2.3955009206006728</v>
      </c>
      <c r="AK15" s="104">
        <v>2.399451438689097</v>
      </c>
      <c r="AL15" s="104">
        <v>2.3638908605067934</v>
      </c>
      <c r="AM15" s="104">
        <v>2.3518281571651536</v>
      </c>
      <c r="AN15" s="104">
        <v>2.3550587411632344</v>
      </c>
      <c r="AO15" s="104">
        <v>2.3587239443432284</v>
      </c>
      <c r="AP15" s="104">
        <v>2.3643179706398647</v>
      </c>
      <c r="AQ15" s="104">
        <v>2.3703155415704966</v>
      </c>
      <c r="AR15" s="104">
        <v>2.3624027884025454</v>
      </c>
      <c r="AS15" s="104">
        <v>2.3665613891355832</v>
      </c>
      <c r="AT15" s="104">
        <v>2.3674989536770394</v>
      </c>
      <c r="AU15" s="104">
        <v>2.3683921871142211</v>
      </c>
      <c r="AV15" s="104">
        <v>2.3712776939725106</v>
      </c>
      <c r="AW15" s="104">
        <v>2.3761852437357875</v>
      </c>
      <c r="AX15" s="104">
        <v>2.3792832857363271</v>
      </c>
      <c r="AY15" s="104">
        <v>2.3791765069078665</v>
      </c>
      <c r="AZ15" s="104">
        <v>2.3901441120180844</v>
      </c>
      <c r="BA15" s="104">
        <v>2.4122008956119392</v>
      </c>
      <c r="BB15" s="104">
        <v>2.4455157933206721</v>
      </c>
      <c r="BC15" s="104">
        <v>2.4847468903019654</v>
      </c>
      <c r="BD15" s="104">
        <v>2.5340833549633786</v>
      </c>
      <c r="BE15" s="104">
        <v>2.579534657249384</v>
      </c>
      <c r="BF15" s="104">
        <v>2.6304331906780525</v>
      </c>
      <c r="BG15" s="104">
        <v>2.6780747430463467</v>
      </c>
      <c r="BH15" s="104">
        <v>2.7302241167463328</v>
      </c>
      <c r="BI15" s="104">
        <v>2.7797279901478231</v>
      </c>
      <c r="BJ15" s="104">
        <v>2.8330937881347018</v>
      </c>
      <c r="BK15" s="104">
        <v>2.8856902642162363</v>
      </c>
      <c r="BL15" s="104">
        <v>2.9418156109752793</v>
      </c>
      <c r="BM15" s="104">
        <v>2.997762331291137</v>
      </c>
      <c r="BN15" s="104">
        <v>3.0541500005282978</v>
      </c>
      <c r="BO15" s="104">
        <v>3.111897639912006</v>
      </c>
      <c r="BP15" s="104">
        <v>3.170387300834359</v>
      </c>
      <c r="BQ15" s="104">
        <v>3.2302093433937378</v>
      </c>
      <c r="BR15" s="104">
        <v>3.2910628579797527</v>
      </c>
      <c r="BS15" s="104">
        <v>3.3535651100586406</v>
      </c>
      <c r="BT15" s="104">
        <v>3.4164697638928589</v>
      </c>
      <c r="BU15" s="104">
        <v>3.4809950404472683</v>
      </c>
      <c r="BV15" s="102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</row>
    <row r="16" spans="1:101" s="96" customFormat="1" ht="15" thickBot="1" x14ac:dyDescent="0.35">
      <c r="A16" s="97" t="s">
        <v>10</v>
      </c>
      <c r="B16" s="97" t="s">
        <v>309</v>
      </c>
      <c r="C16" s="97" t="s">
        <v>340</v>
      </c>
      <c r="D16" s="97" t="s">
        <v>311</v>
      </c>
      <c r="E16" s="157" t="s">
        <v>341</v>
      </c>
      <c r="F16" s="97" t="s">
        <v>7</v>
      </c>
      <c r="G16" s="97" t="s">
        <v>313</v>
      </c>
      <c r="H16" s="97" t="s">
        <v>75</v>
      </c>
      <c r="I16" s="97"/>
      <c r="J16" s="97"/>
      <c r="K16" s="97"/>
      <c r="L16" s="97"/>
      <c r="M16" s="107">
        <v>4.5895013759343479</v>
      </c>
      <c r="N16" s="107">
        <v>6.2890801369869589</v>
      </c>
      <c r="O16" s="107">
        <v>2.9236006361120253</v>
      </c>
      <c r="P16" s="107">
        <v>3.2458644599535691</v>
      </c>
      <c r="Q16" s="107">
        <v>2.8469541050361986</v>
      </c>
      <c r="R16" s="107">
        <v>0.7687879329120797</v>
      </c>
      <c r="S16" s="107">
        <v>3.9565868390203254</v>
      </c>
      <c r="T16" s="107">
        <v>3.4589650425659055</v>
      </c>
      <c r="U16" s="107">
        <v>5.7711699514977699</v>
      </c>
      <c r="V16" s="101">
        <v>7.8918634455827599</v>
      </c>
      <c r="W16" s="101">
        <v>8.4675547275755392</v>
      </c>
      <c r="X16" s="101">
        <v>8.6230478354968394</v>
      </c>
      <c r="Y16" s="108">
        <v>9.8256294383473204</v>
      </c>
      <c r="Z16" s="101">
        <v>9.42</v>
      </c>
      <c r="AA16" s="101">
        <v>9.7375000000000007</v>
      </c>
      <c r="AB16" s="101">
        <v>10.032499999999999</v>
      </c>
      <c r="AC16" s="101">
        <v>10.342500000000001</v>
      </c>
      <c r="AD16" s="101">
        <v>10.6775</v>
      </c>
      <c r="AE16" s="101">
        <v>11.018028488979516</v>
      </c>
      <c r="AF16" s="101">
        <v>11.416853557864659</v>
      </c>
      <c r="AG16" s="101">
        <v>11.740160062021465</v>
      </c>
      <c r="AH16" s="101">
        <v>11.745932102495296</v>
      </c>
      <c r="AI16" s="101">
        <v>11.506991921604911</v>
      </c>
      <c r="AJ16" s="101">
        <v>11.277937004194909</v>
      </c>
      <c r="AK16" s="101">
        <v>11.296147429670484</v>
      </c>
      <c r="AL16" s="101">
        <v>11.128351683668875</v>
      </c>
      <c r="AM16" s="101">
        <v>11.071182459417455</v>
      </c>
      <c r="AN16" s="101">
        <v>11.086006716832946</v>
      </c>
      <c r="AO16" s="101">
        <v>11.102874948890925</v>
      </c>
      <c r="AP16" s="101">
        <v>11.128820139007818</v>
      </c>
      <c r="AQ16" s="101">
        <v>11.156662112556559</v>
      </c>
      <c r="AR16" s="101">
        <v>11.119030128393577</v>
      </c>
      <c r="AS16" s="101">
        <v>11.138213732343736</v>
      </c>
      <c r="AT16" s="101">
        <v>11.142235893423516</v>
      </c>
      <c r="AU16" s="101">
        <v>11.146048305461761</v>
      </c>
      <c r="AV16" s="101">
        <v>11.1592352499752</v>
      </c>
      <c r="AW16" s="101">
        <v>11.181935821849791</v>
      </c>
      <c r="AX16" s="101">
        <v>11.196118998465376</v>
      </c>
      <c r="AY16" s="101">
        <v>11.19522002831023</v>
      </c>
      <c r="AZ16" s="101">
        <v>11.246428954445781</v>
      </c>
      <c r="BA16" s="101">
        <v>11.349809825246</v>
      </c>
      <c r="BB16" s="101">
        <v>11.506151889734431</v>
      </c>
      <c r="BC16" s="101">
        <v>11.69031663442841</v>
      </c>
      <c r="BD16" s="101">
        <v>11.922009660590476</v>
      </c>
      <c r="BE16" s="101">
        <v>12.135407431746168</v>
      </c>
      <c r="BF16" s="101">
        <v>12.374414482553719</v>
      </c>
      <c r="BG16" s="101">
        <v>12.5980820182253</v>
      </c>
      <c r="BH16" s="101">
        <v>12.842937165795082</v>
      </c>
      <c r="BI16" s="101">
        <v>13.075329659351201</v>
      </c>
      <c r="BJ16" s="101">
        <v>13.325869414329979</v>
      </c>
      <c r="BK16" s="101">
        <v>13.57277144305948</v>
      </c>
      <c r="BL16" s="101">
        <v>13.836251784269614</v>
      </c>
      <c r="BM16" s="101">
        <v>14.098871712663787</v>
      </c>
      <c r="BN16" s="101">
        <v>14.363545094068899</v>
      </c>
      <c r="BO16" s="101">
        <v>14.634593597575019</v>
      </c>
      <c r="BP16" s="101">
        <v>14.909110478921614</v>
      </c>
      <c r="BQ16" s="101">
        <v>15.189871419759733</v>
      </c>
      <c r="BR16" s="101">
        <v>15.475460700891368</v>
      </c>
      <c r="BS16" s="101">
        <v>15.768780155096378</v>
      </c>
      <c r="BT16" s="101">
        <v>16.06396867807911</v>
      </c>
      <c r="BU16" s="101">
        <v>16.366753750882797</v>
      </c>
      <c r="BV16" s="102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</row>
    <row r="17" spans="1:101" s="96" customFormat="1" ht="15" thickBot="1" x14ac:dyDescent="0.35">
      <c r="A17" s="102" t="s">
        <v>10</v>
      </c>
      <c r="B17" s="102" t="s">
        <v>309</v>
      </c>
      <c r="C17" s="102" t="s">
        <v>342</v>
      </c>
      <c r="D17" s="102" t="s">
        <v>311</v>
      </c>
      <c r="E17" s="158" t="s">
        <v>343</v>
      </c>
      <c r="F17" s="102" t="s">
        <v>7</v>
      </c>
      <c r="G17" s="102" t="s">
        <v>313</v>
      </c>
      <c r="H17" s="102" t="s">
        <v>75</v>
      </c>
      <c r="I17" s="102"/>
      <c r="J17" s="102"/>
      <c r="K17" s="102"/>
      <c r="L17" s="102"/>
      <c r="M17" s="103">
        <v>0</v>
      </c>
      <c r="N17" s="103">
        <v>0.49065392999298058</v>
      </c>
      <c r="O17" s="103">
        <v>0.49065392999298058</v>
      </c>
      <c r="P17" s="103">
        <v>0.49065392999298058</v>
      </c>
      <c r="Q17" s="103">
        <v>0.49065392999298058</v>
      </c>
      <c r="R17" s="103">
        <v>0.49065392999298058</v>
      </c>
      <c r="S17" s="103">
        <v>0.49065392999298058</v>
      </c>
      <c r="T17" s="103">
        <v>2.5489150909015899</v>
      </c>
      <c r="U17" s="103">
        <v>2.5489150909015899</v>
      </c>
      <c r="V17" s="104">
        <v>2.9144162332636498</v>
      </c>
      <c r="W17" s="104">
        <v>0.67387279405921596</v>
      </c>
      <c r="X17" s="104">
        <v>3.15597120181679</v>
      </c>
      <c r="Y17" s="105">
        <v>5.8671400903808903</v>
      </c>
      <c r="Z17" s="104">
        <v>3.4450000000000003</v>
      </c>
      <c r="AA17" s="104">
        <v>3.5625</v>
      </c>
      <c r="AB17" s="104">
        <v>3.67</v>
      </c>
      <c r="AC17" s="104">
        <v>3.7825000000000002</v>
      </c>
      <c r="AD17" s="104">
        <v>3.9050000000000002</v>
      </c>
      <c r="AE17" s="104">
        <v>4.0158108785762874</v>
      </c>
      <c r="AF17" s="104">
        <v>4.1469182590247584</v>
      </c>
      <c r="AG17" s="104">
        <v>4.2496625874951315</v>
      </c>
      <c r="AH17" s="104">
        <v>4.2370240545644018</v>
      </c>
      <c r="AI17" s="104">
        <v>4.1363740906098911</v>
      </c>
      <c r="AJ17" s="104">
        <v>4.0398355582417844</v>
      </c>
      <c r="AK17" s="104">
        <v>4.032104508372667</v>
      </c>
      <c r="AL17" s="104">
        <v>3.9581383978954356</v>
      </c>
      <c r="AM17" s="104">
        <v>3.9237747024798684</v>
      </c>
      <c r="AN17" s="104">
        <v>3.9149502171168815</v>
      </c>
      <c r="AO17" s="104">
        <v>3.906777258987896</v>
      </c>
      <c r="AP17" s="104">
        <v>3.901713523083195</v>
      </c>
      <c r="AQ17" s="104">
        <v>3.8972158126142187</v>
      </c>
      <c r="AR17" s="104">
        <v>3.8698290484960074</v>
      </c>
      <c r="AS17" s="104">
        <v>3.8622092895454632</v>
      </c>
      <c r="AT17" s="104">
        <v>3.8492718341114922</v>
      </c>
      <c r="AU17" s="104">
        <v>3.8362210959973964</v>
      </c>
      <c r="AV17" s="104">
        <v>3.8263440704512308</v>
      </c>
      <c r="AW17" s="104">
        <v>3.8196517313520388</v>
      </c>
      <c r="AX17" s="104">
        <v>3.8099709933896766</v>
      </c>
      <c r="AY17" s="104">
        <v>3.7951093785095353</v>
      </c>
      <c r="AZ17" s="104">
        <v>3.7978150776755411</v>
      </c>
      <c r="BA17" s="104">
        <v>3.8179054164608361</v>
      </c>
      <c r="BB17" s="104">
        <v>3.8554395003130431</v>
      </c>
      <c r="BC17" s="104">
        <v>3.9018176285026969</v>
      </c>
      <c r="BD17" s="104">
        <v>3.9634798045353845</v>
      </c>
      <c r="BE17" s="104">
        <v>4.0184401667023835</v>
      </c>
      <c r="BF17" s="104">
        <v>4.0812493781067589</v>
      </c>
      <c r="BG17" s="104">
        <v>4.1383525626148954</v>
      </c>
      <c r="BH17" s="104">
        <v>4.2017589479537651</v>
      </c>
      <c r="BI17" s="104">
        <v>4.2604175512677394</v>
      </c>
      <c r="BJ17" s="104">
        <v>4.3243089745154348</v>
      </c>
      <c r="BK17" s="104">
        <v>4.3863181592076224</v>
      </c>
      <c r="BL17" s="104">
        <v>4.4529635748327072</v>
      </c>
      <c r="BM17" s="104">
        <v>4.5185872841985706</v>
      </c>
      <c r="BN17" s="104">
        <v>4.584120264351939</v>
      </c>
      <c r="BO17" s="104">
        <v>4.6509252118341342</v>
      </c>
      <c r="BP17" s="104">
        <v>4.7180539914622734</v>
      </c>
      <c r="BQ17" s="104">
        <v>4.7863646099661104</v>
      </c>
      <c r="BR17" s="104">
        <v>4.8553849156479272</v>
      </c>
      <c r="BS17" s="104">
        <v>4.9259990811526828</v>
      </c>
      <c r="BT17" s="104">
        <v>4.9963498612484942</v>
      </c>
      <c r="BU17" s="104">
        <v>5.0682004095174094</v>
      </c>
      <c r="BV17" s="102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</row>
    <row r="18" spans="1:101" s="96" customFormat="1" ht="15" thickBot="1" x14ac:dyDescent="0.35">
      <c r="A18" s="97" t="s">
        <v>10</v>
      </c>
      <c r="B18" s="97" t="s">
        <v>309</v>
      </c>
      <c r="C18" s="97" t="s">
        <v>344</v>
      </c>
      <c r="D18" s="97" t="s">
        <v>311</v>
      </c>
      <c r="E18" s="157" t="s">
        <v>345</v>
      </c>
      <c r="F18" s="97" t="s">
        <v>7</v>
      </c>
      <c r="G18" s="97" t="s">
        <v>313</v>
      </c>
      <c r="H18" s="97" t="s">
        <v>75</v>
      </c>
      <c r="I18" s="97"/>
      <c r="J18" s="97"/>
      <c r="K18" s="97"/>
      <c r="L18" s="97"/>
      <c r="M18" s="107">
        <v>24.95947832041222</v>
      </c>
      <c r="N18" s="107">
        <v>28.615285590513778</v>
      </c>
      <c r="O18" s="107">
        <v>30.633063586638762</v>
      </c>
      <c r="P18" s="107">
        <v>32.528903919688567</v>
      </c>
      <c r="Q18" s="107">
        <v>36.134774813483148</v>
      </c>
      <c r="R18" s="107">
        <v>31.228235513553326</v>
      </c>
      <c r="S18" s="107">
        <v>27.9730805649845</v>
      </c>
      <c r="T18" s="107">
        <v>29.660465559729598</v>
      </c>
      <c r="U18" s="107">
        <v>34.952288680728103</v>
      </c>
      <c r="V18" s="101">
        <v>32.606013465490697</v>
      </c>
      <c r="W18" s="101">
        <v>25.107180831039599</v>
      </c>
      <c r="X18" s="101">
        <v>20.302984914974299</v>
      </c>
      <c r="Y18" s="108">
        <v>17.793156875403486</v>
      </c>
      <c r="Z18" s="101">
        <v>22.182499999999997</v>
      </c>
      <c r="AA18" s="101">
        <v>22.93</v>
      </c>
      <c r="AB18" s="101">
        <v>23.619999999999997</v>
      </c>
      <c r="AC18" s="101">
        <v>24.3475</v>
      </c>
      <c r="AD18" s="101">
        <v>25.14</v>
      </c>
      <c r="AE18" s="101">
        <f>[1]Sheet3!T$63*[1]Sheet3!T68</f>
        <v>25.853084771684237</v>
      </c>
      <c r="AF18" s="101">
        <f>[1]Sheet3!U$63*[1]Sheet3!U68</f>
        <v>26.696813677923497</v>
      </c>
      <c r="AG18" s="101">
        <f>[1]Sheet3!V$63*[1]Sheet3!V68</f>
        <v>27.357927575216056</v>
      </c>
      <c r="AH18" s="101">
        <f>[1]Sheet3!W$63*[1]Sheet3!W68</f>
        <v>27.276234699434919</v>
      </c>
      <c r="AI18" s="101">
        <f>[1]Sheet3!X$63*[1]Sheet3!X68</f>
        <v>26.627965976299368</v>
      </c>
      <c r="AJ18" s="101">
        <f>[1]Sheet3!Y$63*[1]Sheet3!Y68</f>
        <v>26.006177248163212</v>
      </c>
      <c r="AK18" s="101">
        <f>[1]Sheet3!Z$63*[1]Sheet3!Z68</f>
        <v>25.956086212375755</v>
      </c>
      <c r="AL18" s="101">
        <f>[1]Sheet3!AA$63*[1]Sheet3!AA68</f>
        <v>25.479620222399042</v>
      </c>
      <c r="AM18" s="101">
        <f>[1]Sheet3!AB$63*[1]Sheet3!AB68</f>
        <v>25.258091628597786</v>
      </c>
      <c r="AN18" s="101">
        <f>[1]Sheet3!AC$63*[1]Sheet3!AC68</f>
        <v>25.200964380726543</v>
      </c>
      <c r="AO18" s="101">
        <f>[1]Sheet3!AD$63*[1]Sheet3!AD68</f>
        <v>25.148029470065079</v>
      </c>
      <c r="AP18" s="101">
        <f>[1]Sheet3!AE$63*[1]Sheet3!AE68</f>
        <v>25.115106752657827</v>
      </c>
      <c r="AQ18" s="101">
        <f>[1]Sheet3!AF$63*[1]Sheet3!AF68</f>
        <v>25.08582521771055</v>
      </c>
      <c r="AR18" s="101">
        <f>[1]Sheet3!AG$63*[1]Sheet3!AG68</f>
        <v>24.909209677139589</v>
      </c>
      <c r="AS18" s="101">
        <f>[1]Sheet3!AH$63*[1]Sheet3!AH68</f>
        <v>24.859829693475071</v>
      </c>
      <c r="AT18" s="101">
        <f>[1]Sheet3!AI$63*[1]Sheet3!AI68</f>
        <v>24.776219951659634</v>
      </c>
      <c r="AU18" s="101">
        <f>[1]Sheet3!AJ$63*[1]Sheet3!AJ68</f>
        <v>24.691880095783663</v>
      </c>
      <c r="AV18" s="101">
        <f>[1]Sheet3!AK$63*[1]Sheet3!AK68</f>
        <v>24.627966631750489</v>
      </c>
      <c r="AW18" s="101">
        <f>[1]Sheet3!AL$63*[1]Sheet3!AL68</f>
        <v>24.584549323076814</v>
      </c>
      <c r="AX18" s="101">
        <f>[1]Sheet3!AM$63*[1]Sheet3!AM68</f>
        <v>24.521895810048591</v>
      </c>
      <c r="AY18" s="101">
        <f>[1]Sheet3!AN$63*[1]Sheet3!AN68</f>
        <v>24.425895761869885</v>
      </c>
      <c r="AZ18" s="101">
        <f>[1]Sheet3!AO$63*[1]Sheet3!AO68</f>
        <v>24.442959273316056</v>
      </c>
      <c r="BA18" s="101">
        <f>[1]Sheet3!AP$63*[1]Sheet3!AP68</f>
        <v>24.571905731744579</v>
      </c>
      <c r="BB18" s="101">
        <f>[1]Sheet3!AQ$63*[1]Sheet3!AQ68</f>
        <v>24.813110559060764</v>
      </c>
      <c r="BC18" s="101">
        <f>[1]Sheet3!AR$63*[1]Sheet3!AR68</f>
        <v>25.111222920879754</v>
      </c>
      <c r="BD18" s="101">
        <f>[1]Sheet3!AS$63*[1]Sheet3!AS68</f>
        <v>25.507685903339699</v>
      </c>
      <c r="BE18" s="101">
        <f>[1]Sheet3!AT$63*[1]Sheet3!AT68</f>
        <v>25.861003037139142</v>
      </c>
      <c r="BF18" s="101">
        <f>[1]Sheet3!AU$63*[1]Sheet3!AU68</f>
        <v>26.264816618339083</v>
      </c>
      <c r="BG18" s="101">
        <f>[1]Sheet3!AV$63*[1]Sheet3!AV68</f>
        <v>26.6318932376664</v>
      </c>
      <c r="BH18" s="101">
        <f>[1]Sheet3!AW$63*[1]Sheet3!AW68</f>
        <v>27.039517159749604</v>
      </c>
      <c r="BI18" s="101">
        <f>[1]Sheet3!AX$63*[1]Sheet3!AX68</f>
        <v>27.416571121558277</v>
      </c>
      <c r="BJ18" s="101">
        <f>[1]Sheet3!AY$63*[1]Sheet3!AY68</f>
        <v>27.827282302570776</v>
      </c>
      <c r="BK18" s="101">
        <f>[1]Sheet3!AZ$63*[1]Sheet3!AZ68</f>
        <v>28.22586357545616</v>
      </c>
      <c r="BL18" s="101">
        <f>[1]Sheet3!BA$63*[1]Sheet3!BA68</f>
        <v>28.654260781488347</v>
      </c>
      <c r="BM18" s="101">
        <f>[1]Sheet3!BB$63*[1]Sheet3!BB68</f>
        <v>29.076064656934893</v>
      </c>
      <c r="BN18" s="101">
        <f>[1]Sheet3!BC$63*[1]Sheet3!BC68</f>
        <v>29.497265750560477</v>
      </c>
      <c r="BO18" s="101">
        <f>[1]Sheet3!BD$63*[1]Sheet3!BD68</f>
        <v>29.926632133278758</v>
      </c>
      <c r="BP18" s="101">
        <f>[1]Sheet3!BE$63*[1]Sheet3!BE68</f>
        <v>30.358062355462817</v>
      </c>
      <c r="BQ18" s="101">
        <f>[1]Sheet3!BF$63*[1]Sheet3!BF68</f>
        <v>30.797076692512942</v>
      </c>
      <c r="BR18" s="101">
        <f>[1]Sheet3!BG$63*[1]Sheet3!BG68</f>
        <v>31.240636490916781</v>
      </c>
      <c r="BS18" s="101">
        <f>[1]Sheet3!BH$63*[1]Sheet3!BH68</f>
        <v>31.694430036519382</v>
      </c>
      <c r="BT18" s="101">
        <f>[1]Sheet3!BI$63*[1]Sheet3!BI68</f>
        <v>32.146506922260656</v>
      </c>
      <c r="BU18" s="101">
        <f>[1]Sheet3!BJ$63*[1]Sheet3!BJ68</f>
        <v>32.608210799152516</v>
      </c>
      <c r="BV18" s="102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</row>
    <row r="19" spans="1:101" s="96" customFormat="1" ht="12.9" customHeight="1" thickBot="1" x14ac:dyDescent="0.35">
      <c r="A19" s="102" t="s">
        <v>10</v>
      </c>
      <c r="B19" s="102" t="s">
        <v>309</v>
      </c>
      <c r="C19" s="102" t="s">
        <v>346</v>
      </c>
      <c r="D19" s="102" t="s">
        <v>311</v>
      </c>
      <c r="E19" s="158" t="s">
        <v>347</v>
      </c>
      <c r="F19" s="102" t="s">
        <v>7</v>
      </c>
      <c r="G19" s="102" t="s">
        <v>313</v>
      </c>
      <c r="H19" s="102" t="s">
        <v>75</v>
      </c>
      <c r="I19" s="102"/>
      <c r="J19" s="102"/>
      <c r="K19" s="102"/>
      <c r="L19" s="102"/>
      <c r="M19" s="109">
        <v>15.069172533938277</v>
      </c>
      <c r="N19" s="109">
        <v>16.665975264684665</v>
      </c>
      <c r="O19" s="109">
        <v>18.169873109278534</v>
      </c>
      <c r="P19" s="109">
        <v>19.947840368022337</v>
      </c>
      <c r="Q19" s="109">
        <v>21.697355505381921</v>
      </c>
      <c r="R19" s="109">
        <v>23.163510739976331</v>
      </c>
      <c r="S19" s="109">
        <v>23.865523285966294</v>
      </c>
      <c r="T19" s="109">
        <v>24.450243413188698</v>
      </c>
      <c r="U19" s="103">
        <v>24.9629622536429</v>
      </c>
      <c r="V19" s="104">
        <v>26.060401221319498</v>
      </c>
      <c r="W19" s="104">
        <v>23.917782284427101</v>
      </c>
      <c r="X19" s="104">
        <v>25.150513992563301</v>
      </c>
      <c r="Y19" s="105">
        <v>26.593867010974826</v>
      </c>
      <c r="Z19" s="104">
        <v>26.244130000000002</v>
      </c>
      <c r="AA19" s="104">
        <v>26.928867500000003</v>
      </c>
      <c r="AB19" s="104">
        <v>27.569065000000002</v>
      </c>
      <c r="AC19" s="104">
        <v>28.211665</v>
      </c>
      <c r="AD19" s="104">
        <v>28.951492500000001</v>
      </c>
      <c r="AE19" s="104">
        <v>29.685220000000001</v>
      </c>
      <c r="AF19" s="104">
        <v>30.3404025</v>
      </c>
      <c r="AG19" s="104">
        <v>31.055710000000001</v>
      </c>
      <c r="AH19" s="104">
        <v>31.62687</v>
      </c>
      <c r="AI19" s="104">
        <v>31.596</v>
      </c>
      <c r="AJ19" s="104">
        <v>31.4238</v>
      </c>
      <c r="AK19" s="104">
        <v>31.233599999999999</v>
      </c>
      <c r="AL19" s="104">
        <v>31.160499999999999</v>
      </c>
      <c r="AM19" s="104">
        <v>31.4664</v>
      </c>
      <c r="AN19" s="104">
        <v>31.915900000000001</v>
      </c>
      <c r="AO19" s="104">
        <v>32.299300000000002</v>
      </c>
      <c r="AP19" s="104">
        <v>32.914999999999999</v>
      </c>
      <c r="AQ19" s="104">
        <v>33.314900000000002</v>
      </c>
      <c r="AR19" s="104">
        <v>33.822200000000002</v>
      </c>
      <c r="AS19" s="104">
        <v>34.334299999999999</v>
      </c>
      <c r="AT19" s="104">
        <v>34.824800000000003</v>
      </c>
      <c r="AU19" s="104">
        <v>35.1404</v>
      </c>
      <c r="AV19" s="104">
        <v>35.639000000000003</v>
      </c>
      <c r="AW19" s="104">
        <v>36.004199999999997</v>
      </c>
      <c r="AX19" s="104">
        <v>36.500999999999998</v>
      </c>
      <c r="AY19" s="104">
        <v>36.912100000000002</v>
      </c>
      <c r="AZ19" s="104">
        <v>37.384999999999998</v>
      </c>
      <c r="BA19" s="104">
        <v>37.820500000000003</v>
      </c>
      <c r="BB19" s="104">
        <v>38.470999999999997</v>
      </c>
      <c r="BC19" s="104">
        <v>39.162300000000002</v>
      </c>
      <c r="BD19" s="104">
        <v>39.838299999999997</v>
      </c>
      <c r="BE19" s="104">
        <v>40.549100000000003</v>
      </c>
      <c r="BF19" s="104">
        <v>41.259900000000002</v>
      </c>
      <c r="BG19" s="104">
        <v>41.986800000000002</v>
      </c>
      <c r="BH19" s="104">
        <v>42.677900000000001</v>
      </c>
      <c r="BI19" s="104">
        <v>43.375900000000001</v>
      </c>
      <c r="BJ19" s="104">
        <v>44.066200000000002</v>
      </c>
      <c r="BK19" s="104">
        <v>44.771700000000003</v>
      </c>
      <c r="BL19" s="104">
        <v>45.449599999999997</v>
      </c>
      <c r="BM19" s="104">
        <v>46.142800000000001</v>
      </c>
      <c r="BN19" s="104">
        <v>46.823300000000003</v>
      </c>
      <c r="BO19" s="104">
        <v>47.5075</v>
      </c>
      <c r="BP19" s="104">
        <v>48.191400000000002</v>
      </c>
      <c r="BQ19" s="104">
        <v>48.869</v>
      </c>
      <c r="BR19" s="104">
        <v>49.5274</v>
      </c>
      <c r="BS19" s="104">
        <v>50.191400000000002</v>
      </c>
      <c r="BT19" s="104">
        <v>50.850499999999997</v>
      </c>
      <c r="BU19" s="104">
        <v>51.490200000000002</v>
      </c>
      <c r="BV19" s="102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</row>
    <row r="20" spans="1:101" s="96" customFormat="1" ht="15" thickBot="1" x14ac:dyDescent="0.35">
      <c r="A20" s="97" t="s">
        <v>10</v>
      </c>
      <c r="B20" s="97" t="s">
        <v>309</v>
      </c>
      <c r="C20" s="97" t="s">
        <v>348</v>
      </c>
      <c r="D20" s="97" t="s">
        <v>311</v>
      </c>
      <c r="E20" s="157" t="s">
        <v>349</v>
      </c>
      <c r="F20" s="97" t="s">
        <v>7</v>
      </c>
      <c r="G20" s="97" t="s">
        <v>313</v>
      </c>
      <c r="H20" s="97" t="s">
        <v>75</v>
      </c>
      <c r="I20" s="97"/>
      <c r="J20" s="97"/>
      <c r="K20" s="97"/>
      <c r="L20" s="97"/>
      <c r="M20" s="107">
        <v>0.98943703752430912</v>
      </c>
      <c r="N20" s="107">
        <v>1.0585350466002439</v>
      </c>
      <c r="O20" s="107">
        <v>1.1171812559840204</v>
      </c>
      <c r="P20" s="107">
        <v>1.1595691102911063</v>
      </c>
      <c r="Q20" s="107">
        <v>1.1676982878294515</v>
      </c>
      <c r="R20" s="107">
        <v>1.1827953318292357</v>
      </c>
      <c r="S20" s="107">
        <v>1.1665369767525451</v>
      </c>
      <c r="T20" s="107">
        <v>1.2013763090597391</v>
      </c>
      <c r="U20" s="107">
        <v>0.27453468820698801</v>
      </c>
      <c r="V20" s="101">
        <v>0.28255511883412499</v>
      </c>
      <c r="W20" s="101">
        <v>0.269804827871021</v>
      </c>
      <c r="X20" s="101">
        <v>0.31491248201071098</v>
      </c>
      <c r="Y20" s="108">
        <v>0.31723692704970952</v>
      </c>
      <c r="Z20" s="101">
        <v>0.32750000000000001</v>
      </c>
      <c r="AA20" s="101">
        <v>0.33499999999999996</v>
      </c>
      <c r="AB20" s="101">
        <v>0.34499999999999997</v>
      </c>
      <c r="AC20" s="101">
        <v>0.35499999999999998</v>
      </c>
      <c r="AD20" s="101">
        <v>0.36499999999999999</v>
      </c>
      <c r="AE20" s="101">
        <v>0.375</v>
      </c>
      <c r="AF20" s="101">
        <v>0.38500000000000001</v>
      </c>
      <c r="AG20" s="101">
        <v>0.39500000000000002</v>
      </c>
      <c r="AH20" s="101">
        <v>0.40500000000000003</v>
      </c>
      <c r="AI20" s="101">
        <v>0.41</v>
      </c>
      <c r="AJ20" s="101">
        <v>0.42</v>
      </c>
      <c r="AK20" s="101">
        <v>0.43</v>
      </c>
      <c r="AL20" s="101">
        <v>0.44</v>
      </c>
      <c r="AM20" s="101">
        <v>0.45</v>
      </c>
      <c r="AN20" s="101">
        <v>0.46</v>
      </c>
      <c r="AO20" s="101">
        <v>0.47</v>
      </c>
      <c r="AP20" s="101">
        <v>0.48</v>
      </c>
      <c r="AQ20" s="101">
        <v>0.49</v>
      </c>
      <c r="AR20" s="101">
        <v>0.5</v>
      </c>
      <c r="AS20" s="101">
        <v>0.51</v>
      </c>
      <c r="AT20" s="101">
        <v>0.52</v>
      </c>
      <c r="AU20" s="101">
        <v>0.52</v>
      </c>
      <c r="AV20" s="101">
        <v>0.53</v>
      </c>
      <c r="AW20" s="101">
        <v>0.54</v>
      </c>
      <c r="AX20" s="101">
        <v>0.55000000000000004</v>
      </c>
      <c r="AY20" s="101">
        <v>0.56000000000000005</v>
      </c>
      <c r="AZ20" s="101">
        <v>0.56999999999999995</v>
      </c>
      <c r="BA20" s="101">
        <v>0.57999999999999996</v>
      </c>
      <c r="BB20" s="101">
        <v>0.59</v>
      </c>
      <c r="BC20" s="101">
        <v>0.59</v>
      </c>
      <c r="BD20" s="101">
        <v>0.6</v>
      </c>
      <c r="BE20" s="101">
        <v>0.61</v>
      </c>
      <c r="BF20" s="101">
        <v>0.62</v>
      </c>
      <c r="BG20" s="101">
        <v>0.63</v>
      </c>
      <c r="BH20" s="101">
        <v>0.64</v>
      </c>
      <c r="BI20" s="101">
        <v>0.64</v>
      </c>
      <c r="BJ20" s="101">
        <v>0.65</v>
      </c>
      <c r="BK20" s="101">
        <v>0.66</v>
      </c>
      <c r="BL20" s="101">
        <v>0.67</v>
      </c>
      <c r="BM20" s="101">
        <v>0.68</v>
      </c>
      <c r="BN20" s="101">
        <v>0.68</v>
      </c>
      <c r="BO20" s="101">
        <v>0.69</v>
      </c>
      <c r="BP20" s="101">
        <v>0.7</v>
      </c>
      <c r="BQ20" s="101">
        <v>0.71</v>
      </c>
      <c r="BR20" s="101">
        <v>0.71</v>
      </c>
      <c r="BS20" s="101">
        <v>0.72</v>
      </c>
      <c r="BT20" s="101">
        <v>0.73</v>
      </c>
      <c r="BU20" s="101">
        <v>0.73</v>
      </c>
      <c r="BV20" s="102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</row>
    <row r="21" spans="1:101" s="96" customFormat="1" ht="15" thickBot="1" x14ac:dyDescent="0.35">
      <c r="A21" s="102" t="s">
        <v>10</v>
      </c>
      <c r="B21" s="102" t="s">
        <v>309</v>
      </c>
      <c r="C21" s="102" t="s">
        <v>350</v>
      </c>
      <c r="D21" s="102" t="s">
        <v>311</v>
      </c>
      <c r="E21" s="158" t="s">
        <v>351</v>
      </c>
      <c r="F21" s="102" t="s">
        <v>7</v>
      </c>
      <c r="G21" s="102" t="s">
        <v>313</v>
      </c>
      <c r="H21" s="102" t="s">
        <v>75</v>
      </c>
      <c r="I21" s="102"/>
      <c r="J21" s="102"/>
      <c r="K21" s="102"/>
      <c r="L21" s="102"/>
      <c r="M21" s="103">
        <v>1.8755173892039421</v>
      </c>
      <c r="N21" s="103">
        <v>2.0061648853559193</v>
      </c>
      <c r="O21" s="103">
        <v>2.11765074873894</v>
      </c>
      <c r="P21" s="103">
        <v>2.1977812130454861</v>
      </c>
      <c r="Q21" s="103">
        <v>2.2128782570452703</v>
      </c>
      <c r="R21" s="103">
        <v>2.2424916895063851</v>
      </c>
      <c r="S21" s="103">
        <v>2.2111362904299106</v>
      </c>
      <c r="T21" s="103">
        <v>2.2773310218135787</v>
      </c>
      <c r="U21" s="103">
        <v>2.39111779663983</v>
      </c>
      <c r="V21" s="104">
        <v>2.3977571514238298</v>
      </c>
      <c r="W21" s="104">
        <v>2.2406900605344502</v>
      </c>
      <c r="X21" s="104">
        <v>2.3810967562588701</v>
      </c>
      <c r="Y21" s="105">
        <v>2.6552614590058101</v>
      </c>
      <c r="Z21" s="104">
        <v>2.4874999999999998</v>
      </c>
      <c r="AA21" s="104">
        <v>2.5525000000000002</v>
      </c>
      <c r="AB21" s="104">
        <v>2.6124999999999998</v>
      </c>
      <c r="AC21" s="104">
        <v>2.6725000000000003</v>
      </c>
      <c r="AD21" s="104">
        <v>2.7424999999999997</v>
      </c>
      <c r="AE21" s="104">
        <v>2.8</v>
      </c>
      <c r="AF21" s="104">
        <v>2.85</v>
      </c>
      <c r="AG21" s="104">
        <v>2.9</v>
      </c>
      <c r="AH21" s="104">
        <v>2.889068</v>
      </c>
      <c r="AI21" s="104">
        <v>2.7902</v>
      </c>
      <c r="AJ21" s="104">
        <v>2.6960000000000002</v>
      </c>
      <c r="AK21" s="104">
        <v>2.6486000000000001</v>
      </c>
      <c r="AL21" s="104">
        <v>2.6425000000000001</v>
      </c>
      <c r="AM21" s="104">
        <v>2.6364000000000001</v>
      </c>
      <c r="AN21" s="104">
        <v>2.6242999999999999</v>
      </c>
      <c r="AO21" s="104">
        <v>2.6122000000000001</v>
      </c>
      <c r="AP21" s="104">
        <v>2.5975999999999999</v>
      </c>
      <c r="AQ21" s="104">
        <v>2.5830000000000002</v>
      </c>
      <c r="AR21" s="104">
        <v>2.5817399999999999</v>
      </c>
      <c r="AS21" s="104">
        <v>2.5804800000000001</v>
      </c>
      <c r="AT21" s="104">
        <v>2.5727799999999998</v>
      </c>
      <c r="AU21" s="104">
        <v>2.5566800000000001</v>
      </c>
      <c r="AV21" s="104">
        <v>2.5451999999999999</v>
      </c>
      <c r="AW21" s="104">
        <v>2.53464</v>
      </c>
      <c r="AX21" s="104">
        <v>2.5232399999999999</v>
      </c>
      <c r="AY21" s="104">
        <v>2.5087600000000001</v>
      </c>
      <c r="AZ21" s="104">
        <v>2.4857999999999998</v>
      </c>
      <c r="BA21" s="104">
        <v>2.4499999999999997</v>
      </c>
      <c r="BB21" s="104">
        <v>2.4051833919999996</v>
      </c>
      <c r="BC21" s="104">
        <v>2.3638031879999999</v>
      </c>
      <c r="BD21" s="104">
        <v>2.3204464310000001</v>
      </c>
      <c r="BE21" s="104">
        <v>2.2800482899999999</v>
      </c>
      <c r="BF21" s="104">
        <v>2.2325737120000002</v>
      </c>
      <c r="BG21" s="104">
        <v>2.1877283250000001</v>
      </c>
      <c r="BH21" s="104">
        <v>2.1361359279999999</v>
      </c>
      <c r="BI21" s="104">
        <v>2.0825669759999998</v>
      </c>
      <c r="BJ21" s="104">
        <v>2.0270214709999999</v>
      </c>
      <c r="BK21" s="104">
        <v>1.9694994130000001</v>
      </c>
      <c r="BL21" s="104">
        <v>1.9100007999999999</v>
      </c>
      <c r="BM21" s="104">
        <v>1.8485256339999998</v>
      </c>
      <c r="BN21" s="104">
        <v>1.7850739149999999</v>
      </c>
      <c r="BO21" s="104">
        <v>1.7196456410000001</v>
      </c>
      <c r="BP21" s="104">
        <v>1.652240814</v>
      </c>
      <c r="BQ21" s="104">
        <v>1.579900818</v>
      </c>
      <c r="BR21" s="104">
        <v>1.508707596</v>
      </c>
      <c r="BS21" s="104">
        <v>1.4329086310000001</v>
      </c>
      <c r="BT21" s="104">
        <v>1.355462537</v>
      </c>
      <c r="BU21" s="104">
        <v>1.27866908</v>
      </c>
      <c r="BV21" s="102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</row>
    <row r="22" spans="1:101" s="96" customFormat="1" ht="15" thickBot="1" x14ac:dyDescent="0.35">
      <c r="A22" s="97" t="s">
        <v>10</v>
      </c>
      <c r="B22" s="97" t="s">
        <v>309</v>
      </c>
      <c r="C22" s="97" t="s">
        <v>352</v>
      </c>
      <c r="D22" s="97" t="s">
        <v>311</v>
      </c>
      <c r="E22" s="157" t="s">
        <v>353</v>
      </c>
      <c r="F22" s="97" t="s">
        <v>7</v>
      </c>
      <c r="G22" s="97" t="s">
        <v>313</v>
      </c>
      <c r="H22" s="97" t="s">
        <v>75</v>
      </c>
      <c r="I22" s="97"/>
      <c r="J22" s="97"/>
      <c r="K22" s="97"/>
      <c r="L22" s="97"/>
      <c r="M22" s="107">
        <v>6.6287636269820993</v>
      </c>
      <c r="N22" s="107">
        <v>7.1681926222051526</v>
      </c>
      <c r="O22" s="107">
        <v>7.3383246949719494</v>
      </c>
      <c r="P22" s="107">
        <v>8.147177860037301</v>
      </c>
      <c r="Q22" s="107">
        <v>8.6128636018767946</v>
      </c>
      <c r="R22" s="107">
        <v>7.6762662183517305</v>
      </c>
      <c r="S22" s="107">
        <v>5.2648037671554579</v>
      </c>
      <c r="T22" s="107">
        <v>5.0464772846970423</v>
      </c>
      <c r="U22" s="107">
        <v>5.7368390353734897</v>
      </c>
      <c r="V22" s="101">
        <v>4.7138772871007104</v>
      </c>
      <c r="W22" s="101">
        <v>4.5998940532795798</v>
      </c>
      <c r="X22" s="101">
        <v>4.3899411636953101</v>
      </c>
      <c r="Y22" s="108">
        <v>6.0873466752743708</v>
      </c>
      <c r="Z22" s="101">
        <v>4.58</v>
      </c>
      <c r="AA22" s="101">
        <v>4.7</v>
      </c>
      <c r="AB22" s="101">
        <v>4.8125</v>
      </c>
      <c r="AC22" s="101">
        <v>4.9250000000000007</v>
      </c>
      <c r="AD22" s="101">
        <v>5.0549999999999997</v>
      </c>
      <c r="AE22" s="101">
        <v>5.16</v>
      </c>
      <c r="AF22" s="101">
        <v>5.24</v>
      </c>
      <c r="AG22" s="101">
        <v>5.37</v>
      </c>
      <c r="AH22" s="101">
        <v>5.4100359999999998</v>
      </c>
      <c r="AI22" s="101">
        <v>5.1909400000000003</v>
      </c>
      <c r="AJ22" s="101">
        <v>5.11252</v>
      </c>
      <c r="AK22" s="101">
        <v>5.0898399999999997</v>
      </c>
      <c r="AL22" s="101">
        <v>5.1660000000000004</v>
      </c>
      <c r="AM22" s="101">
        <v>5.1667199999999998</v>
      </c>
      <c r="AN22" s="101">
        <v>5.2387199999999998</v>
      </c>
      <c r="AO22" s="101">
        <v>5.2340400000000002</v>
      </c>
      <c r="AP22" s="101">
        <v>5.3064</v>
      </c>
      <c r="AQ22" s="101">
        <v>5.3040000000000003</v>
      </c>
      <c r="AR22" s="101">
        <v>5.3669000000000002</v>
      </c>
      <c r="AS22" s="101">
        <v>5.3731999999999998</v>
      </c>
      <c r="AT22" s="101">
        <v>5.4074999999999998</v>
      </c>
      <c r="AU22" s="101">
        <v>5.4093999999999998</v>
      </c>
      <c r="AV22" s="101">
        <v>5.4385000000000003</v>
      </c>
      <c r="AW22" s="101">
        <v>5.4806800000000004</v>
      </c>
      <c r="AX22" s="101">
        <v>5.5057799999999997</v>
      </c>
      <c r="AY22" s="101">
        <v>5.5064799999999998</v>
      </c>
      <c r="AZ22" s="101">
        <v>5.5128579999999996</v>
      </c>
      <c r="BA22" s="101">
        <v>5.5181399999999998</v>
      </c>
      <c r="BB22" s="101">
        <v>5.4724295569999999</v>
      </c>
      <c r="BC22" s="101">
        <v>5.4564886699999997</v>
      </c>
      <c r="BD22" s="101">
        <v>5.3969541899999998</v>
      </c>
      <c r="BE22" s="101">
        <v>5.3735409850000009</v>
      </c>
      <c r="BF22" s="101">
        <v>5.3506425120000003</v>
      </c>
      <c r="BG22" s="101">
        <v>5.3250000000000002</v>
      </c>
      <c r="BH22" s="101">
        <v>5.2906420689999996</v>
      </c>
      <c r="BI22" s="101">
        <v>5.2596258130000004</v>
      </c>
      <c r="BJ22" s="101">
        <v>5.2201228080000002</v>
      </c>
      <c r="BK22" s="101">
        <v>5.1837328080000002</v>
      </c>
      <c r="BL22" s="101">
        <v>5.13357069</v>
      </c>
      <c r="BM22" s="101">
        <v>5.0865215759999991</v>
      </c>
      <c r="BN22" s="101">
        <v>5.0369570939999999</v>
      </c>
      <c r="BO22" s="101">
        <v>4.9848772410000004</v>
      </c>
      <c r="BP22" s="101">
        <v>4.92522532</v>
      </c>
      <c r="BQ22" s="101">
        <v>4.8682290640000003</v>
      </c>
      <c r="BR22" s="101">
        <v>4.8038894089999999</v>
      </c>
      <c r="BS22" s="101">
        <v>4.7372630539999996</v>
      </c>
      <c r="BT22" s="101">
        <v>4.6683500000000002</v>
      </c>
      <c r="BU22" s="101">
        <v>4.5926652219999999</v>
      </c>
      <c r="BV22" s="10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</row>
    <row r="23" spans="1:101" x14ac:dyDescent="0.3">
      <c r="A23" s="102" t="s">
        <v>10</v>
      </c>
      <c r="B23" s="102" t="s">
        <v>309</v>
      </c>
      <c r="C23" s="102" t="s">
        <v>354</v>
      </c>
      <c r="D23" s="102" t="s">
        <v>311</v>
      </c>
      <c r="E23" s="158" t="s">
        <v>355</v>
      </c>
      <c r="F23" s="102" t="s">
        <v>7</v>
      </c>
      <c r="G23" s="102" t="s">
        <v>313</v>
      </c>
      <c r="H23" s="102" t="s">
        <v>75</v>
      </c>
      <c r="I23" s="102"/>
      <c r="J23" s="102"/>
      <c r="K23" s="102"/>
      <c r="L23" s="102"/>
      <c r="M23" s="103">
        <v>0.14806716230557443</v>
      </c>
      <c r="N23" s="103">
        <v>0.15677699538237291</v>
      </c>
      <c r="O23" s="103">
        <v>0.15155109553629381</v>
      </c>
      <c r="P23" s="103">
        <v>0.1904550166126604</v>
      </c>
      <c r="Q23" s="103">
        <v>0.23110090430438673</v>
      </c>
      <c r="R23" s="103">
        <v>0.22587500445830763</v>
      </c>
      <c r="S23" s="103">
        <v>0.17245469492061019</v>
      </c>
      <c r="T23" s="103">
        <v>0.17884190584359577</v>
      </c>
      <c r="U23" s="103">
        <v>9.9128536281464702E-2</v>
      </c>
      <c r="V23" s="104">
        <v>0.123044623051719</v>
      </c>
      <c r="W23" s="104">
        <v>3.4599036083716998E-2</v>
      </c>
      <c r="X23" s="104">
        <v>0.23700357618085399</v>
      </c>
      <c r="Y23" s="105">
        <v>0</v>
      </c>
      <c r="Z23" s="104">
        <v>0.2475</v>
      </c>
      <c r="AA23" s="104">
        <v>0.2525</v>
      </c>
      <c r="AB23" s="104">
        <v>0.25750000000000001</v>
      </c>
      <c r="AC23" s="104">
        <v>0.26500000000000001</v>
      </c>
      <c r="AD23" s="104">
        <v>0.27500000000000002</v>
      </c>
      <c r="AE23" s="104">
        <v>0.28300000000000003</v>
      </c>
      <c r="AF23" s="104">
        <v>0.29100000000000004</v>
      </c>
      <c r="AG23" s="104">
        <v>0.29900000000000004</v>
      </c>
      <c r="AH23" s="104">
        <v>0.30700000000000005</v>
      </c>
      <c r="AI23" s="104">
        <v>0.31</v>
      </c>
      <c r="AJ23" s="104">
        <v>0.32</v>
      </c>
      <c r="AK23" s="104">
        <v>0.32</v>
      </c>
      <c r="AL23" s="104">
        <v>0.33</v>
      </c>
      <c r="AM23" s="104">
        <v>0.34</v>
      </c>
      <c r="AN23" s="104">
        <v>0.35</v>
      </c>
      <c r="AO23" s="104">
        <v>0.35</v>
      </c>
      <c r="AP23" s="104">
        <v>0.36</v>
      </c>
      <c r="AQ23" s="104">
        <v>0.37</v>
      </c>
      <c r="AR23" s="104">
        <v>0.38</v>
      </c>
      <c r="AS23" s="104">
        <v>0.38</v>
      </c>
      <c r="AT23" s="104">
        <v>0.39</v>
      </c>
      <c r="AU23" s="104">
        <v>0.39</v>
      </c>
      <c r="AV23" s="104">
        <v>0.4</v>
      </c>
      <c r="AW23" s="104">
        <v>0.41</v>
      </c>
      <c r="AX23" s="104">
        <v>0.42</v>
      </c>
      <c r="AY23" s="104">
        <v>0.42</v>
      </c>
      <c r="AZ23" s="104">
        <v>0.43</v>
      </c>
      <c r="BA23" s="104">
        <v>0.43</v>
      </c>
      <c r="BB23" s="104">
        <v>0.44</v>
      </c>
      <c r="BC23" s="104">
        <v>0.45</v>
      </c>
      <c r="BD23" s="104">
        <v>0.45</v>
      </c>
      <c r="BE23" s="104">
        <v>0.46</v>
      </c>
      <c r="BF23" s="104">
        <v>0.47</v>
      </c>
      <c r="BG23" s="104">
        <v>0.47</v>
      </c>
      <c r="BH23" s="104">
        <v>0.48</v>
      </c>
      <c r="BI23" s="104">
        <v>0.48</v>
      </c>
      <c r="BJ23" s="104">
        <v>0.49</v>
      </c>
      <c r="BK23" s="104">
        <v>0.5</v>
      </c>
      <c r="BL23" s="104">
        <v>0.5</v>
      </c>
      <c r="BM23" s="104">
        <v>0.51</v>
      </c>
      <c r="BN23" s="104">
        <v>0.51</v>
      </c>
      <c r="BO23" s="104">
        <v>0.52</v>
      </c>
      <c r="BP23" s="104">
        <v>0.53</v>
      </c>
      <c r="BQ23" s="104">
        <v>0.53</v>
      </c>
      <c r="BR23" s="104">
        <v>0.54</v>
      </c>
      <c r="BS23" s="104">
        <v>0.54</v>
      </c>
      <c r="BT23" s="104">
        <v>0.55000000000000004</v>
      </c>
      <c r="BU23" s="104">
        <v>0.55000000000000004</v>
      </c>
      <c r="BV23" s="102"/>
    </row>
    <row r="24" spans="1:101" s="96" customFormat="1" ht="15" thickBot="1" x14ac:dyDescent="0.35">
      <c r="A24" s="97" t="s">
        <v>10</v>
      </c>
      <c r="B24" s="97" t="s">
        <v>309</v>
      </c>
      <c r="C24" s="97" t="s">
        <v>356</v>
      </c>
      <c r="D24" s="97" t="s">
        <v>311</v>
      </c>
      <c r="E24" s="157" t="s">
        <v>357</v>
      </c>
      <c r="F24" s="97" t="s">
        <v>7</v>
      </c>
      <c r="G24" s="97" t="s">
        <v>313</v>
      </c>
      <c r="H24" s="97" t="s">
        <v>75</v>
      </c>
      <c r="I24" s="97"/>
      <c r="J24" s="97"/>
      <c r="K24" s="97"/>
      <c r="L24" s="97"/>
      <c r="M24" s="107">
        <v>0</v>
      </c>
      <c r="N24" s="107">
        <v>0</v>
      </c>
      <c r="O24" s="107">
        <v>0</v>
      </c>
      <c r="P24" s="107">
        <v>0</v>
      </c>
      <c r="Q24" s="107">
        <v>0</v>
      </c>
      <c r="R24" s="107">
        <v>0</v>
      </c>
      <c r="S24" s="107">
        <v>0</v>
      </c>
      <c r="T24" s="107">
        <v>0</v>
      </c>
      <c r="U24" s="107">
        <v>0</v>
      </c>
      <c r="V24" s="101">
        <v>0</v>
      </c>
      <c r="W24" s="101">
        <v>0</v>
      </c>
      <c r="X24" s="101">
        <v>0</v>
      </c>
      <c r="Y24" s="108">
        <v>0</v>
      </c>
      <c r="Z24" s="101">
        <v>0</v>
      </c>
      <c r="AA24" s="101">
        <v>0</v>
      </c>
      <c r="AB24" s="101">
        <v>0</v>
      </c>
      <c r="AC24" s="101">
        <v>0</v>
      </c>
      <c r="AD24" s="101">
        <v>0</v>
      </c>
      <c r="AE24" s="101">
        <v>0</v>
      </c>
      <c r="AF24" s="101">
        <v>0</v>
      </c>
      <c r="AG24" s="101">
        <v>0</v>
      </c>
      <c r="AH24" s="101">
        <v>3.2500000000000001E-2</v>
      </c>
      <c r="AI24" s="101">
        <v>7.5600000000000001E-2</v>
      </c>
      <c r="AJ24" s="101">
        <v>0.15912000000000001</v>
      </c>
      <c r="AK24" s="101">
        <v>0.25868000000000002</v>
      </c>
      <c r="AL24" s="101">
        <v>0.34823999999999999</v>
      </c>
      <c r="AM24" s="101">
        <v>0.41749999999999998</v>
      </c>
      <c r="AN24" s="101">
        <v>0.50570000000000004</v>
      </c>
      <c r="AO24" s="101">
        <v>0.5776</v>
      </c>
      <c r="AP24" s="101">
        <v>0.67010000000000003</v>
      </c>
      <c r="AQ24" s="101">
        <v>0.75329999999999997</v>
      </c>
      <c r="AR24" s="101">
        <v>0.81569999999999998</v>
      </c>
      <c r="AS24" s="101">
        <v>0.879</v>
      </c>
      <c r="AT24" s="101">
        <v>0.94699999999999995</v>
      </c>
      <c r="AU24" s="101">
        <v>1.0142</v>
      </c>
      <c r="AV24" s="101">
        <v>1.0683</v>
      </c>
      <c r="AW24" s="101">
        <v>1.1227</v>
      </c>
      <c r="AX24" s="101">
        <v>1.1760999999999999</v>
      </c>
      <c r="AY24" s="101">
        <v>1.2351000000000001</v>
      </c>
      <c r="AZ24" s="101">
        <v>1.2945</v>
      </c>
      <c r="BA24" s="101">
        <v>1.3664000000000001</v>
      </c>
      <c r="BB24" s="101">
        <v>1.4255</v>
      </c>
      <c r="BC24" s="101">
        <v>1.478</v>
      </c>
      <c r="BD24" s="101">
        <v>1.5578000000000001</v>
      </c>
      <c r="BE24" s="101">
        <v>1.6393</v>
      </c>
      <c r="BF24" s="101">
        <v>1.7316</v>
      </c>
      <c r="BG24" s="101">
        <v>1.8569</v>
      </c>
      <c r="BH24" s="101">
        <v>1.9659</v>
      </c>
      <c r="BI24" s="101">
        <v>2.0792000000000002</v>
      </c>
      <c r="BJ24" s="101">
        <v>2.1985999999999999</v>
      </c>
      <c r="BK24" s="101">
        <v>2.3214000000000001</v>
      </c>
      <c r="BL24" s="101">
        <v>2.4485000000000001</v>
      </c>
      <c r="BM24" s="101">
        <v>2.5773000000000001</v>
      </c>
      <c r="BN24" s="101">
        <v>2.7147000000000001</v>
      </c>
      <c r="BO24" s="101">
        <v>2.8532000000000002</v>
      </c>
      <c r="BP24" s="101">
        <v>2.9992999999999999</v>
      </c>
      <c r="BQ24" s="101">
        <v>3.1465999999999998</v>
      </c>
      <c r="BR24" s="101">
        <v>3.3016999999999999</v>
      </c>
      <c r="BS24" s="101">
        <v>3.4580000000000002</v>
      </c>
      <c r="BT24" s="101">
        <v>3.6200999999999999</v>
      </c>
      <c r="BU24" s="101">
        <v>3.7856000000000001</v>
      </c>
      <c r="BV24" s="102"/>
      <c r="BW24"/>
      <c r="BX24"/>
      <c r="BY24"/>
    </row>
    <row r="25" spans="1:101" s="96" customFormat="1" ht="15" thickBot="1" x14ac:dyDescent="0.35">
      <c r="A25" s="102" t="s">
        <v>10</v>
      </c>
      <c r="B25" s="102" t="s">
        <v>309</v>
      </c>
      <c r="C25" s="102" t="s">
        <v>358</v>
      </c>
      <c r="D25" s="102" t="s">
        <v>311</v>
      </c>
      <c r="E25" s="158" t="s">
        <v>359</v>
      </c>
      <c r="F25" s="102" t="s">
        <v>7</v>
      </c>
      <c r="G25" s="102" t="s">
        <v>313</v>
      </c>
      <c r="H25" s="102" t="s">
        <v>75</v>
      </c>
      <c r="I25" s="102"/>
      <c r="J25" s="102"/>
      <c r="K25" s="102"/>
      <c r="L25" s="102"/>
      <c r="M25" s="103">
        <v>0.47787950814701075</v>
      </c>
      <c r="N25" s="103">
        <v>0.56904242768416835</v>
      </c>
      <c r="O25" s="103">
        <v>0.72175483429736864</v>
      </c>
      <c r="P25" s="103">
        <v>0.84253118629564105</v>
      </c>
      <c r="Q25" s="103">
        <v>0.99350162629348171</v>
      </c>
      <c r="R25" s="103">
        <v>1.0242763698315032</v>
      </c>
      <c r="S25" s="103">
        <v>0.7989820209116486</v>
      </c>
      <c r="T25" s="103">
        <v>1.1073101118303152</v>
      </c>
      <c r="U25" s="103">
        <v>1.0525426407975187</v>
      </c>
      <c r="V25" s="104">
        <v>1.1384701145115452</v>
      </c>
      <c r="W25" s="104">
        <v>0.93313629908978279</v>
      </c>
      <c r="X25" s="104">
        <v>1.096618060102567</v>
      </c>
      <c r="Y25" s="105">
        <v>1.0278244028405423</v>
      </c>
      <c r="Z25" s="104">
        <v>1.17</v>
      </c>
      <c r="AA25" s="104">
        <v>1.2</v>
      </c>
      <c r="AB25" s="104">
        <v>1.23</v>
      </c>
      <c r="AC25" s="104">
        <v>1.26</v>
      </c>
      <c r="AD25" s="104">
        <v>1.29</v>
      </c>
      <c r="AE25" s="104">
        <v>1.3179661016949153</v>
      </c>
      <c r="AF25" s="104">
        <v>1.3239361702127661</v>
      </c>
      <c r="AG25" s="104">
        <v>1.3257121439280359</v>
      </c>
      <c r="AH25" s="104">
        <v>1.3113728634361232</v>
      </c>
      <c r="AI25" s="104">
        <v>1.2782608695652173</v>
      </c>
      <c r="AJ25" s="104">
        <v>1.2201481481481482</v>
      </c>
      <c r="AK25" s="104">
        <v>1.162465352112676</v>
      </c>
      <c r="AL25" s="104">
        <v>1.1256417246175243</v>
      </c>
      <c r="AM25" s="104">
        <v>1.0906991780821917</v>
      </c>
      <c r="AN25" s="104">
        <v>1.0553918918918916</v>
      </c>
      <c r="AO25" s="104">
        <v>1.0399350199733688</v>
      </c>
      <c r="AP25" s="104">
        <v>1.0307196078431373</v>
      </c>
      <c r="AQ25" s="104">
        <v>1.0207246786632391</v>
      </c>
      <c r="AR25" s="104">
        <v>1.0123915510718791</v>
      </c>
      <c r="AS25" s="104">
        <v>1.0033024752475248</v>
      </c>
      <c r="AT25" s="104">
        <v>0.99350778588807764</v>
      </c>
      <c r="AU25" s="104">
        <v>0.98300476190476183</v>
      </c>
      <c r="AV25" s="104">
        <v>0.9774252042007</v>
      </c>
      <c r="AW25" s="104">
        <v>0.97324236902050121</v>
      </c>
      <c r="AX25" s="104">
        <v>0.96804927536231866</v>
      </c>
      <c r="AY25" s="104">
        <v>0.96192052401746708</v>
      </c>
      <c r="AZ25" s="104">
        <v>0.95484631803628595</v>
      </c>
      <c r="BA25" s="104">
        <v>0.94680919540229891</v>
      </c>
      <c r="BB25" s="104">
        <v>0.95608615384615381</v>
      </c>
      <c r="BC25" s="104">
        <v>0.96016931589537224</v>
      </c>
      <c r="BD25" s="104">
        <v>0.96866041461006891</v>
      </c>
      <c r="BE25" s="104">
        <v>0.97675634075508233</v>
      </c>
      <c r="BF25" s="104">
        <v>0.98904952561669834</v>
      </c>
      <c r="BG25" s="104">
        <v>0.99625594795539041</v>
      </c>
      <c r="BH25" s="104">
        <v>1.0075619307832422</v>
      </c>
      <c r="BI25" s="104">
        <v>1.0138995535714288</v>
      </c>
      <c r="BJ25" s="104">
        <v>1.024206993006993</v>
      </c>
      <c r="BK25" s="104">
        <v>1.0340267352185091</v>
      </c>
      <c r="BL25" s="104">
        <v>1.0433204697986578</v>
      </c>
      <c r="BM25" s="104">
        <v>1.0520859375</v>
      </c>
      <c r="BN25" s="104">
        <v>1.0603478260869565</v>
      </c>
      <c r="BO25" s="104">
        <v>1.0681017363851617</v>
      </c>
      <c r="BP25" s="104">
        <v>1.0753144624903326</v>
      </c>
      <c r="BQ25" s="104">
        <v>1.0820078847611827</v>
      </c>
      <c r="BR25" s="104">
        <v>1.0922028231797918</v>
      </c>
      <c r="BS25" s="104">
        <v>1.0978064093226512</v>
      </c>
      <c r="BT25" s="104">
        <v>1.1068094218415416</v>
      </c>
      <c r="BU25" s="104">
        <v>1.1152020979020978</v>
      </c>
      <c r="BV25" s="102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</row>
    <row r="26" spans="1:101" s="96" customFormat="1" ht="15" thickBot="1" x14ac:dyDescent="0.35">
      <c r="A26" s="97" t="s">
        <v>10</v>
      </c>
      <c r="B26" s="97" t="s">
        <v>309</v>
      </c>
      <c r="C26" s="97" t="s">
        <v>360</v>
      </c>
      <c r="D26" s="97" t="s">
        <v>311</v>
      </c>
      <c r="E26" s="157" t="s">
        <v>361</v>
      </c>
      <c r="F26" s="97" t="s">
        <v>7</v>
      </c>
      <c r="G26" s="97" t="s">
        <v>313</v>
      </c>
      <c r="H26" s="97" t="s">
        <v>75</v>
      </c>
      <c r="I26" s="97"/>
      <c r="J26" s="97"/>
      <c r="K26" s="97"/>
      <c r="L26" s="97"/>
      <c r="M26" s="107">
        <v>3.5077401077959807</v>
      </c>
      <c r="N26" s="107">
        <v>3.8631012973293588</v>
      </c>
      <c r="O26" s="107">
        <v>4.2289142865548959</v>
      </c>
      <c r="P26" s="107">
        <v>4.2573664079391049</v>
      </c>
      <c r="Q26" s="107">
        <v>4.491370589935757</v>
      </c>
      <c r="R26" s="107">
        <v>4.4414342136287788</v>
      </c>
      <c r="S26" s="107">
        <v>4.0332333700961565</v>
      </c>
      <c r="T26" s="107">
        <v>4.3525939162454348</v>
      </c>
      <c r="U26" s="107">
        <v>4.7630758302215384</v>
      </c>
      <c r="V26" s="101">
        <v>5.2140192621428216</v>
      </c>
      <c r="W26" s="101">
        <v>4.8432446410198464</v>
      </c>
      <c r="X26" s="101">
        <v>5.4102095818988847</v>
      </c>
      <c r="Y26" s="108">
        <v>5.3645577792123946</v>
      </c>
      <c r="Z26" s="101">
        <v>5.76</v>
      </c>
      <c r="AA26" s="101">
        <v>5.94</v>
      </c>
      <c r="AB26" s="101">
        <v>6.08</v>
      </c>
      <c r="AC26" s="101">
        <v>6.2</v>
      </c>
      <c r="AD26" s="101">
        <v>6.36</v>
      </c>
      <c r="AE26" s="101">
        <v>6.4408333333333339</v>
      </c>
      <c r="AF26" s="101">
        <v>6.5305263157894737</v>
      </c>
      <c r="AG26" s="101">
        <v>6.5711851851851852</v>
      </c>
      <c r="AH26" s="101">
        <v>6.5435217391304352</v>
      </c>
      <c r="AI26" s="101">
        <v>6.3233571428571436</v>
      </c>
      <c r="AJ26" s="101">
        <v>6.0792211267605634</v>
      </c>
      <c r="AK26" s="101">
        <v>5.8471458333333324</v>
      </c>
      <c r="AL26" s="101">
        <v>5.6219890410958913</v>
      </c>
      <c r="AM26" s="101">
        <v>5.4597094594594591</v>
      </c>
      <c r="AN26" s="101">
        <v>5.3852266666666662</v>
      </c>
      <c r="AO26" s="101">
        <v>5.3157953947368419</v>
      </c>
      <c r="AP26" s="101">
        <v>5.2651741935483871</v>
      </c>
      <c r="AQ26" s="101">
        <v>5.2037367088607596</v>
      </c>
      <c r="AR26" s="101">
        <v>5.1756795031055898</v>
      </c>
      <c r="AS26" s="101">
        <v>5.1436097560975611</v>
      </c>
      <c r="AT26" s="101">
        <v>5.1018143712574853</v>
      </c>
      <c r="AU26" s="101">
        <v>5.0805176470588238</v>
      </c>
      <c r="AV26" s="101">
        <v>5.0489120689655174</v>
      </c>
      <c r="AW26" s="101">
        <v>5.0475134831460675</v>
      </c>
      <c r="AX26" s="101">
        <v>5.0296071428571434</v>
      </c>
      <c r="AY26" s="101">
        <v>5.0069741935483867</v>
      </c>
      <c r="AZ26" s="101">
        <v>4.9897715789473684</v>
      </c>
      <c r="BA26" s="101">
        <v>4.9625876288659798</v>
      </c>
      <c r="BB26" s="101">
        <v>5.0133712121212124</v>
      </c>
      <c r="BC26" s="101">
        <v>5.0679164179104479</v>
      </c>
      <c r="BD26" s="101">
        <v>5.1203443902439032</v>
      </c>
      <c r="BE26" s="101">
        <v>5.1768622009569389</v>
      </c>
      <c r="BF26" s="101">
        <v>5.2360158878504661</v>
      </c>
      <c r="BG26" s="101">
        <v>5.298559633027522</v>
      </c>
      <c r="BH26" s="101">
        <v>5.3595201793721978</v>
      </c>
      <c r="BI26" s="101">
        <v>5.41793832599119</v>
      </c>
      <c r="BJ26" s="101">
        <v>5.484296551724138</v>
      </c>
      <c r="BK26" s="101">
        <v>5.5439886075949358</v>
      </c>
      <c r="BL26" s="101">
        <v>5.6102809917355367</v>
      </c>
      <c r="BM26" s="101">
        <v>5.670399999999999</v>
      </c>
      <c r="BN26" s="101">
        <v>5.7378428571428568</v>
      </c>
      <c r="BO26" s="101">
        <v>5.7981272373540858</v>
      </c>
      <c r="BP26" s="101">
        <v>5.8609419847328246</v>
      </c>
      <c r="BQ26" s="101">
        <v>5.9211737827715361</v>
      </c>
      <c r="BR26" s="101">
        <v>5.9840300366300365</v>
      </c>
      <c r="BS26" s="101">
        <v>6.0441633093525189</v>
      </c>
      <c r="BT26" s="101">
        <v>6.1066827464788735</v>
      </c>
      <c r="BU26" s="101">
        <v>6.1706965517241388</v>
      </c>
      <c r="BV26" s="102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</row>
    <row r="27" spans="1:101" x14ac:dyDescent="0.3">
      <c r="A27" s="102" t="s">
        <v>10</v>
      </c>
      <c r="B27" s="102" t="s">
        <v>309</v>
      </c>
      <c r="C27" s="102" t="s">
        <v>362</v>
      </c>
      <c r="D27" s="102" t="s">
        <v>311</v>
      </c>
      <c r="E27" s="158" t="s">
        <v>363</v>
      </c>
      <c r="F27" s="102" t="s">
        <v>7</v>
      </c>
      <c r="G27" s="102" t="s">
        <v>313</v>
      </c>
      <c r="H27" s="102" t="s">
        <v>75</v>
      </c>
      <c r="I27" s="102"/>
      <c r="J27" s="102"/>
      <c r="K27" s="102"/>
      <c r="L27" s="102"/>
      <c r="M27" s="103">
        <v>0</v>
      </c>
      <c r="N27" s="103">
        <v>0</v>
      </c>
      <c r="O27" s="103">
        <v>0</v>
      </c>
      <c r="P27" s="103">
        <v>0</v>
      </c>
      <c r="Q27" s="103">
        <v>0</v>
      </c>
      <c r="R27" s="103">
        <v>0</v>
      </c>
      <c r="S27" s="103">
        <v>0</v>
      </c>
      <c r="T27" s="103">
        <v>0</v>
      </c>
      <c r="U27" s="103">
        <v>0</v>
      </c>
      <c r="V27" s="104">
        <v>0</v>
      </c>
      <c r="W27" s="104">
        <v>0</v>
      </c>
      <c r="X27" s="104">
        <v>0</v>
      </c>
      <c r="Y27" s="105">
        <v>0</v>
      </c>
      <c r="Z27" s="104">
        <v>0</v>
      </c>
      <c r="AA27" s="104">
        <v>0</v>
      </c>
      <c r="AB27" s="104">
        <v>0</v>
      </c>
      <c r="AC27" s="104">
        <v>0</v>
      </c>
      <c r="AD27" s="104">
        <v>0</v>
      </c>
      <c r="AE27" s="104">
        <v>0</v>
      </c>
      <c r="AF27" s="104">
        <v>0</v>
      </c>
      <c r="AG27" s="104">
        <v>0</v>
      </c>
      <c r="AH27" s="104">
        <v>0</v>
      </c>
      <c r="AI27" s="104">
        <v>1.04</v>
      </c>
      <c r="AJ27" s="104">
        <v>0.96</v>
      </c>
      <c r="AK27" s="104">
        <v>0.89</v>
      </c>
      <c r="AL27" s="104">
        <v>0.39</v>
      </c>
      <c r="AM27" s="104">
        <v>0</v>
      </c>
      <c r="AN27" s="104">
        <v>0</v>
      </c>
      <c r="AO27" s="104">
        <v>0</v>
      </c>
      <c r="AP27" s="104">
        <v>0</v>
      </c>
      <c r="AQ27" s="104">
        <v>0</v>
      </c>
      <c r="AR27" s="104">
        <v>0</v>
      </c>
      <c r="AS27" s="104">
        <v>0</v>
      </c>
      <c r="AT27" s="104">
        <v>0</v>
      </c>
      <c r="AU27" s="104">
        <v>0</v>
      </c>
      <c r="AV27" s="104">
        <v>0</v>
      </c>
      <c r="AW27" s="104">
        <v>0</v>
      </c>
      <c r="AX27" s="104">
        <v>0</v>
      </c>
      <c r="AY27" s="104">
        <v>0</v>
      </c>
      <c r="AZ27" s="104">
        <v>0</v>
      </c>
      <c r="BA27" s="104">
        <v>0</v>
      </c>
      <c r="BB27" s="104">
        <v>0</v>
      </c>
      <c r="BC27" s="104">
        <v>0</v>
      </c>
      <c r="BD27" s="104">
        <v>0</v>
      </c>
      <c r="BE27" s="104">
        <v>0</v>
      </c>
      <c r="BF27" s="104">
        <v>0</v>
      </c>
      <c r="BG27" s="104">
        <v>0</v>
      </c>
      <c r="BH27" s="104">
        <v>0</v>
      </c>
      <c r="BI27" s="104">
        <v>0</v>
      </c>
      <c r="BJ27" s="104">
        <v>0</v>
      </c>
      <c r="BK27" s="104">
        <v>0</v>
      </c>
      <c r="BL27" s="104">
        <v>0</v>
      </c>
      <c r="BM27" s="104">
        <v>0</v>
      </c>
      <c r="BN27" s="104">
        <v>0</v>
      </c>
      <c r="BO27" s="104">
        <v>0</v>
      </c>
      <c r="BP27" s="104">
        <v>0</v>
      </c>
      <c r="BQ27" s="104">
        <v>0</v>
      </c>
      <c r="BR27" s="104">
        <v>0</v>
      </c>
      <c r="BS27" s="104">
        <v>0</v>
      </c>
      <c r="BT27" s="104">
        <v>0</v>
      </c>
      <c r="BU27" s="104">
        <v>0</v>
      </c>
      <c r="BV27" s="102"/>
    </row>
    <row r="28" spans="1:101" x14ac:dyDescent="0.3">
      <c r="A28" s="97" t="s">
        <v>10</v>
      </c>
      <c r="B28" s="97" t="s">
        <v>309</v>
      </c>
      <c r="C28" s="97" t="s">
        <v>364</v>
      </c>
      <c r="D28" s="97" t="s">
        <v>311</v>
      </c>
      <c r="E28" s="97" t="s">
        <v>365</v>
      </c>
      <c r="F28" s="97" t="s">
        <v>7</v>
      </c>
      <c r="G28" s="97" t="s">
        <v>313</v>
      </c>
      <c r="H28" s="97" t="s">
        <v>75</v>
      </c>
      <c r="I28" s="97"/>
      <c r="J28" s="97"/>
      <c r="K28" s="97"/>
      <c r="L28" s="97"/>
      <c r="M28" s="107">
        <v>6.0819000000000001</v>
      </c>
      <c r="N28" s="107">
        <v>6.0819000000000001</v>
      </c>
      <c r="O28" s="107">
        <v>6.0819000000000001</v>
      </c>
      <c r="P28" s="107">
        <v>6.0819000000000001</v>
      </c>
      <c r="Q28" s="107">
        <v>6.0819000000000001</v>
      </c>
      <c r="R28" s="107">
        <v>6.0819000000000001</v>
      </c>
      <c r="S28" s="107">
        <v>6.0819000000000001</v>
      </c>
      <c r="T28" s="107">
        <v>6.0819000000000001</v>
      </c>
      <c r="U28" s="107">
        <v>6.0819000000000001</v>
      </c>
      <c r="V28" s="101">
        <v>6.6056999999999997</v>
      </c>
      <c r="W28" s="101">
        <v>6.1866599999999998</v>
      </c>
      <c r="X28" s="101">
        <v>5.9538599999999997</v>
      </c>
      <c r="Y28" s="108">
        <v>6.2070299999999996</v>
      </c>
      <c r="Z28" s="101">
        <v>6.2070299999999996</v>
      </c>
      <c r="AA28" s="101">
        <v>6.2070299999999996</v>
      </c>
      <c r="AB28" s="101">
        <v>6.2070299999999996</v>
      </c>
      <c r="AC28" s="101">
        <v>6.2070299999999996</v>
      </c>
      <c r="AD28" s="101">
        <v>6.2070299999999996</v>
      </c>
      <c r="AE28" s="101">
        <v>6.2070299999999996</v>
      </c>
      <c r="AF28" s="101">
        <v>6.2070299999999996</v>
      </c>
      <c r="AG28" s="101">
        <v>6.2070299999999996</v>
      </c>
      <c r="AH28" s="101">
        <v>6.2070299999999996</v>
      </c>
      <c r="AI28" s="101">
        <v>2.5170300000000001</v>
      </c>
      <c r="AJ28" s="101">
        <v>2.5170300000000001</v>
      </c>
      <c r="AK28" s="101">
        <v>2.5170300000000001</v>
      </c>
      <c r="AL28" s="101">
        <v>2.2416529999999999</v>
      </c>
      <c r="AM28" s="101">
        <v>2.2416529999999999</v>
      </c>
      <c r="AN28" s="101">
        <v>2.2416529999999999</v>
      </c>
      <c r="AO28" s="101">
        <v>2.2416529999999999</v>
      </c>
      <c r="AP28" s="101">
        <v>2.2416529999999999</v>
      </c>
      <c r="AQ28" s="101">
        <v>2.2416529999999999</v>
      </c>
      <c r="AR28" s="101">
        <v>2.2416529999999999</v>
      </c>
      <c r="AS28" s="101">
        <v>2.2416529999999999</v>
      </c>
      <c r="AT28" s="101">
        <v>2.2416529999999999</v>
      </c>
      <c r="AU28" s="101">
        <v>2.2416529999999999</v>
      </c>
      <c r="AV28" s="101">
        <v>2.2416529999999999</v>
      </c>
      <c r="AW28" s="101">
        <v>2.2416529999999999</v>
      </c>
      <c r="AX28" s="101">
        <v>2.2416529999999999</v>
      </c>
      <c r="AY28" s="101">
        <v>2.2416529999999999</v>
      </c>
      <c r="AZ28" s="101">
        <v>2.2416529999999999</v>
      </c>
      <c r="BA28" s="101">
        <v>2.2416529999999999</v>
      </c>
      <c r="BB28" s="101">
        <v>2.2416529999999999</v>
      </c>
      <c r="BC28" s="101">
        <v>2.2416529999999999</v>
      </c>
      <c r="BD28" s="101">
        <v>2.2416529999999999</v>
      </c>
      <c r="BE28" s="101">
        <v>2.2416529999999999</v>
      </c>
      <c r="BF28" s="101">
        <v>2.2416529999999999</v>
      </c>
      <c r="BG28" s="101">
        <v>2.2416529999999999</v>
      </c>
      <c r="BH28" s="101">
        <v>2.2416529999999999</v>
      </c>
      <c r="BI28" s="101">
        <v>2.2416529999999999</v>
      </c>
      <c r="BJ28" s="101">
        <v>2.2416529999999999</v>
      </c>
      <c r="BK28" s="101">
        <v>2.2416529999999999</v>
      </c>
      <c r="BL28" s="101">
        <v>2.2416529999999999</v>
      </c>
      <c r="BM28" s="101">
        <v>2.2416529999999999</v>
      </c>
      <c r="BN28" s="101">
        <v>2.2416529999999999</v>
      </c>
      <c r="BO28" s="101">
        <v>2.2416529999999999</v>
      </c>
      <c r="BP28" s="101">
        <v>2.2416529999999999</v>
      </c>
      <c r="BQ28" s="101">
        <v>2.2416529999999999</v>
      </c>
      <c r="BR28" s="101">
        <v>2.2416529999999999</v>
      </c>
      <c r="BS28" s="101">
        <v>2.2416529999999999</v>
      </c>
      <c r="BT28" s="101">
        <v>2.2416529999999999</v>
      </c>
      <c r="BU28" s="101">
        <v>2.2416499999999999</v>
      </c>
      <c r="BV28" s="102"/>
    </row>
    <row r="29" spans="1:101" ht="15" thickBot="1" x14ac:dyDescent="0.35">
      <c r="A29" s="102" t="s">
        <v>10</v>
      </c>
      <c r="B29" s="102" t="s">
        <v>309</v>
      </c>
      <c r="C29" s="102" t="s">
        <v>366</v>
      </c>
      <c r="D29" s="102" t="s">
        <v>311</v>
      </c>
      <c r="E29" s="102" t="s">
        <v>367</v>
      </c>
      <c r="F29" s="102" t="s">
        <v>7</v>
      </c>
      <c r="G29" s="102" t="s">
        <v>313</v>
      </c>
      <c r="H29" s="102" t="s">
        <v>75</v>
      </c>
      <c r="I29" s="102"/>
      <c r="J29" s="102"/>
      <c r="K29" s="102"/>
      <c r="L29" s="102"/>
      <c r="M29" s="110">
        <v>3.5977416999999998E-2</v>
      </c>
      <c r="N29" s="110">
        <v>5.0368384000000002E-2</v>
      </c>
      <c r="O29" s="110">
        <v>4.3172901E-2</v>
      </c>
      <c r="P29" s="110">
        <v>0.10433451000000001</v>
      </c>
      <c r="Q29" s="110">
        <v>0.16909386100000001</v>
      </c>
      <c r="R29" s="110">
        <v>0.165496119</v>
      </c>
      <c r="S29" s="110">
        <v>1.44629217</v>
      </c>
      <c r="T29" s="110">
        <v>0.76272124399999996</v>
      </c>
      <c r="U29" s="110">
        <v>0.91979864717806825</v>
      </c>
      <c r="V29" s="96">
        <v>6.5717789285822841</v>
      </c>
      <c r="W29" s="96">
        <v>4.8232404770645925</v>
      </c>
      <c r="X29" s="96">
        <v>1.8856843657413787</v>
      </c>
      <c r="Y29" s="111">
        <v>3.55</v>
      </c>
      <c r="Z29">
        <f>Y29+($BU$29-$Y$29)/48</f>
        <v>3.55</v>
      </c>
      <c r="AA29">
        <f t="shared" ref="AA29:BT29" si="0">Z29+($BU$29-$Y$29)/48</f>
        <v>3.55</v>
      </c>
      <c r="AB29">
        <f t="shared" si="0"/>
        <v>3.55</v>
      </c>
      <c r="AC29">
        <f t="shared" si="0"/>
        <v>3.55</v>
      </c>
      <c r="AD29">
        <f t="shared" si="0"/>
        <v>3.55</v>
      </c>
      <c r="AE29">
        <f t="shared" si="0"/>
        <v>3.55</v>
      </c>
      <c r="AF29">
        <v>3.55</v>
      </c>
      <c r="AG29">
        <v>1.615</v>
      </c>
      <c r="AH29">
        <v>3.55</v>
      </c>
      <c r="AI29">
        <v>3.55</v>
      </c>
      <c r="AJ29">
        <f t="shared" si="0"/>
        <v>3.55</v>
      </c>
      <c r="AK29">
        <f t="shared" si="0"/>
        <v>3.55</v>
      </c>
      <c r="AL29">
        <f t="shared" si="0"/>
        <v>3.55</v>
      </c>
      <c r="AM29">
        <f t="shared" si="0"/>
        <v>3.55</v>
      </c>
      <c r="AN29">
        <f t="shared" si="0"/>
        <v>3.55</v>
      </c>
      <c r="AO29">
        <f t="shared" si="0"/>
        <v>3.55</v>
      </c>
      <c r="AP29">
        <f t="shared" si="0"/>
        <v>3.55</v>
      </c>
      <c r="AQ29">
        <f t="shared" si="0"/>
        <v>3.55</v>
      </c>
      <c r="AR29">
        <f t="shared" si="0"/>
        <v>3.55</v>
      </c>
      <c r="AS29">
        <f t="shared" si="0"/>
        <v>3.55</v>
      </c>
      <c r="AT29">
        <f t="shared" si="0"/>
        <v>3.55</v>
      </c>
      <c r="AU29">
        <f t="shared" si="0"/>
        <v>3.55</v>
      </c>
      <c r="AV29">
        <f t="shared" si="0"/>
        <v>3.55</v>
      </c>
      <c r="AW29">
        <f t="shared" si="0"/>
        <v>3.55</v>
      </c>
      <c r="AX29">
        <f t="shared" si="0"/>
        <v>3.55</v>
      </c>
      <c r="AY29">
        <f t="shared" si="0"/>
        <v>3.55</v>
      </c>
      <c r="AZ29">
        <f t="shared" si="0"/>
        <v>3.55</v>
      </c>
      <c r="BA29">
        <f t="shared" si="0"/>
        <v>3.55</v>
      </c>
      <c r="BB29">
        <f t="shared" si="0"/>
        <v>3.55</v>
      </c>
      <c r="BC29">
        <f t="shared" si="0"/>
        <v>3.55</v>
      </c>
      <c r="BD29">
        <f t="shared" si="0"/>
        <v>3.55</v>
      </c>
      <c r="BE29">
        <f t="shared" si="0"/>
        <v>3.55</v>
      </c>
      <c r="BF29">
        <f t="shared" si="0"/>
        <v>3.55</v>
      </c>
      <c r="BG29">
        <f t="shared" si="0"/>
        <v>3.55</v>
      </c>
      <c r="BH29">
        <f t="shared" si="0"/>
        <v>3.55</v>
      </c>
      <c r="BI29">
        <f t="shared" si="0"/>
        <v>3.55</v>
      </c>
      <c r="BJ29">
        <f t="shared" si="0"/>
        <v>3.55</v>
      </c>
      <c r="BK29">
        <f t="shared" si="0"/>
        <v>3.55</v>
      </c>
      <c r="BL29">
        <f t="shared" si="0"/>
        <v>3.55</v>
      </c>
      <c r="BM29">
        <f t="shared" si="0"/>
        <v>3.55</v>
      </c>
      <c r="BN29">
        <f t="shared" si="0"/>
        <v>3.55</v>
      </c>
      <c r="BO29">
        <f t="shared" si="0"/>
        <v>3.55</v>
      </c>
      <c r="BP29">
        <f t="shared" si="0"/>
        <v>3.55</v>
      </c>
      <c r="BQ29">
        <f t="shared" si="0"/>
        <v>3.55</v>
      </c>
      <c r="BR29">
        <f t="shared" si="0"/>
        <v>3.55</v>
      </c>
      <c r="BS29">
        <f t="shared" si="0"/>
        <v>3.55</v>
      </c>
      <c r="BT29">
        <f t="shared" si="0"/>
        <v>3.55</v>
      </c>
      <c r="BU29">
        <v>3.55</v>
      </c>
    </row>
    <row r="30" spans="1:101" x14ac:dyDescent="0.3">
      <c r="A30" s="97" t="s">
        <v>426</v>
      </c>
      <c r="B30" s="97" t="s">
        <v>309</v>
      </c>
      <c r="C30" s="97" t="s">
        <v>310</v>
      </c>
      <c r="D30" s="97" t="s">
        <v>311</v>
      </c>
      <c r="E30" s="157" t="s">
        <v>312</v>
      </c>
      <c r="F30" s="97" t="s">
        <v>7</v>
      </c>
      <c r="G30" s="97" t="s">
        <v>313</v>
      </c>
      <c r="H30" s="97" t="s">
        <v>75</v>
      </c>
      <c r="I30" s="97"/>
      <c r="J30" s="97"/>
      <c r="K30" s="97"/>
      <c r="L30" s="97"/>
      <c r="M30" s="98">
        <v>11.358783643222145</v>
      </c>
      <c r="N30" s="98">
        <v>11.114908317071787</v>
      </c>
      <c r="O30" s="98">
        <v>10.476187224773231</v>
      </c>
      <c r="P30" s="98">
        <v>9.9774041172419032</v>
      </c>
      <c r="Q30" s="98">
        <v>9.8403694101669394</v>
      </c>
      <c r="R30" s="98">
        <v>8.9072559598725949</v>
      </c>
      <c r="S30" s="98">
        <v>8.6302832680304018</v>
      </c>
      <c r="T30" s="98">
        <v>8.3742141755725275</v>
      </c>
      <c r="U30" s="98">
        <v>8.0826849999999997</v>
      </c>
      <c r="V30" s="99">
        <v>7.7284870000000003</v>
      </c>
      <c r="W30" s="99">
        <v>7.3394500000000003</v>
      </c>
      <c r="X30" s="99">
        <v>7.1160819999999996</v>
      </c>
      <c r="Y30" s="100">
        <v>6.5004519044544864</v>
      </c>
      <c r="Z30" s="101">
        <v>6.6692999999999998</v>
      </c>
      <c r="AA30" s="101">
        <v>6.4459809999999997</v>
      </c>
      <c r="AB30" s="101">
        <v>6.2226140000000001</v>
      </c>
      <c r="AC30" s="101">
        <v>6.0629080000000002</v>
      </c>
      <c r="AD30" s="101">
        <v>5.9032020000000003</v>
      </c>
      <c r="AE30" s="101">
        <v>5.7377525040000004</v>
      </c>
      <c r="AF30" s="101">
        <v>5.5279511100000001</v>
      </c>
      <c r="AG30" s="101">
        <v>5.3156013400000006</v>
      </c>
      <c r="AH30" s="101">
        <v>5.0244385868850001</v>
      </c>
      <c r="AI30" s="101">
        <v>4.7409637806160001</v>
      </c>
      <c r="AJ30" s="101">
        <v>4.4651750629200002</v>
      </c>
      <c r="AK30" s="101">
        <v>4.1970733798880007</v>
      </c>
      <c r="AL30" s="101">
        <v>3.936658731520001</v>
      </c>
      <c r="AM30" s="101">
        <v>3.711114110546001</v>
      </c>
      <c r="AN30" s="101">
        <v>3.4908825551460008</v>
      </c>
      <c r="AO30" s="101">
        <v>3.2759640653200015</v>
      </c>
      <c r="AP30" s="101">
        <v>3.0663586410680015</v>
      </c>
      <c r="AQ30" s="101">
        <v>2.8620656414799996</v>
      </c>
      <c r="AR30" s="101">
        <v>2.7011178676430001</v>
      </c>
      <c r="AS30" s="101">
        <v>2.54312114212</v>
      </c>
      <c r="AT30" s="101">
        <v>2.3880761058210003</v>
      </c>
      <c r="AU30" s="101">
        <v>2.2359827587460002</v>
      </c>
      <c r="AV30" s="101">
        <v>2.0868415963500002</v>
      </c>
      <c r="AW30" s="101">
        <v>1.9513621142560005</v>
      </c>
      <c r="AX30" s="101">
        <v>1.8174981135740005</v>
      </c>
      <c r="AY30" s="101">
        <v>1.6852495943040007</v>
      </c>
      <c r="AZ30" s="101">
        <v>1.5546165564460008</v>
      </c>
      <c r="BA30" s="101">
        <v>1.4255990000000001</v>
      </c>
      <c r="BB30" s="101">
        <v>1.3109976359999997</v>
      </c>
      <c r="BC30" s="101">
        <v>1.1977925239999998</v>
      </c>
      <c r="BD30" s="101">
        <v>1.0859836639999996</v>
      </c>
      <c r="BE30" s="101">
        <v>0.97557105599999971</v>
      </c>
      <c r="BF30" s="101">
        <v>0.86655469999999968</v>
      </c>
      <c r="BG30" s="101">
        <v>0.75910647999999969</v>
      </c>
      <c r="BH30" s="101">
        <v>0.65300827199999967</v>
      </c>
      <c r="BI30" s="101">
        <v>0.5482602959999997</v>
      </c>
      <c r="BJ30" s="101">
        <v>0.44486255199999974</v>
      </c>
      <c r="BK30" s="101">
        <v>0.34281503999999996</v>
      </c>
      <c r="BL30" s="101">
        <v>0.26487621999999994</v>
      </c>
      <c r="BM30" s="101">
        <v>0.1979418</v>
      </c>
      <c r="BN30" s="101">
        <v>0.14820117799999999</v>
      </c>
      <c r="BO30" s="101">
        <v>0.1231</v>
      </c>
      <c r="BP30" s="101">
        <v>0.1124</v>
      </c>
      <c r="BQ30" s="101">
        <v>0.1116</v>
      </c>
      <c r="BR30" s="101">
        <v>0.1108</v>
      </c>
      <c r="BS30" s="101">
        <v>0.1101</v>
      </c>
      <c r="BT30" s="101">
        <v>0.1094</v>
      </c>
      <c r="BU30" s="101">
        <v>0.1087</v>
      </c>
    </row>
    <row r="31" spans="1:101" x14ac:dyDescent="0.3">
      <c r="A31" s="97" t="s">
        <v>426</v>
      </c>
      <c r="B31" s="102" t="s">
        <v>309</v>
      </c>
      <c r="C31" s="102" t="s">
        <v>314</v>
      </c>
      <c r="D31" s="102" t="s">
        <v>311</v>
      </c>
      <c r="E31" s="158" t="s">
        <v>315</v>
      </c>
      <c r="F31" s="102" t="s">
        <v>7</v>
      </c>
      <c r="G31" s="102" t="s">
        <v>313</v>
      </c>
      <c r="H31" s="102" t="s">
        <v>75</v>
      </c>
      <c r="I31" s="102"/>
      <c r="J31" s="102"/>
      <c r="K31" s="102"/>
      <c r="L31" s="102"/>
      <c r="M31" s="103">
        <v>31.794955319083638</v>
      </c>
      <c r="N31" s="103">
        <v>32.98762179506658</v>
      </c>
      <c r="O31" s="103">
        <v>34.129190583665633</v>
      </c>
      <c r="P31" s="103">
        <v>35.294566249341266</v>
      </c>
      <c r="Q31" s="103">
        <v>36.504652391477805</v>
      </c>
      <c r="R31" s="103">
        <v>36.546459590246435</v>
      </c>
      <c r="S31" s="103">
        <v>35.94780373010115</v>
      </c>
      <c r="T31" s="103">
        <v>36.038966649638311</v>
      </c>
      <c r="U31" s="103">
        <v>37.1881775038445</v>
      </c>
      <c r="V31" s="104">
        <v>38.3676044528952</v>
      </c>
      <c r="W31" s="104">
        <v>39.136214531015803</v>
      </c>
      <c r="X31" s="104">
        <v>39.917656399749603</v>
      </c>
      <c r="Y31" s="105">
        <v>41.302969657843768</v>
      </c>
      <c r="Z31" s="104">
        <v>40.99</v>
      </c>
      <c r="AA31" s="104">
        <v>41.51</v>
      </c>
      <c r="AB31" s="104">
        <v>42.04</v>
      </c>
      <c r="AC31" s="104">
        <v>42.55</v>
      </c>
      <c r="AD31" s="104">
        <v>43.06</v>
      </c>
      <c r="AE31" s="104">
        <v>43.526429999999998</v>
      </c>
      <c r="AF31" s="104">
        <v>43.829300000000003</v>
      </c>
      <c r="AG31" s="104">
        <v>43.8688</v>
      </c>
      <c r="AH31" s="104">
        <v>43.803280000000001</v>
      </c>
      <c r="AI31" s="104">
        <v>43.395679999999999</v>
      </c>
      <c r="AJ31" s="104">
        <v>42.989688999999998</v>
      </c>
      <c r="AK31" s="104">
        <v>42.404760000000003</v>
      </c>
      <c r="AL31" s="104">
        <v>41.768500000000003</v>
      </c>
      <c r="AM31" s="104">
        <v>40.868699999999997</v>
      </c>
      <c r="AN31" s="104">
        <v>39.888199999999998</v>
      </c>
      <c r="AO31" s="104">
        <v>38.875160000000001</v>
      </c>
      <c r="AP31" s="104">
        <v>37.9099</v>
      </c>
      <c r="AQ31" s="104">
        <v>36.78</v>
      </c>
      <c r="AR31" s="104">
        <v>35.596799999999995</v>
      </c>
      <c r="AS31" s="104">
        <v>34.375799999999998</v>
      </c>
      <c r="AT31" s="104">
        <v>33.131999999999998</v>
      </c>
      <c r="AU31" s="104">
        <v>31.859099999999994</v>
      </c>
      <c r="AV31" s="104">
        <v>30.557999999999993</v>
      </c>
      <c r="AW31" s="104">
        <v>29.229599999999991</v>
      </c>
      <c r="AX31" s="104">
        <v>27.87479999999999</v>
      </c>
      <c r="AY31" s="104">
        <v>26.494499999999992</v>
      </c>
      <c r="AZ31" s="104">
        <v>25.084799999999987</v>
      </c>
      <c r="BA31" s="104">
        <v>23.656500000000001</v>
      </c>
      <c r="BB31" s="104">
        <v>22.29271</v>
      </c>
      <c r="BC31" s="104">
        <v>21.103999999999999</v>
      </c>
      <c r="BD31" s="104">
        <v>20.01857</v>
      </c>
      <c r="BE31" s="104">
        <v>18.813580000000002</v>
      </c>
      <c r="BF31" s="104">
        <v>17.802880999999999</v>
      </c>
      <c r="BG31" s="104">
        <v>16.910546400000001</v>
      </c>
      <c r="BH31" s="104">
        <v>16.10971</v>
      </c>
      <c r="BI31" s="104">
        <v>15.5382</v>
      </c>
      <c r="BJ31" s="104">
        <v>14.912845099999998</v>
      </c>
      <c r="BK31" s="104">
        <v>14.34</v>
      </c>
      <c r="BL31" s="104">
        <v>13.88266666667</v>
      </c>
      <c r="BM31" s="104">
        <v>13.386559999999999</v>
      </c>
      <c r="BN31" s="104">
        <v>12.86084</v>
      </c>
      <c r="BO31" s="104">
        <v>12.636100000000001</v>
      </c>
      <c r="BP31" s="104">
        <v>12.5975</v>
      </c>
      <c r="BQ31" s="104">
        <v>12.5563</v>
      </c>
      <c r="BR31" s="104">
        <v>12.510400000000001</v>
      </c>
      <c r="BS31" s="104">
        <v>12.4643</v>
      </c>
      <c r="BT31" s="104">
        <v>12.413399999999999</v>
      </c>
      <c r="BU31" s="104">
        <v>12.3581</v>
      </c>
    </row>
    <row r="32" spans="1:101" x14ac:dyDescent="0.3">
      <c r="A32" s="97" t="s">
        <v>426</v>
      </c>
      <c r="B32" s="97" t="s">
        <v>309</v>
      </c>
      <c r="C32" s="97" t="s">
        <v>316</v>
      </c>
      <c r="D32" s="97" t="s">
        <v>311</v>
      </c>
      <c r="E32" s="157" t="s">
        <v>317</v>
      </c>
      <c r="F32" s="97" t="s">
        <v>7</v>
      </c>
      <c r="G32" s="97" t="s">
        <v>313</v>
      </c>
      <c r="H32" s="97" t="s">
        <v>75</v>
      </c>
      <c r="I32" s="97"/>
      <c r="J32" s="97"/>
      <c r="K32" s="97"/>
      <c r="L32" s="97"/>
      <c r="M32" s="106">
        <v>18.399514089706344</v>
      </c>
      <c r="N32" s="106">
        <v>19.251331946627307</v>
      </c>
      <c r="O32" s="106">
        <v>20.250503961403798</v>
      </c>
      <c r="P32" s="106">
        <v>21.159735055743361</v>
      </c>
      <c r="Q32" s="106">
        <v>22.89603174169196</v>
      </c>
      <c r="R32" s="106">
        <v>24.924099043161487</v>
      </c>
      <c r="S32" s="106">
        <v>25.561618113788189</v>
      </c>
      <c r="T32" s="106">
        <v>26.256082137778254</v>
      </c>
      <c r="U32" s="107">
        <v>26.624217749157602</v>
      </c>
      <c r="V32" s="101">
        <v>27.545137433144401</v>
      </c>
      <c r="W32" s="101">
        <v>29.009550701123501</v>
      </c>
      <c r="X32" s="101">
        <v>28.635027878821099</v>
      </c>
      <c r="Y32" s="108">
        <v>28.19864428663654</v>
      </c>
      <c r="Z32" s="101">
        <v>29.40164</v>
      </c>
      <c r="AA32" s="101">
        <v>29.779800000000002</v>
      </c>
      <c r="AB32" s="101">
        <v>30.15437</v>
      </c>
      <c r="AC32" s="101">
        <v>30.524940000000001</v>
      </c>
      <c r="AD32" s="101">
        <v>30.891380000000002</v>
      </c>
      <c r="AE32" s="101">
        <v>31.262076559999997</v>
      </c>
      <c r="AF32" s="101">
        <v>31.668483555279998</v>
      </c>
      <c r="AG32" s="101">
        <v>32.301853226385596</v>
      </c>
      <c r="AH32" s="101">
        <v>32.793995570451997</v>
      </c>
      <c r="AI32" s="101">
        <v>33.5033533450855</v>
      </c>
      <c r="AJ32" s="101">
        <v>34.087440532057698</v>
      </c>
      <c r="AK32" s="101">
        <v>34.636314937378302</v>
      </c>
      <c r="AL32" s="101">
        <v>35.182054568772998</v>
      </c>
      <c r="AM32" s="101">
        <v>35.608905716902903</v>
      </c>
      <c r="AN32" s="101">
        <v>36.267994774071965</v>
      </c>
      <c r="AO32" s="101">
        <v>36.993354669553405</v>
      </c>
      <c r="AP32" s="101">
        <v>37.918188536292234</v>
      </c>
      <c r="AQ32" s="101">
        <v>39.055734192381003</v>
      </c>
      <c r="AR32" s="101">
        <v>40.071183281382908</v>
      </c>
      <c r="AS32" s="101">
        <v>41.07296286341748</v>
      </c>
      <c r="AT32" s="101">
        <v>42.099786935002911</v>
      </c>
      <c r="AU32" s="101">
        <v>43.110181821442978</v>
      </c>
      <c r="AV32" s="101">
        <v>44.101716003336165</v>
      </c>
      <c r="AW32" s="101">
        <v>45.116055471412892</v>
      </c>
      <c r="AX32" s="101">
        <v>45.892796303484097</v>
      </c>
      <c r="AY32" s="101">
        <v>46.688102655429397</v>
      </c>
      <c r="AZ32" s="101">
        <v>47.269476605882524</v>
      </c>
      <c r="BA32" s="101">
        <v>47.836710325153113</v>
      </c>
      <c r="BB32" s="101">
        <v>48.280571664537</v>
      </c>
      <c r="BC32" s="101">
        <v>48.616225509452491</v>
      </c>
      <c r="BD32" s="101">
        <v>48.854439088018601</v>
      </c>
      <c r="BE32" s="101">
        <v>49.04367460072276</v>
      </c>
      <c r="BF32" s="101">
        <v>49.19080562452492</v>
      </c>
      <c r="BG32" s="101">
        <v>49.436759652647545</v>
      </c>
      <c r="BH32" s="101">
        <v>49.585069931605474</v>
      </c>
      <c r="BI32" s="101">
        <v>49.634655001537077</v>
      </c>
      <c r="BJ32" s="101">
        <v>49.73392431154015</v>
      </c>
      <c r="BK32" s="101">
        <v>49.73392431154015</v>
      </c>
      <c r="BL32" s="101">
        <v>49.733924311540157</v>
      </c>
      <c r="BM32" s="101">
        <v>49.833392160163228</v>
      </c>
      <c r="BN32" s="101">
        <v>49.833392160163228</v>
      </c>
      <c r="BO32" s="101">
        <v>49.845399999999998</v>
      </c>
      <c r="BP32" s="101">
        <v>49.939300000000003</v>
      </c>
      <c r="BQ32" s="101">
        <v>50.016199999999998</v>
      </c>
      <c r="BR32" s="101">
        <v>50.085000000000001</v>
      </c>
      <c r="BS32" s="101">
        <v>50.240900000000003</v>
      </c>
      <c r="BT32" s="101">
        <v>50.388599999999997</v>
      </c>
      <c r="BU32" s="101">
        <v>50.5214</v>
      </c>
    </row>
    <row r="33" spans="1:73" x14ac:dyDescent="0.3">
      <c r="A33" s="97" t="s">
        <v>426</v>
      </c>
      <c r="B33" s="102" t="s">
        <v>309</v>
      </c>
      <c r="C33" s="102" t="s">
        <v>318</v>
      </c>
      <c r="D33" s="102" t="s">
        <v>311</v>
      </c>
      <c r="E33" s="158" t="s">
        <v>319</v>
      </c>
      <c r="F33" s="102" t="s">
        <v>7</v>
      </c>
      <c r="G33" s="102" t="s">
        <v>313</v>
      </c>
      <c r="H33" s="102" t="s">
        <v>75</v>
      </c>
      <c r="I33" s="102"/>
      <c r="J33" s="102"/>
      <c r="K33" s="102"/>
      <c r="L33" s="102"/>
      <c r="M33" s="109">
        <v>23.857974763966439</v>
      </c>
      <c r="N33" s="109">
        <v>25.835106872399699</v>
      </c>
      <c r="O33" s="109">
        <v>28.75812685297327</v>
      </c>
      <c r="P33" s="109">
        <v>28.89458090450978</v>
      </c>
      <c r="Q33" s="109">
        <v>30.289315507874445</v>
      </c>
      <c r="R33" s="109">
        <v>30.867067768635412</v>
      </c>
      <c r="S33" s="109">
        <v>32.08818636600256</v>
      </c>
      <c r="T33" s="109">
        <v>34.068802407666539</v>
      </c>
      <c r="U33" s="103">
        <v>34.173030076818897</v>
      </c>
      <c r="V33" s="104">
        <v>23.063633342118109</v>
      </c>
      <c r="W33" s="104">
        <v>21.27442633411647</v>
      </c>
      <c r="X33" s="104">
        <v>27.920740507010539</v>
      </c>
      <c r="Y33" s="105">
        <v>35.68964234990316</v>
      </c>
      <c r="Z33" s="104">
        <v>48.925560670000003</v>
      </c>
      <c r="AA33" s="104">
        <v>45.137619999999998</v>
      </c>
      <c r="AB33" s="104">
        <v>45.901359999999997</v>
      </c>
      <c r="AC33" s="104">
        <v>47.357300000000002</v>
      </c>
      <c r="AD33" s="104">
        <v>48.397860000000001</v>
      </c>
      <c r="AE33" s="104">
        <v>50.15531</v>
      </c>
      <c r="AF33" s="104">
        <v>50.746839999999999</v>
      </c>
      <c r="AG33" s="104">
        <v>52.324120000000001</v>
      </c>
      <c r="AH33" s="104">
        <v>53.510590000000001</v>
      </c>
      <c r="AI33" s="104">
        <v>55.175409999999999</v>
      </c>
      <c r="AJ33" s="104">
        <v>56.337440000000001</v>
      </c>
      <c r="AK33" s="104">
        <v>57.979320000000001</v>
      </c>
      <c r="AL33" s="104">
        <v>58.95532</v>
      </c>
      <c r="AM33" s="104">
        <v>60.729239999999997</v>
      </c>
      <c r="AN33" s="104">
        <v>61.746220000000001</v>
      </c>
      <c r="AO33" s="104">
        <v>63.420589999999997</v>
      </c>
      <c r="AP33" s="104">
        <v>64.688789999999997</v>
      </c>
      <c r="AQ33" s="104">
        <v>66.34666</v>
      </c>
      <c r="AR33" s="104">
        <v>67.560360000000003</v>
      </c>
      <c r="AS33" s="104">
        <v>69.217910000000003</v>
      </c>
      <c r="AT33" s="104">
        <v>70.157169999999994</v>
      </c>
      <c r="AU33" s="104">
        <v>71.813730000000007</v>
      </c>
      <c r="AV33" s="104">
        <v>72.902749999999997</v>
      </c>
      <c r="AW33" s="104">
        <v>74.658940000000001</v>
      </c>
      <c r="AX33" s="104">
        <v>75.810609999999997</v>
      </c>
      <c r="AY33" s="104">
        <v>77.232050000000001</v>
      </c>
      <c r="AZ33" s="104">
        <v>78.436809999999994</v>
      </c>
      <c r="BA33" s="104">
        <v>79.892700000000005</v>
      </c>
      <c r="BB33" s="104">
        <v>81.44</v>
      </c>
      <c r="BC33" s="104">
        <v>82.97</v>
      </c>
      <c r="BD33" s="104">
        <v>84.502899999999997</v>
      </c>
      <c r="BE33" s="104">
        <v>86.612600000000015</v>
      </c>
      <c r="BF33" s="104">
        <v>88.811899999999994</v>
      </c>
      <c r="BG33" s="104">
        <v>91.021199999999993</v>
      </c>
      <c r="BH33" s="104">
        <v>93.313800000000015</v>
      </c>
      <c r="BI33" s="104">
        <v>95.609200000000001</v>
      </c>
      <c r="BJ33" s="104">
        <v>97.985299999999981</v>
      </c>
      <c r="BK33" s="104">
        <v>100.42300000000002</v>
      </c>
      <c r="BL33" s="104">
        <v>102.93100000000001</v>
      </c>
      <c r="BM33" s="104">
        <v>105.48199999999999</v>
      </c>
      <c r="BN33" s="104">
        <v>108.08199999999999</v>
      </c>
      <c r="BO33" s="104">
        <v>110.754</v>
      </c>
      <c r="BP33" s="104">
        <v>113.48600000000002</v>
      </c>
      <c r="BQ33" s="104">
        <v>116.313</v>
      </c>
      <c r="BR33" s="104">
        <v>119.20399999999999</v>
      </c>
      <c r="BS33" s="104">
        <v>122.17199999999998</v>
      </c>
      <c r="BT33" s="104">
        <v>125.208</v>
      </c>
      <c r="BU33" s="104">
        <v>128.33099999999999</v>
      </c>
    </row>
    <row r="34" spans="1:73" x14ac:dyDescent="0.3">
      <c r="A34" s="97" t="s">
        <v>426</v>
      </c>
      <c r="B34" s="97" t="s">
        <v>309</v>
      </c>
      <c r="C34" s="97" t="s">
        <v>320</v>
      </c>
      <c r="D34" s="97" t="s">
        <v>311</v>
      </c>
      <c r="E34" s="157" t="s">
        <v>321</v>
      </c>
      <c r="F34" s="97" t="s">
        <v>7</v>
      </c>
      <c r="G34" s="97" t="s">
        <v>313</v>
      </c>
      <c r="H34" s="97" t="s">
        <v>75</v>
      </c>
      <c r="I34" s="97"/>
      <c r="J34" s="97"/>
      <c r="K34" s="97"/>
      <c r="L34" s="97"/>
      <c r="M34" s="107">
        <v>9.7480451795528662</v>
      </c>
      <c r="N34" s="107">
        <v>10.056953926009987</v>
      </c>
      <c r="O34" s="107">
        <v>10.29095810800664</v>
      </c>
      <c r="P34" s="107">
        <v>10.507542623849695</v>
      </c>
      <c r="Q34" s="107">
        <v>10.703804195846889</v>
      </c>
      <c r="R34" s="107">
        <v>9.4641046212492359</v>
      </c>
      <c r="S34" s="107">
        <v>9.1342922754078</v>
      </c>
      <c r="T34" s="107">
        <v>9.148228008330678</v>
      </c>
      <c r="U34" s="107">
        <v>8.9877010262531432</v>
      </c>
      <c r="V34" s="101">
        <v>6.0078091845027641</v>
      </c>
      <c r="W34" s="101">
        <v>5.420583749455238</v>
      </c>
      <c r="X34" s="101">
        <v>7.4001130085451603</v>
      </c>
      <c r="Y34" s="108">
        <v>9.1798605551968997</v>
      </c>
      <c r="Z34" s="101">
        <v>12.971769999999999</v>
      </c>
      <c r="AA34" s="101">
        <v>11.96</v>
      </c>
      <c r="AB34" s="101">
        <v>12.17</v>
      </c>
      <c r="AC34" s="101">
        <v>12.55</v>
      </c>
      <c r="AD34" s="101">
        <v>12.8</v>
      </c>
      <c r="AE34" s="101">
        <v>13.25</v>
      </c>
      <c r="AF34" s="101">
        <v>13.395</v>
      </c>
      <c r="AG34" s="101">
        <v>13.5328</v>
      </c>
      <c r="AH34" s="101">
        <v>13.6</v>
      </c>
      <c r="AI34" s="101">
        <v>13.523</v>
      </c>
      <c r="AJ34" s="101">
        <v>13.349600000000001</v>
      </c>
      <c r="AK34" s="101">
        <v>13.198</v>
      </c>
      <c r="AL34" s="101">
        <v>12.9954</v>
      </c>
      <c r="AM34" s="101">
        <v>12.812099999999999</v>
      </c>
      <c r="AN34" s="101">
        <v>12.64578</v>
      </c>
      <c r="AO34" s="101">
        <v>12.416</v>
      </c>
      <c r="AP34" s="101">
        <v>12.208600000000001</v>
      </c>
      <c r="AQ34" s="101">
        <v>12.057</v>
      </c>
      <c r="AR34" s="101">
        <v>11.8957</v>
      </c>
      <c r="AS34" s="101">
        <v>11.761900000000001</v>
      </c>
      <c r="AT34" s="101">
        <v>11.591200000000001</v>
      </c>
      <c r="AU34" s="101">
        <v>11.486700000000001</v>
      </c>
      <c r="AV34" s="101">
        <v>11.382199999999999</v>
      </c>
      <c r="AW34" s="101">
        <v>11.3073</v>
      </c>
      <c r="AX34" s="101">
        <v>11.2249</v>
      </c>
      <c r="AY34" s="101">
        <v>11.148999999999999</v>
      </c>
      <c r="AZ34" s="101">
        <v>11.0717</v>
      </c>
      <c r="BA34" s="101">
        <v>10.9777</v>
      </c>
      <c r="BB34" s="101">
        <v>10.922700000000003</v>
      </c>
      <c r="BC34" s="101">
        <v>11.040800000000001</v>
      </c>
      <c r="BD34" s="101">
        <v>11.165800000000001</v>
      </c>
      <c r="BE34" s="101">
        <v>11.2827</v>
      </c>
      <c r="BF34" s="101">
        <v>11.4063</v>
      </c>
      <c r="BG34" s="101">
        <v>11.521699999999999</v>
      </c>
      <c r="BH34" s="101">
        <v>11.643599999999999</v>
      </c>
      <c r="BI34" s="101">
        <v>11.762</v>
      </c>
      <c r="BJ34" s="101">
        <v>11.8819</v>
      </c>
      <c r="BK34" s="101">
        <v>12.003</v>
      </c>
      <c r="BL34" s="101">
        <v>12.125299999999999</v>
      </c>
      <c r="BM34" s="101">
        <v>12.2532</v>
      </c>
      <c r="BN34" s="101">
        <v>12.3728</v>
      </c>
      <c r="BO34" s="101">
        <v>12.4979</v>
      </c>
      <c r="BP34" s="101">
        <v>12.6236</v>
      </c>
      <c r="BQ34" s="101">
        <v>12.75</v>
      </c>
      <c r="BR34" s="101">
        <v>12.872299999999999</v>
      </c>
      <c r="BS34" s="101">
        <v>12.999499999999999</v>
      </c>
      <c r="BT34" s="101">
        <v>13.1225</v>
      </c>
      <c r="BU34" s="101">
        <v>13.25</v>
      </c>
    </row>
    <row r="35" spans="1:73" x14ac:dyDescent="0.3">
      <c r="A35" s="97" t="s">
        <v>426</v>
      </c>
      <c r="B35" s="102" t="s">
        <v>309</v>
      </c>
      <c r="C35" s="102" t="s">
        <v>322</v>
      </c>
      <c r="D35" s="102" t="s">
        <v>311</v>
      </c>
      <c r="E35" s="158" t="s">
        <v>323</v>
      </c>
      <c r="F35" s="102" t="s">
        <v>7</v>
      </c>
      <c r="G35" s="102" t="s">
        <v>313</v>
      </c>
      <c r="H35" s="102" t="s">
        <v>75</v>
      </c>
      <c r="I35" s="102"/>
      <c r="J35" s="102"/>
      <c r="K35" s="102"/>
      <c r="L35" s="102"/>
      <c r="M35" s="103">
        <v>2.4648827607339703</v>
      </c>
      <c r="N35" s="103">
        <v>2.7720495405757299</v>
      </c>
      <c r="O35" s="103">
        <v>2.4033332736579278</v>
      </c>
      <c r="P35" s="103">
        <v>2.5548843691942213</v>
      </c>
      <c r="Q35" s="103">
        <v>3.6691623474859734</v>
      </c>
      <c r="R35" s="103">
        <v>4.2178818313242781</v>
      </c>
      <c r="S35" s="103">
        <v>3.4055447330282065</v>
      </c>
      <c r="T35" s="103">
        <v>3.7562606782539585</v>
      </c>
      <c r="U35" s="103">
        <v>3.7696422884028848</v>
      </c>
      <c r="V35" s="104">
        <v>2.5576737701274714</v>
      </c>
      <c r="W35" s="104">
        <v>2.1514219501267493</v>
      </c>
      <c r="X35" s="104">
        <v>2.8135056066127189</v>
      </c>
      <c r="Y35" s="105">
        <v>3.5701355713363458</v>
      </c>
      <c r="Z35" s="104">
        <v>4.9249900000000002</v>
      </c>
      <c r="AA35" s="104">
        <v>4.55</v>
      </c>
      <c r="AB35" s="104">
        <v>4.63</v>
      </c>
      <c r="AC35" s="104">
        <v>4.7699999999999996</v>
      </c>
      <c r="AD35" s="104">
        <v>4.88</v>
      </c>
      <c r="AE35" s="104">
        <v>5.0099200000000002</v>
      </c>
      <c r="AF35" s="104">
        <v>5.1100000000000003</v>
      </c>
      <c r="AG35" s="104">
        <v>5.2625000000000002</v>
      </c>
      <c r="AH35" s="104">
        <v>5.2510399999999997</v>
      </c>
      <c r="AI35" s="104">
        <v>5.2380800000000001</v>
      </c>
      <c r="AJ35" s="104">
        <v>5.2271200000000002</v>
      </c>
      <c r="AK35" s="104">
        <v>5.2191599999999996</v>
      </c>
      <c r="AL35" s="104">
        <v>5.2051999999999996</v>
      </c>
      <c r="AM35" s="104">
        <v>5.1942399999999997</v>
      </c>
      <c r="AN35" s="104">
        <v>5.1832799999999999</v>
      </c>
      <c r="AO35" s="104">
        <v>5.17232</v>
      </c>
      <c r="AP35" s="104">
        <v>5.1613600000000002</v>
      </c>
      <c r="AQ35" s="104">
        <v>5.1504000000000003</v>
      </c>
      <c r="AR35" s="104">
        <v>5.1494</v>
      </c>
      <c r="AS35" s="104">
        <v>5.1444000000000001</v>
      </c>
      <c r="AT35" s="104">
        <v>5.1390000000000002</v>
      </c>
      <c r="AU35" s="104">
        <v>5.1322000000000001</v>
      </c>
      <c r="AV35" s="104">
        <v>5.1378000000000004</v>
      </c>
      <c r="AW35" s="104">
        <v>5.1237000000000004</v>
      </c>
      <c r="AX35" s="104">
        <v>5.1093000000000002</v>
      </c>
      <c r="AY35" s="104">
        <v>5.0881999999999996</v>
      </c>
      <c r="AZ35" s="104">
        <v>5.0681000000000003</v>
      </c>
      <c r="BA35" s="104">
        <v>5.0891999999999999</v>
      </c>
      <c r="BB35" s="104">
        <v>5.1266999999999996</v>
      </c>
      <c r="BC35" s="104">
        <v>5.2257999999999996</v>
      </c>
      <c r="BD35" s="104">
        <v>5.3323999999999998</v>
      </c>
      <c r="BE35" s="104">
        <v>5.4320000000000004</v>
      </c>
      <c r="BF35" s="104">
        <v>5.5415000000000001</v>
      </c>
      <c r="BG35" s="104">
        <v>5.6489000000000011</v>
      </c>
      <c r="BH35" s="104">
        <v>5.7614000000000001</v>
      </c>
      <c r="BI35" s="104">
        <v>5.8666</v>
      </c>
      <c r="BJ35" s="104">
        <v>5.9794999999999998</v>
      </c>
      <c r="BK35" s="104">
        <v>6.0972999999999997</v>
      </c>
      <c r="BL35" s="104">
        <v>6.2184999999999997</v>
      </c>
      <c r="BM35" s="104">
        <v>6.3367000000000004</v>
      </c>
      <c r="BN35" s="104">
        <v>6.4630000000000001</v>
      </c>
      <c r="BO35" s="104">
        <v>6.5895000000000001</v>
      </c>
      <c r="BP35" s="104">
        <v>6.7161999999999997</v>
      </c>
      <c r="BQ35" s="104">
        <v>6.8476999999999997</v>
      </c>
      <c r="BR35" s="104">
        <v>6.9829999999999997</v>
      </c>
      <c r="BS35" s="104">
        <v>7.1185999999999998</v>
      </c>
      <c r="BT35" s="104">
        <v>7.2588999999999988</v>
      </c>
      <c r="BU35" s="104">
        <v>7.3994</v>
      </c>
    </row>
    <row r="36" spans="1:73" x14ac:dyDescent="0.3">
      <c r="A36" s="97" t="s">
        <v>426</v>
      </c>
      <c r="B36" s="97" t="s">
        <v>309</v>
      </c>
      <c r="C36" s="97" t="s">
        <v>324</v>
      </c>
      <c r="D36" s="97" t="s">
        <v>311</v>
      </c>
      <c r="E36" s="157" t="s">
        <v>325</v>
      </c>
      <c r="F36" s="97" t="s">
        <v>7</v>
      </c>
      <c r="G36" s="97" t="s">
        <v>313</v>
      </c>
      <c r="H36" s="97" t="s">
        <v>75</v>
      </c>
      <c r="I36" s="97"/>
      <c r="J36" s="97"/>
      <c r="K36" s="97"/>
      <c r="L36" s="97"/>
      <c r="M36" s="107">
        <v>0</v>
      </c>
      <c r="N36" s="107">
        <v>6.5033420306761847E-2</v>
      </c>
      <c r="O36" s="107">
        <v>1.2292477749054895</v>
      </c>
      <c r="P36" s="107">
        <v>1.8151292132047996</v>
      </c>
      <c r="Q36" s="107">
        <v>2.0346170067401208</v>
      </c>
      <c r="R36" s="107">
        <v>0.81001447614225697</v>
      </c>
      <c r="S36" s="107">
        <v>2.3086864208900457</v>
      </c>
      <c r="T36" s="107">
        <v>2.1112635378159474</v>
      </c>
      <c r="U36" s="107">
        <v>1.8652093691135869</v>
      </c>
      <c r="V36" s="101">
        <v>0.97446701939079161</v>
      </c>
      <c r="W36" s="101">
        <v>0.5505478849267621</v>
      </c>
      <c r="X36" s="101">
        <v>1.1284487202709705</v>
      </c>
      <c r="Y36" s="108">
        <v>1.4641704325371208</v>
      </c>
      <c r="Z36" s="101">
        <v>1.9722500000000001</v>
      </c>
      <c r="AA36" s="101">
        <v>1.82</v>
      </c>
      <c r="AB36" s="101">
        <v>1.86</v>
      </c>
      <c r="AC36" s="101">
        <v>1.91</v>
      </c>
      <c r="AD36" s="101">
        <v>1.96</v>
      </c>
      <c r="AE36" s="101">
        <v>2.0105</v>
      </c>
      <c r="AF36" s="101">
        <v>2.0449999999999999</v>
      </c>
      <c r="AG36" s="101">
        <v>2.06</v>
      </c>
      <c r="AH36" s="101">
        <v>2.0442800000000001</v>
      </c>
      <c r="AI36" s="101">
        <v>1.9991000000000001</v>
      </c>
      <c r="AJ36" s="101">
        <v>1.9595800000000001</v>
      </c>
      <c r="AK36" s="101">
        <v>1.927</v>
      </c>
      <c r="AL36" s="101">
        <v>1.8982000000000001</v>
      </c>
      <c r="AM36" s="101">
        <v>1.8724000000000001</v>
      </c>
      <c r="AN36" s="101">
        <v>1.8494999999999999</v>
      </c>
      <c r="AO36" s="101">
        <v>1.8324</v>
      </c>
      <c r="AP36" s="101">
        <v>1.8165000000000002</v>
      </c>
      <c r="AQ36" s="101">
        <v>1.8028</v>
      </c>
      <c r="AR36" s="101">
        <v>1.7869999999999999</v>
      </c>
      <c r="AS36" s="101">
        <v>1.7747000000000002</v>
      </c>
      <c r="AT36" s="101">
        <v>1.7607999999999999</v>
      </c>
      <c r="AU36" s="101">
        <v>1.7481</v>
      </c>
      <c r="AV36" s="101">
        <v>1.738</v>
      </c>
      <c r="AW36" s="101">
        <v>1.7262</v>
      </c>
      <c r="AX36" s="101">
        <v>1.7108000000000001</v>
      </c>
      <c r="AY36" s="101">
        <v>1.7014000000000002</v>
      </c>
      <c r="AZ36" s="101">
        <v>1.6880999999999999</v>
      </c>
      <c r="BA36" s="101">
        <v>1.6749000000000001</v>
      </c>
      <c r="BB36" s="101">
        <v>1.6645000000000001</v>
      </c>
      <c r="BC36" s="101">
        <v>1.6819999999999999</v>
      </c>
      <c r="BD36" s="101">
        <v>1.704</v>
      </c>
      <c r="BE36" s="101">
        <v>1.7205999999999999</v>
      </c>
      <c r="BF36" s="101">
        <v>1.7366999999999999</v>
      </c>
      <c r="BG36" s="101">
        <v>1.7572000000000001</v>
      </c>
      <c r="BH36" s="101">
        <v>1.7771999999999999</v>
      </c>
      <c r="BI36" s="101">
        <v>1.7919</v>
      </c>
      <c r="BJ36" s="101">
        <v>1.8108</v>
      </c>
      <c r="BK36" s="101">
        <v>1.8291999999999999</v>
      </c>
      <c r="BL36" s="101">
        <v>1.8471</v>
      </c>
      <c r="BM36" s="101">
        <v>1.869</v>
      </c>
      <c r="BN36" s="101">
        <v>1.8857999999999999</v>
      </c>
      <c r="BO36" s="101">
        <v>1.9066000000000001</v>
      </c>
      <c r="BP36" s="101">
        <v>1.9268000000000001</v>
      </c>
      <c r="BQ36" s="101">
        <v>1.9419000000000002</v>
      </c>
      <c r="BR36" s="101">
        <v>1.9608000000000001</v>
      </c>
      <c r="BS36" s="101">
        <v>1.9837</v>
      </c>
      <c r="BT36" s="101">
        <v>2.0013999999999998</v>
      </c>
      <c r="BU36" s="101">
        <v>2.0185</v>
      </c>
    </row>
    <row r="37" spans="1:73" x14ac:dyDescent="0.3">
      <c r="A37" s="97" t="s">
        <v>426</v>
      </c>
      <c r="B37" s="102" t="s">
        <v>309</v>
      </c>
      <c r="C37" s="102" t="s">
        <v>326</v>
      </c>
      <c r="D37" s="102" t="s">
        <v>311</v>
      </c>
      <c r="E37" s="158" t="s">
        <v>327</v>
      </c>
      <c r="F37" s="102" t="s">
        <v>7</v>
      </c>
      <c r="G37" s="102" t="s">
        <v>313</v>
      </c>
      <c r="H37" s="102" t="s">
        <v>75</v>
      </c>
      <c r="I37" s="102"/>
      <c r="J37" s="102"/>
      <c r="K37" s="102"/>
      <c r="L37" s="102"/>
      <c r="M37" s="103">
        <v>27.569524965759427</v>
      </c>
      <c r="N37" s="103">
        <v>28.78832094097276</v>
      </c>
      <c r="O37" s="103">
        <v>31.857085461698087</v>
      </c>
      <c r="P37" s="103">
        <v>35.930964719485964</v>
      </c>
      <c r="Q37" s="103">
        <v>37.977775492533603</v>
      </c>
      <c r="R37" s="103">
        <v>33.522405545981954</v>
      </c>
      <c r="S37" s="103">
        <v>22.441755905678942</v>
      </c>
      <c r="T37" s="103">
        <v>21.529546054768918</v>
      </c>
      <c r="U37" s="103">
        <v>25.5848234317269</v>
      </c>
      <c r="V37" s="104">
        <v>22.023940567740599</v>
      </c>
      <c r="W37" s="104">
        <v>21.491393792287099</v>
      </c>
      <c r="X37" s="104">
        <v>20.510462487417801</v>
      </c>
      <c r="Y37" s="105">
        <v>28.440348612007746</v>
      </c>
      <c r="Z37" s="104">
        <v>21.75</v>
      </c>
      <c r="AA37" s="104">
        <v>22.61</v>
      </c>
      <c r="AB37" s="104">
        <v>22.99</v>
      </c>
      <c r="AC37" s="104">
        <v>23.72</v>
      </c>
      <c r="AD37" s="104">
        <v>24.24</v>
      </c>
      <c r="AE37" s="104">
        <v>24.8</v>
      </c>
      <c r="AF37" s="104">
        <v>25.395</v>
      </c>
      <c r="AG37" s="104">
        <v>26.1</v>
      </c>
      <c r="AH37" s="104">
        <v>25.951720000000002</v>
      </c>
      <c r="AI37" s="104">
        <v>25.434999999999999</v>
      </c>
      <c r="AJ37" s="104">
        <v>24.398700000000002</v>
      </c>
      <c r="AK37" s="104">
        <v>23.2807</v>
      </c>
      <c r="AL37" s="104">
        <v>22.212900000000001</v>
      </c>
      <c r="AM37" s="104">
        <v>21.547000000000001</v>
      </c>
      <c r="AN37" s="104">
        <v>20.90118</v>
      </c>
      <c r="AO37" s="104">
        <v>20.379799999999999</v>
      </c>
      <c r="AP37" s="104">
        <v>19.988</v>
      </c>
      <c r="AQ37" s="104">
        <v>19.6997</v>
      </c>
      <c r="AR37" s="104">
        <v>19.4133</v>
      </c>
      <c r="AS37" s="104">
        <v>19.136000000000003</v>
      </c>
      <c r="AT37" s="104">
        <v>18.844899999999999</v>
      </c>
      <c r="AU37" s="104">
        <v>18.563600000000001</v>
      </c>
      <c r="AV37" s="104">
        <v>18.263100000000001</v>
      </c>
      <c r="AW37" s="104">
        <v>18.014330000000001</v>
      </c>
      <c r="AX37" s="104">
        <v>17.763000000000002</v>
      </c>
      <c r="AY37" s="104">
        <v>17.531700000000001</v>
      </c>
      <c r="AZ37" s="104">
        <v>17.338200000000001</v>
      </c>
      <c r="BA37" s="104">
        <v>17.090199999999999</v>
      </c>
      <c r="BB37" s="104">
        <v>16.8704</v>
      </c>
      <c r="BC37" s="104">
        <v>16.6892</v>
      </c>
      <c r="BD37" s="104">
        <v>16.609200000000001</v>
      </c>
      <c r="BE37" s="104">
        <v>16.610399999999998</v>
      </c>
      <c r="BF37" s="104">
        <v>16.616</v>
      </c>
      <c r="BG37" s="104">
        <v>16.610299999999999</v>
      </c>
      <c r="BH37" s="104">
        <v>16.6006</v>
      </c>
      <c r="BI37" s="104">
        <v>16.5793</v>
      </c>
      <c r="BJ37" s="104">
        <v>16.5535</v>
      </c>
      <c r="BK37" s="104">
        <v>16.522600000000001</v>
      </c>
      <c r="BL37" s="104">
        <v>16.4864</v>
      </c>
      <c r="BM37" s="104">
        <v>16.447600000000001</v>
      </c>
      <c r="BN37" s="104">
        <v>16.396000000000001</v>
      </c>
      <c r="BO37" s="104">
        <v>16.337800000000001</v>
      </c>
      <c r="BP37" s="104">
        <v>16.2727</v>
      </c>
      <c r="BQ37" s="104">
        <v>16.197299999999998</v>
      </c>
      <c r="BR37" s="104">
        <v>16.117100000000001</v>
      </c>
      <c r="BS37" s="104">
        <v>16.0258</v>
      </c>
      <c r="BT37" s="104">
        <v>15.926200000000001</v>
      </c>
      <c r="BU37" s="104">
        <v>15.817500000000001</v>
      </c>
    </row>
    <row r="38" spans="1:73" x14ac:dyDescent="0.3">
      <c r="A38" s="97" t="s">
        <v>426</v>
      </c>
      <c r="B38" s="97" t="s">
        <v>309</v>
      </c>
      <c r="C38" s="97" t="s">
        <v>328</v>
      </c>
      <c r="D38" s="97" t="s">
        <v>311</v>
      </c>
      <c r="E38" s="157" t="s">
        <v>329</v>
      </c>
      <c r="F38" s="97" t="s">
        <v>7</v>
      </c>
      <c r="G38" s="97" t="s">
        <v>313</v>
      </c>
      <c r="H38" s="97" t="s">
        <v>75</v>
      </c>
      <c r="I38" s="97"/>
      <c r="J38" s="97"/>
      <c r="K38" s="97"/>
      <c r="L38" s="97"/>
      <c r="M38" s="107">
        <v>1.0451799692158195E-2</v>
      </c>
      <c r="N38" s="107">
        <v>1.3935732922877591E-2</v>
      </c>
      <c r="O38" s="107">
        <v>1.9161632768956688E-2</v>
      </c>
      <c r="P38" s="107">
        <v>2.0322943845863157E-2</v>
      </c>
      <c r="Q38" s="107">
        <v>2.1484254922769622E-2</v>
      </c>
      <c r="R38" s="107">
        <v>2.1484254922769622E-2</v>
      </c>
      <c r="S38" s="107">
        <v>2.090359938431639E-2</v>
      </c>
      <c r="T38" s="107">
        <v>2.4387532615035786E-2</v>
      </c>
      <c r="U38" s="107">
        <v>3.077474353802135E-2</v>
      </c>
      <c r="V38" s="101">
        <v>3.4839332307193978E-3</v>
      </c>
      <c r="W38" s="101">
        <v>9.8711441537049603E-3</v>
      </c>
      <c r="X38" s="101">
        <v>1.9742288307409921E-2</v>
      </c>
      <c r="Y38" s="108">
        <v>0.02</v>
      </c>
      <c r="Z38" s="101">
        <v>0.02</v>
      </c>
      <c r="AA38" s="101">
        <v>0.02</v>
      </c>
      <c r="AB38" s="101">
        <v>0.02</v>
      </c>
      <c r="AC38" s="101">
        <v>0.02</v>
      </c>
      <c r="AD38" s="101">
        <v>0.02</v>
      </c>
      <c r="AE38" s="101">
        <v>0.02</v>
      </c>
      <c r="AF38" s="101">
        <v>0.02</v>
      </c>
      <c r="AG38" s="101">
        <v>0.03</v>
      </c>
      <c r="AH38" s="101">
        <v>0.03</v>
      </c>
      <c r="AI38" s="101">
        <v>0.03</v>
      </c>
      <c r="AJ38" s="101">
        <v>0.03</v>
      </c>
      <c r="AK38" s="101">
        <v>0.03</v>
      </c>
      <c r="AL38" s="101">
        <v>0.03</v>
      </c>
      <c r="AM38" s="101">
        <v>0.03</v>
      </c>
      <c r="AN38" s="101">
        <v>0.03</v>
      </c>
      <c r="AO38" s="101">
        <v>0.03</v>
      </c>
      <c r="AP38" s="101">
        <v>0.03</v>
      </c>
      <c r="AQ38" s="101">
        <v>0.03</v>
      </c>
      <c r="AR38" s="101">
        <v>0.03</v>
      </c>
      <c r="AS38" s="101">
        <v>0.03</v>
      </c>
      <c r="AT38" s="101">
        <v>0.03</v>
      </c>
      <c r="AU38" s="101">
        <v>0.04</v>
      </c>
      <c r="AV38" s="101">
        <v>0.04</v>
      </c>
      <c r="AW38" s="101">
        <v>0.04</v>
      </c>
      <c r="AX38" s="101">
        <v>0.04</v>
      </c>
      <c r="AY38" s="101">
        <v>0.04</v>
      </c>
      <c r="AZ38" s="101">
        <v>0.04</v>
      </c>
      <c r="BA38" s="101">
        <v>0.04</v>
      </c>
      <c r="BB38" s="101">
        <v>0.04</v>
      </c>
      <c r="BC38" s="101">
        <v>0.04</v>
      </c>
      <c r="BD38" s="101">
        <v>0.04</v>
      </c>
      <c r="BE38" s="101">
        <v>0.04</v>
      </c>
      <c r="BF38" s="101">
        <v>0.04</v>
      </c>
      <c r="BG38" s="101">
        <v>0.04</v>
      </c>
      <c r="BH38" s="101">
        <v>0.04</v>
      </c>
      <c r="BI38" s="101">
        <v>0.05</v>
      </c>
      <c r="BJ38" s="101">
        <v>0.05</v>
      </c>
      <c r="BK38" s="101">
        <v>0.05</v>
      </c>
      <c r="BL38" s="101">
        <v>0.05</v>
      </c>
      <c r="BM38" s="101">
        <v>0.05</v>
      </c>
      <c r="BN38" s="101">
        <v>0.05</v>
      </c>
      <c r="BO38" s="101">
        <v>0.05</v>
      </c>
      <c r="BP38" s="101">
        <v>0.05</v>
      </c>
      <c r="BQ38" s="101">
        <v>0.05</v>
      </c>
      <c r="BR38" s="101">
        <v>0.05</v>
      </c>
      <c r="BS38" s="101">
        <v>0.05</v>
      </c>
      <c r="BT38" s="101">
        <v>0.05</v>
      </c>
      <c r="BU38" s="101">
        <v>0.05</v>
      </c>
    </row>
    <row r="39" spans="1:73" x14ac:dyDescent="0.3">
      <c r="A39" s="97" t="s">
        <v>426</v>
      </c>
      <c r="B39" s="102" t="s">
        <v>309</v>
      </c>
      <c r="C39" s="102" t="s">
        <v>330</v>
      </c>
      <c r="D39" s="102" t="s">
        <v>311</v>
      </c>
      <c r="E39" s="158" t="s">
        <v>331</v>
      </c>
      <c r="F39" s="102" t="s">
        <v>7</v>
      </c>
      <c r="G39" s="102" t="s">
        <v>313</v>
      </c>
      <c r="H39" s="102" t="s">
        <v>75</v>
      </c>
      <c r="I39" s="102"/>
      <c r="J39" s="102"/>
      <c r="K39" s="102"/>
      <c r="L39" s="102"/>
      <c r="M39" s="103">
        <v>5.2665457337708235</v>
      </c>
      <c r="N39" s="103">
        <v>6.1195287197586232</v>
      </c>
      <c r="O39" s="103">
        <v>6.4319213994464626</v>
      </c>
      <c r="P39" s="103">
        <v>6.2153368836034071</v>
      </c>
      <c r="Q39" s="103">
        <v>8.1692427704985366</v>
      </c>
      <c r="R39" s="103">
        <v>8.5472495260315906</v>
      </c>
      <c r="S39" s="103">
        <v>8.7220268431060131</v>
      </c>
      <c r="T39" s="103">
        <v>9.8937897197046372</v>
      </c>
      <c r="U39" s="103">
        <v>8.214677905071424</v>
      </c>
      <c r="V39" s="104">
        <v>8.9578359928439468</v>
      </c>
      <c r="W39" s="104">
        <v>9.0914695681679749</v>
      </c>
      <c r="X39" s="104">
        <v>7.6698878333929388</v>
      </c>
      <c r="Y39" s="105">
        <v>5.5353776630083926</v>
      </c>
      <c r="Z39" s="104">
        <v>7.67</v>
      </c>
      <c r="AA39" s="104">
        <v>7.67</v>
      </c>
      <c r="AB39" s="104">
        <v>7.67</v>
      </c>
      <c r="AC39" s="104">
        <v>7.67</v>
      </c>
      <c r="AD39" s="104">
        <v>7.67</v>
      </c>
      <c r="AE39" s="104">
        <v>7.67</v>
      </c>
      <c r="AF39" s="104">
        <v>7.67</v>
      </c>
      <c r="AG39" s="104">
        <v>7.67</v>
      </c>
      <c r="AH39" s="104">
        <v>7.67</v>
      </c>
      <c r="AI39" s="104">
        <v>7.67</v>
      </c>
      <c r="AJ39" s="104">
        <v>7.67</v>
      </c>
      <c r="AK39" s="104">
        <v>7.67</v>
      </c>
      <c r="AL39" s="104">
        <v>7.67</v>
      </c>
      <c r="AM39" s="104">
        <v>7.67</v>
      </c>
      <c r="AN39" s="104">
        <v>7.67</v>
      </c>
      <c r="AO39" s="104">
        <v>7.67</v>
      </c>
      <c r="AP39" s="104">
        <v>7.67</v>
      </c>
      <c r="AQ39" s="104">
        <v>7.67</v>
      </c>
      <c r="AR39" s="104">
        <v>7.67</v>
      </c>
      <c r="AS39" s="104">
        <v>7.67</v>
      </c>
      <c r="AT39" s="104">
        <v>7.67</v>
      </c>
      <c r="AU39" s="104">
        <v>7.67</v>
      </c>
      <c r="AV39" s="104">
        <v>7.67</v>
      </c>
      <c r="AW39" s="104">
        <v>7.67</v>
      </c>
      <c r="AX39" s="104">
        <v>7.67</v>
      </c>
      <c r="AY39" s="104">
        <v>7.67</v>
      </c>
      <c r="AZ39" s="104">
        <v>7.67</v>
      </c>
      <c r="BA39" s="104">
        <v>7.67</v>
      </c>
      <c r="BB39" s="104">
        <v>7.67</v>
      </c>
      <c r="BC39" s="104">
        <v>7.67</v>
      </c>
      <c r="BD39" s="104">
        <v>7.67</v>
      </c>
      <c r="BE39" s="104">
        <v>7.67</v>
      </c>
      <c r="BF39" s="104">
        <v>7.67</v>
      </c>
      <c r="BG39" s="104">
        <v>7.67</v>
      </c>
      <c r="BH39" s="104">
        <v>7.67</v>
      </c>
      <c r="BI39" s="104">
        <v>7.67</v>
      </c>
      <c r="BJ39" s="104">
        <v>7.67</v>
      </c>
      <c r="BK39" s="104">
        <v>7.67</v>
      </c>
      <c r="BL39" s="104">
        <v>7.67</v>
      </c>
      <c r="BM39" s="104">
        <v>7.67</v>
      </c>
      <c r="BN39" s="104">
        <v>7.67</v>
      </c>
      <c r="BO39" s="104">
        <v>7.67</v>
      </c>
      <c r="BP39" s="104">
        <v>7.67</v>
      </c>
      <c r="BQ39" s="104">
        <v>7.67</v>
      </c>
      <c r="BR39" s="104">
        <v>7.67</v>
      </c>
      <c r="BS39" s="104">
        <v>7.67</v>
      </c>
      <c r="BT39" s="104">
        <v>7.67</v>
      </c>
      <c r="BU39" s="104">
        <v>7.67</v>
      </c>
    </row>
    <row r="40" spans="1:73" x14ac:dyDescent="0.3">
      <c r="A40" s="97" t="s">
        <v>426</v>
      </c>
      <c r="B40" s="97" t="s">
        <v>309</v>
      </c>
      <c r="C40" s="97" t="s">
        <v>332</v>
      </c>
      <c r="D40" s="97" t="s">
        <v>311</v>
      </c>
      <c r="E40" s="157" t="s">
        <v>333</v>
      </c>
      <c r="F40" s="97" t="s">
        <v>7</v>
      </c>
      <c r="G40" s="97" t="s">
        <v>313</v>
      </c>
      <c r="H40" s="97" t="s">
        <v>75</v>
      </c>
      <c r="I40" s="97"/>
      <c r="J40" s="97"/>
      <c r="K40" s="97"/>
      <c r="L40" s="97"/>
      <c r="M40" s="107">
        <v>0</v>
      </c>
      <c r="N40" s="107">
        <v>0</v>
      </c>
      <c r="O40" s="107">
        <v>0</v>
      </c>
      <c r="P40" s="107">
        <v>0</v>
      </c>
      <c r="Q40" s="107">
        <v>0</v>
      </c>
      <c r="R40" s="107">
        <v>0</v>
      </c>
      <c r="S40" s="107">
        <v>0</v>
      </c>
      <c r="T40" s="107">
        <v>0</v>
      </c>
      <c r="U40" s="107">
        <v>0</v>
      </c>
      <c r="V40" s="101">
        <v>0</v>
      </c>
      <c r="W40" s="101">
        <v>0</v>
      </c>
      <c r="X40" s="101">
        <v>0</v>
      </c>
      <c r="Y40" s="108">
        <v>0</v>
      </c>
      <c r="Z40" s="101">
        <v>0</v>
      </c>
      <c r="AA40" s="101">
        <v>0</v>
      </c>
      <c r="AB40" s="101">
        <v>0</v>
      </c>
      <c r="AC40" s="101">
        <v>0</v>
      </c>
      <c r="AD40" s="101">
        <v>0</v>
      </c>
      <c r="AE40" s="101">
        <v>4.3080000000000002E-3</v>
      </c>
      <c r="AF40" s="101">
        <v>8.6160000000000004E-3</v>
      </c>
      <c r="AG40" s="101">
        <v>1.2924000000000001E-2</v>
      </c>
      <c r="AH40" s="101">
        <v>1.7232000000000001E-2</v>
      </c>
      <c r="AI40" s="101">
        <v>2.154E-2</v>
      </c>
      <c r="AJ40" s="101">
        <v>2.154E-2</v>
      </c>
      <c r="AK40" s="101">
        <v>2.154E-2</v>
      </c>
      <c r="AL40" s="101">
        <v>2.154E-2</v>
      </c>
      <c r="AM40" s="101">
        <v>2.154E-2</v>
      </c>
      <c r="AN40" s="101">
        <v>2.8892000000000001E-2</v>
      </c>
      <c r="AO40" s="101">
        <v>3.6243999999999998E-2</v>
      </c>
      <c r="AP40" s="101">
        <v>4.3595999999999996E-2</v>
      </c>
      <c r="AQ40" s="101">
        <v>5.0947999999999993E-2</v>
      </c>
      <c r="AR40" s="101">
        <v>5.8299999999999998E-2</v>
      </c>
      <c r="AS40" s="101">
        <v>5.8299999999999998E-2</v>
      </c>
      <c r="AT40" s="101">
        <v>5.8299999999999998E-2</v>
      </c>
      <c r="AU40" s="101">
        <v>5.8299999999999998E-2</v>
      </c>
      <c r="AV40" s="101">
        <v>5.8299999999999998E-2</v>
      </c>
      <c r="AW40" s="101">
        <v>6.8599999999999994E-2</v>
      </c>
      <c r="AX40" s="101">
        <v>7.8899999999999998E-2</v>
      </c>
      <c r="AY40" s="101">
        <v>8.9200000000000002E-2</v>
      </c>
      <c r="AZ40" s="101">
        <v>9.9500000000000005E-2</v>
      </c>
      <c r="BA40" s="101">
        <v>0.10979999999999999</v>
      </c>
      <c r="BB40" s="101">
        <v>0.10979999999999999</v>
      </c>
      <c r="BC40" s="101">
        <v>0.10979999999999999</v>
      </c>
      <c r="BD40" s="101">
        <v>0.10979999999999999</v>
      </c>
      <c r="BE40" s="101">
        <v>0.10979999999999999</v>
      </c>
      <c r="BF40" s="101">
        <v>0.10979999999999999</v>
      </c>
      <c r="BG40" s="101">
        <v>0.10979999999999999</v>
      </c>
      <c r="BH40" s="101">
        <v>0.10979999999999999</v>
      </c>
      <c r="BI40" s="101">
        <v>0.10979999999999999</v>
      </c>
      <c r="BJ40" s="101">
        <v>0.10979999999999999</v>
      </c>
      <c r="BK40" s="101">
        <v>0.10979999999999999</v>
      </c>
      <c r="BL40" s="101">
        <v>0.10979999999999999</v>
      </c>
      <c r="BM40" s="101">
        <v>0.10979999999999999</v>
      </c>
      <c r="BN40" s="101">
        <v>0.10979999999999999</v>
      </c>
      <c r="BO40" s="101">
        <v>0.10979999999999999</v>
      </c>
      <c r="BP40" s="101">
        <v>0.10979999999999999</v>
      </c>
      <c r="BQ40" s="101">
        <v>0.10979999999999999</v>
      </c>
      <c r="BR40" s="101">
        <v>0.10979999999999999</v>
      </c>
      <c r="BS40" s="101">
        <v>0.10979999999999999</v>
      </c>
      <c r="BT40" s="101">
        <v>0.10979999999999999</v>
      </c>
      <c r="BU40" s="101">
        <v>0.10979999999999999</v>
      </c>
    </row>
    <row r="41" spans="1:73" x14ac:dyDescent="0.3">
      <c r="A41" s="97" t="s">
        <v>426</v>
      </c>
      <c r="B41" s="102" t="s">
        <v>309</v>
      </c>
      <c r="C41" s="102" t="s">
        <v>334</v>
      </c>
      <c r="D41" s="102" t="s">
        <v>311</v>
      </c>
      <c r="E41" s="158" t="s">
        <v>335</v>
      </c>
      <c r="F41" s="102" t="s">
        <v>7</v>
      </c>
      <c r="G41" s="102" t="s">
        <v>313</v>
      </c>
      <c r="H41" s="102" t="s">
        <v>75</v>
      </c>
      <c r="I41" s="102"/>
      <c r="J41" s="102"/>
      <c r="K41" s="102"/>
      <c r="L41" s="102"/>
      <c r="M41" s="103">
        <v>2.0379768422691602</v>
      </c>
      <c r="N41" s="103">
        <v>2.0379768422691602</v>
      </c>
      <c r="O41" s="103">
        <v>2.0379768422691602</v>
      </c>
      <c r="P41" s="103">
        <v>2.0379768422691602</v>
      </c>
      <c r="Q41" s="103">
        <v>2.0379768422691602</v>
      </c>
      <c r="R41" s="103">
        <v>2.0379768422691602</v>
      </c>
      <c r="S41" s="103">
        <v>2.0379768422691602</v>
      </c>
      <c r="T41" s="103">
        <v>2.0379768422691602</v>
      </c>
      <c r="U41" s="103">
        <v>2.0379768422691602</v>
      </c>
      <c r="V41" s="104">
        <v>2.0787363758628801</v>
      </c>
      <c r="W41" s="104">
        <v>2.1203111033801298</v>
      </c>
      <c r="X41" s="104">
        <v>2.1627173296284599</v>
      </c>
      <c r="Y41" s="105">
        <v>2.2072950290510005</v>
      </c>
      <c r="Z41" s="104">
        <v>2.29</v>
      </c>
      <c r="AA41" s="104">
        <v>2.38</v>
      </c>
      <c r="AB41" s="104">
        <v>2.42</v>
      </c>
      <c r="AC41" s="104">
        <v>2.5</v>
      </c>
      <c r="AD41" s="104">
        <v>2.56</v>
      </c>
      <c r="AE41" s="104">
        <v>2.59</v>
      </c>
      <c r="AF41" s="104">
        <v>2.6324000000000001</v>
      </c>
      <c r="AG41" s="104">
        <v>2.65</v>
      </c>
      <c r="AH41" s="104">
        <v>2.6182400000000001</v>
      </c>
      <c r="AI41" s="104">
        <v>2.5611000000000002</v>
      </c>
      <c r="AJ41" s="104">
        <v>2.4906000000000001</v>
      </c>
      <c r="AK41" s="104">
        <v>2.3925299999999998</v>
      </c>
      <c r="AL41" s="104">
        <v>2.31853</v>
      </c>
      <c r="AM41" s="104">
        <v>2.2479</v>
      </c>
      <c r="AN41" s="104">
        <v>2.173</v>
      </c>
      <c r="AO41" s="104">
        <v>2.1225999999999998</v>
      </c>
      <c r="AP41" s="104">
        <v>2.0569000000000002</v>
      </c>
      <c r="AQ41" s="104">
        <v>2.0150999999999999</v>
      </c>
      <c r="AR41" s="104">
        <v>1.9656</v>
      </c>
      <c r="AS41" s="104">
        <v>1.9452</v>
      </c>
      <c r="AT41" s="104">
        <v>1.9020999999999999</v>
      </c>
      <c r="AU41" s="104">
        <v>1.8731</v>
      </c>
      <c r="AV41" s="104">
        <v>1.8498000000000001</v>
      </c>
      <c r="AW41" s="104">
        <v>1.8216000000000001</v>
      </c>
      <c r="AX41" s="104">
        <v>1.7948</v>
      </c>
      <c r="AY41" s="104">
        <v>1.7758</v>
      </c>
      <c r="AZ41" s="104">
        <v>1.7466999999999999</v>
      </c>
      <c r="BA41" s="104">
        <v>1.7249000000000001</v>
      </c>
      <c r="BB41" s="104">
        <v>1.6891</v>
      </c>
      <c r="BC41" s="104">
        <v>1.6737</v>
      </c>
      <c r="BD41" s="104">
        <v>1.6496999999999999</v>
      </c>
      <c r="BE41" s="104">
        <v>1.6305000000000001</v>
      </c>
      <c r="BF41" s="104">
        <v>1.6039000000000001</v>
      </c>
      <c r="BG41" s="104">
        <v>1.5814999999999999</v>
      </c>
      <c r="BH41" s="104">
        <v>1.5615000000000001</v>
      </c>
      <c r="BI41" s="104">
        <v>1.5467</v>
      </c>
      <c r="BJ41" s="104">
        <v>1.5337000000000001</v>
      </c>
      <c r="BK41" s="104">
        <v>1.5192000000000001</v>
      </c>
      <c r="BL41" s="104">
        <v>1.5006200000000001</v>
      </c>
      <c r="BM41" s="104">
        <v>1.48386</v>
      </c>
      <c r="BN41" s="104">
        <v>1.4722999999999999</v>
      </c>
      <c r="BO41" s="104">
        <v>1.4612000000000001</v>
      </c>
      <c r="BP41" s="104">
        <v>1.4444999999999999</v>
      </c>
      <c r="BQ41" s="104">
        <v>1.4313100000000001</v>
      </c>
      <c r="BR41" s="104">
        <v>1.4125000000000001</v>
      </c>
      <c r="BS41" s="104">
        <v>1.3950100000000001</v>
      </c>
      <c r="BT41" s="104">
        <v>1.3805700000000001</v>
      </c>
      <c r="BU41" s="104">
        <v>1.3594999999999999</v>
      </c>
    </row>
    <row r="42" spans="1:73" x14ac:dyDescent="0.3">
      <c r="A42" s="97" t="s">
        <v>426</v>
      </c>
      <c r="B42" s="97" t="s">
        <v>309</v>
      </c>
      <c r="C42" s="97" t="s">
        <v>336</v>
      </c>
      <c r="D42" s="97" t="s">
        <v>311</v>
      </c>
      <c r="E42" s="157" t="s">
        <v>337</v>
      </c>
      <c r="F42" s="97" t="s">
        <v>7</v>
      </c>
      <c r="G42" s="97" t="s">
        <v>313</v>
      </c>
      <c r="H42" s="97" t="s">
        <v>75</v>
      </c>
      <c r="I42" s="97"/>
      <c r="J42" s="97"/>
      <c r="K42" s="97"/>
      <c r="L42" s="97"/>
      <c r="M42" s="106">
        <v>1.2489900632128987</v>
      </c>
      <c r="N42" s="106">
        <v>1.6467391070533617</v>
      </c>
      <c r="O42" s="106">
        <v>1.703643349821778</v>
      </c>
      <c r="P42" s="106">
        <v>2.2419110339679231</v>
      </c>
      <c r="Q42" s="106">
        <v>2.0839727275086437</v>
      </c>
      <c r="R42" s="106">
        <v>2.1385543481232481</v>
      </c>
      <c r="S42" s="106">
        <v>1.338411016134696</v>
      </c>
      <c r="T42" s="106">
        <v>1.4371224576717452</v>
      </c>
      <c r="U42" s="107">
        <v>1.9124761142264823</v>
      </c>
      <c r="V42" s="101">
        <v>1.1428636504498049</v>
      </c>
      <c r="W42" s="101">
        <v>1.1594384627949526</v>
      </c>
      <c r="X42" s="101">
        <v>1.5398457063895263</v>
      </c>
      <c r="Y42" s="108">
        <v>2.3094848289218848</v>
      </c>
      <c r="Z42" s="101">
        <v>2.78078234</v>
      </c>
      <c r="AA42" s="101">
        <v>2.5505100000000001</v>
      </c>
      <c r="AB42" s="101">
        <v>2.6270500000000001</v>
      </c>
      <c r="AC42" s="101">
        <v>2.7078875</v>
      </c>
      <c r="AD42" s="101">
        <v>2.7961825</v>
      </c>
      <c r="AE42" s="101">
        <v>3.0364059289716829</v>
      </c>
      <c r="AF42" s="101">
        <v>3.3031612104242507</v>
      </c>
      <c r="AG42" s="101">
        <v>3.5583286162977417</v>
      </c>
      <c r="AH42" s="101">
        <v>3.7221268370509173</v>
      </c>
      <c r="AI42" s="101">
        <v>3.8054983411850669</v>
      </c>
      <c r="AJ42" s="101">
        <v>3.8859992687994365</v>
      </c>
      <c r="AK42" s="101">
        <v>4.0491104108920064</v>
      </c>
      <c r="AL42" s="101">
        <v>4.1437988355298652</v>
      </c>
      <c r="AM42" s="101">
        <v>4.2768780523397476</v>
      </c>
      <c r="AN42" s="101">
        <v>4.4375074441604188</v>
      </c>
      <c r="AO42" s="101">
        <v>4.5997283777128883</v>
      </c>
      <c r="AP42" s="101">
        <v>4.7666416146113129</v>
      </c>
      <c r="AQ42" s="101">
        <v>4.9354563155481959</v>
      </c>
      <c r="AR42" s="101">
        <v>5.0755033575683033</v>
      </c>
      <c r="AS42" s="101">
        <v>5.2415608955001751</v>
      </c>
      <c r="AT42" s="101">
        <v>5.4011483671283331</v>
      </c>
      <c r="AU42" s="101">
        <v>5.5610833156429846</v>
      </c>
      <c r="AV42" s="101">
        <v>5.726276353850599</v>
      </c>
      <c r="AW42" s="101">
        <v>5.8972028799855947</v>
      </c>
      <c r="AX42" s="101">
        <v>6.0645059123600582</v>
      </c>
      <c r="AY42" s="101">
        <v>6.2241733244025141</v>
      </c>
      <c r="AZ42" s="101">
        <v>6.4138775825445729</v>
      </c>
      <c r="BA42" s="101">
        <v>6.6359031309366712</v>
      </c>
      <c r="BB42" s="101">
        <v>6.8929822575711208</v>
      </c>
      <c r="BC42" s="101">
        <v>7.1719959258872104</v>
      </c>
      <c r="BD42" s="101">
        <v>7.4865412765710868</v>
      </c>
      <c r="BE42" s="101">
        <v>7.7964147071629553</v>
      </c>
      <c r="BF42" s="101">
        <v>8.1296863303224125</v>
      </c>
      <c r="BG42" s="101">
        <v>8.4599974384470862</v>
      </c>
      <c r="BH42" s="101">
        <v>8.8117626097552506</v>
      </c>
      <c r="BI42" s="101">
        <v>9.1623536776749877</v>
      </c>
      <c r="BJ42" s="101">
        <v>9.5331455204491338</v>
      </c>
      <c r="BK42" s="101">
        <v>9.9090565580605201</v>
      </c>
      <c r="BL42" s="101">
        <v>10.305008248434076</v>
      </c>
      <c r="BM42" s="101">
        <v>10.708514014911634</v>
      </c>
      <c r="BN42" s="101">
        <v>11.121818890490401</v>
      </c>
      <c r="BO42" s="101">
        <v>11.548451417400102</v>
      </c>
      <c r="BP42" s="101">
        <v>11.986385873318952</v>
      </c>
      <c r="BQ42" s="101">
        <v>12.438077934367488</v>
      </c>
      <c r="BR42" s="101">
        <v>12.902655034564193</v>
      </c>
      <c r="BS42" s="101">
        <v>13.382825617172937</v>
      </c>
      <c r="BT42" s="101">
        <v>13.873904774518884</v>
      </c>
      <c r="BU42" s="101">
        <v>14.381040000000022</v>
      </c>
    </row>
    <row r="43" spans="1:73" x14ac:dyDescent="0.3">
      <c r="A43" s="97" t="s">
        <v>426</v>
      </c>
      <c r="B43" s="102" t="s">
        <v>309</v>
      </c>
      <c r="C43" s="102" t="s">
        <v>338</v>
      </c>
      <c r="D43" s="102" t="s">
        <v>311</v>
      </c>
      <c r="E43" s="158" t="s">
        <v>339</v>
      </c>
      <c r="F43" s="102" t="s">
        <v>7</v>
      </c>
      <c r="G43" s="102" t="s">
        <v>313</v>
      </c>
      <c r="H43" s="102" t="s">
        <v>75</v>
      </c>
      <c r="I43" s="102"/>
      <c r="J43" s="102"/>
      <c r="K43" s="102"/>
      <c r="L43" s="102"/>
      <c r="M43" s="103">
        <v>1.0422766915235497</v>
      </c>
      <c r="N43" s="103">
        <v>0.8222082424497752</v>
      </c>
      <c r="O43" s="103">
        <v>1.3111202058273959</v>
      </c>
      <c r="P43" s="103">
        <v>0.96911409367844259</v>
      </c>
      <c r="Q43" s="103">
        <v>0.90872591767930655</v>
      </c>
      <c r="R43" s="103">
        <v>1.013243914600888</v>
      </c>
      <c r="S43" s="103">
        <v>0.71652893445128718</v>
      </c>
      <c r="T43" s="103">
        <v>2.4695280050415915</v>
      </c>
      <c r="U43" s="103">
        <v>1.3000275877151339</v>
      </c>
      <c r="V43" s="104">
        <v>0.64812103574863489</v>
      </c>
      <c r="W43" s="104">
        <v>0.93269912724526927</v>
      </c>
      <c r="X43" s="104">
        <v>1.2496409046290355</v>
      </c>
      <c r="Y43" s="105">
        <v>2.0927876049063912</v>
      </c>
      <c r="Z43" s="104">
        <v>2.2568174999999999</v>
      </c>
      <c r="AA43" s="104">
        <v>2.0700000000000003</v>
      </c>
      <c r="AB43" s="104">
        <v>2.1325000000000003</v>
      </c>
      <c r="AC43" s="104">
        <v>2.1974999999999998</v>
      </c>
      <c r="AD43" s="104">
        <v>2.2675000000000001</v>
      </c>
      <c r="AE43" s="104">
        <v>2.3398949317882765</v>
      </c>
      <c r="AF43" s="104">
        <v>2.424675794762837</v>
      </c>
      <c r="AG43" s="104">
        <v>2.4934236589696059</v>
      </c>
      <c r="AH43" s="104">
        <v>2.4947348064544728</v>
      </c>
      <c r="AI43" s="104">
        <v>2.4440696703007667</v>
      </c>
      <c r="AJ43" s="104">
        <v>2.3955009206006728</v>
      </c>
      <c r="AK43" s="104">
        <v>2.399451438689097</v>
      </c>
      <c r="AL43" s="104">
        <v>2.3638908605067934</v>
      </c>
      <c r="AM43" s="104">
        <v>2.3518281571651536</v>
      </c>
      <c r="AN43" s="104">
        <v>2.3550587411632344</v>
      </c>
      <c r="AO43" s="104">
        <v>2.3587239443432284</v>
      </c>
      <c r="AP43" s="104">
        <v>2.3643179706398647</v>
      </c>
      <c r="AQ43" s="104">
        <v>2.3703155415704966</v>
      </c>
      <c r="AR43" s="104">
        <v>2.3624027884025454</v>
      </c>
      <c r="AS43" s="104">
        <v>2.3665613891355832</v>
      </c>
      <c r="AT43" s="104">
        <v>2.3674989536770394</v>
      </c>
      <c r="AU43" s="104">
        <v>2.3683921871142211</v>
      </c>
      <c r="AV43" s="104">
        <v>2.3712776939725106</v>
      </c>
      <c r="AW43" s="104">
        <v>2.3761852437357875</v>
      </c>
      <c r="AX43" s="104">
        <v>2.3792832857363271</v>
      </c>
      <c r="AY43" s="104">
        <v>2.3791765069078665</v>
      </c>
      <c r="AZ43" s="104">
        <v>2.3901441120180844</v>
      </c>
      <c r="BA43" s="104">
        <v>2.4122008956119392</v>
      </c>
      <c r="BB43" s="104">
        <v>2.4455157933206721</v>
      </c>
      <c r="BC43" s="104">
        <v>2.4847468903019654</v>
      </c>
      <c r="BD43" s="104">
        <v>2.5340833549633786</v>
      </c>
      <c r="BE43" s="104">
        <v>2.579534657249384</v>
      </c>
      <c r="BF43" s="104">
        <v>2.6304331906780525</v>
      </c>
      <c r="BG43" s="104">
        <v>2.6780747430463467</v>
      </c>
      <c r="BH43" s="104">
        <v>2.7302241167463328</v>
      </c>
      <c r="BI43" s="104">
        <v>2.7797279901478231</v>
      </c>
      <c r="BJ43" s="104">
        <v>2.8330937881347018</v>
      </c>
      <c r="BK43" s="104">
        <v>2.8856902642162363</v>
      </c>
      <c r="BL43" s="104">
        <v>2.9418156109752793</v>
      </c>
      <c r="BM43" s="104">
        <v>2.997762331291137</v>
      </c>
      <c r="BN43" s="104">
        <v>3.0541500005282978</v>
      </c>
      <c r="BO43" s="104">
        <v>3.111897639912006</v>
      </c>
      <c r="BP43" s="104">
        <v>3.170387300834359</v>
      </c>
      <c r="BQ43" s="104">
        <v>3.2302093433937378</v>
      </c>
      <c r="BR43" s="104">
        <v>3.2910628579797527</v>
      </c>
      <c r="BS43" s="104">
        <v>3.3535651100586406</v>
      </c>
      <c r="BT43" s="104">
        <v>3.4164697638928589</v>
      </c>
      <c r="BU43" s="104">
        <v>3.4809950404472683</v>
      </c>
    </row>
    <row r="44" spans="1:73" x14ac:dyDescent="0.3">
      <c r="A44" s="97" t="s">
        <v>426</v>
      </c>
      <c r="B44" s="97" t="s">
        <v>309</v>
      </c>
      <c r="C44" s="97" t="s">
        <v>340</v>
      </c>
      <c r="D44" s="97" t="s">
        <v>311</v>
      </c>
      <c r="E44" s="157" t="s">
        <v>341</v>
      </c>
      <c r="F44" s="97" t="s">
        <v>7</v>
      </c>
      <c r="G44" s="97" t="s">
        <v>313</v>
      </c>
      <c r="H44" s="97" t="s">
        <v>75</v>
      </c>
      <c r="I44" s="97"/>
      <c r="J44" s="97"/>
      <c r="K44" s="97"/>
      <c r="L44" s="97"/>
      <c r="M44" s="107">
        <v>4.5895013759343479</v>
      </c>
      <c r="N44" s="107">
        <v>6.2890801369869589</v>
      </c>
      <c r="O44" s="107">
        <v>2.9236006361120253</v>
      </c>
      <c r="P44" s="107">
        <v>3.2458644599535691</v>
      </c>
      <c r="Q44" s="107">
        <v>2.8469541050361986</v>
      </c>
      <c r="R44" s="107">
        <v>0.7687879329120797</v>
      </c>
      <c r="S44" s="107">
        <v>3.9565868390203254</v>
      </c>
      <c r="T44" s="107">
        <v>3.4589650425659055</v>
      </c>
      <c r="U44" s="107">
        <v>5.482611453922881</v>
      </c>
      <c r="V44" s="101">
        <v>4.8692797459245627</v>
      </c>
      <c r="W44" s="101">
        <v>4.9365844061765394</v>
      </c>
      <c r="X44" s="101">
        <v>5.8800563190252948</v>
      </c>
      <c r="Y44" s="108">
        <v>8.253528728211748</v>
      </c>
      <c r="Z44" s="101">
        <v>10.616339999999999</v>
      </c>
      <c r="AA44" s="101">
        <v>9.7375000000000007</v>
      </c>
      <c r="AB44" s="101">
        <v>10.032499999999999</v>
      </c>
      <c r="AC44" s="101">
        <v>10.342500000000001</v>
      </c>
      <c r="AD44" s="101">
        <v>10.6775</v>
      </c>
      <c r="AE44" s="101">
        <v>11.018028488979516</v>
      </c>
      <c r="AF44" s="101">
        <v>11.416853557864659</v>
      </c>
      <c r="AG44" s="101">
        <v>11.740160062021465</v>
      </c>
      <c r="AH44" s="101">
        <v>11.745932102495296</v>
      </c>
      <c r="AI44" s="101">
        <v>11.506991921604911</v>
      </c>
      <c r="AJ44" s="101">
        <v>11.277937004194909</v>
      </c>
      <c r="AK44" s="101">
        <v>11.296147429670484</v>
      </c>
      <c r="AL44" s="101">
        <v>11.128351683668875</v>
      </c>
      <c r="AM44" s="101">
        <v>11.071182459417455</v>
      </c>
      <c r="AN44" s="101">
        <v>11.086006716832946</v>
      </c>
      <c r="AO44" s="101">
        <v>11.102874948890925</v>
      </c>
      <c r="AP44" s="101">
        <v>11.128820139007818</v>
      </c>
      <c r="AQ44" s="101">
        <v>11.156662112556559</v>
      </c>
      <c r="AR44" s="101">
        <v>11.119030128393577</v>
      </c>
      <c r="AS44" s="101">
        <v>11.138213732343736</v>
      </c>
      <c r="AT44" s="101">
        <v>11.142235893423516</v>
      </c>
      <c r="AU44" s="101">
        <v>11.146048305461761</v>
      </c>
      <c r="AV44" s="101">
        <v>11.1592352499752</v>
      </c>
      <c r="AW44" s="101">
        <v>11.181935821849791</v>
      </c>
      <c r="AX44" s="101">
        <v>11.196118998465376</v>
      </c>
      <c r="AY44" s="101">
        <v>11.19522002831023</v>
      </c>
      <c r="AZ44" s="101">
        <v>11.246428954445781</v>
      </c>
      <c r="BA44" s="101">
        <v>11.349809825246</v>
      </c>
      <c r="BB44" s="101">
        <v>11.506151889734431</v>
      </c>
      <c r="BC44" s="101">
        <v>11.69031663442841</v>
      </c>
      <c r="BD44" s="101">
        <v>11.922009660590476</v>
      </c>
      <c r="BE44" s="101">
        <v>12.135407431746168</v>
      </c>
      <c r="BF44" s="101">
        <v>12.374414482553719</v>
      </c>
      <c r="BG44" s="101">
        <v>12.5980820182253</v>
      </c>
      <c r="BH44" s="101">
        <v>12.842937165795082</v>
      </c>
      <c r="BI44" s="101">
        <v>13.075329659351201</v>
      </c>
      <c r="BJ44" s="101">
        <v>13.325869414329979</v>
      </c>
      <c r="BK44" s="101">
        <v>13.57277144305948</v>
      </c>
      <c r="BL44" s="101">
        <v>13.836251784269614</v>
      </c>
      <c r="BM44" s="101">
        <v>14.098871712663787</v>
      </c>
      <c r="BN44" s="101">
        <v>14.363545094068899</v>
      </c>
      <c r="BO44" s="101">
        <v>14.634593597575019</v>
      </c>
      <c r="BP44" s="101">
        <v>14.909110478921614</v>
      </c>
      <c r="BQ44" s="101">
        <v>15.189871419759733</v>
      </c>
      <c r="BR44" s="101">
        <v>15.475460700891368</v>
      </c>
      <c r="BS44" s="101">
        <v>15.768780155096378</v>
      </c>
      <c r="BT44" s="101">
        <v>16.06396867807911</v>
      </c>
      <c r="BU44" s="101">
        <v>16.366753750882797</v>
      </c>
    </row>
    <row r="45" spans="1:73" x14ac:dyDescent="0.3">
      <c r="A45" s="97" t="s">
        <v>426</v>
      </c>
      <c r="B45" s="102" t="s">
        <v>309</v>
      </c>
      <c r="C45" s="102" t="s">
        <v>342</v>
      </c>
      <c r="D45" s="102" t="s">
        <v>311</v>
      </c>
      <c r="E45" s="158" t="s">
        <v>343</v>
      </c>
      <c r="F45" s="102" t="s">
        <v>7</v>
      </c>
      <c r="G45" s="102" t="s">
        <v>313</v>
      </c>
      <c r="H45" s="102" t="s">
        <v>75</v>
      </c>
      <c r="I45" s="102"/>
      <c r="J45" s="102"/>
      <c r="K45" s="102"/>
      <c r="L45" s="102"/>
      <c r="M45" s="103">
        <v>0</v>
      </c>
      <c r="N45" s="103">
        <v>0.49065392999298058</v>
      </c>
      <c r="O45" s="103">
        <v>0.49065392999298058</v>
      </c>
      <c r="P45" s="103">
        <v>0.49065392999298058</v>
      </c>
      <c r="Q45" s="103">
        <v>0.49065392999298058</v>
      </c>
      <c r="R45" s="103">
        <v>0.49065392999298058</v>
      </c>
      <c r="S45" s="103">
        <v>0.49065392999298058</v>
      </c>
      <c r="T45" s="103">
        <v>2.5489150909015899</v>
      </c>
      <c r="U45" s="103">
        <v>2.4214693363565103</v>
      </c>
      <c r="V45" s="104">
        <v>1.798194815923672</v>
      </c>
      <c r="W45" s="104">
        <v>0.39286783893652288</v>
      </c>
      <c r="X45" s="104">
        <v>2.1520567625188689</v>
      </c>
      <c r="Y45" s="105">
        <v>4.9283976759199479</v>
      </c>
      <c r="Z45" s="104">
        <v>3.8825150000000002</v>
      </c>
      <c r="AA45" s="104">
        <v>3.5625</v>
      </c>
      <c r="AB45" s="104">
        <v>3.67</v>
      </c>
      <c r="AC45" s="104">
        <v>3.7825000000000002</v>
      </c>
      <c r="AD45" s="104">
        <v>3.9050000000000002</v>
      </c>
      <c r="AE45" s="104">
        <v>4.0158108785762874</v>
      </c>
      <c r="AF45" s="104">
        <v>4.1469182590247584</v>
      </c>
      <c r="AG45" s="104">
        <v>4.2496625874951315</v>
      </c>
      <c r="AH45" s="104">
        <v>4.2370240545644018</v>
      </c>
      <c r="AI45" s="104">
        <v>4.1363740906098911</v>
      </c>
      <c r="AJ45" s="104">
        <v>4.0398355582417844</v>
      </c>
      <c r="AK45" s="104">
        <v>4.032104508372667</v>
      </c>
      <c r="AL45" s="104">
        <v>3.9581383978954356</v>
      </c>
      <c r="AM45" s="104">
        <v>3.9237747024798684</v>
      </c>
      <c r="AN45" s="104">
        <v>3.9149502171168815</v>
      </c>
      <c r="AO45" s="104">
        <v>3.906777258987896</v>
      </c>
      <c r="AP45" s="104">
        <v>3.901713523083195</v>
      </c>
      <c r="AQ45" s="104">
        <v>3.8972158126142187</v>
      </c>
      <c r="AR45" s="104">
        <v>3.8698290484960074</v>
      </c>
      <c r="AS45" s="104">
        <v>3.8622092895454632</v>
      </c>
      <c r="AT45" s="104">
        <v>3.8492718341114922</v>
      </c>
      <c r="AU45" s="104">
        <v>3.8362210959973964</v>
      </c>
      <c r="AV45" s="104">
        <v>3.8263440704512308</v>
      </c>
      <c r="AW45" s="104">
        <v>3.8196517313520388</v>
      </c>
      <c r="AX45" s="104">
        <v>3.8099709933896766</v>
      </c>
      <c r="AY45" s="104">
        <v>3.7951093785095353</v>
      </c>
      <c r="AZ45" s="104">
        <v>3.7978150776755411</v>
      </c>
      <c r="BA45" s="104">
        <v>3.8179054164608361</v>
      </c>
      <c r="BB45" s="104">
        <v>3.8554395003130431</v>
      </c>
      <c r="BC45" s="104">
        <v>3.9018176285026969</v>
      </c>
      <c r="BD45" s="104">
        <v>3.9634798045353845</v>
      </c>
      <c r="BE45" s="104">
        <v>4.0184401667023835</v>
      </c>
      <c r="BF45" s="104">
        <v>4.0812493781067589</v>
      </c>
      <c r="BG45" s="104">
        <v>4.1383525626148954</v>
      </c>
      <c r="BH45" s="104">
        <v>4.2017589479537651</v>
      </c>
      <c r="BI45" s="104">
        <v>4.2604175512677394</v>
      </c>
      <c r="BJ45" s="104">
        <v>4.3243089745154348</v>
      </c>
      <c r="BK45" s="104">
        <v>4.3863181592076224</v>
      </c>
      <c r="BL45" s="104">
        <v>4.4529635748327072</v>
      </c>
      <c r="BM45" s="104">
        <v>4.5185872841985706</v>
      </c>
      <c r="BN45" s="104">
        <v>4.584120264351939</v>
      </c>
      <c r="BO45" s="104">
        <v>4.6509252118341342</v>
      </c>
      <c r="BP45" s="104">
        <v>4.7180539914622734</v>
      </c>
      <c r="BQ45" s="104">
        <v>4.7863646099661104</v>
      </c>
      <c r="BR45" s="104">
        <v>4.8553849156479272</v>
      </c>
      <c r="BS45" s="104">
        <v>4.9259990811526828</v>
      </c>
      <c r="BT45" s="104">
        <v>4.9963498612484942</v>
      </c>
      <c r="BU45" s="104">
        <v>5.0682004095174094</v>
      </c>
    </row>
    <row r="46" spans="1:73" x14ac:dyDescent="0.3">
      <c r="A46" s="97" t="s">
        <v>426</v>
      </c>
      <c r="B46" s="97" t="s">
        <v>309</v>
      </c>
      <c r="C46" s="97" t="s">
        <v>344</v>
      </c>
      <c r="D46" s="97" t="s">
        <v>311</v>
      </c>
      <c r="E46" s="157" t="s">
        <v>345</v>
      </c>
      <c r="F46" s="97" t="s">
        <v>7</v>
      </c>
      <c r="G46" s="97" t="s">
        <v>313</v>
      </c>
      <c r="H46" s="97" t="s">
        <v>75</v>
      </c>
      <c r="I46" s="97"/>
      <c r="J46" s="97"/>
      <c r="K46" s="97"/>
      <c r="L46" s="97"/>
      <c r="M46" s="107">
        <v>24.95947832041222</v>
      </c>
      <c r="N46" s="107">
        <v>28.615285590513778</v>
      </c>
      <c r="O46" s="107">
        <v>30.633063586638762</v>
      </c>
      <c r="P46" s="107">
        <v>32.528903919688567</v>
      </c>
      <c r="Q46" s="107">
        <v>36.134774813483148</v>
      </c>
      <c r="R46" s="107">
        <v>31.228235513553326</v>
      </c>
      <c r="S46" s="107">
        <v>27.9730805649845</v>
      </c>
      <c r="T46" s="107">
        <v>29.660465559729598</v>
      </c>
      <c r="U46" s="107">
        <v>33.204674246691695</v>
      </c>
      <c r="V46" s="101">
        <v>20.117910308207762</v>
      </c>
      <c r="W46" s="101">
        <v>14.637486424496085</v>
      </c>
      <c r="X46" s="101">
        <v>13.844605413520974</v>
      </c>
      <c r="Y46" s="108">
        <v>14.946251775338927</v>
      </c>
      <c r="Z46" s="101">
        <v>24.999677499999997</v>
      </c>
      <c r="AA46" s="101">
        <v>22.93</v>
      </c>
      <c r="AB46" s="101">
        <v>23.619999999999997</v>
      </c>
      <c r="AC46" s="101">
        <v>24.3475</v>
      </c>
      <c r="AD46" s="101">
        <v>25.14</v>
      </c>
      <c r="AE46" s="101">
        <v>25.853084771684237</v>
      </c>
      <c r="AF46" s="101">
        <v>26.696813677923497</v>
      </c>
      <c r="AG46" s="101">
        <v>27.357927575216056</v>
      </c>
      <c r="AH46" s="101">
        <v>27.276234699434919</v>
      </c>
      <c r="AI46" s="101">
        <v>26.627965976299368</v>
      </c>
      <c r="AJ46" s="101">
        <v>26.006177248163212</v>
      </c>
      <c r="AK46" s="101">
        <v>25.956086212375755</v>
      </c>
      <c r="AL46" s="101">
        <v>25.479620222399042</v>
      </c>
      <c r="AM46" s="101">
        <v>25.258091628597786</v>
      </c>
      <c r="AN46" s="101">
        <v>25.200964380726543</v>
      </c>
      <c r="AO46" s="101">
        <v>25.148029470065079</v>
      </c>
      <c r="AP46" s="101">
        <v>25.115106752657827</v>
      </c>
      <c r="AQ46" s="101">
        <v>25.08582521771055</v>
      </c>
      <c r="AR46" s="101">
        <v>24.909209677139589</v>
      </c>
      <c r="AS46" s="101">
        <v>24.859829693475071</v>
      </c>
      <c r="AT46" s="101">
        <v>24.776219951659634</v>
      </c>
      <c r="AU46" s="101">
        <v>24.691880095783663</v>
      </c>
      <c r="AV46" s="101">
        <v>24.627966631750489</v>
      </c>
      <c r="AW46" s="101">
        <v>24.584549323076814</v>
      </c>
      <c r="AX46" s="101">
        <v>24.521895810048591</v>
      </c>
      <c r="AY46" s="101">
        <v>24.425895761869885</v>
      </c>
      <c r="AZ46" s="101">
        <v>24.442959273316056</v>
      </c>
      <c r="BA46" s="101">
        <v>24.571905731744579</v>
      </c>
      <c r="BB46" s="101">
        <v>24.813110559060764</v>
      </c>
      <c r="BC46" s="101">
        <v>25.111222920879754</v>
      </c>
      <c r="BD46" s="101">
        <v>25.507685903339699</v>
      </c>
      <c r="BE46" s="101">
        <v>25.861003037139142</v>
      </c>
      <c r="BF46" s="101">
        <v>26.264816618339083</v>
      </c>
      <c r="BG46" s="101">
        <v>26.6318932376664</v>
      </c>
      <c r="BH46" s="101">
        <v>27.039517159749604</v>
      </c>
      <c r="BI46" s="101">
        <v>27.416571121558277</v>
      </c>
      <c r="BJ46" s="101">
        <v>27.827282302570776</v>
      </c>
      <c r="BK46" s="101">
        <v>28.22586357545616</v>
      </c>
      <c r="BL46" s="101">
        <v>28.654260781488347</v>
      </c>
      <c r="BM46" s="101">
        <v>29.076064656934893</v>
      </c>
      <c r="BN46" s="101">
        <v>29.497265750560477</v>
      </c>
      <c r="BO46" s="101">
        <v>29.926632133278758</v>
      </c>
      <c r="BP46" s="101">
        <v>30.358062355462817</v>
      </c>
      <c r="BQ46" s="101">
        <v>30.797076692512942</v>
      </c>
      <c r="BR46" s="101">
        <v>31.240636490916781</v>
      </c>
      <c r="BS46" s="101">
        <v>31.694430036519382</v>
      </c>
      <c r="BT46" s="101">
        <v>32.146506922260656</v>
      </c>
      <c r="BU46" s="101">
        <v>32.608210799152516</v>
      </c>
    </row>
    <row r="47" spans="1:73" x14ac:dyDescent="0.3">
      <c r="A47" s="97" t="s">
        <v>426</v>
      </c>
      <c r="B47" s="102" t="s">
        <v>309</v>
      </c>
      <c r="C47" s="102" t="s">
        <v>346</v>
      </c>
      <c r="D47" s="102" t="s">
        <v>311</v>
      </c>
      <c r="E47" s="158" t="s">
        <v>347</v>
      </c>
      <c r="F47" s="102" t="s">
        <v>7</v>
      </c>
      <c r="G47" s="102" t="s">
        <v>313</v>
      </c>
      <c r="H47" s="102" t="s">
        <v>75</v>
      </c>
      <c r="I47" s="102"/>
      <c r="J47" s="102"/>
      <c r="K47" s="102"/>
      <c r="L47" s="102"/>
      <c r="M47" s="109">
        <v>15.069172533938277</v>
      </c>
      <c r="N47" s="109">
        <v>16.665975264684665</v>
      </c>
      <c r="O47" s="109">
        <v>18.169873109278534</v>
      </c>
      <c r="P47" s="109">
        <v>19.947840368022337</v>
      </c>
      <c r="Q47" s="109">
        <v>21.697355505381921</v>
      </c>
      <c r="R47" s="109">
        <v>23.163510739976331</v>
      </c>
      <c r="S47" s="109">
        <v>23.865523285966294</v>
      </c>
      <c r="T47" s="109">
        <v>24.450243413188698</v>
      </c>
      <c r="U47" s="103">
        <v>23.714814140960755</v>
      </c>
      <c r="V47" s="104">
        <v>16.079267553554132</v>
      </c>
      <c r="W47" s="104">
        <v>13.944067071820999</v>
      </c>
      <c r="X47" s="104">
        <v>17.150135491528914</v>
      </c>
      <c r="Y47" s="105">
        <v>22.338848289218852</v>
      </c>
      <c r="Z47" s="104">
        <v>29.57713451</v>
      </c>
      <c r="AA47" s="104">
        <v>26.928867500000003</v>
      </c>
      <c r="AB47" s="104">
        <v>27.569065000000002</v>
      </c>
      <c r="AC47" s="104">
        <v>28.211665</v>
      </c>
      <c r="AD47" s="104">
        <v>28.951492500000001</v>
      </c>
      <c r="AE47" s="104">
        <v>29.685220000000001</v>
      </c>
      <c r="AF47" s="104">
        <v>30.3404025</v>
      </c>
      <c r="AG47" s="104">
        <v>31.055710000000001</v>
      </c>
      <c r="AH47" s="104">
        <v>31.62687</v>
      </c>
      <c r="AI47" s="104">
        <v>31.596</v>
      </c>
      <c r="AJ47" s="104">
        <v>31.4238</v>
      </c>
      <c r="AK47" s="104">
        <v>31.233599999999999</v>
      </c>
      <c r="AL47" s="104">
        <v>31.160499999999999</v>
      </c>
      <c r="AM47" s="104">
        <v>31.4664</v>
      </c>
      <c r="AN47" s="104">
        <v>31.915900000000001</v>
      </c>
      <c r="AO47" s="104">
        <v>32.299300000000002</v>
      </c>
      <c r="AP47" s="104">
        <v>32.914999999999999</v>
      </c>
      <c r="AQ47" s="104">
        <v>33.314900000000002</v>
      </c>
      <c r="AR47" s="104">
        <v>33.822200000000002</v>
      </c>
      <c r="AS47" s="104">
        <v>34.334299999999999</v>
      </c>
      <c r="AT47" s="104">
        <v>34.824800000000003</v>
      </c>
      <c r="AU47" s="104">
        <v>35.1404</v>
      </c>
      <c r="AV47" s="104">
        <v>35.639000000000003</v>
      </c>
      <c r="AW47" s="104">
        <v>36.004199999999997</v>
      </c>
      <c r="AX47" s="104">
        <v>36.500999999999998</v>
      </c>
      <c r="AY47" s="104">
        <v>36.912100000000002</v>
      </c>
      <c r="AZ47" s="104">
        <v>37.384999999999998</v>
      </c>
      <c r="BA47" s="104">
        <v>37.820500000000003</v>
      </c>
      <c r="BB47" s="104">
        <v>38.470999999999997</v>
      </c>
      <c r="BC47" s="104">
        <v>39.162300000000002</v>
      </c>
      <c r="BD47" s="104">
        <v>39.838299999999997</v>
      </c>
      <c r="BE47" s="104">
        <v>40.549100000000003</v>
      </c>
      <c r="BF47" s="104">
        <v>41.259900000000002</v>
      </c>
      <c r="BG47" s="104">
        <v>41.986800000000002</v>
      </c>
      <c r="BH47" s="104">
        <v>42.677900000000001</v>
      </c>
      <c r="BI47" s="104">
        <v>43.375900000000001</v>
      </c>
      <c r="BJ47" s="104">
        <v>44.066200000000002</v>
      </c>
      <c r="BK47" s="104">
        <v>44.771700000000003</v>
      </c>
      <c r="BL47" s="104">
        <v>45.449599999999997</v>
      </c>
      <c r="BM47" s="104">
        <v>46.142800000000001</v>
      </c>
      <c r="BN47" s="104">
        <v>46.823300000000003</v>
      </c>
      <c r="BO47" s="104">
        <v>47.5075</v>
      </c>
      <c r="BP47" s="104">
        <v>48.191400000000002</v>
      </c>
      <c r="BQ47" s="104">
        <v>48.869</v>
      </c>
      <c r="BR47" s="104">
        <v>49.5274</v>
      </c>
      <c r="BS47" s="104">
        <v>50.191400000000002</v>
      </c>
      <c r="BT47" s="104">
        <v>50.850499999999997</v>
      </c>
      <c r="BU47" s="104">
        <v>51.490200000000002</v>
      </c>
    </row>
    <row r="48" spans="1:73" x14ac:dyDescent="0.3">
      <c r="A48" s="97" t="s">
        <v>426</v>
      </c>
      <c r="B48" s="97" t="s">
        <v>309</v>
      </c>
      <c r="C48" s="97" t="s">
        <v>348</v>
      </c>
      <c r="D48" s="97" t="s">
        <v>311</v>
      </c>
      <c r="E48" s="157" t="s">
        <v>349</v>
      </c>
      <c r="F48" s="97" t="s">
        <v>7</v>
      </c>
      <c r="G48" s="97" t="s">
        <v>313</v>
      </c>
      <c r="H48" s="97" t="s">
        <v>75</v>
      </c>
      <c r="I48" s="97"/>
      <c r="J48" s="97"/>
      <c r="K48" s="97"/>
      <c r="L48" s="97"/>
      <c r="M48" s="107">
        <v>0.98943703752430912</v>
      </c>
      <c r="N48" s="107">
        <v>1.0585350466002439</v>
      </c>
      <c r="O48" s="107">
        <v>1.1171812559840204</v>
      </c>
      <c r="P48" s="107">
        <v>1.1595691102911063</v>
      </c>
      <c r="Q48" s="107">
        <v>1.1676982878294515</v>
      </c>
      <c r="R48" s="107">
        <v>1.1827953318292357</v>
      </c>
      <c r="S48" s="107">
        <v>1.1665369767525451</v>
      </c>
      <c r="T48" s="107">
        <v>1.2013763090597391</v>
      </c>
      <c r="U48" s="107">
        <v>0.26080795379663857</v>
      </c>
      <c r="V48" s="101">
        <v>0.17433650832065511</v>
      </c>
      <c r="W48" s="101">
        <v>0.15729621464880522</v>
      </c>
      <c r="X48" s="101">
        <v>0.2147388214831038</v>
      </c>
      <c r="Y48" s="108">
        <v>0.266479018721756</v>
      </c>
      <c r="Z48" s="101">
        <v>0.36909249999999999</v>
      </c>
      <c r="AA48" s="101">
        <v>0.33499999999999996</v>
      </c>
      <c r="AB48" s="101">
        <v>0.34499999999999997</v>
      </c>
      <c r="AC48" s="101">
        <v>0.35499999999999998</v>
      </c>
      <c r="AD48" s="101">
        <v>0.36499999999999999</v>
      </c>
      <c r="AE48" s="101">
        <v>0.375</v>
      </c>
      <c r="AF48" s="101">
        <v>0.38500000000000001</v>
      </c>
      <c r="AG48" s="101">
        <v>0.39500000000000002</v>
      </c>
      <c r="AH48" s="101">
        <v>0.40500000000000003</v>
      </c>
      <c r="AI48" s="101">
        <v>0.41</v>
      </c>
      <c r="AJ48" s="101">
        <v>0.42</v>
      </c>
      <c r="AK48" s="101">
        <v>0.43</v>
      </c>
      <c r="AL48" s="101">
        <v>0.44</v>
      </c>
      <c r="AM48" s="101">
        <v>0.45</v>
      </c>
      <c r="AN48" s="101">
        <v>0.46</v>
      </c>
      <c r="AO48" s="101">
        <v>0.47</v>
      </c>
      <c r="AP48" s="101">
        <v>0.48</v>
      </c>
      <c r="AQ48" s="101">
        <v>0.49</v>
      </c>
      <c r="AR48" s="101">
        <v>0.5</v>
      </c>
      <c r="AS48" s="101">
        <v>0.51</v>
      </c>
      <c r="AT48" s="101">
        <v>0.52</v>
      </c>
      <c r="AU48" s="101">
        <v>0.52</v>
      </c>
      <c r="AV48" s="101">
        <v>0.53</v>
      </c>
      <c r="AW48" s="101">
        <v>0.54</v>
      </c>
      <c r="AX48" s="101">
        <v>0.55000000000000004</v>
      </c>
      <c r="AY48" s="101">
        <v>0.56000000000000005</v>
      </c>
      <c r="AZ48" s="101">
        <v>0.56999999999999995</v>
      </c>
      <c r="BA48" s="101">
        <v>0.57999999999999996</v>
      </c>
      <c r="BB48" s="101">
        <v>0.59</v>
      </c>
      <c r="BC48" s="101">
        <v>0.59</v>
      </c>
      <c r="BD48" s="101">
        <v>0.6</v>
      </c>
      <c r="BE48" s="101">
        <v>0.61</v>
      </c>
      <c r="BF48" s="101">
        <v>0.62</v>
      </c>
      <c r="BG48" s="101">
        <v>0.63</v>
      </c>
      <c r="BH48" s="101">
        <v>0.64</v>
      </c>
      <c r="BI48" s="101">
        <v>0.64</v>
      </c>
      <c r="BJ48" s="101">
        <v>0.65</v>
      </c>
      <c r="BK48" s="101">
        <v>0.66</v>
      </c>
      <c r="BL48" s="101">
        <v>0.67</v>
      </c>
      <c r="BM48" s="101">
        <v>0.68</v>
      </c>
      <c r="BN48" s="101">
        <v>0.68</v>
      </c>
      <c r="BO48" s="101">
        <v>0.69</v>
      </c>
      <c r="BP48" s="101">
        <v>0.7</v>
      </c>
      <c r="BQ48" s="101">
        <v>0.71</v>
      </c>
      <c r="BR48" s="101">
        <v>0.71</v>
      </c>
      <c r="BS48" s="101">
        <v>0.72</v>
      </c>
      <c r="BT48" s="101">
        <v>0.73</v>
      </c>
      <c r="BU48" s="101">
        <v>0.73</v>
      </c>
    </row>
    <row r="49" spans="1:73" x14ac:dyDescent="0.3">
      <c r="A49" s="97" t="s">
        <v>426</v>
      </c>
      <c r="B49" s="102" t="s">
        <v>309</v>
      </c>
      <c r="C49" s="102" t="s">
        <v>350</v>
      </c>
      <c r="D49" s="102" t="s">
        <v>311</v>
      </c>
      <c r="E49" s="158" t="s">
        <v>351</v>
      </c>
      <c r="F49" s="102" t="s">
        <v>7</v>
      </c>
      <c r="G49" s="102" t="s">
        <v>313</v>
      </c>
      <c r="H49" s="102" t="s">
        <v>75</v>
      </c>
      <c r="I49" s="102"/>
      <c r="J49" s="102"/>
      <c r="K49" s="102"/>
      <c r="L49" s="102"/>
      <c r="M49" s="103">
        <v>1.8755173892039421</v>
      </c>
      <c r="N49" s="103">
        <v>2.0061648853559193</v>
      </c>
      <c r="O49" s="103">
        <v>2.11765074873894</v>
      </c>
      <c r="P49" s="103">
        <v>2.1977812130454861</v>
      </c>
      <c r="Q49" s="103">
        <v>2.2128782570452703</v>
      </c>
      <c r="R49" s="103">
        <v>2.2424916895063851</v>
      </c>
      <c r="S49" s="103">
        <v>2.2111362904299106</v>
      </c>
      <c r="T49" s="103">
        <v>2.2773310218135787</v>
      </c>
      <c r="U49" s="103">
        <v>2.2715619068078383</v>
      </c>
      <c r="V49" s="104">
        <v>1.4794161624285029</v>
      </c>
      <c r="W49" s="104">
        <v>1.3063223052915844</v>
      </c>
      <c r="X49" s="104">
        <v>1.6236698780929233</v>
      </c>
      <c r="Y49" s="105">
        <v>2.2304196255648803</v>
      </c>
      <c r="Z49" s="104">
        <v>2.8034124999999999</v>
      </c>
      <c r="AA49" s="104">
        <v>2.5525000000000002</v>
      </c>
      <c r="AB49" s="104">
        <v>2.6124999999999998</v>
      </c>
      <c r="AC49" s="104">
        <v>2.6725000000000003</v>
      </c>
      <c r="AD49" s="104">
        <v>2.7424999999999997</v>
      </c>
      <c r="AE49" s="104">
        <v>2.8</v>
      </c>
      <c r="AF49" s="104">
        <v>2.85</v>
      </c>
      <c r="AG49" s="104">
        <v>2.9</v>
      </c>
      <c r="AH49" s="104">
        <v>2.889068</v>
      </c>
      <c r="AI49" s="104">
        <v>2.7902</v>
      </c>
      <c r="AJ49" s="104">
        <v>2.6960000000000002</v>
      </c>
      <c r="AK49" s="104">
        <v>2.6486000000000001</v>
      </c>
      <c r="AL49" s="104">
        <v>2.6425000000000001</v>
      </c>
      <c r="AM49" s="104">
        <v>2.6364000000000001</v>
      </c>
      <c r="AN49" s="104">
        <v>2.6242999999999999</v>
      </c>
      <c r="AO49" s="104">
        <v>2.6122000000000001</v>
      </c>
      <c r="AP49" s="104">
        <v>2.5975999999999999</v>
      </c>
      <c r="AQ49" s="104">
        <v>2.5830000000000002</v>
      </c>
      <c r="AR49" s="104">
        <v>2.5817399999999999</v>
      </c>
      <c r="AS49" s="104">
        <v>2.5804800000000001</v>
      </c>
      <c r="AT49" s="104">
        <v>2.5727799999999998</v>
      </c>
      <c r="AU49" s="104">
        <v>2.5566800000000001</v>
      </c>
      <c r="AV49" s="104">
        <v>2.5451999999999999</v>
      </c>
      <c r="AW49" s="104">
        <v>2.53464</v>
      </c>
      <c r="AX49" s="104">
        <v>2.5232399999999999</v>
      </c>
      <c r="AY49" s="104">
        <v>2.5087600000000001</v>
      </c>
      <c r="AZ49" s="104">
        <v>2.4857999999999998</v>
      </c>
      <c r="BA49" s="104">
        <v>2.4499999999999997</v>
      </c>
      <c r="BB49" s="104">
        <v>2.4051833919999996</v>
      </c>
      <c r="BC49" s="104">
        <v>2.3638031879999999</v>
      </c>
      <c r="BD49" s="104">
        <v>2.3204464310000001</v>
      </c>
      <c r="BE49" s="104">
        <v>2.2800482899999999</v>
      </c>
      <c r="BF49" s="104">
        <v>2.2325737120000002</v>
      </c>
      <c r="BG49" s="104">
        <v>2.1877283250000001</v>
      </c>
      <c r="BH49" s="104">
        <v>2.1361359279999999</v>
      </c>
      <c r="BI49" s="104">
        <v>2.0825669759999998</v>
      </c>
      <c r="BJ49" s="104">
        <v>2.0270214709999999</v>
      </c>
      <c r="BK49" s="104">
        <v>1.9694994130000001</v>
      </c>
      <c r="BL49" s="104">
        <v>1.9100007999999999</v>
      </c>
      <c r="BM49" s="104">
        <v>1.8485256339999998</v>
      </c>
      <c r="BN49" s="104">
        <v>1.7850739149999999</v>
      </c>
      <c r="BO49" s="104">
        <v>1.7196456410000001</v>
      </c>
      <c r="BP49" s="104">
        <v>1.652240814</v>
      </c>
      <c r="BQ49" s="104">
        <v>1.579900818</v>
      </c>
      <c r="BR49" s="104">
        <v>1.508707596</v>
      </c>
      <c r="BS49" s="104">
        <v>1.4329086310000001</v>
      </c>
      <c r="BT49" s="104">
        <v>1.355462537</v>
      </c>
      <c r="BU49" s="104">
        <v>1.27866908</v>
      </c>
    </row>
    <row r="50" spans="1:73" x14ac:dyDescent="0.3">
      <c r="A50" s="97" t="s">
        <v>426</v>
      </c>
      <c r="B50" s="97" t="s">
        <v>309</v>
      </c>
      <c r="C50" s="97" t="s">
        <v>352</v>
      </c>
      <c r="D50" s="97" t="s">
        <v>311</v>
      </c>
      <c r="E50" s="157" t="s">
        <v>353</v>
      </c>
      <c r="F50" s="97" t="s">
        <v>7</v>
      </c>
      <c r="G50" s="97" t="s">
        <v>313</v>
      </c>
      <c r="H50" s="97" t="s">
        <v>75</v>
      </c>
      <c r="I50" s="97"/>
      <c r="J50" s="97"/>
      <c r="K50" s="97"/>
      <c r="L50" s="97"/>
      <c r="M50" s="107">
        <v>6.6287636269820993</v>
      </c>
      <c r="N50" s="107">
        <v>7.1681926222051526</v>
      </c>
      <c r="O50" s="107">
        <v>7.3383246949719494</v>
      </c>
      <c r="P50" s="107">
        <v>8.147177860037301</v>
      </c>
      <c r="Q50" s="107">
        <v>8.6128636018767946</v>
      </c>
      <c r="R50" s="107">
        <v>7.6762662183517305</v>
      </c>
      <c r="S50" s="107">
        <v>5.2648037671554579</v>
      </c>
      <c r="T50" s="107">
        <v>5.0464772846970423</v>
      </c>
      <c r="U50" s="107">
        <v>5.4499970836048153</v>
      </c>
      <c r="V50" s="101">
        <v>2.9084622861411384</v>
      </c>
      <c r="W50" s="101">
        <v>2.6817382330619948</v>
      </c>
      <c r="X50" s="101">
        <v>2.9935008795238316</v>
      </c>
      <c r="Y50" s="108">
        <v>5.1133712072304709</v>
      </c>
      <c r="Z50" s="101">
        <v>5.1616600000000004</v>
      </c>
      <c r="AA50" s="101">
        <v>4.7</v>
      </c>
      <c r="AB50" s="101">
        <v>4.8125</v>
      </c>
      <c r="AC50" s="101">
        <v>4.9250000000000007</v>
      </c>
      <c r="AD50" s="101">
        <v>5.0549999999999997</v>
      </c>
      <c r="AE50" s="101">
        <v>5.16</v>
      </c>
      <c r="AF50" s="101">
        <v>5.24</v>
      </c>
      <c r="AG50" s="101">
        <v>5.37</v>
      </c>
      <c r="AH50" s="101">
        <v>5.4100359999999998</v>
      </c>
      <c r="AI50" s="101">
        <v>5.1909400000000003</v>
      </c>
      <c r="AJ50" s="101">
        <v>5.11252</v>
      </c>
      <c r="AK50" s="101">
        <v>5.0898399999999997</v>
      </c>
      <c r="AL50" s="101">
        <v>5.1660000000000004</v>
      </c>
      <c r="AM50" s="101">
        <v>5.1667199999999998</v>
      </c>
      <c r="AN50" s="101">
        <v>5.2387199999999998</v>
      </c>
      <c r="AO50" s="101">
        <v>5.2340400000000002</v>
      </c>
      <c r="AP50" s="101">
        <v>5.3064</v>
      </c>
      <c r="AQ50" s="101">
        <v>5.3040000000000003</v>
      </c>
      <c r="AR50" s="101">
        <v>5.3669000000000002</v>
      </c>
      <c r="AS50" s="101">
        <v>5.3731999999999998</v>
      </c>
      <c r="AT50" s="101">
        <v>5.4074999999999998</v>
      </c>
      <c r="AU50" s="101">
        <v>5.4093999999999998</v>
      </c>
      <c r="AV50" s="101">
        <v>5.4385000000000003</v>
      </c>
      <c r="AW50" s="101">
        <v>5.4806800000000004</v>
      </c>
      <c r="AX50" s="101">
        <v>5.5057799999999997</v>
      </c>
      <c r="AY50" s="101">
        <v>5.5064799999999998</v>
      </c>
      <c r="AZ50" s="101">
        <v>5.5128579999999996</v>
      </c>
      <c r="BA50" s="101">
        <v>5.5181399999999998</v>
      </c>
      <c r="BB50" s="101">
        <v>5.4724295569999999</v>
      </c>
      <c r="BC50" s="101">
        <v>5.4564886699999997</v>
      </c>
      <c r="BD50" s="101">
        <v>5.3969541899999998</v>
      </c>
      <c r="BE50" s="101">
        <v>5.3735409850000009</v>
      </c>
      <c r="BF50" s="101">
        <v>5.3506425120000003</v>
      </c>
      <c r="BG50" s="101">
        <v>5.3250000000000002</v>
      </c>
      <c r="BH50" s="101">
        <v>5.2906420689999996</v>
      </c>
      <c r="BI50" s="101">
        <v>5.2596258130000004</v>
      </c>
      <c r="BJ50" s="101">
        <v>5.2201228080000002</v>
      </c>
      <c r="BK50" s="101">
        <v>5.1837328080000002</v>
      </c>
      <c r="BL50" s="101">
        <v>5.13357069</v>
      </c>
      <c r="BM50" s="101">
        <v>5.0865215759999991</v>
      </c>
      <c r="BN50" s="101">
        <v>5.0369570939999999</v>
      </c>
      <c r="BO50" s="101">
        <v>4.9848772410000004</v>
      </c>
      <c r="BP50" s="101">
        <v>4.92522532</v>
      </c>
      <c r="BQ50" s="101">
        <v>4.8682290640000003</v>
      </c>
      <c r="BR50" s="101">
        <v>4.8038894089999999</v>
      </c>
      <c r="BS50" s="101">
        <v>4.7372630539999996</v>
      </c>
      <c r="BT50" s="101">
        <v>4.6683500000000002</v>
      </c>
      <c r="BU50" s="101">
        <v>4.5926652219999999</v>
      </c>
    </row>
    <row r="51" spans="1:73" x14ac:dyDescent="0.3">
      <c r="A51" s="97" t="s">
        <v>426</v>
      </c>
      <c r="B51" s="102" t="s">
        <v>309</v>
      </c>
      <c r="C51" s="102" t="s">
        <v>354</v>
      </c>
      <c r="D51" s="102" t="s">
        <v>311</v>
      </c>
      <c r="E51" s="158" t="s">
        <v>355</v>
      </c>
      <c r="F51" s="102" t="s">
        <v>7</v>
      </c>
      <c r="G51" s="102" t="s">
        <v>313</v>
      </c>
      <c r="H51" s="102" t="s">
        <v>75</v>
      </c>
      <c r="I51" s="102"/>
      <c r="J51" s="102"/>
      <c r="K51" s="102"/>
      <c r="L51" s="102"/>
      <c r="M51" s="103">
        <v>0.14806716230557443</v>
      </c>
      <c r="N51" s="103">
        <v>0.15677699538237291</v>
      </c>
      <c r="O51" s="103">
        <v>0.15155109553629381</v>
      </c>
      <c r="P51" s="103">
        <v>0.1904550166126604</v>
      </c>
      <c r="Q51" s="103">
        <v>0.23110090430438673</v>
      </c>
      <c r="R51" s="103">
        <v>0.22587500445830763</v>
      </c>
      <c r="S51" s="103">
        <v>0.17245469492061019</v>
      </c>
      <c r="T51" s="103">
        <v>0.17884190584359577</v>
      </c>
      <c r="U51" s="103">
        <v>9.4172109467391463E-2</v>
      </c>
      <c r="V51" s="104">
        <v>7.591853242291062E-2</v>
      </c>
      <c r="W51" s="104">
        <v>2.017123803680701E-2</v>
      </c>
      <c r="X51" s="104">
        <v>0.16161273859772432</v>
      </c>
      <c r="Y51" s="105">
        <v>0</v>
      </c>
      <c r="Z51" s="104">
        <v>0.27893249999999997</v>
      </c>
      <c r="AA51" s="104">
        <v>0.2525</v>
      </c>
      <c r="AB51" s="104">
        <v>0.25750000000000001</v>
      </c>
      <c r="AC51" s="104">
        <v>0.26500000000000001</v>
      </c>
      <c r="AD51" s="104">
        <v>0.27500000000000002</v>
      </c>
      <c r="AE51" s="104">
        <v>0.28300000000000003</v>
      </c>
      <c r="AF51" s="104">
        <v>0.29100000000000004</v>
      </c>
      <c r="AG51" s="104">
        <v>0.29900000000000004</v>
      </c>
      <c r="AH51" s="104">
        <v>0.30700000000000005</v>
      </c>
      <c r="AI51" s="104">
        <v>0.31</v>
      </c>
      <c r="AJ51" s="104">
        <v>0.32</v>
      </c>
      <c r="AK51" s="104">
        <v>0.32</v>
      </c>
      <c r="AL51" s="104">
        <v>0.33</v>
      </c>
      <c r="AM51" s="104">
        <v>0.34</v>
      </c>
      <c r="AN51" s="104">
        <v>0.35</v>
      </c>
      <c r="AO51" s="104">
        <v>0.35</v>
      </c>
      <c r="AP51" s="104">
        <v>0.36</v>
      </c>
      <c r="AQ51" s="104">
        <v>0.37</v>
      </c>
      <c r="AR51" s="104">
        <v>0.38</v>
      </c>
      <c r="AS51" s="104">
        <v>0.38</v>
      </c>
      <c r="AT51" s="104">
        <v>0.39</v>
      </c>
      <c r="AU51" s="104">
        <v>0.39</v>
      </c>
      <c r="AV51" s="104">
        <v>0.4</v>
      </c>
      <c r="AW51" s="104">
        <v>0.41</v>
      </c>
      <c r="AX51" s="104">
        <v>0.42</v>
      </c>
      <c r="AY51" s="104">
        <v>0.42</v>
      </c>
      <c r="AZ51" s="104">
        <v>0.43</v>
      </c>
      <c r="BA51" s="104">
        <v>0.43</v>
      </c>
      <c r="BB51" s="104">
        <v>0.44</v>
      </c>
      <c r="BC51" s="104">
        <v>0.45</v>
      </c>
      <c r="BD51" s="104">
        <v>0.45</v>
      </c>
      <c r="BE51" s="104">
        <v>0.46</v>
      </c>
      <c r="BF51" s="104">
        <v>0.47</v>
      </c>
      <c r="BG51" s="104">
        <v>0.47</v>
      </c>
      <c r="BH51" s="104">
        <v>0.48</v>
      </c>
      <c r="BI51" s="104">
        <v>0.48</v>
      </c>
      <c r="BJ51" s="104">
        <v>0.49</v>
      </c>
      <c r="BK51" s="104">
        <v>0.5</v>
      </c>
      <c r="BL51" s="104">
        <v>0.5</v>
      </c>
      <c r="BM51" s="104">
        <v>0.51</v>
      </c>
      <c r="BN51" s="104">
        <v>0.51</v>
      </c>
      <c r="BO51" s="104">
        <v>0.52</v>
      </c>
      <c r="BP51" s="104">
        <v>0.53</v>
      </c>
      <c r="BQ51" s="104">
        <v>0.53</v>
      </c>
      <c r="BR51" s="104">
        <v>0.54</v>
      </c>
      <c r="BS51" s="104">
        <v>0.54</v>
      </c>
      <c r="BT51" s="104">
        <v>0.55000000000000004</v>
      </c>
      <c r="BU51" s="104">
        <v>0.55000000000000004</v>
      </c>
    </row>
    <row r="52" spans="1:73" x14ac:dyDescent="0.3">
      <c r="A52" s="97" t="s">
        <v>426</v>
      </c>
      <c r="B52" s="97" t="s">
        <v>309</v>
      </c>
      <c r="C52" s="97" t="s">
        <v>356</v>
      </c>
      <c r="D52" s="97" t="s">
        <v>311</v>
      </c>
      <c r="E52" s="157" t="s">
        <v>357</v>
      </c>
      <c r="F52" s="97" t="s">
        <v>7</v>
      </c>
      <c r="G52" s="97" t="s">
        <v>313</v>
      </c>
      <c r="H52" s="97" t="s">
        <v>75</v>
      </c>
      <c r="I52" s="97"/>
      <c r="J52" s="97"/>
      <c r="K52" s="97"/>
      <c r="L52" s="97"/>
      <c r="M52" s="107">
        <v>0</v>
      </c>
      <c r="N52" s="107">
        <v>0</v>
      </c>
      <c r="O52" s="107">
        <v>0</v>
      </c>
      <c r="P52" s="107">
        <v>0</v>
      </c>
      <c r="Q52" s="107">
        <v>0</v>
      </c>
      <c r="R52" s="107">
        <v>0</v>
      </c>
      <c r="S52" s="107">
        <v>0</v>
      </c>
      <c r="T52" s="107">
        <v>0</v>
      </c>
      <c r="U52" s="107">
        <v>0</v>
      </c>
      <c r="V52" s="101">
        <v>0</v>
      </c>
      <c r="W52" s="101">
        <v>0</v>
      </c>
      <c r="X52" s="101">
        <v>0</v>
      </c>
      <c r="Y52" s="108">
        <v>0</v>
      </c>
      <c r="Z52" s="101">
        <v>0</v>
      </c>
      <c r="AA52" s="101">
        <v>0</v>
      </c>
      <c r="AB52" s="101">
        <v>0</v>
      </c>
      <c r="AC52" s="101">
        <v>0</v>
      </c>
      <c r="AD52" s="101">
        <v>0</v>
      </c>
      <c r="AE52" s="101">
        <v>0</v>
      </c>
      <c r="AF52" s="101">
        <v>0</v>
      </c>
      <c r="AG52" s="101">
        <v>0</v>
      </c>
      <c r="AH52" s="101">
        <v>3.2500000000000001E-2</v>
      </c>
      <c r="AI52" s="101">
        <v>7.5600000000000001E-2</v>
      </c>
      <c r="AJ52" s="101">
        <v>0.15912000000000001</v>
      </c>
      <c r="AK52" s="101">
        <v>0.25868000000000002</v>
      </c>
      <c r="AL52" s="101">
        <v>0.34823999999999999</v>
      </c>
      <c r="AM52" s="101">
        <v>0.41749999999999998</v>
      </c>
      <c r="AN52" s="101">
        <v>0.50570000000000004</v>
      </c>
      <c r="AO52" s="101">
        <v>0.5776</v>
      </c>
      <c r="AP52" s="101">
        <v>0.67010000000000003</v>
      </c>
      <c r="AQ52" s="101">
        <v>0.75329999999999997</v>
      </c>
      <c r="AR52" s="101">
        <v>0.81569999999999998</v>
      </c>
      <c r="AS52" s="101">
        <v>0.879</v>
      </c>
      <c r="AT52" s="101">
        <v>0.94699999999999995</v>
      </c>
      <c r="AU52" s="101">
        <v>1.0142</v>
      </c>
      <c r="AV52" s="101">
        <v>1.0683</v>
      </c>
      <c r="AW52" s="101">
        <v>1.1227</v>
      </c>
      <c r="AX52" s="101">
        <v>1.1760999999999999</v>
      </c>
      <c r="AY52" s="101">
        <v>1.2351000000000001</v>
      </c>
      <c r="AZ52" s="101">
        <v>1.2945</v>
      </c>
      <c r="BA52" s="101">
        <v>1.3664000000000001</v>
      </c>
      <c r="BB52" s="101">
        <v>1.4255</v>
      </c>
      <c r="BC52" s="101">
        <v>1.478</v>
      </c>
      <c r="BD52" s="101">
        <v>1.5578000000000001</v>
      </c>
      <c r="BE52" s="101">
        <v>1.6393</v>
      </c>
      <c r="BF52" s="101">
        <v>1.7316</v>
      </c>
      <c r="BG52" s="101">
        <v>1.8569</v>
      </c>
      <c r="BH52" s="101">
        <v>1.9659</v>
      </c>
      <c r="BI52" s="101">
        <v>2.0792000000000002</v>
      </c>
      <c r="BJ52" s="101">
        <v>2.1985999999999999</v>
      </c>
      <c r="BK52" s="101">
        <v>2.3214000000000001</v>
      </c>
      <c r="BL52" s="101">
        <v>2.4485000000000001</v>
      </c>
      <c r="BM52" s="101">
        <v>2.5773000000000001</v>
      </c>
      <c r="BN52" s="101">
        <v>2.7147000000000001</v>
      </c>
      <c r="BO52" s="101">
        <v>2.8532000000000002</v>
      </c>
      <c r="BP52" s="101">
        <v>2.9992999999999999</v>
      </c>
      <c r="BQ52" s="101">
        <v>3.1465999999999998</v>
      </c>
      <c r="BR52" s="101">
        <v>3.3016999999999999</v>
      </c>
      <c r="BS52" s="101">
        <v>3.4580000000000002</v>
      </c>
      <c r="BT52" s="101">
        <v>3.6200999999999999</v>
      </c>
      <c r="BU52" s="101">
        <v>3.7856000000000001</v>
      </c>
    </row>
    <row r="53" spans="1:73" x14ac:dyDescent="0.3">
      <c r="A53" s="97" t="s">
        <v>426</v>
      </c>
      <c r="B53" s="102" t="s">
        <v>309</v>
      </c>
      <c r="C53" s="102" t="s">
        <v>358</v>
      </c>
      <c r="D53" s="102" t="s">
        <v>311</v>
      </c>
      <c r="E53" s="158" t="s">
        <v>359</v>
      </c>
      <c r="F53" s="102" t="s">
        <v>7</v>
      </c>
      <c r="G53" s="102" t="s">
        <v>313</v>
      </c>
      <c r="H53" s="102" t="s">
        <v>75</v>
      </c>
      <c r="I53" s="102"/>
      <c r="J53" s="102"/>
      <c r="K53" s="102"/>
      <c r="L53" s="102"/>
      <c r="M53" s="103">
        <v>0.47787950814701075</v>
      </c>
      <c r="N53" s="103">
        <v>0.56904242768416835</v>
      </c>
      <c r="O53" s="103">
        <v>0.72175483429736864</v>
      </c>
      <c r="P53" s="103">
        <v>0.84253118629564105</v>
      </c>
      <c r="Q53" s="103">
        <v>0.99350162629348171</v>
      </c>
      <c r="R53" s="103">
        <v>1.0242763698315032</v>
      </c>
      <c r="S53" s="103">
        <v>0.7989820209116486</v>
      </c>
      <c r="T53" s="103">
        <v>1.1073101118303152</v>
      </c>
      <c r="U53" s="103">
        <v>1.0525426407975187</v>
      </c>
      <c r="V53" s="104">
        <v>1.1384701145115452</v>
      </c>
      <c r="W53" s="104">
        <v>0.93313629908978279</v>
      </c>
      <c r="X53" s="104">
        <v>1.096618060102567</v>
      </c>
      <c r="Y53" s="105">
        <v>1.0278244028405423</v>
      </c>
      <c r="Z53" s="104">
        <v>1.17</v>
      </c>
      <c r="AA53" s="104">
        <v>1.2</v>
      </c>
      <c r="AB53" s="104">
        <v>1.23</v>
      </c>
      <c r="AC53" s="104">
        <v>1.26</v>
      </c>
      <c r="AD53" s="104">
        <v>1.29</v>
      </c>
      <c r="AE53" s="104">
        <v>1.3179661016949153</v>
      </c>
      <c r="AF53" s="104">
        <v>1.3239361702127661</v>
      </c>
      <c r="AG53" s="104">
        <v>1.3257121439280359</v>
      </c>
      <c r="AH53" s="104">
        <v>1.3113728634361232</v>
      </c>
      <c r="AI53" s="104">
        <v>1.2782608695652173</v>
      </c>
      <c r="AJ53" s="104">
        <v>1.2201481481481482</v>
      </c>
      <c r="AK53" s="104">
        <v>1.162465352112676</v>
      </c>
      <c r="AL53" s="104">
        <v>1.1256417246175243</v>
      </c>
      <c r="AM53" s="104">
        <v>1.0906991780821917</v>
      </c>
      <c r="AN53" s="104">
        <v>1.0553918918918916</v>
      </c>
      <c r="AO53" s="104">
        <v>1.0399350199733688</v>
      </c>
      <c r="AP53" s="104">
        <v>1.0307196078431373</v>
      </c>
      <c r="AQ53" s="104">
        <v>1.0207246786632391</v>
      </c>
      <c r="AR53" s="104">
        <v>1.0123915510718791</v>
      </c>
      <c r="AS53" s="104">
        <v>1.0033024752475248</v>
      </c>
      <c r="AT53" s="104">
        <v>0.99350778588807764</v>
      </c>
      <c r="AU53" s="104">
        <v>0.98300476190476183</v>
      </c>
      <c r="AV53" s="104">
        <v>0.9774252042007</v>
      </c>
      <c r="AW53" s="104">
        <v>0.97324236902050121</v>
      </c>
      <c r="AX53" s="104">
        <v>0.96804927536231866</v>
      </c>
      <c r="AY53" s="104">
        <v>0.96192052401746708</v>
      </c>
      <c r="AZ53" s="104">
        <v>0.95484631803628595</v>
      </c>
      <c r="BA53" s="104">
        <v>0.94680919540229891</v>
      </c>
      <c r="BB53" s="104">
        <v>0.95608615384615381</v>
      </c>
      <c r="BC53" s="104">
        <v>0.96016931589537224</v>
      </c>
      <c r="BD53" s="104">
        <v>0.96866041461006891</v>
      </c>
      <c r="BE53" s="104">
        <v>0.97675634075508233</v>
      </c>
      <c r="BF53" s="104">
        <v>0.98904952561669834</v>
      </c>
      <c r="BG53" s="104">
        <v>0.99625594795539041</v>
      </c>
      <c r="BH53" s="104">
        <v>1.0075619307832422</v>
      </c>
      <c r="BI53" s="104">
        <v>1.0138995535714288</v>
      </c>
      <c r="BJ53" s="104">
        <v>1.024206993006993</v>
      </c>
      <c r="BK53" s="104">
        <v>1.0340267352185091</v>
      </c>
      <c r="BL53" s="104">
        <v>1.0433204697986578</v>
      </c>
      <c r="BM53" s="104">
        <v>1.0520859375</v>
      </c>
      <c r="BN53" s="104">
        <v>1.0603478260869565</v>
      </c>
      <c r="BO53" s="104">
        <v>1.0681017363851617</v>
      </c>
      <c r="BP53" s="104">
        <v>1.0753144624903326</v>
      </c>
      <c r="BQ53" s="104">
        <v>1.0820078847611827</v>
      </c>
      <c r="BR53" s="104">
        <v>1.0922028231797918</v>
      </c>
      <c r="BS53" s="104">
        <v>1.0978064093226512</v>
      </c>
      <c r="BT53" s="104">
        <v>1.1068094218415416</v>
      </c>
      <c r="BU53" s="104">
        <v>1.1152020979020978</v>
      </c>
    </row>
    <row r="54" spans="1:73" x14ac:dyDescent="0.3">
      <c r="A54" s="97" t="s">
        <v>426</v>
      </c>
      <c r="B54" s="97" t="s">
        <v>309</v>
      </c>
      <c r="C54" s="97" t="s">
        <v>360</v>
      </c>
      <c r="D54" s="97" t="s">
        <v>311</v>
      </c>
      <c r="E54" s="157" t="s">
        <v>361</v>
      </c>
      <c r="F54" s="97" t="s">
        <v>7</v>
      </c>
      <c r="G54" s="97" t="s">
        <v>313</v>
      </c>
      <c r="H54" s="97" t="s">
        <v>75</v>
      </c>
      <c r="I54" s="97"/>
      <c r="J54" s="97"/>
      <c r="K54" s="97"/>
      <c r="L54" s="97"/>
      <c r="M54" s="107">
        <v>3.5077401077959807</v>
      </c>
      <c r="N54" s="107">
        <v>3.8631012973293588</v>
      </c>
      <c r="O54" s="107">
        <v>4.2289142865548959</v>
      </c>
      <c r="P54" s="107">
        <v>4.2573664079391049</v>
      </c>
      <c r="Q54" s="107">
        <v>4.491370589935757</v>
      </c>
      <c r="R54" s="107">
        <v>4.4414342136287788</v>
      </c>
      <c r="S54" s="107">
        <v>4.0332333700961565</v>
      </c>
      <c r="T54" s="107">
        <v>4.3525939162454348</v>
      </c>
      <c r="U54" s="107">
        <v>4.7630758302215384</v>
      </c>
      <c r="V54" s="101">
        <v>5.2140192621428216</v>
      </c>
      <c r="W54" s="101">
        <v>4.8432446410198464</v>
      </c>
      <c r="X54" s="101">
        <v>5.4102095818988847</v>
      </c>
      <c r="Y54" s="108">
        <v>5.3645577792123946</v>
      </c>
      <c r="Z54" s="101">
        <v>5.76</v>
      </c>
      <c r="AA54" s="101">
        <v>5.94</v>
      </c>
      <c r="AB54" s="101">
        <v>6.08</v>
      </c>
      <c r="AC54" s="101">
        <v>6.2</v>
      </c>
      <c r="AD54" s="101">
        <v>6.36</v>
      </c>
      <c r="AE54" s="101">
        <v>6.4408333333333339</v>
      </c>
      <c r="AF54" s="101">
        <v>6.5305263157894737</v>
      </c>
      <c r="AG54" s="101">
        <v>6.5711851851851852</v>
      </c>
      <c r="AH54" s="101">
        <v>6.5435217391304352</v>
      </c>
      <c r="AI54" s="101">
        <v>6.3233571428571436</v>
      </c>
      <c r="AJ54" s="101">
        <v>6.0792211267605634</v>
      </c>
      <c r="AK54" s="101">
        <v>5.8471458333333324</v>
      </c>
      <c r="AL54" s="101">
        <v>5.6219890410958913</v>
      </c>
      <c r="AM54" s="101">
        <v>5.4597094594594591</v>
      </c>
      <c r="AN54" s="101">
        <v>5.3852266666666662</v>
      </c>
      <c r="AO54" s="101">
        <v>5.3157953947368419</v>
      </c>
      <c r="AP54" s="101">
        <v>5.2651741935483871</v>
      </c>
      <c r="AQ54" s="101">
        <v>5.2037367088607596</v>
      </c>
      <c r="AR54" s="101">
        <v>5.1756795031055898</v>
      </c>
      <c r="AS54" s="101">
        <v>5.1436097560975611</v>
      </c>
      <c r="AT54" s="101">
        <v>5.1018143712574853</v>
      </c>
      <c r="AU54" s="101">
        <v>5.0805176470588238</v>
      </c>
      <c r="AV54" s="101">
        <v>5.0489120689655174</v>
      </c>
      <c r="AW54" s="101">
        <v>5.0475134831460675</v>
      </c>
      <c r="AX54" s="101">
        <v>5.0296071428571434</v>
      </c>
      <c r="AY54" s="101">
        <v>5.0069741935483867</v>
      </c>
      <c r="AZ54" s="101">
        <v>4.9897715789473684</v>
      </c>
      <c r="BA54" s="101">
        <v>4.9625876288659798</v>
      </c>
      <c r="BB54" s="101">
        <v>5.0133712121212124</v>
      </c>
      <c r="BC54" s="101">
        <v>5.0679164179104479</v>
      </c>
      <c r="BD54" s="101">
        <v>5.1203443902439032</v>
      </c>
      <c r="BE54" s="101">
        <v>5.1768622009569389</v>
      </c>
      <c r="BF54" s="101">
        <v>5.2360158878504661</v>
      </c>
      <c r="BG54" s="101">
        <v>5.298559633027522</v>
      </c>
      <c r="BH54" s="101">
        <v>5.3595201793721978</v>
      </c>
      <c r="BI54" s="101">
        <v>5.41793832599119</v>
      </c>
      <c r="BJ54" s="101">
        <v>5.484296551724138</v>
      </c>
      <c r="BK54" s="101">
        <v>5.5439886075949358</v>
      </c>
      <c r="BL54" s="101">
        <v>5.6102809917355367</v>
      </c>
      <c r="BM54" s="101">
        <v>5.670399999999999</v>
      </c>
      <c r="BN54" s="101">
        <v>5.7378428571428568</v>
      </c>
      <c r="BO54" s="101">
        <v>5.7981272373540858</v>
      </c>
      <c r="BP54" s="101">
        <v>5.8609419847328246</v>
      </c>
      <c r="BQ54" s="101">
        <v>5.9211737827715361</v>
      </c>
      <c r="BR54" s="101">
        <v>5.9840300366300365</v>
      </c>
      <c r="BS54" s="101">
        <v>6.0441633093525189</v>
      </c>
      <c r="BT54" s="101">
        <v>6.1066827464788735</v>
      </c>
      <c r="BU54" s="101">
        <v>6.1706965517241388</v>
      </c>
    </row>
    <row r="55" spans="1:73" x14ac:dyDescent="0.3">
      <c r="A55" s="97" t="s">
        <v>426</v>
      </c>
      <c r="B55" s="102" t="s">
        <v>309</v>
      </c>
      <c r="C55" s="102" t="s">
        <v>362</v>
      </c>
      <c r="D55" s="102" t="s">
        <v>311</v>
      </c>
      <c r="E55" s="158" t="s">
        <v>363</v>
      </c>
      <c r="F55" s="102" t="s">
        <v>7</v>
      </c>
      <c r="G55" s="102" t="s">
        <v>313</v>
      </c>
      <c r="H55" s="102" t="s">
        <v>75</v>
      </c>
      <c r="I55" s="102"/>
      <c r="J55" s="102"/>
      <c r="K55" s="102"/>
      <c r="L55" s="102"/>
      <c r="M55" s="103">
        <v>0</v>
      </c>
      <c r="N55" s="103">
        <v>0</v>
      </c>
      <c r="O55" s="103">
        <v>0</v>
      </c>
      <c r="P55" s="103">
        <v>0</v>
      </c>
      <c r="Q55" s="103">
        <v>0</v>
      </c>
      <c r="R55" s="103">
        <v>0</v>
      </c>
      <c r="S55" s="103">
        <v>0</v>
      </c>
      <c r="T55" s="103">
        <v>0</v>
      </c>
      <c r="U55" s="103">
        <v>0</v>
      </c>
      <c r="V55" s="104">
        <v>0</v>
      </c>
      <c r="W55" s="104">
        <v>0</v>
      </c>
      <c r="X55" s="104">
        <v>0</v>
      </c>
      <c r="Y55" s="105">
        <v>0</v>
      </c>
      <c r="Z55" s="104">
        <v>0</v>
      </c>
      <c r="AA55" s="104">
        <v>0</v>
      </c>
      <c r="AB55" s="104">
        <v>0</v>
      </c>
      <c r="AC55" s="104">
        <v>0</v>
      </c>
      <c r="AD55" s="104">
        <v>0</v>
      </c>
      <c r="AE55" s="104">
        <v>0</v>
      </c>
      <c r="AF55" s="104">
        <v>0</v>
      </c>
      <c r="AG55" s="104">
        <v>0</v>
      </c>
      <c r="AH55" s="104">
        <v>0</v>
      </c>
      <c r="AI55" s="104">
        <v>1.04</v>
      </c>
      <c r="AJ55" s="104">
        <v>0.96</v>
      </c>
      <c r="AK55" s="104">
        <v>0.89</v>
      </c>
      <c r="AL55" s="104">
        <v>0.39</v>
      </c>
      <c r="AM55" s="104">
        <v>0</v>
      </c>
      <c r="AN55" s="104">
        <v>0</v>
      </c>
      <c r="AO55" s="104">
        <v>0</v>
      </c>
      <c r="AP55" s="104">
        <v>0</v>
      </c>
      <c r="AQ55" s="104">
        <v>0</v>
      </c>
      <c r="AR55" s="104">
        <v>0</v>
      </c>
      <c r="AS55" s="104">
        <v>0</v>
      </c>
      <c r="AT55" s="104">
        <v>0</v>
      </c>
      <c r="AU55" s="104">
        <v>0</v>
      </c>
      <c r="AV55" s="104">
        <v>0</v>
      </c>
      <c r="AW55" s="104">
        <v>0</v>
      </c>
      <c r="AX55" s="104">
        <v>0</v>
      </c>
      <c r="AY55" s="104">
        <v>0</v>
      </c>
      <c r="AZ55" s="104">
        <v>0</v>
      </c>
      <c r="BA55" s="104">
        <v>0</v>
      </c>
      <c r="BB55" s="104">
        <v>0</v>
      </c>
      <c r="BC55" s="104">
        <v>0</v>
      </c>
      <c r="BD55" s="104">
        <v>0</v>
      </c>
      <c r="BE55" s="104">
        <v>0</v>
      </c>
      <c r="BF55" s="104">
        <v>0</v>
      </c>
      <c r="BG55" s="104">
        <v>0</v>
      </c>
      <c r="BH55" s="104">
        <v>0</v>
      </c>
      <c r="BI55" s="104">
        <v>0</v>
      </c>
      <c r="BJ55" s="104">
        <v>0</v>
      </c>
      <c r="BK55" s="104">
        <v>0</v>
      </c>
      <c r="BL55" s="104">
        <v>0</v>
      </c>
      <c r="BM55" s="104">
        <v>0</v>
      </c>
      <c r="BN55" s="104">
        <v>0</v>
      </c>
      <c r="BO55" s="104">
        <v>0</v>
      </c>
      <c r="BP55" s="104">
        <v>0</v>
      </c>
      <c r="BQ55" s="104">
        <v>0</v>
      </c>
      <c r="BR55" s="104">
        <v>0</v>
      </c>
      <c r="BS55" s="104">
        <v>0</v>
      </c>
      <c r="BT55" s="104">
        <v>0</v>
      </c>
      <c r="BU55" s="104">
        <v>0</v>
      </c>
    </row>
    <row r="56" spans="1:73" x14ac:dyDescent="0.3">
      <c r="A56" s="97" t="s">
        <v>426</v>
      </c>
      <c r="B56" s="97" t="s">
        <v>309</v>
      </c>
      <c r="C56" s="97" t="s">
        <v>364</v>
      </c>
      <c r="D56" s="97" t="s">
        <v>311</v>
      </c>
      <c r="E56" s="97" t="s">
        <v>365</v>
      </c>
      <c r="F56" s="97" t="s">
        <v>7</v>
      </c>
      <c r="G56" s="97" t="s">
        <v>313</v>
      </c>
      <c r="H56" s="97" t="s">
        <v>75</v>
      </c>
      <c r="I56" s="97"/>
      <c r="J56" s="97"/>
      <c r="K56" s="97"/>
      <c r="L56" s="97"/>
      <c r="M56" s="107">
        <v>6.0819000000000001</v>
      </c>
      <c r="N56" s="107">
        <v>6.0819000000000001</v>
      </c>
      <c r="O56" s="107">
        <v>6.0819000000000001</v>
      </c>
      <c r="P56" s="107">
        <v>6.0819000000000001</v>
      </c>
      <c r="Q56" s="107">
        <v>6.0819000000000001</v>
      </c>
      <c r="R56" s="107">
        <v>6.0819000000000001</v>
      </c>
      <c r="S56" s="107">
        <v>6.0819000000000001</v>
      </c>
      <c r="T56" s="107">
        <v>6.0819000000000001</v>
      </c>
      <c r="U56" s="107">
        <v>6.0819000000000001</v>
      </c>
      <c r="V56" s="101">
        <v>6.6056999999999997</v>
      </c>
      <c r="W56" s="101">
        <v>6.1866599999999998</v>
      </c>
      <c r="X56" s="101">
        <v>5.9538599999999997</v>
      </c>
      <c r="Y56" s="108">
        <v>6.2070299999999996</v>
      </c>
      <c r="Z56" s="101">
        <v>6.2070299999999996</v>
      </c>
      <c r="AA56" s="101">
        <v>6.2070299999999996</v>
      </c>
      <c r="AB56" s="101">
        <v>6.2070299999999996</v>
      </c>
      <c r="AC56" s="101">
        <v>6.2070299999999996</v>
      </c>
      <c r="AD56" s="101">
        <v>6.2070299999999996</v>
      </c>
      <c r="AE56" s="101">
        <v>6.2070299999999996</v>
      </c>
      <c r="AF56" s="101">
        <v>6.2070299999999996</v>
      </c>
      <c r="AG56" s="101">
        <v>6.2070299999999996</v>
      </c>
      <c r="AH56" s="101">
        <v>6.2070299999999996</v>
      </c>
      <c r="AI56" s="101">
        <v>2.5170300000000001</v>
      </c>
      <c r="AJ56" s="101">
        <v>2.5170300000000001</v>
      </c>
      <c r="AK56" s="101">
        <v>2.5170300000000001</v>
      </c>
      <c r="AL56" s="101">
        <v>2.2416529999999999</v>
      </c>
      <c r="AM56" s="101">
        <v>2.2416529999999999</v>
      </c>
      <c r="AN56" s="101">
        <v>2.2416529999999999</v>
      </c>
      <c r="AO56" s="101">
        <v>2.2416529999999999</v>
      </c>
      <c r="AP56" s="101">
        <v>2.2416529999999999</v>
      </c>
      <c r="AQ56" s="101">
        <v>2.2416529999999999</v>
      </c>
      <c r="AR56" s="101">
        <v>2.2416529999999999</v>
      </c>
      <c r="AS56" s="101">
        <v>2.2416529999999999</v>
      </c>
      <c r="AT56" s="101">
        <v>2.2416529999999999</v>
      </c>
      <c r="AU56" s="101">
        <v>2.2416529999999999</v>
      </c>
      <c r="AV56" s="101">
        <v>2.2416529999999999</v>
      </c>
      <c r="AW56" s="101">
        <v>2.2416529999999999</v>
      </c>
      <c r="AX56" s="101">
        <v>2.2416529999999999</v>
      </c>
      <c r="AY56" s="101">
        <v>2.2416529999999999</v>
      </c>
      <c r="AZ56" s="101">
        <v>2.2416529999999999</v>
      </c>
      <c r="BA56" s="101">
        <v>2.2416529999999999</v>
      </c>
      <c r="BB56" s="101">
        <v>2.2416529999999999</v>
      </c>
      <c r="BC56" s="101">
        <v>2.2416529999999999</v>
      </c>
      <c r="BD56" s="101">
        <v>2.2416529999999999</v>
      </c>
      <c r="BE56" s="101">
        <v>2.2416529999999999</v>
      </c>
      <c r="BF56" s="101">
        <v>2.2416529999999999</v>
      </c>
      <c r="BG56" s="101">
        <v>2.2416529999999999</v>
      </c>
      <c r="BH56" s="101">
        <v>2.2416529999999999</v>
      </c>
      <c r="BI56" s="101">
        <v>2.2416529999999999</v>
      </c>
      <c r="BJ56" s="101">
        <v>2.2416529999999999</v>
      </c>
      <c r="BK56" s="101">
        <v>2.2416529999999999</v>
      </c>
      <c r="BL56" s="101">
        <v>2.2416529999999999</v>
      </c>
      <c r="BM56" s="101">
        <v>2.2416529999999999</v>
      </c>
      <c r="BN56" s="101">
        <v>2.2416529999999999</v>
      </c>
      <c r="BO56" s="101">
        <v>2.2416529999999999</v>
      </c>
      <c r="BP56" s="101">
        <v>2.2416529999999999</v>
      </c>
      <c r="BQ56" s="101">
        <v>2.2416529999999999</v>
      </c>
      <c r="BR56" s="101">
        <v>2.2416529999999999</v>
      </c>
      <c r="BS56" s="101">
        <v>2.2416529999999999</v>
      </c>
      <c r="BT56" s="101">
        <v>2.2416529999999999</v>
      </c>
      <c r="BU56" s="101">
        <v>2.2416499999999999</v>
      </c>
    </row>
    <row r="57" spans="1:73" ht="15" thickBot="1" x14ac:dyDescent="0.35">
      <c r="A57" s="97" t="s">
        <v>426</v>
      </c>
      <c r="B57" s="102" t="s">
        <v>309</v>
      </c>
      <c r="C57" s="102" t="s">
        <v>366</v>
      </c>
      <c r="D57" s="102" t="s">
        <v>311</v>
      </c>
      <c r="E57" s="102" t="s">
        <v>367</v>
      </c>
      <c r="F57" s="102" t="s">
        <v>7</v>
      </c>
      <c r="G57" s="102" t="s">
        <v>313</v>
      </c>
      <c r="H57" s="102" t="s">
        <v>75</v>
      </c>
      <c r="I57" s="102"/>
      <c r="J57" s="102"/>
      <c r="K57" s="102"/>
      <c r="L57" s="102"/>
      <c r="M57" s="110">
        <v>3.5977416999999998E-2</v>
      </c>
      <c r="N57" s="110">
        <v>5.0368384000000002E-2</v>
      </c>
      <c r="O57" s="110">
        <v>4.3172901E-2</v>
      </c>
      <c r="P57" s="110">
        <v>0.10433451000000001</v>
      </c>
      <c r="Q57" s="110">
        <v>0.16909386100000001</v>
      </c>
      <c r="R57" s="110">
        <v>0.165496119</v>
      </c>
      <c r="S57" s="110">
        <v>1.44629217</v>
      </c>
      <c r="T57" s="110">
        <v>0.76272124399999996</v>
      </c>
      <c r="U57" s="110">
        <v>0.91979864717806825</v>
      </c>
      <c r="V57" s="96">
        <v>6.5717789285822841</v>
      </c>
      <c r="W57" s="96">
        <v>4.8232404770645925</v>
      </c>
      <c r="X57" s="96">
        <v>1.8856843657413787</v>
      </c>
      <c r="Y57" s="111">
        <v>3.55</v>
      </c>
      <c r="Z57">
        <v>3.55</v>
      </c>
      <c r="AA57">
        <v>3.55</v>
      </c>
      <c r="AB57">
        <v>3.55</v>
      </c>
      <c r="AC57">
        <v>3.55</v>
      </c>
      <c r="AD57">
        <v>3.55</v>
      </c>
      <c r="AE57">
        <v>3.55</v>
      </c>
      <c r="AF57">
        <v>3.55</v>
      </c>
      <c r="AG57">
        <v>1.615</v>
      </c>
      <c r="AH57">
        <v>3.55</v>
      </c>
      <c r="AI57">
        <v>3.55</v>
      </c>
      <c r="AJ57">
        <v>3.55</v>
      </c>
      <c r="AK57">
        <v>3.55</v>
      </c>
      <c r="AL57">
        <v>3.55</v>
      </c>
      <c r="AM57">
        <v>3.55</v>
      </c>
      <c r="AN57">
        <v>3.55</v>
      </c>
      <c r="AO57">
        <v>3.55</v>
      </c>
      <c r="AP57">
        <v>3.55</v>
      </c>
      <c r="AQ57">
        <v>3.55</v>
      </c>
      <c r="AR57">
        <v>3.55</v>
      </c>
      <c r="AS57">
        <v>3.55</v>
      </c>
      <c r="AT57">
        <v>3.55</v>
      </c>
      <c r="AU57">
        <v>3.55</v>
      </c>
      <c r="AV57">
        <v>3.55</v>
      </c>
      <c r="AW57">
        <v>3.55</v>
      </c>
      <c r="AX57">
        <v>3.55</v>
      </c>
      <c r="AY57">
        <v>3.55</v>
      </c>
      <c r="AZ57">
        <v>3.55</v>
      </c>
      <c r="BA57">
        <v>3.55</v>
      </c>
      <c r="BB57">
        <v>3.55</v>
      </c>
      <c r="BC57">
        <v>3.55</v>
      </c>
      <c r="BD57">
        <v>3.55</v>
      </c>
      <c r="BE57">
        <v>3.55</v>
      </c>
      <c r="BF57">
        <v>3.55</v>
      </c>
      <c r="BG57">
        <v>3.55</v>
      </c>
      <c r="BH57">
        <v>3.55</v>
      </c>
      <c r="BI57">
        <v>3.55</v>
      </c>
      <c r="BJ57">
        <v>3.55</v>
      </c>
      <c r="BK57">
        <v>3.55</v>
      </c>
      <c r="BL57">
        <v>3.55</v>
      </c>
      <c r="BM57">
        <v>3.55</v>
      </c>
      <c r="BN57">
        <v>3.55</v>
      </c>
      <c r="BO57">
        <v>3.55</v>
      </c>
      <c r="BP57">
        <v>3.55</v>
      </c>
      <c r="BQ57">
        <v>3.55</v>
      </c>
      <c r="BR57">
        <v>3.55</v>
      </c>
      <c r="BS57">
        <v>3.55</v>
      </c>
      <c r="BT57">
        <v>3.55</v>
      </c>
      <c r="BU57">
        <v>3.55</v>
      </c>
    </row>
    <row r="58" spans="1:73" x14ac:dyDescent="0.3">
      <c r="A58" s="172" t="s">
        <v>428</v>
      </c>
      <c r="B58" t="s">
        <v>309</v>
      </c>
      <c r="C58" t="s">
        <v>310</v>
      </c>
      <c r="D58" t="s">
        <v>311</v>
      </c>
      <c r="E58" t="s">
        <v>312</v>
      </c>
      <c r="F58" t="s">
        <v>7</v>
      </c>
      <c r="G58" t="s">
        <v>313</v>
      </c>
      <c r="H58" t="s">
        <v>75</v>
      </c>
      <c r="M58">
        <v>11.358783643222145</v>
      </c>
      <c r="N58">
        <v>11.114908317071787</v>
      </c>
      <c r="O58">
        <v>10.476187224773231</v>
      </c>
      <c r="P58">
        <v>9.9774041172419032</v>
      </c>
      <c r="Q58">
        <v>9.8403694101669394</v>
      </c>
      <c r="R58">
        <v>8.9072559598725949</v>
      </c>
      <c r="S58">
        <v>8.6302832680304018</v>
      </c>
      <c r="T58">
        <v>8.3742141755725275</v>
      </c>
      <c r="U58">
        <v>8.0826849999999997</v>
      </c>
      <c r="V58">
        <v>7.7284870000000003</v>
      </c>
      <c r="W58">
        <v>7.3394500000000003</v>
      </c>
      <c r="X58">
        <v>7.1160819999999996</v>
      </c>
      <c r="Y58">
        <v>6.5004519044544864</v>
      </c>
      <c r="Z58">
        <v>6.6692999999999998</v>
      </c>
      <c r="AA58">
        <v>6.4459809999999997</v>
      </c>
      <c r="AB58">
        <v>6.2226140000000001</v>
      </c>
      <c r="AC58">
        <v>6.0629080000000002</v>
      </c>
      <c r="AD58">
        <v>5.9032020000000003</v>
      </c>
      <c r="AE58">
        <v>5.7377525040000004</v>
      </c>
      <c r="AF58">
        <v>5.5279511100000001</v>
      </c>
      <c r="AG58">
        <v>5.3156013400000006</v>
      </c>
      <c r="AH58">
        <v>5.0244385868850001</v>
      </c>
      <c r="AI58">
        <v>4.7409637806160001</v>
      </c>
      <c r="AJ58">
        <v>4.4651750629200002</v>
      </c>
      <c r="AK58">
        <v>4.1970733798880007</v>
      </c>
      <c r="AL58">
        <v>3.936658731520001</v>
      </c>
      <c r="AM58">
        <v>3.711114110546001</v>
      </c>
      <c r="AN58">
        <v>3.4908825551460008</v>
      </c>
      <c r="AO58">
        <v>3.2759640653200015</v>
      </c>
      <c r="AP58">
        <v>3.0663586410680015</v>
      </c>
      <c r="AQ58">
        <v>2.8620656414799996</v>
      </c>
      <c r="AR58">
        <v>2.7011178676430001</v>
      </c>
      <c r="AS58">
        <v>2.54312114212</v>
      </c>
      <c r="AT58">
        <v>2.3880761058210003</v>
      </c>
      <c r="AU58">
        <v>2.2359827587460002</v>
      </c>
      <c r="AV58">
        <v>2.0868415963500002</v>
      </c>
      <c r="AW58">
        <v>1.9513621142560005</v>
      </c>
      <c r="AX58">
        <v>1.8174981135740005</v>
      </c>
      <c r="AY58">
        <v>1.6852495943040007</v>
      </c>
      <c r="AZ58">
        <v>1.5546165564460008</v>
      </c>
      <c r="BA58">
        <v>1.4255990000000001</v>
      </c>
      <c r="BB58">
        <v>1.3109976359999997</v>
      </c>
      <c r="BC58">
        <v>1.1977925239999998</v>
      </c>
      <c r="BD58">
        <v>1.0859836639999996</v>
      </c>
      <c r="BE58">
        <v>0.97557105599999971</v>
      </c>
      <c r="BF58">
        <v>0.86655469999999968</v>
      </c>
      <c r="BG58">
        <v>0.75910647999999969</v>
      </c>
      <c r="BH58">
        <v>0.65300827199999967</v>
      </c>
      <c r="BI58">
        <v>0.5482602959999997</v>
      </c>
      <c r="BJ58">
        <v>0.44486255199999974</v>
      </c>
      <c r="BK58">
        <v>0.34281503999999996</v>
      </c>
      <c r="BL58">
        <v>0.26487621999999994</v>
      </c>
      <c r="BM58">
        <v>0.1979418</v>
      </c>
      <c r="BN58">
        <v>0.14820117799999999</v>
      </c>
      <c r="BO58">
        <v>0.1231</v>
      </c>
      <c r="BP58">
        <v>0.1124</v>
      </c>
      <c r="BQ58">
        <v>0.1116</v>
      </c>
      <c r="BR58">
        <v>0.1108</v>
      </c>
      <c r="BS58">
        <v>0.1101</v>
      </c>
      <c r="BT58">
        <v>0.1094</v>
      </c>
      <c r="BU58">
        <v>0.1087</v>
      </c>
    </row>
    <row r="59" spans="1:73" x14ac:dyDescent="0.3">
      <c r="A59" s="172" t="s">
        <v>428</v>
      </c>
      <c r="B59" t="s">
        <v>309</v>
      </c>
      <c r="C59" t="s">
        <v>314</v>
      </c>
      <c r="D59" t="s">
        <v>311</v>
      </c>
      <c r="E59" t="s">
        <v>315</v>
      </c>
      <c r="F59" t="s">
        <v>7</v>
      </c>
      <c r="G59" t="s">
        <v>313</v>
      </c>
      <c r="H59" t="s">
        <v>75</v>
      </c>
      <c r="M59">
        <v>31.794955319083638</v>
      </c>
      <c r="N59">
        <v>32.98762179506658</v>
      </c>
      <c r="O59">
        <v>34.129190583665633</v>
      </c>
      <c r="P59">
        <v>35.294566249341266</v>
      </c>
      <c r="Q59">
        <v>36.504652391477805</v>
      </c>
      <c r="R59">
        <v>36.546459590246435</v>
      </c>
      <c r="S59">
        <v>35.94780373010115</v>
      </c>
      <c r="T59">
        <v>36.038966649638311</v>
      </c>
      <c r="U59">
        <v>37.1881775038445</v>
      </c>
      <c r="V59">
        <v>38.3676044528952</v>
      </c>
      <c r="W59">
        <v>39.136214531015803</v>
      </c>
      <c r="X59">
        <v>39.917656399749603</v>
      </c>
      <c r="Y59">
        <v>41.302969657843768</v>
      </c>
      <c r="Z59">
        <v>40.99</v>
      </c>
      <c r="AA59">
        <v>41.51</v>
      </c>
      <c r="AB59">
        <v>42.04</v>
      </c>
      <c r="AC59">
        <v>42.55</v>
      </c>
      <c r="AD59">
        <v>43.06</v>
      </c>
      <c r="AE59">
        <v>43.526429999999998</v>
      </c>
      <c r="AF59">
        <v>43.829300000000003</v>
      </c>
      <c r="AG59">
        <v>43.8688</v>
      </c>
      <c r="AH59">
        <v>43.803280000000001</v>
      </c>
      <c r="AI59">
        <v>43.395679999999999</v>
      </c>
      <c r="AJ59">
        <v>42.989688999999998</v>
      </c>
      <c r="AK59">
        <v>42.404760000000003</v>
      </c>
      <c r="AL59">
        <v>41.768500000000003</v>
      </c>
      <c r="AM59">
        <v>40.868699999999997</v>
      </c>
      <c r="AN59">
        <v>39.888199999999998</v>
      </c>
      <c r="AO59">
        <v>38.875160000000001</v>
      </c>
      <c r="AP59">
        <v>37.9099</v>
      </c>
      <c r="AQ59">
        <v>36.78</v>
      </c>
      <c r="AR59">
        <v>35.596799999999995</v>
      </c>
      <c r="AS59">
        <v>34.375799999999998</v>
      </c>
      <c r="AT59">
        <v>33.131999999999998</v>
      </c>
      <c r="AU59">
        <v>31.859099999999994</v>
      </c>
      <c r="AV59">
        <v>30.557999999999993</v>
      </c>
      <c r="AW59">
        <v>29.229599999999991</v>
      </c>
      <c r="AX59">
        <v>27.87479999999999</v>
      </c>
      <c r="AY59">
        <v>26.494499999999992</v>
      </c>
      <c r="AZ59">
        <v>25.084799999999987</v>
      </c>
      <c r="BA59">
        <v>23.656500000000001</v>
      </c>
      <c r="BB59">
        <v>22.29271</v>
      </c>
      <c r="BC59">
        <v>21.103999999999999</v>
      </c>
      <c r="BD59">
        <v>20.01857</v>
      </c>
      <c r="BE59">
        <v>18.813580000000002</v>
      </c>
      <c r="BF59">
        <v>17.802880999999999</v>
      </c>
      <c r="BG59">
        <v>16.910546400000001</v>
      </c>
      <c r="BH59">
        <v>16.10971</v>
      </c>
      <c r="BI59">
        <v>15.5382</v>
      </c>
      <c r="BJ59">
        <v>14.912845099999998</v>
      </c>
      <c r="BK59">
        <v>14.34</v>
      </c>
      <c r="BL59">
        <v>13.88266666667</v>
      </c>
      <c r="BM59">
        <v>13.386559999999999</v>
      </c>
      <c r="BN59">
        <v>12.86084</v>
      </c>
      <c r="BO59">
        <v>12.636100000000001</v>
      </c>
      <c r="BP59">
        <v>12.5975</v>
      </c>
      <c r="BQ59">
        <v>12.5563</v>
      </c>
      <c r="BR59">
        <v>12.510400000000001</v>
      </c>
      <c r="BS59">
        <v>12.4643</v>
      </c>
      <c r="BT59">
        <v>12.413399999999999</v>
      </c>
      <c r="BU59">
        <v>12.3581</v>
      </c>
    </row>
    <row r="60" spans="1:73" x14ac:dyDescent="0.3">
      <c r="A60" s="172" t="s">
        <v>428</v>
      </c>
      <c r="B60" t="s">
        <v>309</v>
      </c>
      <c r="C60" t="s">
        <v>316</v>
      </c>
      <c r="D60" t="s">
        <v>311</v>
      </c>
      <c r="E60" t="s">
        <v>317</v>
      </c>
      <c r="F60" t="s">
        <v>7</v>
      </c>
      <c r="G60" t="s">
        <v>313</v>
      </c>
      <c r="H60" t="s">
        <v>75</v>
      </c>
      <c r="M60">
        <v>18.399514089706344</v>
      </c>
      <c r="N60">
        <v>19.251331946627307</v>
      </c>
      <c r="O60">
        <v>20.250503961403798</v>
      </c>
      <c r="P60">
        <v>21.159735055743361</v>
      </c>
      <c r="Q60">
        <v>22.89603174169196</v>
      </c>
      <c r="R60">
        <v>24.924099043161487</v>
      </c>
      <c r="S60">
        <v>25.561618113788189</v>
      </c>
      <c r="T60">
        <v>26.256082137778254</v>
      </c>
      <c r="U60">
        <v>26.624217749157602</v>
      </c>
      <c r="V60">
        <v>27.545137433144401</v>
      </c>
      <c r="W60">
        <v>29.009550701123501</v>
      </c>
      <c r="X60">
        <v>28.635027878821099</v>
      </c>
      <c r="Y60">
        <v>28.19864428663654</v>
      </c>
      <c r="Z60">
        <v>29.40164</v>
      </c>
      <c r="AA60">
        <v>29.779800000000002</v>
      </c>
      <c r="AB60">
        <v>30.15437</v>
      </c>
      <c r="AC60">
        <v>30.524940000000001</v>
      </c>
      <c r="AD60">
        <v>30.891380000000002</v>
      </c>
      <c r="AE60">
        <v>31.262076559999997</v>
      </c>
      <c r="AF60">
        <v>31.668483555279998</v>
      </c>
      <c r="AG60">
        <v>32.301853226385596</v>
      </c>
      <c r="AH60">
        <v>32.793995570451997</v>
      </c>
      <c r="AI60">
        <v>33.5033533450855</v>
      </c>
      <c r="AJ60">
        <v>34.087440532057698</v>
      </c>
      <c r="AK60">
        <v>34.636314937378302</v>
      </c>
      <c r="AL60">
        <v>35.182054568772998</v>
      </c>
      <c r="AM60">
        <v>35.608905716902903</v>
      </c>
      <c r="AN60">
        <v>36.267994774071965</v>
      </c>
      <c r="AO60">
        <v>36.993354669553405</v>
      </c>
      <c r="AP60">
        <v>37.918188536292234</v>
      </c>
      <c r="AQ60">
        <v>39.055734192381003</v>
      </c>
      <c r="AR60">
        <v>40.071183281382908</v>
      </c>
      <c r="AS60">
        <v>41.07296286341748</v>
      </c>
      <c r="AT60">
        <v>42.099786935002911</v>
      </c>
      <c r="AU60">
        <v>43.110181821442978</v>
      </c>
      <c r="AV60">
        <v>44.101716003336165</v>
      </c>
      <c r="AW60">
        <v>45.116055471412892</v>
      </c>
      <c r="AX60">
        <v>45.892796303484097</v>
      </c>
      <c r="AY60">
        <v>46.688102655429397</v>
      </c>
      <c r="AZ60">
        <v>47.269476605882524</v>
      </c>
      <c r="BA60">
        <v>47.836710325153113</v>
      </c>
      <c r="BB60">
        <v>48.280571664537</v>
      </c>
      <c r="BC60">
        <v>48.616225509452491</v>
      </c>
      <c r="BD60">
        <v>48.854439088018601</v>
      </c>
      <c r="BE60">
        <v>49.04367460072276</v>
      </c>
      <c r="BF60">
        <v>49.19080562452492</v>
      </c>
      <c r="BG60">
        <v>49.436759652647545</v>
      </c>
      <c r="BH60">
        <v>49.585069931605474</v>
      </c>
      <c r="BI60">
        <v>49.634655001537077</v>
      </c>
      <c r="BJ60">
        <v>49.73392431154015</v>
      </c>
      <c r="BK60">
        <v>49.73392431154015</v>
      </c>
      <c r="BL60">
        <v>49.733924311540157</v>
      </c>
      <c r="BM60">
        <v>49.833392160163228</v>
      </c>
      <c r="BN60">
        <v>49.833392160163228</v>
      </c>
      <c r="BO60">
        <v>49.845399999999998</v>
      </c>
      <c r="BP60">
        <v>49.939300000000003</v>
      </c>
      <c r="BQ60">
        <v>50.016199999999998</v>
      </c>
      <c r="BR60">
        <v>50.085000000000001</v>
      </c>
      <c r="BS60">
        <v>50.240900000000003</v>
      </c>
      <c r="BT60">
        <v>50.388599999999997</v>
      </c>
      <c r="BU60">
        <v>50.5214</v>
      </c>
    </row>
    <row r="61" spans="1:73" x14ac:dyDescent="0.3">
      <c r="A61" s="172" t="s">
        <v>428</v>
      </c>
      <c r="B61" t="s">
        <v>309</v>
      </c>
      <c r="C61" t="s">
        <v>318</v>
      </c>
      <c r="D61" t="s">
        <v>311</v>
      </c>
      <c r="E61" t="s">
        <v>319</v>
      </c>
      <c r="F61" t="s">
        <v>7</v>
      </c>
      <c r="G61" t="s">
        <v>313</v>
      </c>
      <c r="H61" t="s">
        <v>75</v>
      </c>
      <c r="M61">
        <v>23.857974763966439</v>
      </c>
      <c r="N61">
        <v>25.835106872399699</v>
      </c>
      <c r="O61">
        <v>28.75812685297327</v>
      </c>
      <c r="P61">
        <v>28.89458090450978</v>
      </c>
      <c r="Q61">
        <v>30.289315507874445</v>
      </c>
      <c r="R61">
        <v>30.867067768635412</v>
      </c>
      <c r="S61">
        <v>32.08818636600256</v>
      </c>
      <c r="T61">
        <v>34.068802407666539</v>
      </c>
      <c r="U61">
        <v>35.971610607177787</v>
      </c>
      <c r="V61">
        <v>37.38028094346533</v>
      </c>
      <c r="W61">
        <v>36.49129731409343</v>
      </c>
      <c r="X61">
        <v>40.945505949568179</v>
      </c>
      <c r="Y61">
        <v>42.48766946417043</v>
      </c>
      <c r="Z61">
        <v>43.412210000000002</v>
      </c>
      <c r="AA61">
        <v>45.137619999999998</v>
      </c>
      <c r="AB61">
        <v>45.901359999999997</v>
      </c>
      <c r="AC61">
        <v>47.357300000000002</v>
      </c>
      <c r="AD61">
        <v>48.397860000000001</v>
      </c>
      <c r="AE61">
        <v>50.15531</v>
      </c>
      <c r="AF61">
        <v>50.746839999999999</v>
      </c>
      <c r="AG61">
        <v>52.324120000000001</v>
      </c>
      <c r="AH61">
        <v>53.510590000000001</v>
      </c>
      <c r="AI61">
        <v>55.175409999999999</v>
      </c>
      <c r="AJ61">
        <v>56.337440000000001</v>
      </c>
      <c r="AK61">
        <v>57.979320000000001</v>
      </c>
      <c r="AL61">
        <v>58.95532</v>
      </c>
      <c r="AM61">
        <v>60.729239999999997</v>
      </c>
      <c r="AN61">
        <v>61.746220000000001</v>
      </c>
      <c r="AO61">
        <v>63.420589999999997</v>
      </c>
      <c r="AP61">
        <v>64.688789999999997</v>
      </c>
      <c r="AQ61">
        <v>66.34666</v>
      </c>
      <c r="AR61">
        <v>67.560360000000003</v>
      </c>
      <c r="AS61">
        <v>69.217910000000003</v>
      </c>
      <c r="AT61">
        <v>70.157169999999994</v>
      </c>
      <c r="AU61">
        <v>71.813730000000007</v>
      </c>
      <c r="AV61">
        <v>72.902749999999997</v>
      </c>
      <c r="AW61">
        <v>74.658940000000001</v>
      </c>
      <c r="AX61">
        <v>75.810609999999997</v>
      </c>
      <c r="AY61">
        <v>77.232050000000001</v>
      </c>
      <c r="AZ61">
        <v>78.436809999999994</v>
      </c>
      <c r="BA61">
        <v>79.892700000000005</v>
      </c>
      <c r="BB61">
        <v>81.44</v>
      </c>
      <c r="BC61">
        <v>82.97</v>
      </c>
      <c r="BD61">
        <v>84.502899999999997</v>
      </c>
      <c r="BE61">
        <v>86.612600000000015</v>
      </c>
      <c r="BF61">
        <v>88.811899999999994</v>
      </c>
      <c r="BG61">
        <v>91.021199999999993</v>
      </c>
      <c r="BH61">
        <v>93.313800000000015</v>
      </c>
      <c r="BI61">
        <v>95.609200000000001</v>
      </c>
      <c r="BJ61">
        <v>97.985299999999981</v>
      </c>
      <c r="BK61">
        <v>100.42300000000002</v>
      </c>
      <c r="BL61">
        <v>102.93100000000001</v>
      </c>
      <c r="BM61">
        <v>105.48199999999999</v>
      </c>
      <c r="BN61">
        <v>108.08199999999999</v>
      </c>
      <c r="BO61">
        <v>110.754</v>
      </c>
      <c r="BP61">
        <v>113.48600000000002</v>
      </c>
      <c r="BQ61">
        <v>116.313</v>
      </c>
      <c r="BR61">
        <v>119.20399999999999</v>
      </c>
      <c r="BS61">
        <v>122.17199999999998</v>
      </c>
      <c r="BT61">
        <v>125.208</v>
      </c>
      <c r="BU61">
        <v>128.33099999999999</v>
      </c>
    </row>
    <row r="62" spans="1:73" x14ac:dyDescent="0.3">
      <c r="A62" s="172" t="s">
        <v>428</v>
      </c>
      <c r="B62" t="s">
        <v>309</v>
      </c>
      <c r="C62" t="s">
        <v>320</v>
      </c>
      <c r="D62" t="s">
        <v>311</v>
      </c>
      <c r="E62" t="s">
        <v>321</v>
      </c>
      <c r="F62" t="s">
        <v>7</v>
      </c>
      <c r="G62" t="s">
        <v>313</v>
      </c>
      <c r="H62" t="s">
        <v>75</v>
      </c>
      <c r="M62">
        <v>9.7480451795528662</v>
      </c>
      <c r="N62">
        <v>10.056953926009987</v>
      </c>
      <c r="O62">
        <v>10.29095810800664</v>
      </c>
      <c r="P62">
        <v>10.507542623849695</v>
      </c>
      <c r="Q62">
        <v>10.703804195846889</v>
      </c>
      <c r="R62">
        <v>9.4641046212492359</v>
      </c>
      <c r="S62">
        <v>9.1342922754078</v>
      </c>
      <c r="T62">
        <v>9.148228008330678</v>
      </c>
      <c r="U62">
        <v>9.4607379223717292</v>
      </c>
      <c r="V62">
        <v>9.7371299586754692</v>
      </c>
      <c r="W62">
        <v>9.2977422803691905</v>
      </c>
      <c r="X62">
        <v>10.852196815581699</v>
      </c>
      <c r="Y62">
        <v>10.928405422853453</v>
      </c>
      <c r="Z62">
        <v>11.51</v>
      </c>
      <c r="AA62">
        <v>11.96</v>
      </c>
      <c r="AB62">
        <v>12.17</v>
      </c>
      <c r="AC62">
        <v>12.55</v>
      </c>
      <c r="AD62">
        <v>12.8</v>
      </c>
      <c r="AE62">
        <v>13.25</v>
      </c>
      <c r="AF62">
        <v>13.395</v>
      </c>
      <c r="AG62">
        <v>13.5328</v>
      </c>
      <c r="AH62">
        <v>13.6</v>
      </c>
      <c r="AI62">
        <v>13.523</v>
      </c>
      <c r="AJ62">
        <v>13.349600000000001</v>
      </c>
      <c r="AK62">
        <v>13.198</v>
      </c>
      <c r="AL62">
        <v>12.9954</v>
      </c>
      <c r="AM62">
        <v>12.812099999999999</v>
      </c>
      <c r="AN62">
        <v>12.64578</v>
      </c>
      <c r="AO62">
        <v>12.416</v>
      </c>
      <c r="AP62">
        <v>12.208600000000001</v>
      </c>
      <c r="AQ62">
        <v>12.057</v>
      </c>
      <c r="AR62">
        <v>11.8957</v>
      </c>
      <c r="AS62">
        <v>11.761900000000001</v>
      </c>
      <c r="AT62">
        <v>11.591200000000001</v>
      </c>
      <c r="AU62">
        <v>11.486700000000001</v>
      </c>
      <c r="AV62">
        <v>11.382199999999999</v>
      </c>
      <c r="AW62">
        <v>11.3073</v>
      </c>
      <c r="AX62">
        <v>11.2249</v>
      </c>
      <c r="AY62">
        <v>11.148999999999999</v>
      </c>
      <c r="AZ62">
        <v>11.0717</v>
      </c>
      <c r="BA62">
        <v>10.9777</v>
      </c>
      <c r="BB62">
        <v>10.922700000000003</v>
      </c>
      <c r="BC62">
        <v>11.040800000000001</v>
      </c>
      <c r="BD62">
        <v>11.165800000000001</v>
      </c>
      <c r="BE62">
        <v>11.2827</v>
      </c>
      <c r="BF62">
        <v>11.4063</v>
      </c>
      <c r="BG62">
        <v>11.521699999999999</v>
      </c>
      <c r="BH62">
        <v>11.643599999999999</v>
      </c>
      <c r="BI62">
        <v>11.762</v>
      </c>
      <c r="BJ62">
        <v>11.8819</v>
      </c>
      <c r="BK62">
        <v>12.003</v>
      </c>
      <c r="BL62">
        <v>12.125299999999999</v>
      </c>
      <c r="BM62">
        <v>12.2532</v>
      </c>
      <c r="BN62">
        <v>12.3728</v>
      </c>
      <c r="BO62">
        <v>12.4979</v>
      </c>
      <c r="BP62">
        <v>12.6236</v>
      </c>
      <c r="BQ62">
        <v>12.75</v>
      </c>
      <c r="BR62">
        <v>12.872299999999999</v>
      </c>
      <c r="BS62">
        <v>12.999499999999999</v>
      </c>
      <c r="BT62">
        <v>13.1225</v>
      </c>
      <c r="BU62">
        <v>13.25</v>
      </c>
    </row>
    <row r="63" spans="1:73" x14ac:dyDescent="0.3">
      <c r="A63" s="172" t="s">
        <v>428</v>
      </c>
      <c r="B63" t="s">
        <v>309</v>
      </c>
      <c r="C63" t="s">
        <v>322</v>
      </c>
      <c r="D63" t="s">
        <v>311</v>
      </c>
      <c r="E63" t="s">
        <v>323</v>
      </c>
      <c r="F63" t="s">
        <v>7</v>
      </c>
      <c r="G63" t="s">
        <v>313</v>
      </c>
      <c r="H63" t="s">
        <v>75</v>
      </c>
      <c r="M63">
        <v>2.4648827607339703</v>
      </c>
      <c r="N63">
        <v>2.7720495405757299</v>
      </c>
      <c r="O63">
        <v>2.4033332736579278</v>
      </c>
      <c r="P63">
        <v>2.5548843691942213</v>
      </c>
      <c r="Q63">
        <v>3.6691623474859734</v>
      </c>
      <c r="R63">
        <v>4.2178818313242781</v>
      </c>
      <c r="S63">
        <v>3.4055447330282065</v>
      </c>
      <c r="T63">
        <v>3.7562606782539585</v>
      </c>
      <c r="U63">
        <v>3.9680445141082998</v>
      </c>
      <c r="V63">
        <v>4.1453383632536003</v>
      </c>
      <c r="W63">
        <v>3.6902606348657798</v>
      </c>
      <c r="X63">
        <v>4.1259797721259996</v>
      </c>
      <c r="Y63">
        <v>4.250161394448031</v>
      </c>
      <c r="Z63">
        <v>4.37</v>
      </c>
      <c r="AA63">
        <v>4.55</v>
      </c>
      <c r="AB63">
        <v>4.63</v>
      </c>
      <c r="AC63">
        <v>4.7699999999999996</v>
      </c>
      <c r="AD63">
        <v>4.88</v>
      </c>
      <c r="AE63">
        <v>5.0099200000000002</v>
      </c>
      <c r="AF63">
        <v>5.1100000000000003</v>
      </c>
      <c r="AG63">
        <v>5.2625000000000002</v>
      </c>
      <c r="AH63">
        <v>5.2510399999999997</v>
      </c>
      <c r="AI63">
        <v>5.2380800000000001</v>
      </c>
      <c r="AJ63">
        <v>5.2271200000000002</v>
      </c>
      <c r="AK63">
        <v>5.2191599999999996</v>
      </c>
      <c r="AL63">
        <v>5.2051999999999996</v>
      </c>
      <c r="AM63">
        <v>5.1942399999999997</v>
      </c>
      <c r="AN63">
        <v>5.1832799999999999</v>
      </c>
      <c r="AO63">
        <v>5.17232</v>
      </c>
      <c r="AP63">
        <v>5.1613600000000002</v>
      </c>
      <c r="AQ63">
        <v>5.1504000000000003</v>
      </c>
      <c r="AR63">
        <v>5.1494</v>
      </c>
      <c r="AS63">
        <v>5.1444000000000001</v>
      </c>
      <c r="AT63">
        <v>5.1390000000000002</v>
      </c>
      <c r="AU63">
        <v>5.1322000000000001</v>
      </c>
      <c r="AV63">
        <v>5.1378000000000004</v>
      </c>
      <c r="AW63">
        <v>5.1237000000000004</v>
      </c>
      <c r="AX63">
        <v>5.1093000000000002</v>
      </c>
      <c r="AY63">
        <v>5.0881999999999996</v>
      </c>
      <c r="AZ63">
        <v>5.0681000000000003</v>
      </c>
      <c r="BA63">
        <v>5.0891999999999999</v>
      </c>
      <c r="BB63">
        <v>5.1266999999999996</v>
      </c>
      <c r="BC63">
        <v>5.2257999999999996</v>
      </c>
      <c r="BD63">
        <v>5.3323999999999998</v>
      </c>
      <c r="BE63">
        <v>5.4320000000000004</v>
      </c>
      <c r="BF63">
        <v>5.5415000000000001</v>
      </c>
      <c r="BG63">
        <v>5.6489000000000011</v>
      </c>
      <c r="BH63">
        <v>5.7614000000000001</v>
      </c>
      <c r="BI63">
        <v>5.8666</v>
      </c>
      <c r="BJ63">
        <v>5.9794999999999998</v>
      </c>
      <c r="BK63">
        <v>6.0972999999999997</v>
      </c>
      <c r="BL63">
        <v>6.2184999999999997</v>
      </c>
      <c r="BM63">
        <v>6.3367000000000004</v>
      </c>
      <c r="BN63">
        <v>6.4630000000000001</v>
      </c>
      <c r="BO63">
        <v>6.5895000000000001</v>
      </c>
      <c r="BP63">
        <v>6.7161999999999997</v>
      </c>
      <c r="BQ63">
        <v>6.8476999999999997</v>
      </c>
      <c r="BR63">
        <v>6.9829999999999997</v>
      </c>
      <c r="BS63">
        <v>7.1185999999999998</v>
      </c>
      <c r="BT63">
        <v>7.2588999999999988</v>
      </c>
      <c r="BU63">
        <v>7.3994</v>
      </c>
    </row>
    <row r="64" spans="1:73" x14ac:dyDescent="0.3">
      <c r="A64" s="172" t="s">
        <v>428</v>
      </c>
      <c r="B64" t="s">
        <v>309</v>
      </c>
      <c r="C64" t="s">
        <v>324</v>
      </c>
      <c r="D64" t="s">
        <v>311</v>
      </c>
      <c r="E64" t="s">
        <v>325</v>
      </c>
      <c r="F64" t="s">
        <v>7</v>
      </c>
      <c r="G64" t="s">
        <v>313</v>
      </c>
      <c r="H64" t="s">
        <v>75</v>
      </c>
      <c r="M64">
        <v>0</v>
      </c>
      <c r="N64">
        <v>6.5033420306761847E-2</v>
      </c>
      <c r="O64">
        <v>1.2292477749054895</v>
      </c>
      <c r="P64">
        <v>1.8151292132047996</v>
      </c>
      <c r="Q64">
        <v>2.0346170067401208</v>
      </c>
      <c r="R64">
        <v>0.81001447614225697</v>
      </c>
      <c r="S64">
        <v>2.3086864208900457</v>
      </c>
      <c r="T64">
        <v>2.1112635378159474</v>
      </c>
      <c r="U64">
        <v>1.96337828327746</v>
      </c>
      <c r="V64">
        <v>1.5793630784291599</v>
      </c>
      <c r="W64">
        <v>0.94433599472857999</v>
      </c>
      <c r="X64">
        <v>1.6548595399193</v>
      </c>
      <c r="Y64">
        <v>1.7430600387346675</v>
      </c>
      <c r="Z64">
        <v>1.75</v>
      </c>
      <c r="AA64">
        <v>1.82</v>
      </c>
      <c r="AB64">
        <v>1.86</v>
      </c>
      <c r="AC64">
        <v>1.91</v>
      </c>
      <c r="AD64">
        <v>1.96</v>
      </c>
      <c r="AE64">
        <v>2.0105</v>
      </c>
      <c r="AF64">
        <v>2.0449999999999999</v>
      </c>
      <c r="AG64">
        <v>2.06</v>
      </c>
      <c r="AH64">
        <v>2.0442800000000001</v>
      </c>
      <c r="AI64">
        <v>1.9991000000000001</v>
      </c>
      <c r="AJ64">
        <v>1.9595800000000001</v>
      </c>
      <c r="AK64">
        <v>1.927</v>
      </c>
      <c r="AL64">
        <v>1.8982000000000001</v>
      </c>
      <c r="AM64">
        <v>1.8724000000000001</v>
      </c>
      <c r="AN64">
        <v>1.8494999999999999</v>
      </c>
      <c r="AO64">
        <v>1.8324</v>
      </c>
      <c r="AP64">
        <v>1.8165000000000002</v>
      </c>
      <c r="AQ64">
        <v>1.8028</v>
      </c>
      <c r="AR64">
        <v>1.7869999999999999</v>
      </c>
      <c r="AS64">
        <v>1.7747000000000002</v>
      </c>
      <c r="AT64">
        <v>1.7607999999999999</v>
      </c>
      <c r="AU64">
        <v>1.7481</v>
      </c>
      <c r="AV64">
        <v>1.738</v>
      </c>
      <c r="AW64">
        <v>1.7262</v>
      </c>
      <c r="AX64">
        <v>1.7108000000000001</v>
      </c>
      <c r="AY64">
        <v>1.7014000000000002</v>
      </c>
      <c r="AZ64">
        <v>1.6880999999999999</v>
      </c>
      <c r="BA64">
        <v>1.6749000000000001</v>
      </c>
      <c r="BB64">
        <v>1.6645000000000001</v>
      </c>
      <c r="BC64">
        <v>1.6819999999999999</v>
      </c>
      <c r="BD64">
        <v>1.704</v>
      </c>
      <c r="BE64">
        <v>1.7205999999999999</v>
      </c>
      <c r="BF64">
        <v>1.7366999999999999</v>
      </c>
      <c r="BG64">
        <v>1.7572000000000001</v>
      </c>
      <c r="BH64">
        <v>1.7771999999999999</v>
      </c>
      <c r="BI64">
        <v>1.7919</v>
      </c>
      <c r="BJ64">
        <v>1.8108</v>
      </c>
      <c r="BK64">
        <v>1.8291999999999999</v>
      </c>
      <c r="BL64">
        <v>1.8471</v>
      </c>
      <c r="BM64">
        <v>1.869</v>
      </c>
      <c r="BN64">
        <v>1.8857999999999999</v>
      </c>
      <c r="BO64">
        <v>1.9066000000000001</v>
      </c>
      <c r="BP64">
        <v>1.9268000000000001</v>
      </c>
      <c r="BQ64">
        <v>1.9419000000000002</v>
      </c>
      <c r="BR64">
        <v>1.9608000000000001</v>
      </c>
      <c r="BS64">
        <v>1.9837</v>
      </c>
      <c r="BT64">
        <v>2.0013999999999998</v>
      </c>
      <c r="BU64">
        <v>2.0185</v>
      </c>
    </row>
    <row r="65" spans="1:73" x14ac:dyDescent="0.3">
      <c r="A65" s="172" t="s">
        <v>428</v>
      </c>
      <c r="B65" t="s">
        <v>309</v>
      </c>
      <c r="C65" t="s">
        <v>326</v>
      </c>
      <c r="D65" t="s">
        <v>311</v>
      </c>
      <c r="E65" t="s">
        <v>327</v>
      </c>
      <c r="F65" t="s">
        <v>7</v>
      </c>
      <c r="G65" t="s">
        <v>313</v>
      </c>
      <c r="H65" t="s">
        <v>75</v>
      </c>
      <c r="M65">
        <v>27.569524965759427</v>
      </c>
      <c r="N65">
        <v>28.78832094097276</v>
      </c>
      <c r="O65">
        <v>31.857085461698087</v>
      </c>
      <c r="P65">
        <v>35.930964719485964</v>
      </c>
      <c r="Q65">
        <v>37.977775492533603</v>
      </c>
      <c r="R65">
        <v>33.522405545981954</v>
      </c>
      <c r="S65">
        <v>22.441755905678942</v>
      </c>
      <c r="T65">
        <v>21.529546054768918</v>
      </c>
      <c r="U65">
        <v>25.5848234317269</v>
      </c>
      <c r="V65">
        <v>22.023940567740599</v>
      </c>
      <c r="W65">
        <v>21.491393792287099</v>
      </c>
      <c r="X65">
        <v>20.510462487417801</v>
      </c>
      <c r="Y65">
        <v>28.440348612007746</v>
      </c>
      <c r="Z65">
        <v>21.75</v>
      </c>
      <c r="AA65">
        <v>22.61</v>
      </c>
      <c r="AB65">
        <v>22.99</v>
      </c>
      <c r="AC65">
        <v>23.72</v>
      </c>
      <c r="AD65">
        <v>24.24</v>
      </c>
      <c r="AE65">
        <v>24.8</v>
      </c>
      <c r="AF65">
        <v>25.395</v>
      </c>
      <c r="AG65">
        <v>26.1</v>
      </c>
      <c r="AH65">
        <v>25.951720000000002</v>
      </c>
      <c r="AI65">
        <v>25.434999999999999</v>
      </c>
      <c r="AJ65">
        <v>24.398700000000002</v>
      </c>
      <c r="AK65">
        <v>23.2807</v>
      </c>
      <c r="AL65">
        <v>22.212900000000001</v>
      </c>
      <c r="AM65">
        <v>21.547000000000001</v>
      </c>
      <c r="AN65">
        <v>20.90118</v>
      </c>
      <c r="AO65">
        <v>20.379799999999999</v>
      </c>
      <c r="AP65">
        <v>19.988</v>
      </c>
      <c r="AQ65">
        <v>19.6997</v>
      </c>
      <c r="AR65">
        <v>19.4133</v>
      </c>
      <c r="AS65">
        <v>19.136000000000003</v>
      </c>
      <c r="AT65">
        <v>18.844899999999999</v>
      </c>
      <c r="AU65">
        <v>18.563600000000001</v>
      </c>
      <c r="AV65">
        <v>18.263100000000001</v>
      </c>
      <c r="AW65">
        <v>18.014330000000001</v>
      </c>
      <c r="AX65">
        <v>17.763000000000002</v>
      </c>
      <c r="AY65">
        <v>17.531700000000001</v>
      </c>
      <c r="AZ65">
        <v>17.338200000000001</v>
      </c>
      <c r="BA65">
        <v>17.090199999999999</v>
      </c>
      <c r="BB65">
        <v>16.8704</v>
      </c>
      <c r="BC65">
        <v>16.6892</v>
      </c>
      <c r="BD65">
        <v>16.609200000000001</v>
      </c>
      <c r="BE65">
        <v>16.610399999999998</v>
      </c>
      <c r="BF65">
        <v>16.616</v>
      </c>
      <c r="BG65">
        <v>16.610299999999999</v>
      </c>
      <c r="BH65">
        <v>16.6006</v>
      </c>
      <c r="BI65">
        <v>16.5793</v>
      </c>
      <c r="BJ65">
        <v>16.5535</v>
      </c>
      <c r="BK65">
        <v>16.522600000000001</v>
      </c>
      <c r="BL65">
        <v>16.4864</v>
      </c>
      <c r="BM65">
        <v>16.447600000000001</v>
      </c>
      <c r="BN65">
        <v>16.396000000000001</v>
      </c>
      <c r="BO65">
        <v>16.337800000000001</v>
      </c>
      <c r="BP65">
        <v>16.2727</v>
      </c>
      <c r="BQ65">
        <v>16.197299999999998</v>
      </c>
      <c r="BR65">
        <v>16.117100000000001</v>
      </c>
      <c r="BS65">
        <v>16.0258</v>
      </c>
      <c r="BT65">
        <v>15.926200000000001</v>
      </c>
      <c r="BU65">
        <v>15.817500000000001</v>
      </c>
    </row>
    <row r="66" spans="1:73" x14ac:dyDescent="0.3">
      <c r="A66" s="172" t="s">
        <v>428</v>
      </c>
      <c r="B66" t="s">
        <v>309</v>
      </c>
      <c r="C66" t="s">
        <v>328</v>
      </c>
      <c r="D66" t="s">
        <v>311</v>
      </c>
      <c r="E66" t="s">
        <v>329</v>
      </c>
      <c r="F66" t="s">
        <v>7</v>
      </c>
      <c r="G66" t="s">
        <v>313</v>
      </c>
      <c r="H66" t="s">
        <v>75</v>
      </c>
      <c r="M66">
        <v>1.0451799692158195E-2</v>
      </c>
      <c r="N66">
        <v>1.3935732922877591E-2</v>
      </c>
      <c r="O66">
        <v>1.9161632768956688E-2</v>
      </c>
      <c r="P66">
        <v>2.0322943845863157E-2</v>
      </c>
      <c r="Q66">
        <v>2.1484254922769622E-2</v>
      </c>
      <c r="R66">
        <v>2.1484254922769622E-2</v>
      </c>
      <c r="S66">
        <v>2.090359938431639E-2</v>
      </c>
      <c r="T66">
        <v>2.4387532615035786E-2</v>
      </c>
      <c r="U66">
        <v>3.077474353802135E-2</v>
      </c>
      <c r="V66">
        <v>3.4839332307193978E-3</v>
      </c>
      <c r="W66">
        <v>9.8711441537049603E-3</v>
      </c>
      <c r="X66">
        <v>1.9742288307409921E-2</v>
      </c>
      <c r="Y66">
        <v>0.02</v>
      </c>
      <c r="Z66">
        <v>0.02</v>
      </c>
      <c r="AA66">
        <v>0.02</v>
      </c>
      <c r="AB66">
        <v>0.02</v>
      </c>
      <c r="AC66">
        <v>0.02</v>
      </c>
      <c r="AD66">
        <v>0.02</v>
      </c>
      <c r="AE66">
        <v>0.02</v>
      </c>
      <c r="AF66">
        <v>0.02</v>
      </c>
      <c r="AG66">
        <v>0.03</v>
      </c>
      <c r="AH66">
        <v>0.03</v>
      </c>
      <c r="AI66">
        <v>0.03</v>
      </c>
      <c r="AJ66">
        <v>0.03</v>
      </c>
      <c r="AK66">
        <v>0.03</v>
      </c>
      <c r="AL66">
        <v>0.03</v>
      </c>
      <c r="AM66">
        <v>0.03</v>
      </c>
      <c r="AN66">
        <v>0.03</v>
      </c>
      <c r="AO66">
        <v>0.03</v>
      </c>
      <c r="AP66">
        <v>0.03</v>
      </c>
      <c r="AQ66">
        <v>0.03</v>
      </c>
      <c r="AR66">
        <v>0.03</v>
      </c>
      <c r="AS66">
        <v>0.03</v>
      </c>
      <c r="AT66">
        <v>0.03</v>
      </c>
      <c r="AU66">
        <v>0.04</v>
      </c>
      <c r="AV66">
        <v>0.04</v>
      </c>
      <c r="AW66">
        <v>0.04</v>
      </c>
      <c r="AX66">
        <v>0.04</v>
      </c>
      <c r="AY66">
        <v>0.04</v>
      </c>
      <c r="AZ66">
        <v>0.04</v>
      </c>
      <c r="BA66">
        <v>0.04</v>
      </c>
      <c r="BB66">
        <v>0.04</v>
      </c>
      <c r="BC66">
        <v>0.04</v>
      </c>
      <c r="BD66">
        <v>0.04</v>
      </c>
      <c r="BE66">
        <v>0.04</v>
      </c>
      <c r="BF66">
        <v>0.04</v>
      </c>
      <c r="BG66">
        <v>0.04</v>
      </c>
      <c r="BH66">
        <v>0.04</v>
      </c>
      <c r="BI66">
        <v>0.05</v>
      </c>
      <c r="BJ66">
        <v>0.05</v>
      </c>
      <c r="BK66">
        <v>0.05</v>
      </c>
      <c r="BL66">
        <v>0.05</v>
      </c>
      <c r="BM66">
        <v>0.05</v>
      </c>
      <c r="BN66">
        <v>0.05</v>
      </c>
      <c r="BO66">
        <v>0.05</v>
      </c>
      <c r="BP66">
        <v>0.05</v>
      </c>
      <c r="BQ66">
        <v>0.05</v>
      </c>
      <c r="BR66">
        <v>0.05</v>
      </c>
      <c r="BS66">
        <v>0.05</v>
      </c>
      <c r="BT66">
        <v>0.05</v>
      </c>
      <c r="BU66">
        <v>0.05</v>
      </c>
    </row>
    <row r="67" spans="1:73" x14ac:dyDescent="0.3">
      <c r="A67" s="172" t="s">
        <v>428</v>
      </c>
      <c r="B67" t="s">
        <v>309</v>
      </c>
      <c r="C67" t="s">
        <v>330</v>
      </c>
      <c r="D67" t="s">
        <v>311</v>
      </c>
      <c r="E67" t="s">
        <v>331</v>
      </c>
      <c r="F67" t="s">
        <v>7</v>
      </c>
      <c r="G67" t="s">
        <v>313</v>
      </c>
      <c r="H67" t="s">
        <v>75</v>
      </c>
      <c r="M67">
        <v>5.2665457337708235</v>
      </c>
      <c r="N67">
        <v>6.1195287197586232</v>
      </c>
      <c r="O67">
        <v>6.4319213994464626</v>
      </c>
      <c r="P67">
        <v>6.2153368836034071</v>
      </c>
      <c r="Q67">
        <v>8.1692427704985366</v>
      </c>
      <c r="R67">
        <v>8.5472495260315906</v>
      </c>
      <c r="S67">
        <v>8.7220268431060131</v>
      </c>
      <c r="T67">
        <v>9.8937897197046372</v>
      </c>
      <c r="U67">
        <v>8.214677905071424</v>
      </c>
      <c r="V67">
        <v>8.9578359928439468</v>
      </c>
      <c r="W67">
        <v>9.0914695681679749</v>
      </c>
      <c r="X67">
        <v>7.6698878333929388</v>
      </c>
      <c r="Y67">
        <v>5.5353776630083926</v>
      </c>
      <c r="Z67">
        <v>7.67</v>
      </c>
      <c r="AA67">
        <v>7.67</v>
      </c>
      <c r="AB67">
        <v>7.67</v>
      </c>
      <c r="AC67">
        <v>7.67</v>
      </c>
      <c r="AD67">
        <v>7.67</v>
      </c>
      <c r="AE67">
        <v>7.67</v>
      </c>
      <c r="AF67">
        <v>7.67</v>
      </c>
      <c r="AG67">
        <v>7.67</v>
      </c>
      <c r="AH67">
        <v>7.67</v>
      </c>
      <c r="AI67">
        <v>7.67</v>
      </c>
      <c r="AJ67">
        <v>7.67</v>
      </c>
      <c r="AK67">
        <v>7.67</v>
      </c>
      <c r="AL67">
        <v>7.67</v>
      </c>
      <c r="AM67">
        <v>7.67</v>
      </c>
      <c r="AN67">
        <v>7.67</v>
      </c>
      <c r="AO67">
        <v>7.67</v>
      </c>
      <c r="AP67">
        <v>7.67</v>
      </c>
      <c r="AQ67">
        <v>7.67</v>
      </c>
      <c r="AR67">
        <v>7.67</v>
      </c>
      <c r="AS67">
        <v>7.67</v>
      </c>
      <c r="AT67">
        <v>7.67</v>
      </c>
      <c r="AU67">
        <v>7.67</v>
      </c>
      <c r="AV67">
        <v>7.67</v>
      </c>
      <c r="AW67">
        <v>7.67</v>
      </c>
      <c r="AX67">
        <v>7.67</v>
      </c>
      <c r="AY67">
        <v>7.67</v>
      </c>
      <c r="AZ67">
        <v>7.67</v>
      </c>
      <c r="BA67">
        <v>7.67</v>
      </c>
      <c r="BB67">
        <v>7.67</v>
      </c>
      <c r="BC67">
        <v>7.67</v>
      </c>
      <c r="BD67">
        <v>7.67</v>
      </c>
      <c r="BE67">
        <v>7.67</v>
      </c>
      <c r="BF67">
        <v>7.67</v>
      </c>
      <c r="BG67">
        <v>7.67</v>
      </c>
      <c r="BH67">
        <v>7.67</v>
      </c>
      <c r="BI67">
        <v>7.67</v>
      </c>
      <c r="BJ67">
        <v>7.67</v>
      </c>
      <c r="BK67">
        <v>7.67</v>
      </c>
      <c r="BL67">
        <v>7.67</v>
      </c>
      <c r="BM67">
        <v>7.67</v>
      </c>
      <c r="BN67">
        <v>7.67</v>
      </c>
      <c r="BO67">
        <v>7.67</v>
      </c>
      <c r="BP67">
        <v>7.67</v>
      </c>
      <c r="BQ67">
        <v>7.67</v>
      </c>
      <c r="BR67">
        <v>7.67</v>
      </c>
      <c r="BS67">
        <v>7.67</v>
      </c>
      <c r="BT67">
        <v>7.67</v>
      </c>
      <c r="BU67">
        <v>7.67</v>
      </c>
    </row>
    <row r="68" spans="1:73" x14ac:dyDescent="0.3">
      <c r="A68" s="172" t="s">
        <v>428</v>
      </c>
      <c r="B68" t="s">
        <v>309</v>
      </c>
      <c r="C68" t="s">
        <v>332</v>
      </c>
      <c r="D68" t="s">
        <v>311</v>
      </c>
      <c r="E68" t="s">
        <v>333</v>
      </c>
      <c r="F68" t="s">
        <v>7</v>
      </c>
      <c r="G68" t="s">
        <v>313</v>
      </c>
      <c r="H68" t="s">
        <v>75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4.3080000000000002E-3</v>
      </c>
      <c r="AF68">
        <v>8.6160000000000004E-3</v>
      </c>
      <c r="AG68">
        <v>1.2924000000000001E-2</v>
      </c>
      <c r="AH68">
        <v>1.7232000000000001E-2</v>
      </c>
      <c r="AI68">
        <v>2.154E-2</v>
      </c>
      <c r="AJ68">
        <v>2.154E-2</v>
      </c>
      <c r="AK68">
        <v>2.154E-2</v>
      </c>
      <c r="AL68">
        <v>2.154E-2</v>
      </c>
      <c r="AM68">
        <v>2.154E-2</v>
      </c>
      <c r="AN68">
        <v>2.8892000000000001E-2</v>
      </c>
      <c r="AO68">
        <v>3.6243999999999998E-2</v>
      </c>
      <c r="AP68">
        <v>4.3595999999999996E-2</v>
      </c>
      <c r="AQ68">
        <v>5.0947999999999993E-2</v>
      </c>
      <c r="AR68">
        <v>5.8299999999999998E-2</v>
      </c>
      <c r="AS68">
        <v>5.8299999999999998E-2</v>
      </c>
      <c r="AT68">
        <v>5.8299999999999998E-2</v>
      </c>
      <c r="AU68">
        <v>5.8299999999999998E-2</v>
      </c>
      <c r="AV68">
        <v>5.8299999999999998E-2</v>
      </c>
      <c r="AW68">
        <v>6.8599999999999994E-2</v>
      </c>
      <c r="AX68">
        <v>7.8899999999999998E-2</v>
      </c>
      <c r="AY68">
        <v>8.9200000000000002E-2</v>
      </c>
      <c r="AZ68">
        <v>9.9500000000000005E-2</v>
      </c>
      <c r="BA68">
        <v>0.10979999999999999</v>
      </c>
      <c r="BB68">
        <v>0.10979999999999999</v>
      </c>
      <c r="BC68">
        <v>0.10979999999999999</v>
      </c>
      <c r="BD68">
        <v>0.10979999999999999</v>
      </c>
      <c r="BE68">
        <v>0.10979999999999999</v>
      </c>
      <c r="BF68">
        <v>0.10979999999999999</v>
      </c>
      <c r="BG68">
        <v>0.10979999999999999</v>
      </c>
      <c r="BH68">
        <v>0.10979999999999999</v>
      </c>
      <c r="BI68">
        <v>0.10979999999999999</v>
      </c>
      <c r="BJ68">
        <v>0.10979999999999999</v>
      </c>
      <c r="BK68">
        <v>0.10979999999999999</v>
      </c>
      <c r="BL68">
        <v>0.10979999999999999</v>
      </c>
      <c r="BM68">
        <v>0.10979999999999999</v>
      </c>
      <c r="BN68">
        <v>0.10979999999999999</v>
      </c>
      <c r="BO68">
        <v>0.10979999999999999</v>
      </c>
      <c r="BP68">
        <v>0.10979999999999999</v>
      </c>
      <c r="BQ68">
        <v>0.10979999999999999</v>
      </c>
      <c r="BR68">
        <v>0.10979999999999999</v>
      </c>
      <c r="BS68">
        <v>0.10979999999999999</v>
      </c>
      <c r="BT68">
        <v>0.10979999999999999</v>
      </c>
      <c r="BU68">
        <v>0.10979999999999999</v>
      </c>
    </row>
    <row r="69" spans="1:73" x14ac:dyDescent="0.3">
      <c r="A69" s="172" t="s">
        <v>428</v>
      </c>
      <c r="B69" t="s">
        <v>309</v>
      </c>
      <c r="C69" t="s">
        <v>334</v>
      </c>
      <c r="D69" t="s">
        <v>311</v>
      </c>
      <c r="E69" t="s">
        <v>335</v>
      </c>
      <c r="F69" t="s">
        <v>7</v>
      </c>
      <c r="G69" t="s">
        <v>313</v>
      </c>
      <c r="H69" t="s">
        <v>75</v>
      </c>
      <c r="M69">
        <v>2.0379768422691602</v>
      </c>
      <c r="N69">
        <v>2.0379768422691602</v>
      </c>
      <c r="O69">
        <v>2.0379768422691602</v>
      </c>
      <c r="P69">
        <v>2.0379768422691602</v>
      </c>
      <c r="Q69">
        <v>2.0379768422691602</v>
      </c>
      <c r="R69">
        <v>2.0379768422691602</v>
      </c>
      <c r="S69">
        <v>2.0379768422691602</v>
      </c>
      <c r="T69">
        <v>2.0379768422691602</v>
      </c>
      <c r="U69">
        <v>2.0379768422691602</v>
      </c>
      <c r="V69">
        <v>2.0787363758628801</v>
      </c>
      <c r="W69">
        <v>2.1203111033801298</v>
      </c>
      <c r="X69">
        <v>2.1627173296284599</v>
      </c>
      <c r="Y69">
        <v>2.2072950290510005</v>
      </c>
      <c r="Z69">
        <v>2.29</v>
      </c>
      <c r="AA69">
        <v>2.38</v>
      </c>
      <c r="AB69">
        <v>2.42</v>
      </c>
      <c r="AC69">
        <v>2.5</v>
      </c>
      <c r="AD69">
        <v>2.56</v>
      </c>
      <c r="AE69">
        <v>2.59</v>
      </c>
      <c r="AF69">
        <v>2.6324000000000001</v>
      </c>
      <c r="AG69">
        <v>2.65</v>
      </c>
      <c r="AH69">
        <v>2.6182400000000001</v>
      </c>
      <c r="AI69">
        <v>2.5611000000000002</v>
      </c>
      <c r="AJ69">
        <v>2.4906000000000001</v>
      </c>
      <c r="AK69">
        <v>2.3925299999999998</v>
      </c>
      <c r="AL69">
        <v>2.31853</v>
      </c>
      <c r="AM69">
        <v>2.2479</v>
      </c>
      <c r="AN69">
        <v>2.173</v>
      </c>
      <c r="AO69">
        <v>2.1225999999999998</v>
      </c>
      <c r="AP69">
        <v>2.0569000000000002</v>
      </c>
      <c r="AQ69">
        <v>2.0150999999999999</v>
      </c>
      <c r="AR69">
        <v>1.9656</v>
      </c>
      <c r="AS69">
        <v>1.9452</v>
      </c>
      <c r="AT69">
        <v>1.9020999999999999</v>
      </c>
      <c r="AU69">
        <v>1.8731</v>
      </c>
      <c r="AV69">
        <v>1.8498000000000001</v>
      </c>
      <c r="AW69">
        <v>1.8216000000000001</v>
      </c>
      <c r="AX69">
        <v>1.7948</v>
      </c>
      <c r="AY69">
        <v>1.7758</v>
      </c>
      <c r="AZ69">
        <v>1.7466999999999999</v>
      </c>
      <c r="BA69">
        <v>1.7249000000000001</v>
      </c>
      <c r="BB69">
        <v>1.6891</v>
      </c>
      <c r="BC69">
        <v>1.6737</v>
      </c>
      <c r="BD69">
        <v>1.6496999999999999</v>
      </c>
      <c r="BE69">
        <v>1.6305000000000001</v>
      </c>
      <c r="BF69">
        <v>1.6039000000000001</v>
      </c>
      <c r="BG69">
        <v>1.5814999999999999</v>
      </c>
      <c r="BH69">
        <v>1.5615000000000001</v>
      </c>
      <c r="BI69">
        <v>1.5467</v>
      </c>
      <c r="BJ69">
        <v>1.5337000000000001</v>
      </c>
      <c r="BK69">
        <v>1.5192000000000001</v>
      </c>
      <c r="BL69">
        <v>1.5006200000000001</v>
      </c>
      <c r="BM69">
        <v>1.48386</v>
      </c>
      <c r="BN69">
        <v>1.4722999999999999</v>
      </c>
      <c r="BO69">
        <v>1.4612000000000001</v>
      </c>
      <c r="BP69">
        <v>1.4444999999999999</v>
      </c>
      <c r="BQ69">
        <v>1.4313100000000001</v>
      </c>
      <c r="BR69">
        <v>1.4125000000000001</v>
      </c>
      <c r="BS69">
        <v>1.3950100000000001</v>
      </c>
      <c r="BT69">
        <v>1.3805700000000001</v>
      </c>
      <c r="BU69">
        <v>1.3594999999999999</v>
      </c>
    </row>
    <row r="70" spans="1:73" x14ac:dyDescent="0.3">
      <c r="A70" s="172" t="s">
        <v>428</v>
      </c>
      <c r="B70" t="s">
        <v>309</v>
      </c>
      <c r="C70" t="s">
        <v>336</v>
      </c>
      <c r="D70" t="s">
        <v>311</v>
      </c>
      <c r="E70" t="s">
        <v>337</v>
      </c>
      <c r="F70" t="s">
        <v>7</v>
      </c>
      <c r="G70" t="s">
        <v>313</v>
      </c>
      <c r="H70" t="s">
        <v>75</v>
      </c>
      <c r="M70">
        <v>1.2489900632128987</v>
      </c>
      <c r="N70">
        <v>1.6467391070533617</v>
      </c>
      <c r="O70">
        <v>1.703643349821778</v>
      </c>
      <c r="P70">
        <v>2.2419110339679231</v>
      </c>
      <c r="Q70">
        <v>2.0839727275086437</v>
      </c>
      <c r="R70">
        <v>2.1385543481232481</v>
      </c>
      <c r="S70">
        <v>1.338411016134696</v>
      </c>
      <c r="T70">
        <v>1.4371224576717452</v>
      </c>
      <c r="U70">
        <v>2.0131327518173499</v>
      </c>
      <c r="V70">
        <v>1.85229116766581</v>
      </c>
      <c r="W70">
        <v>1.9887452192023201</v>
      </c>
      <c r="X70">
        <v>2.2581693890446202</v>
      </c>
      <c r="Y70">
        <v>2.7493867010974822</v>
      </c>
      <c r="Z70">
        <v>2.4674200000000002</v>
      </c>
      <c r="AA70">
        <v>2.5505100000000001</v>
      </c>
      <c r="AB70">
        <v>2.6270500000000001</v>
      </c>
      <c r="AC70">
        <v>2.7078875</v>
      </c>
      <c r="AD70">
        <v>2.7961825</v>
      </c>
      <c r="AE70">
        <v>3.0364059289716829</v>
      </c>
      <c r="AF70">
        <v>3.3031612104242507</v>
      </c>
      <c r="AG70">
        <v>3.5583286162977417</v>
      </c>
      <c r="AH70">
        <v>3.7221268370509173</v>
      </c>
      <c r="AI70">
        <v>3.8054983411850669</v>
      </c>
      <c r="AJ70">
        <v>3.8859992687994365</v>
      </c>
      <c r="AK70">
        <v>4.0491104108920064</v>
      </c>
      <c r="AL70">
        <v>4.1437988355298652</v>
      </c>
      <c r="AM70">
        <v>4.2768780523397476</v>
      </c>
      <c r="AN70">
        <v>4.4375074441604188</v>
      </c>
      <c r="AO70">
        <v>4.5997283777128883</v>
      </c>
      <c r="AP70">
        <v>4.7666416146113129</v>
      </c>
      <c r="AQ70">
        <v>4.9354563155481959</v>
      </c>
      <c r="AR70">
        <v>5.0755033575683033</v>
      </c>
      <c r="AS70">
        <v>5.2415608955001751</v>
      </c>
      <c r="AT70">
        <v>5.4011483671283331</v>
      </c>
      <c r="AU70">
        <v>5.5610833156429846</v>
      </c>
      <c r="AV70">
        <v>5.726276353850599</v>
      </c>
      <c r="AW70">
        <v>5.8972028799855947</v>
      </c>
      <c r="AX70">
        <v>6.0645059123600582</v>
      </c>
      <c r="AY70">
        <v>6.2241733244025141</v>
      </c>
      <c r="AZ70">
        <v>6.4138775825445729</v>
      </c>
      <c r="BA70">
        <v>6.6359031309366712</v>
      </c>
      <c r="BB70">
        <v>6.8929822575711208</v>
      </c>
      <c r="BC70">
        <v>7.1719959258872104</v>
      </c>
      <c r="BD70">
        <v>7.4865412765710868</v>
      </c>
      <c r="BE70">
        <v>7.7964147071629553</v>
      </c>
      <c r="BF70">
        <v>8.1296863303224125</v>
      </c>
      <c r="BG70">
        <v>8.4599974384470862</v>
      </c>
      <c r="BH70">
        <v>8.8117626097552506</v>
      </c>
      <c r="BI70">
        <v>9.1623536776749877</v>
      </c>
      <c r="BJ70">
        <v>9.5331455204491338</v>
      </c>
      <c r="BK70">
        <v>9.9090565580605201</v>
      </c>
      <c r="BL70">
        <v>10.305008248434076</v>
      </c>
      <c r="BM70">
        <v>10.708514014911634</v>
      </c>
      <c r="BN70">
        <v>11.121818890490401</v>
      </c>
      <c r="BO70">
        <v>11.548451417400102</v>
      </c>
      <c r="BP70">
        <v>11.986385873318952</v>
      </c>
      <c r="BQ70">
        <v>12.438077934367488</v>
      </c>
      <c r="BR70">
        <v>12.902655034564193</v>
      </c>
      <c r="BS70">
        <v>13.382825617172937</v>
      </c>
      <c r="BT70">
        <v>13.873904774518884</v>
      </c>
      <c r="BU70">
        <v>14.381040000000022</v>
      </c>
    </row>
    <row r="71" spans="1:73" x14ac:dyDescent="0.3">
      <c r="A71" s="172" t="s">
        <v>428</v>
      </c>
      <c r="B71" t="s">
        <v>309</v>
      </c>
      <c r="C71" t="s">
        <v>338</v>
      </c>
      <c r="D71" t="s">
        <v>311</v>
      </c>
      <c r="E71" t="s">
        <v>339</v>
      </c>
      <c r="F71" t="s">
        <v>7</v>
      </c>
      <c r="G71" t="s">
        <v>313</v>
      </c>
      <c r="H71" t="s">
        <v>75</v>
      </c>
      <c r="M71">
        <v>1.0422766915235497</v>
      </c>
      <c r="N71">
        <v>0.8222082424497752</v>
      </c>
      <c r="O71">
        <v>1.3111202058273959</v>
      </c>
      <c r="P71">
        <v>0.96911409367844259</v>
      </c>
      <c r="Q71">
        <v>0.90872591767930655</v>
      </c>
      <c r="R71">
        <v>1.013243914600888</v>
      </c>
      <c r="S71">
        <v>0.71652893445128718</v>
      </c>
      <c r="T71">
        <v>2.4695280050415915</v>
      </c>
      <c r="U71">
        <v>1.36845009233172</v>
      </c>
      <c r="V71">
        <v>1.05043927998158</v>
      </c>
      <c r="W71">
        <v>1.5998269764069799</v>
      </c>
      <c r="X71">
        <v>1.83258674971262</v>
      </c>
      <c r="Y71">
        <v>2.4914138153647514</v>
      </c>
      <c r="Z71">
        <v>2.0024999999999999</v>
      </c>
      <c r="AA71">
        <v>2.0700000000000003</v>
      </c>
      <c r="AB71">
        <v>2.1325000000000003</v>
      </c>
      <c r="AC71">
        <v>2.1974999999999998</v>
      </c>
      <c r="AD71">
        <v>2.2675000000000001</v>
      </c>
      <c r="AE71">
        <v>2.3398949317882765</v>
      </c>
      <c r="AF71">
        <v>2.424675794762837</v>
      </c>
      <c r="AG71">
        <v>2.4934236589696059</v>
      </c>
      <c r="AH71">
        <v>2.4947348064544728</v>
      </c>
      <c r="AI71">
        <v>2.4440696703007667</v>
      </c>
      <c r="AJ71">
        <v>2.3955009206006728</v>
      </c>
      <c r="AK71">
        <v>2.399451438689097</v>
      </c>
      <c r="AL71">
        <v>2.3638908605067934</v>
      </c>
      <c r="AM71">
        <v>2.3518281571651536</v>
      </c>
      <c r="AN71">
        <v>2.3550587411632344</v>
      </c>
      <c r="AO71">
        <v>2.3587239443432284</v>
      </c>
      <c r="AP71">
        <v>2.3643179706398647</v>
      </c>
      <c r="AQ71">
        <v>2.3703155415704966</v>
      </c>
      <c r="AR71">
        <v>2.3624027884025454</v>
      </c>
      <c r="AS71">
        <v>2.3665613891355832</v>
      </c>
      <c r="AT71">
        <v>2.3674989536770394</v>
      </c>
      <c r="AU71">
        <v>2.3683921871142211</v>
      </c>
      <c r="AV71">
        <v>2.3712776939725106</v>
      </c>
      <c r="AW71">
        <v>2.3761852437357875</v>
      </c>
      <c r="AX71">
        <v>2.3792832857363271</v>
      </c>
      <c r="AY71">
        <v>2.3791765069078665</v>
      </c>
      <c r="AZ71">
        <v>2.3901441120180844</v>
      </c>
      <c r="BA71">
        <v>2.4122008956119392</v>
      </c>
      <c r="BB71">
        <v>2.4455157933206721</v>
      </c>
      <c r="BC71">
        <v>2.4847468903019654</v>
      </c>
      <c r="BD71">
        <v>2.5340833549633786</v>
      </c>
      <c r="BE71">
        <v>2.579534657249384</v>
      </c>
      <c r="BF71">
        <v>2.6304331906780525</v>
      </c>
      <c r="BG71">
        <v>2.6780747430463467</v>
      </c>
      <c r="BH71">
        <v>2.7302241167463328</v>
      </c>
      <c r="BI71">
        <v>2.7797279901478231</v>
      </c>
      <c r="BJ71">
        <v>2.8330937881347018</v>
      </c>
      <c r="BK71">
        <v>2.8856902642162363</v>
      </c>
      <c r="BL71">
        <v>2.9418156109752793</v>
      </c>
      <c r="BM71">
        <v>2.997762331291137</v>
      </c>
      <c r="BN71">
        <v>3.0541500005282978</v>
      </c>
      <c r="BO71">
        <v>3.111897639912006</v>
      </c>
      <c r="BP71">
        <v>3.170387300834359</v>
      </c>
      <c r="BQ71">
        <v>3.2302093433937378</v>
      </c>
      <c r="BR71">
        <v>3.2910628579797527</v>
      </c>
      <c r="BS71">
        <v>3.3535651100586406</v>
      </c>
      <c r="BT71">
        <v>3.4164697638928589</v>
      </c>
      <c r="BU71">
        <v>3.4809950404472683</v>
      </c>
    </row>
    <row r="72" spans="1:73" x14ac:dyDescent="0.3">
      <c r="A72" s="172" t="s">
        <v>428</v>
      </c>
      <c r="B72" t="s">
        <v>309</v>
      </c>
      <c r="C72" t="s">
        <v>340</v>
      </c>
      <c r="D72" t="s">
        <v>311</v>
      </c>
      <c r="E72" t="s">
        <v>341</v>
      </c>
      <c r="F72" t="s">
        <v>7</v>
      </c>
      <c r="G72" t="s">
        <v>313</v>
      </c>
      <c r="H72" t="s">
        <v>75</v>
      </c>
      <c r="M72">
        <v>4.5895013759343479</v>
      </c>
      <c r="N72">
        <v>6.2890801369869589</v>
      </c>
      <c r="O72">
        <v>2.9236006361120253</v>
      </c>
      <c r="P72">
        <v>3.2458644599535691</v>
      </c>
      <c r="Q72">
        <v>2.8469541050361986</v>
      </c>
      <c r="R72">
        <v>0.7687879329120797</v>
      </c>
      <c r="S72">
        <v>3.9565868390203254</v>
      </c>
      <c r="T72">
        <v>3.4589650425659055</v>
      </c>
      <c r="U72">
        <v>5.7711699514977699</v>
      </c>
      <c r="V72">
        <v>7.8918634455827599</v>
      </c>
      <c r="W72">
        <v>8.4675547275755392</v>
      </c>
      <c r="X72">
        <v>8.6230478354968394</v>
      </c>
      <c r="Y72">
        <v>9.8256294383473204</v>
      </c>
      <c r="Z72">
        <v>9.42</v>
      </c>
      <c r="AA72">
        <v>9.7375000000000007</v>
      </c>
      <c r="AB72">
        <v>10.032499999999999</v>
      </c>
      <c r="AC72">
        <v>10.342500000000001</v>
      </c>
      <c r="AD72">
        <v>10.6775</v>
      </c>
      <c r="AE72">
        <v>11.018028488979516</v>
      </c>
      <c r="AF72">
        <v>11.416853557864659</v>
      </c>
      <c r="AG72">
        <v>11.740160062021465</v>
      </c>
      <c r="AH72">
        <v>11.745932102495296</v>
      </c>
      <c r="AI72">
        <v>11.506991921604911</v>
      </c>
      <c r="AJ72">
        <v>11.277937004194909</v>
      </c>
      <c r="AK72">
        <v>11.296147429670484</v>
      </c>
      <c r="AL72">
        <v>11.128351683668875</v>
      </c>
      <c r="AM72">
        <v>11.071182459417455</v>
      </c>
      <c r="AN72">
        <v>11.086006716832946</v>
      </c>
      <c r="AO72">
        <v>11.102874948890925</v>
      </c>
      <c r="AP72">
        <v>11.128820139007818</v>
      </c>
      <c r="AQ72">
        <v>11.156662112556559</v>
      </c>
      <c r="AR72">
        <v>11.119030128393577</v>
      </c>
      <c r="AS72">
        <v>11.138213732343736</v>
      </c>
      <c r="AT72">
        <v>11.142235893423516</v>
      </c>
      <c r="AU72">
        <v>11.146048305461761</v>
      </c>
      <c r="AV72">
        <v>11.1592352499752</v>
      </c>
      <c r="AW72">
        <v>11.181935821849791</v>
      </c>
      <c r="AX72">
        <v>11.196118998465376</v>
      </c>
      <c r="AY72">
        <v>11.19522002831023</v>
      </c>
      <c r="AZ72">
        <v>11.246428954445781</v>
      </c>
      <c r="BA72">
        <v>11.349809825246</v>
      </c>
      <c r="BB72">
        <v>11.506151889734431</v>
      </c>
      <c r="BC72">
        <v>11.69031663442841</v>
      </c>
      <c r="BD72">
        <v>11.922009660590476</v>
      </c>
      <c r="BE72">
        <v>12.135407431746168</v>
      </c>
      <c r="BF72">
        <v>12.374414482553719</v>
      </c>
      <c r="BG72">
        <v>12.5980820182253</v>
      </c>
      <c r="BH72">
        <v>12.842937165795082</v>
      </c>
      <c r="BI72">
        <v>13.075329659351201</v>
      </c>
      <c r="BJ72">
        <v>13.325869414329979</v>
      </c>
      <c r="BK72">
        <v>13.57277144305948</v>
      </c>
      <c r="BL72">
        <v>13.836251784269614</v>
      </c>
      <c r="BM72">
        <v>14.098871712663787</v>
      </c>
      <c r="BN72">
        <v>14.363545094068899</v>
      </c>
      <c r="BO72">
        <v>14.634593597575019</v>
      </c>
      <c r="BP72">
        <v>14.909110478921614</v>
      </c>
      <c r="BQ72">
        <v>15.189871419759733</v>
      </c>
      <c r="BR72">
        <v>15.475460700891368</v>
      </c>
      <c r="BS72">
        <v>15.768780155096378</v>
      </c>
      <c r="BT72">
        <v>16.06396867807911</v>
      </c>
      <c r="BU72">
        <v>16.366753750882797</v>
      </c>
    </row>
    <row r="73" spans="1:73" x14ac:dyDescent="0.3">
      <c r="A73" s="172" t="s">
        <v>428</v>
      </c>
      <c r="B73" t="s">
        <v>309</v>
      </c>
      <c r="C73" t="s">
        <v>342</v>
      </c>
      <c r="D73" t="s">
        <v>311</v>
      </c>
      <c r="E73" t="s">
        <v>343</v>
      </c>
      <c r="F73" t="s">
        <v>7</v>
      </c>
      <c r="G73" t="s">
        <v>313</v>
      </c>
      <c r="H73" t="s">
        <v>75</v>
      </c>
      <c r="M73">
        <v>0</v>
      </c>
      <c r="N73">
        <v>0.49065392999298058</v>
      </c>
      <c r="O73">
        <v>0.49065392999298058</v>
      </c>
      <c r="P73">
        <v>0.49065392999298058</v>
      </c>
      <c r="Q73">
        <v>0.49065392999298058</v>
      </c>
      <c r="R73">
        <v>0.49065392999298058</v>
      </c>
      <c r="S73">
        <v>0.49065392999298058</v>
      </c>
      <c r="T73">
        <v>2.5489150909015899</v>
      </c>
      <c r="U73">
        <v>2.5489150909015899</v>
      </c>
      <c r="V73">
        <v>2.9144162332636498</v>
      </c>
      <c r="W73">
        <v>0.67387279405921596</v>
      </c>
      <c r="X73">
        <v>3.15597120181679</v>
      </c>
      <c r="Y73">
        <v>5.8671400903808903</v>
      </c>
      <c r="Z73">
        <v>3.4450000000000003</v>
      </c>
      <c r="AA73">
        <v>3.5625</v>
      </c>
      <c r="AB73">
        <v>3.67</v>
      </c>
      <c r="AC73">
        <v>3.7825000000000002</v>
      </c>
      <c r="AD73">
        <v>3.9050000000000002</v>
      </c>
      <c r="AE73">
        <v>4.0158108785762874</v>
      </c>
      <c r="AF73">
        <v>4.1469182590247584</v>
      </c>
      <c r="AG73">
        <v>4.2496625874951315</v>
      </c>
      <c r="AH73">
        <v>4.2370240545644018</v>
      </c>
      <c r="AI73">
        <v>4.1363740906098911</v>
      </c>
      <c r="AJ73">
        <v>4.0398355582417844</v>
      </c>
      <c r="AK73">
        <v>4.032104508372667</v>
      </c>
      <c r="AL73">
        <v>3.9581383978954356</v>
      </c>
      <c r="AM73">
        <v>3.9237747024798684</v>
      </c>
      <c r="AN73">
        <v>3.9149502171168815</v>
      </c>
      <c r="AO73">
        <v>3.906777258987896</v>
      </c>
      <c r="AP73">
        <v>3.901713523083195</v>
      </c>
      <c r="AQ73">
        <v>3.8972158126142187</v>
      </c>
      <c r="AR73">
        <v>3.8698290484960074</v>
      </c>
      <c r="AS73">
        <v>3.8622092895454632</v>
      </c>
      <c r="AT73">
        <v>3.8492718341114922</v>
      </c>
      <c r="AU73">
        <v>3.8362210959973964</v>
      </c>
      <c r="AV73">
        <v>3.8263440704512308</v>
      </c>
      <c r="AW73">
        <v>3.8196517313520388</v>
      </c>
      <c r="AX73">
        <v>3.8099709933896766</v>
      </c>
      <c r="AY73">
        <v>3.7951093785095353</v>
      </c>
      <c r="AZ73">
        <v>3.7978150776755411</v>
      </c>
      <c r="BA73">
        <v>3.8179054164608361</v>
      </c>
      <c r="BB73">
        <v>3.8554395003130431</v>
      </c>
      <c r="BC73">
        <v>3.9018176285026969</v>
      </c>
      <c r="BD73">
        <v>3.9634798045353845</v>
      </c>
      <c r="BE73">
        <v>4.0184401667023835</v>
      </c>
      <c r="BF73">
        <v>4.0812493781067589</v>
      </c>
      <c r="BG73">
        <v>4.1383525626148954</v>
      </c>
      <c r="BH73">
        <v>4.2017589479537651</v>
      </c>
      <c r="BI73">
        <v>4.2604175512677394</v>
      </c>
      <c r="BJ73">
        <v>4.3243089745154348</v>
      </c>
      <c r="BK73">
        <v>4.3863181592076224</v>
      </c>
      <c r="BL73">
        <v>4.4529635748327072</v>
      </c>
      <c r="BM73">
        <v>4.5185872841985706</v>
      </c>
      <c r="BN73">
        <v>4.584120264351939</v>
      </c>
      <c r="BO73">
        <v>4.6509252118341342</v>
      </c>
      <c r="BP73">
        <v>4.7180539914622734</v>
      </c>
      <c r="BQ73">
        <v>4.7863646099661104</v>
      </c>
      <c r="BR73">
        <v>4.8553849156479272</v>
      </c>
      <c r="BS73">
        <v>4.9259990811526828</v>
      </c>
      <c r="BT73">
        <v>4.9963498612484942</v>
      </c>
      <c r="BU73">
        <v>5.0682004095174094</v>
      </c>
    </row>
    <row r="74" spans="1:73" x14ac:dyDescent="0.3">
      <c r="A74" s="172" t="s">
        <v>428</v>
      </c>
      <c r="B74" t="s">
        <v>309</v>
      </c>
      <c r="C74" t="s">
        <v>344</v>
      </c>
      <c r="D74" t="s">
        <v>311</v>
      </c>
      <c r="E74" t="s">
        <v>345</v>
      </c>
      <c r="F74" t="s">
        <v>7</v>
      </c>
      <c r="G74" t="s">
        <v>313</v>
      </c>
      <c r="H74" t="s">
        <v>75</v>
      </c>
      <c r="M74">
        <v>24.95947832041222</v>
      </c>
      <c r="N74">
        <v>28.615285590513778</v>
      </c>
      <c r="O74">
        <v>30.633063586638762</v>
      </c>
      <c r="P74">
        <v>32.528903919688567</v>
      </c>
      <c r="Q74">
        <v>36.134774813483148</v>
      </c>
      <c r="R74">
        <v>31.228235513553326</v>
      </c>
      <c r="S74">
        <v>27.9730805649845</v>
      </c>
      <c r="T74">
        <v>29.660465559729598</v>
      </c>
      <c r="U74">
        <v>34.952288680728103</v>
      </c>
      <c r="V74">
        <v>32.606013465490697</v>
      </c>
      <c r="W74">
        <v>25.107180831039599</v>
      </c>
      <c r="X74">
        <v>20.302984914974299</v>
      </c>
      <c r="Y74">
        <v>17.793156875403486</v>
      </c>
      <c r="Z74">
        <v>22.182499999999997</v>
      </c>
      <c r="AA74">
        <v>22.93</v>
      </c>
      <c r="AB74">
        <v>23.619999999999997</v>
      </c>
      <c r="AC74">
        <v>24.3475</v>
      </c>
      <c r="AD74">
        <v>25.14</v>
      </c>
      <c r="AE74">
        <v>25.853084771684237</v>
      </c>
      <c r="AF74">
        <v>26.696813677923497</v>
      </c>
      <c r="AG74">
        <v>27.357927575216056</v>
      </c>
      <c r="AH74">
        <v>27.276234699434919</v>
      </c>
      <c r="AI74">
        <v>26.627965976299368</v>
      </c>
      <c r="AJ74">
        <v>26.006177248163212</v>
      </c>
      <c r="AK74">
        <v>25.956086212375755</v>
      </c>
      <c r="AL74">
        <v>25.479620222399042</v>
      </c>
      <c r="AM74">
        <v>25.258091628597786</v>
      </c>
      <c r="AN74">
        <v>25.200964380726543</v>
      </c>
      <c r="AO74">
        <v>25.148029470065079</v>
      </c>
      <c r="AP74">
        <v>25.115106752657827</v>
      </c>
      <c r="AQ74">
        <v>25.08582521771055</v>
      </c>
      <c r="AR74">
        <v>24.909209677139589</v>
      </c>
      <c r="AS74">
        <v>24.859829693475071</v>
      </c>
      <c r="AT74">
        <v>24.776219951659634</v>
      </c>
      <c r="AU74">
        <v>24.691880095783663</v>
      </c>
      <c r="AV74">
        <v>24.627966631750489</v>
      </c>
      <c r="AW74">
        <v>24.584549323076814</v>
      </c>
      <c r="AX74">
        <v>24.521895810048591</v>
      </c>
      <c r="AY74">
        <v>24.425895761869885</v>
      </c>
      <c r="AZ74">
        <v>24.442959273316056</v>
      </c>
      <c r="BA74">
        <v>24.571905731744579</v>
      </c>
      <c r="BB74">
        <v>24.813110559060764</v>
      </c>
      <c r="BC74">
        <v>25.111222920879754</v>
      </c>
      <c r="BD74">
        <v>25.507685903339699</v>
      </c>
      <c r="BE74">
        <v>25.861003037139142</v>
      </c>
      <c r="BF74">
        <v>26.264816618339083</v>
      </c>
      <c r="BG74">
        <v>26.6318932376664</v>
      </c>
      <c r="BH74">
        <v>27.039517159749604</v>
      </c>
      <c r="BI74">
        <v>27.416571121558277</v>
      </c>
      <c r="BJ74">
        <v>27.827282302570776</v>
      </c>
      <c r="BK74">
        <v>28.22586357545616</v>
      </c>
      <c r="BL74">
        <v>28.654260781488347</v>
      </c>
      <c r="BM74">
        <v>29.076064656934893</v>
      </c>
      <c r="BN74">
        <v>29.497265750560477</v>
      </c>
      <c r="BO74">
        <v>29.926632133278758</v>
      </c>
      <c r="BP74">
        <v>30.358062355462817</v>
      </c>
      <c r="BQ74">
        <v>30.797076692512942</v>
      </c>
      <c r="BR74">
        <v>31.240636490916781</v>
      </c>
      <c r="BS74">
        <v>31.694430036519382</v>
      </c>
      <c r="BT74">
        <v>32.146506922260656</v>
      </c>
      <c r="BU74">
        <v>32.608210799152516</v>
      </c>
    </row>
    <row r="75" spans="1:73" x14ac:dyDescent="0.3">
      <c r="A75" s="172" t="s">
        <v>428</v>
      </c>
      <c r="B75" t="s">
        <v>309</v>
      </c>
      <c r="C75" t="s">
        <v>346</v>
      </c>
      <c r="D75" t="s">
        <v>311</v>
      </c>
      <c r="E75" t="s">
        <v>347</v>
      </c>
      <c r="F75" t="s">
        <v>7</v>
      </c>
      <c r="G75" t="s">
        <v>313</v>
      </c>
      <c r="H75" t="s">
        <v>75</v>
      </c>
      <c r="M75">
        <v>15.069172533938277</v>
      </c>
      <c r="N75">
        <v>16.665975264684665</v>
      </c>
      <c r="O75">
        <v>18.169873109278534</v>
      </c>
      <c r="P75">
        <v>19.947840368022337</v>
      </c>
      <c r="Q75">
        <v>21.697355505381921</v>
      </c>
      <c r="R75">
        <v>23.163510739976331</v>
      </c>
      <c r="S75">
        <v>23.865523285966294</v>
      </c>
      <c r="T75">
        <v>24.450243413188698</v>
      </c>
      <c r="U75">
        <v>24.9629622536429</v>
      </c>
      <c r="V75">
        <v>26.060401221319498</v>
      </c>
      <c r="W75">
        <v>23.917782284427101</v>
      </c>
      <c r="X75">
        <v>25.150513992563301</v>
      </c>
      <c r="Y75">
        <v>26.593867010974826</v>
      </c>
      <c r="Z75">
        <v>26.244130000000002</v>
      </c>
      <c r="AA75">
        <v>26.928867500000003</v>
      </c>
      <c r="AB75">
        <v>27.569065000000002</v>
      </c>
      <c r="AC75">
        <v>28.211665</v>
      </c>
      <c r="AD75">
        <v>28.951492500000001</v>
      </c>
      <c r="AE75">
        <v>29.685220000000001</v>
      </c>
      <c r="AF75">
        <v>30.3404025</v>
      </c>
      <c r="AG75">
        <v>31.055710000000001</v>
      </c>
      <c r="AH75">
        <v>31.62687</v>
      </c>
      <c r="AI75">
        <v>31.596</v>
      </c>
      <c r="AJ75">
        <v>31.4238</v>
      </c>
      <c r="AK75">
        <v>31.233599999999999</v>
      </c>
      <c r="AL75">
        <v>31.160499999999999</v>
      </c>
      <c r="AM75">
        <v>31.4664</v>
      </c>
      <c r="AN75">
        <v>31.915900000000001</v>
      </c>
      <c r="AO75">
        <v>32.299300000000002</v>
      </c>
      <c r="AP75">
        <v>32.914999999999999</v>
      </c>
      <c r="AQ75">
        <v>33.314900000000002</v>
      </c>
      <c r="AR75">
        <v>33.822200000000002</v>
      </c>
      <c r="AS75">
        <v>34.334299999999999</v>
      </c>
      <c r="AT75">
        <v>34.824800000000003</v>
      </c>
      <c r="AU75">
        <v>35.1404</v>
      </c>
      <c r="AV75">
        <v>35.639000000000003</v>
      </c>
      <c r="AW75">
        <v>36.004199999999997</v>
      </c>
      <c r="AX75">
        <v>36.500999999999998</v>
      </c>
      <c r="AY75">
        <v>36.912100000000002</v>
      </c>
      <c r="AZ75">
        <v>37.384999999999998</v>
      </c>
      <c r="BA75">
        <v>37.820500000000003</v>
      </c>
      <c r="BB75">
        <v>38.470999999999997</v>
      </c>
      <c r="BC75">
        <v>39.162300000000002</v>
      </c>
      <c r="BD75">
        <v>39.838299999999997</v>
      </c>
      <c r="BE75">
        <v>40.549100000000003</v>
      </c>
      <c r="BF75">
        <v>41.259900000000002</v>
      </c>
      <c r="BG75">
        <v>41.986800000000002</v>
      </c>
      <c r="BH75">
        <v>42.677900000000001</v>
      </c>
      <c r="BI75">
        <v>43.375900000000001</v>
      </c>
      <c r="BJ75">
        <v>44.066200000000002</v>
      </c>
      <c r="BK75">
        <v>44.771700000000003</v>
      </c>
      <c r="BL75">
        <v>45.449599999999997</v>
      </c>
      <c r="BM75">
        <v>46.142800000000001</v>
      </c>
      <c r="BN75">
        <v>46.823300000000003</v>
      </c>
      <c r="BO75">
        <v>47.5075</v>
      </c>
      <c r="BP75">
        <v>48.191400000000002</v>
      </c>
      <c r="BQ75">
        <v>48.869</v>
      </c>
      <c r="BR75">
        <v>49.5274</v>
      </c>
      <c r="BS75">
        <v>50.191400000000002</v>
      </c>
      <c r="BT75">
        <v>50.850499999999997</v>
      </c>
      <c r="BU75">
        <v>51.490200000000002</v>
      </c>
    </row>
    <row r="76" spans="1:73" x14ac:dyDescent="0.3">
      <c r="A76" s="172" t="s">
        <v>428</v>
      </c>
      <c r="B76" t="s">
        <v>309</v>
      </c>
      <c r="C76" t="s">
        <v>348</v>
      </c>
      <c r="D76" t="s">
        <v>311</v>
      </c>
      <c r="E76" t="s">
        <v>349</v>
      </c>
      <c r="F76" t="s">
        <v>7</v>
      </c>
      <c r="G76" t="s">
        <v>313</v>
      </c>
      <c r="H76" t="s">
        <v>75</v>
      </c>
      <c r="M76">
        <v>0.98943703752430912</v>
      </c>
      <c r="N76">
        <v>1.0585350466002439</v>
      </c>
      <c r="O76">
        <v>1.1171812559840204</v>
      </c>
      <c r="P76">
        <v>1.1595691102911063</v>
      </c>
      <c r="Q76">
        <v>1.1676982878294515</v>
      </c>
      <c r="R76">
        <v>1.1827953318292357</v>
      </c>
      <c r="S76">
        <v>1.1665369767525451</v>
      </c>
      <c r="T76">
        <v>1.2013763090597391</v>
      </c>
      <c r="U76">
        <v>0.27453468820698801</v>
      </c>
      <c r="V76">
        <v>0.28255511883412499</v>
      </c>
      <c r="W76">
        <v>0.269804827871021</v>
      </c>
      <c r="X76">
        <v>0.31491248201071098</v>
      </c>
      <c r="Y76">
        <v>0.31723692704970952</v>
      </c>
      <c r="Z76">
        <v>0.32750000000000001</v>
      </c>
      <c r="AA76">
        <v>0.33499999999999996</v>
      </c>
      <c r="AB76">
        <v>0.34499999999999997</v>
      </c>
      <c r="AC76">
        <v>0.35499999999999998</v>
      </c>
      <c r="AD76">
        <v>0.36499999999999999</v>
      </c>
      <c r="AE76">
        <v>0.375</v>
      </c>
      <c r="AF76">
        <v>0.38500000000000001</v>
      </c>
      <c r="AG76">
        <v>0.39500000000000002</v>
      </c>
      <c r="AH76">
        <v>0.40500000000000003</v>
      </c>
      <c r="AI76">
        <v>0.41</v>
      </c>
      <c r="AJ76">
        <v>0.42</v>
      </c>
      <c r="AK76">
        <v>0.43</v>
      </c>
      <c r="AL76">
        <v>0.44</v>
      </c>
      <c r="AM76">
        <v>0.45</v>
      </c>
      <c r="AN76">
        <v>0.46</v>
      </c>
      <c r="AO76">
        <v>0.47</v>
      </c>
      <c r="AP76">
        <v>0.48</v>
      </c>
      <c r="AQ76">
        <v>0.49</v>
      </c>
      <c r="AR76">
        <v>0.5</v>
      </c>
      <c r="AS76">
        <v>0.51</v>
      </c>
      <c r="AT76">
        <v>0.52</v>
      </c>
      <c r="AU76">
        <v>0.52</v>
      </c>
      <c r="AV76">
        <v>0.53</v>
      </c>
      <c r="AW76">
        <v>0.54</v>
      </c>
      <c r="AX76">
        <v>0.55000000000000004</v>
      </c>
      <c r="AY76">
        <v>0.56000000000000005</v>
      </c>
      <c r="AZ76">
        <v>0.56999999999999995</v>
      </c>
      <c r="BA76">
        <v>0.57999999999999996</v>
      </c>
      <c r="BB76">
        <v>0.59</v>
      </c>
      <c r="BC76">
        <v>0.59</v>
      </c>
      <c r="BD76">
        <v>0.6</v>
      </c>
      <c r="BE76">
        <v>0.61</v>
      </c>
      <c r="BF76">
        <v>0.62</v>
      </c>
      <c r="BG76">
        <v>0.63</v>
      </c>
      <c r="BH76">
        <v>0.64</v>
      </c>
      <c r="BI76">
        <v>0.64</v>
      </c>
      <c r="BJ76">
        <v>0.65</v>
      </c>
      <c r="BK76">
        <v>0.66</v>
      </c>
      <c r="BL76">
        <v>0.67</v>
      </c>
      <c r="BM76">
        <v>0.68</v>
      </c>
      <c r="BN76">
        <v>0.68</v>
      </c>
      <c r="BO76">
        <v>0.69</v>
      </c>
      <c r="BP76">
        <v>0.7</v>
      </c>
      <c r="BQ76">
        <v>0.71</v>
      </c>
      <c r="BR76">
        <v>0.71</v>
      </c>
      <c r="BS76">
        <v>0.72</v>
      </c>
      <c r="BT76">
        <v>0.73</v>
      </c>
      <c r="BU76">
        <v>0.73</v>
      </c>
    </row>
    <row r="77" spans="1:73" x14ac:dyDescent="0.3">
      <c r="A77" s="172" t="s">
        <v>428</v>
      </c>
      <c r="B77" t="s">
        <v>309</v>
      </c>
      <c r="C77" t="s">
        <v>350</v>
      </c>
      <c r="D77" t="s">
        <v>311</v>
      </c>
      <c r="E77" t="s">
        <v>351</v>
      </c>
      <c r="F77" t="s">
        <v>7</v>
      </c>
      <c r="G77" t="s">
        <v>313</v>
      </c>
      <c r="H77" t="s">
        <v>75</v>
      </c>
      <c r="M77">
        <v>1.8755173892039421</v>
      </c>
      <c r="N77">
        <v>2.0061648853559193</v>
      </c>
      <c r="O77">
        <v>2.11765074873894</v>
      </c>
      <c r="P77">
        <v>2.1977812130454861</v>
      </c>
      <c r="Q77">
        <v>2.2128782570452703</v>
      </c>
      <c r="R77">
        <v>2.2424916895063851</v>
      </c>
      <c r="S77">
        <v>2.2111362904299106</v>
      </c>
      <c r="T77">
        <v>2.2773310218135787</v>
      </c>
      <c r="U77">
        <v>2.39111779663983</v>
      </c>
      <c r="V77">
        <v>2.3977571514238298</v>
      </c>
      <c r="W77">
        <v>2.2406900605344502</v>
      </c>
      <c r="X77">
        <v>2.3810967562588701</v>
      </c>
      <c r="Y77">
        <v>2.6552614590058101</v>
      </c>
      <c r="Z77">
        <v>2.4874999999999998</v>
      </c>
      <c r="AA77">
        <v>2.5525000000000002</v>
      </c>
      <c r="AB77">
        <v>2.6124999999999998</v>
      </c>
      <c r="AC77">
        <v>2.6725000000000003</v>
      </c>
      <c r="AD77">
        <v>2.7424999999999997</v>
      </c>
      <c r="AE77">
        <v>2.8</v>
      </c>
      <c r="AF77">
        <v>2.85</v>
      </c>
      <c r="AG77">
        <v>2.9</v>
      </c>
      <c r="AH77">
        <v>2.889068</v>
      </c>
      <c r="AI77">
        <v>2.7902</v>
      </c>
      <c r="AJ77">
        <v>2.6960000000000002</v>
      </c>
      <c r="AK77">
        <v>2.6486000000000001</v>
      </c>
      <c r="AL77">
        <v>2.6425000000000001</v>
      </c>
      <c r="AM77">
        <v>2.6364000000000001</v>
      </c>
      <c r="AN77">
        <v>2.6242999999999999</v>
      </c>
      <c r="AO77">
        <v>2.6122000000000001</v>
      </c>
      <c r="AP77">
        <v>2.5975999999999999</v>
      </c>
      <c r="AQ77">
        <v>2.5830000000000002</v>
      </c>
      <c r="AR77">
        <v>2.5817399999999999</v>
      </c>
      <c r="AS77">
        <v>2.5804800000000001</v>
      </c>
      <c r="AT77">
        <v>2.5727799999999998</v>
      </c>
      <c r="AU77">
        <v>2.5566800000000001</v>
      </c>
      <c r="AV77">
        <v>2.5451999999999999</v>
      </c>
      <c r="AW77">
        <v>2.53464</v>
      </c>
      <c r="AX77">
        <v>2.5232399999999999</v>
      </c>
      <c r="AY77">
        <v>2.5087600000000001</v>
      </c>
      <c r="AZ77">
        <v>2.4857999999999998</v>
      </c>
      <c r="BA77">
        <v>2.4499999999999997</v>
      </c>
      <c r="BB77">
        <v>2.4051833919999996</v>
      </c>
      <c r="BC77">
        <v>2.3638031879999999</v>
      </c>
      <c r="BD77">
        <v>2.3204464310000001</v>
      </c>
      <c r="BE77">
        <v>2.2800482899999999</v>
      </c>
      <c r="BF77">
        <v>2.2325737120000002</v>
      </c>
      <c r="BG77">
        <v>2.1877283250000001</v>
      </c>
      <c r="BH77">
        <v>2.1361359279999999</v>
      </c>
      <c r="BI77">
        <v>2.0825669759999998</v>
      </c>
      <c r="BJ77">
        <v>2.0270214709999999</v>
      </c>
      <c r="BK77">
        <v>1.9694994130000001</v>
      </c>
      <c r="BL77">
        <v>1.9100007999999999</v>
      </c>
      <c r="BM77">
        <v>1.8485256339999998</v>
      </c>
      <c r="BN77">
        <v>1.7850739149999999</v>
      </c>
      <c r="BO77">
        <v>1.7196456410000001</v>
      </c>
      <c r="BP77">
        <v>1.652240814</v>
      </c>
      <c r="BQ77">
        <v>1.579900818</v>
      </c>
      <c r="BR77">
        <v>1.508707596</v>
      </c>
      <c r="BS77">
        <v>1.4329086310000001</v>
      </c>
      <c r="BT77">
        <v>1.355462537</v>
      </c>
      <c r="BU77">
        <v>1.27866908</v>
      </c>
    </row>
    <row r="78" spans="1:73" x14ac:dyDescent="0.3">
      <c r="A78" s="172" t="s">
        <v>428</v>
      </c>
      <c r="B78" t="s">
        <v>309</v>
      </c>
      <c r="C78" t="s">
        <v>352</v>
      </c>
      <c r="D78" t="s">
        <v>311</v>
      </c>
      <c r="E78" t="s">
        <v>353</v>
      </c>
      <c r="F78" t="s">
        <v>7</v>
      </c>
      <c r="G78" t="s">
        <v>313</v>
      </c>
      <c r="H78" t="s">
        <v>75</v>
      </c>
      <c r="M78">
        <v>6.6287636269820993</v>
      </c>
      <c r="N78">
        <v>7.1681926222051526</v>
      </c>
      <c r="O78">
        <v>7.3383246949719494</v>
      </c>
      <c r="P78">
        <v>8.147177860037301</v>
      </c>
      <c r="Q78">
        <v>8.6128636018767946</v>
      </c>
      <c r="R78">
        <v>7.6762662183517305</v>
      </c>
      <c r="S78">
        <v>5.2648037671554579</v>
      </c>
      <c r="T78">
        <v>5.0464772846970423</v>
      </c>
      <c r="U78">
        <v>5.7368390353734897</v>
      </c>
      <c r="V78">
        <v>4.7138772871007104</v>
      </c>
      <c r="W78">
        <v>4.5998940532795798</v>
      </c>
      <c r="X78">
        <v>4.3899411636953101</v>
      </c>
      <c r="Y78">
        <v>6.0873466752743708</v>
      </c>
      <c r="Z78">
        <v>4.58</v>
      </c>
      <c r="AA78">
        <v>4.7</v>
      </c>
      <c r="AB78">
        <v>4.8125</v>
      </c>
      <c r="AC78">
        <v>4.9250000000000007</v>
      </c>
      <c r="AD78">
        <v>5.0549999999999997</v>
      </c>
      <c r="AE78">
        <v>5.16</v>
      </c>
      <c r="AF78">
        <v>5.24</v>
      </c>
      <c r="AG78">
        <v>5.37</v>
      </c>
      <c r="AH78">
        <v>5.4100359999999998</v>
      </c>
      <c r="AI78">
        <v>5.1909400000000003</v>
      </c>
      <c r="AJ78">
        <v>5.11252</v>
      </c>
      <c r="AK78">
        <v>5.0898399999999997</v>
      </c>
      <c r="AL78">
        <v>5.1660000000000004</v>
      </c>
      <c r="AM78">
        <v>5.1667199999999998</v>
      </c>
      <c r="AN78">
        <v>5.2387199999999998</v>
      </c>
      <c r="AO78">
        <v>5.2340400000000002</v>
      </c>
      <c r="AP78">
        <v>5.3064</v>
      </c>
      <c r="AQ78">
        <v>5.3040000000000003</v>
      </c>
      <c r="AR78">
        <v>5.3669000000000002</v>
      </c>
      <c r="AS78">
        <v>5.3731999999999998</v>
      </c>
      <c r="AT78">
        <v>5.4074999999999998</v>
      </c>
      <c r="AU78">
        <v>5.4093999999999998</v>
      </c>
      <c r="AV78">
        <v>5.4385000000000003</v>
      </c>
      <c r="AW78">
        <v>5.4806800000000004</v>
      </c>
      <c r="AX78">
        <v>5.5057799999999997</v>
      </c>
      <c r="AY78">
        <v>5.5064799999999998</v>
      </c>
      <c r="AZ78">
        <v>5.5128579999999996</v>
      </c>
      <c r="BA78">
        <v>5.5181399999999998</v>
      </c>
      <c r="BB78">
        <v>5.4724295569999999</v>
      </c>
      <c r="BC78">
        <v>5.4564886699999997</v>
      </c>
      <c r="BD78">
        <v>5.3969541899999998</v>
      </c>
      <c r="BE78">
        <v>5.3735409850000009</v>
      </c>
      <c r="BF78">
        <v>5.3506425120000003</v>
      </c>
      <c r="BG78">
        <v>5.3250000000000002</v>
      </c>
      <c r="BH78">
        <v>5.2906420689999996</v>
      </c>
      <c r="BI78">
        <v>5.2596258130000004</v>
      </c>
      <c r="BJ78">
        <v>5.2201228080000002</v>
      </c>
      <c r="BK78">
        <v>5.1837328080000002</v>
      </c>
      <c r="BL78">
        <v>5.13357069</v>
      </c>
      <c r="BM78">
        <v>5.0865215759999991</v>
      </c>
      <c r="BN78">
        <v>5.0369570939999999</v>
      </c>
      <c r="BO78">
        <v>4.9848772410000004</v>
      </c>
      <c r="BP78">
        <v>4.92522532</v>
      </c>
      <c r="BQ78">
        <v>4.8682290640000003</v>
      </c>
      <c r="BR78">
        <v>4.8038894089999999</v>
      </c>
      <c r="BS78">
        <v>4.7372630539999996</v>
      </c>
      <c r="BT78">
        <v>4.6683500000000002</v>
      </c>
      <c r="BU78">
        <v>4.5926652219999999</v>
      </c>
    </row>
    <row r="79" spans="1:73" x14ac:dyDescent="0.3">
      <c r="A79" s="172" t="s">
        <v>428</v>
      </c>
      <c r="B79" t="s">
        <v>309</v>
      </c>
      <c r="C79" t="s">
        <v>354</v>
      </c>
      <c r="D79" t="s">
        <v>311</v>
      </c>
      <c r="E79" t="s">
        <v>355</v>
      </c>
      <c r="F79" t="s">
        <v>7</v>
      </c>
      <c r="G79" t="s">
        <v>313</v>
      </c>
      <c r="H79" t="s">
        <v>75</v>
      </c>
      <c r="M79">
        <v>0.14806716230557443</v>
      </c>
      <c r="N79">
        <v>0.15677699538237291</v>
      </c>
      <c r="O79">
        <v>0.15155109553629381</v>
      </c>
      <c r="P79">
        <v>0.1904550166126604</v>
      </c>
      <c r="Q79">
        <v>0.23110090430438673</v>
      </c>
      <c r="R79">
        <v>0.22587500445830763</v>
      </c>
      <c r="S79">
        <v>0.17245469492061019</v>
      </c>
      <c r="T79">
        <v>0.17884190584359577</v>
      </c>
      <c r="U79">
        <v>9.9128536281464702E-2</v>
      </c>
      <c r="V79">
        <v>0.123044623051719</v>
      </c>
      <c r="W79">
        <v>3.4599036083716998E-2</v>
      </c>
      <c r="X79">
        <v>0.23700357618085399</v>
      </c>
      <c r="Y79">
        <v>0</v>
      </c>
      <c r="Z79">
        <v>0.2475</v>
      </c>
      <c r="AA79">
        <v>0.2525</v>
      </c>
      <c r="AB79">
        <v>0.25750000000000001</v>
      </c>
      <c r="AC79">
        <v>0.26500000000000001</v>
      </c>
      <c r="AD79">
        <v>0.27500000000000002</v>
      </c>
      <c r="AE79">
        <v>0.28300000000000003</v>
      </c>
      <c r="AF79">
        <v>0.29100000000000004</v>
      </c>
      <c r="AG79">
        <v>0.29900000000000004</v>
      </c>
      <c r="AH79">
        <v>0.30700000000000005</v>
      </c>
      <c r="AI79">
        <v>0.31</v>
      </c>
      <c r="AJ79">
        <v>0.32</v>
      </c>
      <c r="AK79">
        <v>0.32</v>
      </c>
      <c r="AL79">
        <v>0.33</v>
      </c>
      <c r="AM79">
        <v>0.34</v>
      </c>
      <c r="AN79">
        <v>0.35</v>
      </c>
      <c r="AO79">
        <v>0.35</v>
      </c>
      <c r="AP79">
        <v>0.36</v>
      </c>
      <c r="AQ79">
        <v>0.37</v>
      </c>
      <c r="AR79">
        <v>0.38</v>
      </c>
      <c r="AS79">
        <v>0.38</v>
      </c>
      <c r="AT79">
        <v>0.39</v>
      </c>
      <c r="AU79">
        <v>0.39</v>
      </c>
      <c r="AV79">
        <v>0.4</v>
      </c>
      <c r="AW79">
        <v>0.41</v>
      </c>
      <c r="AX79">
        <v>0.42</v>
      </c>
      <c r="AY79">
        <v>0.42</v>
      </c>
      <c r="AZ79">
        <v>0.43</v>
      </c>
      <c r="BA79">
        <v>0.43</v>
      </c>
      <c r="BB79">
        <v>0.44</v>
      </c>
      <c r="BC79">
        <v>0.45</v>
      </c>
      <c r="BD79">
        <v>0.45</v>
      </c>
      <c r="BE79">
        <v>0.46</v>
      </c>
      <c r="BF79">
        <v>0.47</v>
      </c>
      <c r="BG79">
        <v>0.47</v>
      </c>
      <c r="BH79">
        <v>0.48</v>
      </c>
      <c r="BI79">
        <v>0.48</v>
      </c>
      <c r="BJ79">
        <v>0.49</v>
      </c>
      <c r="BK79">
        <v>0.5</v>
      </c>
      <c r="BL79">
        <v>0.5</v>
      </c>
      <c r="BM79">
        <v>0.51</v>
      </c>
      <c r="BN79">
        <v>0.51</v>
      </c>
      <c r="BO79">
        <v>0.52</v>
      </c>
      <c r="BP79">
        <v>0.53</v>
      </c>
      <c r="BQ79">
        <v>0.53</v>
      </c>
      <c r="BR79">
        <v>0.54</v>
      </c>
      <c r="BS79">
        <v>0.54</v>
      </c>
      <c r="BT79">
        <v>0.55000000000000004</v>
      </c>
      <c r="BU79">
        <v>0.55000000000000004</v>
      </c>
    </row>
    <row r="80" spans="1:73" x14ac:dyDescent="0.3">
      <c r="A80" s="172" t="s">
        <v>428</v>
      </c>
      <c r="B80" t="s">
        <v>309</v>
      </c>
      <c r="C80" t="s">
        <v>356</v>
      </c>
      <c r="D80" t="s">
        <v>311</v>
      </c>
      <c r="E80" t="s">
        <v>357</v>
      </c>
      <c r="F80" t="s">
        <v>7</v>
      </c>
      <c r="G80" t="s">
        <v>313</v>
      </c>
      <c r="H80" t="s">
        <v>75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3.2500000000000001E-2</v>
      </c>
      <c r="AI80">
        <v>7.5600000000000001E-2</v>
      </c>
      <c r="AJ80">
        <v>0.15912000000000001</v>
      </c>
      <c r="AK80">
        <v>0.25868000000000002</v>
      </c>
      <c r="AL80">
        <v>0.34823999999999999</v>
      </c>
      <c r="AM80">
        <v>0.41749999999999998</v>
      </c>
      <c r="AN80">
        <v>0.50570000000000004</v>
      </c>
      <c r="AO80">
        <v>0.5776</v>
      </c>
      <c r="AP80">
        <v>0.67010000000000003</v>
      </c>
      <c r="AQ80">
        <v>0.75329999999999997</v>
      </c>
      <c r="AR80">
        <v>0.81569999999999998</v>
      </c>
      <c r="AS80">
        <v>0.879</v>
      </c>
      <c r="AT80">
        <v>0.94699999999999995</v>
      </c>
      <c r="AU80">
        <v>1.0142</v>
      </c>
      <c r="AV80">
        <v>1.0683</v>
      </c>
      <c r="AW80">
        <v>1.1227</v>
      </c>
      <c r="AX80">
        <v>1.1760999999999999</v>
      </c>
      <c r="AY80">
        <v>1.2351000000000001</v>
      </c>
      <c r="AZ80">
        <v>1.2945</v>
      </c>
      <c r="BA80">
        <v>1.3664000000000001</v>
      </c>
      <c r="BB80">
        <v>1.4255</v>
      </c>
      <c r="BC80">
        <v>1.478</v>
      </c>
      <c r="BD80">
        <v>1.5578000000000001</v>
      </c>
      <c r="BE80">
        <v>1.6393</v>
      </c>
      <c r="BF80">
        <v>1.7316</v>
      </c>
      <c r="BG80">
        <v>1.8569</v>
      </c>
      <c r="BH80">
        <v>1.9659</v>
      </c>
      <c r="BI80">
        <v>2.0792000000000002</v>
      </c>
      <c r="BJ80">
        <v>2.1985999999999999</v>
      </c>
      <c r="BK80">
        <v>2.3214000000000001</v>
      </c>
      <c r="BL80">
        <v>2.4485000000000001</v>
      </c>
      <c r="BM80">
        <v>2.5773000000000001</v>
      </c>
      <c r="BN80">
        <v>2.7147000000000001</v>
      </c>
      <c r="BO80">
        <v>2.8532000000000002</v>
      </c>
      <c r="BP80">
        <v>2.9992999999999999</v>
      </c>
      <c r="BQ80">
        <v>3.1465999999999998</v>
      </c>
      <c r="BR80">
        <v>3.3016999999999999</v>
      </c>
      <c r="BS80">
        <v>3.4580000000000002</v>
      </c>
      <c r="BT80">
        <v>3.6200999999999999</v>
      </c>
      <c r="BU80">
        <v>3.7856000000000001</v>
      </c>
    </row>
    <row r="81" spans="1:73" x14ac:dyDescent="0.3">
      <c r="A81" s="172" t="s">
        <v>428</v>
      </c>
      <c r="B81" t="s">
        <v>309</v>
      </c>
      <c r="C81" t="s">
        <v>358</v>
      </c>
      <c r="D81" t="s">
        <v>311</v>
      </c>
      <c r="E81" t="s">
        <v>359</v>
      </c>
      <c r="F81" t="s">
        <v>7</v>
      </c>
      <c r="G81" t="s">
        <v>313</v>
      </c>
      <c r="H81" t="s">
        <v>75</v>
      </c>
      <c r="M81">
        <v>0.47787950814701075</v>
      </c>
      <c r="N81">
        <v>0.56904242768416835</v>
      </c>
      <c r="O81">
        <v>0.72175483429736864</v>
      </c>
      <c r="P81">
        <v>0.84253118629564105</v>
      </c>
      <c r="Q81">
        <v>0.99350162629348171</v>
      </c>
      <c r="R81">
        <v>1.0242763698315032</v>
      </c>
      <c r="S81">
        <v>0.7989820209116486</v>
      </c>
      <c r="T81">
        <v>1.1073101118303152</v>
      </c>
      <c r="U81">
        <v>1.0525426407975187</v>
      </c>
      <c r="V81">
        <v>1.1384701145115452</v>
      </c>
      <c r="W81">
        <v>0.93313629908978279</v>
      </c>
      <c r="X81">
        <v>1.096618060102567</v>
      </c>
      <c r="Y81">
        <v>1.0278244028405423</v>
      </c>
      <c r="Z81">
        <v>1.17</v>
      </c>
      <c r="AA81">
        <v>1.2</v>
      </c>
      <c r="AB81">
        <v>1.23</v>
      </c>
      <c r="AC81">
        <v>1.26</v>
      </c>
      <c r="AD81">
        <v>1.29</v>
      </c>
      <c r="AE81">
        <v>1.3179661016949153</v>
      </c>
      <c r="AF81">
        <v>1.3239361702127661</v>
      </c>
      <c r="AG81">
        <v>1.3257121439280359</v>
      </c>
      <c r="AH81">
        <v>1.3113728634361232</v>
      </c>
      <c r="AI81">
        <v>1.2782608695652173</v>
      </c>
      <c r="AJ81">
        <v>1.2201481481481482</v>
      </c>
      <c r="AK81">
        <v>1.162465352112676</v>
      </c>
      <c r="AL81">
        <v>1.1256417246175243</v>
      </c>
      <c r="AM81">
        <v>1.0906991780821917</v>
      </c>
      <c r="AN81">
        <v>1.0553918918918916</v>
      </c>
      <c r="AO81">
        <v>1.0399350199733688</v>
      </c>
      <c r="AP81">
        <v>1.0307196078431373</v>
      </c>
      <c r="AQ81">
        <v>1.0207246786632391</v>
      </c>
      <c r="AR81">
        <v>1.0123915510718791</v>
      </c>
      <c r="AS81">
        <v>1.0033024752475248</v>
      </c>
      <c r="AT81">
        <v>0.99350778588807764</v>
      </c>
      <c r="AU81">
        <v>0.98300476190476183</v>
      </c>
      <c r="AV81">
        <v>0.9774252042007</v>
      </c>
      <c r="AW81">
        <v>0.97324236902050121</v>
      </c>
      <c r="AX81">
        <v>0.96804927536231866</v>
      </c>
      <c r="AY81">
        <v>0.96192052401746708</v>
      </c>
      <c r="AZ81">
        <v>0.95484631803628595</v>
      </c>
      <c r="BA81">
        <v>0.94680919540229891</v>
      </c>
      <c r="BB81">
        <v>0.95608615384615381</v>
      </c>
      <c r="BC81">
        <v>0.96016931589537224</v>
      </c>
      <c r="BD81">
        <v>0.96866041461006891</v>
      </c>
      <c r="BE81">
        <v>0.97675634075508233</v>
      </c>
      <c r="BF81">
        <v>0.98904952561669834</v>
      </c>
      <c r="BG81">
        <v>0.99625594795539041</v>
      </c>
      <c r="BH81">
        <v>1.0075619307832422</v>
      </c>
      <c r="BI81">
        <v>1.0138995535714288</v>
      </c>
      <c r="BJ81">
        <v>1.024206993006993</v>
      </c>
      <c r="BK81">
        <v>1.0340267352185091</v>
      </c>
      <c r="BL81">
        <v>1.0433204697986578</v>
      </c>
      <c r="BM81">
        <v>1.0520859375</v>
      </c>
      <c r="BN81">
        <v>1.0603478260869565</v>
      </c>
      <c r="BO81">
        <v>1.0681017363851617</v>
      </c>
      <c r="BP81">
        <v>1.0753144624903326</v>
      </c>
      <c r="BQ81">
        <v>1.0820078847611827</v>
      </c>
      <c r="BR81">
        <v>1.0922028231797918</v>
      </c>
      <c r="BS81">
        <v>1.0978064093226512</v>
      </c>
      <c r="BT81">
        <v>1.1068094218415416</v>
      </c>
      <c r="BU81">
        <v>1.1152020979020978</v>
      </c>
    </row>
    <row r="82" spans="1:73" x14ac:dyDescent="0.3">
      <c r="A82" s="172" t="s">
        <v>428</v>
      </c>
      <c r="B82" t="s">
        <v>309</v>
      </c>
      <c r="C82" t="s">
        <v>360</v>
      </c>
      <c r="D82" t="s">
        <v>311</v>
      </c>
      <c r="E82" t="s">
        <v>361</v>
      </c>
      <c r="F82" t="s">
        <v>7</v>
      </c>
      <c r="G82" t="s">
        <v>313</v>
      </c>
      <c r="H82" t="s">
        <v>75</v>
      </c>
      <c r="M82">
        <v>3.5077401077959807</v>
      </c>
      <c r="N82">
        <v>3.8631012973293588</v>
      </c>
      <c r="O82">
        <v>4.2289142865548959</v>
      </c>
      <c r="P82">
        <v>4.2573664079391049</v>
      </c>
      <c r="Q82">
        <v>4.491370589935757</v>
      </c>
      <c r="R82">
        <v>4.4414342136287788</v>
      </c>
      <c r="S82">
        <v>4.0332333700961565</v>
      </c>
      <c r="T82">
        <v>4.3525939162454348</v>
      </c>
      <c r="U82">
        <v>4.7630758302215384</v>
      </c>
      <c r="V82">
        <v>5.2140192621428216</v>
      </c>
      <c r="W82">
        <v>4.8432446410198464</v>
      </c>
      <c r="X82">
        <v>5.4102095818988847</v>
      </c>
      <c r="Y82">
        <v>5.3645577792123946</v>
      </c>
      <c r="Z82">
        <v>5.76</v>
      </c>
      <c r="AA82">
        <v>5.94</v>
      </c>
      <c r="AB82">
        <v>6.08</v>
      </c>
      <c r="AC82">
        <v>6.2</v>
      </c>
      <c r="AD82">
        <v>6.36</v>
      </c>
      <c r="AE82">
        <v>6.4408333333333339</v>
      </c>
      <c r="AF82">
        <v>6.5305263157894737</v>
      </c>
      <c r="AG82">
        <v>6.5711851851851852</v>
      </c>
      <c r="AH82">
        <v>6.5435217391304352</v>
      </c>
      <c r="AI82">
        <v>6.3233571428571436</v>
      </c>
      <c r="AJ82">
        <v>6.0792211267605634</v>
      </c>
      <c r="AK82">
        <v>5.8471458333333324</v>
      </c>
      <c r="AL82">
        <v>5.6219890410958913</v>
      </c>
      <c r="AM82">
        <v>5.4597094594594591</v>
      </c>
      <c r="AN82">
        <v>5.3852266666666662</v>
      </c>
      <c r="AO82">
        <v>5.3157953947368419</v>
      </c>
      <c r="AP82">
        <v>5.2651741935483871</v>
      </c>
      <c r="AQ82">
        <v>5.2037367088607596</v>
      </c>
      <c r="AR82">
        <v>5.1756795031055898</v>
      </c>
      <c r="AS82">
        <v>5.1436097560975611</v>
      </c>
      <c r="AT82">
        <v>5.1018143712574853</v>
      </c>
      <c r="AU82">
        <v>5.0805176470588238</v>
      </c>
      <c r="AV82">
        <v>5.0489120689655174</v>
      </c>
      <c r="AW82">
        <v>5.0475134831460675</v>
      </c>
      <c r="AX82">
        <v>5.0296071428571434</v>
      </c>
      <c r="AY82">
        <v>5.0069741935483867</v>
      </c>
      <c r="AZ82">
        <v>4.9897715789473684</v>
      </c>
      <c r="BA82">
        <v>4.9625876288659798</v>
      </c>
      <c r="BB82">
        <v>5.0133712121212124</v>
      </c>
      <c r="BC82">
        <v>5.0679164179104479</v>
      </c>
      <c r="BD82">
        <v>5.1203443902439032</v>
      </c>
      <c r="BE82">
        <v>5.1768622009569389</v>
      </c>
      <c r="BF82">
        <v>5.2360158878504661</v>
      </c>
      <c r="BG82">
        <v>5.298559633027522</v>
      </c>
      <c r="BH82">
        <v>5.3595201793721978</v>
      </c>
      <c r="BI82">
        <v>5.41793832599119</v>
      </c>
      <c r="BJ82">
        <v>5.484296551724138</v>
      </c>
      <c r="BK82">
        <v>5.5439886075949358</v>
      </c>
      <c r="BL82">
        <v>5.6102809917355367</v>
      </c>
      <c r="BM82">
        <v>5.670399999999999</v>
      </c>
      <c r="BN82">
        <v>5.7378428571428568</v>
      </c>
      <c r="BO82">
        <v>5.7981272373540858</v>
      </c>
      <c r="BP82">
        <v>5.8609419847328246</v>
      </c>
      <c r="BQ82">
        <v>5.9211737827715361</v>
      </c>
      <c r="BR82">
        <v>5.9840300366300365</v>
      </c>
      <c r="BS82">
        <v>6.0441633093525189</v>
      </c>
      <c r="BT82">
        <v>6.1066827464788735</v>
      </c>
      <c r="BU82">
        <v>6.1706965517241388</v>
      </c>
    </row>
    <row r="83" spans="1:73" x14ac:dyDescent="0.3">
      <c r="A83" s="172" t="s">
        <v>428</v>
      </c>
      <c r="B83" t="s">
        <v>309</v>
      </c>
      <c r="C83" t="s">
        <v>362</v>
      </c>
      <c r="D83" t="s">
        <v>311</v>
      </c>
      <c r="E83" t="s">
        <v>363</v>
      </c>
      <c r="F83" t="s">
        <v>7</v>
      </c>
      <c r="G83" t="s">
        <v>313</v>
      </c>
      <c r="H83" t="s">
        <v>75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1.04</v>
      </c>
      <c r="AJ83">
        <v>0.96</v>
      </c>
      <c r="AK83">
        <v>0.89</v>
      </c>
      <c r="AL83">
        <v>0.39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</row>
    <row r="84" spans="1:73" x14ac:dyDescent="0.3">
      <c r="A84" s="172" t="s">
        <v>428</v>
      </c>
      <c r="B84" t="s">
        <v>309</v>
      </c>
      <c r="C84" t="s">
        <v>364</v>
      </c>
      <c r="D84" t="s">
        <v>311</v>
      </c>
      <c r="E84" t="s">
        <v>365</v>
      </c>
      <c r="F84" t="s">
        <v>7</v>
      </c>
      <c r="G84" t="s">
        <v>313</v>
      </c>
      <c r="H84" t="s">
        <v>75</v>
      </c>
      <c r="M84">
        <v>6.0819000000000001</v>
      </c>
      <c r="N84">
        <v>6.0819000000000001</v>
      </c>
      <c r="O84">
        <v>6.0819000000000001</v>
      </c>
      <c r="P84">
        <v>6.0819000000000001</v>
      </c>
      <c r="Q84">
        <v>6.0819000000000001</v>
      </c>
      <c r="R84">
        <v>6.0819000000000001</v>
      </c>
      <c r="S84">
        <v>6.0819000000000001</v>
      </c>
      <c r="T84">
        <v>6.0819000000000001</v>
      </c>
      <c r="U84">
        <v>6.0819000000000001</v>
      </c>
      <c r="V84">
        <v>6.6056999999999997</v>
      </c>
      <c r="W84">
        <v>6.1866599999999998</v>
      </c>
      <c r="X84">
        <v>5.9538599999999997</v>
      </c>
      <c r="Y84">
        <v>6.2070299999999996</v>
      </c>
      <c r="Z84">
        <v>6.2070299999999996</v>
      </c>
      <c r="AA84">
        <v>6.2070299999999996</v>
      </c>
      <c r="AB84">
        <v>6.2070299999999996</v>
      </c>
      <c r="AC84">
        <v>6.2070299999999996</v>
      </c>
      <c r="AD84">
        <v>6.2070299999999996</v>
      </c>
      <c r="AE84">
        <v>6.2070299999999996</v>
      </c>
      <c r="AF84">
        <v>6.2070299999999996</v>
      </c>
      <c r="AG84">
        <v>6.2070299999999996</v>
      </c>
      <c r="AH84">
        <v>6.2070299999999996</v>
      </c>
      <c r="AI84">
        <v>2.5170300000000001</v>
      </c>
      <c r="AJ84">
        <v>2.5170300000000001</v>
      </c>
      <c r="AK84">
        <v>2.5170300000000001</v>
      </c>
      <c r="AL84">
        <v>2.2416529999999999</v>
      </c>
      <c r="AM84">
        <v>2.2416529999999999</v>
      </c>
      <c r="AN84">
        <v>2.2416529999999999</v>
      </c>
      <c r="AO84">
        <v>2.2416529999999999</v>
      </c>
      <c r="AP84">
        <v>2.2416529999999999</v>
      </c>
      <c r="AQ84">
        <v>2.2416529999999999</v>
      </c>
      <c r="AR84">
        <v>2.2416529999999999</v>
      </c>
      <c r="AS84">
        <v>2.2416529999999999</v>
      </c>
      <c r="AT84">
        <v>2.2416529999999999</v>
      </c>
      <c r="AU84">
        <v>2.2416529999999999</v>
      </c>
      <c r="AV84">
        <v>2.2416529999999999</v>
      </c>
      <c r="AW84">
        <v>2.2416529999999999</v>
      </c>
      <c r="AX84">
        <v>2.2416529999999999</v>
      </c>
      <c r="AY84">
        <v>2.2416529999999999</v>
      </c>
      <c r="AZ84">
        <v>2.2416529999999999</v>
      </c>
      <c r="BA84">
        <v>2.2416529999999999</v>
      </c>
      <c r="BB84">
        <v>2.2416529999999999</v>
      </c>
      <c r="BC84">
        <v>2.2416529999999999</v>
      </c>
      <c r="BD84">
        <v>2.2416529999999999</v>
      </c>
      <c r="BE84">
        <v>2.2416529999999999</v>
      </c>
      <c r="BF84">
        <v>2.2416529999999999</v>
      </c>
      <c r="BG84">
        <v>2.2416529999999999</v>
      </c>
      <c r="BH84">
        <v>2.2416529999999999</v>
      </c>
      <c r="BI84">
        <v>2.2416529999999999</v>
      </c>
      <c r="BJ84">
        <v>2.2416529999999999</v>
      </c>
      <c r="BK84">
        <v>2.2416529999999999</v>
      </c>
      <c r="BL84">
        <v>2.2416529999999999</v>
      </c>
      <c r="BM84">
        <v>2.2416529999999999</v>
      </c>
      <c r="BN84">
        <v>2.2416529999999999</v>
      </c>
      <c r="BO84">
        <v>2.2416529999999999</v>
      </c>
      <c r="BP84">
        <v>2.2416529999999999</v>
      </c>
      <c r="BQ84">
        <v>2.2416529999999999</v>
      </c>
      <c r="BR84">
        <v>2.2416529999999999</v>
      </c>
      <c r="BS84">
        <v>2.2416529999999999</v>
      </c>
      <c r="BT84">
        <v>2.2416529999999999</v>
      </c>
      <c r="BU84">
        <v>2.2416499999999999</v>
      </c>
    </row>
    <row r="85" spans="1:73" x14ac:dyDescent="0.3">
      <c r="A85" s="172" t="s">
        <v>428</v>
      </c>
      <c r="B85" t="s">
        <v>309</v>
      </c>
      <c r="C85" t="s">
        <v>366</v>
      </c>
      <c r="D85" t="s">
        <v>311</v>
      </c>
      <c r="E85" t="s">
        <v>367</v>
      </c>
      <c r="F85" t="s">
        <v>7</v>
      </c>
      <c r="G85" t="s">
        <v>313</v>
      </c>
      <c r="H85" t="s">
        <v>75</v>
      </c>
      <c r="M85">
        <v>3.5977416999999998E-2</v>
      </c>
      <c r="N85">
        <v>5.0368384000000002E-2</v>
      </c>
      <c r="O85">
        <v>4.3172901E-2</v>
      </c>
      <c r="P85">
        <v>0.10433451000000001</v>
      </c>
      <c r="Q85">
        <v>0.16909386100000001</v>
      </c>
      <c r="R85">
        <v>0.165496119</v>
      </c>
      <c r="S85">
        <v>1.44629217</v>
      </c>
      <c r="T85">
        <v>0.76272124399999996</v>
      </c>
      <c r="U85">
        <v>0.91979864717806825</v>
      </c>
      <c r="V85">
        <v>6.5717789285822841</v>
      </c>
      <c r="W85">
        <v>4.8232404770645925</v>
      </c>
      <c r="X85">
        <v>1.8856843657413787</v>
      </c>
      <c r="Y85">
        <v>3.55</v>
      </c>
      <c r="Z85">
        <v>3.55</v>
      </c>
      <c r="AA85">
        <v>3.55</v>
      </c>
      <c r="AB85">
        <v>3.55</v>
      </c>
      <c r="AC85">
        <v>3.55</v>
      </c>
      <c r="AD85">
        <v>3.55</v>
      </c>
      <c r="AE85">
        <v>3.55</v>
      </c>
      <c r="AF85">
        <v>3.55</v>
      </c>
      <c r="AG85">
        <v>1.615</v>
      </c>
      <c r="AH85">
        <v>3.55</v>
      </c>
      <c r="AI85">
        <v>3.55</v>
      </c>
      <c r="AJ85">
        <v>3.55</v>
      </c>
      <c r="AK85">
        <v>3.55</v>
      </c>
      <c r="AL85">
        <v>3.55</v>
      </c>
      <c r="AM85">
        <v>3.55</v>
      </c>
      <c r="AN85">
        <v>3.55</v>
      </c>
      <c r="AO85">
        <v>3.55</v>
      </c>
      <c r="AP85">
        <v>3.55</v>
      </c>
      <c r="AQ85">
        <v>3.55</v>
      </c>
      <c r="AR85">
        <v>3.55</v>
      </c>
      <c r="AS85">
        <v>3.55</v>
      </c>
      <c r="AT85">
        <v>3.55</v>
      </c>
      <c r="AU85">
        <v>3.55</v>
      </c>
      <c r="AV85">
        <v>3.55</v>
      </c>
      <c r="AW85">
        <v>3.55</v>
      </c>
      <c r="AX85">
        <v>3.55</v>
      </c>
      <c r="AY85">
        <v>3.55</v>
      </c>
      <c r="AZ85">
        <v>3.55</v>
      </c>
      <c r="BA85">
        <v>3.55</v>
      </c>
      <c r="BB85">
        <v>3.55</v>
      </c>
      <c r="BC85">
        <v>3.55</v>
      </c>
      <c r="BD85">
        <v>3.55</v>
      </c>
      <c r="BE85">
        <v>3.55</v>
      </c>
      <c r="BF85">
        <v>3.55</v>
      </c>
      <c r="BG85">
        <v>3.55</v>
      </c>
      <c r="BH85">
        <v>3.55</v>
      </c>
      <c r="BI85">
        <v>3.55</v>
      </c>
      <c r="BJ85">
        <v>3.55</v>
      </c>
      <c r="BK85">
        <v>3.55</v>
      </c>
      <c r="BL85">
        <v>3.55</v>
      </c>
      <c r="BM85">
        <v>3.55</v>
      </c>
      <c r="BN85">
        <v>3.55</v>
      </c>
      <c r="BO85">
        <v>3.55</v>
      </c>
      <c r="BP85">
        <v>3.55</v>
      </c>
      <c r="BQ85">
        <v>3.55</v>
      </c>
      <c r="BR85">
        <v>3.55</v>
      </c>
      <c r="BS85">
        <v>3.55</v>
      </c>
      <c r="BT85">
        <v>3.55</v>
      </c>
      <c r="BU85">
        <v>3.55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U7"/>
  <sheetViews>
    <sheetView workbookViewId="0">
      <selection activeCell="A6" sqref="A6:A7"/>
    </sheetView>
  </sheetViews>
  <sheetFormatPr baseColWidth="10" defaultColWidth="9.109375" defaultRowHeight="14.4" x14ac:dyDescent="0.3"/>
  <cols>
    <col min="1" max="1" width="14.109375" bestFit="1" customWidth="1"/>
    <col min="2" max="2" width="22" bestFit="1" customWidth="1"/>
    <col min="3" max="3" width="9.44140625" bestFit="1" customWidth="1"/>
    <col min="5" max="5" width="17.5546875" bestFit="1" customWidth="1"/>
    <col min="6" max="6" width="10.44140625" customWidth="1"/>
    <col min="7" max="8" width="9.5546875" bestFit="1" customWidth="1"/>
    <col min="9" max="9" width="4.88671875" bestFit="1" customWidth="1"/>
    <col min="10" max="12" width="6.5546875" bestFit="1" customWidth="1"/>
    <col min="13" max="20" width="6.5546875" customWidth="1"/>
    <col min="21" max="53" width="7.88671875" bestFit="1" customWidth="1"/>
  </cols>
  <sheetData>
    <row r="1" spans="1:73" ht="43.2" x14ac:dyDescent="0.3">
      <c r="A1" s="11" t="s">
        <v>16</v>
      </c>
      <c r="B1" s="112" t="s">
        <v>13</v>
      </c>
      <c r="C1" s="12" t="s">
        <v>307</v>
      </c>
      <c r="D1" s="12" t="s">
        <v>308</v>
      </c>
      <c r="E1" s="12" t="s">
        <v>43</v>
      </c>
      <c r="F1" s="113" t="s">
        <v>206</v>
      </c>
      <c r="G1" s="41" t="s">
        <v>3</v>
      </c>
      <c r="H1" s="41" t="s">
        <v>213</v>
      </c>
      <c r="I1" s="11" t="s">
        <v>54</v>
      </c>
      <c r="J1" s="12" t="s">
        <v>55</v>
      </c>
      <c r="K1" s="12" t="s">
        <v>56</v>
      </c>
      <c r="L1" s="13" t="s">
        <v>57</v>
      </c>
      <c r="M1" s="11">
        <v>2010</v>
      </c>
      <c r="N1" s="12">
        <v>2011</v>
      </c>
      <c r="O1" s="11">
        <v>2012</v>
      </c>
      <c r="P1" s="12">
        <v>2013</v>
      </c>
      <c r="Q1" s="11">
        <v>2014</v>
      </c>
      <c r="R1" s="12">
        <v>2015</v>
      </c>
      <c r="S1" s="11">
        <v>2016</v>
      </c>
      <c r="T1" s="12">
        <v>2017</v>
      </c>
      <c r="U1" s="11">
        <v>2018</v>
      </c>
      <c r="V1" s="12">
        <v>2019</v>
      </c>
      <c r="W1" s="114">
        <v>2020</v>
      </c>
      <c r="X1" s="114">
        <v>2021</v>
      </c>
      <c r="Y1" s="114">
        <v>2022</v>
      </c>
      <c r="Z1" s="114">
        <v>2023</v>
      </c>
      <c r="AA1" s="114">
        <v>2024</v>
      </c>
      <c r="AB1" s="114">
        <v>2025</v>
      </c>
      <c r="AC1" s="114">
        <v>2026</v>
      </c>
      <c r="AD1" s="114">
        <v>2027</v>
      </c>
      <c r="AE1" s="114">
        <v>2028</v>
      </c>
      <c r="AF1" s="114">
        <v>2029</v>
      </c>
      <c r="AG1" s="114">
        <v>2030</v>
      </c>
      <c r="AH1" s="114">
        <v>2031</v>
      </c>
      <c r="AI1" s="114">
        <v>2032</v>
      </c>
      <c r="AJ1" s="114">
        <v>2033</v>
      </c>
      <c r="AK1" s="114">
        <v>2034</v>
      </c>
      <c r="AL1" s="114">
        <v>2035</v>
      </c>
      <c r="AM1" s="114">
        <v>2036</v>
      </c>
      <c r="AN1" s="114">
        <v>2037</v>
      </c>
      <c r="AO1" s="114">
        <v>2038</v>
      </c>
      <c r="AP1" s="114">
        <v>2039</v>
      </c>
      <c r="AQ1" s="114">
        <v>2040</v>
      </c>
      <c r="AR1" s="114">
        <v>2041</v>
      </c>
      <c r="AS1" s="114">
        <v>2042</v>
      </c>
      <c r="AT1" s="114">
        <v>2043</v>
      </c>
      <c r="AU1" s="114">
        <v>2044</v>
      </c>
      <c r="AV1" s="114">
        <v>2045</v>
      </c>
      <c r="AW1" s="114">
        <v>2046</v>
      </c>
      <c r="AX1" s="114">
        <v>2047</v>
      </c>
      <c r="AY1" s="114">
        <v>2048</v>
      </c>
      <c r="AZ1" s="114">
        <v>2049</v>
      </c>
      <c r="BA1" s="115">
        <v>2050</v>
      </c>
      <c r="BB1" s="114">
        <f>+BA1+1</f>
        <v>2051</v>
      </c>
      <c r="BC1" s="114">
        <f t="shared" ref="BC1:BU1" si="0">+BB1+1</f>
        <v>2052</v>
      </c>
      <c r="BD1" s="114">
        <f t="shared" si="0"/>
        <v>2053</v>
      </c>
      <c r="BE1" s="114">
        <f t="shared" si="0"/>
        <v>2054</v>
      </c>
      <c r="BF1" s="114">
        <f t="shared" si="0"/>
        <v>2055</v>
      </c>
      <c r="BG1" s="114">
        <f t="shared" si="0"/>
        <v>2056</v>
      </c>
      <c r="BH1" s="114">
        <f t="shared" si="0"/>
        <v>2057</v>
      </c>
      <c r="BI1" s="114">
        <f t="shared" si="0"/>
        <v>2058</v>
      </c>
      <c r="BJ1" s="114">
        <f t="shared" si="0"/>
        <v>2059</v>
      </c>
      <c r="BK1" s="114">
        <f t="shared" si="0"/>
        <v>2060</v>
      </c>
      <c r="BL1" s="114">
        <f t="shared" si="0"/>
        <v>2061</v>
      </c>
      <c r="BM1" s="114">
        <f t="shared" si="0"/>
        <v>2062</v>
      </c>
      <c r="BN1" s="114">
        <f t="shared" si="0"/>
        <v>2063</v>
      </c>
      <c r="BO1" s="114">
        <f t="shared" si="0"/>
        <v>2064</v>
      </c>
      <c r="BP1" s="114">
        <f t="shared" si="0"/>
        <v>2065</v>
      </c>
      <c r="BQ1" s="114">
        <f t="shared" si="0"/>
        <v>2066</v>
      </c>
      <c r="BR1" s="114">
        <f t="shared" si="0"/>
        <v>2067</v>
      </c>
      <c r="BS1" s="114">
        <f t="shared" si="0"/>
        <v>2068</v>
      </c>
      <c r="BT1" s="114">
        <f t="shared" si="0"/>
        <v>2069</v>
      </c>
      <c r="BU1" s="114">
        <f t="shared" si="0"/>
        <v>2070</v>
      </c>
    </row>
    <row r="2" spans="1:73" x14ac:dyDescent="0.3">
      <c r="A2" s="116" t="s">
        <v>10</v>
      </c>
      <c r="B2" s="117" t="s">
        <v>309</v>
      </c>
      <c r="C2" s="5" t="s">
        <v>368</v>
      </c>
      <c r="D2" s="5" t="s">
        <v>311</v>
      </c>
      <c r="E2" s="118" t="s">
        <v>369</v>
      </c>
      <c r="F2" s="118" t="s">
        <v>7</v>
      </c>
      <c r="G2" s="119" t="s">
        <v>313</v>
      </c>
      <c r="H2" s="119" t="s">
        <v>75</v>
      </c>
      <c r="I2" s="116"/>
      <c r="J2" s="118"/>
      <c r="K2" s="118"/>
      <c r="L2" s="120"/>
      <c r="M2" s="4">
        <v>152.7885</v>
      </c>
      <c r="N2" s="4">
        <v>152.7885</v>
      </c>
      <c r="O2" s="4">
        <v>152.7885</v>
      </c>
      <c r="P2" s="4">
        <v>152.7885</v>
      </c>
      <c r="Q2" s="4">
        <v>152.7885</v>
      </c>
      <c r="R2" s="4">
        <v>152.7885</v>
      </c>
      <c r="S2" s="4">
        <v>152.7885</v>
      </c>
      <c r="T2" s="4">
        <v>152.7885</v>
      </c>
      <c r="U2" s="4">
        <v>152.7885</v>
      </c>
      <c r="V2" s="5">
        <v>152.86410000000001</v>
      </c>
      <c r="W2" s="5">
        <v>140.96</v>
      </c>
      <c r="X2" s="5">
        <v>151.7379</v>
      </c>
      <c r="Y2" s="5">
        <v>153.96959999999999</v>
      </c>
      <c r="Z2" s="5">
        <v>154.2946</v>
      </c>
      <c r="AA2" s="5">
        <v>157.3734</v>
      </c>
      <c r="AB2" s="5">
        <v>159.71080000000001</v>
      </c>
      <c r="AC2" s="5">
        <v>161.62470000000002</v>
      </c>
      <c r="AD2" s="5">
        <v>163.51589999999999</v>
      </c>
      <c r="AE2" s="5">
        <v>165.3811</v>
      </c>
      <c r="AF2" s="5">
        <v>167.22149999999999</v>
      </c>
      <c r="AG2" s="5">
        <v>169.03530000000001</v>
      </c>
      <c r="AH2" s="5">
        <v>170.8193</v>
      </c>
      <c r="AI2" s="5">
        <v>172.5744</v>
      </c>
      <c r="AJ2" s="5">
        <v>174.298</v>
      </c>
      <c r="AK2" s="5">
        <v>175.99009999999998</v>
      </c>
      <c r="AL2" s="5">
        <v>177.6491</v>
      </c>
      <c r="AM2" s="5">
        <v>179.27419999999998</v>
      </c>
      <c r="AN2" s="5">
        <v>180.86359999999999</v>
      </c>
      <c r="AO2" s="5">
        <v>182.41739999999999</v>
      </c>
      <c r="AP2" s="5">
        <v>183.9342</v>
      </c>
      <c r="AQ2" s="5">
        <v>185.4128</v>
      </c>
      <c r="AR2" s="5">
        <v>186.85389999999998</v>
      </c>
      <c r="AS2" s="5">
        <v>188.2576</v>
      </c>
      <c r="AT2" s="5">
        <v>189.6216</v>
      </c>
      <c r="AU2" s="5">
        <v>190.94549999999998</v>
      </c>
      <c r="AV2" s="5">
        <v>192.2303</v>
      </c>
      <c r="AW2" s="5">
        <v>193.47460000000001</v>
      </c>
      <c r="AX2" s="5">
        <v>194.67759999999998</v>
      </c>
      <c r="AY2" s="5">
        <v>195.83970000000002</v>
      </c>
      <c r="AZ2" s="5">
        <v>196.9622</v>
      </c>
      <c r="BA2" s="6">
        <v>198.04300000000001</v>
      </c>
      <c r="BB2" s="5">
        <v>199.1472</v>
      </c>
      <c r="BC2" s="5">
        <v>200.2072</v>
      </c>
      <c r="BD2" s="5">
        <v>201.22469999999998</v>
      </c>
      <c r="BE2" s="5">
        <v>202.20180000000002</v>
      </c>
      <c r="BF2" s="5">
        <v>203.13419999999999</v>
      </c>
      <c r="BG2" s="5">
        <v>204.02499999999998</v>
      </c>
      <c r="BH2" s="5">
        <v>204.87079999999997</v>
      </c>
      <c r="BI2" s="5">
        <v>205.67239999999998</v>
      </c>
      <c r="BJ2" s="5">
        <v>206.4298</v>
      </c>
      <c r="BK2" s="5">
        <v>207.14000000000001</v>
      </c>
      <c r="BL2" s="5">
        <v>207.80559999999997</v>
      </c>
      <c r="BM2" s="5">
        <v>208.42340000000002</v>
      </c>
      <c r="BN2" s="5">
        <v>208.99480000000003</v>
      </c>
      <c r="BO2" s="5">
        <v>209.51820000000001</v>
      </c>
      <c r="BP2" s="5">
        <v>209.99379999999999</v>
      </c>
      <c r="BQ2" s="5">
        <v>210.42140000000001</v>
      </c>
      <c r="BR2" s="5">
        <v>210.80080000000001</v>
      </c>
      <c r="BS2" s="5">
        <v>211.13120000000001</v>
      </c>
      <c r="BT2" s="5">
        <v>211.4135</v>
      </c>
      <c r="BU2" s="6">
        <v>211.64580000000001</v>
      </c>
    </row>
    <row r="3" spans="1:73" ht="15" thickBot="1" x14ac:dyDescent="0.35">
      <c r="A3" s="18" t="s">
        <v>10</v>
      </c>
      <c r="B3" s="121" t="s">
        <v>309</v>
      </c>
      <c r="C3" s="8" t="s">
        <v>70</v>
      </c>
      <c r="D3" s="8" t="s">
        <v>311</v>
      </c>
      <c r="E3" s="19" t="s">
        <v>370</v>
      </c>
      <c r="F3" s="19" t="s">
        <v>7</v>
      </c>
      <c r="G3" s="34" t="s">
        <v>313</v>
      </c>
      <c r="H3" s="34" t="s">
        <v>75</v>
      </c>
      <c r="I3" s="18"/>
      <c r="J3" s="19"/>
      <c r="K3" s="19"/>
      <c r="L3" s="35"/>
      <c r="M3" s="7">
        <v>79.871299999999991</v>
      </c>
      <c r="N3" s="7">
        <v>79.871299999999991</v>
      </c>
      <c r="O3" s="7">
        <v>79.871299999999991</v>
      </c>
      <c r="P3" s="7">
        <v>79.871299999999991</v>
      </c>
      <c r="Q3" s="7">
        <v>79.871299999999991</v>
      </c>
      <c r="R3" s="7">
        <v>79.871299999999991</v>
      </c>
      <c r="S3" s="7">
        <v>79.871299999999991</v>
      </c>
      <c r="T3" s="7">
        <v>79.871299999999991</v>
      </c>
      <c r="U3" s="7">
        <v>79.871299999999991</v>
      </c>
      <c r="V3" s="8">
        <v>80.797337011289358</v>
      </c>
      <c r="W3" s="8">
        <v>68.934308266154815</v>
      </c>
      <c r="X3" s="8">
        <v>77.96604746301081</v>
      </c>
      <c r="Y3" s="8">
        <v>79.454647816785283</v>
      </c>
      <c r="Z3" s="8">
        <v>82.194667142925283</v>
      </c>
      <c r="AA3" s="8">
        <v>84.634222932759045</v>
      </c>
      <c r="AB3" s="8">
        <v>86.964209033147043</v>
      </c>
      <c r="AC3" s="8">
        <v>89.330684576828759</v>
      </c>
      <c r="AD3" s="8">
        <v>91.981946710809012</v>
      </c>
      <c r="AE3" s="8">
        <v>94.591820355868194</v>
      </c>
      <c r="AF3" s="8">
        <v>96.929307064044337</v>
      </c>
      <c r="AG3" s="8">
        <v>99.424407895336245</v>
      </c>
      <c r="AH3" s="8">
        <v>102.22770937637351</v>
      </c>
      <c r="AI3" s="8">
        <v>105.04722838776352</v>
      </c>
      <c r="AJ3" s="8">
        <v>107.84313062057737</v>
      </c>
      <c r="AK3" s="8">
        <v>110.54007213171788</v>
      </c>
      <c r="AL3" s="8">
        <v>113.21289006645866</v>
      </c>
      <c r="AM3" s="8">
        <v>115.97953317159441</v>
      </c>
      <c r="AN3" s="8">
        <v>118.72134318337751</v>
      </c>
      <c r="AO3" s="8">
        <v>121.54805872386157</v>
      </c>
      <c r="AP3" s="8">
        <v>124.49056067375994</v>
      </c>
      <c r="AQ3" s="8">
        <v>127.40951341812527</v>
      </c>
      <c r="AR3" s="8">
        <v>130.30478181087125</v>
      </c>
      <c r="AS3" s="8">
        <v>133.07639153467753</v>
      </c>
      <c r="AT3" s="8">
        <v>135.71741635262262</v>
      </c>
      <c r="AU3" s="8">
        <v>138.43952882233143</v>
      </c>
      <c r="AV3" s="8">
        <v>141.28303626403491</v>
      </c>
      <c r="AW3" s="8">
        <v>144.21428730225105</v>
      </c>
      <c r="AX3" s="8">
        <v>147.01650761459814</v>
      </c>
      <c r="AY3" s="8">
        <v>149.69071079672321</v>
      </c>
      <c r="AZ3" s="8">
        <v>152.40971490644779</v>
      </c>
      <c r="BA3" s="9">
        <v>155.08553984160815</v>
      </c>
      <c r="BB3" s="8">
        <v>158.11009994410583</v>
      </c>
      <c r="BC3" s="8">
        <v>161.30644236140452</v>
      </c>
      <c r="BD3" s="8">
        <v>164.3745299115663</v>
      </c>
      <c r="BE3" s="8">
        <v>167.59119105447027</v>
      </c>
      <c r="BF3" s="8">
        <v>170.77167131502031</v>
      </c>
      <c r="BG3" s="8">
        <v>174.08503028607018</v>
      </c>
      <c r="BH3" s="8">
        <v>177.364366180351</v>
      </c>
      <c r="BI3" s="8">
        <v>180.74097976565596</v>
      </c>
      <c r="BJ3" s="8">
        <v>184.09756522153512</v>
      </c>
      <c r="BK3" s="8">
        <v>187.61200545721493</v>
      </c>
      <c r="BL3" s="8">
        <v>191.12784512825846</v>
      </c>
      <c r="BM3" s="8">
        <v>194.79299778702148</v>
      </c>
      <c r="BN3" s="8">
        <v>198.52307414422293</v>
      </c>
      <c r="BO3" s="8">
        <v>202.30532064258853</v>
      </c>
      <c r="BP3" s="8">
        <v>206.1602088896334</v>
      </c>
      <c r="BQ3" s="8">
        <v>210.07891247997935</v>
      </c>
      <c r="BR3" s="8">
        <v>214.0726843336065</v>
      </c>
      <c r="BS3" s="8">
        <v>218.13476283459275</v>
      </c>
      <c r="BT3" s="8">
        <v>222.27665042303622</v>
      </c>
      <c r="BU3" s="9">
        <v>226.49617326052501</v>
      </c>
    </row>
    <row r="4" spans="1:73" ht="15" thickBot="1" x14ac:dyDescent="0.35">
      <c r="A4" s="171" t="s">
        <v>426</v>
      </c>
      <c r="B4" s="117" t="s">
        <v>309</v>
      </c>
      <c r="C4" s="5" t="s">
        <v>368</v>
      </c>
      <c r="D4" s="5" t="s">
        <v>311</v>
      </c>
      <c r="E4" s="118" t="s">
        <v>369</v>
      </c>
      <c r="F4" s="118" t="s">
        <v>7</v>
      </c>
      <c r="G4" s="119" t="s">
        <v>313</v>
      </c>
      <c r="H4" s="119" t="s">
        <v>75</v>
      </c>
      <c r="I4" s="116"/>
      <c r="J4" s="118"/>
      <c r="K4" s="118"/>
      <c r="L4" s="120"/>
      <c r="M4" s="4">
        <v>152.7885</v>
      </c>
      <c r="N4" s="4">
        <v>152.7885</v>
      </c>
      <c r="O4" s="4">
        <v>152.7885</v>
      </c>
      <c r="P4" s="4">
        <v>152.7885</v>
      </c>
      <c r="Q4" s="4">
        <v>152.7885</v>
      </c>
      <c r="R4" s="4">
        <v>152.7885</v>
      </c>
      <c r="S4" s="4">
        <v>152.7885</v>
      </c>
      <c r="T4" s="4">
        <v>152.7885</v>
      </c>
      <c r="U4" s="4">
        <v>152.7885</v>
      </c>
      <c r="V4" s="5">
        <v>152.86410000000001</v>
      </c>
      <c r="W4" s="5">
        <v>140.96</v>
      </c>
      <c r="X4" s="5">
        <v>151.7379</v>
      </c>
      <c r="Y4" s="5">
        <v>153.96959999999999</v>
      </c>
      <c r="Z4" s="5">
        <v>154.2946</v>
      </c>
      <c r="AA4" s="5">
        <v>157.3734</v>
      </c>
      <c r="AB4" s="5">
        <v>159.71080000000001</v>
      </c>
      <c r="AC4" s="5">
        <v>161.62470000000002</v>
      </c>
      <c r="AD4" s="5">
        <v>163.51589999999999</v>
      </c>
      <c r="AE4" s="5">
        <v>165.3811</v>
      </c>
      <c r="AF4" s="5">
        <v>167.22149999999999</v>
      </c>
      <c r="AG4" s="5">
        <v>169.03530000000001</v>
      </c>
      <c r="AH4" s="5">
        <v>170.8193</v>
      </c>
      <c r="AI4" s="5">
        <v>172.5744</v>
      </c>
      <c r="AJ4" s="5">
        <v>174.298</v>
      </c>
      <c r="AK4" s="5">
        <v>175.99009999999998</v>
      </c>
      <c r="AL4" s="5">
        <v>177.6491</v>
      </c>
      <c r="AM4" s="5">
        <v>179.27419999999998</v>
      </c>
      <c r="AN4" s="5">
        <v>180.86359999999999</v>
      </c>
      <c r="AO4" s="5">
        <v>182.41739999999999</v>
      </c>
      <c r="AP4" s="5">
        <v>183.9342</v>
      </c>
      <c r="AQ4" s="5">
        <v>185.4128</v>
      </c>
      <c r="AR4" s="5">
        <v>186.85389999999998</v>
      </c>
      <c r="AS4" s="5">
        <v>188.2576</v>
      </c>
      <c r="AT4" s="5">
        <v>189.6216</v>
      </c>
      <c r="AU4" s="5">
        <v>190.94549999999998</v>
      </c>
      <c r="AV4" s="5">
        <v>192.2303</v>
      </c>
      <c r="AW4" s="5">
        <v>193.47460000000001</v>
      </c>
      <c r="AX4" s="5">
        <v>194.67759999999998</v>
      </c>
      <c r="AY4" s="5">
        <v>195.83970000000002</v>
      </c>
      <c r="AZ4" s="5">
        <v>196.9622</v>
      </c>
      <c r="BA4" s="6">
        <v>198.04300000000001</v>
      </c>
      <c r="BB4" s="5">
        <v>199.1472</v>
      </c>
      <c r="BC4" s="5">
        <v>200.2072</v>
      </c>
      <c r="BD4" s="5">
        <v>201.22469999999998</v>
      </c>
      <c r="BE4" s="5">
        <v>202.20180000000002</v>
      </c>
      <c r="BF4" s="5">
        <v>203.13419999999999</v>
      </c>
      <c r="BG4" s="5">
        <v>204.02499999999998</v>
      </c>
      <c r="BH4" s="5">
        <v>204.87079999999997</v>
      </c>
      <c r="BI4" s="5">
        <v>205.67239999999998</v>
      </c>
      <c r="BJ4" s="5">
        <v>206.4298</v>
      </c>
      <c r="BK4" s="5">
        <v>207.14000000000001</v>
      </c>
      <c r="BL4" s="5">
        <v>207.80559999999997</v>
      </c>
      <c r="BM4" s="5">
        <v>208.42340000000002</v>
      </c>
      <c r="BN4" s="5">
        <v>208.99480000000003</v>
      </c>
      <c r="BO4" s="5">
        <v>209.51820000000001</v>
      </c>
      <c r="BP4" s="5">
        <v>209.99379999999999</v>
      </c>
      <c r="BQ4" s="5">
        <v>210.42140000000001</v>
      </c>
      <c r="BR4" s="5">
        <v>210.80080000000001</v>
      </c>
      <c r="BS4" s="5">
        <v>211.13120000000001</v>
      </c>
      <c r="BT4" s="5">
        <v>211.4135</v>
      </c>
      <c r="BU4" s="6">
        <v>211.64580000000001</v>
      </c>
    </row>
    <row r="5" spans="1:73" ht="15" thickBot="1" x14ac:dyDescent="0.35">
      <c r="A5" s="171" t="s">
        <v>426</v>
      </c>
      <c r="B5" s="121" t="s">
        <v>309</v>
      </c>
      <c r="C5" s="8" t="s">
        <v>70</v>
      </c>
      <c r="D5" s="8" t="s">
        <v>311</v>
      </c>
      <c r="E5" s="19" t="s">
        <v>370</v>
      </c>
      <c r="F5" s="19" t="s">
        <v>7</v>
      </c>
      <c r="G5" s="34" t="s">
        <v>313</v>
      </c>
      <c r="H5" s="34" t="s">
        <v>75</v>
      </c>
      <c r="I5" s="18"/>
      <c r="J5" s="19"/>
      <c r="K5" s="19"/>
      <c r="L5" s="35"/>
      <c r="M5" s="7">
        <v>79.871299999999991</v>
      </c>
      <c r="N5" s="7">
        <v>79.871299999999991</v>
      </c>
      <c r="O5" s="7">
        <v>79.871299999999991</v>
      </c>
      <c r="P5" s="7">
        <v>79.871299999999991</v>
      </c>
      <c r="Q5" s="7">
        <v>79.871299999999991</v>
      </c>
      <c r="R5" s="7">
        <v>79.871299999999991</v>
      </c>
      <c r="S5" s="7">
        <v>79.871299999999991</v>
      </c>
      <c r="T5" s="7">
        <v>79.871299999999991</v>
      </c>
      <c r="U5" s="7">
        <v>79.871299999999991</v>
      </c>
      <c r="V5" s="8">
        <v>80.797337011289358</v>
      </c>
      <c r="W5" s="8">
        <v>68.934308266154815</v>
      </c>
      <c r="X5" s="8">
        <v>77.96604746301081</v>
      </c>
      <c r="Y5" s="8">
        <v>79.454647816785283</v>
      </c>
      <c r="Z5" s="8">
        <v>82.194667142925283</v>
      </c>
      <c r="AA5" s="8">
        <v>84.634222932759045</v>
      </c>
      <c r="AB5" s="8">
        <v>86.964209033147043</v>
      </c>
      <c r="AC5" s="8">
        <v>89.330684576828759</v>
      </c>
      <c r="AD5" s="8">
        <v>91.981946710809012</v>
      </c>
      <c r="AE5" s="8">
        <v>94.591820355868194</v>
      </c>
      <c r="AF5" s="8">
        <v>96.929307064044337</v>
      </c>
      <c r="AG5" s="8">
        <v>99.424407895336245</v>
      </c>
      <c r="AH5" s="8">
        <v>102.22770937637351</v>
      </c>
      <c r="AI5" s="8">
        <v>105.04722838776352</v>
      </c>
      <c r="AJ5" s="8">
        <v>107.84313062057737</v>
      </c>
      <c r="AK5" s="8">
        <v>110.54007213171788</v>
      </c>
      <c r="AL5" s="8">
        <v>113.21289006645866</v>
      </c>
      <c r="AM5" s="8">
        <v>115.97953317159441</v>
      </c>
      <c r="AN5" s="8">
        <v>118.72134318337751</v>
      </c>
      <c r="AO5" s="8">
        <v>121.54805872386157</v>
      </c>
      <c r="AP5" s="8">
        <v>124.49056067375994</v>
      </c>
      <c r="AQ5" s="8">
        <v>127.40951341812527</v>
      </c>
      <c r="AR5" s="8">
        <v>130.30478181087125</v>
      </c>
      <c r="AS5" s="8">
        <v>133.07639153467753</v>
      </c>
      <c r="AT5" s="8">
        <v>135.71741635262262</v>
      </c>
      <c r="AU5" s="8">
        <v>138.43952882233143</v>
      </c>
      <c r="AV5" s="8">
        <v>141.28303626403491</v>
      </c>
      <c r="AW5" s="8">
        <v>144.21428730225105</v>
      </c>
      <c r="AX5" s="8">
        <v>147.01650761459814</v>
      </c>
      <c r="AY5" s="8">
        <v>149.69071079672321</v>
      </c>
      <c r="AZ5" s="8">
        <v>152.40971490644779</v>
      </c>
      <c r="BA5" s="9">
        <v>155.08553984160815</v>
      </c>
      <c r="BB5" s="8">
        <v>158.11009994410583</v>
      </c>
      <c r="BC5" s="8">
        <v>161.30644236140452</v>
      </c>
      <c r="BD5" s="8">
        <v>164.3745299115663</v>
      </c>
      <c r="BE5" s="8">
        <v>167.59119105447027</v>
      </c>
      <c r="BF5" s="8">
        <v>170.77167131502031</v>
      </c>
      <c r="BG5" s="8">
        <v>174.08503028607018</v>
      </c>
      <c r="BH5" s="8">
        <v>177.364366180351</v>
      </c>
      <c r="BI5" s="8">
        <v>180.74097976565596</v>
      </c>
      <c r="BJ5" s="8">
        <v>184.09756522153512</v>
      </c>
      <c r="BK5" s="8">
        <v>187.61200545721493</v>
      </c>
      <c r="BL5" s="8">
        <v>191.12784512825846</v>
      </c>
      <c r="BM5" s="8">
        <v>194.79299778702148</v>
      </c>
      <c r="BN5" s="8">
        <v>198.52307414422293</v>
      </c>
      <c r="BO5" s="8">
        <v>202.30532064258853</v>
      </c>
      <c r="BP5" s="8">
        <v>206.1602088896334</v>
      </c>
      <c r="BQ5" s="8">
        <v>210.07891247997935</v>
      </c>
      <c r="BR5" s="8">
        <v>214.0726843336065</v>
      </c>
      <c r="BS5" s="8">
        <v>218.13476283459275</v>
      </c>
      <c r="BT5" s="8">
        <v>222.27665042303622</v>
      </c>
      <c r="BU5" s="9">
        <v>226.49617326052501</v>
      </c>
    </row>
    <row r="6" spans="1:73" ht="15" thickBot="1" x14ac:dyDescent="0.35">
      <c r="A6" s="171" t="s">
        <v>428</v>
      </c>
      <c r="B6" s="117" t="s">
        <v>309</v>
      </c>
      <c r="C6" s="5" t="s">
        <v>368</v>
      </c>
      <c r="D6" s="5" t="s">
        <v>311</v>
      </c>
      <c r="E6" s="118" t="s">
        <v>369</v>
      </c>
      <c r="F6" s="118" t="s">
        <v>7</v>
      </c>
      <c r="G6" s="119" t="s">
        <v>313</v>
      </c>
      <c r="H6" s="119" t="s">
        <v>75</v>
      </c>
      <c r="I6" s="116"/>
      <c r="J6" s="118"/>
      <c r="K6" s="118"/>
      <c r="L6" s="120"/>
      <c r="M6" s="4">
        <v>152.7885</v>
      </c>
      <c r="N6" s="4">
        <v>152.7885</v>
      </c>
      <c r="O6" s="4">
        <v>152.7885</v>
      </c>
      <c r="P6" s="4">
        <v>152.7885</v>
      </c>
      <c r="Q6" s="4">
        <v>152.7885</v>
      </c>
      <c r="R6" s="4">
        <v>152.7885</v>
      </c>
      <c r="S6" s="4">
        <v>152.7885</v>
      </c>
      <c r="T6" s="4">
        <v>152.7885</v>
      </c>
      <c r="U6" s="4">
        <v>152.7885</v>
      </c>
      <c r="V6" s="5">
        <v>152.86410000000001</v>
      </c>
      <c r="W6" s="5">
        <v>140.96</v>
      </c>
      <c r="X6" s="5">
        <v>151.7379</v>
      </c>
      <c r="Y6" s="5">
        <v>153.96959999999999</v>
      </c>
      <c r="Z6" s="5">
        <v>154.2946</v>
      </c>
      <c r="AA6" s="5">
        <v>157.3734</v>
      </c>
      <c r="AB6" s="5">
        <v>159.71080000000001</v>
      </c>
      <c r="AC6" s="5">
        <v>161.62470000000002</v>
      </c>
      <c r="AD6" s="5">
        <v>163.51589999999999</v>
      </c>
      <c r="AE6" s="5">
        <v>165.3811</v>
      </c>
      <c r="AF6" s="5">
        <v>167.22149999999999</v>
      </c>
      <c r="AG6" s="5">
        <v>169.03530000000001</v>
      </c>
      <c r="AH6" s="5">
        <v>170.8193</v>
      </c>
      <c r="AI6" s="5">
        <v>172.5744</v>
      </c>
      <c r="AJ6" s="5">
        <v>174.298</v>
      </c>
      <c r="AK6" s="5">
        <v>175.99009999999998</v>
      </c>
      <c r="AL6" s="5">
        <v>177.6491</v>
      </c>
      <c r="AM6" s="5">
        <v>179.27419999999998</v>
      </c>
      <c r="AN6" s="5">
        <v>180.86359999999999</v>
      </c>
      <c r="AO6" s="5">
        <v>182.41739999999999</v>
      </c>
      <c r="AP6" s="5">
        <v>183.9342</v>
      </c>
      <c r="AQ6" s="5">
        <v>185.4128</v>
      </c>
      <c r="AR6" s="5">
        <v>186.85389999999998</v>
      </c>
      <c r="AS6" s="5">
        <v>188.2576</v>
      </c>
      <c r="AT6" s="5">
        <v>189.6216</v>
      </c>
      <c r="AU6" s="5">
        <v>190.94549999999998</v>
      </c>
      <c r="AV6" s="5">
        <v>192.2303</v>
      </c>
      <c r="AW6" s="5">
        <v>193.47460000000001</v>
      </c>
      <c r="AX6" s="5">
        <v>194.67759999999998</v>
      </c>
      <c r="AY6" s="5">
        <v>195.83970000000002</v>
      </c>
      <c r="AZ6" s="5">
        <v>196.9622</v>
      </c>
      <c r="BA6" s="6">
        <v>198.04300000000001</v>
      </c>
      <c r="BB6" s="5">
        <v>199.1472</v>
      </c>
      <c r="BC6" s="5">
        <v>200.2072</v>
      </c>
      <c r="BD6" s="5">
        <v>201.22469999999998</v>
      </c>
      <c r="BE6" s="5">
        <v>202.20180000000002</v>
      </c>
      <c r="BF6" s="5">
        <v>203.13419999999999</v>
      </c>
      <c r="BG6" s="5">
        <v>204.02499999999998</v>
      </c>
      <c r="BH6" s="5">
        <v>204.87079999999997</v>
      </c>
      <c r="BI6" s="5">
        <v>205.67239999999998</v>
      </c>
      <c r="BJ6" s="5">
        <v>206.4298</v>
      </c>
      <c r="BK6" s="5">
        <v>207.14000000000001</v>
      </c>
      <c r="BL6" s="5">
        <v>207.80559999999997</v>
      </c>
      <c r="BM6" s="5">
        <v>208.42340000000002</v>
      </c>
      <c r="BN6" s="5">
        <v>208.99480000000003</v>
      </c>
      <c r="BO6" s="5">
        <v>209.51820000000001</v>
      </c>
      <c r="BP6" s="5">
        <v>209.99379999999999</v>
      </c>
      <c r="BQ6" s="5">
        <v>210.42140000000001</v>
      </c>
      <c r="BR6" s="5">
        <v>210.80080000000001</v>
      </c>
      <c r="BS6" s="5">
        <v>211.13120000000001</v>
      </c>
      <c r="BT6" s="5">
        <v>211.4135</v>
      </c>
      <c r="BU6" s="6">
        <v>211.64580000000001</v>
      </c>
    </row>
    <row r="7" spans="1:73" x14ac:dyDescent="0.3">
      <c r="A7" s="171" t="s">
        <v>428</v>
      </c>
      <c r="B7" s="121" t="s">
        <v>309</v>
      </c>
      <c r="C7" s="8" t="s">
        <v>70</v>
      </c>
      <c r="D7" s="8" t="s">
        <v>311</v>
      </c>
      <c r="E7" s="19" t="s">
        <v>370</v>
      </c>
      <c r="F7" s="19" t="s">
        <v>7</v>
      </c>
      <c r="G7" s="34" t="s">
        <v>313</v>
      </c>
      <c r="H7" s="34" t="s">
        <v>75</v>
      </c>
      <c r="I7" s="18"/>
      <c r="J7" s="19"/>
      <c r="K7" s="19"/>
      <c r="L7" s="35"/>
      <c r="M7" s="7">
        <v>79.871299999999991</v>
      </c>
      <c r="N7" s="7">
        <v>79.871299999999991</v>
      </c>
      <c r="O7" s="7">
        <v>79.871299999999991</v>
      </c>
      <c r="P7" s="7">
        <v>79.871299999999991</v>
      </c>
      <c r="Q7" s="7">
        <v>79.871299999999991</v>
      </c>
      <c r="R7" s="7">
        <v>79.871299999999991</v>
      </c>
      <c r="S7" s="7">
        <v>79.871299999999991</v>
      </c>
      <c r="T7" s="7">
        <v>79.871299999999991</v>
      </c>
      <c r="U7" s="7">
        <v>79.871299999999991</v>
      </c>
      <c r="V7" s="8">
        <v>80.797337011289358</v>
      </c>
      <c r="W7" s="8">
        <v>68.934308266154815</v>
      </c>
      <c r="X7" s="8">
        <v>77.96604746301081</v>
      </c>
      <c r="Y7" s="8">
        <v>79.454647816785283</v>
      </c>
      <c r="Z7" s="8">
        <v>82.194667142925283</v>
      </c>
      <c r="AA7" s="8">
        <v>84.634222932759045</v>
      </c>
      <c r="AB7" s="8">
        <v>86.964209033147043</v>
      </c>
      <c r="AC7" s="8">
        <v>89.330684576828759</v>
      </c>
      <c r="AD7" s="8">
        <v>91.981946710809012</v>
      </c>
      <c r="AE7" s="8">
        <v>94.591820355868194</v>
      </c>
      <c r="AF7" s="8">
        <v>96.929307064044337</v>
      </c>
      <c r="AG7" s="8">
        <v>99.424407895336245</v>
      </c>
      <c r="AH7" s="8">
        <v>102.22770937637351</v>
      </c>
      <c r="AI7" s="8">
        <v>105.04722838776352</v>
      </c>
      <c r="AJ7" s="8">
        <v>107.84313062057737</v>
      </c>
      <c r="AK7" s="8">
        <v>110.54007213171788</v>
      </c>
      <c r="AL7" s="8">
        <v>113.21289006645866</v>
      </c>
      <c r="AM7" s="8">
        <v>115.97953317159441</v>
      </c>
      <c r="AN7" s="8">
        <v>118.72134318337751</v>
      </c>
      <c r="AO7" s="8">
        <v>121.54805872386157</v>
      </c>
      <c r="AP7" s="8">
        <v>124.49056067375994</v>
      </c>
      <c r="AQ7" s="8">
        <v>127.40951341812527</v>
      </c>
      <c r="AR7" s="8">
        <v>130.30478181087125</v>
      </c>
      <c r="AS7" s="8">
        <v>133.07639153467753</v>
      </c>
      <c r="AT7" s="8">
        <v>135.71741635262262</v>
      </c>
      <c r="AU7" s="8">
        <v>138.43952882233143</v>
      </c>
      <c r="AV7" s="8">
        <v>141.28303626403491</v>
      </c>
      <c r="AW7" s="8">
        <v>144.21428730225105</v>
      </c>
      <c r="AX7" s="8">
        <v>147.01650761459814</v>
      </c>
      <c r="AY7" s="8">
        <v>149.69071079672321</v>
      </c>
      <c r="AZ7" s="8">
        <v>152.40971490644779</v>
      </c>
      <c r="BA7" s="9">
        <v>155.08553984160815</v>
      </c>
      <c r="BB7" s="8">
        <v>158.11009994410583</v>
      </c>
      <c r="BC7" s="8">
        <v>161.30644236140452</v>
      </c>
      <c r="BD7" s="8">
        <v>164.3745299115663</v>
      </c>
      <c r="BE7" s="8">
        <v>167.59119105447027</v>
      </c>
      <c r="BF7" s="8">
        <v>170.77167131502031</v>
      </c>
      <c r="BG7" s="8">
        <v>174.08503028607018</v>
      </c>
      <c r="BH7" s="8">
        <v>177.364366180351</v>
      </c>
      <c r="BI7" s="8">
        <v>180.74097976565596</v>
      </c>
      <c r="BJ7" s="8">
        <v>184.09756522153512</v>
      </c>
      <c r="BK7" s="8">
        <v>187.61200545721493</v>
      </c>
      <c r="BL7" s="8">
        <v>191.12784512825846</v>
      </c>
      <c r="BM7" s="8">
        <v>194.79299778702148</v>
      </c>
      <c r="BN7" s="8">
        <v>198.52307414422293</v>
      </c>
      <c r="BO7" s="8">
        <v>202.30532064258853</v>
      </c>
      <c r="BP7" s="8">
        <v>206.1602088896334</v>
      </c>
      <c r="BQ7" s="8">
        <v>210.07891247997935</v>
      </c>
      <c r="BR7" s="8">
        <v>214.0726843336065</v>
      </c>
      <c r="BS7" s="8">
        <v>218.13476283459275</v>
      </c>
      <c r="BT7" s="8">
        <v>222.27665042303622</v>
      </c>
      <c r="BU7" s="9">
        <v>226.49617326052501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Z101"/>
  <sheetViews>
    <sheetView topLeftCell="A64" zoomScaleNormal="100" workbookViewId="0">
      <selection activeCell="C77" sqref="C77"/>
    </sheetView>
  </sheetViews>
  <sheetFormatPr baseColWidth="10" defaultColWidth="8.88671875" defaultRowHeight="14.4" x14ac:dyDescent="0.3"/>
  <cols>
    <col min="1" max="1" width="17.109375" style="70" bestFit="1" customWidth="1"/>
    <col min="2" max="2" width="26.5546875" style="70" customWidth="1"/>
    <col min="3" max="3" width="22.33203125" style="70" bestFit="1" customWidth="1"/>
    <col min="4" max="4" width="18.44140625" style="70" customWidth="1"/>
    <col min="5" max="5" width="34.44140625" style="70" bestFit="1" customWidth="1"/>
    <col min="6" max="6" width="28.5546875" style="70" bestFit="1" customWidth="1"/>
    <col min="7" max="7" width="13.5546875" style="70" bestFit="1" customWidth="1"/>
    <col min="8" max="8" width="18.109375" style="70" bestFit="1" customWidth="1"/>
    <col min="9" max="9" width="5.109375" style="70" bestFit="1" customWidth="1"/>
    <col min="10" max="19" width="15.5546875" style="70" customWidth="1"/>
    <col min="20" max="52" width="12" style="70" bestFit="1" customWidth="1"/>
    <col min="53" max="69" width="8.88671875" style="70"/>
    <col min="70" max="70" width="10.44140625" style="70" customWidth="1"/>
    <col min="71" max="16384" width="8.88671875" style="70"/>
  </cols>
  <sheetData>
    <row r="1" spans="1:72" ht="15" thickBot="1" x14ac:dyDescent="0.35">
      <c r="A1" s="11" t="s">
        <v>16</v>
      </c>
      <c r="B1" s="12" t="s">
        <v>13</v>
      </c>
      <c r="C1" s="12" t="s">
        <v>44</v>
      </c>
      <c r="D1" s="12" t="s">
        <v>371</v>
      </c>
      <c r="E1" s="12" t="s">
        <v>205</v>
      </c>
      <c r="F1" s="12" t="s">
        <v>206</v>
      </c>
      <c r="G1" s="12" t="s">
        <v>3</v>
      </c>
      <c r="H1" s="41" t="s">
        <v>213</v>
      </c>
      <c r="I1" s="122" t="s">
        <v>54</v>
      </c>
      <c r="J1" s="123" t="s">
        <v>209</v>
      </c>
      <c r="K1" s="124" t="s">
        <v>210</v>
      </c>
      <c r="L1" s="112">
        <v>2010</v>
      </c>
      <c r="M1" s="12">
        <v>2011</v>
      </c>
      <c r="N1" s="112">
        <v>2012</v>
      </c>
      <c r="O1" s="12">
        <v>2013</v>
      </c>
      <c r="P1" s="112">
        <v>2014</v>
      </c>
      <c r="Q1" s="12">
        <v>2015</v>
      </c>
      <c r="R1" s="112">
        <v>2016</v>
      </c>
      <c r="S1" s="12">
        <v>2017</v>
      </c>
      <c r="T1" s="112">
        <v>2018</v>
      </c>
      <c r="U1" s="12">
        <v>2019</v>
      </c>
      <c r="V1" s="12">
        <v>2020</v>
      </c>
      <c r="W1" s="12">
        <v>2021</v>
      </c>
      <c r="X1" s="12">
        <v>2022</v>
      </c>
      <c r="Y1" s="12">
        <v>2023</v>
      </c>
      <c r="Z1" s="12">
        <v>2024</v>
      </c>
      <c r="AA1" s="12">
        <v>2025</v>
      </c>
      <c r="AB1" s="12">
        <v>2026</v>
      </c>
      <c r="AC1" s="12">
        <v>2027</v>
      </c>
      <c r="AD1" s="12">
        <v>2028</v>
      </c>
      <c r="AE1" s="12">
        <v>2029</v>
      </c>
      <c r="AF1" s="12">
        <v>2030</v>
      </c>
      <c r="AG1" s="12">
        <v>2031</v>
      </c>
      <c r="AH1" s="12">
        <v>2032</v>
      </c>
      <c r="AI1" s="12">
        <v>2033</v>
      </c>
      <c r="AJ1" s="12">
        <v>2034</v>
      </c>
      <c r="AK1" s="12">
        <v>2035</v>
      </c>
      <c r="AL1" s="12">
        <v>2036</v>
      </c>
      <c r="AM1" s="12">
        <v>2037</v>
      </c>
      <c r="AN1" s="12">
        <v>2038</v>
      </c>
      <c r="AO1" s="12">
        <v>2039</v>
      </c>
      <c r="AP1" s="12">
        <v>2040</v>
      </c>
      <c r="AQ1" s="12">
        <v>2041</v>
      </c>
      <c r="AR1" s="12">
        <v>2042</v>
      </c>
      <c r="AS1" s="12">
        <v>2043</v>
      </c>
      <c r="AT1" s="12">
        <v>2044</v>
      </c>
      <c r="AU1" s="12">
        <v>2045</v>
      </c>
      <c r="AV1" s="12">
        <v>2046</v>
      </c>
      <c r="AW1" s="12">
        <v>2047</v>
      </c>
      <c r="AX1" s="12">
        <v>2048</v>
      </c>
      <c r="AY1" s="12">
        <v>2049</v>
      </c>
      <c r="AZ1" s="13">
        <v>2050</v>
      </c>
      <c r="BA1" s="113">
        <v>2051</v>
      </c>
      <c r="BB1" s="113">
        <v>2052</v>
      </c>
      <c r="BC1" s="113">
        <v>2053</v>
      </c>
      <c r="BD1" s="113">
        <v>2054</v>
      </c>
      <c r="BE1" s="113">
        <v>2055</v>
      </c>
      <c r="BF1" s="113">
        <v>2056</v>
      </c>
      <c r="BG1" s="113">
        <v>2057</v>
      </c>
      <c r="BH1" s="113">
        <v>2058</v>
      </c>
      <c r="BI1" s="113">
        <v>2059</v>
      </c>
      <c r="BJ1" s="113">
        <v>2060</v>
      </c>
      <c r="BK1" s="113">
        <v>2061</v>
      </c>
      <c r="BL1" s="113">
        <v>2062</v>
      </c>
      <c r="BM1" s="113">
        <v>2063</v>
      </c>
      <c r="BN1" s="113">
        <v>2064</v>
      </c>
      <c r="BO1" s="113">
        <v>2065</v>
      </c>
      <c r="BP1" s="113">
        <v>2066</v>
      </c>
      <c r="BQ1" s="113">
        <v>2067</v>
      </c>
      <c r="BR1" s="113">
        <v>2068</v>
      </c>
      <c r="BS1" s="113">
        <v>2069</v>
      </c>
      <c r="BT1" s="13">
        <v>2070</v>
      </c>
    </row>
    <row r="2" spans="1:72" ht="43.8" thickBot="1" x14ac:dyDescent="0.35">
      <c r="A2" s="125" t="s">
        <v>6</v>
      </c>
      <c r="B2" s="126" t="s">
        <v>372</v>
      </c>
      <c r="C2" s="126" t="s">
        <v>373</v>
      </c>
      <c r="D2" s="126" t="s">
        <v>374</v>
      </c>
      <c r="E2" s="127" t="s">
        <v>375</v>
      </c>
      <c r="F2" s="126" t="s">
        <v>7</v>
      </c>
      <c r="G2" s="126" t="s">
        <v>313</v>
      </c>
      <c r="H2" s="128" t="s">
        <v>376</v>
      </c>
      <c r="I2" s="129"/>
      <c r="J2" s="130"/>
      <c r="K2" s="131"/>
      <c r="L2" s="126">
        <v>1</v>
      </c>
      <c r="M2" s="126">
        <v>1</v>
      </c>
      <c r="N2" s="126">
        <v>1</v>
      </c>
      <c r="O2" s="126">
        <v>1</v>
      </c>
      <c r="P2" s="126">
        <v>1</v>
      </c>
      <c r="Q2" s="126">
        <v>1</v>
      </c>
      <c r="R2" s="126">
        <v>1</v>
      </c>
      <c r="S2" s="126">
        <v>1</v>
      </c>
      <c r="T2" s="126">
        <v>1</v>
      </c>
      <c r="U2" s="126">
        <v>1</v>
      </c>
      <c r="V2" s="126">
        <v>1</v>
      </c>
      <c r="W2" s="126">
        <v>1</v>
      </c>
      <c r="X2" s="126">
        <v>1</v>
      </c>
      <c r="Y2" s="126">
        <v>1</v>
      </c>
      <c r="Z2" s="126">
        <v>1</v>
      </c>
      <c r="AA2" s="126">
        <v>1</v>
      </c>
      <c r="AB2" s="126">
        <v>1</v>
      </c>
      <c r="AC2" s="126">
        <v>1</v>
      </c>
      <c r="AD2" s="126">
        <v>1</v>
      </c>
      <c r="AE2" s="126">
        <v>1</v>
      </c>
      <c r="AF2" s="126">
        <v>1</v>
      </c>
      <c r="AG2" s="126">
        <v>1</v>
      </c>
      <c r="AH2" s="126">
        <v>1</v>
      </c>
      <c r="AI2" s="126">
        <v>1</v>
      </c>
      <c r="AJ2" s="126">
        <v>1</v>
      </c>
      <c r="AK2" s="126">
        <v>1</v>
      </c>
      <c r="AL2" s="126">
        <v>1</v>
      </c>
      <c r="AM2" s="126">
        <v>1</v>
      </c>
      <c r="AN2" s="126">
        <v>1</v>
      </c>
      <c r="AO2" s="126">
        <v>1</v>
      </c>
      <c r="AP2" s="126">
        <v>1</v>
      </c>
      <c r="AQ2" s="126">
        <v>1</v>
      </c>
      <c r="AR2" s="126">
        <v>1</v>
      </c>
      <c r="AS2" s="126">
        <v>1</v>
      </c>
      <c r="AT2" s="126">
        <v>1</v>
      </c>
      <c r="AU2" s="126">
        <v>1</v>
      </c>
      <c r="AV2" s="126">
        <v>1</v>
      </c>
      <c r="AW2" s="126">
        <v>1</v>
      </c>
      <c r="AX2" s="126">
        <v>1</v>
      </c>
      <c r="AY2" s="126">
        <v>1</v>
      </c>
      <c r="AZ2" s="126">
        <v>1</v>
      </c>
      <c r="BA2" s="126">
        <v>1</v>
      </c>
      <c r="BB2" s="126">
        <v>1</v>
      </c>
      <c r="BC2" s="126">
        <v>1</v>
      </c>
      <c r="BD2" s="126">
        <v>1</v>
      </c>
      <c r="BE2" s="126">
        <v>1</v>
      </c>
      <c r="BF2" s="126">
        <v>1</v>
      </c>
      <c r="BG2" s="126">
        <v>1</v>
      </c>
      <c r="BH2" s="126">
        <v>1</v>
      </c>
      <c r="BI2" s="126">
        <v>1</v>
      </c>
      <c r="BJ2" s="126">
        <v>1</v>
      </c>
      <c r="BK2" s="126">
        <v>1</v>
      </c>
      <c r="BL2" s="126">
        <v>1</v>
      </c>
      <c r="BM2" s="126">
        <v>1</v>
      </c>
      <c r="BN2" s="126">
        <v>1</v>
      </c>
      <c r="BO2" s="126">
        <v>1</v>
      </c>
      <c r="BP2" s="126">
        <v>1</v>
      </c>
      <c r="BQ2" s="126">
        <v>1</v>
      </c>
      <c r="BR2" s="126">
        <v>1</v>
      </c>
      <c r="BS2" s="126">
        <v>1</v>
      </c>
      <c r="BT2" s="132">
        <v>1</v>
      </c>
    </row>
    <row r="3" spans="1:72" ht="43.8" thickBot="1" x14ac:dyDescent="0.35">
      <c r="A3" s="14" t="s">
        <v>10</v>
      </c>
      <c r="B3" s="15" t="s">
        <v>372</v>
      </c>
      <c r="C3" s="15" t="s">
        <v>231</v>
      </c>
      <c r="D3" s="133" t="s">
        <v>374</v>
      </c>
      <c r="E3" s="134" t="s">
        <v>375</v>
      </c>
      <c r="F3" s="15" t="s">
        <v>7</v>
      </c>
      <c r="G3" s="15" t="s">
        <v>313</v>
      </c>
      <c r="H3" s="135" t="s">
        <v>75</v>
      </c>
      <c r="I3" s="136"/>
      <c r="J3" s="137"/>
      <c r="K3" s="138"/>
      <c r="L3" s="139">
        <v>0.27239999999999998</v>
      </c>
      <c r="M3" s="139">
        <v>0.27239999999999998</v>
      </c>
      <c r="N3" s="139">
        <v>0.27239999999999998</v>
      </c>
      <c r="O3" s="139">
        <v>0.27239999999999998</v>
      </c>
      <c r="P3" s="139">
        <v>0.27239999999999998</v>
      </c>
      <c r="Q3" s="139">
        <v>0.27239999999999998</v>
      </c>
      <c r="R3" s="139">
        <v>0.27239999999999998</v>
      </c>
      <c r="S3" s="139">
        <v>0.27239999999999998</v>
      </c>
      <c r="T3" s="139">
        <v>0.27239999999999998</v>
      </c>
      <c r="U3" s="15">
        <v>0.18429999999999999</v>
      </c>
      <c r="V3" s="15">
        <v>0.15049999999999999</v>
      </c>
      <c r="W3" s="15">
        <v>0.11890000000000001</v>
      </c>
      <c r="X3" s="15">
        <v>0.27</v>
      </c>
      <c r="Y3" s="15">
        <v>0.27</v>
      </c>
      <c r="Z3" s="15">
        <v>0.27</v>
      </c>
      <c r="AA3" s="15">
        <v>0.27</v>
      </c>
      <c r="AB3" s="15">
        <v>0.27</v>
      </c>
      <c r="AC3" s="15">
        <v>0.27</v>
      </c>
      <c r="AD3" s="15">
        <v>0.3</v>
      </c>
      <c r="AE3" s="15">
        <v>0.3</v>
      </c>
      <c r="AF3" s="15">
        <v>0.3</v>
      </c>
      <c r="AG3" s="15">
        <v>0.3</v>
      </c>
      <c r="AH3" s="15">
        <v>0.3</v>
      </c>
      <c r="AI3" s="15">
        <v>0.3</v>
      </c>
      <c r="AJ3" s="15">
        <v>0.3</v>
      </c>
      <c r="AK3" s="15">
        <v>0.3</v>
      </c>
      <c r="AL3" s="15">
        <v>0.3</v>
      </c>
      <c r="AM3" s="15">
        <v>0.3</v>
      </c>
      <c r="AN3" s="15">
        <v>0.3</v>
      </c>
      <c r="AO3" s="15">
        <v>0.3</v>
      </c>
      <c r="AP3" s="15">
        <v>0.3</v>
      </c>
      <c r="AQ3" s="15">
        <v>0.3</v>
      </c>
      <c r="AR3" s="15">
        <v>0.3</v>
      </c>
      <c r="AS3" s="15">
        <v>0.3</v>
      </c>
      <c r="AT3" s="15">
        <v>0.3</v>
      </c>
      <c r="AU3" s="15">
        <v>0.3</v>
      </c>
      <c r="AV3" s="15">
        <v>0.3</v>
      </c>
      <c r="AW3" s="15">
        <v>0.3</v>
      </c>
      <c r="AX3" s="15">
        <v>0.3</v>
      </c>
      <c r="AY3" s="15">
        <v>0.3</v>
      </c>
      <c r="AZ3" s="15">
        <v>0.3</v>
      </c>
      <c r="BA3" s="15">
        <v>0.3</v>
      </c>
      <c r="BB3" s="15">
        <v>0.3</v>
      </c>
      <c r="BC3" s="15">
        <v>0.3</v>
      </c>
      <c r="BD3" s="15">
        <v>0.3</v>
      </c>
      <c r="BE3" s="15">
        <v>0.3</v>
      </c>
      <c r="BF3" s="15">
        <v>0.3</v>
      </c>
      <c r="BG3" s="15">
        <v>0.3</v>
      </c>
      <c r="BH3" s="15">
        <v>0.3</v>
      </c>
      <c r="BI3" s="15">
        <v>0.3</v>
      </c>
      <c r="BJ3" s="15">
        <v>0.3</v>
      </c>
      <c r="BK3" s="15">
        <v>0.3</v>
      </c>
      <c r="BL3" s="15">
        <v>0.3</v>
      </c>
      <c r="BM3" s="15">
        <v>0.3</v>
      </c>
      <c r="BN3" s="15">
        <v>0.3</v>
      </c>
      <c r="BO3" s="15">
        <v>0.3</v>
      </c>
      <c r="BP3" s="15">
        <v>0.3</v>
      </c>
      <c r="BQ3" s="15">
        <v>0.3</v>
      </c>
      <c r="BR3" s="15">
        <v>0.3</v>
      </c>
      <c r="BS3" s="15">
        <v>0.3</v>
      </c>
      <c r="BT3" s="15">
        <v>0.3</v>
      </c>
    </row>
    <row r="4" spans="1:72" ht="43.8" thickBot="1" x14ac:dyDescent="0.35">
      <c r="A4" s="14" t="s">
        <v>10</v>
      </c>
      <c r="B4" s="15" t="s">
        <v>372</v>
      </c>
      <c r="C4" s="15" t="s">
        <v>227</v>
      </c>
      <c r="D4" s="133" t="s">
        <v>374</v>
      </c>
      <c r="E4" s="134" t="s">
        <v>375</v>
      </c>
      <c r="F4" s="15" t="s">
        <v>7</v>
      </c>
      <c r="G4" s="15" t="s">
        <v>313</v>
      </c>
      <c r="H4" s="135" t="s">
        <v>75</v>
      </c>
      <c r="I4" s="136"/>
      <c r="J4" s="137"/>
      <c r="K4" s="138"/>
      <c r="L4" s="140">
        <v>8.5599999999999996E-2</v>
      </c>
      <c r="M4" s="140">
        <v>8.5599999999999996E-2</v>
      </c>
      <c r="N4" s="140">
        <v>8.5599999999999996E-2</v>
      </c>
      <c r="O4" s="140">
        <v>8.5599999999999996E-2</v>
      </c>
      <c r="P4" s="140">
        <v>8.5599999999999996E-2</v>
      </c>
      <c r="Q4" s="140">
        <v>8.5599999999999996E-2</v>
      </c>
      <c r="R4" s="140">
        <v>8.5599999999999996E-2</v>
      </c>
      <c r="S4" s="140">
        <v>8.5599999999999996E-2</v>
      </c>
      <c r="T4" s="140">
        <v>8.5599999999999996E-2</v>
      </c>
      <c r="U4" s="140">
        <v>1.0800000000000001E-2</v>
      </c>
      <c r="V4" s="140">
        <v>3.6700000000000003E-2</v>
      </c>
      <c r="W4" s="140">
        <v>1.7500000000000002E-2</v>
      </c>
      <c r="X4" s="140">
        <v>0.09</v>
      </c>
      <c r="Y4" s="140">
        <v>0.09</v>
      </c>
      <c r="Z4" s="140">
        <v>0.09</v>
      </c>
      <c r="AA4" s="140">
        <v>0.09</v>
      </c>
      <c r="AB4" s="140">
        <v>0.09</v>
      </c>
      <c r="AC4" s="140">
        <v>0.09</v>
      </c>
      <c r="AD4" s="140">
        <v>0.1</v>
      </c>
      <c r="AE4" s="140">
        <v>0.1</v>
      </c>
      <c r="AF4" s="140">
        <v>0.1</v>
      </c>
      <c r="AG4" s="140">
        <v>0.1</v>
      </c>
      <c r="AH4" s="140">
        <v>0.1</v>
      </c>
      <c r="AI4" s="140">
        <v>0.1</v>
      </c>
      <c r="AJ4" s="140">
        <v>0.1</v>
      </c>
      <c r="AK4" s="140">
        <v>0.1</v>
      </c>
      <c r="AL4" s="140">
        <v>0.1</v>
      </c>
      <c r="AM4" s="140">
        <v>0.1</v>
      </c>
      <c r="AN4" s="140">
        <v>0.1</v>
      </c>
      <c r="AO4" s="140">
        <v>0.1</v>
      </c>
      <c r="AP4" s="140">
        <v>0.1</v>
      </c>
      <c r="AQ4" s="140">
        <v>0.1</v>
      </c>
      <c r="AR4" s="140">
        <v>0.1</v>
      </c>
      <c r="AS4" s="140">
        <v>0.1</v>
      </c>
      <c r="AT4" s="140">
        <v>0.1</v>
      </c>
      <c r="AU4" s="140">
        <v>0.1</v>
      </c>
      <c r="AV4" s="140">
        <v>0.1</v>
      </c>
      <c r="AW4" s="140">
        <v>0.1</v>
      </c>
      <c r="AX4" s="140">
        <v>0.1</v>
      </c>
      <c r="AY4" s="140">
        <v>0.1</v>
      </c>
      <c r="AZ4" s="140">
        <v>0.1</v>
      </c>
      <c r="BA4" s="140">
        <v>0.1</v>
      </c>
      <c r="BB4" s="140">
        <v>0.1</v>
      </c>
      <c r="BC4" s="140">
        <v>0.1</v>
      </c>
      <c r="BD4" s="140">
        <v>0.1</v>
      </c>
      <c r="BE4" s="140">
        <v>0.1</v>
      </c>
      <c r="BF4" s="140">
        <v>0.1</v>
      </c>
      <c r="BG4" s="140">
        <v>0.1</v>
      </c>
      <c r="BH4" s="140">
        <v>0.1</v>
      </c>
      <c r="BI4" s="140">
        <v>0.1</v>
      </c>
      <c r="BJ4" s="140">
        <v>0.1</v>
      </c>
      <c r="BK4" s="140">
        <v>0.1</v>
      </c>
      <c r="BL4" s="140">
        <v>0.1</v>
      </c>
      <c r="BM4" s="140">
        <v>0.1</v>
      </c>
      <c r="BN4" s="140">
        <v>0.1</v>
      </c>
      <c r="BO4" s="140">
        <v>0.1</v>
      </c>
      <c r="BP4" s="140">
        <v>0.1</v>
      </c>
      <c r="BQ4" s="140">
        <v>0.1</v>
      </c>
      <c r="BR4" s="140">
        <v>0.1</v>
      </c>
      <c r="BS4" s="140">
        <v>0.1</v>
      </c>
      <c r="BT4" s="140">
        <v>0.1</v>
      </c>
    </row>
    <row r="5" spans="1:72" ht="43.8" thickBot="1" x14ac:dyDescent="0.35">
      <c r="A5" s="14" t="s">
        <v>10</v>
      </c>
      <c r="B5" s="15" t="s">
        <v>372</v>
      </c>
      <c r="C5" s="15" t="s">
        <v>229</v>
      </c>
      <c r="D5" s="133" t="s">
        <v>374</v>
      </c>
      <c r="E5" s="134" t="s">
        <v>375</v>
      </c>
      <c r="F5" s="15" t="s">
        <v>7</v>
      </c>
      <c r="G5" s="15" t="s">
        <v>313</v>
      </c>
      <c r="H5" s="135" t="s">
        <v>75</v>
      </c>
      <c r="I5" s="136"/>
      <c r="J5" s="137"/>
      <c r="K5" s="138"/>
      <c r="L5" s="140">
        <v>2.64E-2</v>
      </c>
      <c r="M5" s="140">
        <v>2.64E-2</v>
      </c>
      <c r="N5" s="140">
        <v>2.64E-2</v>
      </c>
      <c r="O5" s="140">
        <v>2.64E-2</v>
      </c>
      <c r="P5" s="140">
        <v>2.64E-2</v>
      </c>
      <c r="Q5" s="140">
        <v>2.64E-2</v>
      </c>
      <c r="R5" s="140">
        <v>2.64E-2</v>
      </c>
      <c r="S5" s="140">
        <v>2.64E-2</v>
      </c>
      <c r="T5" s="140">
        <v>2.64E-2</v>
      </c>
      <c r="U5" s="140">
        <v>1.5100000000000001E-2</v>
      </c>
      <c r="V5" s="140">
        <v>5.1000000000000004E-3</v>
      </c>
      <c r="W5" s="140">
        <v>3.3999999999999998E-3</v>
      </c>
      <c r="X5" s="140">
        <v>0.03</v>
      </c>
      <c r="Y5" s="140">
        <v>0.03</v>
      </c>
      <c r="Z5" s="140">
        <v>0.03</v>
      </c>
      <c r="AA5" s="140">
        <v>0.03</v>
      </c>
      <c r="AB5" s="140">
        <v>0.03</v>
      </c>
      <c r="AC5" s="140">
        <v>0.03</v>
      </c>
      <c r="AD5" s="140">
        <v>0.1</v>
      </c>
      <c r="AE5" s="140">
        <v>0.1</v>
      </c>
      <c r="AF5" s="140">
        <v>0.1</v>
      </c>
      <c r="AG5" s="140">
        <v>0.1</v>
      </c>
      <c r="AH5" s="140">
        <v>0.1</v>
      </c>
      <c r="AI5" s="140">
        <v>0.1</v>
      </c>
      <c r="AJ5" s="140">
        <v>0.1</v>
      </c>
      <c r="AK5" s="140">
        <v>0.1</v>
      </c>
      <c r="AL5" s="140">
        <v>0.1</v>
      </c>
      <c r="AM5" s="140">
        <v>0.1</v>
      </c>
      <c r="AN5" s="140">
        <v>0.1</v>
      </c>
      <c r="AO5" s="140">
        <v>0.1</v>
      </c>
      <c r="AP5" s="140">
        <v>0.1</v>
      </c>
      <c r="AQ5" s="140">
        <v>0.1</v>
      </c>
      <c r="AR5" s="140">
        <v>0.1</v>
      </c>
      <c r="AS5" s="140">
        <v>0.1</v>
      </c>
      <c r="AT5" s="140">
        <v>0.1</v>
      </c>
      <c r="AU5" s="140">
        <v>0.1</v>
      </c>
      <c r="AV5" s="140">
        <v>0.1</v>
      </c>
      <c r="AW5" s="140">
        <v>0.1</v>
      </c>
      <c r="AX5" s="140">
        <v>0.1</v>
      </c>
      <c r="AY5" s="140">
        <v>0.1</v>
      </c>
      <c r="AZ5" s="140">
        <v>0.1</v>
      </c>
      <c r="BA5" s="140">
        <v>0.1</v>
      </c>
      <c r="BB5" s="140">
        <v>0.1</v>
      </c>
      <c r="BC5" s="140">
        <v>0.1</v>
      </c>
      <c r="BD5" s="140">
        <v>0.1</v>
      </c>
      <c r="BE5" s="140">
        <v>0.1</v>
      </c>
      <c r="BF5" s="140">
        <v>0.1</v>
      </c>
      <c r="BG5" s="140">
        <v>0.1</v>
      </c>
      <c r="BH5" s="140">
        <v>0.1</v>
      </c>
      <c r="BI5" s="140">
        <v>0.1</v>
      </c>
      <c r="BJ5" s="140">
        <v>0.1</v>
      </c>
      <c r="BK5" s="140">
        <v>0.1</v>
      </c>
      <c r="BL5" s="140">
        <v>0.1</v>
      </c>
      <c r="BM5" s="140">
        <v>0.1</v>
      </c>
      <c r="BN5" s="140">
        <v>0.1</v>
      </c>
      <c r="BO5" s="140">
        <v>0.1</v>
      </c>
      <c r="BP5" s="140">
        <v>0.1</v>
      </c>
      <c r="BQ5" s="140">
        <v>0.1</v>
      </c>
      <c r="BR5" s="140">
        <v>0.1</v>
      </c>
      <c r="BS5" s="140">
        <v>0.1</v>
      </c>
      <c r="BT5" s="140">
        <v>0.1</v>
      </c>
    </row>
    <row r="6" spans="1:72" ht="15" thickBot="1" x14ac:dyDescent="0.35">
      <c r="A6" s="173" t="s">
        <v>10</v>
      </c>
      <c r="B6" s="175" t="s">
        <v>372</v>
      </c>
      <c r="C6" s="175" t="s">
        <v>275</v>
      </c>
      <c r="D6" s="186" t="s">
        <v>374</v>
      </c>
      <c r="E6" s="160" t="s">
        <v>399</v>
      </c>
      <c r="F6" s="175" t="s">
        <v>7</v>
      </c>
      <c r="G6" s="175" t="s">
        <v>313</v>
      </c>
      <c r="H6" s="193" t="s">
        <v>75</v>
      </c>
      <c r="I6" s="197"/>
      <c r="J6" s="175"/>
      <c r="K6" s="207"/>
      <c r="L6" s="207">
        <v>0.75309999999999999</v>
      </c>
      <c r="M6" s="207">
        <v>0.75309999999999999</v>
      </c>
      <c r="N6" s="207">
        <v>0.75309999999999999</v>
      </c>
      <c r="O6" s="207">
        <v>0.75309999999999999</v>
      </c>
      <c r="P6" s="207">
        <v>0.75309999999999999</v>
      </c>
      <c r="Q6" s="207">
        <v>0.75309999999999999</v>
      </c>
      <c r="R6" s="207">
        <v>0.75309999999999999</v>
      </c>
      <c r="S6" s="207">
        <v>0.75309999999999999</v>
      </c>
      <c r="T6" s="207">
        <v>0.75309999999999999</v>
      </c>
      <c r="U6" s="207">
        <v>0.68079999999999996</v>
      </c>
      <c r="V6" s="207">
        <v>0.72760000000000002</v>
      </c>
      <c r="W6" s="207">
        <v>0.60809999999999997</v>
      </c>
      <c r="X6" s="222">
        <v>0.75</v>
      </c>
      <c r="Y6" s="222">
        <v>0.75</v>
      </c>
      <c r="Z6" s="222">
        <v>0.75</v>
      </c>
      <c r="AA6" s="222">
        <v>0.75</v>
      </c>
      <c r="AB6" s="222">
        <v>0.75</v>
      </c>
      <c r="AC6" s="222">
        <v>0.75</v>
      </c>
      <c r="AD6" s="222">
        <v>0.75</v>
      </c>
      <c r="AE6" s="222">
        <v>0.75</v>
      </c>
      <c r="AF6" s="222">
        <v>0.75</v>
      </c>
      <c r="AG6" s="222">
        <v>0.75</v>
      </c>
      <c r="AH6" s="222">
        <v>0.75</v>
      </c>
      <c r="AI6" s="222">
        <v>0.75</v>
      </c>
      <c r="AJ6" s="222">
        <v>0.75</v>
      </c>
      <c r="AK6" s="222">
        <v>0.75</v>
      </c>
      <c r="AL6" s="222">
        <v>0.75</v>
      </c>
      <c r="AM6" s="222">
        <v>0.75</v>
      </c>
      <c r="AN6" s="222">
        <v>0.75</v>
      </c>
      <c r="AO6" s="222">
        <v>0.75</v>
      </c>
      <c r="AP6" s="222">
        <v>0.75</v>
      </c>
      <c r="AQ6" s="222">
        <v>0.75</v>
      </c>
      <c r="AR6" s="222">
        <v>0.75</v>
      </c>
      <c r="AS6" s="222">
        <v>0.75</v>
      </c>
      <c r="AT6" s="222">
        <v>0.75</v>
      </c>
      <c r="AU6" s="222">
        <v>0.75</v>
      </c>
      <c r="AV6" s="222">
        <v>0.75</v>
      </c>
      <c r="AW6" s="222">
        <v>0.75</v>
      </c>
      <c r="AX6" s="222">
        <v>0.75</v>
      </c>
      <c r="AY6" s="222">
        <v>0.75</v>
      </c>
      <c r="AZ6" s="222">
        <v>0.75</v>
      </c>
      <c r="BA6" s="207">
        <v>0.72760000000000002</v>
      </c>
      <c r="BB6" s="207">
        <v>0.72760000000000002</v>
      </c>
      <c r="BC6" s="207">
        <v>0.72760000000000002</v>
      </c>
      <c r="BD6" s="207">
        <v>0.72760000000000002</v>
      </c>
      <c r="BE6" s="207">
        <v>0.72760000000000002</v>
      </c>
      <c r="BF6" s="207">
        <v>0.72760000000000002</v>
      </c>
      <c r="BG6" s="207">
        <v>0.72760000000000002</v>
      </c>
      <c r="BH6" s="207">
        <v>0.72760000000000002</v>
      </c>
      <c r="BI6" s="207">
        <v>0.72760000000000002</v>
      </c>
      <c r="BJ6" s="207">
        <v>0.72760000000000002</v>
      </c>
      <c r="BK6" s="207">
        <v>0.72760000000000002</v>
      </c>
      <c r="BL6" s="207">
        <v>0.72760000000000002</v>
      </c>
      <c r="BM6" s="207">
        <v>0.72760000000000002</v>
      </c>
      <c r="BN6" s="207">
        <v>0.72760000000000002</v>
      </c>
      <c r="BO6" s="207">
        <v>0.72760000000000002</v>
      </c>
      <c r="BP6" s="207">
        <v>0.72760000000000002</v>
      </c>
      <c r="BQ6" s="207">
        <v>0.72760000000000002</v>
      </c>
      <c r="BR6" s="207">
        <v>0.72760000000000002</v>
      </c>
      <c r="BS6" s="207">
        <v>0.72760000000000002</v>
      </c>
      <c r="BT6" s="207">
        <v>0.72760000000000002</v>
      </c>
    </row>
    <row r="7" spans="1:72" ht="15" thickBot="1" x14ac:dyDescent="0.35">
      <c r="A7" s="173" t="s">
        <v>10</v>
      </c>
      <c r="B7" s="175" t="s">
        <v>372</v>
      </c>
      <c r="C7" s="175" t="s">
        <v>400</v>
      </c>
      <c r="D7" s="186" t="s">
        <v>374</v>
      </c>
      <c r="E7" s="160" t="s">
        <v>399</v>
      </c>
      <c r="F7" s="175" t="s">
        <v>7</v>
      </c>
      <c r="G7" s="175" t="s">
        <v>313</v>
      </c>
      <c r="H7" s="193" t="s">
        <v>75</v>
      </c>
      <c r="I7" s="197"/>
      <c r="J7" s="175"/>
      <c r="K7" s="207"/>
      <c r="L7" s="207">
        <v>0.31850000000000001</v>
      </c>
      <c r="M7" s="207">
        <v>0.31850000000000001</v>
      </c>
      <c r="N7" s="207">
        <v>0.31850000000000001</v>
      </c>
      <c r="O7" s="207">
        <v>0.31850000000000001</v>
      </c>
      <c r="P7" s="207">
        <v>0.31850000000000001</v>
      </c>
      <c r="Q7" s="207">
        <v>0.31850000000000001</v>
      </c>
      <c r="R7" s="207">
        <v>0.31850000000000001</v>
      </c>
      <c r="S7" s="207">
        <v>0.31850000000000001</v>
      </c>
      <c r="T7" s="207">
        <v>0.31850000000000001</v>
      </c>
      <c r="U7" s="207">
        <v>0.34439999999999998</v>
      </c>
      <c r="V7" s="207">
        <v>0.35520000000000002</v>
      </c>
      <c r="W7" s="207">
        <v>0.35520000000000002</v>
      </c>
      <c r="X7" s="222">
        <v>0.7</v>
      </c>
      <c r="Y7" s="222">
        <v>0.7</v>
      </c>
      <c r="Z7" s="222">
        <v>0.7</v>
      </c>
      <c r="AA7" s="222">
        <v>0.7</v>
      </c>
      <c r="AB7" s="222">
        <v>0.7</v>
      </c>
      <c r="AC7" s="222">
        <v>0.7</v>
      </c>
      <c r="AD7" s="222">
        <v>0.7</v>
      </c>
      <c r="AE7" s="222">
        <v>0.7</v>
      </c>
      <c r="AF7" s="222">
        <v>0.7</v>
      </c>
      <c r="AG7" s="222">
        <v>0.7</v>
      </c>
      <c r="AH7" s="222">
        <v>0.7</v>
      </c>
      <c r="AI7" s="222">
        <v>0.7</v>
      </c>
      <c r="AJ7" s="222">
        <v>0.7</v>
      </c>
      <c r="AK7" s="222">
        <v>0.7</v>
      </c>
      <c r="AL7" s="222">
        <v>0.7</v>
      </c>
      <c r="AM7" s="222">
        <v>0.7</v>
      </c>
      <c r="AN7" s="222">
        <v>0.7</v>
      </c>
      <c r="AO7" s="222">
        <v>0.7</v>
      </c>
      <c r="AP7" s="222">
        <v>0.7</v>
      </c>
      <c r="AQ7" s="222">
        <v>0.7</v>
      </c>
      <c r="AR7" s="222">
        <v>0.7</v>
      </c>
      <c r="AS7" s="222">
        <v>0.7</v>
      </c>
      <c r="AT7" s="222">
        <v>0.7</v>
      </c>
      <c r="AU7" s="222">
        <v>0.7</v>
      </c>
      <c r="AV7" s="222">
        <v>0.7</v>
      </c>
      <c r="AW7" s="222">
        <v>0.7</v>
      </c>
      <c r="AX7" s="222">
        <v>0.7</v>
      </c>
      <c r="AY7" s="222">
        <v>0.7</v>
      </c>
      <c r="AZ7" s="222">
        <v>0.7</v>
      </c>
      <c r="BA7" s="207">
        <v>0.7</v>
      </c>
      <c r="BB7" s="207">
        <v>0.7</v>
      </c>
      <c r="BC7" s="207">
        <v>0.7</v>
      </c>
      <c r="BD7" s="207">
        <v>0.7</v>
      </c>
      <c r="BE7" s="207">
        <v>0.7</v>
      </c>
      <c r="BF7" s="207">
        <v>0.7</v>
      </c>
      <c r="BG7" s="207">
        <v>0.7</v>
      </c>
      <c r="BH7" s="207">
        <v>0.7</v>
      </c>
      <c r="BI7" s="207">
        <v>0.7</v>
      </c>
      <c r="BJ7" s="207">
        <v>0.7</v>
      </c>
      <c r="BK7" s="207">
        <v>0.7</v>
      </c>
      <c r="BL7" s="207">
        <v>0.7</v>
      </c>
      <c r="BM7" s="207">
        <v>0.7</v>
      </c>
      <c r="BN7" s="207">
        <v>0.7</v>
      </c>
      <c r="BO7" s="207">
        <v>0.7</v>
      </c>
      <c r="BP7" s="207">
        <v>0.7</v>
      </c>
      <c r="BQ7" s="207">
        <v>0.7</v>
      </c>
      <c r="BR7" s="207">
        <v>0.7</v>
      </c>
      <c r="BS7" s="207">
        <v>0.7</v>
      </c>
      <c r="BT7" s="207">
        <v>0.7</v>
      </c>
    </row>
    <row r="8" spans="1:72" ht="15" thickBot="1" x14ac:dyDescent="0.35">
      <c r="A8" s="173" t="s">
        <v>10</v>
      </c>
      <c r="B8" s="175" t="s">
        <v>372</v>
      </c>
      <c r="C8" s="175" t="s">
        <v>276</v>
      </c>
      <c r="D8" s="186" t="s">
        <v>374</v>
      </c>
      <c r="E8" s="160" t="s">
        <v>399</v>
      </c>
      <c r="F8" s="175" t="s">
        <v>7</v>
      </c>
      <c r="G8" s="175" t="s">
        <v>313</v>
      </c>
      <c r="H8" s="193" t="s">
        <v>75</v>
      </c>
      <c r="I8" s="197"/>
      <c r="J8" s="175"/>
      <c r="K8" s="207"/>
      <c r="L8" s="207">
        <v>0.31830000000000003</v>
      </c>
      <c r="M8" s="207">
        <v>0.31830000000000003</v>
      </c>
      <c r="N8" s="207">
        <v>0.31830000000000003</v>
      </c>
      <c r="O8" s="207">
        <v>0.31830000000000003</v>
      </c>
      <c r="P8" s="207">
        <v>0.31830000000000003</v>
      </c>
      <c r="Q8" s="207">
        <v>0.31830000000000003</v>
      </c>
      <c r="R8" s="207">
        <v>0.31830000000000003</v>
      </c>
      <c r="S8" s="207">
        <v>0.31830000000000003</v>
      </c>
      <c r="T8" s="207">
        <v>0.31830000000000003</v>
      </c>
      <c r="U8" s="207">
        <v>0.34420000000000001</v>
      </c>
      <c r="V8" s="207">
        <v>0.35499999999999998</v>
      </c>
      <c r="W8" s="207">
        <v>0.31019999999999998</v>
      </c>
      <c r="X8" s="222">
        <v>0.4</v>
      </c>
      <c r="Y8" s="222">
        <v>0.4</v>
      </c>
      <c r="Z8" s="222">
        <v>0.4</v>
      </c>
      <c r="AA8" s="222">
        <v>0.4</v>
      </c>
      <c r="AB8" s="222">
        <v>0.4</v>
      </c>
      <c r="AC8" s="222">
        <v>0.4</v>
      </c>
      <c r="AD8" s="222">
        <v>0.4</v>
      </c>
      <c r="AE8" s="222">
        <v>0.4</v>
      </c>
      <c r="AF8" s="222">
        <v>0.4</v>
      </c>
      <c r="AG8" s="222">
        <v>0.4</v>
      </c>
      <c r="AH8" s="222">
        <v>0.4</v>
      </c>
      <c r="AI8" s="222">
        <v>0.4</v>
      </c>
      <c r="AJ8" s="222">
        <v>0.4</v>
      </c>
      <c r="AK8" s="222">
        <v>0.4</v>
      </c>
      <c r="AL8" s="222">
        <v>0.4</v>
      </c>
      <c r="AM8" s="222">
        <v>0.4</v>
      </c>
      <c r="AN8" s="222">
        <v>0.4</v>
      </c>
      <c r="AO8" s="222">
        <v>0.4</v>
      </c>
      <c r="AP8" s="222">
        <v>0.4</v>
      </c>
      <c r="AQ8" s="222">
        <v>0.4</v>
      </c>
      <c r="AR8" s="222">
        <v>0.4</v>
      </c>
      <c r="AS8" s="222">
        <v>0.4</v>
      </c>
      <c r="AT8" s="222">
        <v>0.4</v>
      </c>
      <c r="AU8" s="222">
        <v>0.4</v>
      </c>
      <c r="AV8" s="222">
        <v>0.4</v>
      </c>
      <c r="AW8" s="222">
        <v>0.4</v>
      </c>
      <c r="AX8" s="222">
        <v>0.4</v>
      </c>
      <c r="AY8" s="222">
        <v>0.4</v>
      </c>
      <c r="AZ8" s="222">
        <v>0.4</v>
      </c>
      <c r="BA8" s="207">
        <v>0.4</v>
      </c>
      <c r="BB8" s="207">
        <v>0.4</v>
      </c>
      <c r="BC8" s="207">
        <v>0.4</v>
      </c>
      <c r="BD8" s="207">
        <v>0.4</v>
      </c>
      <c r="BE8" s="207">
        <v>0.4</v>
      </c>
      <c r="BF8" s="207">
        <v>0.4</v>
      </c>
      <c r="BG8" s="207">
        <v>0.4</v>
      </c>
      <c r="BH8" s="207">
        <v>0.4</v>
      </c>
      <c r="BI8" s="207">
        <v>0.4</v>
      </c>
      <c r="BJ8" s="207">
        <v>0.4</v>
      </c>
      <c r="BK8" s="207">
        <v>0.4</v>
      </c>
      <c r="BL8" s="207">
        <v>0.4</v>
      </c>
      <c r="BM8" s="207">
        <v>0.4</v>
      </c>
      <c r="BN8" s="207">
        <v>0.4</v>
      </c>
      <c r="BO8" s="207">
        <v>0.4</v>
      </c>
      <c r="BP8" s="207">
        <v>0.4</v>
      </c>
      <c r="BQ8" s="207">
        <v>0.4</v>
      </c>
      <c r="BR8" s="207">
        <v>0.4</v>
      </c>
      <c r="BS8" s="207">
        <v>0.4</v>
      </c>
      <c r="BT8" s="207">
        <v>0.4</v>
      </c>
    </row>
    <row r="9" spans="1:72" ht="15" thickBot="1" x14ac:dyDescent="0.35">
      <c r="A9" s="173" t="s">
        <v>10</v>
      </c>
      <c r="B9" s="175" t="s">
        <v>372</v>
      </c>
      <c r="C9" s="175" t="s">
        <v>221</v>
      </c>
      <c r="D9" s="186" t="s">
        <v>374</v>
      </c>
      <c r="E9" s="160" t="s">
        <v>399</v>
      </c>
      <c r="F9" s="175" t="s">
        <v>7</v>
      </c>
      <c r="G9" s="175" t="s">
        <v>313</v>
      </c>
      <c r="H9" s="193" t="s">
        <v>75</v>
      </c>
      <c r="I9" s="197"/>
      <c r="J9" s="175"/>
      <c r="K9" s="207"/>
      <c r="L9" s="207">
        <v>0.57999999999999996</v>
      </c>
      <c r="M9" s="207">
        <v>0.57999999999999996</v>
      </c>
      <c r="N9" s="207">
        <v>0.57999999999999996</v>
      </c>
      <c r="O9" s="207">
        <v>0.57999999999999996</v>
      </c>
      <c r="P9" s="207">
        <v>0.57999999999999996</v>
      </c>
      <c r="Q9" s="207">
        <v>0.57999999999999996</v>
      </c>
      <c r="R9" s="207">
        <v>0.57999999999999996</v>
      </c>
      <c r="S9" s="207">
        <v>0.57999999999999996</v>
      </c>
      <c r="T9" s="207">
        <v>0.57999999999999996</v>
      </c>
      <c r="U9" s="207">
        <v>0.57999999999999996</v>
      </c>
      <c r="V9" s="207">
        <v>0.57999999999999996</v>
      </c>
      <c r="W9" s="207">
        <v>0.57999999999999996</v>
      </c>
      <c r="X9" s="222">
        <v>0.57999999999999996</v>
      </c>
      <c r="Y9" s="222">
        <v>0.57999999999999996</v>
      </c>
      <c r="Z9" s="222">
        <v>0.57999999999999996</v>
      </c>
      <c r="AA9" s="222">
        <v>0.57999999999999996</v>
      </c>
      <c r="AB9" s="222">
        <v>0.57999999999999996</v>
      </c>
      <c r="AC9" s="222">
        <v>0.57999999999999996</v>
      </c>
      <c r="AD9" s="222">
        <v>0.57999999999999996</v>
      </c>
      <c r="AE9" s="222">
        <v>0.57999999999999996</v>
      </c>
      <c r="AF9" s="222">
        <v>0.57999999999999996</v>
      </c>
      <c r="AG9" s="222">
        <v>0.57999999999999996</v>
      </c>
      <c r="AH9" s="222">
        <v>0.57999999999999996</v>
      </c>
      <c r="AI9" s="222">
        <v>0.57999999999999996</v>
      </c>
      <c r="AJ9" s="222">
        <v>0.57999999999999996</v>
      </c>
      <c r="AK9" s="222">
        <v>0.57999999999999996</v>
      </c>
      <c r="AL9" s="222">
        <v>0.57999999999999996</v>
      </c>
      <c r="AM9" s="222">
        <v>0.57999999999999996</v>
      </c>
      <c r="AN9" s="222">
        <v>0.57999999999999996</v>
      </c>
      <c r="AO9" s="222">
        <v>0.57999999999999996</v>
      </c>
      <c r="AP9" s="222">
        <v>0.57999999999999996</v>
      </c>
      <c r="AQ9" s="222">
        <v>0.57999999999999996</v>
      </c>
      <c r="AR9" s="222">
        <v>0.57999999999999996</v>
      </c>
      <c r="AS9" s="222">
        <v>0.57999999999999996</v>
      </c>
      <c r="AT9" s="222">
        <v>0.57999999999999996</v>
      </c>
      <c r="AU9" s="222">
        <v>0.57999999999999996</v>
      </c>
      <c r="AV9" s="222">
        <v>0.57999999999999996</v>
      </c>
      <c r="AW9" s="222">
        <v>0.57999999999999996</v>
      </c>
      <c r="AX9" s="222">
        <v>0.57999999999999996</v>
      </c>
      <c r="AY9" s="222">
        <v>0.57999999999999996</v>
      </c>
      <c r="AZ9" s="222">
        <v>0.57999999999999996</v>
      </c>
      <c r="BA9" s="207">
        <v>0.57999999999999996</v>
      </c>
      <c r="BB9" s="207">
        <v>0.57999999999999996</v>
      </c>
      <c r="BC9" s="207">
        <v>0.57999999999999996</v>
      </c>
      <c r="BD9" s="207">
        <v>0.57999999999999996</v>
      </c>
      <c r="BE9" s="207">
        <v>0.57999999999999996</v>
      </c>
      <c r="BF9" s="207">
        <v>0.57999999999999996</v>
      </c>
      <c r="BG9" s="207">
        <v>0.57999999999999996</v>
      </c>
      <c r="BH9" s="207">
        <v>0.57999999999999996</v>
      </c>
      <c r="BI9" s="207">
        <v>0.57999999999999996</v>
      </c>
      <c r="BJ9" s="207">
        <v>0.57999999999999996</v>
      </c>
      <c r="BK9" s="207">
        <v>0.57999999999999996</v>
      </c>
      <c r="BL9" s="207">
        <v>0.57999999999999996</v>
      </c>
      <c r="BM9" s="207">
        <v>0.57999999999999996</v>
      </c>
      <c r="BN9" s="207">
        <v>0.57999999999999996</v>
      </c>
      <c r="BO9" s="207">
        <v>0.57999999999999996</v>
      </c>
      <c r="BP9" s="207">
        <v>0.57999999999999996</v>
      </c>
      <c r="BQ9" s="207">
        <v>0.57999999999999996</v>
      </c>
      <c r="BR9" s="207">
        <v>0.57999999999999996</v>
      </c>
      <c r="BS9" s="207">
        <v>0.57999999999999996</v>
      </c>
      <c r="BT9" s="207">
        <v>0.57999999999999996</v>
      </c>
    </row>
    <row r="10" spans="1:72" ht="15" thickBot="1" x14ac:dyDescent="0.35">
      <c r="A10" s="173" t="s">
        <v>10</v>
      </c>
      <c r="B10" s="175" t="s">
        <v>372</v>
      </c>
      <c r="C10" s="175" t="s">
        <v>401</v>
      </c>
      <c r="D10" s="186" t="s">
        <v>374</v>
      </c>
      <c r="E10" s="160" t="s">
        <v>399</v>
      </c>
      <c r="F10" s="175" t="s">
        <v>7</v>
      </c>
      <c r="G10" s="175" t="s">
        <v>313</v>
      </c>
      <c r="H10" s="193" t="s">
        <v>75</v>
      </c>
      <c r="I10" s="197"/>
      <c r="J10" s="175"/>
      <c r="K10" s="207"/>
      <c r="L10" s="207">
        <v>0.27260000000000001</v>
      </c>
      <c r="M10" s="207">
        <v>0.27260000000000001</v>
      </c>
      <c r="N10" s="207">
        <v>0.27260000000000001</v>
      </c>
      <c r="O10" s="207">
        <v>0.27260000000000001</v>
      </c>
      <c r="P10" s="207">
        <v>0.27260000000000001</v>
      </c>
      <c r="Q10" s="207">
        <v>0.27260000000000001</v>
      </c>
      <c r="R10" s="207">
        <v>0.27260000000000001</v>
      </c>
      <c r="S10" s="207">
        <v>0.27260000000000001</v>
      </c>
      <c r="T10" s="207">
        <v>0.27260000000000001</v>
      </c>
      <c r="U10" s="207">
        <v>0.1845</v>
      </c>
      <c r="V10" s="207">
        <v>0.15049999999999999</v>
      </c>
      <c r="W10" s="207">
        <v>0.15049999999999999</v>
      </c>
      <c r="X10" s="222">
        <v>0.15049999999999999</v>
      </c>
      <c r="Y10" s="222">
        <v>0.15049999999999999</v>
      </c>
      <c r="Z10" s="222">
        <v>0.15049999999999999</v>
      </c>
      <c r="AA10" s="222">
        <v>0.15049999999999999</v>
      </c>
      <c r="AB10" s="222">
        <v>0.15049999999999999</v>
      </c>
      <c r="AC10" s="222">
        <v>0.15049999999999999</v>
      </c>
      <c r="AD10" s="222">
        <v>0.15049999999999999</v>
      </c>
      <c r="AE10" s="222">
        <v>0.15049999999999999</v>
      </c>
      <c r="AF10" s="222">
        <v>0.15049999999999999</v>
      </c>
      <c r="AG10" s="222">
        <v>0.15049999999999999</v>
      </c>
      <c r="AH10" s="222">
        <v>0.15049999999999999</v>
      </c>
      <c r="AI10" s="222">
        <v>0.15049999999999999</v>
      </c>
      <c r="AJ10" s="222">
        <v>0.15049999999999999</v>
      </c>
      <c r="AK10" s="222">
        <v>0.15049999999999999</v>
      </c>
      <c r="AL10" s="222">
        <v>0.15049999999999999</v>
      </c>
      <c r="AM10" s="222">
        <v>0.15049999999999999</v>
      </c>
      <c r="AN10" s="222">
        <v>0.15049999999999999</v>
      </c>
      <c r="AO10" s="222">
        <v>0.15049999999999999</v>
      </c>
      <c r="AP10" s="222">
        <v>0.15049999999999999</v>
      </c>
      <c r="AQ10" s="222">
        <v>0.15049999999999999</v>
      </c>
      <c r="AR10" s="222">
        <v>0.15049999999999999</v>
      </c>
      <c r="AS10" s="222">
        <v>0.15049999999999999</v>
      </c>
      <c r="AT10" s="222">
        <v>0.15049999999999999</v>
      </c>
      <c r="AU10" s="222">
        <v>0.15049999999999999</v>
      </c>
      <c r="AV10" s="222">
        <v>0.15049999999999999</v>
      </c>
      <c r="AW10" s="222">
        <v>0.15049999999999999</v>
      </c>
      <c r="AX10" s="222">
        <v>0.15049999999999999</v>
      </c>
      <c r="AY10" s="222">
        <v>0.15049999999999999</v>
      </c>
      <c r="AZ10" s="222">
        <v>0.15049999999999999</v>
      </c>
      <c r="BA10" s="207">
        <v>0.15049999999999999</v>
      </c>
      <c r="BB10" s="207">
        <v>0.15049999999999999</v>
      </c>
      <c r="BC10" s="207">
        <v>0.15049999999999999</v>
      </c>
      <c r="BD10" s="207">
        <v>0.15049999999999999</v>
      </c>
      <c r="BE10" s="207">
        <v>0.15049999999999999</v>
      </c>
      <c r="BF10" s="207">
        <v>0.15049999999999999</v>
      </c>
      <c r="BG10" s="207">
        <v>0.15049999999999999</v>
      </c>
      <c r="BH10" s="207">
        <v>0.15049999999999999</v>
      </c>
      <c r="BI10" s="207">
        <v>0.15049999999999999</v>
      </c>
      <c r="BJ10" s="207">
        <v>0.15049999999999999</v>
      </c>
      <c r="BK10" s="207">
        <v>0.15049999999999999</v>
      </c>
      <c r="BL10" s="207">
        <v>0.15049999999999999</v>
      </c>
      <c r="BM10" s="207">
        <v>0.15049999999999999</v>
      </c>
      <c r="BN10" s="207">
        <v>0.15049999999999999</v>
      </c>
      <c r="BO10" s="207">
        <v>0.15049999999999999</v>
      </c>
      <c r="BP10" s="207">
        <v>0.15049999999999999</v>
      </c>
      <c r="BQ10" s="207">
        <v>0.15049999999999999</v>
      </c>
      <c r="BR10" s="207">
        <v>0.15049999999999999</v>
      </c>
      <c r="BS10" s="207">
        <v>0.15049999999999999</v>
      </c>
      <c r="BT10" s="207">
        <v>0.15049999999999999</v>
      </c>
    </row>
    <row r="11" spans="1:72" ht="15" thickBot="1" x14ac:dyDescent="0.35">
      <c r="A11" s="173" t="s">
        <v>10</v>
      </c>
      <c r="B11" s="175" t="s">
        <v>372</v>
      </c>
      <c r="C11" s="175" t="s">
        <v>231</v>
      </c>
      <c r="D11" s="186" t="s">
        <v>374</v>
      </c>
      <c r="E11" s="160" t="s">
        <v>399</v>
      </c>
      <c r="F11" s="175" t="s">
        <v>7</v>
      </c>
      <c r="G11" s="175" t="s">
        <v>313</v>
      </c>
      <c r="H11" s="193" t="s">
        <v>75</v>
      </c>
      <c r="I11" s="197"/>
      <c r="J11" s="175"/>
      <c r="K11" s="207"/>
      <c r="L11" s="207">
        <v>0.27239999999999998</v>
      </c>
      <c r="M11" s="207">
        <v>0.27239999999999998</v>
      </c>
      <c r="N11" s="207">
        <v>0.27239999999999998</v>
      </c>
      <c r="O11" s="207">
        <v>0.27239999999999998</v>
      </c>
      <c r="P11" s="207">
        <v>0.27239999999999998</v>
      </c>
      <c r="Q11" s="207">
        <v>0.27239999999999998</v>
      </c>
      <c r="R11" s="207">
        <v>0.27239999999999998</v>
      </c>
      <c r="S11" s="207">
        <v>0.27239999999999998</v>
      </c>
      <c r="T11" s="207">
        <v>0.27239999999999998</v>
      </c>
      <c r="U11" s="207">
        <v>0.18429999999999999</v>
      </c>
      <c r="V11" s="207">
        <v>0.15049999999999999</v>
      </c>
      <c r="W11" s="207">
        <v>0.11890000000000001</v>
      </c>
      <c r="X11" s="222">
        <v>0.69</v>
      </c>
      <c r="Y11" s="222">
        <v>0.69</v>
      </c>
      <c r="Z11" s="222">
        <v>0.69</v>
      </c>
      <c r="AA11" s="222">
        <v>0.69</v>
      </c>
      <c r="AB11" s="222">
        <v>0.69</v>
      </c>
      <c r="AC11" s="222">
        <v>0.69</v>
      </c>
      <c r="AD11" s="222">
        <v>0.69</v>
      </c>
      <c r="AE11" s="222">
        <v>0.69</v>
      </c>
      <c r="AF11" s="222">
        <v>0.69</v>
      </c>
      <c r="AG11" s="222">
        <v>0.69</v>
      </c>
      <c r="AH11" s="222">
        <v>0.69</v>
      </c>
      <c r="AI11" s="222">
        <v>0.69</v>
      </c>
      <c r="AJ11" s="222">
        <v>0.69</v>
      </c>
      <c r="AK11" s="222">
        <v>0.69</v>
      </c>
      <c r="AL11" s="222">
        <v>0.69</v>
      </c>
      <c r="AM11" s="222">
        <v>0.69</v>
      </c>
      <c r="AN11" s="222">
        <v>0.69</v>
      </c>
      <c r="AO11" s="222">
        <v>0.69</v>
      </c>
      <c r="AP11" s="222">
        <v>0.69</v>
      </c>
      <c r="AQ11" s="222">
        <v>0.69</v>
      </c>
      <c r="AR11" s="222">
        <v>0.69</v>
      </c>
      <c r="AS11" s="222">
        <v>0.69</v>
      </c>
      <c r="AT11" s="222">
        <v>0.69</v>
      </c>
      <c r="AU11" s="222">
        <v>0.69</v>
      </c>
      <c r="AV11" s="222">
        <v>0.69</v>
      </c>
      <c r="AW11" s="222">
        <v>0.69</v>
      </c>
      <c r="AX11" s="222">
        <v>0.69</v>
      </c>
      <c r="AY11" s="222">
        <v>0.69</v>
      </c>
      <c r="AZ11" s="222">
        <v>0.69</v>
      </c>
      <c r="BA11" s="207">
        <v>0.69</v>
      </c>
      <c r="BB11" s="207">
        <v>0.69</v>
      </c>
      <c r="BC11" s="207">
        <v>0.69</v>
      </c>
      <c r="BD11" s="207">
        <v>0.69</v>
      </c>
      <c r="BE11" s="207">
        <v>0.69</v>
      </c>
      <c r="BF11" s="207">
        <v>0.69</v>
      </c>
      <c r="BG11" s="207">
        <v>0.69</v>
      </c>
      <c r="BH11" s="207">
        <v>0.69</v>
      </c>
      <c r="BI11" s="207">
        <v>0.69</v>
      </c>
      <c r="BJ11" s="207">
        <v>0.69</v>
      </c>
      <c r="BK11" s="207">
        <v>0.69</v>
      </c>
      <c r="BL11" s="207">
        <v>0.69</v>
      </c>
      <c r="BM11" s="207">
        <v>0.69</v>
      </c>
      <c r="BN11" s="207">
        <v>0.69</v>
      </c>
      <c r="BO11" s="207">
        <v>0.69</v>
      </c>
      <c r="BP11" s="207">
        <v>0.69</v>
      </c>
      <c r="BQ11" s="207">
        <v>0.69</v>
      </c>
      <c r="BR11" s="207">
        <v>0.69</v>
      </c>
      <c r="BS11" s="207">
        <v>0.69</v>
      </c>
      <c r="BT11" s="207">
        <v>0.69</v>
      </c>
    </row>
    <row r="12" spans="1:72" ht="15" thickBot="1" x14ac:dyDescent="0.35">
      <c r="A12" s="173" t="s">
        <v>10</v>
      </c>
      <c r="B12" s="175" t="s">
        <v>372</v>
      </c>
      <c r="C12" s="175" t="s">
        <v>402</v>
      </c>
      <c r="D12" s="186" t="s">
        <v>374</v>
      </c>
      <c r="E12" s="160" t="s">
        <v>399</v>
      </c>
      <c r="F12" s="175" t="s">
        <v>7</v>
      </c>
      <c r="G12" s="175" t="s">
        <v>313</v>
      </c>
      <c r="H12" s="193" t="s">
        <v>75</v>
      </c>
      <c r="I12" s="197"/>
      <c r="J12" s="175"/>
      <c r="K12" s="207"/>
      <c r="L12" s="207">
        <v>0.46</v>
      </c>
      <c r="M12" s="207">
        <v>0.46</v>
      </c>
      <c r="N12" s="207">
        <v>0.46</v>
      </c>
      <c r="O12" s="207">
        <v>0.46</v>
      </c>
      <c r="P12" s="207">
        <v>0.46</v>
      </c>
      <c r="Q12" s="207">
        <v>0.46</v>
      </c>
      <c r="R12" s="207">
        <v>0.46</v>
      </c>
      <c r="S12" s="207">
        <v>0.46</v>
      </c>
      <c r="T12" s="207">
        <v>0.46</v>
      </c>
      <c r="U12" s="207">
        <v>0.33229999999999998</v>
      </c>
      <c r="V12" s="207">
        <v>0.24779999999999999</v>
      </c>
      <c r="W12" s="207">
        <v>0.22700000000000001</v>
      </c>
      <c r="X12" s="222">
        <v>0.65500000000000003</v>
      </c>
      <c r="Y12" s="222">
        <v>0.65500000000000003</v>
      </c>
      <c r="Z12" s="222">
        <v>0.65500000000000003</v>
      </c>
      <c r="AA12" s="222">
        <v>0.65500000000000003</v>
      </c>
      <c r="AB12" s="222">
        <v>0.65500000000000003</v>
      </c>
      <c r="AC12" s="222">
        <v>0.65500000000000003</v>
      </c>
      <c r="AD12" s="222">
        <v>0.65500000000000003</v>
      </c>
      <c r="AE12" s="222">
        <v>0.65500000000000003</v>
      </c>
      <c r="AF12" s="222">
        <v>0.65500000000000003</v>
      </c>
      <c r="AG12" s="222">
        <v>0.65500000000000003</v>
      </c>
      <c r="AH12" s="222">
        <v>0.65500000000000003</v>
      </c>
      <c r="AI12" s="222">
        <v>0.65500000000000003</v>
      </c>
      <c r="AJ12" s="222">
        <v>0.65500000000000003</v>
      </c>
      <c r="AK12" s="222">
        <v>0.65500000000000003</v>
      </c>
      <c r="AL12" s="222">
        <v>0.65500000000000003</v>
      </c>
      <c r="AM12" s="222">
        <v>0.65500000000000003</v>
      </c>
      <c r="AN12" s="222">
        <v>0.65500000000000003</v>
      </c>
      <c r="AO12" s="222">
        <v>0.65500000000000003</v>
      </c>
      <c r="AP12" s="222">
        <v>0.65500000000000003</v>
      </c>
      <c r="AQ12" s="222">
        <v>0.65500000000000003</v>
      </c>
      <c r="AR12" s="222">
        <v>0.65500000000000003</v>
      </c>
      <c r="AS12" s="222">
        <v>0.65500000000000003</v>
      </c>
      <c r="AT12" s="222">
        <v>0.65500000000000003</v>
      </c>
      <c r="AU12" s="222">
        <v>0.65500000000000003</v>
      </c>
      <c r="AV12" s="222">
        <v>0.65500000000000003</v>
      </c>
      <c r="AW12" s="222">
        <v>0.65500000000000003</v>
      </c>
      <c r="AX12" s="222">
        <v>0.65500000000000003</v>
      </c>
      <c r="AY12" s="222">
        <v>0.65500000000000003</v>
      </c>
      <c r="AZ12" s="222">
        <v>0.65500000000000003</v>
      </c>
      <c r="BA12" s="207">
        <v>0.65500000000000003</v>
      </c>
      <c r="BB12" s="207">
        <v>0.65500000000000003</v>
      </c>
      <c r="BC12" s="207">
        <v>0.65500000000000003</v>
      </c>
      <c r="BD12" s="207">
        <v>0.65500000000000003</v>
      </c>
      <c r="BE12" s="207">
        <v>0.65500000000000003</v>
      </c>
      <c r="BF12" s="207">
        <v>0.65500000000000003</v>
      </c>
      <c r="BG12" s="207">
        <v>0.65500000000000003</v>
      </c>
      <c r="BH12" s="207">
        <v>0.65500000000000003</v>
      </c>
      <c r="BI12" s="207">
        <v>0.65500000000000003</v>
      </c>
      <c r="BJ12" s="207">
        <v>0.65500000000000003</v>
      </c>
      <c r="BK12" s="207">
        <v>0.65500000000000003</v>
      </c>
      <c r="BL12" s="207">
        <v>0.65500000000000003</v>
      </c>
      <c r="BM12" s="207">
        <v>0.65500000000000003</v>
      </c>
      <c r="BN12" s="207">
        <v>0.65500000000000003</v>
      </c>
      <c r="BO12" s="207">
        <v>0.65500000000000003</v>
      </c>
      <c r="BP12" s="207">
        <v>0.65500000000000003</v>
      </c>
      <c r="BQ12" s="207">
        <v>0.65500000000000003</v>
      </c>
      <c r="BR12" s="207">
        <v>0.65500000000000003</v>
      </c>
      <c r="BS12" s="207">
        <v>0.65500000000000003</v>
      </c>
      <c r="BT12" s="207">
        <v>0.65500000000000003</v>
      </c>
    </row>
    <row r="13" spans="1:72" ht="15" thickBot="1" x14ac:dyDescent="0.35">
      <c r="A13" s="173" t="s">
        <v>10</v>
      </c>
      <c r="B13" s="175" t="s">
        <v>372</v>
      </c>
      <c r="C13" s="175" t="s">
        <v>227</v>
      </c>
      <c r="D13" s="186" t="s">
        <v>374</v>
      </c>
      <c r="E13" s="160" t="s">
        <v>399</v>
      </c>
      <c r="F13" s="175" t="s">
        <v>7</v>
      </c>
      <c r="G13" s="175" t="s">
        <v>313</v>
      </c>
      <c r="H13" s="193" t="s">
        <v>75</v>
      </c>
      <c r="I13" s="197"/>
      <c r="J13" s="175"/>
      <c r="K13" s="207"/>
      <c r="L13" s="207">
        <v>8.5599999999999996E-2</v>
      </c>
      <c r="M13" s="207">
        <v>8.5599999999999996E-2</v>
      </c>
      <c r="N13" s="207">
        <v>8.5599999999999996E-2</v>
      </c>
      <c r="O13" s="207">
        <v>8.5599999999999996E-2</v>
      </c>
      <c r="P13" s="207">
        <v>8.5599999999999996E-2</v>
      </c>
      <c r="Q13" s="207">
        <v>8.5599999999999996E-2</v>
      </c>
      <c r="R13" s="207">
        <v>8.5599999999999996E-2</v>
      </c>
      <c r="S13" s="207">
        <v>8.5599999999999996E-2</v>
      </c>
      <c r="T13" s="207">
        <v>8.5599999999999996E-2</v>
      </c>
      <c r="U13" s="207">
        <v>1.0800000000000001E-2</v>
      </c>
      <c r="V13" s="207">
        <v>3.6700000000000003E-2</v>
      </c>
      <c r="W13" s="207">
        <v>1.7500000000000002E-2</v>
      </c>
      <c r="X13" s="222">
        <v>0.69</v>
      </c>
      <c r="Y13" s="222">
        <v>0.69</v>
      </c>
      <c r="Z13" s="222">
        <v>0.69</v>
      </c>
      <c r="AA13" s="222">
        <v>0.69</v>
      </c>
      <c r="AB13" s="222">
        <v>0.69</v>
      </c>
      <c r="AC13" s="222">
        <v>0.69</v>
      </c>
      <c r="AD13" s="222">
        <v>0.69</v>
      </c>
      <c r="AE13" s="222">
        <v>0.69</v>
      </c>
      <c r="AF13" s="222">
        <v>0.69</v>
      </c>
      <c r="AG13" s="222">
        <v>0.69</v>
      </c>
      <c r="AH13" s="222">
        <v>0.69</v>
      </c>
      <c r="AI13" s="222">
        <v>0.69</v>
      </c>
      <c r="AJ13" s="222">
        <v>0.69</v>
      </c>
      <c r="AK13" s="222">
        <v>0.69</v>
      </c>
      <c r="AL13" s="222">
        <v>0.69</v>
      </c>
      <c r="AM13" s="222">
        <v>0.69</v>
      </c>
      <c r="AN13" s="222">
        <v>0.69</v>
      </c>
      <c r="AO13" s="222">
        <v>0.69</v>
      </c>
      <c r="AP13" s="222">
        <v>0.69</v>
      </c>
      <c r="AQ13" s="222">
        <v>0.69</v>
      </c>
      <c r="AR13" s="222">
        <v>0.69</v>
      </c>
      <c r="AS13" s="222">
        <v>0.69</v>
      </c>
      <c r="AT13" s="222">
        <v>0.69</v>
      </c>
      <c r="AU13" s="222">
        <v>0.69</v>
      </c>
      <c r="AV13" s="222">
        <v>0.69</v>
      </c>
      <c r="AW13" s="222">
        <v>0.69</v>
      </c>
      <c r="AX13" s="222">
        <v>0.69</v>
      </c>
      <c r="AY13" s="222">
        <v>0.69</v>
      </c>
      <c r="AZ13" s="222">
        <v>0.69</v>
      </c>
      <c r="BA13" s="207">
        <v>0.69</v>
      </c>
      <c r="BB13" s="207">
        <v>0.69</v>
      </c>
      <c r="BC13" s="207">
        <v>0.69</v>
      </c>
      <c r="BD13" s="207">
        <v>0.69</v>
      </c>
      <c r="BE13" s="207">
        <v>0.69</v>
      </c>
      <c r="BF13" s="207">
        <v>0.69</v>
      </c>
      <c r="BG13" s="207">
        <v>0.69</v>
      </c>
      <c r="BH13" s="207">
        <v>0.69</v>
      </c>
      <c r="BI13" s="207">
        <v>0.69</v>
      </c>
      <c r="BJ13" s="207">
        <v>0.69</v>
      </c>
      <c r="BK13" s="207">
        <v>0.69</v>
      </c>
      <c r="BL13" s="207">
        <v>0.69</v>
      </c>
      <c r="BM13" s="207">
        <v>0.69</v>
      </c>
      <c r="BN13" s="207">
        <v>0.69</v>
      </c>
      <c r="BO13" s="207">
        <v>0.69</v>
      </c>
      <c r="BP13" s="207">
        <v>0.69</v>
      </c>
      <c r="BQ13" s="207">
        <v>0.69</v>
      </c>
      <c r="BR13" s="207">
        <v>0.69</v>
      </c>
      <c r="BS13" s="207">
        <v>0.69</v>
      </c>
      <c r="BT13" s="207">
        <v>0.69</v>
      </c>
    </row>
    <row r="14" spans="1:72" ht="15" thickBot="1" x14ac:dyDescent="0.35">
      <c r="A14" s="173" t="s">
        <v>10</v>
      </c>
      <c r="B14" s="175" t="s">
        <v>372</v>
      </c>
      <c r="C14" s="175" t="s">
        <v>229</v>
      </c>
      <c r="D14" s="186" t="s">
        <v>374</v>
      </c>
      <c r="E14" s="160" t="s">
        <v>399</v>
      </c>
      <c r="F14" s="175" t="s">
        <v>7</v>
      </c>
      <c r="G14" s="175" t="s">
        <v>313</v>
      </c>
      <c r="H14" s="193" t="s">
        <v>75</v>
      </c>
      <c r="I14" s="197"/>
      <c r="J14" s="175"/>
      <c r="K14" s="207"/>
      <c r="L14" s="207">
        <v>2.64E-2</v>
      </c>
      <c r="M14" s="207">
        <v>2.64E-2</v>
      </c>
      <c r="N14" s="207">
        <v>2.64E-2</v>
      </c>
      <c r="O14" s="207">
        <v>2.64E-2</v>
      </c>
      <c r="P14" s="207">
        <v>2.64E-2</v>
      </c>
      <c r="Q14" s="207">
        <v>2.64E-2</v>
      </c>
      <c r="R14" s="207">
        <v>2.64E-2</v>
      </c>
      <c r="S14" s="207">
        <v>2.64E-2</v>
      </c>
      <c r="T14" s="207">
        <v>2.64E-2</v>
      </c>
      <c r="U14" s="207">
        <v>1.5100000000000001E-2</v>
      </c>
      <c r="V14" s="207">
        <v>5.1000000000000004E-3</v>
      </c>
      <c r="W14" s="207">
        <v>3.3999999999999998E-3</v>
      </c>
      <c r="X14" s="222">
        <v>0.65500000000000003</v>
      </c>
      <c r="Y14" s="222">
        <v>0.65500000000000003</v>
      </c>
      <c r="Z14" s="222">
        <v>0.65500000000000003</v>
      </c>
      <c r="AA14" s="222">
        <v>0.65500000000000003</v>
      </c>
      <c r="AB14" s="222">
        <v>0.65500000000000003</v>
      </c>
      <c r="AC14" s="222">
        <v>0.65500000000000003</v>
      </c>
      <c r="AD14" s="222">
        <v>0.65500000000000003</v>
      </c>
      <c r="AE14" s="222">
        <v>0.65500000000000003</v>
      </c>
      <c r="AF14" s="222">
        <v>0.65500000000000003</v>
      </c>
      <c r="AG14" s="222">
        <v>0.65500000000000003</v>
      </c>
      <c r="AH14" s="222">
        <v>0.65500000000000003</v>
      </c>
      <c r="AI14" s="222">
        <v>0.65500000000000003</v>
      </c>
      <c r="AJ14" s="222">
        <v>0.65500000000000003</v>
      </c>
      <c r="AK14" s="222">
        <v>0.65500000000000003</v>
      </c>
      <c r="AL14" s="222">
        <v>0.65500000000000003</v>
      </c>
      <c r="AM14" s="222">
        <v>0.65500000000000003</v>
      </c>
      <c r="AN14" s="222">
        <v>0.65500000000000003</v>
      </c>
      <c r="AO14" s="222">
        <v>0.65500000000000003</v>
      </c>
      <c r="AP14" s="222">
        <v>0.65500000000000003</v>
      </c>
      <c r="AQ14" s="222">
        <v>0.65500000000000003</v>
      </c>
      <c r="AR14" s="222">
        <v>0.65500000000000003</v>
      </c>
      <c r="AS14" s="222">
        <v>0.65500000000000003</v>
      </c>
      <c r="AT14" s="222">
        <v>0.65500000000000003</v>
      </c>
      <c r="AU14" s="222">
        <v>0.65500000000000003</v>
      </c>
      <c r="AV14" s="222">
        <v>0.65500000000000003</v>
      </c>
      <c r="AW14" s="222">
        <v>0.65500000000000003</v>
      </c>
      <c r="AX14" s="222">
        <v>0.65500000000000003</v>
      </c>
      <c r="AY14" s="222">
        <v>0.65500000000000003</v>
      </c>
      <c r="AZ14" s="222">
        <v>0.65500000000000003</v>
      </c>
      <c r="BA14" s="207">
        <v>0.65500000000000003</v>
      </c>
      <c r="BB14" s="207">
        <v>0.65500000000000003</v>
      </c>
      <c r="BC14" s="207">
        <v>0.65500000000000003</v>
      </c>
      <c r="BD14" s="207">
        <v>0.65500000000000003</v>
      </c>
      <c r="BE14" s="207">
        <v>0.65500000000000003</v>
      </c>
      <c r="BF14" s="207">
        <v>0.65500000000000003</v>
      </c>
      <c r="BG14" s="207">
        <v>0.65500000000000003</v>
      </c>
      <c r="BH14" s="207">
        <v>0.65500000000000003</v>
      </c>
      <c r="BI14" s="207">
        <v>0.65500000000000003</v>
      </c>
      <c r="BJ14" s="207">
        <v>0.65500000000000003</v>
      </c>
      <c r="BK14" s="207">
        <v>0.65500000000000003</v>
      </c>
      <c r="BL14" s="207">
        <v>0.65500000000000003</v>
      </c>
      <c r="BM14" s="207">
        <v>0.65500000000000003</v>
      </c>
      <c r="BN14" s="207">
        <v>0.65500000000000003</v>
      </c>
      <c r="BO14" s="207">
        <v>0.65500000000000003</v>
      </c>
      <c r="BP14" s="207">
        <v>0.65500000000000003</v>
      </c>
      <c r="BQ14" s="207">
        <v>0.65500000000000003</v>
      </c>
      <c r="BR14" s="207">
        <v>0.65500000000000003</v>
      </c>
      <c r="BS14" s="207">
        <v>0.65500000000000003</v>
      </c>
      <c r="BT14" s="207">
        <v>0.65500000000000003</v>
      </c>
    </row>
    <row r="15" spans="1:72" ht="15" thickBot="1" x14ac:dyDescent="0.35">
      <c r="A15" s="173" t="s">
        <v>10</v>
      </c>
      <c r="B15" s="175" t="s">
        <v>372</v>
      </c>
      <c r="C15" s="175" t="s">
        <v>403</v>
      </c>
      <c r="D15" s="186" t="s">
        <v>374</v>
      </c>
      <c r="E15" s="160" t="s">
        <v>399</v>
      </c>
      <c r="F15" s="175" t="s">
        <v>7</v>
      </c>
      <c r="G15" s="175" t="s">
        <v>313</v>
      </c>
      <c r="H15" s="193" t="s">
        <v>75</v>
      </c>
      <c r="I15" s="197"/>
      <c r="J15" s="175"/>
      <c r="K15" s="207"/>
      <c r="L15" s="207">
        <v>0.39250000000000002</v>
      </c>
      <c r="M15" s="207">
        <v>0.39250000000000002</v>
      </c>
      <c r="N15" s="207">
        <v>0.39250000000000002</v>
      </c>
      <c r="O15" s="207">
        <v>0.39250000000000002</v>
      </c>
      <c r="P15" s="207">
        <v>0.39250000000000002</v>
      </c>
      <c r="Q15" s="207">
        <v>0.39250000000000002</v>
      </c>
      <c r="R15" s="207">
        <v>0.39250000000000002</v>
      </c>
      <c r="S15" s="207">
        <v>0.39250000000000002</v>
      </c>
      <c r="T15" s="207">
        <v>0.39250000000000002</v>
      </c>
      <c r="U15" s="207">
        <v>0.35770000000000002</v>
      </c>
      <c r="V15" s="207">
        <v>0.29880000000000001</v>
      </c>
      <c r="W15" s="207">
        <v>0.2525</v>
      </c>
      <c r="X15" s="222">
        <v>0.56000000000000005</v>
      </c>
      <c r="Y15" s="222">
        <v>0.56000000000000005</v>
      </c>
      <c r="Z15" s="222">
        <v>0.56000000000000005</v>
      </c>
      <c r="AA15" s="222">
        <v>0.56000000000000005</v>
      </c>
      <c r="AB15" s="222">
        <v>0.56000000000000005</v>
      </c>
      <c r="AC15" s="222">
        <v>0.56000000000000005</v>
      </c>
      <c r="AD15" s="222">
        <v>0.56000000000000005</v>
      </c>
      <c r="AE15" s="222">
        <v>0.56000000000000005</v>
      </c>
      <c r="AF15" s="222">
        <v>0.56000000000000005</v>
      </c>
      <c r="AG15" s="222">
        <v>0.56000000000000005</v>
      </c>
      <c r="AH15" s="222">
        <v>0.56000000000000005</v>
      </c>
      <c r="AI15" s="222">
        <v>0.56000000000000005</v>
      </c>
      <c r="AJ15" s="222">
        <v>0.56000000000000005</v>
      </c>
      <c r="AK15" s="222">
        <v>0.56000000000000005</v>
      </c>
      <c r="AL15" s="222">
        <v>0.56000000000000005</v>
      </c>
      <c r="AM15" s="222">
        <v>0.56000000000000005</v>
      </c>
      <c r="AN15" s="222">
        <v>0.56000000000000005</v>
      </c>
      <c r="AO15" s="222">
        <v>0.56000000000000005</v>
      </c>
      <c r="AP15" s="222">
        <v>0.56000000000000005</v>
      </c>
      <c r="AQ15" s="222">
        <v>0.56000000000000005</v>
      </c>
      <c r="AR15" s="222">
        <v>0.56000000000000005</v>
      </c>
      <c r="AS15" s="222">
        <v>0.56000000000000005</v>
      </c>
      <c r="AT15" s="222">
        <v>0.56000000000000005</v>
      </c>
      <c r="AU15" s="222">
        <v>0.56000000000000005</v>
      </c>
      <c r="AV15" s="222">
        <v>0.56000000000000005</v>
      </c>
      <c r="AW15" s="222">
        <v>0.56000000000000005</v>
      </c>
      <c r="AX15" s="222">
        <v>0.56000000000000005</v>
      </c>
      <c r="AY15" s="222">
        <v>0.56000000000000005</v>
      </c>
      <c r="AZ15" s="222">
        <v>0.56000000000000005</v>
      </c>
      <c r="BA15" s="207">
        <v>0.56000000000000005</v>
      </c>
      <c r="BB15" s="207">
        <v>0.56000000000000005</v>
      </c>
      <c r="BC15" s="207">
        <v>0.56000000000000005</v>
      </c>
      <c r="BD15" s="207">
        <v>0.56000000000000005</v>
      </c>
      <c r="BE15" s="207">
        <v>0.56000000000000005</v>
      </c>
      <c r="BF15" s="207">
        <v>0.56000000000000005</v>
      </c>
      <c r="BG15" s="207">
        <v>0.56000000000000005</v>
      </c>
      <c r="BH15" s="207">
        <v>0.56000000000000005</v>
      </c>
      <c r="BI15" s="207">
        <v>0.56000000000000005</v>
      </c>
      <c r="BJ15" s="207">
        <v>0.56000000000000005</v>
      </c>
      <c r="BK15" s="207">
        <v>0.56000000000000005</v>
      </c>
      <c r="BL15" s="207">
        <v>0.56000000000000005</v>
      </c>
      <c r="BM15" s="207">
        <v>0.56000000000000005</v>
      </c>
      <c r="BN15" s="207">
        <v>0.56000000000000005</v>
      </c>
      <c r="BO15" s="207">
        <v>0.56000000000000005</v>
      </c>
      <c r="BP15" s="207">
        <v>0.56000000000000005</v>
      </c>
      <c r="BQ15" s="207">
        <v>0.56000000000000005</v>
      </c>
      <c r="BR15" s="207">
        <v>0.56000000000000005</v>
      </c>
      <c r="BS15" s="207">
        <v>0.56000000000000005</v>
      </c>
      <c r="BT15" s="207">
        <v>0.56000000000000005</v>
      </c>
    </row>
    <row r="16" spans="1:72" ht="15" thickBot="1" x14ac:dyDescent="0.35">
      <c r="A16" s="173" t="s">
        <v>10</v>
      </c>
      <c r="B16" s="175" t="s">
        <v>372</v>
      </c>
      <c r="C16" s="175" t="s">
        <v>404</v>
      </c>
      <c r="D16" s="186" t="s">
        <v>374</v>
      </c>
      <c r="E16" s="160" t="s">
        <v>399</v>
      </c>
      <c r="F16" s="175" t="s">
        <v>7</v>
      </c>
      <c r="G16" s="175" t="s">
        <v>313</v>
      </c>
      <c r="H16" s="193" t="s">
        <v>75</v>
      </c>
      <c r="I16" s="197"/>
      <c r="J16" s="175"/>
      <c r="K16" s="207"/>
      <c r="L16" s="207">
        <v>0.27260000000000001</v>
      </c>
      <c r="M16" s="207">
        <v>0.27260000000000001</v>
      </c>
      <c r="N16" s="207">
        <v>0.27260000000000001</v>
      </c>
      <c r="O16" s="207">
        <v>0.27260000000000001</v>
      </c>
      <c r="P16" s="207">
        <v>0.27260000000000001</v>
      </c>
      <c r="Q16" s="207">
        <v>0.27260000000000001</v>
      </c>
      <c r="R16" s="207">
        <v>0.27260000000000001</v>
      </c>
      <c r="S16" s="207">
        <v>0.27260000000000001</v>
      </c>
      <c r="T16" s="207">
        <v>0.27260000000000001</v>
      </c>
      <c r="U16" s="207">
        <v>0.1845</v>
      </c>
      <c r="V16" s="207">
        <v>0.15049999999999999</v>
      </c>
      <c r="W16" s="207">
        <v>0.15049999999999999</v>
      </c>
      <c r="X16" s="222">
        <v>0.5</v>
      </c>
      <c r="Y16" s="222">
        <v>0.5</v>
      </c>
      <c r="Z16" s="222">
        <v>0.5</v>
      </c>
      <c r="AA16" s="222">
        <v>0.5</v>
      </c>
      <c r="AB16" s="222">
        <v>0.5</v>
      </c>
      <c r="AC16" s="222">
        <v>0.5</v>
      </c>
      <c r="AD16" s="222">
        <v>0.5</v>
      </c>
      <c r="AE16" s="222">
        <v>0.5</v>
      </c>
      <c r="AF16" s="222">
        <v>0.5</v>
      </c>
      <c r="AG16" s="222">
        <v>0.5</v>
      </c>
      <c r="AH16" s="222">
        <v>0.5</v>
      </c>
      <c r="AI16" s="222">
        <v>0.5</v>
      </c>
      <c r="AJ16" s="222">
        <v>0.5</v>
      </c>
      <c r="AK16" s="222">
        <v>0.5</v>
      </c>
      <c r="AL16" s="222">
        <v>0.5</v>
      </c>
      <c r="AM16" s="222">
        <v>0.5</v>
      </c>
      <c r="AN16" s="222">
        <v>0.5</v>
      </c>
      <c r="AO16" s="222">
        <v>0.5</v>
      </c>
      <c r="AP16" s="222">
        <v>0.5</v>
      </c>
      <c r="AQ16" s="222">
        <v>0.5</v>
      </c>
      <c r="AR16" s="222">
        <v>0.5</v>
      </c>
      <c r="AS16" s="222">
        <v>0.5</v>
      </c>
      <c r="AT16" s="222">
        <v>0.5</v>
      </c>
      <c r="AU16" s="222">
        <v>0.5</v>
      </c>
      <c r="AV16" s="222">
        <v>0.5</v>
      </c>
      <c r="AW16" s="222">
        <v>0.5</v>
      </c>
      <c r="AX16" s="222">
        <v>0.5</v>
      </c>
      <c r="AY16" s="222">
        <v>0.5</v>
      </c>
      <c r="AZ16" s="222">
        <v>0.5</v>
      </c>
      <c r="BA16" s="207">
        <v>0.5</v>
      </c>
      <c r="BB16" s="207">
        <v>0.5</v>
      </c>
      <c r="BC16" s="207">
        <v>0.5</v>
      </c>
      <c r="BD16" s="207">
        <v>0.5</v>
      </c>
      <c r="BE16" s="207">
        <v>0.5</v>
      </c>
      <c r="BF16" s="207">
        <v>0.5</v>
      </c>
      <c r="BG16" s="207">
        <v>0.5</v>
      </c>
      <c r="BH16" s="207">
        <v>0.5</v>
      </c>
      <c r="BI16" s="207">
        <v>0.5</v>
      </c>
      <c r="BJ16" s="207">
        <v>0.5</v>
      </c>
      <c r="BK16" s="207">
        <v>0.5</v>
      </c>
      <c r="BL16" s="207">
        <v>0.5</v>
      </c>
      <c r="BM16" s="207">
        <v>0.5</v>
      </c>
      <c r="BN16" s="207">
        <v>0.5</v>
      </c>
      <c r="BO16" s="207">
        <v>0.5</v>
      </c>
      <c r="BP16" s="207">
        <v>0.5</v>
      </c>
      <c r="BQ16" s="207">
        <v>0.5</v>
      </c>
      <c r="BR16" s="207">
        <v>0.5</v>
      </c>
      <c r="BS16" s="207">
        <v>0.5</v>
      </c>
      <c r="BT16" s="207">
        <v>0.5</v>
      </c>
    </row>
    <row r="17" spans="1:73" ht="15" thickBot="1" x14ac:dyDescent="0.35">
      <c r="A17" s="173" t="s">
        <v>10</v>
      </c>
      <c r="B17" s="175" t="s">
        <v>372</v>
      </c>
      <c r="C17" s="175" t="s">
        <v>405</v>
      </c>
      <c r="D17" s="186" t="s">
        <v>374</v>
      </c>
      <c r="E17" s="160" t="s">
        <v>399</v>
      </c>
      <c r="F17" s="175" t="s">
        <v>7</v>
      </c>
      <c r="G17" s="175" t="s">
        <v>313</v>
      </c>
      <c r="H17" s="193" t="s">
        <v>75</v>
      </c>
      <c r="I17" s="197"/>
      <c r="J17" s="175"/>
      <c r="K17" s="207"/>
      <c r="L17" s="207">
        <v>0.57999999999999996</v>
      </c>
      <c r="M17" s="207">
        <v>0.57999999999999996</v>
      </c>
      <c r="N17" s="207">
        <v>0.57999999999999996</v>
      </c>
      <c r="O17" s="207">
        <v>0.57999999999999996</v>
      </c>
      <c r="P17" s="207">
        <v>0.57999999999999996</v>
      </c>
      <c r="Q17" s="207">
        <v>0.57999999999999996</v>
      </c>
      <c r="R17" s="207">
        <v>0.57999999999999996</v>
      </c>
      <c r="S17" s="207">
        <v>0.57999999999999996</v>
      </c>
      <c r="T17" s="207">
        <v>0.57999999999999996</v>
      </c>
      <c r="U17" s="207">
        <v>0.57999999999999996</v>
      </c>
      <c r="V17" s="207">
        <v>0.57999999999999996</v>
      </c>
      <c r="W17" s="207">
        <v>0.57999999999999996</v>
      </c>
      <c r="X17" s="222">
        <v>0.57999999999999996</v>
      </c>
      <c r="Y17" s="222">
        <v>0.57999999999999996</v>
      </c>
      <c r="Z17" s="222">
        <v>0.57999999999999996</v>
      </c>
      <c r="AA17" s="222">
        <v>0.57999999999999996</v>
      </c>
      <c r="AB17" s="222">
        <v>0.57999999999999996</v>
      </c>
      <c r="AC17" s="222">
        <v>0.57999999999999996</v>
      </c>
      <c r="AD17" s="222">
        <v>0.57999999999999996</v>
      </c>
      <c r="AE17" s="222">
        <v>0.57999999999999996</v>
      </c>
      <c r="AF17" s="222">
        <v>0.57999999999999996</v>
      </c>
      <c r="AG17" s="222">
        <v>0.57999999999999996</v>
      </c>
      <c r="AH17" s="222">
        <v>0.57999999999999996</v>
      </c>
      <c r="AI17" s="222">
        <v>0.57999999999999996</v>
      </c>
      <c r="AJ17" s="222">
        <v>0.57999999999999996</v>
      </c>
      <c r="AK17" s="222">
        <v>0.57999999999999996</v>
      </c>
      <c r="AL17" s="222">
        <v>0.57999999999999996</v>
      </c>
      <c r="AM17" s="222">
        <v>0.57999999999999996</v>
      </c>
      <c r="AN17" s="222">
        <v>0.57999999999999996</v>
      </c>
      <c r="AO17" s="222">
        <v>0.57999999999999996</v>
      </c>
      <c r="AP17" s="222">
        <v>0.57999999999999996</v>
      </c>
      <c r="AQ17" s="222">
        <v>0.57999999999999996</v>
      </c>
      <c r="AR17" s="222">
        <v>0.57999999999999996</v>
      </c>
      <c r="AS17" s="222">
        <v>0.57999999999999996</v>
      </c>
      <c r="AT17" s="222">
        <v>0.57999999999999996</v>
      </c>
      <c r="AU17" s="222">
        <v>0.57999999999999996</v>
      </c>
      <c r="AV17" s="222">
        <v>0.57999999999999996</v>
      </c>
      <c r="AW17" s="222">
        <v>0.57999999999999996</v>
      </c>
      <c r="AX17" s="222">
        <v>0.57999999999999996</v>
      </c>
      <c r="AY17" s="222">
        <v>0.57999999999999996</v>
      </c>
      <c r="AZ17" s="222">
        <v>0.57999999999999996</v>
      </c>
      <c r="BA17" s="207">
        <v>0.57999999999999996</v>
      </c>
      <c r="BB17" s="207">
        <v>0.57999999999999996</v>
      </c>
      <c r="BC17" s="207">
        <v>0.57999999999999996</v>
      </c>
      <c r="BD17" s="207">
        <v>0.57999999999999996</v>
      </c>
      <c r="BE17" s="207">
        <v>0.57999999999999996</v>
      </c>
      <c r="BF17" s="207">
        <v>0.57999999999999996</v>
      </c>
      <c r="BG17" s="207">
        <v>0.57999999999999996</v>
      </c>
      <c r="BH17" s="207">
        <v>0.57999999999999996</v>
      </c>
      <c r="BI17" s="207">
        <v>0.57999999999999996</v>
      </c>
      <c r="BJ17" s="207">
        <v>0.57999999999999996</v>
      </c>
      <c r="BK17" s="207">
        <v>0.57999999999999996</v>
      </c>
      <c r="BL17" s="207">
        <v>0.57999999999999996</v>
      </c>
      <c r="BM17" s="207">
        <v>0.57999999999999996</v>
      </c>
      <c r="BN17" s="207">
        <v>0.57999999999999996</v>
      </c>
      <c r="BO17" s="207">
        <v>0.57999999999999996</v>
      </c>
      <c r="BP17" s="207">
        <v>0.57999999999999996</v>
      </c>
      <c r="BQ17" s="207">
        <v>0.57999999999999996</v>
      </c>
      <c r="BR17" s="207">
        <v>0.57999999999999996</v>
      </c>
      <c r="BS17" s="207">
        <v>0.57999999999999996</v>
      </c>
      <c r="BT17" s="207">
        <v>0.57999999999999996</v>
      </c>
    </row>
    <row r="18" spans="1:73" ht="43.8" thickBot="1" x14ac:dyDescent="0.35">
      <c r="A18" s="14" t="s">
        <v>274</v>
      </c>
      <c r="B18" s="15" t="s">
        <v>372</v>
      </c>
      <c r="C18" s="15" t="s">
        <v>377</v>
      </c>
      <c r="D18" s="133" t="s">
        <v>374</v>
      </c>
      <c r="E18" s="134" t="s">
        <v>375</v>
      </c>
      <c r="F18" s="15" t="s">
        <v>7</v>
      </c>
      <c r="G18" s="15" t="s">
        <v>313</v>
      </c>
      <c r="H18" s="135" t="s">
        <v>376</v>
      </c>
      <c r="I18" s="136"/>
      <c r="J18" s="137"/>
      <c r="K18" s="138"/>
      <c r="L18" s="140">
        <v>1</v>
      </c>
      <c r="M18" s="140">
        <v>1</v>
      </c>
      <c r="N18" s="140">
        <v>1</v>
      </c>
      <c r="O18" s="140">
        <v>1</v>
      </c>
      <c r="P18" s="140">
        <v>1</v>
      </c>
      <c r="Q18" s="140">
        <v>1</v>
      </c>
      <c r="R18" s="140">
        <v>1</v>
      </c>
      <c r="S18" s="140">
        <v>1</v>
      </c>
      <c r="T18" s="140">
        <v>1</v>
      </c>
      <c r="U18" s="140">
        <v>1</v>
      </c>
      <c r="V18" s="140">
        <v>1</v>
      </c>
      <c r="W18" s="140">
        <v>1</v>
      </c>
      <c r="X18" s="140">
        <v>1</v>
      </c>
      <c r="Y18" s="140">
        <v>1</v>
      </c>
      <c r="Z18" s="140">
        <v>1</v>
      </c>
      <c r="AA18" s="140">
        <v>1</v>
      </c>
      <c r="AB18" s="140">
        <v>1</v>
      </c>
      <c r="AC18" s="140">
        <v>1</v>
      </c>
      <c r="AD18" s="140">
        <v>1</v>
      </c>
      <c r="AE18" s="140">
        <v>1</v>
      </c>
      <c r="AF18" s="140">
        <v>1</v>
      </c>
      <c r="AG18" s="140">
        <v>1</v>
      </c>
      <c r="AH18" s="140">
        <v>1</v>
      </c>
      <c r="AI18" s="140">
        <v>1</v>
      </c>
      <c r="AJ18" s="140">
        <v>1</v>
      </c>
      <c r="AK18" s="140">
        <v>1</v>
      </c>
      <c r="AL18" s="140">
        <v>1</v>
      </c>
      <c r="AM18" s="140">
        <v>1</v>
      </c>
      <c r="AN18" s="140">
        <v>1</v>
      </c>
      <c r="AO18" s="140">
        <v>1</v>
      </c>
      <c r="AP18" s="140">
        <v>1</v>
      </c>
      <c r="AQ18" s="140">
        <v>1</v>
      </c>
      <c r="AR18" s="140">
        <v>1</v>
      </c>
      <c r="AS18" s="140">
        <v>1</v>
      </c>
      <c r="AT18" s="140">
        <v>1</v>
      </c>
      <c r="AU18" s="140">
        <v>1</v>
      </c>
      <c r="AV18" s="140">
        <v>1</v>
      </c>
      <c r="AW18" s="140">
        <v>1</v>
      </c>
      <c r="AX18" s="140">
        <v>1</v>
      </c>
      <c r="AY18" s="140">
        <v>1</v>
      </c>
      <c r="AZ18" s="140">
        <v>1</v>
      </c>
      <c r="BA18" s="140">
        <v>1</v>
      </c>
      <c r="BB18" s="140">
        <v>1</v>
      </c>
      <c r="BC18" s="140">
        <v>1</v>
      </c>
      <c r="BD18" s="140">
        <v>1</v>
      </c>
      <c r="BE18" s="140">
        <v>1</v>
      </c>
      <c r="BF18" s="140">
        <v>1</v>
      </c>
      <c r="BG18" s="140">
        <v>1</v>
      </c>
      <c r="BH18" s="140">
        <v>1</v>
      </c>
      <c r="BI18" s="140">
        <v>1</v>
      </c>
      <c r="BJ18" s="140">
        <v>1</v>
      </c>
      <c r="BK18" s="140">
        <v>1</v>
      </c>
      <c r="BL18" s="140">
        <v>1</v>
      </c>
      <c r="BM18" s="140">
        <v>1</v>
      </c>
      <c r="BN18" s="140">
        <v>1</v>
      </c>
      <c r="BO18" s="140">
        <v>1</v>
      </c>
      <c r="BP18" s="140">
        <v>1</v>
      </c>
      <c r="BQ18" s="140">
        <v>1</v>
      </c>
      <c r="BR18" s="140">
        <v>1</v>
      </c>
      <c r="BS18" s="140">
        <v>1</v>
      </c>
      <c r="BT18" s="140">
        <v>1</v>
      </c>
    </row>
    <row r="19" spans="1:73" ht="43.8" thickBot="1" x14ac:dyDescent="0.35">
      <c r="A19" s="166" t="s">
        <v>428</v>
      </c>
      <c r="B19" s="15" t="s">
        <v>372</v>
      </c>
      <c r="C19" s="15" t="s">
        <v>231</v>
      </c>
      <c r="D19" s="133" t="s">
        <v>374</v>
      </c>
      <c r="E19" s="134" t="s">
        <v>375</v>
      </c>
      <c r="F19" s="15" t="s">
        <v>7</v>
      </c>
      <c r="G19" s="15" t="s">
        <v>313</v>
      </c>
      <c r="H19" s="135" t="s">
        <v>75</v>
      </c>
      <c r="I19" s="136"/>
      <c r="J19" s="137"/>
      <c r="K19" s="138"/>
      <c r="L19" s="140">
        <v>0.27239999999999998</v>
      </c>
      <c r="M19" s="140">
        <v>0.27239999999999998</v>
      </c>
      <c r="N19" s="140">
        <v>0.27239999999999998</v>
      </c>
      <c r="O19" s="140">
        <v>0.27239999999999998</v>
      </c>
      <c r="P19" s="140">
        <v>0.27239999999999998</v>
      </c>
      <c r="Q19" s="140">
        <v>0.27239999999999998</v>
      </c>
      <c r="R19" s="140">
        <v>0.27239999999999998</v>
      </c>
      <c r="S19" s="140">
        <v>0.27239999999999998</v>
      </c>
      <c r="T19" s="140">
        <v>0.27239999999999998</v>
      </c>
      <c r="U19" s="140">
        <v>0.18429999999999999</v>
      </c>
      <c r="V19" s="140">
        <v>0.15049999999999999</v>
      </c>
      <c r="W19" s="140">
        <v>0.11890000000000001</v>
      </c>
      <c r="X19" s="140">
        <v>0.27</v>
      </c>
      <c r="Y19" s="140">
        <v>0.27</v>
      </c>
      <c r="Z19" s="140">
        <v>0.27</v>
      </c>
      <c r="AA19" s="140">
        <v>0.27</v>
      </c>
      <c r="AB19" s="140">
        <v>0.27</v>
      </c>
      <c r="AC19" s="140">
        <v>0.27</v>
      </c>
      <c r="AD19" s="140">
        <v>0.3</v>
      </c>
      <c r="AE19" s="140">
        <v>0.3</v>
      </c>
      <c r="AF19" s="140">
        <v>0.3</v>
      </c>
      <c r="AG19" s="140">
        <v>0.3</v>
      </c>
      <c r="AH19" s="140">
        <v>0.3</v>
      </c>
      <c r="AI19" s="140">
        <v>0.3</v>
      </c>
      <c r="AJ19" s="140">
        <v>0.3</v>
      </c>
      <c r="AK19" s="140">
        <v>0.3</v>
      </c>
      <c r="AL19" s="140">
        <v>0.3</v>
      </c>
      <c r="AM19" s="140">
        <v>0.3</v>
      </c>
      <c r="AN19" s="140">
        <v>0.3</v>
      </c>
      <c r="AO19" s="140">
        <v>0.3</v>
      </c>
      <c r="AP19" s="140">
        <v>0.3</v>
      </c>
      <c r="AQ19" s="140">
        <v>0.3</v>
      </c>
      <c r="AR19" s="140">
        <v>0.3</v>
      </c>
      <c r="AS19" s="140">
        <v>0.3</v>
      </c>
      <c r="AT19" s="140">
        <v>0.3</v>
      </c>
      <c r="AU19" s="140">
        <v>0.3</v>
      </c>
      <c r="AV19" s="140">
        <v>0.3</v>
      </c>
      <c r="AW19" s="140">
        <v>0.3</v>
      </c>
      <c r="AX19" s="140">
        <v>0.3</v>
      </c>
      <c r="AY19" s="140">
        <v>0.3</v>
      </c>
      <c r="AZ19" s="140">
        <v>0.3</v>
      </c>
      <c r="BA19" s="140">
        <v>0.3</v>
      </c>
      <c r="BB19" s="140">
        <v>0.3</v>
      </c>
      <c r="BC19" s="140">
        <v>0.3</v>
      </c>
      <c r="BD19" s="140">
        <v>0.3</v>
      </c>
      <c r="BE19" s="140">
        <v>0.3</v>
      </c>
      <c r="BF19" s="140">
        <v>0.3</v>
      </c>
      <c r="BG19" s="140">
        <v>0.3</v>
      </c>
      <c r="BH19" s="140">
        <v>0.3</v>
      </c>
      <c r="BI19" s="140">
        <v>0.3</v>
      </c>
      <c r="BJ19" s="140">
        <v>0.3</v>
      </c>
      <c r="BK19" s="140">
        <v>0.3</v>
      </c>
      <c r="BL19" s="140">
        <v>0.3</v>
      </c>
      <c r="BM19" s="140">
        <v>0.3</v>
      </c>
      <c r="BN19" s="140">
        <v>0.3</v>
      </c>
      <c r="BO19" s="140">
        <v>0.3</v>
      </c>
      <c r="BP19" s="140">
        <v>0.3</v>
      </c>
      <c r="BQ19" s="140">
        <v>0.3</v>
      </c>
      <c r="BR19" s="140">
        <v>0.3</v>
      </c>
      <c r="BS19" s="140">
        <v>0.3</v>
      </c>
      <c r="BT19" s="140">
        <v>0.3</v>
      </c>
    </row>
    <row r="20" spans="1:73" ht="43.8" thickBot="1" x14ac:dyDescent="0.35">
      <c r="A20" s="166" t="s">
        <v>428</v>
      </c>
      <c r="B20" s="117" t="s">
        <v>372</v>
      </c>
      <c r="C20" s="117" t="s">
        <v>227</v>
      </c>
      <c r="D20" s="117" t="s">
        <v>374</v>
      </c>
      <c r="E20" s="188" t="s">
        <v>375</v>
      </c>
      <c r="F20" s="117" t="s">
        <v>7</v>
      </c>
      <c r="G20" s="117" t="s">
        <v>313</v>
      </c>
      <c r="H20" s="192" t="s">
        <v>75</v>
      </c>
      <c r="I20" s="196"/>
      <c r="J20" s="202"/>
      <c r="K20" s="206"/>
      <c r="L20" s="117">
        <v>8.5599999999999996E-2</v>
      </c>
      <c r="M20" s="117">
        <v>8.5599999999999996E-2</v>
      </c>
      <c r="N20" s="117">
        <v>8.5599999999999996E-2</v>
      </c>
      <c r="O20" s="117">
        <v>8.5599999999999996E-2</v>
      </c>
      <c r="P20" s="117">
        <v>8.5599999999999996E-2</v>
      </c>
      <c r="Q20" s="117">
        <v>8.5599999999999996E-2</v>
      </c>
      <c r="R20" s="117">
        <v>8.5599999999999996E-2</v>
      </c>
      <c r="S20" s="117">
        <v>8.5599999999999996E-2</v>
      </c>
      <c r="T20" s="117">
        <v>8.5599999999999996E-2</v>
      </c>
      <c r="U20" s="117">
        <v>1.0800000000000001E-2</v>
      </c>
      <c r="V20" s="117">
        <v>3.6700000000000003E-2</v>
      </c>
      <c r="W20" s="117">
        <v>1.7500000000000002E-2</v>
      </c>
      <c r="X20" s="117">
        <v>0.09</v>
      </c>
      <c r="Y20" s="117">
        <v>0.09</v>
      </c>
      <c r="Z20" s="117">
        <v>0.09</v>
      </c>
      <c r="AA20" s="117">
        <v>0.09</v>
      </c>
      <c r="AB20" s="117">
        <v>0.09</v>
      </c>
      <c r="AC20" s="117">
        <v>0.09</v>
      </c>
      <c r="AD20" s="117">
        <v>0.1</v>
      </c>
      <c r="AE20" s="117">
        <v>0.1</v>
      </c>
      <c r="AF20" s="117">
        <v>0.1</v>
      </c>
      <c r="AG20" s="117">
        <v>0.1</v>
      </c>
      <c r="AH20" s="117">
        <v>0.1</v>
      </c>
      <c r="AI20" s="117">
        <v>0.1</v>
      </c>
      <c r="AJ20" s="117">
        <v>0.1</v>
      </c>
      <c r="AK20" s="117">
        <v>0.1</v>
      </c>
      <c r="AL20" s="117">
        <v>0.1</v>
      </c>
      <c r="AM20" s="117">
        <v>0.1</v>
      </c>
      <c r="AN20" s="117">
        <v>0.1</v>
      </c>
      <c r="AO20" s="117">
        <v>0.1</v>
      </c>
      <c r="AP20" s="117">
        <v>0.1</v>
      </c>
      <c r="AQ20" s="117">
        <v>0.1</v>
      </c>
      <c r="AR20" s="117">
        <v>0.1</v>
      </c>
      <c r="AS20" s="117">
        <v>0.1</v>
      </c>
      <c r="AT20" s="117">
        <v>0.1</v>
      </c>
      <c r="AU20" s="117">
        <v>0.1</v>
      </c>
      <c r="AV20" s="117">
        <v>0.1</v>
      </c>
      <c r="AW20" s="117">
        <v>0.1</v>
      </c>
      <c r="AX20" s="117">
        <v>0.1</v>
      </c>
      <c r="AY20" s="117">
        <v>0.1</v>
      </c>
      <c r="AZ20" s="117">
        <v>0.1</v>
      </c>
      <c r="BA20" s="117">
        <v>0.1</v>
      </c>
      <c r="BB20" s="117">
        <v>0.1</v>
      </c>
      <c r="BC20" s="117">
        <v>0.1</v>
      </c>
      <c r="BD20" s="117">
        <v>0.1</v>
      </c>
      <c r="BE20" s="117">
        <v>0.1</v>
      </c>
      <c r="BF20" s="117">
        <v>0.1</v>
      </c>
      <c r="BG20" s="117">
        <v>0.1</v>
      </c>
      <c r="BH20" s="117">
        <v>0.1</v>
      </c>
      <c r="BI20" s="117">
        <v>0.1</v>
      </c>
      <c r="BJ20" s="117">
        <v>0.1</v>
      </c>
      <c r="BK20" s="117">
        <v>0.1</v>
      </c>
      <c r="BL20" s="117">
        <v>0.1</v>
      </c>
      <c r="BM20" s="117">
        <v>0.1</v>
      </c>
      <c r="BN20" s="117">
        <v>0.1</v>
      </c>
      <c r="BO20" s="117">
        <v>0.1</v>
      </c>
      <c r="BP20" s="117">
        <v>0.1</v>
      </c>
      <c r="BQ20" s="117">
        <v>0.1</v>
      </c>
      <c r="BR20" s="117">
        <v>0.1</v>
      </c>
      <c r="BS20" s="117">
        <v>0.1</v>
      </c>
      <c r="BT20" s="117">
        <v>0.1</v>
      </c>
    </row>
    <row r="21" spans="1:73" ht="43.8" thickBot="1" x14ac:dyDescent="0.35">
      <c r="A21" s="166" t="s">
        <v>428</v>
      </c>
      <c r="B21" s="117" t="s">
        <v>372</v>
      </c>
      <c r="C21" s="139" t="s">
        <v>229</v>
      </c>
      <c r="D21" s="117" t="s">
        <v>374</v>
      </c>
      <c r="E21" s="188" t="s">
        <v>375</v>
      </c>
      <c r="F21" s="117" t="s">
        <v>7</v>
      </c>
      <c r="G21" s="117" t="s">
        <v>313</v>
      </c>
      <c r="H21" s="192" t="s">
        <v>75</v>
      </c>
      <c r="I21" s="196"/>
      <c r="J21" s="202"/>
      <c r="K21" s="206"/>
      <c r="L21" s="117">
        <v>2.64E-2</v>
      </c>
      <c r="M21" s="117">
        <v>2.64E-2</v>
      </c>
      <c r="N21" s="117">
        <v>2.64E-2</v>
      </c>
      <c r="O21" s="117">
        <v>2.64E-2</v>
      </c>
      <c r="P21" s="117">
        <v>2.64E-2</v>
      </c>
      <c r="Q21" s="117">
        <v>2.64E-2</v>
      </c>
      <c r="R21" s="117">
        <v>2.64E-2</v>
      </c>
      <c r="S21" s="117">
        <v>2.64E-2</v>
      </c>
      <c r="T21" s="117">
        <v>2.64E-2</v>
      </c>
      <c r="U21" s="117">
        <v>1.5100000000000001E-2</v>
      </c>
      <c r="V21" s="117">
        <v>5.1000000000000004E-3</v>
      </c>
      <c r="W21" s="117">
        <v>3.3999999999999998E-3</v>
      </c>
      <c r="X21" s="117">
        <v>0.03</v>
      </c>
      <c r="Y21" s="117">
        <v>0.03</v>
      </c>
      <c r="Z21" s="117">
        <v>0.03</v>
      </c>
      <c r="AA21" s="117">
        <v>0.03</v>
      </c>
      <c r="AB21" s="117">
        <v>0.03</v>
      </c>
      <c r="AC21" s="117">
        <v>0.03</v>
      </c>
      <c r="AD21" s="117">
        <v>0.1</v>
      </c>
      <c r="AE21" s="117">
        <v>0.1</v>
      </c>
      <c r="AF21" s="117">
        <v>0.1</v>
      </c>
      <c r="AG21" s="117">
        <v>0.1</v>
      </c>
      <c r="AH21" s="117">
        <v>0.1</v>
      </c>
      <c r="AI21" s="117">
        <v>0.1</v>
      </c>
      <c r="AJ21" s="117">
        <v>0.1</v>
      </c>
      <c r="AK21" s="117">
        <v>0.1</v>
      </c>
      <c r="AL21" s="117">
        <v>0.1</v>
      </c>
      <c r="AM21" s="117">
        <v>0.1</v>
      </c>
      <c r="AN21" s="117">
        <v>0.1</v>
      </c>
      <c r="AO21" s="117">
        <v>0.1</v>
      </c>
      <c r="AP21" s="117">
        <v>0.1</v>
      </c>
      <c r="AQ21" s="117">
        <v>0.1</v>
      </c>
      <c r="AR21" s="117">
        <v>0.1</v>
      </c>
      <c r="AS21" s="117">
        <v>0.1</v>
      </c>
      <c r="AT21" s="117">
        <v>0.1</v>
      </c>
      <c r="AU21" s="117">
        <v>0.1</v>
      </c>
      <c r="AV21" s="117">
        <v>0.1</v>
      </c>
      <c r="AW21" s="117">
        <v>0.1</v>
      </c>
      <c r="AX21" s="117">
        <v>0.1</v>
      </c>
      <c r="AY21" s="117">
        <v>0.1</v>
      </c>
      <c r="AZ21" s="117">
        <v>0.1</v>
      </c>
      <c r="BA21" s="117">
        <v>0.1</v>
      </c>
      <c r="BB21" s="117">
        <v>0.1</v>
      </c>
      <c r="BC21" s="117">
        <v>0.1</v>
      </c>
      <c r="BD21" s="117">
        <v>0.1</v>
      </c>
      <c r="BE21" s="117">
        <v>0.1</v>
      </c>
      <c r="BF21" s="117">
        <v>0.1</v>
      </c>
      <c r="BG21" s="117">
        <v>0.1</v>
      </c>
      <c r="BH21" s="117">
        <v>0.1</v>
      </c>
      <c r="BI21" s="117">
        <v>0.1</v>
      </c>
      <c r="BJ21" s="117">
        <v>0.1</v>
      </c>
      <c r="BK21" s="117">
        <v>0.1</v>
      </c>
      <c r="BL21" s="117">
        <v>0.1</v>
      </c>
      <c r="BM21" s="117">
        <v>0.1</v>
      </c>
      <c r="BN21" s="117">
        <v>0.1</v>
      </c>
      <c r="BO21" s="117">
        <v>0.1</v>
      </c>
      <c r="BP21" s="117">
        <v>0.1</v>
      </c>
      <c r="BQ21" s="117">
        <v>0.1</v>
      </c>
      <c r="BR21" s="117">
        <v>0.1</v>
      </c>
      <c r="BS21" s="117">
        <v>0.1</v>
      </c>
      <c r="BT21" s="117">
        <v>0.1</v>
      </c>
    </row>
    <row r="22" spans="1:73" ht="15" thickBot="1" x14ac:dyDescent="0.35">
      <c r="A22" s="166" t="s">
        <v>428</v>
      </c>
      <c r="B22" s="177" t="s">
        <v>372</v>
      </c>
      <c r="C22" s="180" t="s">
        <v>275</v>
      </c>
      <c r="D22" s="177" t="s">
        <v>374</v>
      </c>
      <c r="E22" s="190" t="s">
        <v>399</v>
      </c>
      <c r="F22" s="177" t="s">
        <v>7</v>
      </c>
      <c r="G22" s="177" t="s">
        <v>313</v>
      </c>
      <c r="H22" s="151" t="s">
        <v>75</v>
      </c>
      <c r="I22" s="199"/>
      <c r="J22" s="177"/>
      <c r="K22" s="209"/>
      <c r="L22" s="177">
        <v>0.75309999999999999</v>
      </c>
      <c r="M22" s="177">
        <v>0.75309999999999999</v>
      </c>
      <c r="N22" s="177">
        <v>0.75309999999999999</v>
      </c>
      <c r="O22" s="177">
        <v>0.75309999999999999</v>
      </c>
      <c r="P22" s="177">
        <v>0.75309999999999999</v>
      </c>
      <c r="Q22" s="177">
        <v>0.75309999999999999</v>
      </c>
      <c r="R22" s="177">
        <v>0.75309999999999999</v>
      </c>
      <c r="S22" s="177">
        <v>0.75309999999999999</v>
      </c>
      <c r="T22" s="177">
        <v>0.75309999999999999</v>
      </c>
      <c r="U22" s="177">
        <v>0.68079999999999996</v>
      </c>
      <c r="V22" s="177">
        <v>0.72760000000000002</v>
      </c>
      <c r="W22" s="177">
        <v>0.60809999999999997</v>
      </c>
      <c r="X22" s="217">
        <v>0.75</v>
      </c>
      <c r="Y22" s="217">
        <v>0.75</v>
      </c>
      <c r="Z22" s="217">
        <v>0.75</v>
      </c>
      <c r="AA22" s="217">
        <v>0.75</v>
      </c>
      <c r="AB22" s="217">
        <v>0.75</v>
      </c>
      <c r="AC22" s="217">
        <v>0.75</v>
      </c>
      <c r="AD22" s="217">
        <v>0.75</v>
      </c>
      <c r="AE22" s="217">
        <v>0.75</v>
      </c>
      <c r="AF22" s="217">
        <v>0.75</v>
      </c>
      <c r="AG22" s="217">
        <v>0.75</v>
      </c>
      <c r="AH22" s="217">
        <v>0.75</v>
      </c>
      <c r="AI22" s="217">
        <v>0.75</v>
      </c>
      <c r="AJ22" s="217">
        <v>0.75</v>
      </c>
      <c r="AK22" s="217">
        <v>0.75</v>
      </c>
      <c r="AL22" s="217">
        <v>0.75</v>
      </c>
      <c r="AM22" s="217">
        <v>0.75</v>
      </c>
      <c r="AN22" s="217">
        <v>0.75</v>
      </c>
      <c r="AO22" s="217">
        <v>0.75</v>
      </c>
      <c r="AP22" s="217">
        <v>0.75</v>
      </c>
      <c r="AQ22" s="217">
        <v>0.75</v>
      </c>
      <c r="AR22" s="217">
        <v>0.75</v>
      </c>
      <c r="AS22" s="217">
        <v>0.75</v>
      </c>
      <c r="AT22" s="217">
        <v>0.75</v>
      </c>
      <c r="AU22" s="217">
        <v>0.75</v>
      </c>
      <c r="AV22" s="217">
        <v>0.75</v>
      </c>
      <c r="AW22" s="217">
        <v>0.75</v>
      </c>
      <c r="AX22" s="217">
        <v>0.75</v>
      </c>
      <c r="AY22" s="217">
        <v>0.75</v>
      </c>
      <c r="AZ22" s="217">
        <v>0.75</v>
      </c>
      <c r="BA22" s="177">
        <v>0.72760000000000002</v>
      </c>
      <c r="BB22" s="177">
        <v>0.72760000000000002</v>
      </c>
      <c r="BC22" s="177">
        <v>0.72760000000000002</v>
      </c>
      <c r="BD22" s="177">
        <v>0.72760000000000002</v>
      </c>
      <c r="BE22" s="177">
        <v>0.72760000000000002</v>
      </c>
      <c r="BF22" s="177">
        <v>0.72760000000000002</v>
      </c>
      <c r="BG22" s="177">
        <v>0.72760000000000002</v>
      </c>
      <c r="BH22" s="177">
        <v>0.72760000000000002</v>
      </c>
      <c r="BI22" s="177">
        <v>0.72760000000000002</v>
      </c>
      <c r="BJ22" s="177">
        <v>0.72760000000000002</v>
      </c>
      <c r="BK22" s="177">
        <v>0.72760000000000002</v>
      </c>
      <c r="BL22" s="177">
        <v>0.72760000000000002</v>
      </c>
      <c r="BM22" s="177">
        <v>0.72760000000000002</v>
      </c>
      <c r="BN22" s="177">
        <v>0.72760000000000002</v>
      </c>
      <c r="BO22" s="177">
        <v>0.72760000000000002</v>
      </c>
      <c r="BP22" s="177">
        <v>0.72760000000000002</v>
      </c>
      <c r="BQ22" s="177">
        <v>0.72760000000000002</v>
      </c>
      <c r="BR22" s="177">
        <v>0.72760000000000002</v>
      </c>
      <c r="BS22" s="177">
        <v>0.72760000000000002</v>
      </c>
      <c r="BT22" s="177">
        <v>0.72760000000000002</v>
      </c>
    </row>
    <row r="23" spans="1:73" ht="15" thickBot="1" x14ac:dyDescent="0.35">
      <c r="A23" s="166" t="s">
        <v>428</v>
      </c>
      <c r="B23" s="177" t="s">
        <v>372</v>
      </c>
      <c r="C23" s="180" t="s">
        <v>400</v>
      </c>
      <c r="D23" s="177" t="s">
        <v>374</v>
      </c>
      <c r="E23" s="190" t="s">
        <v>399</v>
      </c>
      <c r="F23" s="177" t="s">
        <v>7</v>
      </c>
      <c r="G23" s="177" t="s">
        <v>313</v>
      </c>
      <c r="H23" s="151" t="s">
        <v>75</v>
      </c>
      <c r="I23" s="199"/>
      <c r="J23" s="177"/>
      <c r="K23" s="209"/>
      <c r="L23" s="177">
        <v>0.31850000000000001</v>
      </c>
      <c r="M23" s="177">
        <v>0.31850000000000001</v>
      </c>
      <c r="N23" s="177">
        <v>0.31850000000000001</v>
      </c>
      <c r="O23" s="177">
        <v>0.31850000000000001</v>
      </c>
      <c r="P23" s="177">
        <v>0.31850000000000001</v>
      </c>
      <c r="Q23" s="177">
        <v>0.31850000000000001</v>
      </c>
      <c r="R23" s="177">
        <v>0.31850000000000001</v>
      </c>
      <c r="S23" s="177">
        <v>0.31850000000000001</v>
      </c>
      <c r="T23" s="177">
        <v>0.31850000000000001</v>
      </c>
      <c r="U23" s="177">
        <v>0.34439999999999998</v>
      </c>
      <c r="V23" s="177">
        <v>0.35520000000000002</v>
      </c>
      <c r="W23" s="177">
        <v>0.35520000000000002</v>
      </c>
      <c r="X23" s="217">
        <v>0.7</v>
      </c>
      <c r="Y23" s="217">
        <v>0.7</v>
      </c>
      <c r="Z23" s="217">
        <v>0.7</v>
      </c>
      <c r="AA23" s="217">
        <v>0.7</v>
      </c>
      <c r="AB23" s="217">
        <v>0.7</v>
      </c>
      <c r="AC23" s="217">
        <v>0.7</v>
      </c>
      <c r="AD23" s="217">
        <v>0.7</v>
      </c>
      <c r="AE23" s="217">
        <v>0.7</v>
      </c>
      <c r="AF23" s="217">
        <v>0.7</v>
      </c>
      <c r="AG23" s="217">
        <v>0.7</v>
      </c>
      <c r="AH23" s="217">
        <v>0.7</v>
      </c>
      <c r="AI23" s="217">
        <v>0.7</v>
      </c>
      <c r="AJ23" s="217">
        <v>0.7</v>
      </c>
      <c r="AK23" s="217">
        <v>0.7</v>
      </c>
      <c r="AL23" s="217">
        <v>0.7</v>
      </c>
      <c r="AM23" s="217">
        <v>0.7</v>
      </c>
      <c r="AN23" s="217">
        <v>0.7</v>
      </c>
      <c r="AO23" s="217">
        <v>0.7</v>
      </c>
      <c r="AP23" s="217">
        <v>0.7</v>
      </c>
      <c r="AQ23" s="217">
        <v>0.7</v>
      </c>
      <c r="AR23" s="217">
        <v>0.7</v>
      </c>
      <c r="AS23" s="217">
        <v>0.7</v>
      </c>
      <c r="AT23" s="217">
        <v>0.7</v>
      </c>
      <c r="AU23" s="217">
        <v>0.7</v>
      </c>
      <c r="AV23" s="217">
        <v>0.7</v>
      </c>
      <c r="AW23" s="217">
        <v>0.7</v>
      </c>
      <c r="AX23" s="217">
        <v>0.7</v>
      </c>
      <c r="AY23" s="217">
        <v>0.7</v>
      </c>
      <c r="AZ23" s="217">
        <v>0.7</v>
      </c>
      <c r="BA23" s="177">
        <v>0.7</v>
      </c>
      <c r="BB23" s="177">
        <v>0.7</v>
      </c>
      <c r="BC23" s="177">
        <v>0.7</v>
      </c>
      <c r="BD23" s="177">
        <v>0.7</v>
      </c>
      <c r="BE23" s="177">
        <v>0.7</v>
      </c>
      <c r="BF23" s="177">
        <v>0.7</v>
      </c>
      <c r="BG23" s="177">
        <v>0.7</v>
      </c>
      <c r="BH23" s="177">
        <v>0.7</v>
      </c>
      <c r="BI23" s="177">
        <v>0.7</v>
      </c>
      <c r="BJ23" s="177">
        <v>0.7</v>
      </c>
      <c r="BK23" s="177">
        <v>0.7</v>
      </c>
      <c r="BL23" s="177">
        <v>0.7</v>
      </c>
      <c r="BM23" s="177">
        <v>0.7</v>
      </c>
      <c r="BN23" s="177">
        <v>0.7</v>
      </c>
      <c r="BO23" s="177">
        <v>0.7</v>
      </c>
      <c r="BP23" s="177">
        <v>0.7</v>
      </c>
      <c r="BQ23" s="177">
        <v>0.7</v>
      </c>
      <c r="BR23" s="177">
        <v>0.7</v>
      </c>
      <c r="BS23" s="177">
        <v>0.7</v>
      </c>
      <c r="BT23" s="177">
        <v>0.7</v>
      </c>
    </row>
    <row r="24" spans="1:73" ht="15" thickBot="1" x14ac:dyDescent="0.35">
      <c r="A24" s="166" t="s">
        <v>428</v>
      </c>
      <c r="B24" s="177" t="s">
        <v>372</v>
      </c>
      <c r="C24" s="180" t="s">
        <v>276</v>
      </c>
      <c r="D24" s="177" t="s">
        <v>374</v>
      </c>
      <c r="E24" s="190" t="s">
        <v>399</v>
      </c>
      <c r="F24" s="177" t="s">
        <v>7</v>
      </c>
      <c r="G24" s="177" t="s">
        <v>313</v>
      </c>
      <c r="H24" s="151" t="s">
        <v>75</v>
      </c>
      <c r="I24" s="199"/>
      <c r="J24" s="177"/>
      <c r="K24" s="209"/>
      <c r="L24" s="177">
        <v>0.31830000000000003</v>
      </c>
      <c r="M24" s="177">
        <v>0.31830000000000003</v>
      </c>
      <c r="N24" s="177">
        <v>0.31830000000000003</v>
      </c>
      <c r="O24" s="177">
        <v>0.31830000000000003</v>
      </c>
      <c r="P24" s="177">
        <v>0.31830000000000003</v>
      </c>
      <c r="Q24" s="177">
        <v>0.31830000000000003</v>
      </c>
      <c r="R24" s="177">
        <v>0.31830000000000003</v>
      </c>
      <c r="S24" s="177">
        <v>0.31830000000000003</v>
      </c>
      <c r="T24" s="177">
        <v>0.31830000000000003</v>
      </c>
      <c r="U24" s="177">
        <v>0.34420000000000001</v>
      </c>
      <c r="V24" s="177">
        <v>0.35499999999999998</v>
      </c>
      <c r="W24" s="177">
        <v>0.31019999999999998</v>
      </c>
      <c r="X24" s="217">
        <v>0.4</v>
      </c>
      <c r="Y24" s="217">
        <v>0.4</v>
      </c>
      <c r="Z24" s="217">
        <v>0.4</v>
      </c>
      <c r="AA24" s="217">
        <v>0.4</v>
      </c>
      <c r="AB24" s="217">
        <v>0.4</v>
      </c>
      <c r="AC24" s="217">
        <v>0.4</v>
      </c>
      <c r="AD24" s="217">
        <v>0.4</v>
      </c>
      <c r="AE24" s="217">
        <v>0.4</v>
      </c>
      <c r="AF24" s="217">
        <v>0.4</v>
      </c>
      <c r="AG24" s="217">
        <v>0.4</v>
      </c>
      <c r="AH24" s="217">
        <v>0.4</v>
      </c>
      <c r="AI24" s="217">
        <v>0.4</v>
      </c>
      <c r="AJ24" s="217">
        <v>0.4</v>
      </c>
      <c r="AK24" s="217">
        <v>0.4</v>
      </c>
      <c r="AL24" s="217">
        <v>0.4</v>
      </c>
      <c r="AM24" s="217">
        <v>0.4</v>
      </c>
      <c r="AN24" s="217">
        <v>0.4</v>
      </c>
      <c r="AO24" s="217">
        <v>0.4</v>
      </c>
      <c r="AP24" s="217">
        <v>0.4</v>
      </c>
      <c r="AQ24" s="217">
        <v>0.4</v>
      </c>
      <c r="AR24" s="217">
        <v>0.4</v>
      </c>
      <c r="AS24" s="217">
        <v>0.4</v>
      </c>
      <c r="AT24" s="217">
        <v>0.4</v>
      </c>
      <c r="AU24" s="217">
        <v>0.4</v>
      </c>
      <c r="AV24" s="217">
        <v>0.4</v>
      </c>
      <c r="AW24" s="217">
        <v>0.4</v>
      </c>
      <c r="AX24" s="217">
        <v>0.4</v>
      </c>
      <c r="AY24" s="217">
        <v>0.4</v>
      </c>
      <c r="AZ24" s="217">
        <v>0.4</v>
      </c>
      <c r="BA24" s="177">
        <v>0.4</v>
      </c>
      <c r="BB24" s="177">
        <v>0.4</v>
      </c>
      <c r="BC24" s="177">
        <v>0.4</v>
      </c>
      <c r="BD24" s="177">
        <v>0.4</v>
      </c>
      <c r="BE24" s="177">
        <v>0.4</v>
      </c>
      <c r="BF24" s="177">
        <v>0.4</v>
      </c>
      <c r="BG24" s="177">
        <v>0.4</v>
      </c>
      <c r="BH24" s="177">
        <v>0.4</v>
      </c>
      <c r="BI24" s="177">
        <v>0.4</v>
      </c>
      <c r="BJ24" s="177">
        <v>0.4</v>
      </c>
      <c r="BK24" s="177">
        <v>0.4</v>
      </c>
      <c r="BL24" s="177">
        <v>0.4</v>
      </c>
      <c r="BM24" s="177">
        <v>0.4</v>
      </c>
      <c r="BN24" s="177">
        <v>0.4</v>
      </c>
      <c r="BO24" s="177">
        <v>0.4</v>
      </c>
      <c r="BP24" s="177">
        <v>0.4</v>
      </c>
      <c r="BQ24" s="177">
        <v>0.4</v>
      </c>
      <c r="BR24" s="177">
        <v>0.4</v>
      </c>
      <c r="BS24" s="177">
        <v>0.4</v>
      </c>
      <c r="BT24" s="177">
        <v>0.4</v>
      </c>
    </row>
    <row r="25" spans="1:73" ht="15" thickBot="1" x14ac:dyDescent="0.35">
      <c r="A25" s="166" t="s">
        <v>428</v>
      </c>
      <c r="B25" s="177" t="s">
        <v>372</v>
      </c>
      <c r="C25" s="180" t="s">
        <v>221</v>
      </c>
      <c r="D25" s="177" t="s">
        <v>374</v>
      </c>
      <c r="E25" s="190" t="s">
        <v>399</v>
      </c>
      <c r="F25" s="177" t="s">
        <v>7</v>
      </c>
      <c r="G25" s="177" t="s">
        <v>313</v>
      </c>
      <c r="H25" s="151" t="s">
        <v>75</v>
      </c>
      <c r="I25" s="199"/>
      <c r="J25" s="177"/>
      <c r="K25" s="209"/>
      <c r="L25" s="177">
        <v>0.57999999999999996</v>
      </c>
      <c r="M25" s="177">
        <v>0.57999999999999996</v>
      </c>
      <c r="N25" s="177">
        <v>0.57999999999999996</v>
      </c>
      <c r="O25" s="177">
        <v>0.57999999999999996</v>
      </c>
      <c r="P25" s="177">
        <v>0.57999999999999996</v>
      </c>
      <c r="Q25" s="177">
        <v>0.57999999999999996</v>
      </c>
      <c r="R25" s="177">
        <v>0.57999999999999996</v>
      </c>
      <c r="S25" s="177">
        <v>0.57999999999999996</v>
      </c>
      <c r="T25" s="177">
        <v>0.57999999999999996</v>
      </c>
      <c r="U25" s="177">
        <v>0.57999999999999996</v>
      </c>
      <c r="V25" s="177">
        <v>0.57999999999999996</v>
      </c>
      <c r="W25" s="177">
        <v>0.57999999999999996</v>
      </c>
      <c r="X25" s="217">
        <v>0.57999999999999996</v>
      </c>
      <c r="Y25" s="217">
        <v>0.57999999999999996</v>
      </c>
      <c r="Z25" s="217">
        <v>0.57999999999999996</v>
      </c>
      <c r="AA25" s="217">
        <v>0.57999999999999996</v>
      </c>
      <c r="AB25" s="217">
        <v>0.57999999999999996</v>
      </c>
      <c r="AC25" s="217">
        <v>0.57999999999999996</v>
      </c>
      <c r="AD25" s="217">
        <v>0.57999999999999996</v>
      </c>
      <c r="AE25" s="217">
        <v>0.57999999999999996</v>
      </c>
      <c r="AF25" s="217">
        <v>0.57999999999999996</v>
      </c>
      <c r="AG25" s="217">
        <v>0.57999999999999996</v>
      </c>
      <c r="AH25" s="217">
        <v>0.57999999999999996</v>
      </c>
      <c r="AI25" s="217">
        <v>0.57999999999999996</v>
      </c>
      <c r="AJ25" s="217">
        <v>0.57999999999999996</v>
      </c>
      <c r="AK25" s="217">
        <v>0.57999999999999996</v>
      </c>
      <c r="AL25" s="217">
        <v>0.57999999999999996</v>
      </c>
      <c r="AM25" s="217">
        <v>0.57999999999999996</v>
      </c>
      <c r="AN25" s="217">
        <v>0.57999999999999996</v>
      </c>
      <c r="AO25" s="217">
        <v>0.57999999999999996</v>
      </c>
      <c r="AP25" s="217">
        <v>0.57999999999999996</v>
      </c>
      <c r="AQ25" s="217">
        <v>0.57999999999999996</v>
      </c>
      <c r="AR25" s="217">
        <v>0.57999999999999996</v>
      </c>
      <c r="AS25" s="217">
        <v>0.57999999999999996</v>
      </c>
      <c r="AT25" s="217">
        <v>0.57999999999999996</v>
      </c>
      <c r="AU25" s="217">
        <v>0.57999999999999996</v>
      </c>
      <c r="AV25" s="217">
        <v>0.57999999999999996</v>
      </c>
      <c r="AW25" s="217">
        <v>0.57999999999999996</v>
      </c>
      <c r="AX25" s="217">
        <v>0.57999999999999996</v>
      </c>
      <c r="AY25" s="217">
        <v>0.57999999999999996</v>
      </c>
      <c r="AZ25" s="217">
        <v>0.57999999999999996</v>
      </c>
      <c r="BA25" s="177">
        <v>0.57999999999999996</v>
      </c>
      <c r="BB25" s="177">
        <v>0.57999999999999996</v>
      </c>
      <c r="BC25" s="177">
        <v>0.57999999999999996</v>
      </c>
      <c r="BD25" s="177">
        <v>0.57999999999999996</v>
      </c>
      <c r="BE25" s="177">
        <v>0.57999999999999996</v>
      </c>
      <c r="BF25" s="177">
        <v>0.57999999999999996</v>
      </c>
      <c r="BG25" s="177">
        <v>0.57999999999999996</v>
      </c>
      <c r="BH25" s="177">
        <v>0.57999999999999996</v>
      </c>
      <c r="BI25" s="177">
        <v>0.57999999999999996</v>
      </c>
      <c r="BJ25" s="177">
        <v>0.57999999999999996</v>
      </c>
      <c r="BK25" s="177">
        <v>0.57999999999999996</v>
      </c>
      <c r="BL25" s="177">
        <v>0.57999999999999996</v>
      </c>
      <c r="BM25" s="177">
        <v>0.57999999999999996</v>
      </c>
      <c r="BN25" s="177">
        <v>0.57999999999999996</v>
      </c>
      <c r="BO25" s="177">
        <v>0.57999999999999996</v>
      </c>
      <c r="BP25" s="177">
        <v>0.57999999999999996</v>
      </c>
      <c r="BQ25" s="177">
        <v>0.57999999999999996</v>
      </c>
      <c r="BR25" s="177">
        <v>0.57999999999999996</v>
      </c>
      <c r="BS25" s="177">
        <v>0.57999999999999996</v>
      </c>
      <c r="BT25" s="177">
        <v>0.57999999999999996</v>
      </c>
    </row>
    <row r="26" spans="1:73" ht="15" thickBot="1" x14ac:dyDescent="0.35">
      <c r="A26" s="166" t="s">
        <v>428</v>
      </c>
      <c r="B26" s="177" t="s">
        <v>372</v>
      </c>
      <c r="C26" s="180" t="s">
        <v>401</v>
      </c>
      <c r="D26" s="177" t="s">
        <v>374</v>
      </c>
      <c r="E26" s="190" t="s">
        <v>399</v>
      </c>
      <c r="F26" s="177" t="s">
        <v>7</v>
      </c>
      <c r="G26" s="177" t="s">
        <v>313</v>
      </c>
      <c r="H26" s="151" t="s">
        <v>75</v>
      </c>
      <c r="I26" s="199"/>
      <c r="J26" s="177"/>
      <c r="K26" s="209"/>
      <c r="L26" s="177">
        <v>0.27260000000000001</v>
      </c>
      <c r="M26" s="177">
        <v>0.27260000000000001</v>
      </c>
      <c r="N26" s="177">
        <v>0.27260000000000001</v>
      </c>
      <c r="O26" s="177">
        <v>0.27260000000000001</v>
      </c>
      <c r="P26" s="177">
        <v>0.27260000000000001</v>
      </c>
      <c r="Q26" s="177">
        <v>0.27260000000000001</v>
      </c>
      <c r="R26" s="177">
        <v>0.27260000000000001</v>
      </c>
      <c r="S26" s="177">
        <v>0.27260000000000001</v>
      </c>
      <c r="T26" s="177">
        <v>0.27260000000000001</v>
      </c>
      <c r="U26" s="177">
        <v>0.1845</v>
      </c>
      <c r="V26" s="177">
        <v>0.15049999999999999</v>
      </c>
      <c r="W26" s="177">
        <v>0.15049999999999999</v>
      </c>
      <c r="X26" s="217">
        <v>0.15049999999999999</v>
      </c>
      <c r="Y26" s="217">
        <v>0.15049999999999999</v>
      </c>
      <c r="Z26" s="217">
        <v>0.15049999999999999</v>
      </c>
      <c r="AA26" s="217">
        <v>0.15049999999999999</v>
      </c>
      <c r="AB26" s="217">
        <v>0.15049999999999999</v>
      </c>
      <c r="AC26" s="217">
        <v>0.15049999999999999</v>
      </c>
      <c r="AD26" s="217">
        <v>0.15049999999999999</v>
      </c>
      <c r="AE26" s="217">
        <v>0.15049999999999999</v>
      </c>
      <c r="AF26" s="217">
        <v>0.15049999999999999</v>
      </c>
      <c r="AG26" s="217">
        <v>0.15049999999999999</v>
      </c>
      <c r="AH26" s="217">
        <v>0.15049999999999999</v>
      </c>
      <c r="AI26" s="217">
        <v>0.15049999999999999</v>
      </c>
      <c r="AJ26" s="217">
        <v>0.15049999999999999</v>
      </c>
      <c r="AK26" s="217">
        <v>0.15049999999999999</v>
      </c>
      <c r="AL26" s="217">
        <v>0.15049999999999999</v>
      </c>
      <c r="AM26" s="217">
        <v>0.15049999999999999</v>
      </c>
      <c r="AN26" s="217">
        <v>0.15049999999999999</v>
      </c>
      <c r="AO26" s="217">
        <v>0.15049999999999999</v>
      </c>
      <c r="AP26" s="217">
        <v>0.15049999999999999</v>
      </c>
      <c r="AQ26" s="217">
        <v>0.15049999999999999</v>
      </c>
      <c r="AR26" s="217">
        <v>0.15049999999999999</v>
      </c>
      <c r="AS26" s="217">
        <v>0.15049999999999999</v>
      </c>
      <c r="AT26" s="217">
        <v>0.15049999999999999</v>
      </c>
      <c r="AU26" s="217">
        <v>0.15049999999999999</v>
      </c>
      <c r="AV26" s="217">
        <v>0.15049999999999999</v>
      </c>
      <c r="AW26" s="217">
        <v>0.15049999999999999</v>
      </c>
      <c r="AX26" s="217">
        <v>0.15049999999999999</v>
      </c>
      <c r="AY26" s="217">
        <v>0.15049999999999999</v>
      </c>
      <c r="AZ26" s="217">
        <v>0.15049999999999999</v>
      </c>
      <c r="BA26" s="177">
        <v>0.15049999999999999</v>
      </c>
      <c r="BB26" s="177">
        <v>0.15049999999999999</v>
      </c>
      <c r="BC26" s="177">
        <v>0.15049999999999999</v>
      </c>
      <c r="BD26" s="177">
        <v>0.15049999999999999</v>
      </c>
      <c r="BE26" s="177">
        <v>0.15049999999999999</v>
      </c>
      <c r="BF26" s="177">
        <v>0.15049999999999999</v>
      </c>
      <c r="BG26" s="177">
        <v>0.15049999999999999</v>
      </c>
      <c r="BH26" s="177">
        <v>0.15049999999999999</v>
      </c>
      <c r="BI26" s="177">
        <v>0.15049999999999999</v>
      </c>
      <c r="BJ26" s="177">
        <v>0.15049999999999999</v>
      </c>
      <c r="BK26" s="177">
        <v>0.15049999999999999</v>
      </c>
      <c r="BL26" s="177">
        <v>0.15049999999999999</v>
      </c>
      <c r="BM26" s="177">
        <v>0.15049999999999999</v>
      </c>
      <c r="BN26" s="177">
        <v>0.15049999999999999</v>
      </c>
      <c r="BO26" s="177">
        <v>0.15049999999999999</v>
      </c>
      <c r="BP26" s="177">
        <v>0.15049999999999999</v>
      </c>
      <c r="BQ26" s="177">
        <v>0.15049999999999999</v>
      </c>
      <c r="BR26" s="177">
        <v>0.15049999999999999</v>
      </c>
      <c r="BS26" s="177">
        <v>0.15049999999999999</v>
      </c>
      <c r="BT26" s="177">
        <v>0.15049999999999999</v>
      </c>
    </row>
    <row r="27" spans="1:73" ht="15" thickBot="1" x14ac:dyDescent="0.35">
      <c r="A27" s="166" t="s">
        <v>428</v>
      </c>
      <c r="B27" s="177" t="s">
        <v>372</v>
      </c>
      <c r="C27" s="180" t="s">
        <v>231</v>
      </c>
      <c r="D27" s="177" t="s">
        <v>374</v>
      </c>
      <c r="E27" s="190" t="s">
        <v>399</v>
      </c>
      <c r="F27" s="177" t="s">
        <v>7</v>
      </c>
      <c r="G27" s="177" t="s">
        <v>313</v>
      </c>
      <c r="H27" s="151" t="s">
        <v>75</v>
      </c>
      <c r="I27" s="199"/>
      <c r="J27" s="177"/>
      <c r="K27" s="209"/>
      <c r="L27" s="177">
        <v>0.27239999999999998</v>
      </c>
      <c r="M27" s="177">
        <v>0.27239999999999998</v>
      </c>
      <c r="N27" s="177">
        <v>0.27239999999999998</v>
      </c>
      <c r="O27" s="177">
        <v>0.27239999999999998</v>
      </c>
      <c r="P27" s="177">
        <v>0.27239999999999998</v>
      </c>
      <c r="Q27" s="177">
        <v>0.27239999999999998</v>
      </c>
      <c r="R27" s="177">
        <v>0.27239999999999998</v>
      </c>
      <c r="S27" s="177">
        <v>0.27239999999999998</v>
      </c>
      <c r="T27" s="177">
        <v>0.27239999999999998</v>
      </c>
      <c r="U27" s="177">
        <v>0.18429999999999999</v>
      </c>
      <c r="V27" s="177">
        <v>0.15049999999999999</v>
      </c>
      <c r="W27" s="177">
        <v>0.11890000000000001</v>
      </c>
      <c r="X27" s="217">
        <v>0.69</v>
      </c>
      <c r="Y27" s="217">
        <v>0.69</v>
      </c>
      <c r="Z27" s="217">
        <v>0.69</v>
      </c>
      <c r="AA27" s="217">
        <v>0.69</v>
      </c>
      <c r="AB27" s="217">
        <v>0.69</v>
      </c>
      <c r="AC27" s="217">
        <v>0.69</v>
      </c>
      <c r="AD27" s="217">
        <v>0.69</v>
      </c>
      <c r="AE27" s="217">
        <v>0.69</v>
      </c>
      <c r="AF27" s="217">
        <v>0.69</v>
      </c>
      <c r="AG27" s="217">
        <v>0.69</v>
      </c>
      <c r="AH27" s="217">
        <v>0.69</v>
      </c>
      <c r="AI27" s="217">
        <v>0.69</v>
      </c>
      <c r="AJ27" s="217">
        <v>0.69</v>
      </c>
      <c r="AK27" s="217">
        <v>0.69</v>
      </c>
      <c r="AL27" s="217">
        <v>0.69</v>
      </c>
      <c r="AM27" s="217">
        <v>0.69</v>
      </c>
      <c r="AN27" s="217">
        <v>0.69</v>
      </c>
      <c r="AO27" s="217">
        <v>0.69</v>
      </c>
      <c r="AP27" s="217">
        <v>0.69</v>
      </c>
      <c r="AQ27" s="217">
        <v>0.69</v>
      </c>
      <c r="AR27" s="217">
        <v>0.69</v>
      </c>
      <c r="AS27" s="217">
        <v>0.69</v>
      </c>
      <c r="AT27" s="217">
        <v>0.69</v>
      </c>
      <c r="AU27" s="217">
        <v>0.69</v>
      </c>
      <c r="AV27" s="217">
        <v>0.69</v>
      </c>
      <c r="AW27" s="217">
        <v>0.69</v>
      </c>
      <c r="AX27" s="217">
        <v>0.69</v>
      </c>
      <c r="AY27" s="217">
        <v>0.69</v>
      </c>
      <c r="AZ27" s="217">
        <v>0.69</v>
      </c>
      <c r="BA27" s="177">
        <v>0.69</v>
      </c>
      <c r="BB27" s="177">
        <v>0.69</v>
      </c>
      <c r="BC27" s="177">
        <v>0.69</v>
      </c>
      <c r="BD27" s="177">
        <v>0.69</v>
      </c>
      <c r="BE27" s="177">
        <v>0.69</v>
      </c>
      <c r="BF27" s="177">
        <v>0.69</v>
      </c>
      <c r="BG27" s="177">
        <v>0.69</v>
      </c>
      <c r="BH27" s="177">
        <v>0.69</v>
      </c>
      <c r="BI27" s="177">
        <v>0.69</v>
      </c>
      <c r="BJ27" s="177">
        <v>0.69</v>
      </c>
      <c r="BK27" s="177">
        <v>0.69</v>
      </c>
      <c r="BL27" s="177">
        <v>0.69</v>
      </c>
      <c r="BM27" s="177">
        <v>0.69</v>
      </c>
      <c r="BN27" s="177">
        <v>0.69</v>
      </c>
      <c r="BO27" s="177">
        <v>0.69</v>
      </c>
      <c r="BP27" s="177">
        <v>0.69</v>
      </c>
      <c r="BQ27" s="177">
        <v>0.69</v>
      </c>
      <c r="BR27" s="177">
        <v>0.69</v>
      </c>
      <c r="BS27" s="177">
        <v>0.69</v>
      </c>
      <c r="BT27" s="177">
        <v>0.69</v>
      </c>
    </row>
    <row r="28" spans="1:73" ht="15" thickBot="1" x14ac:dyDescent="0.35">
      <c r="A28" s="166" t="s">
        <v>428</v>
      </c>
      <c r="B28" s="175" t="s">
        <v>372</v>
      </c>
      <c r="C28" s="175" t="s">
        <v>402</v>
      </c>
      <c r="D28" s="186" t="s">
        <v>374</v>
      </c>
      <c r="E28" s="160" t="s">
        <v>399</v>
      </c>
      <c r="F28" s="175" t="s">
        <v>7</v>
      </c>
      <c r="G28" s="175" t="s">
        <v>313</v>
      </c>
      <c r="H28" s="193" t="s">
        <v>75</v>
      </c>
      <c r="I28" s="197"/>
      <c r="J28" s="175"/>
      <c r="K28" s="207"/>
      <c r="L28" s="180">
        <v>0.46</v>
      </c>
      <c r="M28" s="180">
        <v>0.46</v>
      </c>
      <c r="N28" s="180">
        <v>0.46</v>
      </c>
      <c r="O28" s="180">
        <v>0.46</v>
      </c>
      <c r="P28" s="180">
        <v>0.46</v>
      </c>
      <c r="Q28" s="180">
        <v>0.46</v>
      </c>
      <c r="R28" s="180">
        <v>0.46</v>
      </c>
      <c r="S28" s="180">
        <v>0.46</v>
      </c>
      <c r="T28" s="180">
        <v>0.46</v>
      </c>
      <c r="U28" s="175">
        <v>0.33229999999999998</v>
      </c>
      <c r="V28" s="175">
        <v>0.24779999999999999</v>
      </c>
      <c r="W28" s="175">
        <v>0.22700000000000001</v>
      </c>
      <c r="X28" s="216">
        <v>0.65500000000000003</v>
      </c>
      <c r="Y28" s="216">
        <v>0.65500000000000003</v>
      </c>
      <c r="Z28" s="216">
        <v>0.65500000000000003</v>
      </c>
      <c r="AA28" s="216">
        <v>0.65500000000000003</v>
      </c>
      <c r="AB28" s="216">
        <v>0.65500000000000003</v>
      </c>
      <c r="AC28" s="216">
        <v>0.65500000000000003</v>
      </c>
      <c r="AD28" s="216">
        <v>0.65500000000000003</v>
      </c>
      <c r="AE28" s="216">
        <v>0.65500000000000003</v>
      </c>
      <c r="AF28" s="216">
        <v>0.65500000000000003</v>
      </c>
      <c r="AG28" s="216">
        <v>0.65500000000000003</v>
      </c>
      <c r="AH28" s="216">
        <v>0.65500000000000003</v>
      </c>
      <c r="AI28" s="216">
        <v>0.65500000000000003</v>
      </c>
      <c r="AJ28" s="216">
        <v>0.65500000000000003</v>
      </c>
      <c r="AK28" s="216">
        <v>0.65500000000000003</v>
      </c>
      <c r="AL28" s="216">
        <v>0.65500000000000003</v>
      </c>
      <c r="AM28" s="216">
        <v>0.65500000000000003</v>
      </c>
      <c r="AN28" s="216">
        <v>0.65500000000000003</v>
      </c>
      <c r="AO28" s="216">
        <v>0.65500000000000003</v>
      </c>
      <c r="AP28" s="216">
        <v>0.65500000000000003</v>
      </c>
      <c r="AQ28" s="216">
        <v>0.65500000000000003</v>
      </c>
      <c r="AR28" s="216">
        <v>0.65500000000000003</v>
      </c>
      <c r="AS28" s="216">
        <v>0.65500000000000003</v>
      </c>
      <c r="AT28" s="216">
        <v>0.65500000000000003</v>
      </c>
      <c r="AU28" s="216">
        <v>0.65500000000000003</v>
      </c>
      <c r="AV28" s="216">
        <v>0.65500000000000003</v>
      </c>
      <c r="AW28" s="216">
        <v>0.65500000000000003</v>
      </c>
      <c r="AX28" s="216">
        <v>0.65500000000000003</v>
      </c>
      <c r="AY28" s="216">
        <v>0.65500000000000003</v>
      </c>
      <c r="AZ28" s="216">
        <v>0.65500000000000003</v>
      </c>
      <c r="BA28" s="175">
        <v>0.65500000000000003</v>
      </c>
      <c r="BB28" s="175">
        <v>0.65500000000000003</v>
      </c>
      <c r="BC28" s="175">
        <v>0.65500000000000003</v>
      </c>
      <c r="BD28" s="175">
        <v>0.65500000000000003</v>
      </c>
      <c r="BE28" s="175">
        <v>0.65500000000000003</v>
      </c>
      <c r="BF28" s="175">
        <v>0.65500000000000003</v>
      </c>
      <c r="BG28" s="175">
        <v>0.65500000000000003</v>
      </c>
      <c r="BH28" s="175">
        <v>0.65500000000000003</v>
      </c>
      <c r="BI28" s="175">
        <v>0.65500000000000003</v>
      </c>
      <c r="BJ28" s="175">
        <v>0.65500000000000003</v>
      </c>
      <c r="BK28" s="175">
        <v>0.65500000000000003</v>
      </c>
      <c r="BL28" s="175">
        <v>0.65500000000000003</v>
      </c>
      <c r="BM28" s="175">
        <v>0.65500000000000003</v>
      </c>
      <c r="BN28" s="175">
        <v>0.65500000000000003</v>
      </c>
      <c r="BO28" s="175">
        <v>0.65500000000000003</v>
      </c>
      <c r="BP28" s="175">
        <v>0.65500000000000003</v>
      </c>
      <c r="BQ28" s="175">
        <v>0.65500000000000003</v>
      </c>
      <c r="BR28" s="175">
        <v>0.65500000000000003</v>
      </c>
      <c r="BS28" s="175">
        <v>0.65500000000000003</v>
      </c>
      <c r="BT28" s="175">
        <v>0.65500000000000003</v>
      </c>
    </row>
    <row r="29" spans="1:73" ht="15" thickBot="1" x14ac:dyDescent="0.35">
      <c r="A29" s="166" t="s">
        <v>428</v>
      </c>
      <c r="B29" s="175" t="s">
        <v>372</v>
      </c>
      <c r="C29" s="175" t="s">
        <v>227</v>
      </c>
      <c r="D29" s="186" t="s">
        <v>374</v>
      </c>
      <c r="E29" s="160" t="s">
        <v>399</v>
      </c>
      <c r="F29" s="175" t="s">
        <v>7</v>
      </c>
      <c r="G29" s="175" t="s">
        <v>313</v>
      </c>
      <c r="H29" s="193" t="s">
        <v>75</v>
      </c>
      <c r="I29" s="197"/>
      <c r="J29" s="175"/>
      <c r="K29" s="207"/>
      <c r="L29" s="180">
        <v>8.5599999999999996E-2</v>
      </c>
      <c r="M29" s="180">
        <v>8.5599999999999996E-2</v>
      </c>
      <c r="N29" s="180">
        <v>8.5599999999999996E-2</v>
      </c>
      <c r="O29" s="180">
        <v>8.5599999999999996E-2</v>
      </c>
      <c r="P29" s="180">
        <v>8.5599999999999996E-2</v>
      </c>
      <c r="Q29" s="180">
        <v>8.5599999999999996E-2</v>
      </c>
      <c r="R29" s="180">
        <v>8.5599999999999996E-2</v>
      </c>
      <c r="S29" s="180">
        <v>8.5599999999999996E-2</v>
      </c>
      <c r="T29" s="180">
        <v>8.5599999999999996E-2</v>
      </c>
      <c r="U29" s="175">
        <v>1.0800000000000001E-2</v>
      </c>
      <c r="V29" s="175">
        <v>3.6700000000000003E-2</v>
      </c>
      <c r="W29" s="175">
        <v>1.7500000000000002E-2</v>
      </c>
      <c r="X29" s="216">
        <v>0.69</v>
      </c>
      <c r="Y29" s="216">
        <v>0.69</v>
      </c>
      <c r="Z29" s="216">
        <v>0.69</v>
      </c>
      <c r="AA29" s="216">
        <v>0.69</v>
      </c>
      <c r="AB29" s="216">
        <v>0.69</v>
      </c>
      <c r="AC29" s="216">
        <v>0.69</v>
      </c>
      <c r="AD29" s="216">
        <v>0.69</v>
      </c>
      <c r="AE29" s="216">
        <v>0.69</v>
      </c>
      <c r="AF29" s="216">
        <v>0.69</v>
      </c>
      <c r="AG29" s="216">
        <v>0.69</v>
      </c>
      <c r="AH29" s="216">
        <v>0.69</v>
      </c>
      <c r="AI29" s="216">
        <v>0.69</v>
      </c>
      <c r="AJ29" s="216">
        <v>0.69</v>
      </c>
      <c r="AK29" s="216">
        <v>0.69</v>
      </c>
      <c r="AL29" s="216">
        <v>0.69</v>
      </c>
      <c r="AM29" s="216">
        <v>0.69</v>
      </c>
      <c r="AN29" s="216">
        <v>0.69</v>
      </c>
      <c r="AO29" s="216">
        <v>0.69</v>
      </c>
      <c r="AP29" s="216">
        <v>0.69</v>
      </c>
      <c r="AQ29" s="216">
        <v>0.69</v>
      </c>
      <c r="AR29" s="216">
        <v>0.69</v>
      </c>
      <c r="AS29" s="216">
        <v>0.69</v>
      </c>
      <c r="AT29" s="216">
        <v>0.69</v>
      </c>
      <c r="AU29" s="216">
        <v>0.69</v>
      </c>
      <c r="AV29" s="216">
        <v>0.69</v>
      </c>
      <c r="AW29" s="216">
        <v>0.69</v>
      </c>
      <c r="AX29" s="216">
        <v>0.69</v>
      </c>
      <c r="AY29" s="216">
        <v>0.69</v>
      </c>
      <c r="AZ29" s="216">
        <v>0.69</v>
      </c>
      <c r="BA29" s="175">
        <v>0.69</v>
      </c>
      <c r="BB29" s="175">
        <v>0.69</v>
      </c>
      <c r="BC29" s="175">
        <v>0.69</v>
      </c>
      <c r="BD29" s="175">
        <v>0.69</v>
      </c>
      <c r="BE29" s="175">
        <v>0.69</v>
      </c>
      <c r="BF29" s="175">
        <v>0.69</v>
      </c>
      <c r="BG29" s="175">
        <v>0.69</v>
      </c>
      <c r="BH29" s="175">
        <v>0.69</v>
      </c>
      <c r="BI29" s="175">
        <v>0.69</v>
      </c>
      <c r="BJ29" s="175">
        <v>0.69</v>
      </c>
      <c r="BK29" s="175">
        <v>0.69</v>
      </c>
      <c r="BL29" s="175">
        <v>0.69</v>
      </c>
      <c r="BM29" s="175">
        <v>0.69</v>
      </c>
      <c r="BN29" s="175">
        <v>0.69</v>
      </c>
      <c r="BO29" s="175">
        <v>0.69</v>
      </c>
      <c r="BP29" s="175">
        <v>0.69</v>
      </c>
      <c r="BQ29" s="175">
        <v>0.69</v>
      </c>
      <c r="BR29" s="175">
        <v>0.69</v>
      </c>
      <c r="BS29" s="175">
        <v>0.69</v>
      </c>
      <c r="BT29" s="175">
        <v>0.69</v>
      </c>
    </row>
    <row r="30" spans="1:73" ht="15" thickBot="1" x14ac:dyDescent="0.35">
      <c r="A30" s="166" t="s">
        <v>428</v>
      </c>
      <c r="B30" s="175" t="s">
        <v>372</v>
      </c>
      <c r="C30" s="175" t="s">
        <v>229</v>
      </c>
      <c r="D30" s="186" t="s">
        <v>374</v>
      </c>
      <c r="E30" s="160" t="s">
        <v>399</v>
      </c>
      <c r="F30" s="175" t="s">
        <v>7</v>
      </c>
      <c r="G30" s="175" t="s">
        <v>313</v>
      </c>
      <c r="H30" s="193" t="s">
        <v>75</v>
      </c>
      <c r="I30" s="197"/>
      <c r="J30" s="175"/>
      <c r="K30" s="207"/>
      <c r="L30" s="180">
        <v>2.64E-2</v>
      </c>
      <c r="M30" s="180">
        <v>2.64E-2</v>
      </c>
      <c r="N30" s="180">
        <v>2.64E-2</v>
      </c>
      <c r="O30" s="180">
        <v>2.64E-2</v>
      </c>
      <c r="P30" s="180">
        <v>2.64E-2</v>
      </c>
      <c r="Q30" s="180">
        <v>2.64E-2</v>
      </c>
      <c r="R30" s="180">
        <v>2.64E-2</v>
      </c>
      <c r="S30" s="180">
        <v>2.64E-2</v>
      </c>
      <c r="T30" s="180">
        <v>2.64E-2</v>
      </c>
      <c r="U30" s="175">
        <v>1.5100000000000001E-2</v>
      </c>
      <c r="V30" s="175">
        <v>5.1000000000000004E-3</v>
      </c>
      <c r="W30" s="175">
        <v>3.3999999999999998E-3</v>
      </c>
      <c r="X30" s="216">
        <v>0.65500000000000003</v>
      </c>
      <c r="Y30" s="216">
        <v>0.65500000000000003</v>
      </c>
      <c r="Z30" s="216">
        <v>0.65500000000000003</v>
      </c>
      <c r="AA30" s="216">
        <v>0.65500000000000003</v>
      </c>
      <c r="AB30" s="216">
        <v>0.65500000000000003</v>
      </c>
      <c r="AC30" s="216">
        <v>0.65500000000000003</v>
      </c>
      <c r="AD30" s="216">
        <v>0.65500000000000003</v>
      </c>
      <c r="AE30" s="216">
        <v>0.65500000000000003</v>
      </c>
      <c r="AF30" s="216">
        <v>0.65500000000000003</v>
      </c>
      <c r="AG30" s="216">
        <v>0.65500000000000003</v>
      </c>
      <c r="AH30" s="216">
        <v>0.65500000000000003</v>
      </c>
      <c r="AI30" s="216">
        <v>0.65500000000000003</v>
      </c>
      <c r="AJ30" s="216">
        <v>0.65500000000000003</v>
      </c>
      <c r="AK30" s="216">
        <v>0.65500000000000003</v>
      </c>
      <c r="AL30" s="216">
        <v>0.65500000000000003</v>
      </c>
      <c r="AM30" s="216">
        <v>0.65500000000000003</v>
      </c>
      <c r="AN30" s="216">
        <v>0.65500000000000003</v>
      </c>
      <c r="AO30" s="216">
        <v>0.65500000000000003</v>
      </c>
      <c r="AP30" s="216">
        <v>0.65500000000000003</v>
      </c>
      <c r="AQ30" s="216">
        <v>0.65500000000000003</v>
      </c>
      <c r="AR30" s="216">
        <v>0.65500000000000003</v>
      </c>
      <c r="AS30" s="216">
        <v>0.65500000000000003</v>
      </c>
      <c r="AT30" s="216">
        <v>0.65500000000000003</v>
      </c>
      <c r="AU30" s="216">
        <v>0.65500000000000003</v>
      </c>
      <c r="AV30" s="216">
        <v>0.65500000000000003</v>
      </c>
      <c r="AW30" s="216">
        <v>0.65500000000000003</v>
      </c>
      <c r="AX30" s="216">
        <v>0.65500000000000003</v>
      </c>
      <c r="AY30" s="216">
        <v>0.65500000000000003</v>
      </c>
      <c r="AZ30" s="216">
        <v>0.65500000000000003</v>
      </c>
      <c r="BA30" s="175">
        <v>0.65500000000000003</v>
      </c>
      <c r="BB30" s="175">
        <v>0.65500000000000003</v>
      </c>
      <c r="BC30" s="175">
        <v>0.65500000000000003</v>
      </c>
      <c r="BD30" s="175">
        <v>0.65500000000000003</v>
      </c>
      <c r="BE30" s="175">
        <v>0.65500000000000003</v>
      </c>
      <c r="BF30" s="175">
        <v>0.65500000000000003</v>
      </c>
      <c r="BG30" s="175">
        <v>0.65500000000000003</v>
      </c>
      <c r="BH30" s="175">
        <v>0.65500000000000003</v>
      </c>
      <c r="BI30" s="175">
        <v>0.65500000000000003</v>
      </c>
      <c r="BJ30" s="175">
        <v>0.65500000000000003</v>
      </c>
      <c r="BK30" s="175">
        <v>0.65500000000000003</v>
      </c>
      <c r="BL30" s="175">
        <v>0.65500000000000003</v>
      </c>
      <c r="BM30" s="175">
        <v>0.65500000000000003</v>
      </c>
      <c r="BN30" s="175">
        <v>0.65500000000000003</v>
      </c>
      <c r="BO30" s="175">
        <v>0.65500000000000003</v>
      </c>
      <c r="BP30" s="175">
        <v>0.65500000000000003</v>
      </c>
      <c r="BQ30" s="175">
        <v>0.65500000000000003</v>
      </c>
      <c r="BR30" s="175">
        <v>0.65500000000000003</v>
      </c>
      <c r="BS30" s="175">
        <v>0.65500000000000003</v>
      </c>
      <c r="BT30" s="207">
        <v>0.65500000000000003</v>
      </c>
    </row>
    <row r="31" spans="1:73" ht="15" thickBot="1" x14ac:dyDescent="0.35">
      <c r="A31" s="171" t="s">
        <v>428</v>
      </c>
      <c r="B31" s="177" t="s">
        <v>372</v>
      </c>
      <c r="C31" s="177" t="s">
        <v>403</v>
      </c>
      <c r="D31" s="177" t="s">
        <v>374</v>
      </c>
      <c r="E31" s="190" t="s">
        <v>399</v>
      </c>
      <c r="F31" s="177" t="s">
        <v>7</v>
      </c>
      <c r="G31" s="177" t="s">
        <v>313</v>
      </c>
      <c r="H31" s="151" t="s">
        <v>75</v>
      </c>
      <c r="I31" s="199"/>
      <c r="J31" s="177"/>
      <c r="K31" s="209"/>
      <c r="L31" s="177">
        <v>0.39250000000000002</v>
      </c>
      <c r="M31" s="177">
        <v>0.39250000000000002</v>
      </c>
      <c r="N31" s="177">
        <v>0.39250000000000002</v>
      </c>
      <c r="O31" s="177">
        <v>0.39250000000000002</v>
      </c>
      <c r="P31" s="177">
        <v>0.39250000000000002</v>
      </c>
      <c r="Q31" s="177">
        <v>0.39250000000000002</v>
      </c>
      <c r="R31" s="177">
        <v>0.39250000000000002</v>
      </c>
      <c r="S31" s="177">
        <v>0.39250000000000002</v>
      </c>
      <c r="T31" s="177">
        <v>0.39250000000000002</v>
      </c>
      <c r="U31" s="177">
        <v>0.35770000000000002</v>
      </c>
      <c r="V31" s="177">
        <v>0.29880000000000001</v>
      </c>
      <c r="W31" s="177">
        <v>0.2525</v>
      </c>
      <c r="X31" s="217">
        <v>0.56000000000000005</v>
      </c>
      <c r="Y31" s="217">
        <v>0.56000000000000005</v>
      </c>
      <c r="Z31" s="217">
        <v>0.56000000000000005</v>
      </c>
      <c r="AA31" s="217">
        <v>0.56000000000000005</v>
      </c>
      <c r="AB31" s="217">
        <v>0.56000000000000005</v>
      </c>
      <c r="AC31" s="217">
        <v>0.56000000000000005</v>
      </c>
      <c r="AD31" s="217">
        <v>0.56000000000000005</v>
      </c>
      <c r="AE31" s="217">
        <v>0.56000000000000005</v>
      </c>
      <c r="AF31" s="217">
        <v>0.56000000000000005</v>
      </c>
      <c r="AG31" s="217">
        <v>0.56000000000000005</v>
      </c>
      <c r="AH31" s="217">
        <v>0.56000000000000005</v>
      </c>
      <c r="AI31" s="217">
        <v>0.56000000000000005</v>
      </c>
      <c r="AJ31" s="217">
        <v>0.56000000000000005</v>
      </c>
      <c r="AK31" s="217">
        <v>0.56000000000000005</v>
      </c>
      <c r="AL31" s="217">
        <v>0.56000000000000005</v>
      </c>
      <c r="AM31" s="217">
        <v>0.56000000000000005</v>
      </c>
      <c r="AN31" s="217">
        <v>0.56000000000000005</v>
      </c>
      <c r="AO31" s="217">
        <v>0.56000000000000005</v>
      </c>
      <c r="AP31" s="217">
        <v>0.56000000000000005</v>
      </c>
      <c r="AQ31" s="217">
        <v>0.56000000000000005</v>
      </c>
      <c r="AR31" s="217">
        <v>0.56000000000000005</v>
      </c>
      <c r="AS31" s="217">
        <v>0.56000000000000005</v>
      </c>
      <c r="AT31" s="217">
        <v>0.56000000000000005</v>
      </c>
      <c r="AU31" s="217">
        <v>0.56000000000000005</v>
      </c>
      <c r="AV31" s="217">
        <v>0.56000000000000005</v>
      </c>
      <c r="AW31" s="217">
        <v>0.56000000000000005</v>
      </c>
      <c r="AX31" s="217">
        <v>0.56000000000000005</v>
      </c>
      <c r="AY31" s="217">
        <v>0.56000000000000005</v>
      </c>
      <c r="AZ31" s="217">
        <v>0.56000000000000005</v>
      </c>
      <c r="BA31" s="177">
        <v>0.56000000000000005</v>
      </c>
      <c r="BB31" s="177">
        <v>0.56000000000000005</v>
      </c>
      <c r="BC31" s="177">
        <v>0.56000000000000005</v>
      </c>
      <c r="BD31" s="177">
        <v>0.56000000000000005</v>
      </c>
      <c r="BE31" s="177">
        <v>0.56000000000000005</v>
      </c>
      <c r="BF31" s="177">
        <v>0.56000000000000005</v>
      </c>
      <c r="BG31" s="177">
        <v>0.56000000000000005</v>
      </c>
      <c r="BH31" s="177">
        <v>0.56000000000000005</v>
      </c>
      <c r="BI31" s="177">
        <v>0.56000000000000005</v>
      </c>
      <c r="BJ31" s="177">
        <v>0.56000000000000005</v>
      </c>
      <c r="BK31" s="177">
        <v>0.56000000000000005</v>
      </c>
      <c r="BL31" s="177">
        <v>0.56000000000000005</v>
      </c>
      <c r="BM31" s="177">
        <v>0.56000000000000005</v>
      </c>
      <c r="BN31" s="177">
        <v>0.56000000000000005</v>
      </c>
      <c r="BO31" s="177">
        <v>0.56000000000000005</v>
      </c>
      <c r="BP31" s="177">
        <v>0.56000000000000005</v>
      </c>
      <c r="BQ31" s="177">
        <v>0.56000000000000005</v>
      </c>
      <c r="BR31" s="177">
        <v>0.56000000000000005</v>
      </c>
      <c r="BS31" s="177">
        <v>0.56000000000000005</v>
      </c>
      <c r="BT31" s="177">
        <v>0.56000000000000005</v>
      </c>
      <c r="BU31" s="149"/>
    </row>
    <row r="32" spans="1:73" ht="15" thickBot="1" x14ac:dyDescent="0.35">
      <c r="A32" s="171" t="s">
        <v>428</v>
      </c>
      <c r="B32" s="177" t="s">
        <v>372</v>
      </c>
      <c r="C32" s="177" t="s">
        <v>404</v>
      </c>
      <c r="D32" s="177" t="s">
        <v>374</v>
      </c>
      <c r="E32" s="190" t="s">
        <v>399</v>
      </c>
      <c r="F32" s="177" t="s">
        <v>7</v>
      </c>
      <c r="G32" s="177" t="s">
        <v>313</v>
      </c>
      <c r="H32" s="151" t="s">
        <v>75</v>
      </c>
      <c r="I32" s="199"/>
      <c r="J32" s="177"/>
      <c r="K32" s="209"/>
      <c r="L32" s="177">
        <v>0.27260000000000001</v>
      </c>
      <c r="M32" s="177">
        <v>0.27260000000000001</v>
      </c>
      <c r="N32" s="177">
        <v>0.27260000000000001</v>
      </c>
      <c r="O32" s="177">
        <v>0.27260000000000001</v>
      </c>
      <c r="P32" s="177">
        <v>0.27260000000000001</v>
      </c>
      <c r="Q32" s="177">
        <v>0.27260000000000001</v>
      </c>
      <c r="R32" s="177">
        <v>0.27260000000000001</v>
      </c>
      <c r="S32" s="177">
        <v>0.27260000000000001</v>
      </c>
      <c r="T32" s="177">
        <v>0.27260000000000001</v>
      </c>
      <c r="U32" s="177">
        <v>0.1845</v>
      </c>
      <c r="V32" s="177">
        <v>0.15049999999999999</v>
      </c>
      <c r="W32" s="177">
        <v>0.15049999999999999</v>
      </c>
      <c r="X32" s="217">
        <v>0.5</v>
      </c>
      <c r="Y32" s="217">
        <v>0.5</v>
      </c>
      <c r="Z32" s="217">
        <v>0.5</v>
      </c>
      <c r="AA32" s="217">
        <v>0.5</v>
      </c>
      <c r="AB32" s="217">
        <v>0.5</v>
      </c>
      <c r="AC32" s="217">
        <v>0.5</v>
      </c>
      <c r="AD32" s="217">
        <v>0.5</v>
      </c>
      <c r="AE32" s="217">
        <v>0.5</v>
      </c>
      <c r="AF32" s="217">
        <v>0.5</v>
      </c>
      <c r="AG32" s="217">
        <v>0.5</v>
      </c>
      <c r="AH32" s="217">
        <v>0.5</v>
      </c>
      <c r="AI32" s="217">
        <v>0.5</v>
      </c>
      <c r="AJ32" s="217">
        <v>0.5</v>
      </c>
      <c r="AK32" s="217">
        <v>0.5</v>
      </c>
      <c r="AL32" s="217">
        <v>0.5</v>
      </c>
      <c r="AM32" s="217">
        <v>0.5</v>
      </c>
      <c r="AN32" s="217">
        <v>0.5</v>
      </c>
      <c r="AO32" s="217">
        <v>0.5</v>
      </c>
      <c r="AP32" s="217">
        <v>0.5</v>
      </c>
      <c r="AQ32" s="217">
        <v>0.5</v>
      </c>
      <c r="AR32" s="217">
        <v>0.5</v>
      </c>
      <c r="AS32" s="217">
        <v>0.5</v>
      </c>
      <c r="AT32" s="217">
        <v>0.5</v>
      </c>
      <c r="AU32" s="217">
        <v>0.5</v>
      </c>
      <c r="AV32" s="217">
        <v>0.5</v>
      </c>
      <c r="AW32" s="217">
        <v>0.5</v>
      </c>
      <c r="AX32" s="217">
        <v>0.5</v>
      </c>
      <c r="AY32" s="217">
        <v>0.5</v>
      </c>
      <c r="AZ32" s="217">
        <v>0.5</v>
      </c>
      <c r="BA32" s="177">
        <v>0.5</v>
      </c>
      <c r="BB32" s="177">
        <v>0.5</v>
      </c>
      <c r="BC32" s="177">
        <v>0.5</v>
      </c>
      <c r="BD32" s="177">
        <v>0.5</v>
      </c>
      <c r="BE32" s="177">
        <v>0.5</v>
      </c>
      <c r="BF32" s="177">
        <v>0.5</v>
      </c>
      <c r="BG32" s="177">
        <v>0.5</v>
      </c>
      <c r="BH32" s="177">
        <v>0.5</v>
      </c>
      <c r="BI32" s="177">
        <v>0.5</v>
      </c>
      <c r="BJ32" s="177">
        <v>0.5</v>
      </c>
      <c r="BK32" s="177">
        <v>0.5</v>
      </c>
      <c r="BL32" s="177">
        <v>0.5</v>
      </c>
      <c r="BM32" s="177">
        <v>0.5</v>
      </c>
      <c r="BN32" s="177">
        <v>0.5</v>
      </c>
      <c r="BO32" s="177">
        <v>0.5</v>
      </c>
      <c r="BP32" s="177">
        <v>0.5</v>
      </c>
      <c r="BQ32" s="177">
        <v>0.5</v>
      </c>
      <c r="BR32" s="177">
        <v>0.5</v>
      </c>
      <c r="BS32" s="177">
        <v>0.5</v>
      </c>
      <c r="BT32" s="177">
        <v>0.5</v>
      </c>
      <c r="BU32" s="149"/>
    </row>
    <row r="33" spans="1:78" ht="15" thickBot="1" x14ac:dyDescent="0.35">
      <c r="A33" s="171" t="s">
        <v>428</v>
      </c>
      <c r="B33" s="177" t="s">
        <v>372</v>
      </c>
      <c r="C33" s="177" t="s">
        <v>405</v>
      </c>
      <c r="D33" s="177" t="s">
        <v>374</v>
      </c>
      <c r="E33" s="190" t="s">
        <v>399</v>
      </c>
      <c r="F33" s="177" t="s">
        <v>7</v>
      </c>
      <c r="G33" s="177" t="s">
        <v>313</v>
      </c>
      <c r="H33" s="151" t="s">
        <v>75</v>
      </c>
      <c r="I33" s="199"/>
      <c r="J33" s="177"/>
      <c r="K33" s="209"/>
      <c r="L33" s="177">
        <v>0.57999999999999996</v>
      </c>
      <c r="M33" s="177">
        <v>0.57999999999999996</v>
      </c>
      <c r="N33" s="177">
        <v>0.57999999999999996</v>
      </c>
      <c r="O33" s="177">
        <v>0.57999999999999996</v>
      </c>
      <c r="P33" s="177">
        <v>0.57999999999999996</v>
      </c>
      <c r="Q33" s="177">
        <v>0.57999999999999996</v>
      </c>
      <c r="R33" s="177">
        <v>0.57999999999999996</v>
      </c>
      <c r="S33" s="177">
        <v>0.57999999999999996</v>
      </c>
      <c r="T33" s="177">
        <v>0.57999999999999996</v>
      </c>
      <c r="U33" s="177">
        <v>0.57999999999999996</v>
      </c>
      <c r="V33" s="177">
        <v>0.57999999999999996</v>
      </c>
      <c r="W33" s="177">
        <v>0.57999999999999996</v>
      </c>
      <c r="X33" s="217">
        <v>0.57999999999999996</v>
      </c>
      <c r="Y33" s="217">
        <v>0.57999999999999996</v>
      </c>
      <c r="Z33" s="217">
        <v>0.57999999999999996</v>
      </c>
      <c r="AA33" s="217">
        <v>0.57999999999999996</v>
      </c>
      <c r="AB33" s="217">
        <v>0.57999999999999996</v>
      </c>
      <c r="AC33" s="217">
        <v>0.57999999999999996</v>
      </c>
      <c r="AD33" s="217">
        <v>0.57999999999999996</v>
      </c>
      <c r="AE33" s="217">
        <v>0.57999999999999996</v>
      </c>
      <c r="AF33" s="217">
        <v>0.57999999999999996</v>
      </c>
      <c r="AG33" s="217">
        <v>0.57999999999999996</v>
      </c>
      <c r="AH33" s="217">
        <v>0.57999999999999996</v>
      </c>
      <c r="AI33" s="217">
        <v>0.57999999999999996</v>
      </c>
      <c r="AJ33" s="217">
        <v>0.57999999999999996</v>
      </c>
      <c r="AK33" s="217">
        <v>0.57999999999999996</v>
      </c>
      <c r="AL33" s="217">
        <v>0.57999999999999996</v>
      </c>
      <c r="AM33" s="217">
        <v>0.57999999999999996</v>
      </c>
      <c r="AN33" s="217">
        <v>0.57999999999999996</v>
      </c>
      <c r="AO33" s="217">
        <v>0.57999999999999996</v>
      </c>
      <c r="AP33" s="217">
        <v>0.57999999999999996</v>
      </c>
      <c r="AQ33" s="217">
        <v>0.57999999999999996</v>
      </c>
      <c r="AR33" s="217">
        <v>0.57999999999999996</v>
      </c>
      <c r="AS33" s="217">
        <v>0.57999999999999996</v>
      </c>
      <c r="AT33" s="217">
        <v>0.57999999999999996</v>
      </c>
      <c r="AU33" s="217">
        <v>0.57999999999999996</v>
      </c>
      <c r="AV33" s="217">
        <v>0.57999999999999996</v>
      </c>
      <c r="AW33" s="217">
        <v>0.57999999999999996</v>
      </c>
      <c r="AX33" s="217">
        <v>0.57999999999999996</v>
      </c>
      <c r="AY33" s="217">
        <v>0.57999999999999996</v>
      </c>
      <c r="AZ33" s="217">
        <v>0.57999999999999996</v>
      </c>
      <c r="BA33" s="177">
        <v>0.57999999999999996</v>
      </c>
      <c r="BB33" s="177">
        <v>0.57999999999999996</v>
      </c>
      <c r="BC33" s="177">
        <v>0.57999999999999996</v>
      </c>
      <c r="BD33" s="177">
        <v>0.57999999999999996</v>
      </c>
      <c r="BE33" s="177">
        <v>0.57999999999999996</v>
      </c>
      <c r="BF33" s="177">
        <v>0.57999999999999996</v>
      </c>
      <c r="BG33" s="177">
        <v>0.57999999999999996</v>
      </c>
      <c r="BH33" s="177">
        <v>0.57999999999999996</v>
      </c>
      <c r="BI33" s="177">
        <v>0.57999999999999996</v>
      </c>
      <c r="BJ33" s="177">
        <v>0.57999999999999996</v>
      </c>
      <c r="BK33" s="177">
        <v>0.57999999999999996</v>
      </c>
      <c r="BL33" s="177">
        <v>0.57999999999999996</v>
      </c>
      <c r="BM33" s="177">
        <v>0.57999999999999996</v>
      </c>
      <c r="BN33" s="177">
        <v>0.57999999999999996</v>
      </c>
      <c r="BO33" s="177">
        <v>0.57999999999999996</v>
      </c>
      <c r="BP33" s="177">
        <v>0.57999999999999996</v>
      </c>
      <c r="BQ33" s="177">
        <v>0.57999999999999996</v>
      </c>
      <c r="BR33" s="177">
        <v>0.57999999999999996</v>
      </c>
      <c r="BS33" s="177">
        <v>0.57999999999999996</v>
      </c>
      <c r="BT33" s="177">
        <v>0.57999999999999996</v>
      </c>
      <c r="BU33" s="149"/>
    </row>
    <row r="34" spans="1:78" ht="43.8" thickBot="1" x14ac:dyDescent="0.35">
      <c r="A34" s="171" t="s">
        <v>426</v>
      </c>
      <c r="B34" s="117" t="s">
        <v>372</v>
      </c>
      <c r="C34" s="117" t="s">
        <v>242</v>
      </c>
      <c r="D34" s="117" t="s">
        <v>374</v>
      </c>
      <c r="E34" s="188" t="s">
        <v>375</v>
      </c>
      <c r="F34" s="117" t="s">
        <v>7</v>
      </c>
      <c r="G34" s="117" t="s">
        <v>313</v>
      </c>
      <c r="H34" s="192" t="s">
        <v>75</v>
      </c>
      <c r="I34" s="196"/>
      <c r="J34" s="202"/>
      <c r="K34" s="206"/>
      <c r="L34" s="117">
        <v>1</v>
      </c>
      <c r="M34" s="117">
        <v>1</v>
      </c>
      <c r="N34" s="117">
        <v>1</v>
      </c>
      <c r="O34" s="117">
        <v>1</v>
      </c>
      <c r="P34" s="117">
        <v>1</v>
      </c>
      <c r="Q34" s="117">
        <v>1</v>
      </c>
      <c r="R34" s="117">
        <v>1</v>
      </c>
      <c r="S34" s="117">
        <v>1</v>
      </c>
      <c r="T34" s="117">
        <v>1</v>
      </c>
      <c r="U34" s="117">
        <v>1</v>
      </c>
      <c r="V34" s="117">
        <v>1</v>
      </c>
      <c r="W34" s="117">
        <v>1</v>
      </c>
      <c r="X34" s="117">
        <v>1</v>
      </c>
      <c r="Y34" s="117">
        <v>1</v>
      </c>
      <c r="Z34" s="117">
        <v>1</v>
      </c>
      <c r="AA34" s="117">
        <v>1</v>
      </c>
      <c r="AB34" s="117">
        <v>1</v>
      </c>
      <c r="AC34" s="117">
        <v>1</v>
      </c>
      <c r="AD34" s="117">
        <v>1</v>
      </c>
      <c r="AE34" s="117">
        <v>1</v>
      </c>
      <c r="AF34" s="117">
        <v>1</v>
      </c>
      <c r="AG34" s="117">
        <v>1</v>
      </c>
      <c r="AH34" s="117">
        <v>1</v>
      </c>
      <c r="AI34" s="117">
        <v>1</v>
      </c>
      <c r="AJ34" s="117">
        <v>1</v>
      </c>
      <c r="AK34" s="117">
        <v>1</v>
      </c>
      <c r="AL34" s="117">
        <v>1</v>
      </c>
      <c r="AM34" s="117">
        <v>1</v>
      </c>
      <c r="AN34" s="117">
        <v>1</v>
      </c>
      <c r="AO34" s="117">
        <v>1</v>
      </c>
      <c r="AP34" s="117">
        <v>1</v>
      </c>
      <c r="AQ34" s="117">
        <v>1</v>
      </c>
      <c r="AR34" s="117">
        <v>1</v>
      </c>
      <c r="AS34" s="117">
        <v>1</v>
      </c>
      <c r="AT34" s="117">
        <v>1</v>
      </c>
      <c r="AU34" s="117">
        <v>1</v>
      </c>
      <c r="AV34" s="117">
        <v>1</v>
      </c>
      <c r="AW34" s="117">
        <v>1</v>
      </c>
      <c r="AX34" s="117">
        <v>1</v>
      </c>
      <c r="AY34" s="117">
        <v>1</v>
      </c>
      <c r="AZ34" s="117">
        <v>1</v>
      </c>
      <c r="BA34" s="117">
        <v>1</v>
      </c>
      <c r="BB34" s="117">
        <v>1</v>
      </c>
      <c r="BC34" s="117">
        <v>1</v>
      </c>
      <c r="BD34" s="117">
        <v>1</v>
      </c>
      <c r="BE34" s="117">
        <v>1</v>
      </c>
      <c r="BF34" s="117">
        <v>1</v>
      </c>
      <c r="BG34" s="117">
        <v>1</v>
      </c>
      <c r="BH34" s="117">
        <v>1</v>
      </c>
      <c r="BI34" s="117">
        <v>1</v>
      </c>
      <c r="BJ34" s="117">
        <v>1</v>
      </c>
      <c r="BK34" s="117">
        <v>1</v>
      </c>
      <c r="BL34" s="117">
        <v>1</v>
      </c>
      <c r="BM34" s="117">
        <v>1</v>
      </c>
      <c r="BN34" s="117">
        <v>1</v>
      </c>
      <c r="BO34" s="117">
        <v>1</v>
      </c>
      <c r="BP34" s="117">
        <v>1</v>
      </c>
      <c r="BQ34" s="117">
        <v>1</v>
      </c>
      <c r="BR34" s="117">
        <v>1</v>
      </c>
      <c r="BS34" s="117">
        <v>1</v>
      </c>
      <c r="BT34" s="117">
        <v>1</v>
      </c>
      <c r="BU34" s="149"/>
    </row>
    <row r="35" spans="1:78" ht="43.8" thickBot="1" x14ac:dyDescent="0.35">
      <c r="A35" s="171" t="s">
        <v>426</v>
      </c>
      <c r="B35" s="117" t="s">
        <v>372</v>
      </c>
      <c r="C35" s="19" t="s">
        <v>243</v>
      </c>
      <c r="D35" s="19" t="s">
        <v>374</v>
      </c>
      <c r="E35" s="188" t="s">
        <v>375</v>
      </c>
      <c r="F35" s="117" t="s">
        <v>7</v>
      </c>
      <c r="G35" s="117" t="s">
        <v>313</v>
      </c>
      <c r="H35" s="192" t="s">
        <v>75</v>
      </c>
      <c r="I35" s="196"/>
      <c r="J35" s="202"/>
      <c r="K35" s="206"/>
      <c r="L35" s="117">
        <v>1</v>
      </c>
      <c r="M35" s="117">
        <v>1</v>
      </c>
      <c r="N35" s="117">
        <v>1</v>
      </c>
      <c r="O35" s="117">
        <v>1</v>
      </c>
      <c r="P35" s="117">
        <v>1</v>
      </c>
      <c r="Q35" s="117">
        <v>1</v>
      </c>
      <c r="R35" s="117">
        <v>1</v>
      </c>
      <c r="S35" s="117">
        <v>1</v>
      </c>
      <c r="T35" s="117">
        <v>1</v>
      </c>
      <c r="U35" s="117">
        <v>1</v>
      </c>
      <c r="V35" s="117">
        <v>1</v>
      </c>
      <c r="W35" s="117">
        <v>1</v>
      </c>
      <c r="X35" s="117">
        <v>1</v>
      </c>
      <c r="Y35" s="117">
        <v>1</v>
      </c>
      <c r="Z35" s="117">
        <v>1</v>
      </c>
      <c r="AA35" s="117">
        <v>1</v>
      </c>
      <c r="AB35" s="117">
        <v>1</v>
      </c>
      <c r="AC35" s="117">
        <v>1</v>
      </c>
      <c r="AD35" s="117">
        <v>1</v>
      </c>
      <c r="AE35" s="117">
        <v>1</v>
      </c>
      <c r="AF35" s="117">
        <v>1</v>
      </c>
      <c r="AG35" s="70">
        <v>1</v>
      </c>
      <c r="AH35" s="70">
        <v>1</v>
      </c>
      <c r="AI35" s="70">
        <v>1</v>
      </c>
      <c r="AJ35" s="70">
        <v>1</v>
      </c>
      <c r="AK35" s="70">
        <v>1</v>
      </c>
      <c r="AL35" s="70">
        <v>1</v>
      </c>
      <c r="AM35" s="70">
        <v>1</v>
      </c>
      <c r="AN35" s="70">
        <v>1</v>
      </c>
      <c r="AO35" s="70">
        <v>1</v>
      </c>
      <c r="AP35" s="70">
        <v>1</v>
      </c>
      <c r="AQ35" s="70">
        <v>1</v>
      </c>
      <c r="AR35" s="70">
        <v>1</v>
      </c>
      <c r="AS35" s="70">
        <v>1</v>
      </c>
      <c r="AT35" s="70">
        <v>1</v>
      </c>
      <c r="AU35" s="70">
        <v>1</v>
      </c>
      <c r="AV35" s="70">
        <v>1</v>
      </c>
      <c r="AW35" s="70">
        <v>1</v>
      </c>
      <c r="AX35" s="70">
        <v>1</v>
      </c>
      <c r="AY35" s="70">
        <v>1</v>
      </c>
      <c r="AZ35" s="70">
        <v>1</v>
      </c>
      <c r="BA35" s="70">
        <v>1</v>
      </c>
      <c r="BB35" s="70">
        <v>1</v>
      </c>
      <c r="BC35" s="70">
        <v>1</v>
      </c>
      <c r="BD35" s="70">
        <v>1</v>
      </c>
      <c r="BE35" s="70">
        <v>1</v>
      </c>
      <c r="BF35" s="70">
        <v>1</v>
      </c>
      <c r="BG35" s="70">
        <v>1</v>
      </c>
      <c r="BH35" s="70">
        <v>1</v>
      </c>
      <c r="BI35" s="70">
        <v>1</v>
      </c>
      <c r="BJ35" s="70">
        <v>1</v>
      </c>
      <c r="BK35" s="70">
        <v>1</v>
      </c>
      <c r="BL35" s="70">
        <v>1</v>
      </c>
      <c r="BM35" s="70">
        <v>1</v>
      </c>
      <c r="BN35" s="70">
        <v>1</v>
      </c>
      <c r="BO35" s="70">
        <v>1</v>
      </c>
      <c r="BP35" s="70">
        <v>1</v>
      </c>
      <c r="BQ35" s="70">
        <v>1</v>
      </c>
      <c r="BR35" s="70">
        <v>1</v>
      </c>
      <c r="BS35" s="70">
        <v>1</v>
      </c>
      <c r="BT35" s="70">
        <v>1</v>
      </c>
      <c r="BU35" s="149"/>
      <c r="BW35" s="149"/>
      <c r="BX35" s="149"/>
      <c r="BY35" s="149"/>
      <c r="BZ35" s="149"/>
    </row>
    <row r="36" spans="1:78" ht="43.8" thickBot="1" x14ac:dyDescent="0.35">
      <c r="A36" s="171" t="s">
        <v>426</v>
      </c>
      <c r="B36" s="117" t="s">
        <v>372</v>
      </c>
      <c r="C36" s="19" t="s">
        <v>238</v>
      </c>
      <c r="D36" s="19" t="s">
        <v>374</v>
      </c>
      <c r="E36" s="188" t="s">
        <v>375</v>
      </c>
      <c r="F36" s="117" t="s">
        <v>7</v>
      </c>
      <c r="G36" s="117" t="s">
        <v>313</v>
      </c>
      <c r="H36" s="192" t="s">
        <v>75</v>
      </c>
      <c r="I36" s="196"/>
      <c r="J36" s="202"/>
      <c r="K36" s="206"/>
      <c r="L36" s="117">
        <v>1</v>
      </c>
      <c r="M36" s="117">
        <v>1</v>
      </c>
      <c r="N36" s="117">
        <v>1</v>
      </c>
      <c r="O36" s="117">
        <v>1</v>
      </c>
      <c r="P36" s="117">
        <v>1</v>
      </c>
      <c r="Q36" s="117">
        <v>1</v>
      </c>
      <c r="R36" s="117">
        <v>1</v>
      </c>
      <c r="S36" s="117">
        <v>1</v>
      </c>
      <c r="T36" s="117">
        <v>1</v>
      </c>
      <c r="U36" s="117">
        <v>1</v>
      </c>
      <c r="V36" s="117">
        <v>1</v>
      </c>
      <c r="W36" s="117">
        <v>1</v>
      </c>
      <c r="X36" s="117">
        <v>1</v>
      </c>
      <c r="Y36" s="117">
        <v>1</v>
      </c>
      <c r="Z36" s="117">
        <v>1</v>
      </c>
      <c r="AA36" s="117">
        <v>1</v>
      </c>
      <c r="AB36" s="117">
        <v>1</v>
      </c>
      <c r="AC36" s="117">
        <v>1</v>
      </c>
      <c r="AD36" s="117">
        <v>1</v>
      </c>
      <c r="AE36" s="117">
        <v>1</v>
      </c>
      <c r="AF36" s="117">
        <v>1</v>
      </c>
      <c r="AG36" s="70">
        <v>1</v>
      </c>
      <c r="AH36" s="70">
        <v>1</v>
      </c>
      <c r="AI36" s="70">
        <v>1</v>
      </c>
      <c r="AJ36" s="70">
        <v>1</v>
      </c>
      <c r="AK36" s="70">
        <v>1</v>
      </c>
      <c r="AL36" s="70">
        <v>1</v>
      </c>
      <c r="AM36" s="70">
        <v>1</v>
      </c>
      <c r="AN36" s="70">
        <v>1</v>
      </c>
      <c r="AO36" s="70">
        <v>1</v>
      </c>
      <c r="AP36" s="70">
        <v>1</v>
      </c>
      <c r="AQ36" s="70">
        <v>1</v>
      </c>
      <c r="AR36" s="70">
        <v>1</v>
      </c>
      <c r="AS36" s="70">
        <v>1</v>
      </c>
      <c r="AT36" s="70">
        <v>1</v>
      </c>
      <c r="AU36" s="70">
        <v>1</v>
      </c>
      <c r="AV36" s="70">
        <v>1</v>
      </c>
      <c r="AW36" s="70">
        <v>1</v>
      </c>
      <c r="AX36" s="70">
        <v>1</v>
      </c>
      <c r="AY36" s="70">
        <v>1</v>
      </c>
      <c r="AZ36" s="70">
        <v>1</v>
      </c>
      <c r="BA36" s="70">
        <v>1</v>
      </c>
      <c r="BB36" s="70">
        <v>1</v>
      </c>
      <c r="BC36" s="70">
        <v>1</v>
      </c>
      <c r="BD36" s="70">
        <v>1</v>
      </c>
      <c r="BE36" s="70">
        <v>1</v>
      </c>
      <c r="BF36" s="70">
        <v>1</v>
      </c>
      <c r="BG36" s="70">
        <v>1</v>
      </c>
      <c r="BH36" s="70">
        <v>1</v>
      </c>
      <c r="BI36" s="70">
        <v>1</v>
      </c>
      <c r="BJ36" s="70">
        <v>1</v>
      </c>
      <c r="BK36" s="70">
        <v>1</v>
      </c>
      <c r="BL36" s="70">
        <v>1</v>
      </c>
      <c r="BM36" s="70">
        <v>1</v>
      </c>
      <c r="BN36" s="70">
        <v>1</v>
      </c>
      <c r="BO36" s="70">
        <v>1</v>
      </c>
      <c r="BP36" s="70">
        <v>1</v>
      </c>
      <c r="BQ36" s="70">
        <v>1</v>
      </c>
      <c r="BR36" s="70">
        <v>1</v>
      </c>
      <c r="BS36" s="70">
        <v>1</v>
      </c>
      <c r="BT36" s="70">
        <v>1</v>
      </c>
      <c r="BU36" s="149"/>
      <c r="BW36" s="149"/>
      <c r="BX36" s="149"/>
      <c r="BY36" s="149"/>
      <c r="BZ36" s="149"/>
    </row>
    <row r="37" spans="1:78" ht="43.8" thickBot="1" x14ac:dyDescent="0.35">
      <c r="A37" s="171" t="s">
        <v>426</v>
      </c>
      <c r="B37" s="117" t="s">
        <v>372</v>
      </c>
      <c r="C37" s="19" t="s">
        <v>239</v>
      </c>
      <c r="D37" s="19" t="s">
        <v>374</v>
      </c>
      <c r="E37" s="188" t="s">
        <v>375</v>
      </c>
      <c r="F37" s="117" t="s">
        <v>7</v>
      </c>
      <c r="G37" s="117" t="s">
        <v>313</v>
      </c>
      <c r="H37" s="192" t="s">
        <v>75</v>
      </c>
      <c r="I37" s="196"/>
      <c r="J37" s="202"/>
      <c r="K37" s="206"/>
      <c r="L37" s="117">
        <v>1</v>
      </c>
      <c r="M37" s="117">
        <v>1</v>
      </c>
      <c r="N37" s="117">
        <v>1</v>
      </c>
      <c r="O37" s="117">
        <v>1</v>
      </c>
      <c r="P37" s="117">
        <v>1</v>
      </c>
      <c r="Q37" s="117">
        <v>1</v>
      </c>
      <c r="R37" s="117">
        <v>1</v>
      </c>
      <c r="S37" s="117">
        <v>1</v>
      </c>
      <c r="T37" s="117">
        <v>1</v>
      </c>
      <c r="U37" s="117">
        <v>1</v>
      </c>
      <c r="V37" s="117">
        <v>1</v>
      </c>
      <c r="W37" s="117">
        <v>1</v>
      </c>
      <c r="X37" s="117">
        <v>1</v>
      </c>
      <c r="Y37" s="117">
        <v>1</v>
      </c>
      <c r="Z37" s="117">
        <v>1</v>
      </c>
      <c r="AA37" s="117">
        <v>1</v>
      </c>
      <c r="AB37" s="117">
        <v>1</v>
      </c>
      <c r="AC37" s="117">
        <v>1</v>
      </c>
      <c r="AD37" s="117">
        <v>1</v>
      </c>
      <c r="AE37" s="117">
        <v>1</v>
      </c>
      <c r="AF37" s="117">
        <v>1</v>
      </c>
      <c r="AG37" s="70">
        <v>1</v>
      </c>
      <c r="AH37" s="70">
        <v>1</v>
      </c>
      <c r="AI37" s="70">
        <v>1</v>
      </c>
      <c r="AJ37" s="70">
        <v>1</v>
      </c>
      <c r="AK37" s="70">
        <v>1</v>
      </c>
      <c r="AL37" s="70">
        <v>1</v>
      </c>
      <c r="AM37" s="70">
        <v>1</v>
      </c>
      <c r="AN37" s="70">
        <v>1</v>
      </c>
      <c r="AO37" s="70">
        <v>1</v>
      </c>
      <c r="AP37" s="70">
        <v>1</v>
      </c>
      <c r="AQ37" s="70">
        <v>1</v>
      </c>
      <c r="AR37" s="70">
        <v>1</v>
      </c>
      <c r="AS37" s="70">
        <v>1</v>
      </c>
      <c r="AT37" s="70">
        <v>1</v>
      </c>
      <c r="AU37" s="70">
        <v>1</v>
      </c>
      <c r="AV37" s="70">
        <v>1</v>
      </c>
      <c r="AW37" s="70">
        <v>1</v>
      </c>
      <c r="AX37" s="70">
        <v>1</v>
      </c>
      <c r="AY37" s="70">
        <v>1</v>
      </c>
      <c r="AZ37" s="70">
        <v>1</v>
      </c>
      <c r="BA37" s="70">
        <v>1</v>
      </c>
      <c r="BB37" s="70">
        <v>1</v>
      </c>
      <c r="BC37" s="70">
        <v>1</v>
      </c>
      <c r="BD37" s="70">
        <v>1</v>
      </c>
      <c r="BE37" s="70">
        <v>1</v>
      </c>
      <c r="BF37" s="70">
        <v>1</v>
      </c>
      <c r="BG37" s="70">
        <v>1</v>
      </c>
      <c r="BH37" s="70">
        <v>1</v>
      </c>
      <c r="BI37" s="70">
        <v>1</v>
      </c>
      <c r="BJ37" s="70">
        <v>1</v>
      </c>
      <c r="BK37" s="70">
        <v>1</v>
      </c>
      <c r="BL37" s="70">
        <v>1</v>
      </c>
      <c r="BM37" s="70">
        <v>1</v>
      </c>
      <c r="BN37" s="70">
        <v>1</v>
      </c>
      <c r="BO37" s="70">
        <v>1</v>
      </c>
      <c r="BP37" s="70">
        <v>1</v>
      </c>
      <c r="BQ37" s="70">
        <v>1</v>
      </c>
      <c r="BR37" s="70">
        <v>1</v>
      </c>
      <c r="BS37" s="70">
        <v>1</v>
      </c>
      <c r="BT37" s="70">
        <v>1</v>
      </c>
      <c r="BU37" s="149"/>
      <c r="BW37" s="149"/>
      <c r="BX37" s="149"/>
      <c r="BY37" s="149"/>
      <c r="BZ37" s="149"/>
    </row>
    <row r="38" spans="1:78" ht="43.8" thickBot="1" x14ac:dyDescent="0.35">
      <c r="A38" s="171" t="s">
        <v>426</v>
      </c>
      <c r="B38" s="117" t="s">
        <v>372</v>
      </c>
      <c r="C38" s="19" t="s">
        <v>240</v>
      </c>
      <c r="D38" s="19" t="s">
        <v>374</v>
      </c>
      <c r="E38" s="188" t="s">
        <v>375</v>
      </c>
      <c r="F38" s="117" t="s">
        <v>7</v>
      </c>
      <c r="G38" s="117" t="s">
        <v>313</v>
      </c>
      <c r="H38" s="192" t="s">
        <v>75</v>
      </c>
      <c r="I38" s="196"/>
      <c r="J38" s="202"/>
      <c r="K38" s="206"/>
      <c r="L38" s="117">
        <v>1</v>
      </c>
      <c r="M38" s="117">
        <v>1</v>
      </c>
      <c r="N38" s="117">
        <v>1</v>
      </c>
      <c r="O38" s="117">
        <v>1</v>
      </c>
      <c r="P38" s="117">
        <v>1</v>
      </c>
      <c r="Q38" s="117">
        <v>1</v>
      </c>
      <c r="R38" s="117">
        <v>1</v>
      </c>
      <c r="S38" s="117">
        <v>1</v>
      </c>
      <c r="T38" s="117">
        <v>1</v>
      </c>
      <c r="U38" s="117">
        <v>1</v>
      </c>
      <c r="V38" s="117">
        <v>1</v>
      </c>
      <c r="W38" s="117">
        <v>1</v>
      </c>
      <c r="X38" s="117">
        <v>1</v>
      </c>
      <c r="Y38" s="117">
        <v>1</v>
      </c>
      <c r="Z38" s="117">
        <v>1</v>
      </c>
      <c r="AA38" s="117">
        <v>1</v>
      </c>
      <c r="AB38" s="117">
        <v>1</v>
      </c>
      <c r="AC38" s="117">
        <v>1</v>
      </c>
      <c r="AD38" s="117">
        <v>1</v>
      </c>
      <c r="AE38" s="117">
        <v>1</v>
      </c>
      <c r="AF38" s="117">
        <v>1</v>
      </c>
      <c r="AG38" s="70">
        <v>1</v>
      </c>
      <c r="AH38" s="70">
        <v>1</v>
      </c>
      <c r="AI38" s="70">
        <v>1</v>
      </c>
      <c r="AJ38" s="70">
        <v>1</v>
      </c>
      <c r="AK38" s="70">
        <v>1</v>
      </c>
      <c r="AL38" s="70">
        <v>1</v>
      </c>
      <c r="AM38" s="70">
        <v>1</v>
      </c>
      <c r="AN38" s="70">
        <v>1</v>
      </c>
      <c r="AO38" s="70">
        <v>1</v>
      </c>
      <c r="AP38" s="70">
        <v>1</v>
      </c>
      <c r="AQ38" s="70">
        <v>1</v>
      </c>
      <c r="AR38" s="70">
        <v>1</v>
      </c>
      <c r="AS38" s="70">
        <v>1</v>
      </c>
      <c r="AT38" s="70">
        <v>1</v>
      </c>
      <c r="AU38" s="70">
        <v>1</v>
      </c>
      <c r="AV38" s="70">
        <v>1</v>
      </c>
      <c r="AW38" s="70">
        <v>1</v>
      </c>
      <c r="AX38" s="70">
        <v>1</v>
      </c>
      <c r="AY38" s="70">
        <v>1</v>
      </c>
      <c r="AZ38" s="70">
        <v>1</v>
      </c>
      <c r="BA38" s="70">
        <v>1</v>
      </c>
      <c r="BB38" s="70">
        <v>1</v>
      </c>
      <c r="BC38" s="70">
        <v>1</v>
      </c>
      <c r="BD38" s="70">
        <v>1</v>
      </c>
      <c r="BE38" s="70">
        <v>1</v>
      </c>
      <c r="BF38" s="70">
        <v>1</v>
      </c>
      <c r="BG38" s="70">
        <v>1</v>
      </c>
      <c r="BH38" s="70">
        <v>1</v>
      </c>
      <c r="BI38" s="70">
        <v>1</v>
      </c>
      <c r="BJ38" s="70">
        <v>1</v>
      </c>
      <c r="BK38" s="70">
        <v>1</v>
      </c>
      <c r="BL38" s="70">
        <v>1</v>
      </c>
      <c r="BM38" s="70">
        <v>1</v>
      </c>
      <c r="BN38" s="70">
        <v>1</v>
      </c>
      <c r="BO38" s="70">
        <v>1</v>
      </c>
      <c r="BP38" s="70">
        <v>1</v>
      </c>
      <c r="BQ38" s="70">
        <v>1</v>
      </c>
      <c r="BR38" s="70">
        <v>1</v>
      </c>
      <c r="BS38" s="70">
        <v>1</v>
      </c>
      <c r="BT38" s="70">
        <v>1</v>
      </c>
      <c r="BU38" s="149"/>
      <c r="BW38" s="149"/>
      <c r="BX38" s="149"/>
      <c r="BY38" s="149"/>
      <c r="BZ38" s="149"/>
    </row>
    <row r="39" spans="1:78" ht="43.8" thickBot="1" x14ac:dyDescent="0.35">
      <c r="A39" s="166" t="s">
        <v>426</v>
      </c>
      <c r="B39" s="117" t="s">
        <v>372</v>
      </c>
      <c r="C39" s="19" t="s">
        <v>245</v>
      </c>
      <c r="D39" s="19" t="s">
        <v>374</v>
      </c>
      <c r="E39" s="188" t="s">
        <v>375</v>
      </c>
      <c r="F39" s="117" t="s">
        <v>7</v>
      </c>
      <c r="G39" s="117" t="s">
        <v>313</v>
      </c>
      <c r="H39" s="192" t="s">
        <v>75</v>
      </c>
      <c r="I39" s="196"/>
      <c r="J39" s="202"/>
      <c r="K39" s="206"/>
      <c r="L39" s="117">
        <v>1</v>
      </c>
      <c r="M39" s="117">
        <v>1</v>
      </c>
      <c r="N39" s="117">
        <v>1</v>
      </c>
      <c r="O39" s="117">
        <v>1</v>
      </c>
      <c r="P39" s="117">
        <v>1</v>
      </c>
      <c r="Q39" s="117">
        <v>1</v>
      </c>
      <c r="R39" s="117">
        <v>1</v>
      </c>
      <c r="S39" s="117">
        <v>1</v>
      </c>
      <c r="T39" s="117">
        <v>1</v>
      </c>
      <c r="U39" s="117">
        <v>1</v>
      </c>
      <c r="V39" s="117">
        <v>1</v>
      </c>
      <c r="W39" s="117">
        <v>1</v>
      </c>
      <c r="X39" s="70">
        <v>1</v>
      </c>
      <c r="Y39" s="70">
        <v>1</v>
      </c>
      <c r="Z39" s="70">
        <v>1</v>
      </c>
      <c r="AA39" s="70">
        <v>1</v>
      </c>
      <c r="AB39" s="70">
        <v>1</v>
      </c>
      <c r="AC39" s="70">
        <v>1</v>
      </c>
      <c r="AD39" s="70">
        <v>1</v>
      </c>
      <c r="AE39" s="70">
        <v>1</v>
      </c>
      <c r="AF39" s="70">
        <v>1</v>
      </c>
      <c r="AG39" s="70">
        <v>1</v>
      </c>
      <c r="AH39" s="70">
        <v>1</v>
      </c>
      <c r="AI39" s="70">
        <v>1</v>
      </c>
      <c r="AJ39" s="70">
        <v>1</v>
      </c>
      <c r="AK39" s="70">
        <v>1</v>
      </c>
      <c r="AL39" s="70">
        <v>1</v>
      </c>
      <c r="AM39" s="70">
        <v>1</v>
      </c>
      <c r="AN39" s="70">
        <v>1</v>
      </c>
      <c r="AO39" s="70">
        <v>1</v>
      </c>
      <c r="AP39" s="70">
        <v>1</v>
      </c>
      <c r="AQ39" s="70">
        <v>1</v>
      </c>
      <c r="AR39" s="70">
        <v>1</v>
      </c>
      <c r="AS39" s="70">
        <v>1</v>
      </c>
      <c r="AT39" s="70">
        <v>1</v>
      </c>
      <c r="AU39" s="70">
        <v>1</v>
      </c>
      <c r="AV39" s="70">
        <v>1</v>
      </c>
      <c r="AW39" s="70">
        <v>1</v>
      </c>
      <c r="AX39" s="70">
        <v>1</v>
      </c>
      <c r="AY39" s="70">
        <v>1</v>
      </c>
      <c r="AZ39" s="70">
        <v>1</v>
      </c>
      <c r="BA39" s="70">
        <v>1</v>
      </c>
      <c r="BB39" s="70">
        <v>1</v>
      </c>
      <c r="BC39" s="70">
        <v>1</v>
      </c>
      <c r="BD39" s="70">
        <v>1</v>
      </c>
      <c r="BE39" s="70">
        <v>1</v>
      </c>
      <c r="BF39" s="70">
        <v>1</v>
      </c>
      <c r="BG39" s="70">
        <v>1</v>
      </c>
      <c r="BH39" s="70">
        <v>1</v>
      </c>
      <c r="BI39" s="70">
        <v>1</v>
      </c>
      <c r="BJ39" s="70">
        <v>1</v>
      </c>
      <c r="BK39" s="70">
        <v>1</v>
      </c>
      <c r="BL39" s="70">
        <v>1</v>
      </c>
      <c r="BM39" s="70">
        <v>1</v>
      </c>
      <c r="BN39" s="70">
        <v>1</v>
      </c>
      <c r="BO39" s="70">
        <v>1</v>
      </c>
      <c r="BP39" s="70">
        <v>1</v>
      </c>
      <c r="BQ39" s="70">
        <v>1</v>
      </c>
      <c r="BR39" s="70">
        <v>1</v>
      </c>
      <c r="BS39" s="70">
        <v>1</v>
      </c>
      <c r="BT39" s="70">
        <v>1</v>
      </c>
      <c r="BU39" s="149"/>
    </row>
    <row r="40" spans="1:78" ht="43.8" thickBot="1" x14ac:dyDescent="0.35">
      <c r="A40" s="166" t="s">
        <v>426</v>
      </c>
      <c r="B40" s="117" t="s">
        <v>372</v>
      </c>
      <c r="C40" s="19" t="s">
        <v>262</v>
      </c>
      <c r="D40" s="19" t="s">
        <v>374</v>
      </c>
      <c r="E40" s="188" t="s">
        <v>375</v>
      </c>
      <c r="F40" s="117" t="s">
        <v>7</v>
      </c>
      <c r="G40" s="117" t="s">
        <v>313</v>
      </c>
      <c r="H40" s="192" t="s">
        <v>75</v>
      </c>
      <c r="I40" s="196"/>
      <c r="J40" s="202"/>
      <c r="K40" s="206"/>
      <c r="L40" s="117">
        <v>1</v>
      </c>
      <c r="M40" s="117">
        <v>1</v>
      </c>
      <c r="N40" s="117">
        <v>1</v>
      </c>
      <c r="O40" s="117">
        <v>1</v>
      </c>
      <c r="P40" s="117">
        <v>1</v>
      </c>
      <c r="Q40" s="117">
        <v>1</v>
      </c>
      <c r="R40" s="117">
        <v>1</v>
      </c>
      <c r="S40" s="117">
        <v>1</v>
      </c>
      <c r="T40" s="117">
        <v>1</v>
      </c>
      <c r="U40" s="117">
        <v>1</v>
      </c>
      <c r="V40" s="117">
        <v>1</v>
      </c>
      <c r="W40" s="117">
        <v>1</v>
      </c>
      <c r="X40" s="70">
        <v>1</v>
      </c>
      <c r="Y40" s="70">
        <v>1</v>
      </c>
      <c r="Z40" s="70">
        <v>1</v>
      </c>
      <c r="AA40" s="70">
        <v>1</v>
      </c>
      <c r="AB40" s="70">
        <v>1</v>
      </c>
      <c r="AC40" s="70">
        <v>1</v>
      </c>
      <c r="AD40" s="70">
        <v>1</v>
      </c>
      <c r="AE40" s="70">
        <v>1</v>
      </c>
      <c r="AF40" s="70">
        <v>1</v>
      </c>
      <c r="AG40" s="70">
        <v>1</v>
      </c>
      <c r="AH40" s="70">
        <v>1</v>
      </c>
      <c r="AI40" s="70">
        <v>1</v>
      </c>
      <c r="AJ40" s="70">
        <v>1</v>
      </c>
      <c r="AK40" s="70">
        <v>1</v>
      </c>
      <c r="AL40" s="70">
        <v>1</v>
      </c>
      <c r="AM40" s="70">
        <v>1</v>
      </c>
      <c r="AN40" s="70">
        <v>1</v>
      </c>
      <c r="AO40" s="70">
        <v>1</v>
      </c>
      <c r="AP40" s="70">
        <v>1</v>
      </c>
      <c r="AQ40" s="70">
        <v>1</v>
      </c>
      <c r="AR40" s="70">
        <v>1</v>
      </c>
      <c r="AS40" s="70">
        <v>1</v>
      </c>
      <c r="AT40" s="70">
        <v>1</v>
      </c>
      <c r="AU40" s="70">
        <v>1</v>
      </c>
      <c r="AV40" s="70">
        <v>1</v>
      </c>
      <c r="AW40" s="70">
        <v>1</v>
      </c>
      <c r="AX40" s="70">
        <v>1</v>
      </c>
      <c r="AY40" s="70">
        <v>1</v>
      </c>
      <c r="AZ40" s="70">
        <v>1</v>
      </c>
      <c r="BA40" s="70">
        <v>1</v>
      </c>
      <c r="BB40" s="70">
        <v>1</v>
      </c>
      <c r="BC40" s="70">
        <v>1</v>
      </c>
      <c r="BD40" s="70">
        <v>1</v>
      </c>
      <c r="BE40" s="70">
        <v>1</v>
      </c>
      <c r="BF40" s="70">
        <v>1</v>
      </c>
      <c r="BG40" s="70">
        <v>1</v>
      </c>
      <c r="BH40" s="70">
        <v>1</v>
      </c>
      <c r="BI40" s="70">
        <v>1</v>
      </c>
      <c r="BJ40" s="70">
        <v>1</v>
      </c>
      <c r="BK40" s="70">
        <v>1</v>
      </c>
      <c r="BL40" s="70">
        <v>1</v>
      </c>
      <c r="BM40" s="70">
        <v>1</v>
      </c>
      <c r="BN40" s="70">
        <v>1</v>
      </c>
      <c r="BO40" s="70">
        <v>1</v>
      </c>
      <c r="BP40" s="70">
        <v>1</v>
      </c>
      <c r="BQ40" s="70">
        <v>1</v>
      </c>
      <c r="BR40" s="70">
        <v>1</v>
      </c>
      <c r="BS40" s="70">
        <v>1</v>
      </c>
      <c r="BT40" s="70">
        <v>1</v>
      </c>
      <c r="BU40" s="149"/>
    </row>
    <row r="41" spans="1:78" ht="43.8" thickBot="1" x14ac:dyDescent="0.35">
      <c r="A41" s="166" t="s">
        <v>426</v>
      </c>
      <c r="B41" s="117" t="s">
        <v>372</v>
      </c>
      <c r="C41" s="19" t="s">
        <v>257</v>
      </c>
      <c r="D41" s="19" t="s">
        <v>374</v>
      </c>
      <c r="E41" s="188" t="s">
        <v>375</v>
      </c>
      <c r="F41" s="117" t="s">
        <v>7</v>
      </c>
      <c r="G41" s="117" t="s">
        <v>313</v>
      </c>
      <c r="H41" s="192" t="s">
        <v>75</v>
      </c>
      <c r="I41" s="196"/>
      <c r="J41" s="202"/>
      <c r="K41" s="206"/>
      <c r="L41" s="117">
        <v>1</v>
      </c>
      <c r="M41" s="117">
        <v>1</v>
      </c>
      <c r="N41" s="117">
        <v>1</v>
      </c>
      <c r="O41" s="117">
        <v>1</v>
      </c>
      <c r="P41" s="117">
        <v>1</v>
      </c>
      <c r="Q41" s="117">
        <v>1</v>
      </c>
      <c r="R41" s="117">
        <v>1</v>
      </c>
      <c r="S41" s="117">
        <v>1</v>
      </c>
      <c r="T41" s="117">
        <v>1</v>
      </c>
      <c r="U41" s="117">
        <v>1</v>
      </c>
      <c r="V41" s="117">
        <v>1</v>
      </c>
      <c r="W41" s="117">
        <v>1</v>
      </c>
      <c r="X41" s="70">
        <v>1</v>
      </c>
      <c r="Y41" s="70">
        <v>1</v>
      </c>
      <c r="Z41" s="70">
        <v>1</v>
      </c>
      <c r="AA41" s="70">
        <v>1</v>
      </c>
      <c r="AB41" s="70">
        <v>1</v>
      </c>
      <c r="AC41" s="70">
        <v>1</v>
      </c>
      <c r="AD41" s="70">
        <v>1</v>
      </c>
      <c r="AE41" s="70">
        <v>1</v>
      </c>
      <c r="AF41" s="70">
        <v>1</v>
      </c>
      <c r="AG41" s="70">
        <v>1</v>
      </c>
      <c r="AH41" s="70">
        <v>1</v>
      </c>
      <c r="AI41" s="70">
        <v>1</v>
      </c>
      <c r="AJ41" s="70">
        <v>1</v>
      </c>
      <c r="AK41" s="70">
        <v>1</v>
      </c>
      <c r="AL41" s="70">
        <v>1</v>
      </c>
      <c r="AM41" s="70">
        <v>1</v>
      </c>
      <c r="AN41" s="70">
        <v>1</v>
      </c>
      <c r="AO41" s="70">
        <v>1</v>
      </c>
      <c r="AP41" s="70">
        <v>1</v>
      </c>
      <c r="AQ41" s="70">
        <v>1</v>
      </c>
      <c r="AR41" s="70">
        <v>1</v>
      </c>
      <c r="AS41" s="70">
        <v>1</v>
      </c>
      <c r="AT41" s="70">
        <v>1</v>
      </c>
      <c r="AU41" s="70">
        <v>1</v>
      </c>
      <c r="AV41" s="70">
        <v>1</v>
      </c>
      <c r="AW41" s="70">
        <v>1</v>
      </c>
      <c r="AX41" s="70">
        <v>1</v>
      </c>
      <c r="AY41" s="70">
        <v>1</v>
      </c>
      <c r="AZ41" s="70">
        <v>1</v>
      </c>
      <c r="BA41" s="70">
        <v>1</v>
      </c>
      <c r="BB41" s="70">
        <v>1</v>
      </c>
      <c r="BC41" s="70">
        <v>1</v>
      </c>
      <c r="BD41" s="70">
        <v>1</v>
      </c>
      <c r="BE41" s="70">
        <v>1</v>
      </c>
      <c r="BF41" s="70">
        <v>1</v>
      </c>
      <c r="BG41" s="70">
        <v>1</v>
      </c>
      <c r="BH41" s="70">
        <v>1</v>
      </c>
      <c r="BI41" s="70">
        <v>1</v>
      </c>
      <c r="BJ41" s="70">
        <v>1</v>
      </c>
      <c r="BK41" s="70">
        <v>1</v>
      </c>
      <c r="BL41" s="70">
        <v>1</v>
      </c>
      <c r="BM41" s="70">
        <v>1</v>
      </c>
      <c r="BN41" s="70">
        <v>1</v>
      </c>
      <c r="BO41" s="70">
        <v>1</v>
      </c>
      <c r="BP41" s="70">
        <v>1</v>
      </c>
      <c r="BQ41" s="70">
        <v>1</v>
      </c>
      <c r="BR41" s="70">
        <v>1</v>
      </c>
      <c r="BS41" s="70">
        <v>1</v>
      </c>
      <c r="BT41" s="70">
        <v>1</v>
      </c>
      <c r="BU41" s="149"/>
    </row>
    <row r="42" spans="1:78" ht="43.8" thickBot="1" x14ac:dyDescent="0.35">
      <c r="A42" s="166" t="s">
        <v>426</v>
      </c>
      <c r="B42" s="117" t="s">
        <v>372</v>
      </c>
      <c r="C42" s="19" t="s">
        <v>405</v>
      </c>
      <c r="D42" s="19" t="s">
        <v>374</v>
      </c>
      <c r="E42" s="188" t="s">
        <v>375</v>
      </c>
      <c r="F42" s="117" t="s">
        <v>7</v>
      </c>
      <c r="G42" s="117" t="s">
        <v>313</v>
      </c>
      <c r="H42" s="192" t="s">
        <v>75</v>
      </c>
      <c r="I42" s="196"/>
      <c r="J42" s="202"/>
      <c r="K42" s="206"/>
      <c r="L42" s="117">
        <v>1</v>
      </c>
      <c r="M42" s="117">
        <v>1</v>
      </c>
      <c r="N42" s="117">
        <v>1</v>
      </c>
      <c r="O42" s="117">
        <v>1</v>
      </c>
      <c r="P42" s="117">
        <v>1</v>
      </c>
      <c r="Q42" s="117">
        <v>1</v>
      </c>
      <c r="R42" s="117">
        <v>1</v>
      </c>
      <c r="S42" s="117">
        <v>1</v>
      </c>
      <c r="T42" s="117">
        <v>1</v>
      </c>
      <c r="U42" s="117">
        <v>1</v>
      </c>
      <c r="V42" s="117">
        <v>1</v>
      </c>
      <c r="W42" s="117">
        <v>1</v>
      </c>
      <c r="X42" s="70">
        <v>1</v>
      </c>
      <c r="Y42" s="70">
        <v>1</v>
      </c>
      <c r="Z42" s="70">
        <v>1</v>
      </c>
      <c r="AA42" s="70">
        <v>1</v>
      </c>
      <c r="AB42" s="70">
        <v>1</v>
      </c>
      <c r="AC42" s="70">
        <v>1</v>
      </c>
      <c r="AD42" s="70">
        <v>1</v>
      </c>
      <c r="AE42" s="70">
        <v>1</v>
      </c>
      <c r="AF42" s="70">
        <v>1</v>
      </c>
      <c r="AG42" s="70">
        <v>1</v>
      </c>
      <c r="AH42" s="70">
        <v>1</v>
      </c>
      <c r="AI42" s="70">
        <v>1</v>
      </c>
      <c r="AJ42" s="70">
        <v>1</v>
      </c>
      <c r="AK42" s="70">
        <v>1</v>
      </c>
      <c r="AL42" s="70">
        <v>1</v>
      </c>
      <c r="AM42" s="70">
        <v>1</v>
      </c>
      <c r="AN42" s="70">
        <v>1</v>
      </c>
      <c r="AO42" s="70">
        <v>1</v>
      </c>
      <c r="AP42" s="70">
        <v>1</v>
      </c>
      <c r="AQ42" s="70">
        <v>1</v>
      </c>
      <c r="AR42" s="70">
        <v>1</v>
      </c>
      <c r="AS42" s="70">
        <v>1</v>
      </c>
      <c r="AT42" s="70">
        <v>1</v>
      </c>
      <c r="AU42" s="70">
        <v>1</v>
      </c>
      <c r="AV42" s="70">
        <v>1</v>
      </c>
      <c r="AW42" s="70">
        <v>1</v>
      </c>
      <c r="AX42" s="70">
        <v>1</v>
      </c>
      <c r="AY42" s="70">
        <v>1</v>
      </c>
      <c r="AZ42" s="70">
        <v>1</v>
      </c>
      <c r="BA42" s="70">
        <v>1</v>
      </c>
      <c r="BB42" s="70">
        <v>1</v>
      </c>
      <c r="BC42" s="70">
        <v>1</v>
      </c>
      <c r="BD42" s="70">
        <v>1</v>
      </c>
      <c r="BE42" s="70">
        <v>1</v>
      </c>
      <c r="BF42" s="70">
        <v>1</v>
      </c>
      <c r="BG42" s="70">
        <v>1</v>
      </c>
      <c r="BH42" s="70">
        <v>1</v>
      </c>
      <c r="BI42" s="70">
        <v>1</v>
      </c>
      <c r="BJ42" s="70">
        <v>1</v>
      </c>
      <c r="BK42" s="70">
        <v>1</v>
      </c>
      <c r="BL42" s="70">
        <v>1</v>
      </c>
      <c r="BM42" s="70">
        <v>1</v>
      </c>
      <c r="BN42" s="70">
        <v>1</v>
      </c>
      <c r="BO42" s="70">
        <v>1</v>
      </c>
      <c r="BP42" s="70">
        <v>1</v>
      </c>
      <c r="BQ42" s="70">
        <v>1</v>
      </c>
      <c r="BR42" s="70">
        <v>1</v>
      </c>
      <c r="BS42" s="70">
        <v>1</v>
      </c>
      <c r="BT42" s="70">
        <v>1</v>
      </c>
      <c r="BU42" s="149"/>
    </row>
    <row r="43" spans="1:78" ht="43.8" thickBot="1" x14ac:dyDescent="0.35">
      <c r="A43" s="171" t="s">
        <v>426</v>
      </c>
      <c r="B43" s="117" t="s">
        <v>372</v>
      </c>
      <c r="C43" s="117" t="s">
        <v>231</v>
      </c>
      <c r="D43" s="117" t="s">
        <v>374</v>
      </c>
      <c r="E43" s="188" t="s">
        <v>375</v>
      </c>
      <c r="F43" s="117" t="s">
        <v>7</v>
      </c>
      <c r="G43" s="117" t="s">
        <v>313</v>
      </c>
      <c r="H43" s="192" t="s">
        <v>75</v>
      </c>
      <c r="I43" s="196"/>
      <c r="J43" s="202"/>
      <c r="K43" s="206"/>
      <c r="L43" s="117">
        <v>1</v>
      </c>
      <c r="M43" s="117">
        <v>1</v>
      </c>
      <c r="N43" s="117">
        <v>1</v>
      </c>
      <c r="O43" s="117">
        <v>1</v>
      </c>
      <c r="P43" s="117">
        <v>1</v>
      </c>
      <c r="Q43" s="117">
        <v>1</v>
      </c>
      <c r="R43" s="117">
        <v>1</v>
      </c>
      <c r="S43" s="117">
        <v>1</v>
      </c>
      <c r="T43" s="117">
        <v>1</v>
      </c>
      <c r="U43" s="117">
        <v>1</v>
      </c>
      <c r="V43" s="117">
        <v>1</v>
      </c>
      <c r="W43" s="117">
        <v>1</v>
      </c>
      <c r="X43" s="117">
        <v>1</v>
      </c>
      <c r="Y43" s="117">
        <v>1</v>
      </c>
      <c r="Z43" s="117">
        <v>1</v>
      </c>
      <c r="AA43" s="117">
        <v>1</v>
      </c>
      <c r="AB43" s="117">
        <v>1</v>
      </c>
      <c r="AC43" s="117">
        <v>1</v>
      </c>
      <c r="AD43" s="117">
        <v>1</v>
      </c>
      <c r="AE43" s="117">
        <v>1</v>
      </c>
      <c r="AF43" s="117">
        <v>1</v>
      </c>
      <c r="AG43" s="117">
        <v>1</v>
      </c>
      <c r="AH43" s="117">
        <v>1</v>
      </c>
      <c r="AI43" s="117">
        <v>1</v>
      </c>
      <c r="AJ43" s="117">
        <v>1</v>
      </c>
      <c r="AK43" s="117">
        <v>1</v>
      </c>
      <c r="AL43" s="117">
        <v>1</v>
      </c>
      <c r="AM43" s="117">
        <v>1</v>
      </c>
      <c r="AN43" s="117">
        <v>1</v>
      </c>
      <c r="AO43" s="117">
        <v>1</v>
      </c>
      <c r="AP43" s="117">
        <v>1</v>
      </c>
      <c r="AQ43" s="117">
        <v>1</v>
      </c>
      <c r="AR43" s="117">
        <v>1</v>
      </c>
      <c r="AS43" s="117">
        <v>1</v>
      </c>
      <c r="AT43" s="117">
        <v>1</v>
      </c>
      <c r="AU43" s="117">
        <v>1</v>
      </c>
      <c r="AV43" s="117">
        <v>1</v>
      </c>
      <c r="AW43" s="117">
        <v>1</v>
      </c>
      <c r="AX43" s="117">
        <v>1</v>
      </c>
      <c r="AY43" s="117">
        <v>1</v>
      </c>
      <c r="AZ43" s="117">
        <v>1</v>
      </c>
      <c r="BA43" s="117">
        <v>1</v>
      </c>
      <c r="BB43" s="117">
        <v>1</v>
      </c>
      <c r="BC43" s="117">
        <v>1</v>
      </c>
      <c r="BD43" s="117">
        <v>1</v>
      </c>
      <c r="BE43" s="117">
        <v>1</v>
      </c>
      <c r="BF43" s="117">
        <v>1</v>
      </c>
      <c r="BG43" s="117">
        <v>1</v>
      </c>
      <c r="BH43" s="117">
        <v>1</v>
      </c>
      <c r="BI43" s="117">
        <v>1</v>
      </c>
      <c r="BJ43" s="117">
        <v>1</v>
      </c>
      <c r="BK43" s="117">
        <v>1</v>
      </c>
      <c r="BL43" s="117">
        <v>1</v>
      </c>
      <c r="BM43" s="117">
        <v>1</v>
      </c>
      <c r="BN43" s="117">
        <v>1</v>
      </c>
      <c r="BO43" s="117">
        <v>1</v>
      </c>
      <c r="BP43" s="117">
        <v>1</v>
      </c>
      <c r="BQ43" s="117">
        <v>1</v>
      </c>
      <c r="BR43" s="117">
        <v>1</v>
      </c>
      <c r="BS43" s="117">
        <v>1</v>
      </c>
      <c r="BT43" s="117">
        <v>1</v>
      </c>
      <c r="BU43" s="149"/>
    </row>
    <row r="44" spans="1:78" ht="43.8" thickBot="1" x14ac:dyDescent="0.35">
      <c r="A44" s="171" t="s">
        <v>426</v>
      </c>
      <c r="B44" s="117" t="s">
        <v>372</v>
      </c>
      <c r="C44" s="117" t="s">
        <v>287</v>
      </c>
      <c r="D44" s="117" t="s">
        <v>374</v>
      </c>
      <c r="E44" s="188" t="s">
        <v>375</v>
      </c>
      <c r="F44" s="117" t="s">
        <v>7</v>
      </c>
      <c r="G44" s="117" t="s">
        <v>313</v>
      </c>
      <c r="H44" s="192" t="s">
        <v>75</v>
      </c>
      <c r="I44" s="196"/>
      <c r="J44" s="202"/>
      <c r="K44" s="206"/>
      <c r="L44" s="117">
        <v>1</v>
      </c>
      <c r="M44" s="117">
        <v>1</v>
      </c>
      <c r="N44" s="117">
        <v>1</v>
      </c>
      <c r="O44" s="117">
        <v>1</v>
      </c>
      <c r="P44" s="117">
        <v>1</v>
      </c>
      <c r="Q44" s="117">
        <v>1</v>
      </c>
      <c r="R44" s="117">
        <v>1</v>
      </c>
      <c r="S44" s="117">
        <v>1</v>
      </c>
      <c r="T44" s="117">
        <v>1</v>
      </c>
      <c r="U44" s="117">
        <v>1</v>
      </c>
      <c r="V44" s="117">
        <v>1</v>
      </c>
      <c r="W44" s="117">
        <v>1</v>
      </c>
      <c r="X44" s="117">
        <v>1</v>
      </c>
      <c r="Y44" s="117">
        <v>1</v>
      </c>
      <c r="Z44" s="117">
        <v>1</v>
      </c>
      <c r="AA44" s="117">
        <v>1</v>
      </c>
      <c r="AB44" s="117">
        <v>1</v>
      </c>
      <c r="AC44" s="117">
        <v>1</v>
      </c>
      <c r="AD44" s="117">
        <v>1</v>
      </c>
      <c r="AE44" s="117">
        <v>1</v>
      </c>
      <c r="AF44" s="117">
        <v>1</v>
      </c>
      <c r="AG44" s="117">
        <v>1</v>
      </c>
      <c r="AH44" s="117">
        <v>1</v>
      </c>
      <c r="AI44" s="117">
        <v>1</v>
      </c>
      <c r="AJ44" s="117">
        <v>1</v>
      </c>
      <c r="AK44" s="117">
        <v>1</v>
      </c>
      <c r="AL44" s="117">
        <v>1</v>
      </c>
      <c r="AM44" s="117">
        <v>1</v>
      </c>
      <c r="AN44" s="117">
        <v>1</v>
      </c>
      <c r="AO44" s="117">
        <v>1</v>
      </c>
      <c r="AP44" s="117">
        <v>1</v>
      </c>
      <c r="AQ44" s="117">
        <v>1</v>
      </c>
      <c r="AR44" s="117">
        <v>1</v>
      </c>
      <c r="AS44" s="117">
        <v>1</v>
      </c>
      <c r="AT44" s="117">
        <v>1</v>
      </c>
      <c r="AU44" s="117">
        <v>1</v>
      </c>
      <c r="AV44" s="117">
        <v>1</v>
      </c>
      <c r="AW44" s="117">
        <v>1</v>
      </c>
      <c r="AX44" s="117">
        <v>1</v>
      </c>
      <c r="AY44" s="117">
        <v>1</v>
      </c>
      <c r="AZ44" s="117">
        <v>1</v>
      </c>
      <c r="BA44" s="117">
        <v>1</v>
      </c>
      <c r="BB44" s="117">
        <v>1</v>
      </c>
      <c r="BC44" s="117">
        <v>1</v>
      </c>
      <c r="BD44" s="117">
        <v>1</v>
      </c>
      <c r="BE44" s="117">
        <v>1</v>
      </c>
      <c r="BF44" s="117">
        <v>1</v>
      </c>
      <c r="BG44" s="117">
        <v>1</v>
      </c>
      <c r="BH44" s="117">
        <v>1</v>
      </c>
      <c r="BI44" s="117">
        <v>1</v>
      </c>
      <c r="BJ44" s="117">
        <v>1</v>
      </c>
      <c r="BK44" s="117">
        <v>1</v>
      </c>
      <c r="BL44" s="117">
        <v>1</v>
      </c>
      <c r="BM44" s="117">
        <v>1</v>
      </c>
      <c r="BN44" s="117">
        <v>1</v>
      </c>
      <c r="BO44" s="117">
        <v>1</v>
      </c>
      <c r="BP44" s="117">
        <v>1</v>
      </c>
      <c r="BQ44" s="117">
        <v>1</v>
      </c>
      <c r="BR44" s="117">
        <v>1</v>
      </c>
      <c r="BS44" s="117">
        <v>1</v>
      </c>
      <c r="BT44" s="117">
        <v>1</v>
      </c>
      <c r="BU44" s="149"/>
    </row>
    <row r="45" spans="1:78" ht="43.8" thickBot="1" x14ac:dyDescent="0.35">
      <c r="A45" s="171" t="s">
        <v>426</v>
      </c>
      <c r="B45" s="117" t="s">
        <v>372</v>
      </c>
      <c r="C45" s="117" t="s">
        <v>285</v>
      </c>
      <c r="D45" s="117" t="s">
        <v>374</v>
      </c>
      <c r="E45" s="188" t="s">
        <v>375</v>
      </c>
      <c r="F45" s="117" t="s">
        <v>7</v>
      </c>
      <c r="G45" s="117" t="s">
        <v>313</v>
      </c>
      <c r="H45" s="192" t="s">
        <v>75</v>
      </c>
      <c r="I45" s="196"/>
      <c r="J45" s="202"/>
      <c r="K45" s="206"/>
      <c r="L45" s="117">
        <v>1</v>
      </c>
      <c r="M45" s="117">
        <v>1</v>
      </c>
      <c r="N45" s="117">
        <v>1</v>
      </c>
      <c r="O45" s="117">
        <v>1</v>
      </c>
      <c r="P45" s="117">
        <v>1</v>
      </c>
      <c r="Q45" s="117">
        <v>1</v>
      </c>
      <c r="R45" s="117">
        <v>1</v>
      </c>
      <c r="S45" s="117">
        <v>1</v>
      </c>
      <c r="T45" s="117">
        <v>1</v>
      </c>
      <c r="U45" s="117">
        <v>1</v>
      </c>
      <c r="V45" s="117">
        <v>1</v>
      </c>
      <c r="W45" s="117">
        <v>1</v>
      </c>
      <c r="X45" s="117">
        <v>1</v>
      </c>
      <c r="Y45" s="117">
        <v>1</v>
      </c>
      <c r="Z45" s="117">
        <v>1</v>
      </c>
      <c r="AA45" s="117">
        <v>1</v>
      </c>
      <c r="AB45" s="117">
        <v>1</v>
      </c>
      <c r="AC45" s="117">
        <v>1</v>
      </c>
      <c r="AD45" s="117">
        <v>1</v>
      </c>
      <c r="AE45" s="117">
        <v>1</v>
      </c>
      <c r="AF45" s="117">
        <v>1</v>
      </c>
      <c r="AG45" s="117">
        <v>1</v>
      </c>
      <c r="AH45" s="117">
        <v>1</v>
      </c>
      <c r="AI45" s="117">
        <v>1</v>
      </c>
      <c r="AJ45" s="117">
        <v>1</v>
      </c>
      <c r="AK45" s="117">
        <v>1</v>
      </c>
      <c r="AL45" s="117">
        <v>1</v>
      </c>
      <c r="AM45" s="117">
        <v>1</v>
      </c>
      <c r="AN45" s="117">
        <v>1</v>
      </c>
      <c r="AO45" s="117">
        <v>1</v>
      </c>
      <c r="AP45" s="117">
        <v>1</v>
      </c>
      <c r="AQ45" s="117">
        <v>1</v>
      </c>
      <c r="AR45" s="117">
        <v>1</v>
      </c>
      <c r="AS45" s="117">
        <v>1</v>
      </c>
      <c r="AT45" s="117">
        <v>1</v>
      </c>
      <c r="AU45" s="117">
        <v>1</v>
      </c>
      <c r="AV45" s="117">
        <v>1</v>
      </c>
      <c r="AW45" s="117">
        <v>1</v>
      </c>
      <c r="AX45" s="117">
        <v>1</v>
      </c>
      <c r="AY45" s="117">
        <v>1</v>
      </c>
      <c r="AZ45" s="117">
        <v>1</v>
      </c>
      <c r="BA45" s="117">
        <v>1</v>
      </c>
      <c r="BB45" s="117">
        <v>1</v>
      </c>
      <c r="BC45" s="117">
        <v>1</v>
      </c>
      <c r="BD45" s="117">
        <v>1</v>
      </c>
      <c r="BE45" s="117">
        <v>1</v>
      </c>
      <c r="BF45" s="117">
        <v>1</v>
      </c>
      <c r="BG45" s="117">
        <v>1</v>
      </c>
      <c r="BH45" s="117">
        <v>1</v>
      </c>
      <c r="BI45" s="117">
        <v>1</v>
      </c>
      <c r="BJ45" s="117">
        <v>1</v>
      </c>
      <c r="BK45" s="117">
        <v>1</v>
      </c>
      <c r="BL45" s="117">
        <v>1</v>
      </c>
      <c r="BM45" s="117">
        <v>1</v>
      </c>
      <c r="BN45" s="117">
        <v>1</v>
      </c>
      <c r="BO45" s="117">
        <v>1</v>
      </c>
      <c r="BP45" s="117">
        <v>1</v>
      </c>
      <c r="BQ45" s="117">
        <v>1</v>
      </c>
      <c r="BR45" s="117">
        <v>1</v>
      </c>
      <c r="BS45" s="117">
        <v>1</v>
      </c>
      <c r="BT45" s="117">
        <v>1</v>
      </c>
      <c r="BU45" s="149"/>
    </row>
    <row r="46" spans="1:78" ht="43.8" thickBot="1" x14ac:dyDescent="0.35">
      <c r="A46" s="171" t="s">
        <v>426</v>
      </c>
      <c r="B46" s="117" t="s">
        <v>372</v>
      </c>
      <c r="C46" s="117" t="s">
        <v>265</v>
      </c>
      <c r="D46" s="117" t="s">
        <v>374</v>
      </c>
      <c r="E46" s="188" t="s">
        <v>375</v>
      </c>
      <c r="F46" s="117" t="s">
        <v>7</v>
      </c>
      <c r="G46" s="117" t="s">
        <v>313</v>
      </c>
      <c r="H46" s="192" t="s">
        <v>75</v>
      </c>
      <c r="I46" s="196"/>
      <c r="J46" s="202"/>
      <c r="K46" s="206"/>
      <c r="L46" s="117">
        <v>1</v>
      </c>
      <c r="M46" s="117">
        <v>1</v>
      </c>
      <c r="N46" s="117">
        <v>1</v>
      </c>
      <c r="O46" s="117">
        <v>1</v>
      </c>
      <c r="P46" s="117">
        <v>1</v>
      </c>
      <c r="Q46" s="117">
        <v>1</v>
      </c>
      <c r="R46" s="117">
        <v>1</v>
      </c>
      <c r="S46" s="117">
        <v>1</v>
      </c>
      <c r="T46" s="117">
        <v>1</v>
      </c>
      <c r="U46" s="117">
        <v>1</v>
      </c>
      <c r="V46" s="117">
        <v>1</v>
      </c>
      <c r="W46" s="117">
        <v>1</v>
      </c>
      <c r="X46" s="117">
        <v>1</v>
      </c>
      <c r="Y46" s="117">
        <v>1</v>
      </c>
      <c r="Z46" s="117">
        <v>1</v>
      </c>
      <c r="AA46" s="117">
        <v>1</v>
      </c>
      <c r="AB46" s="117">
        <v>1</v>
      </c>
      <c r="AC46" s="117">
        <v>1</v>
      </c>
      <c r="AD46" s="117">
        <v>1</v>
      </c>
      <c r="AE46" s="117">
        <v>1</v>
      </c>
      <c r="AF46" s="117">
        <v>1</v>
      </c>
      <c r="AG46" s="117">
        <v>1</v>
      </c>
      <c r="AH46" s="117">
        <v>1</v>
      </c>
      <c r="AI46" s="117">
        <v>1</v>
      </c>
      <c r="AJ46" s="117">
        <v>1</v>
      </c>
      <c r="AK46" s="117">
        <v>1</v>
      </c>
      <c r="AL46" s="117">
        <v>1</v>
      </c>
      <c r="AM46" s="117">
        <v>1</v>
      </c>
      <c r="AN46" s="117">
        <v>1</v>
      </c>
      <c r="AO46" s="117">
        <v>1</v>
      </c>
      <c r="AP46" s="117">
        <v>1</v>
      </c>
      <c r="AQ46" s="117">
        <v>1</v>
      </c>
      <c r="AR46" s="117">
        <v>1</v>
      </c>
      <c r="AS46" s="117">
        <v>1</v>
      </c>
      <c r="AT46" s="117">
        <v>1</v>
      </c>
      <c r="AU46" s="117">
        <v>1</v>
      </c>
      <c r="AV46" s="117">
        <v>1</v>
      </c>
      <c r="AW46" s="117">
        <v>1</v>
      </c>
      <c r="AX46" s="117">
        <v>1</v>
      </c>
      <c r="AY46" s="117">
        <v>1</v>
      </c>
      <c r="AZ46" s="117">
        <v>1</v>
      </c>
      <c r="BA46" s="117">
        <v>1</v>
      </c>
      <c r="BB46" s="117">
        <v>1</v>
      </c>
      <c r="BC46" s="117">
        <v>1</v>
      </c>
      <c r="BD46" s="117">
        <v>1</v>
      </c>
      <c r="BE46" s="117">
        <v>1</v>
      </c>
      <c r="BF46" s="117">
        <v>1</v>
      </c>
      <c r="BG46" s="117">
        <v>1</v>
      </c>
      <c r="BH46" s="117">
        <v>1</v>
      </c>
      <c r="BI46" s="117">
        <v>1</v>
      </c>
      <c r="BJ46" s="117">
        <v>1</v>
      </c>
      <c r="BK46" s="117">
        <v>1</v>
      </c>
      <c r="BL46" s="117">
        <v>1</v>
      </c>
      <c r="BM46" s="117">
        <v>1</v>
      </c>
      <c r="BN46" s="117">
        <v>1</v>
      </c>
      <c r="BO46" s="117">
        <v>1</v>
      </c>
      <c r="BP46" s="117">
        <v>1</v>
      </c>
      <c r="BQ46" s="117">
        <v>1</v>
      </c>
      <c r="BR46" s="117">
        <v>1</v>
      </c>
      <c r="BS46" s="117">
        <v>1</v>
      </c>
      <c r="BT46" s="117">
        <v>1</v>
      </c>
      <c r="BU46" s="149"/>
    </row>
    <row r="47" spans="1:78" ht="43.8" thickBot="1" x14ac:dyDescent="0.35">
      <c r="A47" s="171" t="s">
        <v>426</v>
      </c>
      <c r="B47" s="117" t="s">
        <v>372</v>
      </c>
      <c r="C47" s="117" t="s">
        <v>430</v>
      </c>
      <c r="D47" s="117" t="s">
        <v>374</v>
      </c>
      <c r="E47" s="188" t="s">
        <v>375</v>
      </c>
      <c r="F47" s="117" t="s">
        <v>7</v>
      </c>
      <c r="G47" s="117" t="s">
        <v>313</v>
      </c>
      <c r="H47" s="192" t="s">
        <v>75</v>
      </c>
      <c r="I47" s="196"/>
      <c r="J47" s="202"/>
      <c r="K47" s="206"/>
      <c r="L47" s="117">
        <v>1</v>
      </c>
      <c r="M47" s="117">
        <v>1</v>
      </c>
      <c r="N47" s="117">
        <v>1</v>
      </c>
      <c r="O47" s="117">
        <v>1</v>
      </c>
      <c r="P47" s="117">
        <v>1</v>
      </c>
      <c r="Q47" s="117">
        <v>1</v>
      </c>
      <c r="R47" s="117">
        <v>1</v>
      </c>
      <c r="S47" s="117">
        <v>1</v>
      </c>
      <c r="T47" s="117">
        <v>1</v>
      </c>
      <c r="U47" s="117">
        <v>1</v>
      </c>
      <c r="V47" s="117">
        <v>1</v>
      </c>
      <c r="W47" s="117">
        <v>1</v>
      </c>
      <c r="X47" s="117">
        <v>1</v>
      </c>
      <c r="Y47" s="117">
        <v>1</v>
      </c>
      <c r="Z47" s="117">
        <v>1</v>
      </c>
      <c r="AA47" s="117">
        <v>1</v>
      </c>
      <c r="AB47" s="117">
        <v>1</v>
      </c>
      <c r="AC47" s="117">
        <v>1</v>
      </c>
      <c r="AD47" s="117">
        <v>1</v>
      </c>
      <c r="AE47" s="117">
        <v>1</v>
      </c>
      <c r="AF47" s="117">
        <v>1</v>
      </c>
      <c r="AG47" s="117">
        <v>1</v>
      </c>
      <c r="AH47" s="117">
        <v>1</v>
      </c>
      <c r="AI47" s="117">
        <v>1</v>
      </c>
      <c r="AJ47" s="117">
        <v>1</v>
      </c>
      <c r="AK47" s="117">
        <v>1</v>
      </c>
      <c r="AL47" s="117">
        <v>1</v>
      </c>
      <c r="AM47" s="117">
        <v>1</v>
      </c>
      <c r="AN47" s="117">
        <v>1</v>
      </c>
      <c r="AO47" s="117">
        <v>1</v>
      </c>
      <c r="AP47" s="117">
        <v>1</v>
      </c>
      <c r="AQ47" s="117">
        <v>1</v>
      </c>
      <c r="AR47" s="117">
        <v>1</v>
      </c>
      <c r="AS47" s="117">
        <v>1</v>
      </c>
      <c r="AT47" s="117">
        <v>1</v>
      </c>
      <c r="AU47" s="117">
        <v>1</v>
      </c>
      <c r="AV47" s="117">
        <v>1</v>
      </c>
      <c r="AW47" s="117">
        <v>1</v>
      </c>
      <c r="AX47" s="117">
        <v>1</v>
      </c>
      <c r="AY47" s="117">
        <v>1</v>
      </c>
      <c r="AZ47" s="117">
        <v>1</v>
      </c>
      <c r="BA47" s="117">
        <v>1</v>
      </c>
      <c r="BB47" s="117">
        <v>1</v>
      </c>
      <c r="BC47" s="117">
        <v>1</v>
      </c>
      <c r="BD47" s="117">
        <v>1</v>
      </c>
      <c r="BE47" s="117">
        <v>1</v>
      </c>
      <c r="BF47" s="117">
        <v>1</v>
      </c>
      <c r="BG47" s="117">
        <v>1</v>
      </c>
      <c r="BH47" s="117">
        <v>1</v>
      </c>
      <c r="BI47" s="117">
        <v>1</v>
      </c>
      <c r="BJ47" s="117">
        <v>1</v>
      </c>
      <c r="BK47" s="117">
        <v>1</v>
      </c>
      <c r="BL47" s="117">
        <v>1</v>
      </c>
      <c r="BM47" s="117">
        <v>1</v>
      </c>
      <c r="BN47" s="117">
        <v>1</v>
      </c>
      <c r="BO47" s="117">
        <v>1</v>
      </c>
      <c r="BP47" s="117">
        <v>1</v>
      </c>
      <c r="BQ47" s="117">
        <v>1</v>
      </c>
      <c r="BR47" s="117">
        <v>1</v>
      </c>
      <c r="BS47" s="117">
        <v>1</v>
      </c>
      <c r="BT47" s="117">
        <v>1</v>
      </c>
      <c r="BU47" s="149"/>
    </row>
    <row r="48" spans="1:78" ht="43.8" thickBot="1" x14ac:dyDescent="0.35">
      <c r="A48" s="171" t="s">
        <v>426</v>
      </c>
      <c r="B48" s="117" t="s">
        <v>372</v>
      </c>
      <c r="C48" s="117" t="s">
        <v>227</v>
      </c>
      <c r="D48" s="117" t="s">
        <v>374</v>
      </c>
      <c r="E48" s="188" t="s">
        <v>375</v>
      </c>
      <c r="F48" s="117" t="s">
        <v>7</v>
      </c>
      <c r="G48" s="117" t="s">
        <v>313</v>
      </c>
      <c r="H48" s="192" t="s">
        <v>75</v>
      </c>
      <c r="I48" s="196"/>
      <c r="J48" s="202"/>
      <c r="K48" s="206"/>
      <c r="L48" s="117">
        <v>1</v>
      </c>
      <c r="M48" s="117">
        <v>1</v>
      </c>
      <c r="N48" s="117">
        <v>1</v>
      </c>
      <c r="O48" s="117">
        <v>1</v>
      </c>
      <c r="P48" s="117">
        <v>1</v>
      </c>
      <c r="Q48" s="117">
        <v>1</v>
      </c>
      <c r="R48" s="117">
        <v>1</v>
      </c>
      <c r="S48" s="117">
        <v>1</v>
      </c>
      <c r="T48" s="117">
        <v>1</v>
      </c>
      <c r="U48" s="117">
        <v>1</v>
      </c>
      <c r="V48" s="117">
        <v>1</v>
      </c>
      <c r="W48" s="117">
        <v>1</v>
      </c>
      <c r="X48" s="117">
        <v>1</v>
      </c>
      <c r="Y48" s="117">
        <v>1</v>
      </c>
      <c r="Z48" s="117">
        <v>1</v>
      </c>
      <c r="AA48" s="117">
        <v>1</v>
      </c>
      <c r="AB48" s="117">
        <v>1</v>
      </c>
      <c r="AC48" s="117">
        <v>1</v>
      </c>
      <c r="AD48" s="117">
        <v>1</v>
      </c>
      <c r="AE48" s="117">
        <v>1</v>
      </c>
      <c r="AF48" s="117">
        <v>1</v>
      </c>
      <c r="AG48" s="117">
        <v>1</v>
      </c>
      <c r="AH48" s="117">
        <v>1</v>
      </c>
      <c r="AI48" s="117">
        <v>1</v>
      </c>
      <c r="AJ48" s="117">
        <v>1</v>
      </c>
      <c r="AK48" s="117">
        <v>1</v>
      </c>
      <c r="AL48" s="117">
        <v>1</v>
      </c>
      <c r="AM48" s="117">
        <v>1</v>
      </c>
      <c r="AN48" s="117">
        <v>1</v>
      </c>
      <c r="AO48" s="117">
        <v>1</v>
      </c>
      <c r="AP48" s="117">
        <v>1</v>
      </c>
      <c r="AQ48" s="117">
        <v>1</v>
      </c>
      <c r="AR48" s="117">
        <v>1</v>
      </c>
      <c r="AS48" s="117">
        <v>1</v>
      </c>
      <c r="AT48" s="117">
        <v>1</v>
      </c>
      <c r="AU48" s="117">
        <v>1</v>
      </c>
      <c r="AV48" s="117">
        <v>1</v>
      </c>
      <c r="AW48" s="117">
        <v>1</v>
      </c>
      <c r="AX48" s="117">
        <v>1</v>
      </c>
      <c r="AY48" s="117">
        <v>1</v>
      </c>
      <c r="AZ48" s="117">
        <v>1</v>
      </c>
      <c r="BA48" s="117">
        <v>1</v>
      </c>
      <c r="BB48" s="117">
        <v>1</v>
      </c>
      <c r="BC48" s="117">
        <v>1</v>
      </c>
      <c r="BD48" s="117">
        <v>1</v>
      </c>
      <c r="BE48" s="117">
        <v>1</v>
      </c>
      <c r="BF48" s="117">
        <v>1</v>
      </c>
      <c r="BG48" s="117">
        <v>1</v>
      </c>
      <c r="BH48" s="117">
        <v>1</v>
      </c>
      <c r="BI48" s="117">
        <v>1</v>
      </c>
      <c r="BJ48" s="117">
        <v>1</v>
      </c>
      <c r="BK48" s="117">
        <v>1</v>
      </c>
      <c r="BL48" s="117">
        <v>1</v>
      </c>
      <c r="BM48" s="117">
        <v>1</v>
      </c>
      <c r="BN48" s="117">
        <v>1</v>
      </c>
      <c r="BO48" s="117">
        <v>1</v>
      </c>
      <c r="BP48" s="117">
        <v>1</v>
      </c>
      <c r="BQ48" s="117">
        <v>1</v>
      </c>
      <c r="BR48" s="117">
        <v>1</v>
      </c>
      <c r="BS48" s="117">
        <v>1</v>
      </c>
      <c r="BT48" s="117">
        <v>1</v>
      </c>
      <c r="BU48" s="149"/>
    </row>
    <row r="49" spans="1:73" ht="43.8" thickBot="1" x14ac:dyDescent="0.35">
      <c r="A49" s="171" t="s">
        <v>426</v>
      </c>
      <c r="B49" s="117" t="s">
        <v>372</v>
      </c>
      <c r="C49" s="117" t="s">
        <v>431</v>
      </c>
      <c r="D49" s="117" t="s">
        <v>374</v>
      </c>
      <c r="E49" s="188" t="s">
        <v>375</v>
      </c>
      <c r="F49" s="117" t="s">
        <v>7</v>
      </c>
      <c r="G49" s="117" t="s">
        <v>313</v>
      </c>
      <c r="H49" s="192" t="s">
        <v>75</v>
      </c>
      <c r="I49" s="196"/>
      <c r="J49" s="202"/>
      <c r="K49" s="206"/>
      <c r="L49" s="117">
        <v>1</v>
      </c>
      <c r="M49" s="117">
        <v>1</v>
      </c>
      <c r="N49" s="117">
        <v>1</v>
      </c>
      <c r="O49" s="117">
        <v>1</v>
      </c>
      <c r="P49" s="117">
        <v>1</v>
      </c>
      <c r="Q49" s="117">
        <v>1</v>
      </c>
      <c r="R49" s="117">
        <v>1</v>
      </c>
      <c r="S49" s="117">
        <v>1</v>
      </c>
      <c r="T49" s="117">
        <v>1</v>
      </c>
      <c r="U49" s="117">
        <v>1</v>
      </c>
      <c r="V49" s="117">
        <v>1</v>
      </c>
      <c r="W49" s="117">
        <v>1</v>
      </c>
      <c r="X49" s="117">
        <v>1</v>
      </c>
      <c r="Y49" s="117">
        <v>1</v>
      </c>
      <c r="Z49" s="117">
        <v>1</v>
      </c>
      <c r="AA49" s="117">
        <v>1</v>
      </c>
      <c r="AB49" s="117">
        <v>1</v>
      </c>
      <c r="AC49" s="117">
        <v>1</v>
      </c>
      <c r="AD49" s="117">
        <v>1</v>
      </c>
      <c r="AE49" s="117">
        <v>1</v>
      </c>
      <c r="AF49" s="117">
        <v>1</v>
      </c>
      <c r="AG49" s="117">
        <v>1</v>
      </c>
      <c r="AH49" s="117">
        <v>1</v>
      </c>
      <c r="AI49" s="117">
        <v>1</v>
      </c>
      <c r="AJ49" s="117">
        <v>1</v>
      </c>
      <c r="AK49" s="117">
        <v>1</v>
      </c>
      <c r="AL49" s="117">
        <v>1</v>
      </c>
      <c r="AM49" s="117">
        <v>1</v>
      </c>
      <c r="AN49" s="117">
        <v>1</v>
      </c>
      <c r="AO49" s="117">
        <v>1</v>
      </c>
      <c r="AP49" s="117">
        <v>1</v>
      </c>
      <c r="AQ49" s="117">
        <v>1</v>
      </c>
      <c r="AR49" s="117">
        <v>1</v>
      </c>
      <c r="AS49" s="117">
        <v>1</v>
      </c>
      <c r="AT49" s="117">
        <v>1</v>
      </c>
      <c r="AU49" s="117">
        <v>1</v>
      </c>
      <c r="AV49" s="117">
        <v>1</v>
      </c>
      <c r="AW49" s="117">
        <v>1</v>
      </c>
      <c r="AX49" s="117">
        <v>1</v>
      </c>
      <c r="AY49" s="117">
        <v>1</v>
      </c>
      <c r="AZ49" s="117">
        <v>1</v>
      </c>
      <c r="BA49" s="117">
        <v>1</v>
      </c>
      <c r="BB49" s="117">
        <v>1</v>
      </c>
      <c r="BC49" s="117">
        <v>1</v>
      </c>
      <c r="BD49" s="117">
        <v>1</v>
      </c>
      <c r="BE49" s="117">
        <v>1</v>
      </c>
      <c r="BF49" s="117">
        <v>1</v>
      </c>
      <c r="BG49" s="117">
        <v>1</v>
      </c>
      <c r="BH49" s="117">
        <v>1</v>
      </c>
      <c r="BI49" s="117">
        <v>1</v>
      </c>
      <c r="BJ49" s="117">
        <v>1</v>
      </c>
      <c r="BK49" s="117">
        <v>1</v>
      </c>
      <c r="BL49" s="117">
        <v>1</v>
      </c>
      <c r="BM49" s="117">
        <v>1</v>
      </c>
      <c r="BN49" s="117">
        <v>1</v>
      </c>
      <c r="BO49" s="117">
        <v>1</v>
      </c>
      <c r="BP49" s="117">
        <v>1</v>
      </c>
      <c r="BQ49" s="117">
        <v>1</v>
      </c>
      <c r="BR49" s="117">
        <v>1</v>
      </c>
      <c r="BS49" s="117">
        <v>1</v>
      </c>
      <c r="BT49" s="117">
        <v>1</v>
      </c>
      <c r="BU49" s="149"/>
    </row>
    <row r="50" spans="1:73" ht="15" thickBot="1" x14ac:dyDescent="0.35">
      <c r="A50" s="141" t="s">
        <v>10</v>
      </c>
      <c r="B50" s="142" t="s">
        <v>387</v>
      </c>
      <c r="C50" s="142" t="s">
        <v>388</v>
      </c>
      <c r="D50" s="142" t="s">
        <v>389</v>
      </c>
      <c r="E50" s="143" t="s">
        <v>390</v>
      </c>
      <c r="F50" s="142" t="s">
        <v>7</v>
      </c>
      <c r="G50" s="142" t="s">
        <v>313</v>
      </c>
      <c r="H50" s="144" t="s">
        <v>75</v>
      </c>
      <c r="I50" s="145"/>
      <c r="J50" s="146"/>
      <c r="K50" s="147"/>
      <c r="L50" s="148">
        <v>7.4099999999999999E-2</v>
      </c>
      <c r="M50" s="148">
        <v>7.4099999999999999E-2</v>
      </c>
      <c r="N50" s="148">
        <v>7.4099999999999999E-2</v>
      </c>
      <c r="O50" s="148">
        <v>7.4099999999999999E-2</v>
      </c>
      <c r="P50" s="148">
        <v>7.4099999999999999E-2</v>
      </c>
      <c r="Q50" s="148">
        <v>7.4099999999999999E-2</v>
      </c>
      <c r="R50" s="148">
        <v>7.4099999999999999E-2</v>
      </c>
      <c r="S50" s="148">
        <v>7.4099999999999999E-2</v>
      </c>
      <c r="T50" s="148">
        <v>7.4099999999999999E-2</v>
      </c>
      <c r="U50" s="148">
        <v>7.4099999999999999E-2</v>
      </c>
      <c r="V50" s="148">
        <v>7.4099999999999999E-2</v>
      </c>
      <c r="W50" s="148">
        <v>7.4099999999999999E-2</v>
      </c>
      <c r="X50" s="148">
        <v>7.4099999999999999E-2</v>
      </c>
      <c r="Y50" s="148">
        <v>7.4099999999999999E-2</v>
      </c>
      <c r="Z50" s="148">
        <v>7.4099999999999999E-2</v>
      </c>
      <c r="AA50" s="148">
        <v>7.4099999999999999E-2</v>
      </c>
      <c r="AB50" s="148">
        <v>7.4099999999999999E-2</v>
      </c>
      <c r="AC50" s="148">
        <v>7.4099999999999999E-2</v>
      </c>
      <c r="AD50" s="148">
        <v>7.4099999999999999E-2</v>
      </c>
      <c r="AE50" s="148">
        <v>7.4099999999999999E-2</v>
      </c>
      <c r="AF50" s="148">
        <v>7.4099999999999999E-2</v>
      </c>
      <c r="AG50" s="142">
        <v>7.4099999999999999E-2</v>
      </c>
      <c r="AH50" s="142">
        <v>7.4099999999999999E-2</v>
      </c>
      <c r="AI50" s="142">
        <v>7.4099999999999999E-2</v>
      </c>
      <c r="AJ50" s="142">
        <v>7.4099999999999999E-2</v>
      </c>
      <c r="AK50" s="142">
        <v>7.4099999999999999E-2</v>
      </c>
      <c r="AL50" s="142">
        <v>7.4099999999999999E-2</v>
      </c>
      <c r="AM50" s="142">
        <v>7.4099999999999999E-2</v>
      </c>
      <c r="AN50" s="142">
        <v>7.4099999999999999E-2</v>
      </c>
      <c r="AO50" s="142">
        <v>7.4099999999999999E-2</v>
      </c>
      <c r="AP50" s="142">
        <v>7.4099999999999999E-2</v>
      </c>
      <c r="AQ50" s="142">
        <v>7.4099999999999999E-2</v>
      </c>
      <c r="AR50" s="142">
        <v>7.4099999999999999E-2</v>
      </c>
      <c r="AS50" s="142">
        <v>7.4099999999999999E-2</v>
      </c>
      <c r="AT50" s="142">
        <v>7.4099999999999999E-2</v>
      </c>
      <c r="AU50" s="142">
        <v>7.4099999999999999E-2</v>
      </c>
      <c r="AV50" s="142">
        <v>7.4099999999999999E-2</v>
      </c>
      <c r="AW50" s="142">
        <v>7.4099999999999999E-2</v>
      </c>
      <c r="AX50" s="142">
        <v>7.4099999999999999E-2</v>
      </c>
      <c r="AY50" s="142">
        <v>7.4099999999999999E-2</v>
      </c>
      <c r="AZ50" s="142">
        <v>7.4099999999999999E-2</v>
      </c>
      <c r="BA50" s="142">
        <v>7.4099999999999999E-2</v>
      </c>
      <c r="BB50" s="142">
        <v>7.4099999999999999E-2</v>
      </c>
      <c r="BC50" s="142">
        <v>7.4099999999999999E-2</v>
      </c>
      <c r="BD50" s="142">
        <v>7.4099999999999999E-2</v>
      </c>
      <c r="BE50" s="142">
        <v>7.4099999999999999E-2</v>
      </c>
      <c r="BF50" s="142">
        <v>7.4099999999999999E-2</v>
      </c>
      <c r="BG50" s="142">
        <v>7.4099999999999999E-2</v>
      </c>
      <c r="BH50" s="142">
        <v>7.4099999999999999E-2</v>
      </c>
      <c r="BI50" s="142">
        <v>7.4099999999999999E-2</v>
      </c>
      <c r="BJ50" s="142">
        <v>7.4099999999999999E-2</v>
      </c>
      <c r="BK50" s="142">
        <v>7.4099999999999999E-2</v>
      </c>
      <c r="BL50" s="142">
        <v>7.4099999999999999E-2</v>
      </c>
      <c r="BM50" s="142">
        <v>7.4099999999999999E-2</v>
      </c>
      <c r="BN50" s="142">
        <v>7.4099999999999999E-2</v>
      </c>
      <c r="BO50" s="142">
        <v>7.4099999999999999E-2</v>
      </c>
      <c r="BP50" s="142">
        <v>7.4099999999999999E-2</v>
      </c>
      <c r="BQ50" s="142">
        <v>7.4099999999999999E-2</v>
      </c>
      <c r="BR50" s="142">
        <v>7.4099999999999999E-2</v>
      </c>
      <c r="BS50" s="142">
        <v>7.4099999999999999E-2</v>
      </c>
      <c r="BT50" s="142">
        <v>7.4099999999999999E-2</v>
      </c>
      <c r="BU50" s="149"/>
    </row>
    <row r="51" spans="1:73" ht="15" thickBot="1" x14ac:dyDescent="0.35">
      <c r="A51" s="141" t="s">
        <v>10</v>
      </c>
      <c r="B51" s="142" t="s">
        <v>387</v>
      </c>
      <c r="C51" s="142" t="s">
        <v>391</v>
      </c>
      <c r="D51" s="142" t="s">
        <v>389</v>
      </c>
      <c r="E51" s="143" t="s">
        <v>390</v>
      </c>
      <c r="F51" s="142" t="s">
        <v>7</v>
      </c>
      <c r="G51" s="142" t="s">
        <v>313</v>
      </c>
      <c r="H51" s="144" t="s">
        <v>75</v>
      </c>
      <c r="I51" s="145"/>
      <c r="J51" s="146"/>
      <c r="K51" s="147"/>
      <c r="L51" s="148">
        <v>7.4099999999999999E-2</v>
      </c>
      <c r="M51" s="148">
        <v>7.4099999999999999E-2</v>
      </c>
      <c r="N51" s="148">
        <v>7.4099999999999999E-2</v>
      </c>
      <c r="O51" s="148">
        <v>7.4099999999999999E-2</v>
      </c>
      <c r="P51" s="148">
        <v>7.4099999999999999E-2</v>
      </c>
      <c r="Q51" s="148">
        <v>7.4099999999999999E-2</v>
      </c>
      <c r="R51" s="148">
        <v>7.4099999999999999E-2</v>
      </c>
      <c r="S51" s="148">
        <v>7.4099999999999999E-2</v>
      </c>
      <c r="T51" s="148">
        <v>7.4099999999999999E-2</v>
      </c>
      <c r="U51" s="148">
        <v>7.4099999999999999E-2</v>
      </c>
      <c r="V51" s="148">
        <v>7.4099999999999999E-2</v>
      </c>
      <c r="W51" s="148">
        <v>7.4099999999999999E-2</v>
      </c>
      <c r="X51" s="148">
        <v>7.4099999999999999E-2</v>
      </c>
      <c r="Y51" s="148">
        <v>7.4099999999999999E-2</v>
      </c>
      <c r="Z51" s="148">
        <v>7.4099999999999999E-2</v>
      </c>
      <c r="AA51" s="148">
        <v>7.4099999999999999E-2</v>
      </c>
      <c r="AB51" s="148">
        <v>7.4099999999999999E-2</v>
      </c>
      <c r="AC51" s="148">
        <v>7.4099999999999999E-2</v>
      </c>
      <c r="AD51" s="148">
        <v>7.4099999999999999E-2</v>
      </c>
      <c r="AE51" s="148">
        <v>7.4099999999999999E-2</v>
      </c>
      <c r="AF51" s="148">
        <v>7.4099999999999999E-2</v>
      </c>
      <c r="AG51" s="142">
        <v>7.4099999999999999E-2</v>
      </c>
      <c r="AH51" s="142">
        <v>7.4099999999999999E-2</v>
      </c>
      <c r="AI51" s="142">
        <v>7.4099999999999999E-2</v>
      </c>
      <c r="AJ51" s="142">
        <v>7.4099999999999999E-2</v>
      </c>
      <c r="AK51" s="142">
        <v>7.4099999999999999E-2</v>
      </c>
      <c r="AL51" s="142">
        <v>7.4099999999999999E-2</v>
      </c>
      <c r="AM51" s="142">
        <v>7.4099999999999999E-2</v>
      </c>
      <c r="AN51" s="142">
        <v>7.4099999999999999E-2</v>
      </c>
      <c r="AO51" s="142">
        <v>7.4099999999999999E-2</v>
      </c>
      <c r="AP51" s="142">
        <v>7.4099999999999999E-2</v>
      </c>
      <c r="AQ51" s="142">
        <v>7.4099999999999999E-2</v>
      </c>
      <c r="AR51" s="142">
        <v>7.4099999999999999E-2</v>
      </c>
      <c r="AS51" s="142">
        <v>7.4099999999999999E-2</v>
      </c>
      <c r="AT51" s="142">
        <v>7.4099999999999999E-2</v>
      </c>
      <c r="AU51" s="142">
        <v>7.4099999999999999E-2</v>
      </c>
      <c r="AV51" s="142">
        <v>7.4099999999999999E-2</v>
      </c>
      <c r="AW51" s="142">
        <v>7.4099999999999999E-2</v>
      </c>
      <c r="AX51" s="142">
        <v>7.4099999999999999E-2</v>
      </c>
      <c r="AY51" s="142">
        <v>7.4099999999999999E-2</v>
      </c>
      <c r="AZ51" s="142">
        <v>7.4099999999999999E-2</v>
      </c>
      <c r="BA51" s="142">
        <v>7.4099999999999999E-2</v>
      </c>
      <c r="BB51" s="142">
        <v>7.4099999999999999E-2</v>
      </c>
      <c r="BC51" s="142">
        <v>7.4099999999999999E-2</v>
      </c>
      <c r="BD51" s="142">
        <v>7.4099999999999999E-2</v>
      </c>
      <c r="BE51" s="142">
        <v>7.4099999999999999E-2</v>
      </c>
      <c r="BF51" s="142">
        <v>7.4099999999999999E-2</v>
      </c>
      <c r="BG51" s="142">
        <v>7.4099999999999999E-2</v>
      </c>
      <c r="BH51" s="142">
        <v>7.4099999999999999E-2</v>
      </c>
      <c r="BI51" s="142">
        <v>7.4099999999999999E-2</v>
      </c>
      <c r="BJ51" s="142">
        <v>7.4099999999999999E-2</v>
      </c>
      <c r="BK51" s="142">
        <v>7.4099999999999999E-2</v>
      </c>
      <c r="BL51" s="142">
        <v>7.4099999999999999E-2</v>
      </c>
      <c r="BM51" s="142">
        <v>7.4099999999999999E-2</v>
      </c>
      <c r="BN51" s="142">
        <v>7.4099999999999999E-2</v>
      </c>
      <c r="BO51" s="142">
        <v>7.4099999999999999E-2</v>
      </c>
      <c r="BP51" s="142">
        <v>7.4099999999999999E-2</v>
      </c>
      <c r="BQ51" s="142">
        <v>7.4099999999999999E-2</v>
      </c>
      <c r="BR51" s="142">
        <v>7.4099999999999999E-2</v>
      </c>
      <c r="BS51" s="142">
        <v>7.4099999999999999E-2</v>
      </c>
      <c r="BT51" s="142">
        <v>7.4099999999999999E-2</v>
      </c>
      <c r="BU51" s="149"/>
    </row>
    <row r="52" spans="1:73" ht="15" thickBot="1" x14ac:dyDescent="0.35">
      <c r="A52" s="141" t="s">
        <v>10</v>
      </c>
      <c r="B52" s="142" t="s">
        <v>387</v>
      </c>
      <c r="C52" s="142" t="s">
        <v>392</v>
      </c>
      <c r="D52" s="142" t="s">
        <v>389</v>
      </c>
      <c r="E52" s="143" t="s">
        <v>390</v>
      </c>
      <c r="F52" s="142" t="s">
        <v>7</v>
      </c>
      <c r="G52" s="142" t="s">
        <v>313</v>
      </c>
      <c r="H52" s="144" t="s">
        <v>75</v>
      </c>
      <c r="I52" s="145"/>
      <c r="J52" s="146"/>
      <c r="K52" s="147"/>
      <c r="L52" s="148">
        <v>7.4099999999999999E-2</v>
      </c>
      <c r="M52" s="148">
        <v>7.4099999999999999E-2</v>
      </c>
      <c r="N52" s="148">
        <v>7.4099999999999999E-2</v>
      </c>
      <c r="O52" s="148">
        <v>7.4099999999999999E-2</v>
      </c>
      <c r="P52" s="148">
        <v>7.4099999999999999E-2</v>
      </c>
      <c r="Q52" s="148">
        <v>7.4099999999999999E-2</v>
      </c>
      <c r="R52" s="148">
        <v>7.4099999999999999E-2</v>
      </c>
      <c r="S52" s="148">
        <v>7.4099999999999999E-2</v>
      </c>
      <c r="T52" s="148">
        <v>7.4099999999999999E-2</v>
      </c>
      <c r="U52" s="148">
        <v>7.4099999999999999E-2</v>
      </c>
      <c r="V52" s="148">
        <v>7.4099999999999999E-2</v>
      </c>
      <c r="W52" s="148">
        <v>7.4099999999999999E-2</v>
      </c>
      <c r="X52" s="148">
        <v>7.4099999999999999E-2</v>
      </c>
      <c r="Y52" s="148">
        <v>7.4099999999999999E-2</v>
      </c>
      <c r="Z52" s="148">
        <v>7.4099999999999999E-2</v>
      </c>
      <c r="AA52" s="148">
        <v>7.4099999999999999E-2</v>
      </c>
      <c r="AB52" s="148">
        <v>7.4099999999999999E-2</v>
      </c>
      <c r="AC52" s="148">
        <v>7.4099999999999999E-2</v>
      </c>
      <c r="AD52" s="148">
        <v>7.4099999999999999E-2</v>
      </c>
      <c r="AE52" s="148">
        <v>7.4099999999999999E-2</v>
      </c>
      <c r="AF52" s="148">
        <v>7.4099999999999999E-2</v>
      </c>
      <c r="AG52" s="142">
        <v>7.4099999999999999E-2</v>
      </c>
      <c r="AH52" s="142">
        <v>7.4099999999999999E-2</v>
      </c>
      <c r="AI52" s="142">
        <v>7.4099999999999999E-2</v>
      </c>
      <c r="AJ52" s="142">
        <v>7.4099999999999999E-2</v>
      </c>
      <c r="AK52" s="142">
        <v>7.4099999999999999E-2</v>
      </c>
      <c r="AL52" s="142">
        <v>7.4099999999999999E-2</v>
      </c>
      <c r="AM52" s="142">
        <v>7.4099999999999999E-2</v>
      </c>
      <c r="AN52" s="142">
        <v>7.4099999999999999E-2</v>
      </c>
      <c r="AO52" s="142">
        <v>7.4099999999999999E-2</v>
      </c>
      <c r="AP52" s="142">
        <v>7.4099999999999999E-2</v>
      </c>
      <c r="AQ52" s="142">
        <v>7.4099999999999999E-2</v>
      </c>
      <c r="AR52" s="142">
        <v>7.4099999999999999E-2</v>
      </c>
      <c r="AS52" s="142">
        <v>7.4099999999999999E-2</v>
      </c>
      <c r="AT52" s="142">
        <v>7.4099999999999999E-2</v>
      </c>
      <c r="AU52" s="142">
        <v>7.4099999999999999E-2</v>
      </c>
      <c r="AV52" s="142">
        <v>7.4099999999999999E-2</v>
      </c>
      <c r="AW52" s="142">
        <v>7.4099999999999999E-2</v>
      </c>
      <c r="AX52" s="142">
        <v>7.4099999999999999E-2</v>
      </c>
      <c r="AY52" s="142">
        <v>7.4099999999999999E-2</v>
      </c>
      <c r="AZ52" s="142">
        <v>7.4099999999999999E-2</v>
      </c>
      <c r="BA52" s="142">
        <v>7.4099999999999999E-2</v>
      </c>
      <c r="BB52" s="142">
        <v>7.4099999999999999E-2</v>
      </c>
      <c r="BC52" s="142">
        <v>7.4099999999999999E-2</v>
      </c>
      <c r="BD52" s="142">
        <v>7.4099999999999999E-2</v>
      </c>
      <c r="BE52" s="142">
        <v>7.4099999999999999E-2</v>
      </c>
      <c r="BF52" s="142">
        <v>7.4099999999999999E-2</v>
      </c>
      <c r="BG52" s="142">
        <v>7.4099999999999999E-2</v>
      </c>
      <c r="BH52" s="142">
        <v>7.4099999999999999E-2</v>
      </c>
      <c r="BI52" s="142">
        <v>7.4099999999999999E-2</v>
      </c>
      <c r="BJ52" s="142">
        <v>7.4099999999999999E-2</v>
      </c>
      <c r="BK52" s="142">
        <v>7.4099999999999999E-2</v>
      </c>
      <c r="BL52" s="142">
        <v>7.4099999999999999E-2</v>
      </c>
      <c r="BM52" s="142">
        <v>7.4099999999999999E-2</v>
      </c>
      <c r="BN52" s="142">
        <v>7.4099999999999999E-2</v>
      </c>
      <c r="BO52" s="142">
        <v>7.4099999999999999E-2</v>
      </c>
      <c r="BP52" s="142">
        <v>7.4099999999999999E-2</v>
      </c>
      <c r="BQ52" s="142">
        <v>7.4099999999999999E-2</v>
      </c>
      <c r="BR52" s="142">
        <v>7.4099999999999999E-2</v>
      </c>
      <c r="BS52" s="142">
        <v>7.4099999999999999E-2</v>
      </c>
      <c r="BT52" s="142">
        <v>7.4099999999999999E-2</v>
      </c>
      <c r="BU52" s="149"/>
    </row>
    <row r="53" spans="1:73" ht="15" thickBot="1" x14ac:dyDescent="0.35">
      <c r="A53" s="141" t="s">
        <v>10</v>
      </c>
      <c r="B53" s="142" t="s">
        <v>387</v>
      </c>
      <c r="C53" s="142" t="s">
        <v>393</v>
      </c>
      <c r="D53" s="142" t="s">
        <v>389</v>
      </c>
      <c r="E53" s="143" t="s">
        <v>390</v>
      </c>
      <c r="F53" s="142" t="s">
        <v>7</v>
      </c>
      <c r="G53" s="142" t="s">
        <v>313</v>
      </c>
      <c r="H53" s="144" t="s">
        <v>75</v>
      </c>
      <c r="I53" s="145"/>
      <c r="J53" s="146"/>
      <c r="K53" s="147"/>
      <c r="L53" s="148">
        <v>7.4099999999999999E-2</v>
      </c>
      <c r="M53" s="148">
        <v>7.4099999999999999E-2</v>
      </c>
      <c r="N53" s="148">
        <v>7.4099999999999999E-2</v>
      </c>
      <c r="O53" s="148">
        <v>7.4099999999999999E-2</v>
      </c>
      <c r="P53" s="148">
        <v>7.4099999999999999E-2</v>
      </c>
      <c r="Q53" s="148">
        <v>7.4099999999999999E-2</v>
      </c>
      <c r="R53" s="148">
        <v>7.4099999999999999E-2</v>
      </c>
      <c r="S53" s="148">
        <v>7.4099999999999999E-2</v>
      </c>
      <c r="T53" s="148">
        <v>7.4099999999999999E-2</v>
      </c>
      <c r="U53" s="148">
        <v>7.4099999999999999E-2</v>
      </c>
      <c r="V53" s="148">
        <v>7.4099999999999999E-2</v>
      </c>
      <c r="W53" s="148">
        <v>7.4099999999999999E-2</v>
      </c>
      <c r="X53" s="148">
        <v>7.4099999999999999E-2</v>
      </c>
      <c r="Y53" s="148">
        <v>7.4099999999999999E-2</v>
      </c>
      <c r="Z53" s="148">
        <v>7.4099999999999999E-2</v>
      </c>
      <c r="AA53" s="148">
        <v>7.4099999999999999E-2</v>
      </c>
      <c r="AB53" s="148">
        <v>7.4099999999999999E-2</v>
      </c>
      <c r="AC53" s="148">
        <v>7.4099999999999999E-2</v>
      </c>
      <c r="AD53" s="148">
        <v>7.4099999999999999E-2</v>
      </c>
      <c r="AE53" s="148">
        <v>7.4099999999999999E-2</v>
      </c>
      <c r="AF53" s="148">
        <v>7.4099999999999999E-2</v>
      </c>
      <c r="AG53" s="142">
        <v>7.4099999999999999E-2</v>
      </c>
      <c r="AH53" s="142">
        <v>7.4099999999999999E-2</v>
      </c>
      <c r="AI53" s="142">
        <v>7.4099999999999999E-2</v>
      </c>
      <c r="AJ53" s="142">
        <v>7.4099999999999999E-2</v>
      </c>
      <c r="AK53" s="142">
        <v>7.4099999999999999E-2</v>
      </c>
      <c r="AL53" s="142">
        <v>7.4099999999999999E-2</v>
      </c>
      <c r="AM53" s="142">
        <v>7.4099999999999999E-2</v>
      </c>
      <c r="AN53" s="142">
        <v>7.4099999999999999E-2</v>
      </c>
      <c r="AO53" s="142">
        <v>7.4099999999999999E-2</v>
      </c>
      <c r="AP53" s="142">
        <v>7.4099999999999999E-2</v>
      </c>
      <c r="AQ53" s="142">
        <v>7.4099999999999999E-2</v>
      </c>
      <c r="AR53" s="142">
        <v>7.4099999999999999E-2</v>
      </c>
      <c r="AS53" s="142">
        <v>7.4099999999999999E-2</v>
      </c>
      <c r="AT53" s="142">
        <v>7.4099999999999999E-2</v>
      </c>
      <c r="AU53" s="142">
        <v>7.4099999999999999E-2</v>
      </c>
      <c r="AV53" s="142">
        <v>7.4099999999999999E-2</v>
      </c>
      <c r="AW53" s="142">
        <v>7.4099999999999999E-2</v>
      </c>
      <c r="AX53" s="142">
        <v>7.4099999999999999E-2</v>
      </c>
      <c r="AY53" s="142">
        <v>7.4099999999999999E-2</v>
      </c>
      <c r="AZ53" s="142">
        <v>7.4099999999999999E-2</v>
      </c>
      <c r="BA53" s="142">
        <v>7.4099999999999999E-2</v>
      </c>
      <c r="BB53" s="142">
        <v>7.4099999999999999E-2</v>
      </c>
      <c r="BC53" s="142">
        <v>7.4099999999999999E-2</v>
      </c>
      <c r="BD53" s="142">
        <v>7.4099999999999999E-2</v>
      </c>
      <c r="BE53" s="142">
        <v>7.4099999999999999E-2</v>
      </c>
      <c r="BF53" s="142">
        <v>7.4099999999999999E-2</v>
      </c>
      <c r="BG53" s="142">
        <v>7.4099999999999999E-2</v>
      </c>
      <c r="BH53" s="142">
        <v>7.4099999999999999E-2</v>
      </c>
      <c r="BI53" s="142">
        <v>7.4099999999999999E-2</v>
      </c>
      <c r="BJ53" s="142">
        <v>7.4099999999999999E-2</v>
      </c>
      <c r="BK53" s="142">
        <v>7.4099999999999999E-2</v>
      </c>
      <c r="BL53" s="142">
        <v>7.4099999999999999E-2</v>
      </c>
      <c r="BM53" s="142">
        <v>7.4099999999999999E-2</v>
      </c>
      <c r="BN53" s="142">
        <v>7.4099999999999999E-2</v>
      </c>
      <c r="BO53" s="142">
        <v>7.4099999999999999E-2</v>
      </c>
      <c r="BP53" s="142">
        <v>7.4099999999999999E-2</v>
      </c>
      <c r="BQ53" s="142">
        <v>7.4099999999999999E-2</v>
      </c>
      <c r="BR53" s="142">
        <v>7.4099999999999999E-2</v>
      </c>
      <c r="BS53" s="142">
        <v>7.4099999999999999E-2</v>
      </c>
      <c r="BT53" s="142">
        <v>7.4099999999999999E-2</v>
      </c>
      <c r="BU53" s="149"/>
    </row>
    <row r="54" spans="1:73" ht="15" thickBot="1" x14ac:dyDescent="0.35">
      <c r="A54" s="141" t="s">
        <v>10</v>
      </c>
      <c r="B54" s="142" t="s">
        <v>387</v>
      </c>
      <c r="C54" s="142" t="s">
        <v>394</v>
      </c>
      <c r="D54" s="142" t="s">
        <v>389</v>
      </c>
      <c r="E54" s="143" t="s">
        <v>390</v>
      </c>
      <c r="F54" s="142" t="s">
        <v>7</v>
      </c>
      <c r="G54" s="142" t="s">
        <v>313</v>
      </c>
      <c r="H54" s="144" t="s">
        <v>75</v>
      </c>
      <c r="I54" s="145"/>
      <c r="J54" s="146"/>
      <c r="K54" s="147"/>
      <c r="L54" s="148">
        <v>7.4099999999999999E-2</v>
      </c>
      <c r="M54" s="148">
        <v>7.4099999999999999E-2</v>
      </c>
      <c r="N54" s="148">
        <v>7.4099999999999999E-2</v>
      </c>
      <c r="O54" s="148">
        <v>7.4099999999999999E-2</v>
      </c>
      <c r="P54" s="148">
        <v>7.4099999999999999E-2</v>
      </c>
      <c r="Q54" s="148">
        <v>7.4099999999999999E-2</v>
      </c>
      <c r="R54" s="148">
        <v>7.4099999999999999E-2</v>
      </c>
      <c r="S54" s="148">
        <v>7.4099999999999999E-2</v>
      </c>
      <c r="T54" s="148">
        <v>7.4099999999999999E-2</v>
      </c>
      <c r="U54" s="148">
        <v>7.4099999999999999E-2</v>
      </c>
      <c r="V54" s="148">
        <v>7.4099999999999999E-2</v>
      </c>
      <c r="W54" s="148">
        <v>7.4099999999999999E-2</v>
      </c>
      <c r="X54" s="148">
        <v>7.4099999999999999E-2</v>
      </c>
      <c r="Y54" s="148">
        <v>7.4099999999999999E-2</v>
      </c>
      <c r="Z54" s="148">
        <v>7.4099999999999999E-2</v>
      </c>
      <c r="AA54" s="148">
        <v>7.4099999999999999E-2</v>
      </c>
      <c r="AB54" s="148">
        <v>7.4099999999999999E-2</v>
      </c>
      <c r="AC54" s="148">
        <v>7.4099999999999999E-2</v>
      </c>
      <c r="AD54" s="148">
        <v>7.4099999999999999E-2</v>
      </c>
      <c r="AE54" s="148">
        <v>7.4099999999999999E-2</v>
      </c>
      <c r="AF54" s="148">
        <v>7.4099999999999999E-2</v>
      </c>
      <c r="AG54" s="142">
        <v>7.4099999999999999E-2</v>
      </c>
      <c r="AH54" s="142">
        <v>7.4099999999999999E-2</v>
      </c>
      <c r="AI54" s="142">
        <v>7.4099999999999999E-2</v>
      </c>
      <c r="AJ54" s="142">
        <v>7.4099999999999999E-2</v>
      </c>
      <c r="AK54" s="142">
        <v>7.4099999999999999E-2</v>
      </c>
      <c r="AL54" s="142">
        <v>7.4099999999999999E-2</v>
      </c>
      <c r="AM54" s="142">
        <v>7.4099999999999999E-2</v>
      </c>
      <c r="AN54" s="142">
        <v>7.4099999999999999E-2</v>
      </c>
      <c r="AO54" s="142">
        <v>7.4099999999999999E-2</v>
      </c>
      <c r="AP54" s="142">
        <v>7.4099999999999999E-2</v>
      </c>
      <c r="AQ54" s="142">
        <v>7.4099999999999999E-2</v>
      </c>
      <c r="AR54" s="142">
        <v>7.4099999999999999E-2</v>
      </c>
      <c r="AS54" s="142">
        <v>7.4099999999999999E-2</v>
      </c>
      <c r="AT54" s="142">
        <v>7.4099999999999999E-2</v>
      </c>
      <c r="AU54" s="142">
        <v>7.4099999999999999E-2</v>
      </c>
      <c r="AV54" s="142">
        <v>7.4099999999999999E-2</v>
      </c>
      <c r="AW54" s="142">
        <v>7.4099999999999999E-2</v>
      </c>
      <c r="AX54" s="142">
        <v>7.4099999999999999E-2</v>
      </c>
      <c r="AY54" s="142">
        <v>7.4099999999999999E-2</v>
      </c>
      <c r="AZ54" s="142">
        <v>7.4099999999999999E-2</v>
      </c>
      <c r="BA54" s="142">
        <v>7.4099999999999999E-2</v>
      </c>
      <c r="BB54" s="142">
        <v>7.4099999999999999E-2</v>
      </c>
      <c r="BC54" s="142">
        <v>7.4099999999999999E-2</v>
      </c>
      <c r="BD54" s="142">
        <v>7.4099999999999999E-2</v>
      </c>
      <c r="BE54" s="142">
        <v>7.4099999999999999E-2</v>
      </c>
      <c r="BF54" s="142">
        <v>7.4099999999999999E-2</v>
      </c>
      <c r="BG54" s="142">
        <v>7.4099999999999999E-2</v>
      </c>
      <c r="BH54" s="142">
        <v>7.4099999999999999E-2</v>
      </c>
      <c r="BI54" s="142">
        <v>7.4099999999999999E-2</v>
      </c>
      <c r="BJ54" s="142">
        <v>7.4099999999999999E-2</v>
      </c>
      <c r="BK54" s="142">
        <v>7.4099999999999999E-2</v>
      </c>
      <c r="BL54" s="142">
        <v>7.4099999999999999E-2</v>
      </c>
      <c r="BM54" s="142">
        <v>7.4099999999999999E-2</v>
      </c>
      <c r="BN54" s="142">
        <v>7.4099999999999999E-2</v>
      </c>
      <c r="BO54" s="142">
        <v>7.4099999999999999E-2</v>
      </c>
      <c r="BP54" s="142">
        <v>7.4099999999999999E-2</v>
      </c>
      <c r="BQ54" s="142">
        <v>7.4099999999999999E-2</v>
      </c>
      <c r="BR54" s="142">
        <v>7.4099999999999999E-2</v>
      </c>
      <c r="BS54" s="142">
        <v>7.4099999999999999E-2</v>
      </c>
      <c r="BT54" s="142">
        <v>7.4099999999999999E-2</v>
      </c>
      <c r="BU54" s="149"/>
    </row>
    <row r="55" spans="1:73" ht="15" thickBot="1" x14ac:dyDescent="0.35">
      <c r="A55" s="141" t="s">
        <v>10</v>
      </c>
      <c r="B55" s="142" t="s">
        <v>387</v>
      </c>
      <c r="C55" s="142" t="s">
        <v>395</v>
      </c>
      <c r="D55" s="142" t="s">
        <v>389</v>
      </c>
      <c r="E55" s="143" t="s">
        <v>390</v>
      </c>
      <c r="F55" s="142" t="s">
        <v>7</v>
      </c>
      <c r="G55" s="142" t="s">
        <v>313</v>
      </c>
      <c r="H55" s="144" t="s">
        <v>75</v>
      </c>
      <c r="I55" s="145"/>
      <c r="J55" s="146"/>
      <c r="K55" s="147"/>
      <c r="L55" s="148">
        <v>6.93E-2</v>
      </c>
      <c r="M55" s="148">
        <v>6.93E-2</v>
      </c>
      <c r="N55" s="148">
        <v>6.93E-2</v>
      </c>
      <c r="O55" s="148">
        <v>6.93E-2</v>
      </c>
      <c r="P55" s="148">
        <v>6.93E-2</v>
      </c>
      <c r="Q55" s="148">
        <v>6.93E-2</v>
      </c>
      <c r="R55" s="148">
        <v>6.93E-2</v>
      </c>
      <c r="S55" s="148">
        <v>6.93E-2</v>
      </c>
      <c r="T55" s="148">
        <v>6.93E-2</v>
      </c>
      <c r="U55" s="148">
        <v>6.93E-2</v>
      </c>
      <c r="V55" s="148">
        <v>6.93E-2</v>
      </c>
      <c r="W55" s="148">
        <v>6.93E-2</v>
      </c>
      <c r="X55" s="148">
        <v>6.93E-2</v>
      </c>
      <c r="Y55" s="148">
        <v>6.93E-2</v>
      </c>
      <c r="Z55" s="148">
        <v>6.93E-2</v>
      </c>
      <c r="AA55" s="148">
        <v>6.93E-2</v>
      </c>
      <c r="AB55" s="148">
        <v>6.93E-2</v>
      </c>
      <c r="AC55" s="148">
        <v>6.93E-2</v>
      </c>
      <c r="AD55" s="148">
        <v>6.93E-2</v>
      </c>
      <c r="AE55" s="148">
        <v>6.93E-2</v>
      </c>
      <c r="AF55" s="148">
        <v>6.93E-2</v>
      </c>
      <c r="AG55" s="142">
        <v>6.93E-2</v>
      </c>
      <c r="AH55" s="142">
        <v>6.93E-2</v>
      </c>
      <c r="AI55" s="142">
        <v>6.93E-2</v>
      </c>
      <c r="AJ55" s="142">
        <v>6.93E-2</v>
      </c>
      <c r="AK55" s="142">
        <v>6.93E-2</v>
      </c>
      <c r="AL55" s="142">
        <v>6.93E-2</v>
      </c>
      <c r="AM55" s="142">
        <v>6.93E-2</v>
      </c>
      <c r="AN55" s="142">
        <v>6.93E-2</v>
      </c>
      <c r="AO55" s="142">
        <v>6.93E-2</v>
      </c>
      <c r="AP55" s="142">
        <v>6.93E-2</v>
      </c>
      <c r="AQ55" s="142">
        <v>6.93E-2</v>
      </c>
      <c r="AR55" s="142">
        <v>6.93E-2</v>
      </c>
      <c r="AS55" s="142">
        <v>6.93E-2</v>
      </c>
      <c r="AT55" s="142">
        <v>6.93E-2</v>
      </c>
      <c r="AU55" s="142">
        <v>6.93E-2</v>
      </c>
      <c r="AV55" s="142">
        <v>6.93E-2</v>
      </c>
      <c r="AW55" s="142">
        <v>6.93E-2</v>
      </c>
      <c r="AX55" s="142">
        <v>6.93E-2</v>
      </c>
      <c r="AY55" s="142">
        <v>6.93E-2</v>
      </c>
      <c r="AZ55" s="142">
        <v>6.93E-2</v>
      </c>
      <c r="BA55" s="142">
        <v>6.93E-2</v>
      </c>
      <c r="BB55" s="142">
        <v>7.0000000000000007E-2</v>
      </c>
      <c r="BC55" s="142">
        <v>7.0000000000000007E-2</v>
      </c>
      <c r="BD55" s="142">
        <v>7.0000000000000007E-2</v>
      </c>
      <c r="BE55" s="142">
        <v>7.0000000000000007E-2</v>
      </c>
      <c r="BF55" s="142">
        <v>7.0000000000000007E-2</v>
      </c>
      <c r="BG55" s="142">
        <v>7.0000000000000007E-2</v>
      </c>
      <c r="BH55" s="142">
        <v>7.0000000000000007E-2</v>
      </c>
      <c r="BI55" s="142">
        <v>7.0000000000000007E-2</v>
      </c>
      <c r="BJ55" s="142">
        <v>7.0000000000000007E-2</v>
      </c>
      <c r="BK55" s="142">
        <v>7.0000000000000007E-2</v>
      </c>
      <c r="BL55" s="142">
        <v>7.0000000000000007E-2</v>
      </c>
      <c r="BM55" s="142">
        <v>7.0000000000000007E-2</v>
      </c>
      <c r="BN55" s="142">
        <v>7.0000000000000007E-2</v>
      </c>
      <c r="BO55" s="142">
        <v>7.0000000000000007E-2</v>
      </c>
      <c r="BP55" s="142">
        <v>7.0000000000000007E-2</v>
      </c>
      <c r="BQ55" s="142">
        <v>7.0000000000000007E-2</v>
      </c>
      <c r="BR55" s="142">
        <v>7.0000000000000007E-2</v>
      </c>
      <c r="BS55" s="142">
        <v>7.0000000000000007E-2</v>
      </c>
      <c r="BT55" s="142">
        <v>7.0000000000000007E-2</v>
      </c>
      <c r="BU55" s="149"/>
    </row>
    <row r="56" spans="1:73" ht="15" thickBot="1" x14ac:dyDescent="0.35">
      <c r="A56" s="141" t="s">
        <v>10</v>
      </c>
      <c r="B56" s="142" t="s">
        <v>387</v>
      </c>
      <c r="C56" s="142" t="s">
        <v>396</v>
      </c>
      <c r="D56" s="142" t="s">
        <v>389</v>
      </c>
      <c r="E56" s="143" t="s">
        <v>390</v>
      </c>
      <c r="F56" s="142" t="s">
        <v>7</v>
      </c>
      <c r="G56" s="142" t="s">
        <v>313</v>
      </c>
      <c r="H56" s="144" t="s">
        <v>75</v>
      </c>
      <c r="I56" s="145"/>
      <c r="J56" s="146"/>
      <c r="K56" s="147"/>
      <c r="L56" s="148">
        <v>6.93E-2</v>
      </c>
      <c r="M56" s="148">
        <v>6.93E-2</v>
      </c>
      <c r="N56" s="148">
        <v>6.93E-2</v>
      </c>
      <c r="O56" s="148">
        <v>6.93E-2</v>
      </c>
      <c r="P56" s="148">
        <v>6.93E-2</v>
      </c>
      <c r="Q56" s="148">
        <v>6.93E-2</v>
      </c>
      <c r="R56" s="148">
        <v>6.93E-2</v>
      </c>
      <c r="S56" s="148">
        <v>6.93E-2</v>
      </c>
      <c r="T56" s="148">
        <v>6.93E-2</v>
      </c>
      <c r="U56" s="148">
        <v>6.93E-2</v>
      </c>
      <c r="V56" s="148">
        <v>6.93E-2</v>
      </c>
      <c r="W56" s="148">
        <v>6.93E-2</v>
      </c>
      <c r="X56" s="148">
        <v>6.93E-2</v>
      </c>
      <c r="Y56" s="148">
        <v>6.93E-2</v>
      </c>
      <c r="Z56" s="148">
        <v>6.93E-2</v>
      </c>
      <c r="AA56" s="148">
        <v>6.93E-2</v>
      </c>
      <c r="AB56" s="148">
        <v>6.93E-2</v>
      </c>
      <c r="AC56" s="148">
        <v>6.93E-2</v>
      </c>
      <c r="AD56" s="148">
        <v>6.93E-2</v>
      </c>
      <c r="AE56" s="148">
        <v>6.93E-2</v>
      </c>
      <c r="AF56" s="148">
        <v>6.93E-2</v>
      </c>
      <c r="AG56" s="142">
        <v>6.93E-2</v>
      </c>
      <c r="AH56" s="142">
        <v>6.93E-2</v>
      </c>
      <c r="AI56" s="142">
        <v>6.93E-2</v>
      </c>
      <c r="AJ56" s="142">
        <v>6.93E-2</v>
      </c>
      <c r="AK56" s="142">
        <v>6.93E-2</v>
      </c>
      <c r="AL56" s="142">
        <v>6.93E-2</v>
      </c>
      <c r="AM56" s="142">
        <v>6.93E-2</v>
      </c>
      <c r="AN56" s="142">
        <v>6.93E-2</v>
      </c>
      <c r="AO56" s="142">
        <v>6.93E-2</v>
      </c>
      <c r="AP56" s="142">
        <v>6.93E-2</v>
      </c>
      <c r="AQ56" s="142">
        <v>6.93E-2</v>
      </c>
      <c r="AR56" s="142">
        <v>6.93E-2</v>
      </c>
      <c r="AS56" s="142">
        <v>6.93E-2</v>
      </c>
      <c r="AT56" s="142">
        <v>6.93E-2</v>
      </c>
      <c r="AU56" s="142">
        <v>6.93E-2</v>
      </c>
      <c r="AV56" s="142">
        <v>6.93E-2</v>
      </c>
      <c r="AW56" s="142">
        <v>6.93E-2</v>
      </c>
      <c r="AX56" s="142">
        <v>6.93E-2</v>
      </c>
      <c r="AY56" s="142">
        <v>6.93E-2</v>
      </c>
      <c r="AZ56" s="142">
        <v>6.93E-2</v>
      </c>
      <c r="BA56" s="142">
        <v>6.93E-2</v>
      </c>
      <c r="BB56" s="142">
        <v>7.0000000000000007E-2</v>
      </c>
      <c r="BC56" s="142">
        <v>7.0000000000000007E-2</v>
      </c>
      <c r="BD56" s="142">
        <v>7.0000000000000007E-2</v>
      </c>
      <c r="BE56" s="142">
        <v>7.0000000000000007E-2</v>
      </c>
      <c r="BF56" s="142">
        <v>7.0000000000000007E-2</v>
      </c>
      <c r="BG56" s="142">
        <v>7.0000000000000007E-2</v>
      </c>
      <c r="BH56" s="142">
        <v>7.0000000000000007E-2</v>
      </c>
      <c r="BI56" s="142">
        <v>7.0000000000000007E-2</v>
      </c>
      <c r="BJ56" s="142">
        <v>7.0000000000000007E-2</v>
      </c>
      <c r="BK56" s="142">
        <v>7.0000000000000007E-2</v>
      </c>
      <c r="BL56" s="142">
        <v>7.0000000000000007E-2</v>
      </c>
      <c r="BM56" s="142">
        <v>7.0000000000000007E-2</v>
      </c>
      <c r="BN56" s="142">
        <v>7.0000000000000007E-2</v>
      </c>
      <c r="BO56" s="142">
        <v>7.0000000000000007E-2</v>
      </c>
      <c r="BP56" s="142">
        <v>7.0000000000000007E-2</v>
      </c>
      <c r="BQ56" s="142">
        <v>7.0000000000000007E-2</v>
      </c>
      <c r="BR56" s="142">
        <v>7.0000000000000007E-2</v>
      </c>
      <c r="BS56" s="142">
        <v>7.0000000000000007E-2</v>
      </c>
      <c r="BT56" s="142">
        <v>7.0000000000000007E-2</v>
      </c>
      <c r="BU56" s="149"/>
    </row>
    <row r="57" spans="1:73" ht="15" thickBot="1" x14ac:dyDescent="0.35">
      <c r="A57" s="141" t="s">
        <v>10</v>
      </c>
      <c r="B57" s="142" t="s">
        <v>387</v>
      </c>
      <c r="C57" s="142" t="s">
        <v>397</v>
      </c>
      <c r="D57" s="142" t="s">
        <v>389</v>
      </c>
      <c r="E57" s="143" t="s">
        <v>390</v>
      </c>
      <c r="F57" s="142" t="s">
        <v>7</v>
      </c>
      <c r="G57" s="142" t="s">
        <v>313</v>
      </c>
      <c r="H57" s="144" t="s">
        <v>75</v>
      </c>
      <c r="I57" s="145"/>
      <c r="J57" s="146"/>
      <c r="K57" s="147"/>
      <c r="L57" s="148">
        <v>6.93E-2</v>
      </c>
      <c r="M57" s="148">
        <v>6.93E-2</v>
      </c>
      <c r="N57" s="148">
        <v>6.93E-2</v>
      </c>
      <c r="O57" s="148">
        <v>6.93E-2</v>
      </c>
      <c r="P57" s="148">
        <v>6.93E-2</v>
      </c>
      <c r="Q57" s="148">
        <v>6.93E-2</v>
      </c>
      <c r="R57" s="148">
        <v>6.93E-2</v>
      </c>
      <c r="S57" s="148">
        <v>6.93E-2</v>
      </c>
      <c r="T57" s="148">
        <v>6.93E-2</v>
      </c>
      <c r="U57" s="148">
        <v>6.93E-2</v>
      </c>
      <c r="V57" s="148">
        <v>6.93E-2</v>
      </c>
      <c r="W57" s="148">
        <v>6.93E-2</v>
      </c>
      <c r="X57" s="148">
        <v>6.93E-2</v>
      </c>
      <c r="Y57" s="148">
        <v>6.93E-2</v>
      </c>
      <c r="Z57" s="148">
        <v>6.93E-2</v>
      </c>
      <c r="AA57" s="148">
        <v>6.93E-2</v>
      </c>
      <c r="AB57" s="148">
        <v>6.93E-2</v>
      </c>
      <c r="AC57" s="148">
        <v>6.93E-2</v>
      </c>
      <c r="AD57" s="148">
        <v>6.93E-2</v>
      </c>
      <c r="AE57" s="148">
        <v>6.93E-2</v>
      </c>
      <c r="AF57" s="148">
        <v>6.93E-2</v>
      </c>
      <c r="AG57" s="142">
        <v>6.93E-2</v>
      </c>
      <c r="AH57" s="142">
        <v>6.93E-2</v>
      </c>
      <c r="AI57" s="142">
        <v>6.93E-2</v>
      </c>
      <c r="AJ57" s="142">
        <v>6.93E-2</v>
      </c>
      <c r="AK57" s="142">
        <v>6.93E-2</v>
      </c>
      <c r="AL57" s="142">
        <v>6.93E-2</v>
      </c>
      <c r="AM57" s="142">
        <v>6.93E-2</v>
      </c>
      <c r="AN57" s="142">
        <v>6.93E-2</v>
      </c>
      <c r="AO57" s="142">
        <v>6.93E-2</v>
      </c>
      <c r="AP57" s="142">
        <v>6.93E-2</v>
      </c>
      <c r="AQ57" s="142">
        <v>6.93E-2</v>
      </c>
      <c r="AR57" s="142">
        <v>6.93E-2</v>
      </c>
      <c r="AS57" s="142">
        <v>6.93E-2</v>
      </c>
      <c r="AT57" s="142">
        <v>6.93E-2</v>
      </c>
      <c r="AU57" s="142">
        <v>6.93E-2</v>
      </c>
      <c r="AV57" s="142">
        <v>6.93E-2</v>
      </c>
      <c r="AW57" s="142">
        <v>6.93E-2</v>
      </c>
      <c r="AX57" s="142">
        <v>6.93E-2</v>
      </c>
      <c r="AY57" s="142">
        <v>6.93E-2</v>
      </c>
      <c r="AZ57" s="142">
        <v>6.93E-2</v>
      </c>
      <c r="BA57" s="142">
        <v>6.93E-2</v>
      </c>
      <c r="BB57" s="142">
        <v>7.0000000000000007E-2</v>
      </c>
      <c r="BC57" s="142">
        <v>7.0000000000000007E-2</v>
      </c>
      <c r="BD57" s="142">
        <v>7.0000000000000007E-2</v>
      </c>
      <c r="BE57" s="142">
        <v>7.0000000000000007E-2</v>
      </c>
      <c r="BF57" s="142">
        <v>7.0000000000000007E-2</v>
      </c>
      <c r="BG57" s="142">
        <v>7.0000000000000007E-2</v>
      </c>
      <c r="BH57" s="142">
        <v>7.0000000000000007E-2</v>
      </c>
      <c r="BI57" s="142">
        <v>7.0000000000000007E-2</v>
      </c>
      <c r="BJ57" s="142">
        <v>7.0000000000000007E-2</v>
      </c>
      <c r="BK57" s="142">
        <v>7.0000000000000007E-2</v>
      </c>
      <c r="BL57" s="142">
        <v>7.0000000000000007E-2</v>
      </c>
      <c r="BM57" s="142">
        <v>7.0000000000000007E-2</v>
      </c>
      <c r="BN57" s="142">
        <v>7.0000000000000007E-2</v>
      </c>
      <c r="BO57" s="142">
        <v>7.0000000000000007E-2</v>
      </c>
      <c r="BP57" s="142">
        <v>7.0000000000000007E-2</v>
      </c>
      <c r="BQ57" s="142">
        <v>7.0000000000000007E-2</v>
      </c>
      <c r="BR57" s="142">
        <v>7.0000000000000007E-2</v>
      </c>
      <c r="BS57" s="142">
        <v>7.0000000000000007E-2</v>
      </c>
      <c r="BT57" s="142">
        <v>7.0000000000000007E-2</v>
      </c>
      <c r="BU57" s="149"/>
    </row>
    <row r="58" spans="1:73" ht="15" thickBot="1" x14ac:dyDescent="0.35">
      <c r="A58" s="141" t="s">
        <v>10</v>
      </c>
      <c r="B58" s="142" t="s">
        <v>387</v>
      </c>
      <c r="C58" s="142" t="s">
        <v>398</v>
      </c>
      <c r="D58" s="142" t="s">
        <v>389</v>
      </c>
      <c r="E58" s="143" t="s">
        <v>390</v>
      </c>
      <c r="F58" s="142" t="s">
        <v>7</v>
      </c>
      <c r="G58" s="142" t="s">
        <v>313</v>
      </c>
      <c r="H58" s="144" t="s">
        <v>75</v>
      </c>
      <c r="I58" s="145"/>
      <c r="J58" s="146"/>
      <c r="K58" s="147"/>
      <c r="L58" s="148">
        <v>6.93E-2</v>
      </c>
      <c r="M58" s="148">
        <v>6.93E-2</v>
      </c>
      <c r="N58" s="148">
        <v>6.93E-2</v>
      </c>
      <c r="O58" s="148">
        <v>6.93E-2</v>
      </c>
      <c r="P58" s="148">
        <v>6.93E-2</v>
      </c>
      <c r="Q58" s="148">
        <v>6.93E-2</v>
      </c>
      <c r="R58" s="148">
        <v>6.93E-2</v>
      </c>
      <c r="S58" s="148">
        <v>6.93E-2</v>
      </c>
      <c r="T58" s="148">
        <v>6.93E-2</v>
      </c>
      <c r="U58" s="148">
        <v>6.93E-2</v>
      </c>
      <c r="V58" s="148">
        <v>6.93E-2</v>
      </c>
      <c r="W58" s="148">
        <v>6.93E-2</v>
      </c>
      <c r="X58" s="148">
        <v>6.93E-2</v>
      </c>
      <c r="Y58" s="148">
        <v>6.93E-2</v>
      </c>
      <c r="Z58" s="148">
        <v>6.93E-2</v>
      </c>
      <c r="AA58" s="148">
        <v>6.93E-2</v>
      </c>
      <c r="AB58" s="148">
        <v>6.93E-2</v>
      </c>
      <c r="AC58" s="148">
        <v>6.93E-2</v>
      </c>
      <c r="AD58" s="148">
        <v>6.93E-2</v>
      </c>
      <c r="AE58" s="148">
        <v>6.93E-2</v>
      </c>
      <c r="AF58" s="148">
        <v>6.93E-2</v>
      </c>
      <c r="AG58" s="142">
        <v>6.93E-2</v>
      </c>
      <c r="AH58" s="142">
        <v>6.93E-2</v>
      </c>
      <c r="AI58" s="142">
        <v>6.93E-2</v>
      </c>
      <c r="AJ58" s="142">
        <v>6.93E-2</v>
      </c>
      <c r="AK58" s="142">
        <v>6.93E-2</v>
      </c>
      <c r="AL58" s="142">
        <v>6.93E-2</v>
      </c>
      <c r="AM58" s="142">
        <v>6.93E-2</v>
      </c>
      <c r="AN58" s="142">
        <v>6.93E-2</v>
      </c>
      <c r="AO58" s="142">
        <v>6.93E-2</v>
      </c>
      <c r="AP58" s="142">
        <v>6.93E-2</v>
      </c>
      <c r="AQ58" s="142">
        <v>6.93E-2</v>
      </c>
      <c r="AR58" s="142">
        <v>6.93E-2</v>
      </c>
      <c r="AS58" s="142">
        <v>6.93E-2</v>
      </c>
      <c r="AT58" s="142">
        <v>6.93E-2</v>
      </c>
      <c r="AU58" s="142">
        <v>6.93E-2</v>
      </c>
      <c r="AV58" s="142">
        <v>6.93E-2</v>
      </c>
      <c r="AW58" s="142">
        <v>6.93E-2</v>
      </c>
      <c r="AX58" s="142">
        <v>6.93E-2</v>
      </c>
      <c r="AY58" s="142">
        <v>6.93E-2</v>
      </c>
      <c r="AZ58" s="142">
        <v>6.93E-2</v>
      </c>
      <c r="BA58" s="142">
        <v>6.93E-2</v>
      </c>
      <c r="BB58" s="142">
        <v>7.0000000000000007E-2</v>
      </c>
      <c r="BC58" s="142">
        <v>7.0000000000000007E-2</v>
      </c>
      <c r="BD58" s="142">
        <v>7.0000000000000007E-2</v>
      </c>
      <c r="BE58" s="142">
        <v>7.0000000000000007E-2</v>
      </c>
      <c r="BF58" s="142">
        <v>7.0000000000000007E-2</v>
      </c>
      <c r="BG58" s="142">
        <v>7.0000000000000007E-2</v>
      </c>
      <c r="BH58" s="142">
        <v>7.0000000000000007E-2</v>
      </c>
      <c r="BI58" s="142">
        <v>7.0000000000000007E-2</v>
      </c>
      <c r="BJ58" s="142">
        <v>7.0000000000000007E-2</v>
      </c>
      <c r="BK58" s="142">
        <v>7.0000000000000007E-2</v>
      </c>
      <c r="BL58" s="142">
        <v>7.0000000000000007E-2</v>
      </c>
      <c r="BM58" s="142">
        <v>7.0000000000000007E-2</v>
      </c>
      <c r="BN58" s="142">
        <v>7.0000000000000007E-2</v>
      </c>
      <c r="BO58" s="142">
        <v>7.0000000000000007E-2</v>
      </c>
      <c r="BP58" s="142">
        <v>7.0000000000000007E-2</v>
      </c>
      <c r="BQ58" s="142">
        <v>7.0000000000000007E-2</v>
      </c>
      <c r="BR58" s="142">
        <v>7.0000000000000007E-2</v>
      </c>
      <c r="BS58" s="142">
        <v>7.0000000000000007E-2</v>
      </c>
      <c r="BT58" s="142">
        <v>7.0000000000000007E-2</v>
      </c>
      <c r="BU58" s="149"/>
    </row>
    <row r="59" spans="1:73" ht="15" thickBot="1" x14ac:dyDescent="0.35">
      <c r="A59" s="141" t="s">
        <v>274</v>
      </c>
      <c r="B59" s="142" t="s">
        <v>387</v>
      </c>
      <c r="C59" s="142" t="s">
        <v>388</v>
      </c>
      <c r="D59" s="142" t="s">
        <v>389</v>
      </c>
      <c r="E59" s="143" t="s">
        <v>390</v>
      </c>
      <c r="F59" s="142" t="s">
        <v>7</v>
      </c>
      <c r="G59" s="142" t="s">
        <v>313</v>
      </c>
      <c r="H59" s="144" t="s">
        <v>75</v>
      </c>
      <c r="I59" s="145"/>
      <c r="J59" s="146"/>
      <c r="K59" s="147"/>
      <c r="L59" s="148">
        <v>7.4099999999999999E-2</v>
      </c>
      <c r="M59" s="148">
        <v>7.4099999999999999E-2</v>
      </c>
      <c r="N59" s="148">
        <v>7.4099999999999999E-2</v>
      </c>
      <c r="O59" s="148">
        <v>7.4099999999999999E-2</v>
      </c>
      <c r="P59" s="148">
        <v>7.4099999999999999E-2</v>
      </c>
      <c r="Q59" s="148">
        <v>7.4099999999999999E-2</v>
      </c>
      <c r="R59" s="148">
        <v>7.4099999999999999E-2</v>
      </c>
      <c r="S59" s="148">
        <v>7.4099999999999999E-2</v>
      </c>
      <c r="T59" s="148">
        <v>7.4099999999999999E-2</v>
      </c>
      <c r="U59" s="148">
        <v>7.4099999999999999E-2</v>
      </c>
      <c r="V59" s="148">
        <v>7.4099999999999999E-2</v>
      </c>
      <c r="W59" s="148">
        <v>7.4099999999999999E-2</v>
      </c>
      <c r="X59" s="142">
        <v>7.0394999999999999E-2</v>
      </c>
      <c r="Y59" s="142">
        <v>6.9802199999999995E-2</v>
      </c>
      <c r="Z59" s="142">
        <v>6.9802199999999995E-2</v>
      </c>
      <c r="AA59" s="142">
        <v>6.9728100000000001E-2</v>
      </c>
      <c r="AB59" s="142">
        <v>6.9505800000000006E-2</v>
      </c>
      <c r="AC59" s="142">
        <v>6.9209400000000004E-2</v>
      </c>
      <c r="AD59" s="142">
        <v>6.8987099999999996E-2</v>
      </c>
      <c r="AE59" s="142">
        <v>6.8690699999999993E-2</v>
      </c>
      <c r="AF59" s="142">
        <v>6.8394300000000005E-2</v>
      </c>
      <c r="AG59" s="142">
        <v>6.8171999999999996E-2</v>
      </c>
      <c r="AH59" s="142">
        <v>6.7949700000000002E-2</v>
      </c>
      <c r="AI59" s="142">
        <v>6.7727399999999993E-2</v>
      </c>
      <c r="AJ59" s="142">
        <v>6.7431000000000005E-2</v>
      </c>
      <c r="AK59" s="142">
        <v>6.7134600000000003E-2</v>
      </c>
      <c r="AL59" s="142">
        <v>6.6912299999999994E-2</v>
      </c>
      <c r="AM59" s="142">
        <v>6.6615900000000006E-2</v>
      </c>
      <c r="AN59" s="142">
        <v>6.6393599999999997E-2</v>
      </c>
      <c r="AO59" s="142">
        <v>6.6171300000000002E-2</v>
      </c>
      <c r="AP59" s="142">
        <v>6.58749E-2</v>
      </c>
      <c r="AQ59" s="142">
        <v>6.5652600000000005E-2</v>
      </c>
      <c r="AR59" s="142">
        <v>6.5059800000000001E-2</v>
      </c>
      <c r="AS59" s="142">
        <v>6.4615199999999998E-2</v>
      </c>
      <c r="AT59" s="142">
        <v>6.4096500000000001E-2</v>
      </c>
      <c r="AU59" s="142">
        <v>6.3577800000000004E-2</v>
      </c>
      <c r="AV59" s="142">
        <v>6.3059100000000007E-2</v>
      </c>
      <c r="AW59" s="142">
        <v>6.2540399999999996E-2</v>
      </c>
      <c r="AX59" s="142">
        <v>6.2021699999999999E-2</v>
      </c>
      <c r="AY59" s="142">
        <v>6.1503000000000002E-2</v>
      </c>
      <c r="AZ59" s="142">
        <v>6.1058399999999999E-2</v>
      </c>
      <c r="BA59" s="142">
        <v>6.0465600000000001E-2</v>
      </c>
      <c r="BB59" s="142">
        <v>5.9946899999999997E-2</v>
      </c>
      <c r="BC59" s="142">
        <v>5.9502300000000001E-2</v>
      </c>
      <c r="BD59" s="142">
        <v>5.8983599999999997E-2</v>
      </c>
      <c r="BE59" s="142">
        <v>5.83908E-2</v>
      </c>
      <c r="BF59" s="142">
        <v>5.7872100000000003E-2</v>
      </c>
      <c r="BG59" s="142">
        <v>5.7427499999999999E-2</v>
      </c>
      <c r="BH59" s="142">
        <v>5.6908800000000002E-2</v>
      </c>
      <c r="BI59" s="142">
        <v>5.7056999999999997E-2</v>
      </c>
      <c r="BJ59" s="142">
        <v>5.7279299999999998E-2</v>
      </c>
      <c r="BK59" s="142">
        <v>5.75016E-2</v>
      </c>
      <c r="BL59" s="142">
        <v>5.7723900000000002E-2</v>
      </c>
      <c r="BM59" s="142">
        <v>5.7872100000000003E-2</v>
      </c>
      <c r="BN59" s="142">
        <v>5.8094399999999997E-2</v>
      </c>
      <c r="BO59" s="142">
        <v>5.8316699999999999E-2</v>
      </c>
      <c r="BP59" s="142">
        <v>5.84649E-2</v>
      </c>
      <c r="BQ59" s="142">
        <v>5.8687200000000002E-2</v>
      </c>
      <c r="BR59" s="142">
        <v>5.8909499999999997E-2</v>
      </c>
      <c r="BS59" s="142">
        <v>5.9057699999999998E-2</v>
      </c>
      <c r="BT59" s="142">
        <v>5.9279999999999999E-2</v>
      </c>
      <c r="BU59" s="149"/>
    </row>
    <row r="60" spans="1:73" ht="15" thickBot="1" x14ac:dyDescent="0.35">
      <c r="A60" s="141" t="s">
        <v>274</v>
      </c>
      <c r="B60" s="142" t="s">
        <v>387</v>
      </c>
      <c r="C60" s="142" t="s">
        <v>391</v>
      </c>
      <c r="D60" s="142" t="s">
        <v>389</v>
      </c>
      <c r="E60" s="143" t="s">
        <v>390</v>
      </c>
      <c r="F60" s="142" t="s">
        <v>7</v>
      </c>
      <c r="G60" s="142" t="s">
        <v>313</v>
      </c>
      <c r="H60" s="144" t="s">
        <v>75</v>
      </c>
      <c r="I60" s="145"/>
      <c r="J60" s="146"/>
      <c r="K60" s="147"/>
      <c r="L60" s="148">
        <v>7.4099999999999999E-2</v>
      </c>
      <c r="M60" s="148">
        <v>7.4099999999999999E-2</v>
      </c>
      <c r="N60" s="148">
        <v>7.4099999999999999E-2</v>
      </c>
      <c r="O60" s="148">
        <v>7.4099999999999999E-2</v>
      </c>
      <c r="P60" s="148">
        <v>7.4099999999999999E-2</v>
      </c>
      <c r="Q60" s="148">
        <v>7.4099999999999999E-2</v>
      </c>
      <c r="R60" s="148">
        <v>7.4099999999999999E-2</v>
      </c>
      <c r="S60" s="148">
        <v>7.4099999999999999E-2</v>
      </c>
      <c r="T60" s="148">
        <v>7.4099999999999999E-2</v>
      </c>
      <c r="U60" s="148">
        <v>7.4099999999999999E-2</v>
      </c>
      <c r="V60" s="148">
        <v>7.4099999999999999E-2</v>
      </c>
      <c r="W60" s="148">
        <v>7.4099999999999999E-2</v>
      </c>
      <c r="X60" s="142">
        <v>7.0394999999999999E-2</v>
      </c>
      <c r="Y60" s="142">
        <v>6.9802199999999995E-2</v>
      </c>
      <c r="Z60" s="142">
        <v>6.9802199999999995E-2</v>
      </c>
      <c r="AA60" s="142">
        <v>6.9728100000000001E-2</v>
      </c>
      <c r="AB60" s="142">
        <v>6.9505800000000006E-2</v>
      </c>
      <c r="AC60" s="142">
        <v>6.9209400000000004E-2</v>
      </c>
      <c r="AD60" s="142">
        <v>6.8987099999999996E-2</v>
      </c>
      <c r="AE60" s="142">
        <v>6.8690699999999993E-2</v>
      </c>
      <c r="AF60" s="142">
        <v>6.8394300000000005E-2</v>
      </c>
      <c r="AG60" s="142">
        <v>6.8171999999999996E-2</v>
      </c>
      <c r="AH60" s="142">
        <v>6.7949700000000002E-2</v>
      </c>
      <c r="AI60" s="142">
        <v>6.7727399999999993E-2</v>
      </c>
      <c r="AJ60" s="142">
        <v>6.7431000000000005E-2</v>
      </c>
      <c r="AK60" s="142">
        <v>6.7134600000000003E-2</v>
      </c>
      <c r="AL60" s="142">
        <v>6.6912299999999994E-2</v>
      </c>
      <c r="AM60" s="142">
        <v>6.6615900000000006E-2</v>
      </c>
      <c r="AN60" s="142">
        <v>6.6393599999999997E-2</v>
      </c>
      <c r="AO60" s="142">
        <v>6.6171300000000002E-2</v>
      </c>
      <c r="AP60" s="142">
        <v>6.58749E-2</v>
      </c>
      <c r="AQ60" s="142">
        <v>6.5652600000000005E-2</v>
      </c>
      <c r="AR60" s="142">
        <v>6.5059800000000001E-2</v>
      </c>
      <c r="AS60" s="142">
        <v>6.4615199999999998E-2</v>
      </c>
      <c r="AT60" s="142">
        <v>6.4096500000000001E-2</v>
      </c>
      <c r="AU60" s="142">
        <v>6.3577800000000004E-2</v>
      </c>
      <c r="AV60" s="142">
        <v>6.3059100000000007E-2</v>
      </c>
      <c r="AW60" s="142">
        <v>6.2540399999999996E-2</v>
      </c>
      <c r="AX60" s="142">
        <v>6.2021699999999999E-2</v>
      </c>
      <c r="AY60" s="142">
        <v>6.1503000000000002E-2</v>
      </c>
      <c r="AZ60" s="142">
        <v>6.1058399999999999E-2</v>
      </c>
      <c r="BA60" s="142">
        <v>6.0465600000000001E-2</v>
      </c>
      <c r="BB60" s="142">
        <v>5.9946899999999997E-2</v>
      </c>
      <c r="BC60" s="142">
        <v>5.9502300000000001E-2</v>
      </c>
      <c r="BD60" s="142">
        <v>5.8983599999999997E-2</v>
      </c>
      <c r="BE60" s="142">
        <v>5.83908E-2</v>
      </c>
      <c r="BF60" s="142">
        <v>5.7872100000000003E-2</v>
      </c>
      <c r="BG60" s="142">
        <v>5.7427499999999999E-2</v>
      </c>
      <c r="BH60" s="142">
        <v>5.6908800000000002E-2</v>
      </c>
      <c r="BI60" s="142">
        <v>5.7056999999999997E-2</v>
      </c>
      <c r="BJ60" s="142">
        <v>5.7279299999999998E-2</v>
      </c>
      <c r="BK60" s="142">
        <v>5.75016E-2</v>
      </c>
      <c r="BL60" s="142">
        <v>5.7723900000000002E-2</v>
      </c>
      <c r="BM60" s="142">
        <v>5.7872100000000003E-2</v>
      </c>
      <c r="BN60" s="142">
        <v>5.8094399999999997E-2</v>
      </c>
      <c r="BO60" s="142">
        <v>5.8316699999999999E-2</v>
      </c>
      <c r="BP60" s="142">
        <v>5.84649E-2</v>
      </c>
      <c r="BQ60" s="142">
        <v>5.8687200000000002E-2</v>
      </c>
      <c r="BR60" s="142">
        <v>5.8909499999999997E-2</v>
      </c>
      <c r="BS60" s="142">
        <v>5.9057699999999998E-2</v>
      </c>
      <c r="BT60" s="142">
        <v>5.9279999999999999E-2</v>
      </c>
      <c r="BU60" s="149"/>
    </row>
    <row r="61" spans="1:73" s="150" customFormat="1" ht="15" thickBot="1" x14ac:dyDescent="0.35">
      <c r="A61" s="141" t="s">
        <v>274</v>
      </c>
      <c r="B61" s="176" t="s">
        <v>387</v>
      </c>
      <c r="C61" s="176" t="s">
        <v>392</v>
      </c>
      <c r="D61" s="176" t="s">
        <v>389</v>
      </c>
      <c r="E61" s="189" t="s">
        <v>390</v>
      </c>
      <c r="F61" s="176" t="s">
        <v>7</v>
      </c>
      <c r="G61" s="176" t="s">
        <v>313</v>
      </c>
      <c r="H61" s="144" t="s">
        <v>75</v>
      </c>
      <c r="I61" s="198"/>
      <c r="J61" s="203"/>
      <c r="K61" s="208"/>
      <c r="L61" s="212">
        <v>7.4099999999999999E-2</v>
      </c>
      <c r="M61" s="212">
        <v>7.4099999999999999E-2</v>
      </c>
      <c r="N61" s="212">
        <v>7.4099999999999999E-2</v>
      </c>
      <c r="O61" s="212">
        <v>7.4099999999999999E-2</v>
      </c>
      <c r="P61" s="212">
        <v>7.4099999999999999E-2</v>
      </c>
      <c r="Q61" s="212">
        <v>7.4099999999999999E-2</v>
      </c>
      <c r="R61" s="212">
        <v>7.4099999999999999E-2</v>
      </c>
      <c r="S61" s="212">
        <v>7.4099999999999999E-2</v>
      </c>
      <c r="T61" s="212">
        <v>7.4099999999999999E-2</v>
      </c>
      <c r="U61" s="212">
        <v>7.4099999999999999E-2</v>
      </c>
      <c r="V61" s="212">
        <v>7.4099999999999999E-2</v>
      </c>
      <c r="W61" s="212">
        <v>7.4099999999999999E-2</v>
      </c>
      <c r="X61" s="182">
        <v>7.0394999999999999E-2</v>
      </c>
      <c r="Y61" s="182">
        <v>6.9802199999999995E-2</v>
      </c>
      <c r="Z61" s="182">
        <v>6.9802199999999995E-2</v>
      </c>
      <c r="AA61" s="182">
        <v>6.9728100000000001E-2</v>
      </c>
      <c r="AB61" s="182">
        <v>6.9505800000000006E-2</v>
      </c>
      <c r="AC61" s="182">
        <v>6.9209400000000004E-2</v>
      </c>
      <c r="AD61" s="182">
        <v>6.8987099999999996E-2</v>
      </c>
      <c r="AE61" s="182">
        <v>6.8690699999999993E-2</v>
      </c>
      <c r="AF61" s="182">
        <v>6.8394300000000005E-2</v>
      </c>
      <c r="AG61" s="182">
        <v>6.8171999999999996E-2</v>
      </c>
      <c r="AH61" s="182">
        <v>6.7949700000000002E-2</v>
      </c>
      <c r="AI61" s="182">
        <v>6.7727399999999993E-2</v>
      </c>
      <c r="AJ61" s="182">
        <v>6.7431000000000005E-2</v>
      </c>
      <c r="AK61" s="182">
        <v>6.7134600000000003E-2</v>
      </c>
      <c r="AL61" s="182">
        <v>6.6912299999999994E-2</v>
      </c>
      <c r="AM61" s="182">
        <v>6.6615900000000006E-2</v>
      </c>
      <c r="AN61" s="182">
        <v>6.6393599999999997E-2</v>
      </c>
      <c r="AO61" s="182">
        <v>6.6171300000000002E-2</v>
      </c>
      <c r="AP61" s="182">
        <v>6.58749E-2</v>
      </c>
      <c r="AQ61" s="182">
        <v>6.5652600000000005E-2</v>
      </c>
      <c r="AR61" s="182">
        <v>6.5059800000000001E-2</v>
      </c>
      <c r="AS61" s="182">
        <v>6.4615199999999998E-2</v>
      </c>
      <c r="AT61" s="182">
        <v>6.4096500000000001E-2</v>
      </c>
      <c r="AU61" s="182">
        <v>6.3577800000000004E-2</v>
      </c>
      <c r="AV61" s="182">
        <v>6.3059100000000007E-2</v>
      </c>
      <c r="AW61" s="182">
        <v>6.2540399999999996E-2</v>
      </c>
      <c r="AX61" s="182">
        <v>6.2021699999999999E-2</v>
      </c>
      <c r="AY61" s="182">
        <v>6.1503000000000002E-2</v>
      </c>
      <c r="AZ61" s="182">
        <v>6.1058399999999999E-2</v>
      </c>
      <c r="BA61" s="182">
        <v>6.0465600000000001E-2</v>
      </c>
      <c r="BB61" s="182">
        <v>5.9946899999999997E-2</v>
      </c>
      <c r="BC61" s="182">
        <v>5.9502300000000001E-2</v>
      </c>
      <c r="BD61" s="182">
        <v>5.8983599999999997E-2</v>
      </c>
      <c r="BE61" s="182">
        <v>5.83908E-2</v>
      </c>
      <c r="BF61" s="182">
        <v>5.7872100000000003E-2</v>
      </c>
      <c r="BG61" s="182">
        <v>5.7427499999999999E-2</v>
      </c>
      <c r="BH61" s="182">
        <v>5.6908800000000002E-2</v>
      </c>
      <c r="BI61" s="182">
        <v>5.7056999999999997E-2</v>
      </c>
      <c r="BJ61" s="182">
        <v>5.7279299999999998E-2</v>
      </c>
      <c r="BK61" s="182">
        <v>5.75016E-2</v>
      </c>
      <c r="BL61" s="182">
        <v>5.7723900000000002E-2</v>
      </c>
      <c r="BM61" s="182">
        <v>5.7872100000000003E-2</v>
      </c>
      <c r="BN61" s="182">
        <v>5.8094399999999997E-2</v>
      </c>
      <c r="BO61" s="182">
        <v>5.8316699999999999E-2</v>
      </c>
      <c r="BP61" s="182">
        <v>5.84649E-2</v>
      </c>
      <c r="BQ61" s="182">
        <v>5.8687200000000002E-2</v>
      </c>
      <c r="BR61" s="182">
        <v>5.8909499999999997E-2</v>
      </c>
      <c r="BS61" s="182">
        <v>5.9057699999999998E-2</v>
      </c>
      <c r="BT61" s="182">
        <v>5.9279999999999999E-2</v>
      </c>
    </row>
    <row r="62" spans="1:73" s="150" customFormat="1" ht="15" thickBot="1" x14ac:dyDescent="0.35">
      <c r="A62" s="141" t="s">
        <v>274</v>
      </c>
      <c r="B62" s="176" t="s">
        <v>387</v>
      </c>
      <c r="C62" s="176" t="s">
        <v>393</v>
      </c>
      <c r="D62" s="176" t="s">
        <v>389</v>
      </c>
      <c r="E62" s="189" t="s">
        <v>390</v>
      </c>
      <c r="F62" s="176" t="s">
        <v>7</v>
      </c>
      <c r="G62" s="176" t="s">
        <v>313</v>
      </c>
      <c r="H62" s="144" t="s">
        <v>75</v>
      </c>
      <c r="I62" s="198"/>
      <c r="J62" s="203"/>
      <c r="K62" s="208"/>
      <c r="L62" s="212">
        <v>7.4099999999999999E-2</v>
      </c>
      <c r="M62" s="212">
        <v>7.4099999999999999E-2</v>
      </c>
      <c r="N62" s="212">
        <v>7.4099999999999999E-2</v>
      </c>
      <c r="O62" s="212">
        <v>7.4099999999999999E-2</v>
      </c>
      <c r="P62" s="212">
        <v>7.4099999999999999E-2</v>
      </c>
      <c r="Q62" s="212">
        <v>7.4099999999999999E-2</v>
      </c>
      <c r="R62" s="212">
        <v>7.4099999999999999E-2</v>
      </c>
      <c r="S62" s="212">
        <v>7.4099999999999999E-2</v>
      </c>
      <c r="T62" s="212">
        <v>7.4099999999999999E-2</v>
      </c>
      <c r="U62" s="212">
        <v>7.4099999999999999E-2</v>
      </c>
      <c r="V62" s="212">
        <v>7.4099999999999999E-2</v>
      </c>
      <c r="W62" s="212">
        <v>7.4099999999999999E-2</v>
      </c>
      <c r="X62" s="182">
        <v>7.0394999999999999E-2</v>
      </c>
      <c r="Y62" s="182">
        <v>6.9802199999999995E-2</v>
      </c>
      <c r="Z62" s="182">
        <v>6.9802199999999995E-2</v>
      </c>
      <c r="AA62" s="182">
        <v>6.9728100000000001E-2</v>
      </c>
      <c r="AB62" s="182">
        <v>6.9505800000000006E-2</v>
      </c>
      <c r="AC62" s="182">
        <v>6.9209400000000004E-2</v>
      </c>
      <c r="AD62" s="182">
        <v>6.8987099999999996E-2</v>
      </c>
      <c r="AE62" s="182">
        <v>6.8690699999999993E-2</v>
      </c>
      <c r="AF62" s="182">
        <v>6.8394300000000005E-2</v>
      </c>
      <c r="AG62" s="182">
        <v>6.8171999999999996E-2</v>
      </c>
      <c r="AH62" s="182">
        <v>6.7949700000000002E-2</v>
      </c>
      <c r="AI62" s="182">
        <v>6.7727399999999993E-2</v>
      </c>
      <c r="AJ62" s="182">
        <v>6.7431000000000005E-2</v>
      </c>
      <c r="AK62" s="182">
        <v>6.7134600000000003E-2</v>
      </c>
      <c r="AL62" s="182">
        <v>6.6912299999999994E-2</v>
      </c>
      <c r="AM62" s="182">
        <v>6.6615900000000006E-2</v>
      </c>
      <c r="AN62" s="182">
        <v>6.6393599999999997E-2</v>
      </c>
      <c r="AO62" s="182">
        <v>6.6171300000000002E-2</v>
      </c>
      <c r="AP62" s="182">
        <v>6.58749E-2</v>
      </c>
      <c r="AQ62" s="182">
        <v>6.5652600000000005E-2</v>
      </c>
      <c r="AR62" s="182">
        <v>6.5059800000000001E-2</v>
      </c>
      <c r="AS62" s="182">
        <v>6.4615199999999998E-2</v>
      </c>
      <c r="AT62" s="182">
        <v>6.4096500000000001E-2</v>
      </c>
      <c r="AU62" s="182">
        <v>6.3577800000000004E-2</v>
      </c>
      <c r="AV62" s="182">
        <v>6.3059100000000007E-2</v>
      </c>
      <c r="AW62" s="182">
        <v>6.2540399999999996E-2</v>
      </c>
      <c r="AX62" s="182">
        <v>6.2021699999999999E-2</v>
      </c>
      <c r="AY62" s="182">
        <v>6.1503000000000002E-2</v>
      </c>
      <c r="AZ62" s="182">
        <v>6.1058399999999999E-2</v>
      </c>
      <c r="BA62" s="182">
        <v>6.0465600000000001E-2</v>
      </c>
      <c r="BB62" s="182">
        <v>5.9946899999999997E-2</v>
      </c>
      <c r="BC62" s="182">
        <v>5.9502300000000001E-2</v>
      </c>
      <c r="BD62" s="182">
        <v>5.8983599999999997E-2</v>
      </c>
      <c r="BE62" s="182">
        <v>5.83908E-2</v>
      </c>
      <c r="BF62" s="182">
        <v>5.7872100000000003E-2</v>
      </c>
      <c r="BG62" s="182">
        <v>5.7427499999999999E-2</v>
      </c>
      <c r="BH62" s="182">
        <v>5.6908800000000002E-2</v>
      </c>
      <c r="BI62" s="182">
        <v>5.7056999999999997E-2</v>
      </c>
      <c r="BJ62" s="182">
        <v>5.7279299999999998E-2</v>
      </c>
      <c r="BK62" s="182">
        <v>5.75016E-2</v>
      </c>
      <c r="BL62" s="182">
        <v>5.7723900000000002E-2</v>
      </c>
      <c r="BM62" s="182">
        <v>5.7872100000000003E-2</v>
      </c>
      <c r="BN62" s="182">
        <v>5.8094399999999997E-2</v>
      </c>
      <c r="BO62" s="182">
        <v>5.8316699999999999E-2</v>
      </c>
      <c r="BP62" s="182">
        <v>5.84649E-2</v>
      </c>
      <c r="BQ62" s="182">
        <v>5.8687200000000002E-2</v>
      </c>
      <c r="BR62" s="182">
        <v>5.8909499999999997E-2</v>
      </c>
      <c r="BS62" s="182">
        <v>5.9057699999999998E-2</v>
      </c>
      <c r="BT62" s="182">
        <v>5.9279999999999999E-2</v>
      </c>
    </row>
    <row r="63" spans="1:73" s="150" customFormat="1" ht="15" thickBot="1" x14ac:dyDescent="0.35">
      <c r="A63" s="141" t="s">
        <v>274</v>
      </c>
      <c r="B63" s="176" t="s">
        <v>387</v>
      </c>
      <c r="C63" s="176" t="s">
        <v>394</v>
      </c>
      <c r="D63" s="176" t="s">
        <v>389</v>
      </c>
      <c r="E63" s="189" t="s">
        <v>390</v>
      </c>
      <c r="F63" s="176" t="s">
        <v>7</v>
      </c>
      <c r="G63" s="176" t="s">
        <v>313</v>
      </c>
      <c r="H63" s="144" t="s">
        <v>75</v>
      </c>
      <c r="I63" s="198"/>
      <c r="J63" s="203"/>
      <c r="K63" s="208"/>
      <c r="L63" s="212">
        <v>7.4099999999999999E-2</v>
      </c>
      <c r="M63" s="212">
        <v>7.4099999999999999E-2</v>
      </c>
      <c r="N63" s="212">
        <v>7.4099999999999999E-2</v>
      </c>
      <c r="O63" s="212">
        <v>7.4099999999999999E-2</v>
      </c>
      <c r="P63" s="212">
        <v>7.4099999999999999E-2</v>
      </c>
      <c r="Q63" s="212">
        <v>7.4099999999999999E-2</v>
      </c>
      <c r="R63" s="212">
        <v>7.4099999999999999E-2</v>
      </c>
      <c r="S63" s="212">
        <v>7.4099999999999999E-2</v>
      </c>
      <c r="T63" s="212">
        <v>7.4099999999999999E-2</v>
      </c>
      <c r="U63" s="212">
        <v>7.4099999999999999E-2</v>
      </c>
      <c r="V63" s="212">
        <v>7.4099999999999999E-2</v>
      </c>
      <c r="W63" s="212">
        <v>7.4099999999999999E-2</v>
      </c>
      <c r="X63" s="182">
        <v>7.0394999999999999E-2</v>
      </c>
      <c r="Y63" s="182">
        <v>6.9802199999999995E-2</v>
      </c>
      <c r="Z63" s="182">
        <v>6.9802199999999995E-2</v>
      </c>
      <c r="AA63" s="182">
        <v>6.9728100000000001E-2</v>
      </c>
      <c r="AB63" s="182">
        <v>6.9505800000000006E-2</v>
      </c>
      <c r="AC63" s="182">
        <v>6.9209400000000004E-2</v>
      </c>
      <c r="AD63" s="182">
        <v>6.8987099999999996E-2</v>
      </c>
      <c r="AE63" s="182">
        <v>6.8690699999999993E-2</v>
      </c>
      <c r="AF63" s="182">
        <v>6.8394300000000005E-2</v>
      </c>
      <c r="AG63" s="182">
        <v>6.8171999999999996E-2</v>
      </c>
      <c r="AH63" s="182">
        <v>6.7949700000000002E-2</v>
      </c>
      <c r="AI63" s="182">
        <v>6.7727399999999993E-2</v>
      </c>
      <c r="AJ63" s="182">
        <v>6.7431000000000005E-2</v>
      </c>
      <c r="AK63" s="182">
        <v>6.7134600000000003E-2</v>
      </c>
      <c r="AL63" s="182">
        <v>6.6912299999999994E-2</v>
      </c>
      <c r="AM63" s="182">
        <v>6.6615900000000006E-2</v>
      </c>
      <c r="AN63" s="182">
        <v>6.6393599999999997E-2</v>
      </c>
      <c r="AO63" s="182">
        <v>6.6171300000000002E-2</v>
      </c>
      <c r="AP63" s="182">
        <v>6.58749E-2</v>
      </c>
      <c r="AQ63" s="182">
        <v>6.5652600000000005E-2</v>
      </c>
      <c r="AR63" s="182">
        <v>6.5059800000000001E-2</v>
      </c>
      <c r="AS63" s="182">
        <v>6.4615199999999998E-2</v>
      </c>
      <c r="AT63" s="182">
        <v>6.4096500000000001E-2</v>
      </c>
      <c r="AU63" s="182">
        <v>6.3577800000000004E-2</v>
      </c>
      <c r="AV63" s="182">
        <v>6.3059100000000007E-2</v>
      </c>
      <c r="AW63" s="182">
        <v>6.2540399999999996E-2</v>
      </c>
      <c r="AX63" s="182">
        <v>6.2021699999999999E-2</v>
      </c>
      <c r="AY63" s="182">
        <v>6.1503000000000002E-2</v>
      </c>
      <c r="AZ63" s="182">
        <v>6.1058399999999999E-2</v>
      </c>
      <c r="BA63" s="182">
        <v>6.0465600000000001E-2</v>
      </c>
      <c r="BB63" s="182">
        <v>5.9946899999999997E-2</v>
      </c>
      <c r="BC63" s="182">
        <v>5.9502300000000001E-2</v>
      </c>
      <c r="BD63" s="182">
        <v>5.8983599999999997E-2</v>
      </c>
      <c r="BE63" s="182">
        <v>5.83908E-2</v>
      </c>
      <c r="BF63" s="182">
        <v>5.7872100000000003E-2</v>
      </c>
      <c r="BG63" s="182">
        <v>5.7427499999999999E-2</v>
      </c>
      <c r="BH63" s="182">
        <v>5.6908800000000002E-2</v>
      </c>
      <c r="BI63" s="182">
        <v>5.7056999999999997E-2</v>
      </c>
      <c r="BJ63" s="182">
        <v>5.7279299999999998E-2</v>
      </c>
      <c r="BK63" s="182">
        <v>5.75016E-2</v>
      </c>
      <c r="BL63" s="182">
        <v>5.7723900000000002E-2</v>
      </c>
      <c r="BM63" s="182">
        <v>5.7872100000000003E-2</v>
      </c>
      <c r="BN63" s="182">
        <v>5.8094399999999997E-2</v>
      </c>
      <c r="BO63" s="182">
        <v>5.8316699999999999E-2</v>
      </c>
      <c r="BP63" s="182">
        <v>5.84649E-2</v>
      </c>
      <c r="BQ63" s="182">
        <v>5.8687200000000002E-2</v>
      </c>
      <c r="BR63" s="182">
        <v>5.8909499999999997E-2</v>
      </c>
      <c r="BS63" s="182">
        <v>5.9057699999999998E-2</v>
      </c>
      <c r="BT63" s="182">
        <v>5.9279999999999999E-2</v>
      </c>
    </row>
    <row r="64" spans="1:73" s="150" customFormat="1" ht="15" thickBot="1" x14ac:dyDescent="0.35">
      <c r="A64" s="141" t="s">
        <v>274</v>
      </c>
      <c r="B64" s="176" t="s">
        <v>387</v>
      </c>
      <c r="C64" s="176" t="s">
        <v>395</v>
      </c>
      <c r="D64" s="176" t="s">
        <v>389</v>
      </c>
      <c r="E64" s="189" t="s">
        <v>390</v>
      </c>
      <c r="F64" s="176" t="s">
        <v>7</v>
      </c>
      <c r="G64" s="176" t="s">
        <v>313</v>
      </c>
      <c r="H64" s="144" t="s">
        <v>75</v>
      </c>
      <c r="I64" s="198"/>
      <c r="J64" s="203"/>
      <c r="K64" s="208"/>
      <c r="L64" s="212">
        <v>6.93E-2</v>
      </c>
      <c r="M64" s="212">
        <v>6.93E-2</v>
      </c>
      <c r="N64" s="212">
        <v>6.93E-2</v>
      </c>
      <c r="O64" s="212">
        <v>6.93E-2</v>
      </c>
      <c r="P64" s="212">
        <v>6.93E-2</v>
      </c>
      <c r="Q64" s="212">
        <v>6.93E-2</v>
      </c>
      <c r="R64" s="212">
        <v>6.93E-2</v>
      </c>
      <c r="S64" s="212">
        <v>6.93E-2</v>
      </c>
      <c r="T64" s="212">
        <v>6.93E-2</v>
      </c>
      <c r="U64" s="212">
        <v>6.93E-2</v>
      </c>
      <c r="V64" s="212">
        <v>6.93E-2</v>
      </c>
      <c r="W64" s="212">
        <v>6.93E-2</v>
      </c>
      <c r="X64" s="182">
        <v>6.7567500000000003E-2</v>
      </c>
      <c r="Y64" s="182">
        <v>6.6181500000000004E-2</v>
      </c>
      <c r="Z64" s="182">
        <v>6.5696400000000002E-2</v>
      </c>
      <c r="AA64" s="182">
        <v>6.52113E-2</v>
      </c>
      <c r="AB64" s="182">
        <v>6.4587599999999995E-2</v>
      </c>
      <c r="AC64" s="182">
        <v>6.3963900000000004E-2</v>
      </c>
      <c r="AD64" s="182">
        <v>6.3340199999999999E-2</v>
      </c>
      <c r="AE64" s="182">
        <v>6.2716499999999994E-2</v>
      </c>
      <c r="AF64" s="182">
        <v>6.2092799999999997E-2</v>
      </c>
      <c r="AG64" s="182">
        <v>6.1469099999999999E-2</v>
      </c>
      <c r="AH64" s="182">
        <v>6.0845400000000001E-2</v>
      </c>
      <c r="AI64" s="182">
        <v>6.0221700000000003E-2</v>
      </c>
      <c r="AJ64" s="182">
        <v>5.9597999999999998E-2</v>
      </c>
      <c r="AK64" s="182">
        <v>5.89743E-2</v>
      </c>
      <c r="AL64" s="182">
        <v>5.8350600000000002E-2</v>
      </c>
      <c r="AM64" s="182">
        <v>5.7726899999999998E-2</v>
      </c>
      <c r="AN64" s="182">
        <v>5.71032E-2</v>
      </c>
      <c r="AO64" s="182">
        <v>5.6479500000000002E-2</v>
      </c>
      <c r="AP64" s="182">
        <v>5.5855799999999997E-2</v>
      </c>
      <c r="AQ64" s="182">
        <v>5.5232099999999999E-2</v>
      </c>
      <c r="AR64" s="182">
        <v>5.3984699999999997E-2</v>
      </c>
      <c r="AS64" s="182">
        <v>5.2737300000000001E-2</v>
      </c>
      <c r="AT64" s="182">
        <v>5.1489899999999998E-2</v>
      </c>
      <c r="AU64" s="182">
        <v>5.0242500000000002E-2</v>
      </c>
      <c r="AV64" s="182">
        <v>4.89951E-2</v>
      </c>
      <c r="AW64" s="182">
        <v>4.7747699999999997E-2</v>
      </c>
      <c r="AX64" s="182">
        <v>4.6500300000000001E-2</v>
      </c>
      <c r="AY64" s="182">
        <v>4.5252899999999999E-2</v>
      </c>
      <c r="AZ64" s="182">
        <v>4.4005500000000003E-2</v>
      </c>
      <c r="BA64" s="182">
        <v>4.27581E-2</v>
      </c>
      <c r="BB64" s="182">
        <v>4.1510699999999998E-2</v>
      </c>
      <c r="BC64" s="182">
        <v>4.0263300000000002E-2</v>
      </c>
      <c r="BD64" s="182">
        <v>3.9015899999999999E-2</v>
      </c>
      <c r="BE64" s="182">
        <v>3.7768500000000003E-2</v>
      </c>
      <c r="BF64" s="182">
        <v>3.6451799999999999E-2</v>
      </c>
      <c r="BG64" s="182">
        <v>3.5204399999999997E-2</v>
      </c>
      <c r="BH64" s="182">
        <v>3.3957000000000001E-2</v>
      </c>
      <c r="BI64" s="182">
        <v>3.4303500000000001E-2</v>
      </c>
      <c r="BJ64" s="182">
        <v>3.465E-2</v>
      </c>
      <c r="BK64" s="182">
        <v>3.49965E-2</v>
      </c>
      <c r="BL64" s="182">
        <v>3.5342999999999999E-2</v>
      </c>
      <c r="BM64" s="182">
        <v>3.5689499999999999E-2</v>
      </c>
      <c r="BN64" s="182">
        <v>3.6035999999999999E-2</v>
      </c>
      <c r="BO64" s="182">
        <v>3.6382499999999998E-2</v>
      </c>
      <c r="BP64" s="182">
        <v>3.6728999999999998E-2</v>
      </c>
      <c r="BQ64" s="182">
        <v>3.7075499999999997E-2</v>
      </c>
      <c r="BR64" s="182">
        <v>3.7421999999999997E-2</v>
      </c>
      <c r="BS64" s="182">
        <v>3.7768500000000003E-2</v>
      </c>
      <c r="BT64" s="182">
        <v>3.8115000000000003E-2</v>
      </c>
    </row>
    <row r="65" spans="1:72" s="150" customFormat="1" ht="15" thickBot="1" x14ac:dyDescent="0.35">
      <c r="A65" s="141" t="s">
        <v>274</v>
      </c>
      <c r="B65" s="176" t="s">
        <v>387</v>
      </c>
      <c r="C65" s="176" t="s">
        <v>396</v>
      </c>
      <c r="D65" s="176" t="s">
        <v>389</v>
      </c>
      <c r="E65" s="189" t="s">
        <v>390</v>
      </c>
      <c r="F65" s="176" t="s">
        <v>7</v>
      </c>
      <c r="G65" s="176" t="s">
        <v>313</v>
      </c>
      <c r="H65" s="144" t="s">
        <v>75</v>
      </c>
      <c r="I65" s="198"/>
      <c r="J65" s="203"/>
      <c r="K65" s="208"/>
      <c r="L65" s="212">
        <v>6.93E-2</v>
      </c>
      <c r="M65" s="212">
        <v>6.93E-2</v>
      </c>
      <c r="N65" s="212">
        <v>6.93E-2</v>
      </c>
      <c r="O65" s="212">
        <v>6.93E-2</v>
      </c>
      <c r="P65" s="212">
        <v>6.93E-2</v>
      </c>
      <c r="Q65" s="212">
        <v>6.93E-2</v>
      </c>
      <c r="R65" s="212">
        <v>6.93E-2</v>
      </c>
      <c r="S65" s="212">
        <v>6.93E-2</v>
      </c>
      <c r="T65" s="212">
        <v>6.93E-2</v>
      </c>
      <c r="U65" s="212">
        <v>6.93E-2</v>
      </c>
      <c r="V65" s="212">
        <v>6.93E-2</v>
      </c>
      <c r="W65" s="212">
        <v>6.93E-2</v>
      </c>
      <c r="X65" s="182">
        <v>6.7567500000000003E-2</v>
      </c>
      <c r="Y65" s="182">
        <v>6.6181500000000004E-2</v>
      </c>
      <c r="Z65" s="182">
        <v>6.5696400000000002E-2</v>
      </c>
      <c r="AA65" s="182">
        <v>6.52113E-2</v>
      </c>
      <c r="AB65" s="182">
        <v>6.4587599999999995E-2</v>
      </c>
      <c r="AC65" s="182">
        <v>6.3963900000000004E-2</v>
      </c>
      <c r="AD65" s="182">
        <v>6.3340199999999999E-2</v>
      </c>
      <c r="AE65" s="182">
        <v>6.2716499999999994E-2</v>
      </c>
      <c r="AF65" s="182">
        <v>6.2092799999999997E-2</v>
      </c>
      <c r="AG65" s="182">
        <v>6.1469099999999999E-2</v>
      </c>
      <c r="AH65" s="182">
        <v>6.0845400000000001E-2</v>
      </c>
      <c r="AI65" s="182">
        <v>6.0221700000000003E-2</v>
      </c>
      <c r="AJ65" s="182">
        <v>5.9597999999999998E-2</v>
      </c>
      <c r="AK65" s="182">
        <v>5.89743E-2</v>
      </c>
      <c r="AL65" s="182">
        <v>5.8350600000000002E-2</v>
      </c>
      <c r="AM65" s="182">
        <v>5.7726899999999998E-2</v>
      </c>
      <c r="AN65" s="182">
        <v>5.71032E-2</v>
      </c>
      <c r="AO65" s="182">
        <v>5.6479500000000002E-2</v>
      </c>
      <c r="AP65" s="182">
        <v>5.5855799999999997E-2</v>
      </c>
      <c r="AQ65" s="182">
        <v>5.5232099999999999E-2</v>
      </c>
      <c r="AR65" s="182">
        <v>5.3984699999999997E-2</v>
      </c>
      <c r="AS65" s="182">
        <v>5.2737300000000001E-2</v>
      </c>
      <c r="AT65" s="182">
        <v>5.1489899999999998E-2</v>
      </c>
      <c r="AU65" s="182">
        <v>5.0242500000000002E-2</v>
      </c>
      <c r="AV65" s="182">
        <v>4.89951E-2</v>
      </c>
      <c r="AW65" s="182">
        <v>4.7747699999999997E-2</v>
      </c>
      <c r="AX65" s="182">
        <v>4.6500300000000001E-2</v>
      </c>
      <c r="AY65" s="182">
        <v>4.5252899999999999E-2</v>
      </c>
      <c r="AZ65" s="182">
        <v>4.4005500000000003E-2</v>
      </c>
      <c r="BA65" s="182">
        <v>4.27581E-2</v>
      </c>
      <c r="BB65" s="182">
        <v>4.1510699999999998E-2</v>
      </c>
      <c r="BC65" s="182">
        <v>4.0263300000000002E-2</v>
      </c>
      <c r="BD65" s="182">
        <v>3.9015899999999999E-2</v>
      </c>
      <c r="BE65" s="182">
        <v>3.7768500000000003E-2</v>
      </c>
      <c r="BF65" s="182">
        <v>3.6451799999999999E-2</v>
      </c>
      <c r="BG65" s="182">
        <v>3.5204399999999997E-2</v>
      </c>
      <c r="BH65" s="182">
        <v>3.3957000000000001E-2</v>
      </c>
      <c r="BI65" s="182">
        <v>3.4303500000000001E-2</v>
      </c>
      <c r="BJ65" s="182">
        <v>3.465E-2</v>
      </c>
      <c r="BK65" s="182">
        <v>3.49965E-2</v>
      </c>
      <c r="BL65" s="182">
        <v>3.5342999999999999E-2</v>
      </c>
      <c r="BM65" s="182">
        <v>3.5689499999999999E-2</v>
      </c>
      <c r="BN65" s="182">
        <v>3.6035999999999999E-2</v>
      </c>
      <c r="BO65" s="182">
        <v>3.6382499999999998E-2</v>
      </c>
      <c r="BP65" s="182">
        <v>3.6728999999999998E-2</v>
      </c>
      <c r="BQ65" s="182">
        <v>3.7075499999999997E-2</v>
      </c>
      <c r="BR65" s="182">
        <v>3.7421999999999997E-2</v>
      </c>
      <c r="BS65" s="182">
        <v>3.7768500000000003E-2</v>
      </c>
      <c r="BT65" s="182">
        <v>3.8115000000000003E-2</v>
      </c>
    </row>
    <row r="66" spans="1:72" s="150" customFormat="1" ht="15" thickBot="1" x14ac:dyDescent="0.35">
      <c r="A66" s="141" t="s">
        <v>274</v>
      </c>
      <c r="B66" s="176" t="s">
        <v>387</v>
      </c>
      <c r="C66" s="176" t="s">
        <v>397</v>
      </c>
      <c r="D66" s="176" t="s">
        <v>389</v>
      </c>
      <c r="E66" s="189" t="s">
        <v>390</v>
      </c>
      <c r="F66" s="176" t="s">
        <v>7</v>
      </c>
      <c r="G66" s="176" t="s">
        <v>313</v>
      </c>
      <c r="H66" s="144" t="s">
        <v>75</v>
      </c>
      <c r="I66" s="198"/>
      <c r="J66" s="203"/>
      <c r="K66" s="208"/>
      <c r="L66" s="212">
        <v>6.93E-2</v>
      </c>
      <c r="M66" s="212">
        <v>6.93E-2</v>
      </c>
      <c r="N66" s="212">
        <v>6.93E-2</v>
      </c>
      <c r="O66" s="212">
        <v>6.93E-2</v>
      </c>
      <c r="P66" s="212">
        <v>6.93E-2</v>
      </c>
      <c r="Q66" s="212">
        <v>6.93E-2</v>
      </c>
      <c r="R66" s="212">
        <v>6.93E-2</v>
      </c>
      <c r="S66" s="212">
        <v>6.93E-2</v>
      </c>
      <c r="T66" s="212">
        <v>6.93E-2</v>
      </c>
      <c r="U66" s="212">
        <v>6.93E-2</v>
      </c>
      <c r="V66" s="212">
        <v>6.93E-2</v>
      </c>
      <c r="W66" s="212">
        <v>6.93E-2</v>
      </c>
      <c r="X66" s="182">
        <v>6.7567500000000003E-2</v>
      </c>
      <c r="Y66" s="182">
        <v>6.6181500000000004E-2</v>
      </c>
      <c r="Z66" s="182">
        <v>6.5696400000000002E-2</v>
      </c>
      <c r="AA66" s="182">
        <v>6.52113E-2</v>
      </c>
      <c r="AB66" s="182">
        <v>6.4587599999999995E-2</v>
      </c>
      <c r="AC66" s="182">
        <v>6.3963900000000004E-2</v>
      </c>
      <c r="AD66" s="182">
        <v>6.3340199999999999E-2</v>
      </c>
      <c r="AE66" s="182">
        <v>6.2716499999999994E-2</v>
      </c>
      <c r="AF66" s="182">
        <v>6.2092799999999997E-2</v>
      </c>
      <c r="AG66" s="182">
        <v>6.1469099999999999E-2</v>
      </c>
      <c r="AH66" s="182">
        <v>6.0845400000000001E-2</v>
      </c>
      <c r="AI66" s="182">
        <v>6.0221700000000003E-2</v>
      </c>
      <c r="AJ66" s="182">
        <v>5.9597999999999998E-2</v>
      </c>
      <c r="AK66" s="182">
        <v>5.89743E-2</v>
      </c>
      <c r="AL66" s="182">
        <v>5.8350600000000002E-2</v>
      </c>
      <c r="AM66" s="182">
        <v>5.7726899999999998E-2</v>
      </c>
      <c r="AN66" s="182">
        <v>5.71032E-2</v>
      </c>
      <c r="AO66" s="182">
        <v>5.6479500000000002E-2</v>
      </c>
      <c r="AP66" s="182">
        <v>5.5855799999999997E-2</v>
      </c>
      <c r="AQ66" s="182">
        <v>5.5232099999999999E-2</v>
      </c>
      <c r="AR66" s="182">
        <v>5.3984699999999997E-2</v>
      </c>
      <c r="AS66" s="182">
        <v>5.2737300000000001E-2</v>
      </c>
      <c r="AT66" s="182">
        <v>5.1489899999999998E-2</v>
      </c>
      <c r="AU66" s="182">
        <v>5.0242500000000002E-2</v>
      </c>
      <c r="AV66" s="182">
        <v>4.89951E-2</v>
      </c>
      <c r="AW66" s="182">
        <v>4.7747699999999997E-2</v>
      </c>
      <c r="AX66" s="182">
        <v>4.6500300000000001E-2</v>
      </c>
      <c r="AY66" s="182">
        <v>4.5252899999999999E-2</v>
      </c>
      <c r="AZ66" s="182">
        <v>4.4005500000000003E-2</v>
      </c>
      <c r="BA66" s="182">
        <v>4.27581E-2</v>
      </c>
      <c r="BB66" s="182">
        <v>4.1510699999999998E-2</v>
      </c>
      <c r="BC66" s="182">
        <v>4.0263300000000002E-2</v>
      </c>
      <c r="BD66" s="182">
        <v>3.9015899999999999E-2</v>
      </c>
      <c r="BE66" s="182">
        <v>3.7768500000000003E-2</v>
      </c>
      <c r="BF66" s="182">
        <v>3.6451799999999999E-2</v>
      </c>
      <c r="BG66" s="182">
        <v>3.5204399999999997E-2</v>
      </c>
      <c r="BH66" s="182">
        <v>3.3957000000000001E-2</v>
      </c>
      <c r="BI66" s="182">
        <v>3.4303500000000001E-2</v>
      </c>
      <c r="BJ66" s="182">
        <v>3.465E-2</v>
      </c>
      <c r="BK66" s="182">
        <v>3.49965E-2</v>
      </c>
      <c r="BL66" s="182">
        <v>3.5342999999999999E-2</v>
      </c>
      <c r="BM66" s="182">
        <v>3.5689499999999999E-2</v>
      </c>
      <c r="BN66" s="182">
        <v>3.6035999999999999E-2</v>
      </c>
      <c r="BO66" s="182">
        <v>3.6382499999999998E-2</v>
      </c>
      <c r="BP66" s="182">
        <v>3.6728999999999998E-2</v>
      </c>
      <c r="BQ66" s="182">
        <v>3.7075499999999997E-2</v>
      </c>
      <c r="BR66" s="182">
        <v>3.7421999999999997E-2</v>
      </c>
      <c r="BS66" s="182">
        <v>3.7768500000000003E-2</v>
      </c>
      <c r="BT66" s="182">
        <v>3.8115000000000003E-2</v>
      </c>
    </row>
    <row r="67" spans="1:72" s="150" customFormat="1" ht="15" thickBot="1" x14ac:dyDescent="0.35">
      <c r="A67" s="141" t="s">
        <v>274</v>
      </c>
      <c r="B67" s="176" t="s">
        <v>387</v>
      </c>
      <c r="C67" s="176" t="s">
        <v>398</v>
      </c>
      <c r="D67" s="176" t="s">
        <v>389</v>
      </c>
      <c r="E67" s="189" t="s">
        <v>390</v>
      </c>
      <c r="F67" s="176" t="s">
        <v>7</v>
      </c>
      <c r="G67" s="176" t="s">
        <v>313</v>
      </c>
      <c r="H67" s="144" t="s">
        <v>75</v>
      </c>
      <c r="I67" s="198"/>
      <c r="J67" s="203"/>
      <c r="K67" s="208"/>
      <c r="L67" s="212">
        <v>6.93E-2</v>
      </c>
      <c r="M67" s="212">
        <v>6.93E-2</v>
      </c>
      <c r="N67" s="212">
        <v>6.93E-2</v>
      </c>
      <c r="O67" s="212">
        <v>6.93E-2</v>
      </c>
      <c r="P67" s="212">
        <v>6.93E-2</v>
      </c>
      <c r="Q67" s="212">
        <v>6.93E-2</v>
      </c>
      <c r="R67" s="212">
        <v>6.93E-2</v>
      </c>
      <c r="S67" s="212">
        <v>6.93E-2</v>
      </c>
      <c r="T67" s="212">
        <v>6.93E-2</v>
      </c>
      <c r="U67" s="212">
        <v>6.93E-2</v>
      </c>
      <c r="V67" s="212">
        <v>6.93E-2</v>
      </c>
      <c r="W67" s="212">
        <v>6.93E-2</v>
      </c>
      <c r="X67" s="182">
        <v>6.7567500000000003E-2</v>
      </c>
      <c r="Y67" s="182">
        <v>6.6181500000000004E-2</v>
      </c>
      <c r="Z67" s="182">
        <v>6.5696400000000002E-2</v>
      </c>
      <c r="AA67" s="182">
        <v>6.52113E-2</v>
      </c>
      <c r="AB67" s="182">
        <v>6.4587599999999995E-2</v>
      </c>
      <c r="AC67" s="182">
        <v>6.3963900000000004E-2</v>
      </c>
      <c r="AD67" s="182">
        <v>6.3340199999999999E-2</v>
      </c>
      <c r="AE67" s="182">
        <v>6.2716499999999994E-2</v>
      </c>
      <c r="AF67" s="182">
        <v>6.2092799999999997E-2</v>
      </c>
      <c r="AG67" s="182">
        <v>6.1469099999999999E-2</v>
      </c>
      <c r="AH67" s="182">
        <v>6.0845400000000001E-2</v>
      </c>
      <c r="AI67" s="182">
        <v>6.0221700000000003E-2</v>
      </c>
      <c r="AJ67" s="182">
        <v>5.9597999999999998E-2</v>
      </c>
      <c r="AK67" s="182">
        <v>5.89743E-2</v>
      </c>
      <c r="AL67" s="182">
        <v>5.8350600000000002E-2</v>
      </c>
      <c r="AM67" s="182">
        <v>5.7726899999999998E-2</v>
      </c>
      <c r="AN67" s="182">
        <v>5.71032E-2</v>
      </c>
      <c r="AO67" s="182">
        <v>5.6479500000000002E-2</v>
      </c>
      <c r="AP67" s="182">
        <v>5.5855799999999997E-2</v>
      </c>
      <c r="AQ67" s="182">
        <v>5.5232099999999999E-2</v>
      </c>
      <c r="AR67" s="182">
        <v>5.3984699999999997E-2</v>
      </c>
      <c r="AS67" s="182">
        <v>5.2737300000000001E-2</v>
      </c>
      <c r="AT67" s="182">
        <v>5.1489899999999998E-2</v>
      </c>
      <c r="AU67" s="182">
        <v>5.0242500000000002E-2</v>
      </c>
      <c r="AV67" s="182">
        <v>4.89951E-2</v>
      </c>
      <c r="AW67" s="182">
        <v>4.7747699999999997E-2</v>
      </c>
      <c r="AX67" s="182">
        <v>4.6500300000000001E-2</v>
      </c>
      <c r="AY67" s="182">
        <v>4.5252899999999999E-2</v>
      </c>
      <c r="AZ67" s="182">
        <v>4.4005500000000003E-2</v>
      </c>
      <c r="BA67" s="182">
        <v>4.27581E-2</v>
      </c>
      <c r="BB67" s="182">
        <v>4.1510699999999998E-2</v>
      </c>
      <c r="BC67" s="182">
        <v>4.0263300000000002E-2</v>
      </c>
      <c r="BD67" s="182">
        <v>3.9015899999999999E-2</v>
      </c>
      <c r="BE67" s="182">
        <v>3.7768500000000003E-2</v>
      </c>
      <c r="BF67" s="182">
        <v>3.6451799999999999E-2</v>
      </c>
      <c r="BG67" s="182">
        <v>3.5204399999999997E-2</v>
      </c>
      <c r="BH67" s="182">
        <v>3.3957000000000001E-2</v>
      </c>
      <c r="BI67" s="182">
        <v>3.4303500000000001E-2</v>
      </c>
      <c r="BJ67" s="182">
        <v>3.465E-2</v>
      </c>
      <c r="BK67" s="182">
        <v>3.49965E-2</v>
      </c>
      <c r="BL67" s="182">
        <v>3.5342999999999999E-2</v>
      </c>
      <c r="BM67" s="182">
        <v>3.5689499999999999E-2</v>
      </c>
      <c r="BN67" s="182">
        <v>3.6035999999999999E-2</v>
      </c>
      <c r="BO67" s="182">
        <v>3.6382499999999998E-2</v>
      </c>
      <c r="BP67" s="182">
        <v>3.6728999999999998E-2</v>
      </c>
      <c r="BQ67" s="182">
        <v>3.7075499999999997E-2</v>
      </c>
      <c r="BR67" s="182">
        <v>3.7421999999999997E-2</v>
      </c>
      <c r="BS67" s="182">
        <v>3.7768500000000003E-2</v>
      </c>
      <c r="BT67" s="182">
        <v>3.8115000000000003E-2</v>
      </c>
    </row>
    <row r="68" spans="1:72" s="150" customFormat="1" ht="15" thickBot="1" x14ac:dyDescent="0.35">
      <c r="A68" s="219" t="s">
        <v>428</v>
      </c>
      <c r="B68" s="176" t="s">
        <v>387</v>
      </c>
      <c r="C68" s="176" t="s">
        <v>388</v>
      </c>
      <c r="D68" s="176" t="s">
        <v>389</v>
      </c>
      <c r="E68" s="189" t="s">
        <v>390</v>
      </c>
      <c r="F68" s="176" t="s">
        <v>7</v>
      </c>
      <c r="G68" s="176" t="s">
        <v>313</v>
      </c>
      <c r="H68" s="144" t="s">
        <v>75</v>
      </c>
      <c r="I68" s="198"/>
      <c r="J68" s="203"/>
      <c r="K68" s="208"/>
      <c r="L68" s="212">
        <v>7.4099999999999999E-2</v>
      </c>
      <c r="M68" s="212">
        <v>7.4099999999999999E-2</v>
      </c>
      <c r="N68" s="212">
        <v>7.4099999999999999E-2</v>
      </c>
      <c r="O68" s="212">
        <v>7.4099999999999999E-2</v>
      </c>
      <c r="P68" s="212">
        <v>7.4099999999999999E-2</v>
      </c>
      <c r="Q68" s="212">
        <v>7.4099999999999999E-2</v>
      </c>
      <c r="R68" s="212">
        <v>7.4099999999999999E-2</v>
      </c>
      <c r="S68" s="212">
        <v>7.4099999999999999E-2</v>
      </c>
      <c r="T68" s="212">
        <v>7.4099999999999999E-2</v>
      </c>
      <c r="U68" s="212">
        <v>7.4099999999999999E-2</v>
      </c>
      <c r="V68" s="212">
        <v>7.4099999999999999E-2</v>
      </c>
      <c r="W68" s="212">
        <v>7.4099999999999999E-2</v>
      </c>
      <c r="X68" s="212">
        <v>7.4099999999999999E-2</v>
      </c>
      <c r="Y68" s="212">
        <v>7.4099999999999999E-2</v>
      </c>
      <c r="Z68" s="212">
        <v>7.4099999999999999E-2</v>
      </c>
      <c r="AA68" s="212">
        <v>7.4099999999999999E-2</v>
      </c>
      <c r="AB68" s="212">
        <v>7.4099999999999999E-2</v>
      </c>
      <c r="AC68" s="212">
        <v>7.4099999999999999E-2</v>
      </c>
      <c r="AD68" s="212">
        <v>7.4099999999999999E-2</v>
      </c>
      <c r="AE68" s="212">
        <v>7.4099999999999999E-2</v>
      </c>
      <c r="AF68" s="212">
        <v>7.4099999999999999E-2</v>
      </c>
      <c r="AG68" s="182">
        <v>7.4099999999999999E-2</v>
      </c>
      <c r="AH68" s="182">
        <v>7.4099999999999999E-2</v>
      </c>
      <c r="AI68" s="182">
        <v>7.4099999999999999E-2</v>
      </c>
      <c r="AJ68" s="182">
        <v>7.4099999999999999E-2</v>
      </c>
      <c r="AK68" s="182">
        <v>7.4099999999999999E-2</v>
      </c>
      <c r="AL68" s="182">
        <v>7.4099999999999999E-2</v>
      </c>
      <c r="AM68" s="182">
        <v>7.4099999999999999E-2</v>
      </c>
      <c r="AN68" s="182">
        <v>7.4099999999999999E-2</v>
      </c>
      <c r="AO68" s="182">
        <v>7.4099999999999999E-2</v>
      </c>
      <c r="AP68" s="182">
        <v>7.4099999999999999E-2</v>
      </c>
      <c r="AQ68" s="182">
        <v>7.4099999999999999E-2</v>
      </c>
      <c r="AR68" s="182">
        <v>7.4099999999999999E-2</v>
      </c>
      <c r="AS68" s="182">
        <v>7.4099999999999999E-2</v>
      </c>
      <c r="AT68" s="182">
        <v>7.4099999999999999E-2</v>
      </c>
      <c r="AU68" s="182">
        <v>7.4099999999999999E-2</v>
      </c>
      <c r="AV68" s="182">
        <v>7.4099999999999999E-2</v>
      </c>
      <c r="AW68" s="182">
        <v>7.4099999999999999E-2</v>
      </c>
      <c r="AX68" s="182">
        <v>7.4099999999999999E-2</v>
      </c>
      <c r="AY68" s="182">
        <v>7.4099999999999999E-2</v>
      </c>
      <c r="AZ68" s="182">
        <v>7.4099999999999999E-2</v>
      </c>
      <c r="BA68" s="182">
        <v>7.4099999999999999E-2</v>
      </c>
      <c r="BB68" s="182">
        <v>7.4099999999999999E-2</v>
      </c>
      <c r="BC68" s="182">
        <v>7.4099999999999999E-2</v>
      </c>
      <c r="BD68" s="182">
        <v>7.4099999999999999E-2</v>
      </c>
      <c r="BE68" s="182">
        <v>7.4099999999999999E-2</v>
      </c>
      <c r="BF68" s="182">
        <v>7.4099999999999999E-2</v>
      </c>
      <c r="BG68" s="182">
        <v>7.4099999999999999E-2</v>
      </c>
      <c r="BH68" s="182">
        <v>7.4099999999999999E-2</v>
      </c>
      <c r="BI68" s="182">
        <v>7.4099999999999999E-2</v>
      </c>
      <c r="BJ68" s="182">
        <v>7.4099999999999999E-2</v>
      </c>
      <c r="BK68" s="182">
        <v>7.4099999999999999E-2</v>
      </c>
      <c r="BL68" s="182">
        <v>7.4099999999999999E-2</v>
      </c>
      <c r="BM68" s="182">
        <v>7.4099999999999999E-2</v>
      </c>
      <c r="BN68" s="182">
        <v>7.4099999999999999E-2</v>
      </c>
      <c r="BO68" s="182">
        <v>7.4099999999999999E-2</v>
      </c>
      <c r="BP68" s="182">
        <v>7.4099999999999999E-2</v>
      </c>
      <c r="BQ68" s="182">
        <v>7.4099999999999999E-2</v>
      </c>
      <c r="BR68" s="182">
        <v>7.4099999999999999E-2</v>
      </c>
      <c r="BS68" s="182">
        <v>7.4099999999999999E-2</v>
      </c>
      <c r="BT68" s="182">
        <v>7.4099999999999999E-2</v>
      </c>
    </row>
    <row r="69" spans="1:72" s="150" customFormat="1" ht="15" thickBot="1" x14ac:dyDescent="0.35">
      <c r="A69" s="171" t="s">
        <v>428</v>
      </c>
      <c r="B69" s="176" t="s">
        <v>387</v>
      </c>
      <c r="C69" s="176" t="s">
        <v>391</v>
      </c>
      <c r="D69" s="176" t="s">
        <v>389</v>
      </c>
      <c r="E69" s="189" t="s">
        <v>390</v>
      </c>
      <c r="F69" s="176" t="s">
        <v>7</v>
      </c>
      <c r="G69" s="176" t="s">
        <v>313</v>
      </c>
      <c r="H69" s="144" t="s">
        <v>75</v>
      </c>
      <c r="I69" s="198"/>
      <c r="J69" s="203"/>
      <c r="K69" s="208"/>
      <c r="L69" s="212">
        <v>7.4099999999999999E-2</v>
      </c>
      <c r="M69" s="212">
        <v>7.4099999999999999E-2</v>
      </c>
      <c r="N69" s="212">
        <v>7.4099999999999999E-2</v>
      </c>
      <c r="O69" s="212">
        <v>7.4099999999999999E-2</v>
      </c>
      <c r="P69" s="212">
        <v>7.4099999999999999E-2</v>
      </c>
      <c r="Q69" s="212">
        <v>7.4099999999999999E-2</v>
      </c>
      <c r="R69" s="212">
        <v>7.4099999999999999E-2</v>
      </c>
      <c r="S69" s="212">
        <v>7.4099999999999999E-2</v>
      </c>
      <c r="T69" s="212">
        <v>7.4099999999999999E-2</v>
      </c>
      <c r="U69" s="212">
        <v>7.4099999999999999E-2</v>
      </c>
      <c r="V69" s="212">
        <v>7.4099999999999999E-2</v>
      </c>
      <c r="W69" s="212">
        <v>7.4099999999999999E-2</v>
      </c>
      <c r="X69" s="212">
        <v>7.4099999999999999E-2</v>
      </c>
      <c r="Y69" s="212">
        <v>7.4099999999999999E-2</v>
      </c>
      <c r="Z69" s="212">
        <v>7.4099999999999999E-2</v>
      </c>
      <c r="AA69" s="212">
        <v>7.4099999999999999E-2</v>
      </c>
      <c r="AB69" s="212">
        <v>7.4099999999999999E-2</v>
      </c>
      <c r="AC69" s="212">
        <v>7.4099999999999999E-2</v>
      </c>
      <c r="AD69" s="212">
        <v>7.4099999999999999E-2</v>
      </c>
      <c r="AE69" s="212">
        <v>7.4099999999999999E-2</v>
      </c>
      <c r="AF69" s="212">
        <v>7.4099999999999999E-2</v>
      </c>
      <c r="AG69" s="182">
        <v>7.4099999999999999E-2</v>
      </c>
      <c r="AH69" s="182">
        <v>7.4099999999999999E-2</v>
      </c>
      <c r="AI69" s="182">
        <v>7.4099999999999999E-2</v>
      </c>
      <c r="AJ69" s="182">
        <v>7.4099999999999999E-2</v>
      </c>
      <c r="AK69" s="182">
        <v>7.4099999999999999E-2</v>
      </c>
      <c r="AL69" s="182">
        <v>7.4099999999999999E-2</v>
      </c>
      <c r="AM69" s="182">
        <v>7.4099999999999999E-2</v>
      </c>
      <c r="AN69" s="182">
        <v>7.4099999999999999E-2</v>
      </c>
      <c r="AO69" s="182">
        <v>7.4099999999999999E-2</v>
      </c>
      <c r="AP69" s="182">
        <v>7.4099999999999999E-2</v>
      </c>
      <c r="AQ69" s="182">
        <v>7.4099999999999999E-2</v>
      </c>
      <c r="AR69" s="182">
        <v>7.4099999999999999E-2</v>
      </c>
      <c r="AS69" s="182">
        <v>7.4099999999999999E-2</v>
      </c>
      <c r="AT69" s="182">
        <v>7.4099999999999999E-2</v>
      </c>
      <c r="AU69" s="182">
        <v>7.4099999999999999E-2</v>
      </c>
      <c r="AV69" s="182">
        <v>7.4099999999999999E-2</v>
      </c>
      <c r="AW69" s="182">
        <v>7.4099999999999999E-2</v>
      </c>
      <c r="AX69" s="182">
        <v>7.4099999999999999E-2</v>
      </c>
      <c r="AY69" s="182">
        <v>7.4099999999999999E-2</v>
      </c>
      <c r="AZ69" s="182">
        <v>7.4099999999999999E-2</v>
      </c>
      <c r="BA69" s="182">
        <v>7.4099999999999999E-2</v>
      </c>
      <c r="BB69" s="182">
        <v>7.4099999999999999E-2</v>
      </c>
      <c r="BC69" s="182">
        <v>7.4099999999999999E-2</v>
      </c>
      <c r="BD69" s="182">
        <v>7.4099999999999999E-2</v>
      </c>
      <c r="BE69" s="182">
        <v>7.4099999999999999E-2</v>
      </c>
      <c r="BF69" s="182">
        <v>7.4099999999999999E-2</v>
      </c>
      <c r="BG69" s="182">
        <v>7.4099999999999999E-2</v>
      </c>
      <c r="BH69" s="182">
        <v>7.4099999999999999E-2</v>
      </c>
      <c r="BI69" s="182">
        <v>7.4099999999999999E-2</v>
      </c>
      <c r="BJ69" s="182">
        <v>7.4099999999999999E-2</v>
      </c>
      <c r="BK69" s="182">
        <v>7.4099999999999999E-2</v>
      </c>
      <c r="BL69" s="182">
        <v>7.4099999999999999E-2</v>
      </c>
      <c r="BM69" s="182">
        <v>7.4099999999999999E-2</v>
      </c>
      <c r="BN69" s="182">
        <v>7.4099999999999999E-2</v>
      </c>
      <c r="BO69" s="182">
        <v>7.4099999999999999E-2</v>
      </c>
      <c r="BP69" s="182">
        <v>7.4099999999999999E-2</v>
      </c>
      <c r="BQ69" s="182">
        <v>7.4099999999999999E-2</v>
      </c>
      <c r="BR69" s="182">
        <v>7.4099999999999999E-2</v>
      </c>
      <c r="BS69" s="182">
        <v>7.4099999999999999E-2</v>
      </c>
      <c r="BT69" s="182">
        <v>7.4099999999999999E-2</v>
      </c>
    </row>
    <row r="70" spans="1:72" s="150" customFormat="1" ht="15" thickBot="1" x14ac:dyDescent="0.35">
      <c r="A70" s="171" t="s">
        <v>428</v>
      </c>
      <c r="B70" s="176" t="s">
        <v>387</v>
      </c>
      <c r="C70" s="176" t="s">
        <v>392</v>
      </c>
      <c r="D70" s="176" t="s">
        <v>389</v>
      </c>
      <c r="E70" s="189" t="s">
        <v>390</v>
      </c>
      <c r="F70" s="176" t="s">
        <v>7</v>
      </c>
      <c r="G70" s="176" t="s">
        <v>313</v>
      </c>
      <c r="H70" s="144" t="s">
        <v>75</v>
      </c>
      <c r="I70" s="198"/>
      <c r="J70" s="203"/>
      <c r="K70" s="208"/>
      <c r="L70" s="212">
        <v>7.4099999999999999E-2</v>
      </c>
      <c r="M70" s="212">
        <v>7.4099999999999999E-2</v>
      </c>
      <c r="N70" s="212">
        <v>7.4099999999999999E-2</v>
      </c>
      <c r="O70" s="212">
        <v>7.4099999999999999E-2</v>
      </c>
      <c r="P70" s="212">
        <v>7.4099999999999999E-2</v>
      </c>
      <c r="Q70" s="212">
        <v>7.4099999999999999E-2</v>
      </c>
      <c r="R70" s="212">
        <v>7.4099999999999999E-2</v>
      </c>
      <c r="S70" s="212">
        <v>7.4099999999999999E-2</v>
      </c>
      <c r="T70" s="212">
        <v>7.4099999999999999E-2</v>
      </c>
      <c r="U70" s="212">
        <v>7.4099999999999999E-2</v>
      </c>
      <c r="V70" s="212">
        <v>7.4099999999999999E-2</v>
      </c>
      <c r="W70" s="212">
        <v>7.4099999999999999E-2</v>
      </c>
      <c r="X70" s="212">
        <v>7.4099999999999999E-2</v>
      </c>
      <c r="Y70" s="212">
        <v>7.4099999999999999E-2</v>
      </c>
      <c r="Z70" s="212">
        <v>7.4099999999999999E-2</v>
      </c>
      <c r="AA70" s="212">
        <v>7.4099999999999999E-2</v>
      </c>
      <c r="AB70" s="212">
        <v>7.4099999999999999E-2</v>
      </c>
      <c r="AC70" s="212">
        <v>7.4099999999999999E-2</v>
      </c>
      <c r="AD70" s="212">
        <v>7.4099999999999999E-2</v>
      </c>
      <c r="AE70" s="212">
        <v>7.4099999999999999E-2</v>
      </c>
      <c r="AF70" s="212">
        <v>7.4099999999999999E-2</v>
      </c>
      <c r="AG70" s="182">
        <v>7.4099999999999999E-2</v>
      </c>
      <c r="AH70" s="182">
        <v>7.4099999999999999E-2</v>
      </c>
      <c r="AI70" s="182">
        <v>7.4099999999999999E-2</v>
      </c>
      <c r="AJ70" s="182">
        <v>7.4099999999999999E-2</v>
      </c>
      <c r="AK70" s="182">
        <v>7.4099999999999999E-2</v>
      </c>
      <c r="AL70" s="182">
        <v>7.4099999999999999E-2</v>
      </c>
      <c r="AM70" s="182">
        <v>7.4099999999999999E-2</v>
      </c>
      <c r="AN70" s="182">
        <v>7.4099999999999999E-2</v>
      </c>
      <c r="AO70" s="182">
        <v>7.4099999999999999E-2</v>
      </c>
      <c r="AP70" s="182">
        <v>7.4099999999999999E-2</v>
      </c>
      <c r="AQ70" s="182">
        <v>7.4099999999999999E-2</v>
      </c>
      <c r="AR70" s="182">
        <v>7.4099999999999999E-2</v>
      </c>
      <c r="AS70" s="182">
        <v>7.4099999999999999E-2</v>
      </c>
      <c r="AT70" s="182">
        <v>7.4099999999999999E-2</v>
      </c>
      <c r="AU70" s="182">
        <v>7.4099999999999999E-2</v>
      </c>
      <c r="AV70" s="182">
        <v>7.4099999999999999E-2</v>
      </c>
      <c r="AW70" s="182">
        <v>7.4099999999999999E-2</v>
      </c>
      <c r="AX70" s="182">
        <v>7.4099999999999999E-2</v>
      </c>
      <c r="AY70" s="182">
        <v>7.4099999999999999E-2</v>
      </c>
      <c r="AZ70" s="182">
        <v>7.4099999999999999E-2</v>
      </c>
      <c r="BA70" s="182">
        <v>7.4099999999999999E-2</v>
      </c>
      <c r="BB70" s="182">
        <v>7.4099999999999999E-2</v>
      </c>
      <c r="BC70" s="182">
        <v>7.4099999999999999E-2</v>
      </c>
      <c r="BD70" s="182">
        <v>7.4099999999999999E-2</v>
      </c>
      <c r="BE70" s="182">
        <v>7.4099999999999999E-2</v>
      </c>
      <c r="BF70" s="182">
        <v>7.4099999999999999E-2</v>
      </c>
      <c r="BG70" s="182">
        <v>7.4099999999999999E-2</v>
      </c>
      <c r="BH70" s="182">
        <v>7.4099999999999999E-2</v>
      </c>
      <c r="BI70" s="182">
        <v>7.4099999999999999E-2</v>
      </c>
      <c r="BJ70" s="182">
        <v>7.4099999999999999E-2</v>
      </c>
      <c r="BK70" s="182">
        <v>7.4099999999999999E-2</v>
      </c>
      <c r="BL70" s="182">
        <v>7.4099999999999999E-2</v>
      </c>
      <c r="BM70" s="182">
        <v>7.4099999999999999E-2</v>
      </c>
      <c r="BN70" s="182">
        <v>7.4099999999999999E-2</v>
      </c>
      <c r="BO70" s="182">
        <v>7.4099999999999999E-2</v>
      </c>
      <c r="BP70" s="182">
        <v>7.4099999999999999E-2</v>
      </c>
      <c r="BQ70" s="182">
        <v>7.4099999999999999E-2</v>
      </c>
      <c r="BR70" s="182">
        <v>7.4099999999999999E-2</v>
      </c>
      <c r="BS70" s="182">
        <v>7.4099999999999999E-2</v>
      </c>
      <c r="BT70" s="182">
        <v>7.4099999999999999E-2</v>
      </c>
    </row>
    <row r="71" spans="1:72" s="150" customFormat="1" ht="15" thickBot="1" x14ac:dyDescent="0.35">
      <c r="A71" s="171" t="s">
        <v>428</v>
      </c>
      <c r="B71" s="176" t="s">
        <v>387</v>
      </c>
      <c r="C71" s="176" t="s">
        <v>393</v>
      </c>
      <c r="D71" s="176" t="s">
        <v>389</v>
      </c>
      <c r="E71" s="189" t="s">
        <v>390</v>
      </c>
      <c r="F71" s="176" t="s">
        <v>7</v>
      </c>
      <c r="G71" s="176" t="s">
        <v>313</v>
      </c>
      <c r="H71" s="144" t="s">
        <v>75</v>
      </c>
      <c r="I71" s="198"/>
      <c r="J71" s="203"/>
      <c r="K71" s="208"/>
      <c r="L71" s="212">
        <v>7.4099999999999999E-2</v>
      </c>
      <c r="M71" s="212">
        <v>7.4099999999999999E-2</v>
      </c>
      <c r="N71" s="212">
        <v>7.4099999999999999E-2</v>
      </c>
      <c r="O71" s="212">
        <v>7.4099999999999999E-2</v>
      </c>
      <c r="P71" s="212">
        <v>7.4099999999999999E-2</v>
      </c>
      <c r="Q71" s="212">
        <v>7.4099999999999999E-2</v>
      </c>
      <c r="R71" s="212">
        <v>7.4099999999999999E-2</v>
      </c>
      <c r="S71" s="212">
        <v>7.4099999999999999E-2</v>
      </c>
      <c r="T71" s="212">
        <v>7.4099999999999999E-2</v>
      </c>
      <c r="U71" s="212">
        <v>7.4099999999999999E-2</v>
      </c>
      <c r="V71" s="212">
        <v>7.4099999999999999E-2</v>
      </c>
      <c r="W71" s="212">
        <v>7.4099999999999999E-2</v>
      </c>
      <c r="X71" s="212">
        <v>7.4099999999999999E-2</v>
      </c>
      <c r="Y71" s="212">
        <v>7.4099999999999999E-2</v>
      </c>
      <c r="Z71" s="212">
        <v>7.4099999999999999E-2</v>
      </c>
      <c r="AA71" s="212">
        <v>7.4099999999999999E-2</v>
      </c>
      <c r="AB71" s="212">
        <v>7.4099999999999999E-2</v>
      </c>
      <c r="AC71" s="212">
        <v>7.4099999999999999E-2</v>
      </c>
      <c r="AD71" s="212">
        <v>7.4099999999999999E-2</v>
      </c>
      <c r="AE71" s="212">
        <v>7.4099999999999999E-2</v>
      </c>
      <c r="AF71" s="212">
        <v>7.4099999999999999E-2</v>
      </c>
      <c r="AG71" s="182">
        <v>7.4099999999999999E-2</v>
      </c>
      <c r="AH71" s="182">
        <v>7.4099999999999999E-2</v>
      </c>
      <c r="AI71" s="182">
        <v>7.4099999999999999E-2</v>
      </c>
      <c r="AJ71" s="182">
        <v>7.4099999999999999E-2</v>
      </c>
      <c r="AK71" s="182">
        <v>7.4099999999999999E-2</v>
      </c>
      <c r="AL71" s="182">
        <v>7.4099999999999999E-2</v>
      </c>
      <c r="AM71" s="182">
        <v>7.4099999999999999E-2</v>
      </c>
      <c r="AN71" s="182">
        <v>7.4099999999999999E-2</v>
      </c>
      <c r="AO71" s="182">
        <v>7.4099999999999999E-2</v>
      </c>
      <c r="AP71" s="182">
        <v>7.4099999999999999E-2</v>
      </c>
      <c r="AQ71" s="182">
        <v>7.4099999999999999E-2</v>
      </c>
      <c r="AR71" s="182">
        <v>7.4099999999999999E-2</v>
      </c>
      <c r="AS71" s="182">
        <v>7.4099999999999999E-2</v>
      </c>
      <c r="AT71" s="182">
        <v>7.4099999999999999E-2</v>
      </c>
      <c r="AU71" s="182">
        <v>7.4099999999999999E-2</v>
      </c>
      <c r="AV71" s="182">
        <v>7.4099999999999999E-2</v>
      </c>
      <c r="AW71" s="182">
        <v>7.4099999999999999E-2</v>
      </c>
      <c r="AX71" s="182">
        <v>7.4099999999999999E-2</v>
      </c>
      <c r="AY71" s="182">
        <v>7.4099999999999999E-2</v>
      </c>
      <c r="AZ71" s="182">
        <v>7.4099999999999999E-2</v>
      </c>
      <c r="BA71" s="182">
        <v>7.4099999999999999E-2</v>
      </c>
      <c r="BB71" s="182">
        <v>7.4099999999999999E-2</v>
      </c>
      <c r="BC71" s="182">
        <v>7.4099999999999999E-2</v>
      </c>
      <c r="BD71" s="182">
        <v>7.4099999999999999E-2</v>
      </c>
      <c r="BE71" s="182">
        <v>7.4099999999999999E-2</v>
      </c>
      <c r="BF71" s="182">
        <v>7.4099999999999999E-2</v>
      </c>
      <c r="BG71" s="182">
        <v>7.4099999999999999E-2</v>
      </c>
      <c r="BH71" s="182">
        <v>7.4099999999999999E-2</v>
      </c>
      <c r="BI71" s="182">
        <v>7.4099999999999999E-2</v>
      </c>
      <c r="BJ71" s="182">
        <v>7.4099999999999999E-2</v>
      </c>
      <c r="BK71" s="182">
        <v>7.4099999999999999E-2</v>
      </c>
      <c r="BL71" s="182">
        <v>7.4099999999999999E-2</v>
      </c>
      <c r="BM71" s="182">
        <v>7.4099999999999999E-2</v>
      </c>
      <c r="BN71" s="182">
        <v>7.4099999999999999E-2</v>
      </c>
      <c r="BO71" s="182">
        <v>7.4099999999999999E-2</v>
      </c>
      <c r="BP71" s="182">
        <v>7.4099999999999999E-2</v>
      </c>
      <c r="BQ71" s="182">
        <v>7.4099999999999999E-2</v>
      </c>
      <c r="BR71" s="182">
        <v>7.4099999999999999E-2</v>
      </c>
      <c r="BS71" s="182">
        <v>7.4099999999999999E-2</v>
      </c>
      <c r="BT71" s="182">
        <v>7.4099999999999999E-2</v>
      </c>
    </row>
    <row r="72" spans="1:72" s="150" customFormat="1" ht="15" thickBot="1" x14ac:dyDescent="0.35">
      <c r="A72" s="220" t="s">
        <v>428</v>
      </c>
      <c r="B72" s="178" t="s">
        <v>387</v>
      </c>
      <c r="C72" s="178" t="s">
        <v>394</v>
      </c>
      <c r="D72" s="178" t="s">
        <v>389</v>
      </c>
      <c r="E72" s="191" t="s">
        <v>390</v>
      </c>
      <c r="F72" s="178" t="s">
        <v>7</v>
      </c>
      <c r="G72" s="178" t="s">
        <v>313</v>
      </c>
      <c r="H72" s="194" t="s">
        <v>75</v>
      </c>
      <c r="I72" s="200"/>
      <c r="J72" s="204"/>
      <c r="K72" s="210"/>
      <c r="L72" s="213">
        <v>7.4099999999999999E-2</v>
      </c>
      <c r="M72" s="213">
        <v>7.4099999999999999E-2</v>
      </c>
      <c r="N72" s="213">
        <v>7.4099999999999999E-2</v>
      </c>
      <c r="O72" s="213">
        <v>7.4099999999999999E-2</v>
      </c>
      <c r="P72" s="213">
        <v>7.4099999999999999E-2</v>
      </c>
      <c r="Q72" s="213">
        <v>7.4099999999999999E-2</v>
      </c>
      <c r="R72" s="213">
        <v>7.4099999999999999E-2</v>
      </c>
      <c r="S72" s="213">
        <v>7.4099999999999999E-2</v>
      </c>
      <c r="T72" s="213">
        <v>7.4099999999999999E-2</v>
      </c>
      <c r="U72" s="213">
        <v>7.4099999999999999E-2</v>
      </c>
      <c r="V72" s="213">
        <v>7.4099999999999999E-2</v>
      </c>
      <c r="W72" s="213">
        <v>7.4099999999999999E-2</v>
      </c>
      <c r="X72" s="213">
        <v>7.4099999999999999E-2</v>
      </c>
      <c r="Y72" s="213">
        <v>7.4099999999999999E-2</v>
      </c>
      <c r="Z72" s="213">
        <v>7.4099999999999999E-2</v>
      </c>
      <c r="AA72" s="213">
        <v>7.4099999999999999E-2</v>
      </c>
      <c r="AB72" s="213">
        <v>7.4099999999999999E-2</v>
      </c>
      <c r="AC72" s="213">
        <v>7.4099999999999999E-2</v>
      </c>
      <c r="AD72" s="213">
        <v>7.4099999999999999E-2</v>
      </c>
      <c r="AE72" s="213">
        <v>7.4099999999999999E-2</v>
      </c>
      <c r="AF72" s="213">
        <v>7.4099999999999999E-2</v>
      </c>
      <c r="AG72" s="218">
        <v>7.4099999999999999E-2</v>
      </c>
      <c r="AH72" s="218">
        <v>7.4099999999999999E-2</v>
      </c>
      <c r="AI72" s="218">
        <v>7.4099999999999999E-2</v>
      </c>
      <c r="AJ72" s="218">
        <v>7.4099999999999999E-2</v>
      </c>
      <c r="AK72" s="218">
        <v>7.4099999999999999E-2</v>
      </c>
      <c r="AL72" s="218">
        <v>7.4099999999999999E-2</v>
      </c>
      <c r="AM72" s="218">
        <v>7.4099999999999999E-2</v>
      </c>
      <c r="AN72" s="218">
        <v>7.4099999999999999E-2</v>
      </c>
      <c r="AO72" s="218">
        <v>7.4099999999999999E-2</v>
      </c>
      <c r="AP72" s="218">
        <v>7.4099999999999999E-2</v>
      </c>
      <c r="AQ72" s="218">
        <v>7.4099999999999999E-2</v>
      </c>
      <c r="AR72" s="218">
        <v>7.4099999999999999E-2</v>
      </c>
      <c r="AS72" s="218">
        <v>7.4099999999999999E-2</v>
      </c>
      <c r="AT72" s="218">
        <v>7.4099999999999999E-2</v>
      </c>
      <c r="AU72" s="218">
        <v>7.4099999999999999E-2</v>
      </c>
      <c r="AV72" s="218">
        <v>7.4099999999999999E-2</v>
      </c>
      <c r="AW72" s="218">
        <v>7.4099999999999999E-2</v>
      </c>
      <c r="AX72" s="218">
        <v>7.4099999999999999E-2</v>
      </c>
      <c r="AY72" s="218">
        <v>7.4099999999999999E-2</v>
      </c>
      <c r="AZ72" s="218">
        <v>7.4099999999999999E-2</v>
      </c>
      <c r="BA72" s="218">
        <v>7.4099999999999999E-2</v>
      </c>
      <c r="BB72" s="218">
        <v>7.4099999999999999E-2</v>
      </c>
      <c r="BC72" s="218">
        <v>7.4099999999999999E-2</v>
      </c>
      <c r="BD72" s="218">
        <v>7.4099999999999999E-2</v>
      </c>
      <c r="BE72" s="218">
        <v>7.4099999999999999E-2</v>
      </c>
      <c r="BF72" s="218">
        <v>7.4099999999999999E-2</v>
      </c>
      <c r="BG72" s="218">
        <v>7.4099999999999999E-2</v>
      </c>
      <c r="BH72" s="218">
        <v>7.4099999999999999E-2</v>
      </c>
      <c r="BI72" s="218">
        <v>7.4099999999999999E-2</v>
      </c>
      <c r="BJ72" s="218">
        <v>7.4099999999999999E-2</v>
      </c>
      <c r="BK72" s="218">
        <v>7.4099999999999999E-2</v>
      </c>
      <c r="BL72" s="218">
        <v>7.4099999999999999E-2</v>
      </c>
      <c r="BM72" s="218">
        <v>7.4099999999999999E-2</v>
      </c>
      <c r="BN72" s="218">
        <v>7.4099999999999999E-2</v>
      </c>
      <c r="BO72" s="218">
        <v>7.4099999999999999E-2</v>
      </c>
      <c r="BP72" s="218">
        <v>7.4099999999999999E-2</v>
      </c>
      <c r="BQ72" s="218">
        <v>7.4099999999999999E-2</v>
      </c>
      <c r="BR72" s="218">
        <v>7.4099999999999999E-2</v>
      </c>
      <c r="BS72" s="218">
        <v>7.4099999999999999E-2</v>
      </c>
      <c r="BT72" s="218">
        <v>7.4099999999999999E-2</v>
      </c>
    </row>
    <row r="73" spans="1:72" ht="15" thickBot="1" x14ac:dyDescent="0.35">
      <c r="A73" s="166" t="s">
        <v>428</v>
      </c>
      <c r="B73" s="179" t="s">
        <v>387</v>
      </c>
      <c r="C73" s="179" t="s">
        <v>395</v>
      </c>
      <c r="D73" s="187" t="s">
        <v>389</v>
      </c>
      <c r="E73" s="191" t="s">
        <v>390</v>
      </c>
      <c r="F73" s="179" t="s">
        <v>7</v>
      </c>
      <c r="G73" s="179" t="s">
        <v>313</v>
      </c>
      <c r="H73" s="195" t="s">
        <v>75</v>
      </c>
      <c r="I73" s="201"/>
      <c r="J73" s="205"/>
      <c r="K73" s="211"/>
      <c r="L73" s="214">
        <v>6.93E-2</v>
      </c>
      <c r="M73" s="214">
        <v>6.93E-2</v>
      </c>
      <c r="N73" s="214">
        <v>6.93E-2</v>
      </c>
      <c r="O73" s="214">
        <v>6.93E-2</v>
      </c>
      <c r="P73" s="214">
        <v>6.93E-2</v>
      </c>
      <c r="Q73" s="214">
        <v>6.93E-2</v>
      </c>
      <c r="R73" s="214">
        <v>6.93E-2</v>
      </c>
      <c r="S73" s="214">
        <v>6.93E-2</v>
      </c>
      <c r="T73" s="214">
        <v>6.93E-2</v>
      </c>
      <c r="U73" s="215">
        <v>6.93E-2</v>
      </c>
      <c r="V73" s="215">
        <v>6.93E-2</v>
      </c>
      <c r="W73" s="215">
        <v>6.93E-2</v>
      </c>
      <c r="X73" s="215">
        <v>6.93E-2</v>
      </c>
      <c r="Y73" s="215">
        <v>6.93E-2</v>
      </c>
      <c r="Z73" s="215">
        <v>6.93E-2</v>
      </c>
      <c r="AA73" s="215">
        <v>6.93E-2</v>
      </c>
      <c r="AB73" s="215">
        <v>6.93E-2</v>
      </c>
      <c r="AC73" s="215">
        <v>6.93E-2</v>
      </c>
      <c r="AD73" s="215">
        <v>6.93E-2</v>
      </c>
      <c r="AE73" s="215">
        <v>6.93E-2</v>
      </c>
      <c r="AF73" s="215">
        <v>6.93E-2</v>
      </c>
      <c r="AG73" s="179">
        <v>6.8537699999999993E-2</v>
      </c>
      <c r="AH73" s="179">
        <v>6.8468399999999999E-2</v>
      </c>
      <c r="AI73" s="179">
        <v>6.8399100000000004E-2</v>
      </c>
      <c r="AJ73" s="179">
        <v>6.8329799999999996E-2</v>
      </c>
      <c r="AK73" s="179">
        <v>6.8260500000000002E-2</v>
      </c>
      <c r="AL73" s="179">
        <v>6.8191199999999993E-2</v>
      </c>
      <c r="AM73" s="179">
        <v>6.8121899999999999E-2</v>
      </c>
      <c r="AN73" s="179">
        <v>6.8052600000000005E-2</v>
      </c>
      <c r="AO73" s="179">
        <v>6.7983299999999997E-2</v>
      </c>
      <c r="AP73" s="179">
        <v>6.7914000000000002E-2</v>
      </c>
      <c r="AQ73" s="179">
        <v>6.7844699999999994E-2</v>
      </c>
      <c r="AR73" s="179">
        <v>6.77754E-2</v>
      </c>
      <c r="AS73" s="179">
        <v>6.7706100000000005E-2</v>
      </c>
      <c r="AT73" s="179">
        <v>6.7636799999999997E-2</v>
      </c>
      <c r="AU73" s="179">
        <v>6.7567500000000003E-2</v>
      </c>
      <c r="AV73" s="179">
        <v>6.7567500000000003E-2</v>
      </c>
      <c r="AW73" s="179">
        <v>6.7567500000000003E-2</v>
      </c>
      <c r="AX73" s="179">
        <v>6.7567500000000003E-2</v>
      </c>
      <c r="AY73" s="179">
        <v>6.7567500000000003E-2</v>
      </c>
      <c r="AZ73" s="179">
        <v>6.7567500000000003E-2</v>
      </c>
      <c r="BA73" s="179">
        <v>6.7567500000000003E-2</v>
      </c>
      <c r="BB73" s="179">
        <v>6.8250000000000005E-2</v>
      </c>
      <c r="BC73" s="179">
        <v>6.8250000000000005E-2</v>
      </c>
      <c r="BD73" s="179">
        <v>6.8250000000000005E-2</v>
      </c>
      <c r="BE73" s="179">
        <v>6.8250000000000005E-2</v>
      </c>
      <c r="BF73" s="179">
        <v>6.8250000000000005E-2</v>
      </c>
      <c r="BG73" s="179">
        <v>6.8250000000000005E-2</v>
      </c>
      <c r="BH73" s="179">
        <v>6.8250000000000005E-2</v>
      </c>
      <c r="BI73" s="179">
        <v>6.8250000000000005E-2</v>
      </c>
      <c r="BJ73" s="179">
        <v>6.8250000000000005E-2</v>
      </c>
      <c r="BK73" s="179">
        <v>6.8250000000000005E-2</v>
      </c>
      <c r="BL73" s="179">
        <v>6.8250000000000005E-2</v>
      </c>
      <c r="BM73" s="179">
        <v>6.8250000000000005E-2</v>
      </c>
      <c r="BN73" s="179">
        <v>6.8250000000000005E-2</v>
      </c>
      <c r="BO73" s="179">
        <v>6.8250000000000005E-2</v>
      </c>
      <c r="BP73" s="179">
        <v>6.8250000000000005E-2</v>
      </c>
      <c r="BQ73" s="179">
        <v>6.8250000000000005E-2</v>
      </c>
      <c r="BR73" s="179">
        <v>6.8250000000000005E-2</v>
      </c>
      <c r="BS73" s="179">
        <v>6.8250000000000005E-2</v>
      </c>
      <c r="BT73" s="179">
        <v>6.8250000000000005E-2</v>
      </c>
    </row>
    <row r="74" spans="1:72" ht="15" thickBot="1" x14ac:dyDescent="0.35">
      <c r="A74" s="166" t="s">
        <v>428</v>
      </c>
      <c r="B74" s="179" t="s">
        <v>387</v>
      </c>
      <c r="C74" s="179" t="s">
        <v>396</v>
      </c>
      <c r="D74" s="187" t="s">
        <v>389</v>
      </c>
      <c r="E74" s="191" t="s">
        <v>390</v>
      </c>
      <c r="F74" s="179" t="s">
        <v>7</v>
      </c>
      <c r="G74" s="179" t="s">
        <v>313</v>
      </c>
      <c r="H74" s="195" t="s">
        <v>75</v>
      </c>
      <c r="I74" s="201"/>
      <c r="J74" s="205"/>
      <c r="K74" s="211"/>
      <c r="L74" s="214">
        <v>6.93E-2</v>
      </c>
      <c r="M74" s="214">
        <v>6.93E-2</v>
      </c>
      <c r="N74" s="214">
        <v>6.93E-2</v>
      </c>
      <c r="O74" s="214">
        <v>6.93E-2</v>
      </c>
      <c r="P74" s="214">
        <v>6.93E-2</v>
      </c>
      <c r="Q74" s="214">
        <v>6.93E-2</v>
      </c>
      <c r="R74" s="214">
        <v>6.93E-2</v>
      </c>
      <c r="S74" s="214">
        <v>6.93E-2</v>
      </c>
      <c r="T74" s="214">
        <v>6.93E-2</v>
      </c>
      <c r="U74" s="215">
        <v>6.93E-2</v>
      </c>
      <c r="V74" s="215">
        <v>6.93E-2</v>
      </c>
      <c r="W74" s="215">
        <v>6.93E-2</v>
      </c>
      <c r="X74" s="215">
        <v>6.93E-2</v>
      </c>
      <c r="Y74" s="215">
        <v>6.93E-2</v>
      </c>
      <c r="Z74" s="215">
        <v>6.93E-2</v>
      </c>
      <c r="AA74" s="215">
        <v>6.93E-2</v>
      </c>
      <c r="AB74" s="215">
        <v>6.93E-2</v>
      </c>
      <c r="AC74" s="215">
        <v>6.93E-2</v>
      </c>
      <c r="AD74" s="215">
        <v>6.93E-2</v>
      </c>
      <c r="AE74" s="215">
        <v>6.93E-2</v>
      </c>
      <c r="AF74" s="215">
        <v>6.93E-2</v>
      </c>
      <c r="AG74" s="179">
        <v>6.8537699999999993E-2</v>
      </c>
      <c r="AH74" s="179">
        <v>6.8468399999999999E-2</v>
      </c>
      <c r="AI74" s="179">
        <v>6.8399100000000004E-2</v>
      </c>
      <c r="AJ74" s="179">
        <v>6.8329799999999996E-2</v>
      </c>
      <c r="AK74" s="179">
        <v>6.8260500000000002E-2</v>
      </c>
      <c r="AL74" s="179">
        <v>6.8191199999999993E-2</v>
      </c>
      <c r="AM74" s="179">
        <v>6.8121899999999999E-2</v>
      </c>
      <c r="AN74" s="179">
        <v>6.8052600000000005E-2</v>
      </c>
      <c r="AO74" s="179">
        <v>6.7983299999999997E-2</v>
      </c>
      <c r="AP74" s="179">
        <v>6.7914000000000002E-2</v>
      </c>
      <c r="AQ74" s="179">
        <v>6.7844699999999994E-2</v>
      </c>
      <c r="AR74" s="179">
        <v>6.77754E-2</v>
      </c>
      <c r="AS74" s="179">
        <v>6.7706100000000005E-2</v>
      </c>
      <c r="AT74" s="179">
        <v>6.7636799999999997E-2</v>
      </c>
      <c r="AU74" s="179">
        <v>6.7567500000000003E-2</v>
      </c>
      <c r="AV74" s="179">
        <v>6.7567500000000003E-2</v>
      </c>
      <c r="AW74" s="179">
        <v>6.7567500000000003E-2</v>
      </c>
      <c r="AX74" s="179">
        <v>6.7567500000000003E-2</v>
      </c>
      <c r="AY74" s="179">
        <v>6.7567500000000003E-2</v>
      </c>
      <c r="AZ74" s="179">
        <v>6.7567500000000003E-2</v>
      </c>
      <c r="BA74" s="179">
        <v>6.7567500000000003E-2</v>
      </c>
      <c r="BB74" s="179">
        <v>6.8250000000000005E-2</v>
      </c>
      <c r="BC74" s="179">
        <v>6.8250000000000005E-2</v>
      </c>
      <c r="BD74" s="179">
        <v>6.8250000000000005E-2</v>
      </c>
      <c r="BE74" s="179">
        <v>6.8250000000000005E-2</v>
      </c>
      <c r="BF74" s="179">
        <v>6.8250000000000005E-2</v>
      </c>
      <c r="BG74" s="179">
        <v>6.8250000000000005E-2</v>
      </c>
      <c r="BH74" s="179">
        <v>6.8250000000000005E-2</v>
      </c>
      <c r="BI74" s="179">
        <v>6.8250000000000005E-2</v>
      </c>
      <c r="BJ74" s="179">
        <v>6.8250000000000005E-2</v>
      </c>
      <c r="BK74" s="179">
        <v>6.8250000000000005E-2</v>
      </c>
      <c r="BL74" s="179">
        <v>6.8250000000000005E-2</v>
      </c>
      <c r="BM74" s="179">
        <v>6.8250000000000005E-2</v>
      </c>
      <c r="BN74" s="179">
        <v>6.8250000000000005E-2</v>
      </c>
      <c r="BO74" s="179">
        <v>6.8250000000000005E-2</v>
      </c>
      <c r="BP74" s="179">
        <v>6.8250000000000005E-2</v>
      </c>
      <c r="BQ74" s="179">
        <v>6.8250000000000005E-2</v>
      </c>
      <c r="BR74" s="179">
        <v>6.8250000000000005E-2</v>
      </c>
      <c r="BS74" s="179">
        <v>6.8250000000000005E-2</v>
      </c>
      <c r="BT74" s="179">
        <v>6.8250000000000005E-2</v>
      </c>
    </row>
    <row r="75" spans="1:72" ht="15" thickBot="1" x14ac:dyDescent="0.35">
      <c r="A75" s="166" t="s">
        <v>428</v>
      </c>
      <c r="B75" s="179" t="s">
        <v>387</v>
      </c>
      <c r="C75" s="179" t="s">
        <v>397</v>
      </c>
      <c r="D75" s="187" t="s">
        <v>389</v>
      </c>
      <c r="E75" s="191" t="s">
        <v>390</v>
      </c>
      <c r="F75" s="179" t="s">
        <v>7</v>
      </c>
      <c r="G75" s="179" t="s">
        <v>313</v>
      </c>
      <c r="H75" s="195" t="s">
        <v>75</v>
      </c>
      <c r="I75" s="201"/>
      <c r="J75" s="205"/>
      <c r="K75" s="211"/>
      <c r="L75" s="214">
        <v>6.93E-2</v>
      </c>
      <c r="M75" s="214">
        <v>6.93E-2</v>
      </c>
      <c r="N75" s="214">
        <v>6.93E-2</v>
      </c>
      <c r="O75" s="214">
        <v>6.93E-2</v>
      </c>
      <c r="P75" s="214">
        <v>6.93E-2</v>
      </c>
      <c r="Q75" s="214">
        <v>6.93E-2</v>
      </c>
      <c r="R75" s="214">
        <v>6.93E-2</v>
      </c>
      <c r="S75" s="214">
        <v>6.93E-2</v>
      </c>
      <c r="T75" s="214">
        <v>6.93E-2</v>
      </c>
      <c r="U75" s="215">
        <v>6.93E-2</v>
      </c>
      <c r="V75" s="215">
        <v>6.93E-2</v>
      </c>
      <c r="W75" s="215">
        <v>6.93E-2</v>
      </c>
      <c r="X75" s="215">
        <v>6.93E-2</v>
      </c>
      <c r="Y75" s="215">
        <v>6.93E-2</v>
      </c>
      <c r="Z75" s="215">
        <v>6.93E-2</v>
      </c>
      <c r="AA75" s="215">
        <v>6.93E-2</v>
      </c>
      <c r="AB75" s="215">
        <v>6.93E-2</v>
      </c>
      <c r="AC75" s="215">
        <v>6.93E-2</v>
      </c>
      <c r="AD75" s="215">
        <v>6.93E-2</v>
      </c>
      <c r="AE75" s="215">
        <v>6.93E-2</v>
      </c>
      <c r="AF75" s="215">
        <v>6.93E-2</v>
      </c>
      <c r="AG75" s="179">
        <v>6.8537699999999993E-2</v>
      </c>
      <c r="AH75" s="179">
        <v>6.8468399999999999E-2</v>
      </c>
      <c r="AI75" s="179">
        <v>6.8399100000000004E-2</v>
      </c>
      <c r="AJ75" s="179">
        <v>6.8329799999999996E-2</v>
      </c>
      <c r="AK75" s="179">
        <v>6.8260500000000002E-2</v>
      </c>
      <c r="AL75" s="179">
        <v>6.8191199999999993E-2</v>
      </c>
      <c r="AM75" s="179">
        <v>6.8121899999999999E-2</v>
      </c>
      <c r="AN75" s="179">
        <v>6.8052600000000005E-2</v>
      </c>
      <c r="AO75" s="179">
        <v>6.7983299999999997E-2</v>
      </c>
      <c r="AP75" s="179">
        <v>6.7914000000000002E-2</v>
      </c>
      <c r="AQ75" s="179">
        <v>6.7844699999999994E-2</v>
      </c>
      <c r="AR75" s="179">
        <v>6.77754E-2</v>
      </c>
      <c r="AS75" s="179">
        <v>6.7706100000000005E-2</v>
      </c>
      <c r="AT75" s="179">
        <v>6.7636799999999997E-2</v>
      </c>
      <c r="AU75" s="179">
        <v>6.7567500000000003E-2</v>
      </c>
      <c r="AV75" s="179">
        <v>6.7567500000000003E-2</v>
      </c>
      <c r="AW75" s="179">
        <v>6.7567500000000003E-2</v>
      </c>
      <c r="AX75" s="179">
        <v>6.7567500000000003E-2</v>
      </c>
      <c r="AY75" s="179">
        <v>6.7567500000000003E-2</v>
      </c>
      <c r="AZ75" s="179">
        <v>6.7567500000000003E-2</v>
      </c>
      <c r="BA75" s="179">
        <v>6.7567500000000003E-2</v>
      </c>
      <c r="BB75" s="179">
        <v>6.8250000000000005E-2</v>
      </c>
      <c r="BC75" s="179">
        <v>6.8250000000000005E-2</v>
      </c>
      <c r="BD75" s="179">
        <v>6.8250000000000005E-2</v>
      </c>
      <c r="BE75" s="179">
        <v>6.8250000000000005E-2</v>
      </c>
      <c r="BF75" s="179">
        <v>6.8250000000000005E-2</v>
      </c>
      <c r="BG75" s="179">
        <v>6.8250000000000005E-2</v>
      </c>
      <c r="BH75" s="179">
        <v>6.8250000000000005E-2</v>
      </c>
      <c r="BI75" s="179">
        <v>6.8250000000000005E-2</v>
      </c>
      <c r="BJ75" s="179">
        <v>6.8250000000000005E-2</v>
      </c>
      <c r="BK75" s="179">
        <v>6.8250000000000005E-2</v>
      </c>
      <c r="BL75" s="179">
        <v>6.8250000000000005E-2</v>
      </c>
      <c r="BM75" s="179">
        <v>6.8250000000000005E-2</v>
      </c>
      <c r="BN75" s="179">
        <v>6.8250000000000005E-2</v>
      </c>
      <c r="BO75" s="179">
        <v>6.8250000000000005E-2</v>
      </c>
      <c r="BP75" s="179">
        <v>6.8250000000000005E-2</v>
      </c>
      <c r="BQ75" s="179">
        <v>6.8250000000000005E-2</v>
      </c>
      <c r="BR75" s="179">
        <v>6.8250000000000005E-2</v>
      </c>
      <c r="BS75" s="179">
        <v>6.8250000000000005E-2</v>
      </c>
      <c r="BT75" s="179">
        <v>6.8250000000000005E-2</v>
      </c>
    </row>
    <row r="76" spans="1:72" ht="15" thickBot="1" x14ac:dyDescent="0.35">
      <c r="A76" s="166" t="s">
        <v>428</v>
      </c>
      <c r="B76" s="142" t="s">
        <v>387</v>
      </c>
      <c r="C76" s="142" t="s">
        <v>398</v>
      </c>
      <c r="D76" s="142" t="s">
        <v>389</v>
      </c>
      <c r="E76" s="143" t="s">
        <v>390</v>
      </c>
      <c r="F76" s="142" t="s">
        <v>7</v>
      </c>
      <c r="G76" s="142" t="s">
        <v>313</v>
      </c>
      <c r="H76" s="144" t="s">
        <v>75</v>
      </c>
      <c r="I76" s="145"/>
      <c r="J76" s="146"/>
      <c r="K76" s="147"/>
      <c r="L76" s="148">
        <v>6.93E-2</v>
      </c>
      <c r="M76" s="148">
        <v>6.93E-2</v>
      </c>
      <c r="N76" s="148">
        <v>6.93E-2</v>
      </c>
      <c r="O76" s="148">
        <v>6.93E-2</v>
      </c>
      <c r="P76" s="148">
        <v>6.93E-2</v>
      </c>
      <c r="Q76" s="148">
        <v>6.93E-2</v>
      </c>
      <c r="R76" s="148">
        <v>6.93E-2</v>
      </c>
      <c r="S76" s="148">
        <v>6.93E-2</v>
      </c>
      <c r="T76" s="148">
        <v>6.93E-2</v>
      </c>
      <c r="U76" s="148">
        <v>6.93E-2</v>
      </c>
      <c r="V76" s="148">
        <v>6.93E-2</v>
      </c>
      <c r="W76" s="148">
        <v>6.93E-2</v>
      </c>
      <c r="X76" s="148">
        <v>6.93E-2</v>
      </c>
      <c r="Y76" s="148">
        <v>6.93E-2</v>
      </c>
      <c r="Z76" s="148">
        <v>6.93E-2</v>
      </c>
      <c r="AA76" s="148">
        <v>6.93E-2</v>
      </c>
      <c r="AB76" s="148">
        <v>6.93E-2</v>
      </c>
      <c r="AC76" s="148">
        <v>6.93E-2</v>
      </c>
      <c r="AD76" s="148">
        <v>6.93E-2</v>
      </c>
      <c r="AE76" s="148">
        <v>6.93E-2</v>
      </c>
      <c r="AF76" s="148">
        <v>6.93E-2</v>
      </c>
      <c r="AG76" s="142">
        <v>6.8537699999999993E-2</v>
      </c>
      <c r="AH76" s="142">
        <v>6.8468399999999999E-2</v>
      </c>
      <c r="AI76" s="142">
        <v>6.8399100000000004E-2</v>
      </c>
      <c r="AJ76" s="142">
        <v>6.8329799999999996E-2</v>
      </c>
      <c r="AK76" s="142">
        <v>6.8260500000000002E-2</v>
      </c>
      <c r="AL76" s="142">
        <v>6.8191199999999993E-2</v>
      </c>
      <c r="AM76" s="142">
        <v>6.8121899999999999E-2</v>
      </c>
      <c r="AN76" s="142">
        <v>6.8052600000000005E-2</v>
      </c>
      <c r="AO76" s="142">
        <v>6.7983299999999997E-2</v>
      </c>
      <c r="AP76" s="142">
        <v>6.7914000000000002E-2</v>
      </c>
      <c r="AQ76" s="142">
        <v>6.7844699999999994E-2</v>
      </c>
      <c r="AR76" s="142">
        <v>6.77754E-2</v>
      </c>
      <c r="AS76" s="142">
        <v>6.7706100000000005E-2</v>
      </c>
      <c r="AT76" s="142">
        <v>6.7636799999999997E-2</v>
      </c>
      <c r="AU76" s="142">
        <v>6.7567500000000003E-2</v>
      </c>
      <c r="AV76" s="142">
        <v>6.7567500000000003E-2</v>
      </c>
      <c r="AW76" s="142">
        <v>6.7567500000000003E-2</v>
      </c>
      <c r="AX76" s="142">
        <v>6.7567500000000003E-2</v>
      </c>
      <c r="AY76" s="142">
        <v>6.7567500000000003E-2</v>
      </c>
      <c r="AZ76" s="142">
        <v>6.7567500000000003E-2</v>
      </c>
      <c r="BA76" s="142">
        <v>6.7567500000000003E-2</v>
      </c>
      <c r="BB76" s="142">
        <v>6.8250000000000005E-2</v>
      </c>
      <c r="BC76" s="142">
        <v>6.8250000000000005E-2</v>
      </c>
      <c r="BD76" s="142">
        <v>6.8250000000000005E-2</v>
      </c>
      <c r="BE76" s="142">
        <v>6.8250000000000005E-2</v>
      </c>
      <c r="BF76" s="142">
        <v>6.8250000000000005E-2</v>
      </c>
      <c r="BG76" s="142">
        <v>6.8250000000000005E-2</v>
      </c>
      <c r="BH76" s="142">
        <v>6.8250000000000005E-2</v>
      </c>
      <c r="BI76" s="142">
        <v>6.8250000000000005E-2</v>
      </c>
      <c r="BJ76" s="142">
        <v>6.8250000000000005E-2</v>
      </c>
      <c r="BK76" s="142">
        <v>6.8250000000000005E-2</v>
      </c>
      <c r="BL76" s="142">
        <v>6.8250000000000005E-2</v>
      </c>
      <c r="BM76" s="142">
        <v>6.8250000000000005E-2</v>
      </c>
      <c r="BN76" s="142">
        <v>6.8250000000000005E-2</v>
      </c>
      <c r="BO76" s="142">
        <v>6.8250000000000005E-2</v>
      </c>
      <c r="BP76" s="142">
        <v>6.8250000000000005E-2</v>
      </c>
      <c r="BQ76" s="142">
        <v>6.8250000000000005E-2</v>
      </c>
      <c r="BR76" s="142">
        <v>6.8250000000000005E-2</v>
      </c>
      <c r="BS76" s="142">
        <v>6.8250000000000005E-2</v>
      </c>
      <c r="BT76" s="142">
        <v>6.8250000000000005E-2</v>
      </c>
    </row>
    <row r="77" spans="1:72" ht="15" thickBot="1" x14ac:dyDescent="0.35">
      <c r="A77" s="166" t="s">
        <v>426</v>
      </c>
      <c r="B77" s="142" t="s">
        <v>387</v>
      </c>
      <c r="C77" s="182" t="s">
        <v>434</v>
      </c>
      <c r="D77" s="182" t="s">
        <v>389</v>
      </c>
      <c r="E77" s="143" t="s">
        <v>433</v>
      </c>
      <c r="F77" s="142" t="s">
        <v>7</v>
      </c>
      <c r="G77" s="142" t="s">
        <v>313</v>
      </c>
      <c r="H77" s="144" t="s">
        <v>75</v>
      </c>
      <c r="I77" s="145"/>
      <c r="J77" s="146"/>
      <c r="K77" s="147"/>
      <c r="L77" s="148">
        <v>0.15629999999999999</v>
      </c>
      <c r="M77" s="148">
        <v>0.15629999999999999</v>
      </c>
      <c r="N77" s="148">
        <v>0.15629999999999999</v>
      </c>
      <c r="O77" s="148">
        <v>0.15629999999999999</v>
      </c>
      <c r="P77" s="148">
        <v>0.15629999999999999</v>
      </c>
      <c r="Q77" s="148">
        <v>0.15629999999999999</v>
      </c>
      <c r="R77" s="148">
        <v>0.15629999999999999</v>
      </c>
      <c r="S77" s="148">
        <v>0.15629999999999999</v>
      </c>
      <c r="T77" s="148">
        <v>0.15629999999999999</v>
      </c>
      <c r="U77" s="148">
        <v>0.15629999999999999</v>
      </c>
      <c r="V77" s="148">
        <v>0.15629999999999999</v>
      </c>
      <c r="W77" s="148">
        <v>0.15629999999999999</v>
      </c>
      <c r="X77" s="148">
        <v>0.15629999999999999</v>
      </c>
      <c r="Y77" s="148">
        <v>0.15629999999999999</v>
      </c>
      <c r="Z77" s="148">
        <v>0.15629999999999999</v>
      </c>
      <c r="AA77" s="148">
        <v>0.15629999999999999</v>
      </c>
      <c r="AB77" s="148">
        <v>0.15629999999999999</v>
      </c>
      <c r="AC77" s="148">
        <v>0.15629999999999999</v>
      </c>
      <c r="AD77" s="148">
        <v>0.15629999999999999</v>
      </c>
      <c r="AE77" s="148">
        <v>0.15629999999999999</v>
      </c>
      <c r="AF77" s="148">
        <v>0.15629999999999999</v>
      </c>
      <c r="AG77" s="149">
        <v>0.15629999999999999</v>
      </c>
      <c r="AH77" s="149">
        <v>0.15629999999999999</v>
      </c>
      <c r="AI77" s="149">
        <v>0.15629999999999999</v>
      </c>
      <c r="AJ77" s="149">
        <v>0.15629999999999999</v>
      </c>
      <c r="AK77" s="149">
        <v>0.15629999999999999</v>
      </c>
      <c r="AL77" s="149">
        <v>0.15629999999999999</v>
      </c>
      <c r="AM77" s="149">
        <v>0.15629999999999999</v>
      </c>
      <c r="AN77" s="149">
        <v>0.15629999999999999</v>
      </c>
      <c r="AO77" s="149">
        <v>0.15629999999999999</v>
      </c>
      <c r="AP77" s="149">
        <v>0.15629999999999999</v>
      </c>
      <c r="AQ77" s="149">
        <v>0.15629999999999999</v>
      </c>
      <c r="AR77" s="149">
        <v>0.15629999999999999</v>
      </c>
      <c r="AS77" s="149">
        <v>0.15629999999999999</v>
      </c>
      <c r="AT77" s="149">
        <v>0.15629999999999999</v>
      </c>
      <c r="AU77" s="149">
        <v>0.15629999999999999</v>
      </c>
      <c r="AV77" s="149">
        <v>0.15629999999999999</v>
      </c>
      <c r="AW77" s="149">
        <v>0.15629999999999999</v>
      </c>
      <c r="AX77" s="149">
        <v>0.15629999999999999</v>
      </c>
      <c r="AY77" s="149">
        <v>0.15629999999999999</v>
      </c>
      <c r="AZ77" s="149">
        <v>0.15629999999999999</v>
      </c>
      <c r="BA77" s="149">
        <v>0.15629999999999999</v>
      </c>
      <c r="BB77" s="149">
        <v>0.15629999999999999</v>
      </c>
      <c r="BC77" s="149">
        <v>0.15629999999999999</v>
      </c>
      <c r="BD77" s="149">
        <v>0.15629999999999999</v>
      </c>
      <c r="BE77" s="149">
        <v>0.15629999999999999</v>
      </c>
      <c r="BF77" s="149">
        <v>0.15629999999999999</v>
      </c>
      <c r="BG77" s="149">
        <v>0.15629999999999999</v>
      </c>
      <c r="BH77" s="149">
        <v>0.15629999999999999</v>
      </c>
      <c r="BI77" s="149">
        <v>0.15629999999999999</v>
      </c>
      <c r="BJ77" s="149">
        <v>0.15629999999999999</v>
      </c>
      <c r="BK77" s="149">
        <v>0.15629999999999999</v>
      </c>
      <c r="BL77" s="149">
        <v>0.15629999999999999</v>
      </c>
      <c r="BM77" s="149">
        <v>0.15629999999999999</v>
      </c>
      <c r="BN77" s="149">
        <v>0.15629999999999999</v>
      </c>
      <c r="BO77" s="149">
        <v>0.15629999999999999</v>
      </c>
      <c r="BP77" s="149">
        <v>0.15629999999999999</v>
      </c>
      <c r="BQ77" s="149">
        <v>0.15629999999999999</v>
      </c>
      <c r="BR77" s="149">
        <v>0.15629999999999999</v>
      </c>
      <c r="BS77" s="149">
        <v>0.15631272800000001</v>
      </c>
      <c r="BT77" s="149">
        <v>0.15631272800000001</v>
      </c>
    </row>
    <row r="78" spans="1:72" ht="15" thickBot="1" x14ac:dyDescent="0.35">
      <c r="A78" s="166" t="s">
        <v>426</v>
      </c>
      <c r="B78" s="142" t="s">
        <v>387</v>
      </c>
      <c r="C78" s="182" t="s">
        <v>435</v>
      </c>
      <c r="D78" s="182" t="s">
        <v>389</v>
      </c>
      <c r="E78" s="143" t="s">
        <v>433</v>
      </c>
      <c r="F78" s="142" t="s">
        <v>7</v>
      </c>
      <c r="G78" s="142" t="s">
        <v>313</v>
      </c>
      <c r="H78" s="144" t="s">
        <v>75</v>
      </c>
      <c r="I78" s="145"/>
      <c r="J78" s="146"/>
      <c r="K78" s="147"/>
      <c r="L78" s="148">
        <v>0.14000000000000001</v>
      </c>
      <c r="M78" s="148">
        <v>0.14000000000000001</v>
      </c>
      <c r="N78" s="148">
        <v>0.21229999999999999</v>
      </c>
      <c r="O78" s="148">
        <v>0.20580000000000001</v>
      </c>
      <c r="P78" s="148">
        <v>0.20580000000000001</v>
      </c>
      <c r="Q78" s="148">
        <v>0.2036</v>
      </c>
      <c r="R78" s="148">
        <v>0.2036</v>
      </c>
      <c r="S78" s="148">
        <v>0.2036</v>
      </c>
      <c r="T78" s="148">
        <v>0.22600000000000001</v>
      </c>
      <c r="U78" s="148">
        <v>0.22600000000000001</v>
      </c>
      <c r="V78" s="148">
        <v>0.22600000000000001</v>
      </c>
      <c r="W78" s="148">
        <v>0.22600000000000001</v>
      </c>
      <c r="X78" s="148">
        <v>0.22600000000000001</v>
      </c>
      <c r="Y78" s="148">
        <v>0.22600000000000001</v>
      </c>
      <c r="Z78" s="148">
        <v>0.22600000000000001</v>
      </c>
      <c r="AA78" s="148">
        <v>0.22600000000000001</v>
      </c>
      <c r="AB78" s="148">
        <v>0.22600000000000001</v>
      </c>
      <c r="AC78" s="148">
        <v>0.22600000000000001</v>
      </c>
      <c r="AD78" s="148">
        <v>0.22600000000000001</v>
      </c>
      <c r="AE78" s="148">
        <v>0.22600000000000001</v>
      </c>
      <c r="AF78" s="148">
        <v>0.22600000000000001</v>
      </c>
      <c r="AG78" s="149">
        <v>0.22600000000000001</v>
      </c>
      <c r="AH78" s="149">
        <v>0.22600000000000001</v>
      </c>
      <c r="AI78" s="149">
        <v>0.22600000000000001</v>
      </c>
      <c r="AJ78" s="149">
        <v>0.22600000000000001</v>
      </c>
      <c r="AK78" s="149">
        <v>0.22600000000000001</v>
      </c>
      <c r="AL78" s="149">
        <v>0.22600000000000001</v>
      </c>
      <c r="AM78" s="149">
        <v>0.22600000000000001</v>
      </c>
      <c r="AN78" s="149">
        <v>0.22600000000000001</v>
      </c>
      <c r="AO78" s="149">
        <v>0.22600000000000001</v>
      </c>
      <c r="AP78" s="149">
        <v>0.22600000000000001</v>
      </c>
      <c r="AQ78" s="149">
        <v>0.22600000000000001</v>
      </c>
      <c r="AR78" s="149">
        <v>0.22600000000000001</v>
      </c>
      <c r="AS78" s="149">
        <v>0.22600000000000001</v>
      </c>
      <c r="AT78" s="149">
        <v>0.22600000000000001</v>
      </c>
      <c r="AU78" s="149">
        <v>0.22600000000000001</v>
      </c>
      <c r="AV78" s="149">
        <v>0.22600000000000001</v>
      </c>
      <c r="AW78" s="149">
        <v>0.22600000000000001</v>
      </c>
      <c r="AX78" s="149">
        <v>0.22600000000000001</v>
      </c>
      <c r="AY78" s="149">
        <v>0.22600000000000001</v>
      </c>
      <c r="AZ78" s="149">
        <v>0.22600000000000001</v>
      </c>
      <c r="BA78" s="149">
        <v>0.22600000000000001</v>
      </c>
      <c r="BB78" s="149">
        <v>0.22600000000000001</v>
      </c>
      <c r="BC78" s="149">
        <v>0.22600000000000001</v>
      </c>
      <c r="BD78" s="149">
        <v>0.22600000000000001</v>
      </c>
      <c r="BE78" s="149">
        <v>0.22600000000000001</v>
      </c>
      <c r="BF78" s="149">
        <v>0.22600000000000001</v>
      </c>
      <c r="BG78" s="149">
        <v>0.22600000000000001</v>
      </c>
      <c r="BH78" s="149">
        <v>0.22600000000000001</v>
      </c>
      <c r="BI78" s="149">
        <v>0.22600000000000001</v>
      </c>
      <c r="BJ78" s="149">
        <v>0.22600000000000001</v>
      </c>
      <c r="BK78" s="149">
        <v>0.22600000000000001</v>
      </c>
      <c r="BL78" s="149">
        <v>0.22600000000000001</v>
      </c>
      <c r="BM78" s="149">
        <v>0.22600000000000001</v>
      </c>
      <c r="BN78" s="149">
        <v>0.22600000000000001</v>
      </c>
      <c r="BO78" s="149">
        <v>0.22600000000000001</v>
      </c>
      <c r="BP78" s="149">
        <v>0.22600000000000001</v>
      </c>
      <c r="BQ78" s="149">
        <v>0.22600000000000001</v>
      </c>
      <c r="BR78" s="149">
        <v>0.22600000000000001</v>
      </c>
      <c r="BS78" s="149">
        <v>0.22598011104673138</v>
      </c>
      <c r="BT78" s="149">
        <v>0.22598011104673138</v>
      </c>
    </row>
    <row r="79" spans="1:72" ht="15" thickBot="1" x14ac:dyDescent="0.35">
      <c r="A79" s="166" t="s">
        <v>426</v>
      </c>
      <c r="B79" s="142" t="s">
        <v>387</v>
      </c>
      <c r="C79" s="182" t="s">
        <v>436</v>
      </c>
      <c r="D79" s="182" t="s">
        <v>389</v>
      </c>
      <c r="E79" s="143" t="s">
        <v>433</v>
      </c>
      <c r="F79" s="142" t="s">
        <v>7</v>
      </c>
      <c r="G79" s="142" t="s">
        <v>313</v>
      </c>
      <c r="H79" s="144" t="s">
        <v>75</v>
      </c>
      <c r="I79" s="145"/>
      <c r="J79" s="146"/>
      <c r="K79" s="147"/>
      <c r="L79" s="148">
        <v>0.2</v>
      </c>
      <c r="M79" s="148">
        <v>0.2</v>
      </c>
      <c r="N79" s="148">
        <v>0.24510000000000001</v>
      </c>
      <c r="O79" s="148">
        <v>0.22800000000000001</v>
      </c>
      <c r="P79" s="148">
        <v>0.22800000000000001</v>
      </c>
      <c r="Q79" s="148">
        <v>0.23369999999999999</v>
      </c>
      <c r="R79" s="148">
        <v>0.23369999999999999</v>
      </c>
      <c r="S79" s="148">
        <v>0.23369999999999999</v>
      </c>
      <c r="T79" s="148">
        <v>0.28129999999999999</v>
      </c>
      <c r="U79" s="148">
        <v>0.28129999999999999</v>
      </c>
      <c r="V79" s="148">
        <v>0.28129999999999999</v>
      </c>
      <c r="W79" s="148">
        <v>0.28129999999999999</v>
      </c>
      <c r="X79" s="148">
        <v>0.28129999999999999</v>
      </c>
      <c r="Y79" s="148">
        <v>0.28129999999999999</v>
      </c>
      <c r="Z79" s="148">
        <v>0.28129999999999999</v>
      </c>
      <c r="AA79" s="148">
        <v>0.28129999999999999</v>
      </c>
      <c r="AB79" s="148">
        <v>0.28129999999999999</v>
      </c>
      <c r="AC79" s="148">
        <v>0.28129999999999999</v>
      </c>
      <c r="AD79" s="148">
        <v>0.28129999999999999</v>
      </c>
      <c r="AE79" s="148">
        <v>0.28129999999999999</v>
      </c>
      <c r="AF79" s="148">
        <v>0.28129999999999999</v>
      </c>
      <c r="AG79" s="149">
        <v>0.28129999999999999</v>
      </c>
      <c r="AH79" s="149">
        <v>0.28129999999999999</v>
      </c>
      <c r="AI79" s="149">
        <v>0.28129999999999999</v>
      </c>
      <c r="AJ79" s="149">
        <v>0.28129999999999999</v>
      </c>
      <c r="AK79" s="149">
        <v>0.28129999999999999</v>
      </c>
      <c r="AL79" s="149">
        <v>0.28129999999999999</v>
      </c>
      <c r="AM79" s="149">
        <v>0.28129999999999999</v>
      </c>
      <c r="AN79" s="149">
        <v>0.28129999999999999</v>
      </c>
      <c r="AO79" s="149">
        <v>0.28129999999999999</v>
      </c>
      <c r="AP79" s="149">
        <v>0.28129999999999999</v>
      </c>
      <c r="AQ79" s="149">
        <v>0.28129999999999999</v>
      </c>
      <c r="AR79" s="149">
        <v>0.28129999999999999</v>
      </c>
      <c r="AS79" s="149">
        <v>0.28129999999999999</v>
      </c>
      <c r="AT79" s="149">
        <v>0.28129999999999999</v>
      </c>
      <c r="AU79" s="149">
        <v>0.28129999999999999</v>
      </c>
      <c r="AV79" s="149">
        <v>0.28129999999999999</v>
      </c>
      <c r="AW79" s="149">
        <v>0.28129999999999999</v>
      </c>
      <c r="AX79" s="149">
        <v>0.28129999999999999</v>
      </c>
      <c r="AY79" s="149">
        <v>0.28129999999999999</v>
      </c>
      <c r="AZ79" s="149">
        <v>0.28129999999999999</v>
      </c>
      <c r="BA79" s="149">
        <v>0.28129999999999999</v>
      </c>
      <c r="BB79" s="149">
        <v>0.28129999999999999</v>
      </c>
      <c r="BC79" s="149">
        <v>0.28129999999999999</v>
      </c>
      <c r="BD79" s="149">
        <v>0.28129999999999999</v>
      </c>
      <c r="BE79" s="149">
        <v>0.28129999999999999</v>
      </c>
      <c r="BF79" s="149">
        <v>0.28129999999999999</v>
      </c>
      <c r="BG79" s="149">
        <v>0.28129999999999999</v>
      </c>
      <c r="BH79" s="149">
        <v>0.28129999999999999</v>
      </c>
      <c r="BI79" s="149">
        <v>0.28129999999999999</v>
      </c>
      <c r="BJ79" s="149">
        <v>0.28129999999999999</v>
      </c>
      <c r="BK79" s="149">
        <v>0.28129999999999999</v>
      </c>
      <c r="BL79" s="149">
        <v>0.28129999999999999</v>
      </c>
      <c r="BM79" s="149">
        <v>0.28129999999999999</v>
      </c>
      <c r="BN79" s="149">
        <v>0.28129999999999999</v>
      </c>
      <c r="BO79" s="149">
        <v>0.28129999999999999</v>
      </c>
      <c r="BP79" s="149">
        <v>0.28129999999999999</v>
      </c>
      <c r="BQ79" s="149">
        <v>0.28129999999999999</v>
      </c>
      <c r="BR79" s="149">
        <v>0.28129999999999999</v>
      </c>
      <c r="BS79" s="149">
        <v>0.28132346446506262</v>
      </c>
      <c r="BT79" s="149">
        <v>0.28132346446506262</v>
      </c>
    </row>
    <row r="80" spans="1:72" ht="15" thickBot="1" x14ac:dyDescent="0.35">
      <c r="A80" s="166" t="s">
        <v>426</v>
      </c>
      <c r="B80" s="142" t="s">
        <v>387</v>
      </c>
      <c r="C80" s="182" t="s">
        <v>437</v>
      </c>
      <c r="D80" s="182" t="s">
        <v>389</v>
      </c>
      <c r="E80" s="143" t="s">
        <v>433</v>
      </c>
      <c r="F80" s="142" t="s">
        <v>7</v>
      </c>
      <c r="G80" s="142" t="s">
        <v>313</v>
      </c>
      <c r="H80" s="144" t="s">
        <v>75</v>
      </c>
      <c r="I80" s="145"/>
      <c r="J80" s="146"/>
      <c r="K80" s="147"/>
      <c r="L80" s="148">
        <v>0.2</v>
      </c>
      <c r="M80" s="148">
        <v>0.2</v>
      </c>
      <c r="N80" s="148">
        <v>0.24510000000000001</v>
      </c>
      <c r="O80" s="148">
        <v>0.22800000000000001</v>
      </c>
      <c r="P80" s="148">
        <v>0.22800000000000001</v>
      </c>
      <c r="Q80" s="148">
        <v>0.23369999999999999</v>
      </c>
      <c r="R80" s="148">
        <v>0.23369999999999999</v>
      </c>
      <c r="S80" s="148">
        <v>0.23369999999999999</v>
      </c>
      <c r="T80" s="148">
        <v>0.28129999999999999</v>
      </c>
      <c r="U80" s="148">
        <v>0.28129999999999999</v>
      </c>
      <c r="V80" s="148">
        <v>0.28129999999999999</v>
      </c>
      <c r="W80" s="148">
        <v>0.28129999999999999</v>
      </c>
      <c r="X80" s="148">
        <v>0.28129999999999999</v>
      </c>
      <c r="Y80" s="148">
        <v>0.28129999999999999</v>
      </c>
      <c r="Z80" s="148">
        <v>0.28129999999999999</v>
      </c>
      <c r="AA80" s="148">
        <v>0.28129999999999999</v>
      </c>
      <c r="AB80" s="148">
        <v>0.28129999999999999</v>
      </c>
      <c r="AC80" s="148">
        <v>0.28129999999999999</v>
      </c>
      <c r="AD80" s="148">
        <v>0.28129999999999999</v>
      </c>
      <c r="AE80" s="148">
        <v>0.28129999999999999</v>
      </c>
      <c r="AF80" s="148">
        <v>0.28129999999999999</v>
      </c>
      <c r="AG80" s="149">
        <v>0.28129999999999999</v>
      </c>
      <c r="AH80" s="149">
        <v>0.28129999999999999</v>
      </c>
      <c r="AI80" s="149">
        <v>0.28129999999999999</v>
      </c>
      <c r="AJ80" s="149">
        <v>0.28129999999999999</v>
      </c>
      <c r="AK80" s="149">
        <v>0.28129999999999999</v>
      </c>
      <c r="AL80" s="149">
        <v>0.28129999999999999</v>
      </c>
      <c r="AM80" s="149">
        <v>0.28129999999999999</v>
      </c>
      <c r="AN80" s="149">
        <v>0.28129999999999999</v>
      </c>
      <c r="AO80" s="149">
        <v>0.28129999999999999</v>
      </c>
      <c r="AP80" s="149">
        <v>0.28129999999999999</v>
      </c>
      <c r="AQ80" s="149">
        <v>0.28129999999999999</v>
      </c>
      <c r="AR80" s="149">
        <v>0.28129999999999999</v>
      </c>
      <c r="AS80" s="149">
        <v>0.28129999999999999</v>
      </c>
      <c r="AT80" s="149">
        <v>0.28129999999999999</v>
      </c>
      <c r="AU80" s="149">
        <v>0.28129999999999999</v>
      </c>
      <c r="AV80" s="149">
        <v>0.28129999999999999</v>
      </c>
      <c r="AW80" s="149">
        <v>0.28129999999999999</v>
      </c>
      <c r="AX80" s="149">
        <v>0.28129999999999999</v>
      </c>
      <c r="AY80" s="149">
        <v>0.28129999999999999</v>
      </c>
      <c r="AZ80" s="149">
        <v>0.28129999999999999</v>
      </c>
      <c r="BA80" s="149">
        <v>0.28129999999999999</v>
      </c>
      <c r="BB80" s="149">
        <v>0.28129999999999999</v>
      </c>
      <c r="BC80" s="149">
        <v>0.28129999999999999</v>
      </c>
      <c r="BD80" s="149">
        <v>0.28129999999999999</v>
      </c>
      <c r="BE80" s="149">
        <v>0.28129999999999999</v>
      </c>
      <c r="BF80" s="149">
        <v>0.28129999999999999</v>
      </c>
      <c r="BG80" s="149">
        <v>0.28129999999999999</v>
      </c>
      <c r="BH80" s="149">
        <v>0.28129999999999999</v>
      </c>
      <c r="BI80" s="149">
        <v>0.28129999999999999</v>
      </c>
      <c r="BJ80" s="149">
        <v>0.28129999999999999</v>
      </c>
      <c r="BK80" s="149">
        <v>0.28129999999999999</v>
      </c>
      <c r="BL80" s="149">
        <v>0.28129999999999999</v>
      </c>
      <c r="BM80" s="149">
        <v>0.28129999999999999</v>
      </c>
      <c r="BN80" s="149">
        <v>0.28129999999999999</v>
      </c>
      <c r="BO80" s="149">
        <v>0.28129999999999999</v>
      </c>
      <c r="BP80" s="149">
        <v>0.28129999999999999</v>
      </c>
      <c r="BQ80" s="149">
        <v>0.28129999999999999</v>
      </c>
      <c r="BR80" s="149">
        <v>0.28129999999999999</v>
      </c>
      <c r="BS80" s="149">
        <v>0.28132346446506262</v>
      </c>
      <c r="BT80" s="149">
        <v>0.28132346446506262</v>
      </c>
    </row>
    <row r="81" spans="1:72" ht="15" thickBot="1" x14ac:dyDescent="0.35">
      <c r="A81" s="166" t="s">
        <v>426</v>
      </c>
      <c r="B81" s="142" t="s">
        <v>387</v>
      </c>
      <c r="C81" s="142" t="s">
        <v>438</v>
      </c>
      <c r="D81" s="142" t="s">
        <v>389</v>
      </c>
      <c r="E81" s="143" t="s">
        <v>433</v>
      </c>
      <c r="F81" s="142" t="s">
        <v>7</v>
      </c>
      <c r="G81" s="142" t="s">
        <v>313</v>
      </c>
      <c r="H81" s="144" t="s">
        <v>75</v>
      </c>
      <c r="I81" s="145"/>
      <c r="J81" s="146"/>
      <c r="K81" s="147"/>
      <c r="L81" s="148">
        <v>0.16</v>
      </c>
      <c r="M81" s="148">
        <v>0.16</v>
      </c>
      <c r="N81" s="148">
        <v>0.15620000000000001</v>
      </c>
      <c r="O81" s="148">
        <v>0.25600000000000001</v>
      </c>
      <c r="P81" s="148">
        <v>0.25600000000000001</v>
      </c>
      <c r="Q81" s="148">
        <v>0.25580000000000003</v>
      </c>
      <c r="R81" s="148">
        <v>0.25580000000000003</v>
      </c>
      <c r="S81" s="148">
        <v>0.25580000000000003</v>
      </c>
      <c r="T81" s="148">
        <v>0.28939999999999999</v>
      </c>
      <c r="U81" s="148">
        <v>0.28939999999999999</v>
      </c>
      <c r="V81" s="148">
        <v>0.28939999999999999</v>
      </c>
      <c r="W81" s="148">
        <v>0.28939999999999999</v>
      </c>
      <c r="X81" s="148">
        <v>0.28939999999999999</v>
      </c>
      <c r="Y81" s="148">
        <v>0.28939999999999999</v>
      </c>
      <c r="Z81" s="148">
        <v>0.28939999999999999</v>
      </c>
      <c r="AA81" s="148">
        <v>0.28939999999999999</v>
      </c>
      <c r="AB81" s="148">
        <v>0.28939999999999999</v>
      </c>
      <c r="AC81" s="148">
        <v>0.28939999999999999</v>
      </c>
      <c r="AD81" s="148">
        <v>0.28939999999999999</v>
      </c>
      <c r="AE81" s="148">
        <v>0.28939999999999999</v>
      </c>
      <c r="AF81" s="148">
        <v>0.28939999999999999</v>
      </c>
      <c r="AG81" s="142">
        <v>0.28939999999999999</v>
      </c>
      <c r="AH81" s="142">
        <v>0.28939999999999999</v>
      </c>
      <c r="AI81" s="142">
        <v>0.28939999999999999</v>
      </c>
      <c r="AJ81" s="142">
        <v>0.28939999999999999</v>
      </c>
      <c r="AK81" s="142">
        <v>0.28939999999999999</v>
      </c>
      <c r="AL81" s="142">
        <v>0.28939999999999999</v>
      </c>
      <c r="AM81" s="142">
        <v>0.28939999999999999</v>
      </c>
      <c r="AN81" s="142">
        <v>0.28939999999999999</v>
      </c>
      <c r="AO81" s="142">
        <v>0.28939999999999999</v>
      </c>
      <c r="AP81" s="142">
        <v>0.28939999999999999</v>
      </c>
      <c r="AQ81" s="142">
        <v>0.28939999999999999</v>
      </c>
      <c r="AR81" s="142">
        <v>0.28939999999999999</v>
      </c>
      <c r="AS81" s="142">
        <v>0.28939999999999999</v>
      </c>
      <c r="AT81" s="142">
        <v>0.28939999999999999</v>
      </c>
      <c r="AU81" s="142">
        <v>0.28939999999999999</v>
      </c>
      <c r="AV81" s="142">
        <v>0.28939999999999999</v>
      </c>
      <c r="AW81" s="142">
        <v>0.28939999999999999</v>
      </c>
      <c r="AX81" s="142">
        <v>0.28939999999999999</v>
      </c>
      <c r="AY81" s="142">
        <v>0.28939999999999999</v>
      </c>
      <c r="AZ81" s="142">
        <v>0.28939999999999999</v>
      </c>
      <c r="BA81" s="142">
        <v>0.28939999999999999</v>
      </c>
      <c r="BB81" s="142">
        <v>0.28939999999999999</v>
      </c>
      <c r="BC81" s="142">
        <v>0.28939999999999999</v>
      </c>
      <c r="BD81" s="142">
        <v>0.28939999999999999</v>
      </c>
      <c r="BE81" s="142">
        <v>0.28939999999999999</v>
      </c>
      <c r="BF81" s="142">
        <v>0.28939999999999999</v>
      </c>
      <c r="BG81" s="142">
        <v>0.28939999999999999</v>
      </c>
      <c r="BH81" s="142">
        <v>0.28939999999999999</v>
      </c>
      <c r="BI81" s="142">
        <v>0.28939999999999999</v>
      </c>
      <c r="BJ81" s="142">
        <v>0.28939999999999999</v>
      </c>
      <c r="BK81" s="142">
        <v>0.28939999999999999</v>
      </c>
      <c r="BL81" s="142">
        <v>0.28939999999999999</v>
      </c>
      <c r="BM81" s="142">
        <v>0.28939999999999999</v>
      </c>
      <c r="BN81" s="142">
        <v>0.28939999999999999</v>
      </c>
      <c r="BO81" s="142">
        <v>0.28939999999999999</v>
      </c>
      <c r="BP81" s="142">
        <v>0.28939999999999999</v>
      </c>
      <c r="BQ81" s="142">
        <v>0.28939999999999999</v>
      </c>
      <c r="BR81" s="142">
        <v>0.28939999999999999</v>
      </c>
      <c r="BS81" s="142">
        <v>0.28939516386025393</v>
      </c>
      <c r="BT81" s="142">
        <v>0.28939516386025393</v>
      </c>
    </row>
    <row r="82" spans="1:72" ht="15" thickBot="1" x14ac:dyDescent="0.35">
      <c r="A82" s="166" t="s">
        <v>426</v>
      </c>
      <c r="B82" s="142" t="s">
        <v>387</v>
      </c>
      <c r="C82" s="142" t="s">
        <v>439</v>
      </c>
      <c r="D82" s="142" t="s">
        <v>389</v>
      </c>
      <c r="E82" s="143" t="s">
        <v>433</v>
      </c>
      <c r="F82" s="142" t="s">
        <v>7</v>
      </c>
      <c r="G82" s="142" t="s">
        <v>313</v>
      </c>
      <c r="H82" s="144" t="s">
        <v>75</v>
      </c>
      <c r="I82" s="145"/>
      <c r="J82" s="146"/>
      <c r="K82" s="147"/>
      <c r="L82" s="148">
        <v>0.47</v>
      </c>
      <c r="M82" s="148">
        <v>0.47</v>
      </c>
      <c r="N82" s="148">
        <v>0.20680000000000001</v>
      </c>
      <c r="O82" s="148">
        <v>0.1885</v>
      </c>
      <c r="P82" s="148">
        <v>0.1885</v>
      </c>
      <c r="Q82" s="148">
        <v>0.1986</v>
      </c>
      <c r="R82" s="148">
        <v>0.1986</v>
      </c>
      <c r="S82" s="148">
        <v>0.1986</v>
      </c>
      <c r="T82" s="148">
        <v>0.1547</v>
      </c>
      <c r="U82" s="148">
        <v>0.1547</v>
      </c>
      <c r="V82" s="148">
        <v>0.1547</v>
      </c>
      <c r="W82" s="148">
        <v>0.1547</v>
      </c>
      <c r="X82" s="148">
        <v>0.1547</v>
      </c>
      <c r="Y82" s="148">
        <v>0.1547</v>
      </c>
      <c r="Z82" s="148">
        <v>0.1547</v>
      </c>
      <c r="AA82" s="148">
        <v>0.1547</v>
      </c>
      <c r="AB82" s="148">
        <v>0.1547</v>
      </c>
      <c r="AC82" s="148">
        <v>0.1547</v>
      </c>
      <c r="AD82" s="148">
        <v>0.1547</v>
      </c>
      <c r="AE82" s="148">
        <v>0.1547</v>
      </c>
      <c r="AF82" s="148">
        <v>0.1547</v>
      </c>
      <c r="AG82" s="142">
        <v>0.1547</v>
      </c>
      <c r="AH82" s="142">
        <v>0.1547</v>
      </c>
      <c r="AI82" s="142">
        <v>0.1547</v>
      </c>
      <c r="AJ82" s="142">
        <v>0.1547</v>
      </c>
      <c r="AK82" s="142">
        <v>0.1547</v>
      </c>
      <c r="AL82" s="142">
        <v>0.1547</v>
      </c>
      <c r="AM82" s="142">
        <v>0.1547</v>
      </c>
      <c r="AN82" s="142">
        <v>0.1547</v>
      </c>
      <c r="AO82" s="142">
        <v>0.1547</v>
      </c>
      <c r="AP82" s="142">
        <v>0.1547</v>
      </c>
      <c r="AQ82" s="142">
        <v>0.1547</v>
      </c>
      <c r="AR82" s="142">
        <v>0.1547</v>
      </c>
      <c r="AS82" s="142">
        <v>0.1547</v>
      </c>
      <c r="AT82" s="142">
        <v>0.1547</v>
      </c>
      <c r="AU82" s="142">
        <v>0.1547</v>
      </c>
      <c r="AV82" s="142">
        <v>0.1547</v>
      </c>
      <c r="AW82" s="142">
        <v>0.1547</v>
      </c>
      <c r="AX82" s="142">
        <v>0.1547</v>
      </c>
      <c r="AY82" s="142">
        <v>0.1547</v>
      </c>
      <c r="AZ82" s="142">
        <v>0.1547</v>
      </c>
      <c r="BA82" s="142">
        <v>0.1547</v>
      </c>
      <c r="BB82" s="142">
        <v>0.1547</v>
      </c>
      <c r="BC82" s="142">
        <v>0.1547</v>
      </c>
      <c r="BD82" s="142">
        <v>0.1547</v>
      </c>
      <c r="BE82" s="142">
        <v>0.1547</v>
      </c>
      <c r="BF82" s="142">
        <v>0.1547</v>
      </c>
      <c r="BG82" s="142">
        <v>0.1547</v>
      </c>
      <c r="BH82" s="142">
        <v>0.1547</v>
      </c>
      <c r="BI82" s="142">
        <v>0.1547</v>
      </c>
      <c r="BJ82" s="142">
        <v>0.1547</v>
      </c>
      <c r="BK82" s="142">
        <v>0.1547</v>
      </c>
      <c r="BL82" s="142">
        <v>0.1547</v>
      </c>
      <c r="BM82" s="142">
        <v>0.1547</v>
      </c>
      <c r="BN82" s="142">
        <v>0.1547</v>
      </c>
      <c r="BO82" s="142">
        <v>0.1547</v>
      </c>
      <c r="BP82" s="142">
        <v>0.1547</v>
      </c>
      <c r="BQ82" s="142">
        <v>0.1547</v>
      </c>
      <c r="BR82" s="142">
        <v>0.1547</v>
      </c>
      <c r="BS82" s="142">
        <v>0.15474833031148547</v>
      </c>
      <c r="BT82" s="142">
        <v>0.15474833031148547</v>
      </c>
    </row>
    <row r="83" spans="1:72" ht="15" thickBot="1" x14ac:dyDescent="0.35">
      <c r="A83" s="166" t="s">
        <v>426</v>
      </c>
      <c r="B83" s="142" t="s">
        <v>387</v>
      </c>
      <c r="C83" s="142" t="s">
        <v>440</v>
      </c>
      <c r="D83" s="142" t="s">
        <v>389</v>
      </c>
      <c r="E83" s="143" t="s">
        <v>433</v>
      </c>
      <c r="F83" s="142" t="s">
        <v>7</v>
      </c>
      <c r="G83" s="142" t="s">
        <v>313</v>
      </c>
      <c r="H83" s="144" t="s">
        <v>75</v>
      </c>
      <c r="I83" s="145"/>
      <c r="J83" s="146"/>
      <c r="K83" s="147"/>
      <c r="L83" s="148">
        <v>0.47</v>
      </c>
      <c r="M83" s="148">
        <v>0.47</v>
      </c>
      <c r="N83" s="148">
        <v>0.20680000000000001</v>
      </c>
      <c r="O83" s="148">
        <v>0.1885</v>
      </c>
      <c r="P83" s="148">
        <v>0.1885</v>
      </c>
      <c r="Q83" s="148">
        <v>0.1986</v>
      </c>
      <c r="R83" s="148">
        <v>0.1986</v>
      </c>
      <c r="S83" s="148">
        <v>0.1986</v>
      </c>
      <c r="T83" s="148">
        <v>0.1547</v>
      </c>
      <c r="U83" s="148">
        <v>0.1547</v>
      </c>
      <c r="V83" s="148">
        <v>0.1547</v>
      </c>
      <c r="W83" s="148">
        <v>0.1547</v>
      </c>
      <c r="X83" s="148">
        <v>0.1547</v>
      </c>
      <c r="Y83" s="148">
        <v>0.1547</v>
      </c>
      <c r="Z83" s="148">
        <v>0.1547</v>
      </c>
      <c r="AA83" s="148">
        <v>0.1547</v>
      </c>
      <c r="AB83" s="148">
        <v>0.1547</v>
      </c>
      <c r="AC83" s="148">
        <v>0.1547</v>
      </c>
      <c r="AD83" s="148">
        <v>0.1547</v>
      </c>
      <c r="AE83" s="148">
        <v>0.1547</v>
      </c>
      <c r="AF83" s="148">
        <v>0.1547</v>
      </c>
      <c r="AG83" s="142">
        <v>0.1547</v>
      </c>
      <c r="AH83" s="142">
        <v>0.1547</v>
      </c>
      <c r="AI83" s="142">
        <v>0.1547</v>
      </c>
      <c r="AJ83" s="142">
        <v>0.1547</v>
      </c>
      <c r="AK83" s="142">
        <v>0.1547</v>
      </c>
      <c r="AL83" s="142">
        <v>0.1547</v>
      </c>
      <c r="AM83" s="142">
        <v>0.1547</v>
      </c>
      <c r="AN83" s="142">
        <v>0.1547</v>
      </c>
      <c r="AO83" s="142">
        <v>0.1547</v>
      </c>
      <c r="AP83" s="142">
        <v>0.1547</v>
      </c>
      <c r="AQ83" s="142">
        <v>0.1547</v>
      </c>
      <c r="AR83" s="142">
        <v>0.1547</v>
      </c>
      <c r="AS83" s="142">
        <v>0.1547</v>
      </c>
      <c r="AT83" s="142">
        <v>0.1547</v>
      </c>
      <c r="AU83" s="142">
        <v>0.1547</v>
      </c>
      <c r="AV83" s="142">
        <v>0.1547</v>
      </c>
      <c r="AW83" s="142">
        <v>0.1547</v>
      </c>
      <c r="AX83" s="142">
        <v>0.1547</v>
      </c>
      <c r="AY83" s="142">
        <v>0.1547</v>
      </c>
      <c r="AZ83" s="142">
        <v>0.1547</v>
      </c>
      <c r="BA83" s="142">
        <v>0.1547</v>
      </c>
      <c r="BB83" s="142">
        <v>0.1547</v>
      </c>
      <c r="BC83" s="142">
        <v>0.1547</v>
      </c>
      <c r="BD83" s="142">
        <v>0.1547</v>
      </c>
      <c r="BE83" s="142">
        <v>0.1547</v>
      </c>
      <c r="BF83" s="142">
        <v>0.1547</v>
      </c>
      <c r="BG83" s="142">
        <v>0.1547</v>
      </c>
      <c r="BH83" s="142">
        <v>0.1547</v>
      </c>
      <c r="BI83" s="142">
        <v>0.1547</v>
      </c>
      <c r="BJ83" s="142">
        <v>0.1547</v>
      </c>
      <c r="BK83" s="142">
        <v>0.1547</v>
      </c>
      <c r="BL83" s="142">
        <v>0.1547</v>
      </c>
      <c r="BM83" s="142">
        <v>0.1547</v>
      </c>
      <c r="BN83" s="142">
        <v>0.1547</v>
      </c>
      <c r="BO83" s="142">
        <v>0.1547</v>
      </c>
      <c r="BP83" s="142">
        <v>0.1547</v>
      </c>
      <c r="BQ83" s="142">
        <v>0.1547</v>
      </c>
      <c r="BR83" s="142">
        <v>0.1547</v>
      </c>
      <c r="BS83" s="142">
        <v>0.15474833031148547</v>
      </c>
      <c r="BT83" s="142">
        <v>0.15474833031148547</v>
      </c>
    </row>
    <row r="84" spans="1:72" ht="15" thickBot="1" x14ac:dyDescent="0.35">
      <c r="A84" s="166" t="s">
        <v>426</v>
      </c>
      <c r="B84" s="142" t="s">
        <v>387</v>
      </c>
      <c r="C84" s="142" t="s">
        <v>441</v>
      </c>
      <c r="D84" s="142" t="s">
        <v>389</v>
      </c>
      <c r="E84" s="143" t="s">
        <v>433</v>
      </c>
      <c r="F84" s="142" t="s">
        <v>7</v>
      </c>
      <c r="G84" s="142" t="s">
        <v>313</v>
      </c>
      <c r="H84" s="144" t="s">
        <v>75</v>
      </c>
      <c r="I84" s="145"/>
      <c r="J84" s="146"/>
      <c r="K84" s="147"/>
      <c r="L84" s="148">
        <v>0.47</v>
      </c>
      <c r="M84" s="148">
        <v>0.47</v>
      </c>
      <c r="N84" s="148">
        <v>0.20680000000000001</v>
      </c>
      <c r="O84" s="148">
        <v>0.1885</v>
      </c>
      <c r="P84" s="148">
        <v>0.1885</v>
      </c>
      <c r="Q84" s="148">
        <v>0.1986</v>
      </c>
      <c r="R84" s="148">
        <v>0.1986</v>
      </c>
      <c r="S84" s="148">
        <v>0.1986</v>
      </c>
      <c r="T84" s="148">
        <v>0.1547</v>
      </c>
      <c r="U84" s="148">
        <v>0.1547</v>
      </c>
      <c r="V84" s="148">
        <v>0.1547</v>
      </c>
      <c r="W84" s="148">
        <v>0.1547</v>
      </c>
      <c r="X84" s="148">
        <v>0.1547</v>
      </c>
      <c r="Y84" s="148">
        <v>0.1547</v>
      </c>
      <c r="Z84" s="148">
        <v>0.1547</v>
      </c>
      <c r="AA84" s="148">
        <v>0.1547</v>
      </c>
      <c r="AB84" s="148">
        <v>0.1547</v>
      </c>
      <c r="AC84" s="148">
        <v>0.1547</v>
      </c>
      <c r="AD84" s="148">
        <v>0.1547</v>
      </c>
      <c r="AE84" s="148">
        <v>0.1547</v>
      </c>
      <c r="AF84" s="148">
        <v>0.1547</v>
      </c>
      <c r="AG84" s="142">
        <v>0.1547</v>
      </c>
      <c r="AH84" s="142">
        <v>0.1547</v>
      </c>
      <c r="AI84" s="142">
        <v>0.1547</v>
      </c>
      <c r="AJ84" s="142">
        <v>0.1547</v>
      </c>
      <c r="AK84" s="142">
        <v>0.1547</v>
      </c>
      <c r="AL84" s="142">
        <v>0.1547</v>
      </c>
      <c r="AM84" s="142">
        <v>0.1547</v>
      </c>
      <c r="AN84" s="142">
        <v>0.1547</v>
      </c>
      <c r="AO84" s="142">
        <v>0.1547</v>
      </c>
      <c r="AP84" s="142">
        <v>0.1547</v>
      </c>
      <c r="AQ84" s="142">
        <v>0.1547</v>
      </c>
      <c r="AR84" s="142">
        <v>0.1547</v>
      </c>
      <c r="AS84" s="142">
        <v>0.1547</v>
      </c>
      <c r="AT84" s="142">
        <v>0.1547</v>
      </c>
      <c r="AU84" s="142">
        <v>0.1547</v>
      </c>
      <c r="AV84" s="142">
        <v>0.1547</v>
      </c>
      <c r="AW84" s="142">
        <v>0.1547</v>
      </c>
      <c r="AX84" s="142">
        <v>0.1547</v>
      </c>
      <c r="AY84" s="142">
        <v>0.1547</v>
      </c>
      <c r="AZ84" s="142">
        <v>0.1547</v>
      </c>
      <c r="BA84" s="142">
        <v>0.1547</v>
      </c>
      <c r="BB84" s="142">
        <v>0.1547</v>
      </c>
      <c r="BC84" s="142">
        <v>0.1547</v>
      </c>
      <c r="BD84" s="142">
        <v>0.1547</v>
      </c>
      <c r="BE84" s="142">
        <v>0.1547</v>
      </c>
      <c r="BF84" s="142">
        <v>0.1547</v>
      </c>
      <c r="BG84" s="142">
        <v>0.1547</v>
      </c>
      <c r="BH84" s="142">
        <v>0.1547</v>
      </c>
      <c r="BI84" s="142">
        <v>0.1547</v>
      </c>
      <c r="BJ84" s="142">
        <v>0.1547</v>
      </c>
      <c r="BK84" s="142">
        <v>0.1547</v>
      </c>
      <c r="BL84" s="142">
        <v>0.1547</v>
      </c>
      <c r="BM84" s="142">
        <v>0.1547</v>
      </c>
      <c r="BN84" s="142">
        <v>0.1547</v>
      </c>
      <c r="BO84" s="142">
        <v>0.1547</v>
      </c>
      <c r="BP84" s="142">
        <v>0.1547</v>
      </c>
      <c r="BQ84" s="142">
        <v>0.1547</v>
      </c>
      <c r="BR84" s="142">
        <v>0.1547</v>
      </c>
      <c r="BS84" s="142">
        <v>0.15474833031148547</v>
      </c>
      <c r="BT84" s="142">
        <v>0.15474833031148547</v>
      </c>
    </row>
    <row r="85" spans="1:72" ht="29.4" thickBot="1" x14ac:dyDescent="0.35">
      <c r="A85" s="174" t="s">
        <v>6</v>
      </c>
      <c r="B85" s="142" t="s">
        <v>378</v>
      </c>
      <c r="C85" s="142" t="s">
        <v>379</v>
      </c>
      <c r="D85" s="142" t="s">
        <v>374</v>
      </c>
      <c r="E85" s="143" t="s">
        <v>380</v>
      </c>
      <c r="F85" s="142" t="s">
        <v>7</v>
      </c>
      <c r="G85" s="142" t="s">
        <v>313</v>
      </c>
      <c r="H85" s="144" t="s">
        <v>75</v>
      </c>
      <c r="I85" s="145"/>
      <c r="J85" s="146"/>
      <c r="K85" s="147"/>
      <c r="L85" s="148">
        <v>1.128575672</v>
      </c>
      <c r="M85" s="148">
        <v>1.128575672</v>
      </c>
      <c r="N85" s="148">
        <v>1.128575672</v>
      </c>
      <c r="O85" s="148">
        <v>1.128575672</v>
      </c>
      <c r="P85" s="148">
        <v>1.128575672</v>
      </c>
      <c r="Q85" s="148">
        <v>1.128575672</v>
      </c>
      <c r="R85" s="148">
        <v>1.128575672</v>
      </c>
      <c r="S85" s="148">
        <v>1.128575672</v>
      </c>
      <c r="T85" s="148">
        <v>1.128575672</v>
      </c>
      <c r="U85" s="148">
        <v>1.1363423580000001</v>
      </c>
      <c r="V85" s="148">
        <v>1.1466088889999999</v>
      </c>
      <c r="W85" s="148">
        <v>1.1393414610000001</v>
      </c>
      <c r="X85" s="142">
        <v>1.1027</v>
      </c>
      <c r="Y85" s="142">
        <v>1.1000000000000001</v>
      </c>
      <c r="Z85" s="142">
        <v>1.0978000000000001</v>
      </c>
      <c r="AA85" s="142">
        <v>1.0964</v>
      </c>
      <c r="AB85" s="142">
        <v>1.0952999999999999</v>
      </c>
      <c r="AC85" s="142">
        <v>1.0943000000000001</v>
      </c>
      <c r="AD85" s="142">
        <v>1.0932999999999999</v>
      </c>
      <c r="AE85" s="142">
        <v>1.0922000000000001</v>
      </c>
      <c r="AF85" s="142">
        <v>1.0911999999999999</v>
      </c>
      <c r="AG85" s="142">
        <v>1.0907</v>
      </c>
      <c r="AH85" s="142">
        <v>1.0902000000000001</v>
      </c>
      <c r="AI85" s="142">
        <v>1.0896999999999999</v>
      </c>
      <c r="AJ85" s="142">
        <v>1.0891999999999999</v>
      </c>
      <c r="AK85" s="142">
        <v>1.0888</v>
      </c>
      <c r="AL85" s="142">
        <v>1.0886</v>
      </c>
      <c r="AM85" s="142">
        <v>1.0884</v>
      </c>
      <c r="AN85" s="142">
        <v>1.0882000000000001</v>
      </c>
      <c r="AO85" s="142">
        <v>1.0880000000000001</v>
      </c>
      <c r="AP85" s="142">
        <v>1.0878000000000001</v>
      </c>
      <c r="AQ85" s="142">
        <v>1.0876999999999999</v>
      </c>
      <c r="AR85" s="142">
        <v>1.0875999999999999</v>
      </c>
      <c r="AS85" s="142">
        <v>1.0874999999999999</v>
      </c>
      <c r="AT85" s="142">
        <v>1.0873999999999999</v>
      </c>
      <c r="AU85" s="142">
        <v>1.0872999999999999</v>
      </c>
      <c r="AV85" s="142">
        <v>1.0872999999999999</v>
      </c>
      <c r="AW85" s="142">
        <v>1.0872999999999999</v>
      </c>
      <c r="AX85" s="142">
        <v>1.0872999999999999</v>
      </c>
      <c r="AY85" s="142">
        <v>1.0871999999999999</v>
      </c>
      <c r="AZ85" s="142">
        <v>1.0871999999999999</v>
      </c>
      <c r="BA85" s="142">
        <v>1.0871999999999999</v>
      </c>
      <c r="BB85" s="142">
        <v>1.0871999999999999</v>
      </c>
      <c r="BC85" s="142">
        <v>1.0871999999999999</v>
      </c>
      <c r="BD85" s="142">
        <v>1.0871999999999999</v>
      </c>
      <c r="BE85" s="142">
        <v>1.0871999999999999</v>
      </c>
      <c r="BF85" s="142">
        <v>1.0871999999999999</v>
      </c>
      <c r="BG85" s="142">
        <v>1.0871999999999999</v>
      </c>
      <c r="BH85" s="142">
        <v>1.0871999999999999</v>
      </c>
      <c r="BI85" s="142">
        <v>1.0871999999999999</v>
      </c>
      <c r="BJ85" s="142">
        <v>1.0871999999999999</v>
      </c>
      <c r="BK85" s="142">
        <v>1.0871999999999999</v>
      </c>
      <c r="BL85" s="142">
        <v>1.0871999999999999</v>
      </c>
      <c r="BM85" s="142">
        <v>1.0871999999999999</v>
      </c>
      <c r="BN85" s="142">
        <v>1.0871999999999999</v>
      </c>
      <c r="BO85" s="142">
        <v>1.0871999999999999</v>
      </c>
      <c r="BP85" s="142">
        <v>1.0871999999999999</v>
      </c>
      <c r="BQ85" s="142">
        <v>1.0871999999999999</v>
      </c>
      <c r="BR85" s="142">
        <v>1.0871999999999999</v>
      </c>
      <c r="BS85" s="142">
        <v>1.0871999999999999</v>
      </c>
      <c r="BT85" s="142">
        <v>1.0871999999999999</v>
      </c>
    </row>
    <row r="86" spans="1:72" ht="29.4" thickBot="1" x14ac:dyDescent="0.35">
      <c r="A86" s="174" t="s">
        <v>10</v>
      </c>
      <c r="B86" s="142" t="s">
        <v>378</v>
      </c>
      <c r="C86" s="142" t="s">
        <v>379</v>
      </c>
      <c r="D86" s="142" t="s">
        <v>374</v>
      </c>
      <c r="E86" s="143" t="s">
        <v>380</v>
      </c>
      <c r="F86" s="142" t="s">
        <v>7</v>
      </c>
      <c r="G86" s="142" t="s">
        <v>313</v>
      </c>
      <c r="H86" s="144" t="s">
        <v>75</v>
      </c>
      <c r="I86" s="145"/>
      <c r="J86" s="146"/>
      <c r="K86" s="147"/>
      <c r="L86" s="148">
        <v>1.128575672</v>
      </c>
      <c r="M86" s="148">
        <v>1.128575672</v>
      </c>
      <c r="N86" s="148">
        <v>1.128575672</v>
      </c>
      <c r="O86" s="148">
        <v>1.128575672</v>
      </c>
      <c r="P86" s="148">
        <v>1.128575672</v>
      </c>
      <c r="Q86" s="148">
        <v>1.128575672</v>
      </c>
      <c r="R86" s="148">
        <v>1.128575672</v>
      </c>
      <c r="S86" s="148">
        <v>1.128575672</v>
      </c>
      <c r="T86" s="148">
        <v>1.128575672</v>
      </c>
      <c r="U86" s="148">
        <v>1.1363423580000001</v>
      </c>
      <c r="V86" s="148">
        <v>1.1466088889999999</v>
      </c>
      <c r="W86" s="148">
        <v>1.1393414610000001</v>
      </c>
      <c r="X86" s="142">
        <v>1.1027</v>
      </c>
      <c r="Y86" s="142">
        <v>1.1000000000000001</v>
      </c>
      <c r="Z86" s="142">
        <v>1.0978000000000001</v>
      </c>
      <c r="AA86" s="142">
        <v>1.0964</v>
      </c>
      <c r="AB86" s="142">
        <v>1.0952999999999999</v>
      </c>
      <c r="AC86" s="142">
        <v>1.0943000000000001</v>
      </c>
      <c r="AD86" s="142">
        <v>1.0932999999999999</v>
      </c>
      <c r="AE86" s="142">
        <v>1.0922000000000001</v>
      </c>
      <c r="AF86" s="142">
        <v>1.0911999999999999</v>
      </c>
      <c r="AG86" s="142">
        <v>1.0907</v>
      </c>
      <c r="AH86" s="142">
        <v>1.0902000000000001</v>
      </c>
      <c r="AI86" s="142">
        <v>1.0896999999999999</v>
      </c>
      <c r="AJ86" s="142">
        <v>1.0891999999999999</v>
      </c>
      <c r="AK86" s="142">
        <v>1.0888</v>
      </c>
      <c r="AL86" s="142">
        <v>1.0886</v>
      </c>
      <c r="AM86" s="142">
        <v>1.0884</v>
      </c>
      <c r="AN86" s="142">
        <v>1.0882000000000001</v>
      </c>
      <c r="AO86" s="142">
        <v>1.0880000000000001</v>
      </c>
      <c r="AP86" s="142">
        <v>1.0878000000000001</v>
      </c>
      <c r="AQ86" s="142">
        <v>1.0876999999999999</v>
      </c>
      <c r="AR86" s="142">
        <v>1.0875999999999999</v>
      </c>
      <c r="AS86" s="142">
        <v>1.0874999999999999</v>
      </c>
      <c r="AT86" s="142">
        <v>1.0873999999999999</v>
      </c>
      <c r="AU86" s="142">
        <v>1.0872999999999999</v>
      </c>
      <c r="AV86" s="142">
        <v>1.0872999999999999</v>
      </c>
      <c r="AW86" s="142">
        <v>1.0872999999999999</v>
      </c>
      <c r="AX86" s="142">
        <v>1.0872999999999999</v>
      </c>
      <c r="AY86" s="142">
        <v>1.0871999999999999</v>
      </c>
      <c r="AZ86" s="142">
        <v>1.0871999999999999</v>
      </c>
      <c r="BA86" s="142">
        <v>1.0871999999999999</v>
      </c>
      <c r="BB86" s="142">
        <v>1.0871999999999999</v>
      </c>
      <c r="BC86" s="142">
        <v>1.0871999999999999</v>
      </c>
      <c r="BD86" s="142">
        <v>1.0871999999999999</v>
      </c>
      <c r="BE86" s="142">
        <v>1.0871999999999999</v>
      </c>
      <c r="BF86" s="142">
        <v>1.0871999999999999</v>
      </c>
      <c r="BG86" s="142">
        <v>1.0871999999999999</v>
      </c>
      <c r="BH86" s="142">
        <v>1.0871999999999999</v>
      </c>
      <c r="BI86" s="142">
        <v>1.0871999999999999</v>
      </c>
      <c r="BJ86" s="142">
        <v>1.0871999999999999</v>
      </c>
      <c r="BK86" s="142">
        <v>1.0871999999999999</v>
      </c>
      <c r="BL86" s="142">
        <v>1.0871999999999999</v>
      </c>
      <c r="BM86" s="142">
        <v>1.0871999999999999</v>
      </c>
      <c r="BN86" s="142">
        <v>1.0871999999999999</v>
      </c>
      <c r="BO86" s="142">
        <v>1.0871999999999999</v>
      </c>
      <c r="BP86" s="142">
        <v>1.0871999999999999</v>
      </c>
      <c r="BQ86" s="142">
        <v>1.0871999999999999</v>
      </c>
      <c r="BR86" s="142">
        <v>1.0871999999999999</v>
      </c>
      <c r="BS86" s="142">
        <v>1.0871999999999999</v>
      </c>
      <c r="BT86" s="142">
        <v>1.0871999999999999</v>
      </c>
    </row>
    <row r="87" spans="1:72" ht="29.4" thickBot="1" x14ac:dyDescent="0.35">
      <c r="A87" s="174" t="s">
        <v>10</v>
      </c>
      <c r="B87" s="142" t="s">
        <v>378</v>
      </c>
      <c r="C87" s="185" t="s">
        <v>381</v>
      </c>
      <c r="D87" s="185" t="s">
        <v>382</v>
      </c>
      <c r="E87" s="143" t="s">
        <v>380</v>
      </c>
      <c r="F87" s="142" t="s">
        <v>7</v>
      </c>
      <c r="G87" s="142" t="s">
        <v>313</v>
      </c>
      <c r="H87" s="144" t="s">
        <v>75</v>
      </c>
      <c r="I87" s="145"/>
      <c r="J87" s="146"/>
      <c r="K87" s="147"/>
      <c r="L87" s="148">
        <v>0.01</v>
      </c>
      <c r="M87" s="148">
        <v>0.01</v>
      </c>
      <c r="N87" s="148">
        <v>0.01</v>
      </c>
      <c r="O87" s="148">
        <v>0.01</v>
      </c>
      <c r="P87" s="148">
        <v>0.01</v>
      </c>
      <c r="Q87" s="148">
        <v>0.01</v>
      </c>
      <c r="R87" s="148">
        <v>0.01</v>
      </c>
      <c r="S87" s="148">
        <v>0.01</v>
      </c>
      <c r="T87" s="148">
        <v>0.01</v>
      </c>
      <c r="U87" s="148">
        <v>0.01</v>
      </c>
      <c r="V87" s="148">
        <v>0.01</v>
      </c>
      <c r="W87" s="148">
        <v>0.01</v>
      </c>
      <c r="X87" s="148">
        <v>0.01</v>
      </c>
      <c r="Y87" s="148">
        <v>0.01</v>
      </c>
      <c r="Z87" s="148">
        <v>0.01</v>
      </c>
      <c r="AA87" s="148">
        <v>0.01</v>
      </c>
      <c r="AB87" s="148">
        <v>0.01</v>
      </c>
      <c r="AC87" s="148">
        <v>0.01</v>
      </c>
      <c r="AD87" s="148">
        <v>0.01</v>
      </c>
      <c r="AE87" s="148">
        <v>0.01</v>
      </c>
      <c r="AF87" s="148">
        <v>0.01</v>
      </c>
      <c r="AG87" s="142">
        <v>0.01</v>
      </c>
      <c r="AH87" s="142">
        <v>0.01</v>
      </c>
      <c r="AI87" s="142">
        <v>0.01</v>
      </c>
      <c r="AJ87" s="142">
        <v>0.01</v>
      </c>
      <c r="AK87" s="142">
        <v>0.01</v>
      </c>
      <c r="AL87" s="142">
        <v>0.01</v>
      </c>
      <c r="AM87" s="142">
        <v>0.01</v>
      </c>
      <c r="AN87" s="142">
        <v>0.01</v>
      </c>
      <c r="AO87" s="142">
        <v>0.01</v>
      </c>
      <c r="AP87" s="142">
        <v>0.01</v>
      </c>
      <c r="AQ87" s="142">
        <v>0.01</v>
      </c>
      <c r="AR87" s="142">
        <v>0.01</v>
      </c>
      <c r="AS87" s="142">
        <v>0.01</v>
      </c>
      <c r="AT87" s="142">
        <v>0.01</v>
      </c>
      <c r="AU87" s="142">
        <v>2.5000000000000001E-2</v>
      </c>
      <c r="AV87" s="142">
        <v>2.5000000000000001E-2</v>
      </c>
      <c r="AW87" s="142">
        <v>2.5000000000000001E-2</v>
      </c>
      <c r="AX87" s="142">
        <v>2.5000000000000001E-2</v>
      </c>
      <c r="AY87" s="142">
        <v>2.5000000000000001E-2</v>
      </c>
      <c r="AZ87" s="142">
        <v>2.5000000000000001E-2</v>
      </c>
      <c r="BA87" s="142">
        <v>2.5000000000000001E-2</v>
      </c>
      <c r="BB87" s="142">
        <v>2.5000000000000001E-2</v>
      </c>
      <c r="BC87" s="142">
        <v>2.5000000000000001E-2</v>
      </c>
      <c r="BD87" s="142">
        <v>2.5000000000000001E-2</v>
      </c>
      <c r="BE87" s="142">
        <v>2.5000000000000001E-2</v>
      </c>
      <c r="BF87" s="142">
        <v>2.5000000000000001E-2</v>
      </c>
      <c r="BG87" s="142">
        <v>2.5000000000000001E-2</v>
      </c>
      <c r="BH87" s="142">
        <v>2.5000000000000001E-2</v>
      </c>
      <c r="BI87" s="142">
        <v>2.5000000000000001E-2</v>
      </c>
      <c r="BJ87" s="142">
        <v>2.5000000000000001E-2</v>
      </c>
      <c r="BK87" s="142">
        <v>2.5000000000000001E-2</v>
      </c>
      <c r="BL87" s="142">
        <v>2.5000000000000001E-2</v>
      </c>
      <c r="BM87" s="142">
        <v>2.5000000000000001E-2</v>
      </c>
      <c r="BN87" s="142">
        <v>2.5000000000000001E-2</v>
      </c>
      <c r="BO87" s="142">
        <v>2.5000000000000001E-2</v>
      </c>
      <c r="BP87" s="142">
        <v>2.5000000000000001E-2</v>
      </c>
      <c r="BQ87" s="142">
        <v>2.5000000000000001E-2</v>
      </c>
      <c r="BR87" s="142">
        <v>2.5000000000000001E-2</v>
      </c>
      <c r="BS87" s="142">
        <v>2.5000000000000001E-2</v>
      </c>
      <c r="BT87" s="142">
        <v>2.5000000000000001E-2</v>
      </c>
    </row>
    <row r="88" spans="1:72" ht="29.4" thickBot="1" x14ac:dyDescent="0.35">
      <c r="A88" s="174" t="s">
        <v>10</v>
      </c>
      <c r="B88" s="142" t="s">
        <v>378</v>
      </c>
      <c r="C88" s="185" t="s">
        <v>381</v>
      </c>
      <c r="D88" s="185" t="s">
        <v>383</v>
      </c>
      <c r="E88" s="143" t="s">
        <v>380</v>
      </c>
      <c r="F88" s="142" t="s">
        <v>7</v>
      </c>
      <c r="G88" s="142" t="s">
        <v>313</v>
      </c>
      <c r="H88" s="144" t="s">
        <v>75</v>
      </c>
      <c r="I88" s="145"/>
      <c r="J88" s="146"/>
      <c r="K88" s="147"/>
      <c r="L88" s="148">
        <v>0.99</v>
      </c>
      <c r="M88" s="148">
        <v>0.99</v>
      </c>
      <c r="N88" s="148">
        <v>0.99</v>
      </c>
      <c r="O88" s="148">
        <v>0.99</v>
      </c>
      <c r="P88" s="148">
        <v>0.99</v>
      </c>
      <c r="Q88" s="148">
        <v>0.99</v>
      </c>
      <c r="R88" s="148">
        <v>0.99</v>
      </c>
      <c r="S88" s="148">
        <v>0.99</v>
      </c>
      <c r="T88" s="148">
        <v>0.99</v>
      </c>
      <c r="U88" s="148">
        <v>0.99</v>
      </c>
      <c r="V88" s="148">
        <v>0.99</v>
      </c>
      <c r="W88" s="148">
        <v>0.99</v>
      </c>
      <c r="X88" s="148">
        <v>0.99</v>
      </c>
      <c r="Y88" s="148">
        <v>0.99</v>
      </c>
      <c r="Z88" s="148">
        <v>0.99</v>
      </c>
      <c r="AA88" s="148">
        <v>0.99</v>
      </c>
      <c r="AB88" s="148">
        <v>0.99</v>
      </c>
      <c r="AC88" s="148">
        <v>0.99</v>
      </c>
      <c r="AD88" s="148">
        <v>0.99</v>
      </c>
      <c r="AE88" s="148">
        <v>0.99</v>
      </c>
      <c r="AF88" s="148">
        <v>0.99</v>
      </c>
      <c r="AG88" s="142">
        <v>0.99</v>
      </c>
      <c r="AH88" s="142">
        <v>0.99</v>
      </c>
      <c r="AI88" s="142">
        <v>0.99</v>
      </c>
      <c r="AJ88" s="142">
        <v>0.99</v>
      </c>
      <c r="AK88" s="142">
        <v>0.99</v>
      </c>
      <c r="AL88" s="142">
        <v>0.99</v>
      </c>
      <c r="AM88" s="142">
        <v>0.99</v>
      </c>
      <c r="AN88" s="142">
        <v>0.99</v>
      </c>
      <c r="AO88" s="142">
        <v>0.99</v>
      </c>
      <c r="AP88" s="142">
        <v>0.99</v>
      </c>
      <c r="AQ88" s="142">
        <v>0.99</v>
      </c>
      <c r="AR88" s="142">
        <v>0.99</v>
      </c>
      <c r="AS88" s="142">
        <v>0.99</v>
      </c>
      <c r="AT88" s="142">
        <v>0.99</v>
      </c>
      <c r="AU88" s="142">
        <v>0.97499999999999998</v>
      </c>
      <c r="AV88" s="142">
        <v>0.97499999999999998</v>
      </c>
      <c r="AW88" s="142">
        <v>0.97499999999999998</v>
      </c>
      <c r="AX88" s="142">
        <v>0.97499999999999998</v>
      </c>
      <c r="AY88" s="142">
        <v>0.97499999999999998</v>
      </c>
      <c r="AZ88" s="142">
        <v>0.97499999999999998</v>
      </c>
      <c r="BA88" s="142">
        <v>0.97499999999999998</v>
      </c>
      <c r="BB88" s="142">
        <v>0.97499999999999998</v>
      </c>
      <c r="BC88" s="142">
        <v>0.97499999999999998</v>
      </c>
      <c r="BD88" s="142">
        <v>0.97499999999999998</v>
      </c>
      <c r="BE88" s="142">
        <v>0.97499999999999998</v>
      </c>
      <c r="BF88" s="142">
        <v>0.97499999999999998</v>
      </c>
      <c r="BG88" s="142">
        <v>0.97499999999999998</v>
      </c>
      <c r="BH88" s="142">
        <v>0.97499999999999998</v>
      </c>
      <c r="BI88" s="142">
        <v>0.97499999999999998</v>
      </c>
      <c r="BJ88" s="142">
        <v>0.97499999999999998</v>
      </c>
      <c r="BK88" s="142">
        <v>0.97499999999999998</v>
      </c>
      <c r="BL88" s="142">
        <v>0.97499999999999998</v>
      </c>
      <c r="BM88" s="142">
        <v>0.97499999999999998</v>
      </c>
      <c r="BN88" s="142">
        <v>0.97499999999999998</v>
      </c>
      <c r="BO88" s="142">
        <v>0.97499999999999998</v>
      </c>
      <c r="BP88" s="142">
        <v>0.97499999999999998</v>
      </c>
      <c r="BQ88" s="142">
        <v>0.97499999999999998</v>
      </c>
      <c r="BR88" s="142">
        <v>0.97499999999999998</v>
      </c>
      <c r="BS88" s="142">
        <v>0.97499999999999998</v>
      </c>
      <c r="BT88" s="142">
        <v>0.97499999999999998</v>
      </c>
    </row>
    <row r="89" spans="1:72" ht="29.4" thickBot="1" x14ac:dyDescent="0.35">
      <c r="A89" s="174" t="s">
        <v>10</v>
      </c>
      <c r="B89" s="142" t="s">
        <v>378</v>
      </c>
      <c r="C89" s="221" t="s">
        <v>384</v>
      </c>
      <c r="D89" s="221" t="s">
        <v>385</v>
      </c>
      <c r="E89" s="143" t="s">
        <v>380</v>
      </c>
      <c r="F89" s="142" t="s">
        <v>7</v>
      </c>
      <c r="G89" s="142" t="s">
        <v>313</v>
      </c>
      <c r="H89" s="144" t="s">
        <v>75</v>
      </c>
      <c r="I89" s="145"/>
      <c r="J89" s="146"/>
      <c r="K89" s="147"/>
      <c r="L89" s="148">
        <v>0.01</v>
      </c>
      <c r="M89" s="148">
        <v>0.01</v>
      </c>
      <c r="N89" s="148">
        <v>0.01</v>
      </c>
      <c r="O89" s="148">
        <v>0.01</v>
      </c>
      <c r="P89" s="148">
        <v>0.01</v>
      </c>
      <c r="Q89" s="148">
        <v>0.01</v>
      </c>
      <c r="R89" s="148">
        <v>0.01</v>
      </c>
      <c r="S89" s="148">
        <v>0.01</v>
      </c>
      <c r="T89" s="148">
        <v>0.01</v>
      </c>
      <c r="U89" s="148">
        <v>0.01</v>
      </c>
      <c r="V89" s="148">
        <v>0.01</v>
      </c>
      <c r="W89" s="148">
        <v>0.01</v>
      </c>
      <c r="X89" s="148">
        <v>0.01</v>
      </c>
      <c r="Y89" s="148">
        <v>0.01</v>
      </c>
      <c r="Z89" s="148">
        <v>0.01</v>
      </c>
      <c r="AA89" s="148">
        <v>0.01</v>
      </c>
      <c r="AB89" s="148">
        <v>0.01</v>
      </c>
      <c r="AC89" s="148">
        <v>0.01</v>
      </c>
      <c r="AD89" s="148">
        <v>0.01</v>
      </c>
      <c r="AE89" s="148">
        <v>0.01</v>
      </c>
      <c r="AF89" s="148">
        <v>0.01</v>
      </c>
      <c r="AG89" s="142">
        <v>0.01</v>
      </c>
      <c r="AH89" s="142">
        <v>0.01</v>
      </c>
      <c r="AI89" s="142">
        <v>0.01</v>
      </c>
      <c r="AJ89" s="142">
        <v>0.01</v>
      </c>
      <c r="AK89" s="142">
        <v>0.01</v>
      </c>
      <c r="AL89" s="142">
        <v>0.01</v>
      </c>
      <c r="AM89" s="142">
        <v>0.01</v>
      </c>
      <c r="AN89" s="142">
        <v>0.01</v>
      </c>
      <c r="AO89" s="142">
        <v>0.01</v>
      </c>
      <c r="AP89" s="142">
        <v>0.01</v>
      </c>
      <c r="AQ89" s="142">
        <v>0.01</v>
      </c>
      <c r="AR89" s="142">
        <v>0.01</v>
      </c>
      <c r="AS89" s="142">
        <v>0.01</v>
      </c>
      <c r="AT89" s="142">
        <v>0.01</v>
      </c>
      <c r="AU89" s="142">
        <v>0.01</v>
      </c>
      <c r="AV89" s="142">
        <v>0.01</v>
      </c>
      <c r="AW89" s="142">
        <v>0.01</v>
      </c>
      <c r="AX89" s="142">
        <v>0.01</v>
      </c>
      <c r="AY89" s="142">
        <v>0.01</v>
      </c>
      <c r="AZ89" s="142">
        <v>0.01</v>
      </c>
      <c r="BA89" s="142">
        <v>0.01</v>
      </c>
      <c r="BB89" s="142">
        <v>0.01</v>
      </c>
      <c r="BC89" s="142">
        <v>0.01</v>
      </c>
      <c r="BD89" s="142">
        <v>0.01</v>
      </c>
      <c r="BE89" s="142">
        <v>0.01</v>
      </c>
      <c r="BF89" s="142">
        <v>0.01</v>
      </c>
      <c r="BG89" s="142">
        <v>0.01</v>
      </c>
      <c r="BH89" s="142">
        <v>0.01</v>
      </c>
      <c r="BI89" s="142">
        <v>0.01</v>
      </c>
      <c r="BJ89" s="142">
        <v>0.01</v>
      </c>
      <c r="BK89" s="142">
        <v>0.01</v>
      </c>
      <c r="BL89" s="142">
        <v>0.01</v>
      </c>
      <c r="BM89" s="142">
        <v>0.01</v>
      </c>
      <c r="BN89" s="142">
        <v>0.01</v>
      </c>
      <c r="BO89" s="142">
        <v>0.01</v>
      </c>
      <c r="BP89" s="142">
        <v>0.01</v>
      </c>
      <c r="BQ89" s="142">
        <v>0.01</v>
      </c>
      <c r="BR89" s="142">
        <v>0.01</v>
      </c>
      <c r="BS89" s="142">
        <v>0.01</v>
      </c>
      <c r="BT89" s="142">
        <v>0.01</v>
      </c>
    </row>
    <row r="90" spans="1:72" ht="29.4" thickBot="1" x14ac:dyDescent="0.35">
      <c r="A90" s="174" t="s">
        <v>10</v>
      </c>
      <c r="B90" s="176" t="s">
        <v>378</v>
      </c>
      <c r="C90" s="184" t="s">
        <v>384</v>
      </c>
      <c r="D90" s="184" t="s">
        <v>386</v>
      </c>
      <c r="E90" s="189" t="s">
        <v>380</v>
      </c>
      <c r="F90" s="176" t="s">
        <v>7</v>
      </c>
      <c r="G90" s="176" t="s">
        <v>313</v>
      </c>
      <c r="H90" s="144" t="s">
        <v>75</v>
      </c>
      <c r="I90" s="198"/>
      <c r="J90" s="203"/>
      <c r="K90" s="208"/>
      <c r="L90" s="212">
        <v>0.99</v>
      </c>
      <c r="M90" s="212">
        <v>0.99</v>
      </c>
      <c r="N90" s="212">
        <v>0.99</v>
      </c>
      <c r="O90" s="212">
        <v>0.99</v>
      </c>
      <c r="P90" s="212">
        <v>0.99</v>
      </c>
      <c r="Q90" s="212">
        <v>0.99</v>
      </c>
      <c r="R90" s="212">
        <v>0.99</v>
      </c>
      <c r="S90" s="212">
        <v>0.99</v>
      </c>
      <c r="T90" s="212">
        <v>0.99</v>
      </c>
      <c r="U90" s="212">
        <v>0.99</v>
      </c>
      <c r="V90" s="212">
        <v>0.99</v>
      </c>
      <c r="W90" s="212">
        <v>0.99</v>
      </c>
      <c r="X90" s="212">
        <v>0.99</v>
      </c>
      <c r="Y90" s="212">
        <v>0.99</v>
      </c>
      <c r="Z90" s="212">
        <v>0.99</v>
      </c>
      <c r="AA90" s="212">
        <v>0.99</v>
      </c>
      <c r="AB90" s="212">
        <v>0.99</v>
      </c>
      <c r="AC90" s="212">
        <v>0.99</v>
      </c>
      <c r="AD90" s="212">
        <v>0.99</v>
      </c>
      <c r="AE90" s="212">
        <v>0.99</v>
      </c>
      <c r="AF90" s="212">
        <v>0.99</v>
      </c>
      <c r="AG90" s="182">
        <v>0.99</v>
      </c>
      <c r="AH90" s="182">
        <v>0.99</v>
      </c>
      <c r="AI90" s="182">
        <v>0.99</v>
      </c>
      <c r="AJ90" s="182">
        <v>0.99</v>
      </c>
      <c r="AK90" s="182">
        <v>0.99</v>
      </c>
      <c r="AL90" s="182">
        <v>0.99</v>
      </c>
      <c r="AM90" s="182">
        <v>0.99</v>
      </c>
      <c r="AN90" s="182">
        <v>0.99</v>
      </c>
      <c r="AO90" s="182">
        <v>0.99</v>
      </c>
      <c r="AP90" s="182">
        <v>0.99</v>
      </c>
      <c r="AQ90" s="182">
        <v>0.99</v>
      </c>
      <c r="AR90" s="182">
        <v>0.99</v>
      </c>
      <c r="AS90" s="182">
        <v>0.99</v>
      </c>
      <c r="AT90" s="182">
        <v>0.99</v>
      </c>
      <c r="AU90" s="182">
        <v>0.99</v>
      </c>
      <c r="AV90" s="182">
        <v>0.99</v>
      </c>
      <c r="AW90" s="182">
        <v>0.99</v>
      </c>
      <c r="AX90" s="182">
        <v>0.99</v>
      </c>
      <c r="AY90" s="182">
        <v>0.99</v>
      </c>
      <c r="AZ90" s="182">
        <v>0.99</v>
      </c>
      <c r="BA90" s="182">
        <v>0.99</v>
      </c>
      <c r="BB90" s="182">
        <v>0.99</v>
      </c>
      <c r="BC90" s="182">
        <v>0.99</v>
      </c>
      <c r="BD90" s="182">
        <v>0.99</v>
      </c>
      <c r="BE90" s="182">
        <v>0.99</v>
      </c>
      <c r="BF90" s="182">
        <v>0.99</v>
      </c>
      <c r="BG90" s="182">
        <v>0.99</v>
      </c>
      <c r="BH90" s="182">
        <v>0.99</v>
      </c>
      <c r="BI90" s="182">
        <v>0.99</v>
      </c>
      <c r="BJ90" s="182">
        <v>0.99</v>
      </c>
      <c r="BK90" s="182">
        <v>0.99</v>
      </c>
      <c r="BL90" s="182">
        <v>0.99</v>
      </c>
      <c r="BM90" s="182">
        <v>0.99</v>
      </c>
      <c r="BN90" s="182">
        <v>0.99</v>
      </c>
      <c r="BO90" s="182">
        <v>0.99</v>
      </c>
      <c r="BP90" s="182">
        <v>0.99</v>
      </c>
      <c r="BQ90" s="182">
        <v>0.99</v>
      </c>
      <c r="BR90" s="182">
        <v>0.99</v>
      </c>
      <c r="BS90" s="182">
        <v>0.99</v>
      </c>
      <c r="BT90" s="182">
        <v>0.99</v>
      </c>
    </row>
    <row r="91" spans="1:72" ht="29.4" thickBot="1" x14ac:dyDescent="0.35">
      <c r="A91" s="174" t="s">
        <v>274</v>
      </c>
      <c r="B91" s="176" t="s">
        <v>378</v>
      </c>
      <c r="C91" s="176" t="s">
        <v>379</v>
      </c>
      <c r="D91" s="176" t="s">
        <v>374</v>
      </c>
      <c r="E91" s="189" t="s">
        <v>380</v>
      </c>
      <c r="F91" s="176" t="s">
        <v>7</v>
      </c>
      <c r="G91" s="176" t="s">
        <v>313</v>
      </c>
      <c r="H91" s="144" t="s">
        <v>75</v>
      </c>
      <c r="I91" s="198"/>
      <c r="J91" s="203"/>
      <c r="K91" s="208"/>
      <c r="L91" s="212">
        <v>1.128575672</v>
      </c>
      <c r="M91" s="212">
        <v>1.128575672</v>
      </c>
      <c r="N91" s="212">
        <v>1.128575672</v>
      </c>
      <c r="O91" s="212">
        <v>1.128575672</v>
      </c>
      <c r="P91" s="212">
        <v>1.128575672</v>
      </c>
      <c r="Q91" s="212">
        <v>1.128575672</v>
      </c>
      <c r="R91" s="212">
        <v>1.128575672</v>
      </c>
      <c r="S91" s="212">
        <v>1.128575672</v>
      </c>
      <c r="T91" s="212">
        <v>1.128575672</v>
      </c>
      <c r="U91" s="212">
        <v>1.1363423580000001</v>
      </c>
      <c r="V91" s="212">
        <v>1.1466088889999999</v>
      </c>
      <c r="W91" s="212">
        <v>1.1393414610000001</v>
      </c>
      <c r="X91" s="182">
        <v>1.1027</v>
      </c>
      <c r="Y91" s="182">
        <v>1.1000000000000001</v>
      </c>
      <c r="Z91" s="182">
        <v>1.0978000000000001</v>
      </c>
      <c r="AA91" s="182">
        <v>1.0964</v>
      </c>
      <c r="AB91" s="182">
        <v>1.0959000000000001</v>
      </c>
      <c r="AC91" s="182">
        <v>1.0951</v>
      </c>
      <c r="AD91" s="182">
        <v>1.0947</v>
      </c>
      <c r="AE91" s="182">
        <v>1.0941000000000001</v>
      </c>
      <c r="AF91" s="182">
        <v>1.0935999999999999</v>
      </c>
      <c r="AG91" s="182">
        <v>1.0931</v>
      </c>
      <c r="AH91" s="182">
        <v>1.0929</v>
      </c>
      <c r="AI91" s="182">
        <v>1.0924</v>
      </c>
      <c r="AJ91" s="182">
        <v>1.0922000000000001</v>
      </c>
      <c r="AK91" s="182">
        <v>1.0919000000000001</v>
      </c>
      <c r="AL91" s="182">
        <v>1.0916999999999999</v>
      </c>
      <c r="AM91" s="182">
        <v>1.0914999999999999</v>
      </c>
      <c r="AN91" s="182">
        <v>1.0911999999999999</v>
      </c>
      <c r="AO91" s="182">
        <v>1.0911</v>
      </c>
      <c r="AP91" s="182">
        <v>1.0909</v>
      </c>
      <c r="AQ91" s="182">
        <v>1.0908</v>
      </c>
      <c r="AR91" s="182">
        <v>1.0906</v>
      </c>
      <c r="AS91" s="182">
        <v>1.0905</v>
      </c>
      <c r="AT91" s="182">
        <v>1.0904</v>
      </c>
      <c r="AU91" s="182">
        <v>1.0902000000000001</v>
      </c>
      <c r="AV91" s="182">
        <v>1.0900000000000001</v>
      </c>
      <c r="AW91" s="182">
        <v>1.0899000000000001</v>
      </c>
      <c r="AX91" s="182">
        <v>1.0898000000000001</v>
      </c>
      <c r="AY91" s="182">
        <v>1.0895999999999999</v>
      </c>
      <c r="AZ91" s="182">
        <v>1.0893999999999999</v>
      </c>
      <c r="BA91" s="182">
        <v>1.0892999999999999</v>
      </c>
      <c r="BB91" s="182">
        <v>1.0891999999999999</v>
      </c>
      <c r="BC91" s="182">
        <v>1.0891</v>
      </c>
      <c r="BD91" s="182">
        <v>1.089</v>
      </c>
      <c r="BE91" s="182">
        <v>1.0889</v>
      </c>
      <c r="BF91" s="182">
        <v>1.0887</v>
      </c>
      <c r="BG91" s="182">
        <v>1.0887</v>
      </c>
      <c r="BH91" s="182">
        <v>1.0886</v>
      </c>
      <c r="BI91" s="182">
        <v>1.0885</v>
      </c>
      <c r="BJ91" s="182">
        <v>1.0884</v>
      </c>
      <c r="BK91" s="182">
        <v>1.0883</v>
      </c>
      <c r="BL91" s="182">
        <v>1.0881000000000001</v>
      </c>
      <c r="BM91" s="182">
        <v>1.0881000000000001</v>
      </c>
      <c r="BN91" s="182">
        <v>1.0880000000000001</v>
      </c>
      <c r="BO91" s="182">
        <v>1.0879000000000001</v>
      </c>
      <c r="BP91" s="182">
        <v>1.0879000000000001</v>
      </c>
      <c r="BQ91" s="182">
        <v>1.0879000000000001</v>
      </c>
      <c r="BR91" s="182">
        <v>1.0878000000000001</v>
      </c>
      <c r="BS91" s="182">
        <v>1.0878000000000001</v>
      </c>
      <c r="BT91" s="182">
        <v>1.0876999999999999</v>
      </c>
    </row>
    <row r="92" spans="1:72" ht="29.4" thickBot="1" x14ac:dyDescent="0.35">
      <c r="A92" s="14" t="s">
        <v>274</v>
      </c>
      <c r="B92" s="176" t="s">
        <v>378</v>
      </c>
      <c r="C92" s="181" t="s">
        <v>381</v>
      </c>
      <c r="D92" s="181" t="s">
        <v>382</v>
      </c>
      <c r="E92" s="189" t="s">
        <v>380</v>
      </c>
      <c r="F92" s="176" t="s">
        <v>7</v>
      </c>
      <c r="G92" s="176" t="s">
        <v>313</v>
      </c>
      <c r="H92" s="144" t="s">
        <v>75</v>
      </c>
      <c r="I92" s="198"/>
      <c r="J92" s="203"/>
      <c r="K92" s="208"/>
      <c r="L92" s="212">
        <v>0.01</v>
      </c>
      <c r="M92" s="212">
        <v>0.01</v>
      </c>
      <c r="N92" s="212">
        <v>0.01</v>
      </c>
      <c r="O92" s="212">
        <v>0.01</v>
      </c>
      <c r="P92" s="212">
        <v>0.01</v>
      </c>
      <c r="Q92" s="212">
        <v>0.01</v>
      </c>
      <c r="R92" s="212">
        <v>0.01</v>
      </c>
      <c r="S92" s="212">
        <v>0.01</v>
      </c>
      <c r="T92" s="212">
        <v>0.01</v>
      </c>
      <c r="U92" s="212">
        <v>0.01</v>
      </c>
      <c r="V92" s="212">
        <v>0.01</v>
      </c>
      <c r="W92" s="212">
        <v>0.01</v>
      </c>
      <c r="X92" s="182">
        <v>2.5000000000000001E-2</v>
      </c>
      <c r="Y92" s="182">
        <v>4.4999999999999998E-2</v>
      </c>
      <c r="Z92" s="182">
        <v>5.1999999999999998E-2</v>
      </c>
      <c r="AA92" s="182">
        <v>5.8999999999999997E-2</v>
      </c>
      <c r="AB92" s="182">
        <v>6.8000000000000005E-2</v>
      </c>
      <c r="AC92" s="182">
        <v>7.6999999999999999E-2</v>
      </c>
      <c r="AD92" s="182">
        <v>8.5999999999999993E-2</v>
      </c>
      <c r="AE92" s="182">
        <v>9.5000000000000001E-2</v>
      </c>
      <c r="AF92" s="182">
        <v>0.104</v>
      </c>
      <c r="AG92" s="182">
        <v>0.113</v>
      </c>
      <c r="AH92" s="182">
        <v>0.122</v>
      </c>
      <c r="AI92" s="182">
        <v>0.13100000000000001</v>
      </c>
      <c r="AJ92" s="182">
        <v>0.14000000000000001</v>
      </c>
      <c r="AK92" s="182">
        <v>0.14899999999999999</v>
      </c>
      <c r="AL92" s="182">
        <v>0.158</v>
      </c>
      <c r="AM92" s="182">
        <v>0.16700000000000001</v>
      </c>
      <c r="AN92" s="182">
        <v>0.17599999999999999</v>
      </c>
      <c r="AO92" s="182">
        <v>0.185</v>
      </c>
      <c r="AP92" s="182">
        <v>0.19400000000000001</v>
      </c>
      <c r="AQ92" s="182">
        <v>0.20300000000000001</v>
      </c>
      <c r="AR92" s="182">
        <v>0.221</v>
      </c>
      <c r="AS92" s="182">
        <v>0.23899999999999999</v>
      </c>
      <c r="AT92" s="182">
        <v>0.25700000000000001</v>
      </c>
      <c r="AU92" s="182">
        <v>0.27500000000000002</v>
      </c>
      <c r="AV92" s="182">
        <v>0.29299999999999998</v>
      </c>
      <c r="AW92" s="182">
        <v>0.311</v>
      </c>
      <c r="AX92" s="182">
        <v>0.32900000000000001</v>
      </c>
      <c r="AY92" s="182">
        <v>0.34699999999999998</v>
      </c>
      <c r="AZ92" s="182">
        <v>0.36499999999999999</v>
      </c>
      <c r="BA92" s="182">
        <v>0.38300000000000001</v>
      </c>
      <c r="BB92" s="182">
        <v>0.40100000000000002</v>
      </c>
      <c r="BC92" s="182">
        <v>0.41899999999999998</v>
      </c>
      <c r="BD92" s="182">
        <v>0.437</v>
      </c>
      <c r="BE92" s="182">
        <v>0.45500000000000002</v>
      </c>
      <c r="BF92" s="182">
        <v>0.47399999999999998</v>
      </c>
      <c r="BG92" s="182">
        <v>0.49199999999999999</v>
      </c>
      <c r="BH92" s="182">
        <v>0.51</v>
      </c>
      <c r="BI92" s="182">
        <v>0.505</v>
      </c>
      <c r="BJ92" s="182">
        <v>0.5</v>
      </c>
      <c r="BK92" s="182">
        <v>0.495</v>
      </c>
      <c r="BL92" s="182">
        <v>0.49</v>
      </c>
      <c r="BM92" s="182">
        <v>0.48499999999999999</v>
      </c>
      <c r="BN92" s="182">
        <v>0.48</v>
      </c>
      <c r="BO92" s="182">
        <v>0.47499999999999998</v>
      </c>
      <c r="BP92" s="182">
        <v>0.47</v>
      </c>
      <c r="BQ92" s="182">
        <v>0.46500000000000002</v>
      </c>
      <c r="BR92" s="182">
        <v>0.46</v>
      </c>
      <c r="BS92" s="182">
        <v>0.45500000000000002</v>
      </c>
      <c r="BT92" s="182">
        <v>0.45</v>
      </c>
    </row>
    <row r="93" spans="1:72" ht="29.4" thickBot="1" x14ac:dyDescent="0.35">
      <c r="A93" s="14" t="s">
        <v>274</v>
      </c>
      <c r="B93" s="176" t="s">
        <v>378</v>
      </c>
      <c r="C93" s="181" t="s">
        <v>381</v>
      </c>
      <c r="D93" s="181" t="s">
        <v>383</v>
      </c>
      <c r="E93" s="189" t="s">
        <v>380</v>
      </c>
      <c r="F93" s="176" t="s">
        <v>7</v>
      </c>
      <c r="G93" s="176" t="s">
        <v>313</v>
      </c>
      <c r="H93" s="144" t="s">
        <v>75</v>
      </c>
      <c r="I93" s="198"/>
      <c r="J93" s="203"/>
      <c r="K93" s="208"/>
      <c r="L93" s="212">
        <v>0.99</v>
      </c>
      <c r="M93" s="212">
        <v>0.99</v>
      </c>
      <c r="N93" s="212">
        <v>0.99</v>
      </c>
      <c r="O93" s="212">
        <v>0.99</v>
      </c>
      <c r="P93" s="212">
        <v>0.99</v>
      </c>
      <c r="Q93" s="212">
        <v>0.99</v>
      </c>
      <c r="R93" s="212">
        <v>0.99</v>
      </c>
      <c r="S93" s="212">
        <v>0.99</v>
      </c>
      <c r="T93" s="212">
        <v>0.99</v>
      </c>
      <c r="U93" s="212">
        <v>0.99</v>
      </c>
      <c r="V93" s="212">
        <v>0.99</v>
      </c>
      <c r="W93" s="212">
        <v>0.99</v>
      </c>
      <c r="X93" s="182">
        <v>0.97499999999999998</v>
      </c>
      <c r="Y93" s="182">
        <v>0.95499999999999996</v>
      </c>
      <c r="Z93" s="182">
        <v>0.94799999999999995</v>
      </c>
      <c r="AA93" s="182">
        <v>0.94099999999999995</v>
      </c>
      <c r="AB93" s="182">
        <v>0.93200000000000005</v>
      </c>
      <c r="AC93" s="182">
        <v>0.92300000000000004</v>
      </c>
      <c r="AD93" s="182">
        <v>0.91400000000000003</v>
      </c>
      <c r="AE93" s="182">
        <v>0.90500000000000003</v>
      </c>
      <c r="AF93" s="182">
        <v>0.89600000000000002</v>
      </c>
      <c r="AG93" s="182">
        <v>0.88700000000000001</v>
      </c>
      <c r="AH93" s="182">
        <v>0.878</v>
      </c>
      <c r="AI93" s="182">
        <v>0.86899999999999999</v>
      </c>
      <c r="AJ93" s="182">
        <v>0.86</v>
      </c>
      <c r="AK93" s="182">
        <v>0.85099999999999998</v>
      </c>
      <c r="AL93" s="182">
        <v>0.84199999999999997</v>
      </c>
      <c r="AM93" s="182">
        <v>0.83299999999999996</v>
      </c>
      <c r="AN93" s="182">
        <v>0.82399999999999995</v>
      </c>
      <c r="AO93" s="182">
        <v>0.81499999999999995</v>
      </c>
      <c r="AP93" s="182">
        <v>0.80600000000000005</v>
      </c>
      <c r="AQ93" s="182">
        <v>0.79700000000000004</v>
      </c>
      <c r="AR93" s="182">
        <v>0.77900000000000003</v>
      </c>
      <c r="AS93" s="182">
        <v>0.76100000000000001</v>
      </c>
      <c r="AT93" s="182">
        <v>0.74299999999999999</v>
      </c>
      <c r="AU93" s="182">
        <v>0.72499999999999998</v>
      </c>
      <c r="AV93" s="182">
        <v>0.70699999999999996</v>
      </c>
      <c r="AW93" s="182">
        <v>0.68899999999999995</v>
      </c>
      <c r="AX93" s="182">
        <v>0.67100000000000004</v>
      </c>
      <c r="AY93" s="182">
        <v>0.65300000000000002</v>
      </c>
      <c r="AZ93" s="182">
        <v>0.63500000000000001</v>
      </c>
      <c r="BA93" s="182">
        <v>0.61699999999999999</v>
      </c>
      <c r="BB93" s="182">
        <v>0.59899999999999998</v>
      </c>
      <c r="BC93" s="182">
        <v>0.58099999999999996</v>
      </c>
      <c r="BD93" s="182">
        <v>0.56299999999999994</v>
      </c>
      <c r="BE93" s="182">
        <v>0.54500000000000004</v>
      </c>
      <c r="BF93" s="182">
        <v>0.52600000000000002</v>
      </c>
      <c r="BG93" s="182">
        <v>0.50800000000000001</v>
      </c>
      <c r="BH93" s="182">
        <v>0.49</v>
      </c>
      <c r="BI93" s="182">
        <v>0.495</v>
      </c>
      <c r="BJ93" s="182">
        <v>0.5</v>
      </c>
      <c r="BK93" s="182">
        <v>0.505</v>
      </c>
      <c r="BL93" s="182">
        <v>0.51</v>
      </c>
      <c r="BM93" s="182">
        <v>0.51500000000000001</v>
      </c>
      <c r="BN93" s="182">
        <v>0.52</v>
      </c>
      <c r="BO93" s="182">
        <v>0.52500000000000002</v>
      </c>
      <c r="BP93" s="182">
        <v>0.53</v>
      </c>
      <c r="BQ93" s="182">
        <v>0.53500000000000003</v>
      </c>
      <c r="BR93" s="182">
        <v>0.54</v>
      </c>
      <c r="BS93" s="182">
        <v>0.54500000000000004</v>
      </c>
      <c r="BT93" s="182">
        <v>0.55000000000000004</v>
      </c>
    </row>
    <row r="94" spans="1:72" ht="29.4" thickBot="1" x14ac:dyDescent="0.35">
      <c r="A94" s="14" t="s">
        <v>274</v>
      </c>
      <c r="B94" s="176" t="s">
        <v>378</v>
      </c>
      <c r="C94" s="184" t="s">
        <v>384</v>
      </c>
      <c r="D94" s="184" t="s">
        <v>385</v>
      </c>
      <c r="E94" s="189" t="s">
        <v>380</v>
      </c>
      <c r="F94" s="176" t="s">
        <v>7</v>
      </c>
      <c r="G94" s="176" t="s">
        <v>313</v>
      </c>
      <c r="H94" s="144" t="s">
        <v>75</v>
      </c>
      <c r="I94" s="198"/>
      <c r="J94" s="203"/>
      <c r="K94" s="208"/>
      <c r="L94" s="212">
        <v>0.01</v>
      </c>
      <c r="M94" s="212">
        <v>0.01</v>
      </c>
      <c r="N94" s="212">
        <v>0.01</v>
      </c>
      <c r="O94" s="212">
        <v>0.01</v>
      </c>
      <c r="P94" s="212">
        <v>0.01</v>
      </c>
      <c r="Q94" s="212">
        <v>0.01</v>
      </c>
      <c r="R94" s="212">
        <v>0.01</v>
      </c>
      <c r="S94" s="212">
        <v>0.01</v>
      </c>
      <c r="T94" s="212">
        <v>0.01</v>
      </c>
      <c r="U94" s="212">
        <v>0.01</v>
      </c>
      <c r="V94" s="212">
        <v>0.01</v>
      </c>
      <c r="W94" s="212">
        <v>0.01</v>
      </c>
      <c r="X94" s="182">
        <v>0.05</v>
      </c>
      <c r="Y94" s="182">
        <v>5.8000000000000003E-2</v>
      </c>
      <c r="Z94" s="182">
        <v>5.8000000000000003E-2</v>
      </c>
      <c r="AA94" s="182">
        <v>5.8999999999999997E-2</v>
      </c>
      <c r="AB94" s="182">
        <v>6.2E-2</v>
      </c>
      <c r="AC94" s="182">
        <v>6.6000000000000003E-2</v>
      </c>
      <c r="AD94" s="182">
        <v>6.9000000000000006E-2</v>
      </c>
      <c r="AE94" s="182">
        <v>7.2999999999999995E-2</v>
      </c>
      <c r="AF94" s="182">
        <v>7.6999999999999999E-2</v>
      </c>
      <c r="AG94" s="182">
        <v>0.08</v>
      </c>
      <c r="AH94" s="182">
        <v>8.3000000000000004E-2</v>
      </c>
      <c r="AI94" s="182">
        <v>8.5999999999999993E-2</v>
      </c>
      <c r="AJ94" s="182">
        <v>0.09</v>
      </c>
      <c r="AK94" s="182">
        <v>9.4E-2</v>
      </c>
      <c r="AL94" s="182">
        <v>9.7000000000000003E-2</v>
      </c>
      <c r="AM94" s="182">
        <v>0.10100000000000001</v>
      </c>
      <c r="AN94" s="182">
        <v>0.104</v>
      </c>
      <c r="AO94" s="182">
        <v>0.107</v>
      </c>
      <c r="AP94" s="182">
        <v>0.111</v>
      </c>
      <c r="AQ94" s="182">
        <v>0.114</v>
      </c>
      <c r="AR94" s="182">
        <v>0.122</v>
      </c>
      <c r="AS94" s="182">
        <v>0.128</v>
      </c>
      <c r="AT94" s="182">
        <v>0.13500000000000001</v>
      </c>
      <c r="AU94" s="182">
        <v>0.14199999999999999</v>
      </c>
      <c r="AV94" s="182">
        <v>0.14899999999999999</v>
      </c>
      <c r="AW94" s="182">
        <v>0.156</v>
      </c>
      <c r="AX94" s="182">
        <v>0.16300000000000001</v>
      </c>
      <c r="AY94" s="182">
        <v>0.17</v>
      </c>
      <c r="AZ94" s="182">
        <v>0.17599999999999999</v>
      </c>
      <c r="BA94" s="182">
        <v>0.184</v>
      </c>
      <c r="BB94" s="182">
        <v>0.191</v>
      </c>
      <c r="BC94" s="182">
        <v>0.19700000000000001</v>
      </c>
      <c r="BD94" s="182">
        <v>0.20399999999999999</v>
      </c>
      <c r="BE94" s="182">
        <v>0.21199999999999999</v>
      </c>
      <c r="BF94" s="182">
        <v>0.219</v>
      </c>
      <c r="BG94" s="182">
        <v>0.22500000000000001</v>
      </c>
      <c r="BH94" s="182">
        <v>0.23200000000000001</v>
      </c>
      <c r="BI94" s="182">
        <v>0.23</v>
      </c>
      <c r="BJ94" s="182">
        <v>0.22700000000000001</v>
      </c>
      <c r="BK94" s="182">
        <v>0.224</v>
      </c>
      <c r="BL94" s="182">
        <v>0.221</v>
      </c>
      <c r="BM94" s="182">
        <v>0.219</v>
      </c>
      <c r="BN94" s="182">
        <v>0.216</v>
      </c>
      <c r="BO94" s="182">
        <v>0.21299999999999999</v>
      </c>
      <c r="BP94" s="182">
        <v>0.21099999999999999</v>
      </c>
      <c r="BQ94" s="182">
        <v>0.20799999999999999</v>
      </c>
      <c r="BR94" s="182">
        <v>0.20499999999999999</v>
      </c>
      <c r="BS94" s="182">
        <v>0.20300000000000001</v>
      </c>
      <c r="BT94" s="182">
        <v>0.2</v>
      </c>
    </row>
    <row r="95" spans="1:72" ht="29.4" thickBot="1" x14ac:dyDescent="0.35">
      <c r="A95" s="14" t="s">
        <v>274</v>
      </c>
      <c r="B95" s="176" t="s">
        <v>378</v>
      </c>
      <c r="C95" s="184" t="s">
        <v>384</v>
      </c>
      <c r="D95" s="184" t="s">
        <v>386</v>
      </c>
      <c r="E95" s="189" t="s">
        <v>380</v>
      </c>
      <c r="F95" s="176" t="s">
        <v>7</v>
      </c>
      <c r="G95" s="176" t="s">
        <v>313</v>
      </c>
      <c r="H95" s="144" t="s">
        <v>75</v>
      </c>
      <c r="I95" s="198"/>
      <c r="J95" s="203"/>
      <c r="K95" s="208"/>
      <c r="L95" s="212">
        <v>0.99</v>
      </c>
      <c r="M95" s="212">
        <v>0.99</v>
      </c>
      <c r="N95" s="212">
        <v>0.99</v>
      </c>
      <c r="O95" s="212">
        <v>0.99</v>
      </c>
      <c r="P95" s="212">
        <v>0.99</v>
      </c>
      <c r="Q95" s="212">
        <v>0.99</v>
      </c>
      <c r="R95" s="212">
        <v>0.99</v>
      </c>
      <c r="S95" s="212">
        <v>0.99</v>
      </c>
      <c r="T95" s="212">
        <v>0.99</v>
      </c>
      <c r="U95" s="212">
        <v>0.99</v>
      </c>
      <c r="V95" s="212">
        <v>0.99</v>
      </c>
      <c r="W95" s="212">
        <v>0.99</v>
      </c>
      <c r="X95" s="182">
        <v>0.95</v>
      </c>
      <c r="Y95" s="182">
        <v>0.94199999999999995</v>
      </c>
      <c r="Z95" s="182">
        <v>0.94199999999999995</v>
      </c>
      <c r="AA95" s="182">
        <v>0.94099999999999995</v>
      </c>
      <c r="AB95" s="182">
        <v>0.93799999999999994</v>
      </c>
      <c r="AC95" s="182">
        <v>0.93400000000000005</v>
      </c>
      <c r="AD95" s="182">
        <v>0.93100000000000005</v>
      </c>
      <c r="AE95" s="182">
        <v>0.92700000000000005</v>
      </c>
      <c r="AF95" s="182">
        <v>0.92300000000000004</v>
      </c>
      <c r="AG95" s="182">
        <v>0.92</v>
      </c>
      <c r="AH95" s="182">
        <v>0.91700000000000004</v>
      </c>
      <c r="AI95" s="182">
        <v>0.91400000000000003</v>
      </c>
      <c r="AJ95" s="182">
        <v>0.91</v>
      </c>
      <c r="AK95" s="182">
        <v>0.90600000000000003</v>
      </c>
      <c r="AL95" s="182">
        <v>0.90300000000000002</v>
      </c>
      <c r="AM95" s="182">
        <v>0.89900000000000002</v>
      </c>
      <c r="AN95" s="182">
        <v>0.89600000000000002</v>
      </c>
      <c r="AO95" s="182">
        <v>0.89300000000000002</v>
      </c>
      <c r="AP95" s="182">
        <v>0.88900000000000001</v>
      </c>
      <c r="AQ95" s="182">
        <v>0.88600000000000001</v>
      </c>
      <c r="AR95" s="182">
        <v>0.878</v>
      </c>
      <c r="AS95" s="182">
        <v>0.872</v>
      </c>
      <c r="AT95" s="182">
        <v>0.86499999999999999</v>
      </c>
      <c r="AU95" s="182">
        <v>0.85799999999999998</v>
      </c>
      <c r="AV95" s="182">
        <v>0.85099999999999998</v>
      </c>
      <c r="AW95" s="182">
        <v>0.84399999999999997</v>
      </c>
      <c r="AX95" s="182">
        <v>0.83699999999999997</v>
      </c>
      <c r="AY95" s="182">
        <v>0.83</v>
      </c>
      <c r="AZ95" s="182">
        <v>0.82399999999999995</v>
      </c>
      <c r="BA95" s="182">
        <v>0.81599999999999995</v>
      </c>
      <c r="BB95" s="182">
        <v>0.80900000000000005</v>
      </c>
      <c r="BC95" s="182">
        <v>0.80300000000000005</v>
      </c>
      <c r="BD95" s="182">
        <v>0.79600000000000004</v>
      </c>
      <c r="BE95" s="182">
        <v>0.78800000000000003</v>
      </c>
      <c r="BF95" s="182">
        <v>0.78100000000000003</v>
      </c>
      <c r="BG95" s="182">
        <v>0.77500000000000002</v>
      </c>
      <c r="BH95" s="182">
        <v>0.76800000000000002</v>
      </c>
      <c r="BI95" s="182">
        <v>0.77</v>
      </c>
      <c r="BJ95" s="182">
        <v>0.77300000000000002</v>
      </c>
      <c r="BK95" s="182">
        <v>0.77600000000000002</v>
      </c>
      <c r="BL95" s="182">
        <v>0.77900000000000003</v>
      </c>
      <c r="BM95" s="182">
        <v>0.78100000000000003</v>
      </c>
      <c r="BN95" s="182">
        <v>0.78400000000000003</v>
      </c>
      <c r="BO95" s="182">
        <v>0.78700000000000003</v>
      </c>
      <c r="BP95" s="182">
        <v>0.78900000000000003</v>
      </c>
      <c r="BQ95" s="182">
        <v>0.79200000000000004</v>
      </c>
      <c r="BR95" s="182">
        <v>0.79500000000000004</v>
      </c>
      <c r="BS95" s="182">
        <v>0.79700000000000004</v>
      </c>
      <c r="BT95" s="182">
        <v>0.8</v>
      </c>
    </row>
    <row r="96" spans="1:72" ht="29.4" thickBot="1" x14ac:dyDescent="0.35">
      <c r="A96" s="174" t="s">
        <v>290</v>
      </c>
      <c r="B96" s="176" t="s">
        <v>378</v>
      </c>
      <c r="C96" s="176" t="s">
        <v>379</v>
      </c>
      <c r="D96" s="176" t="s">
        <v>374</v>
      </c>
      <c r="E96" s="189" t="s">
        <v>380</v>
      </c>
      <c r="F96" s="176" t="s">
        <v>7</v>
      </c>
      <c r="G96" s="176" t="s">
        <v>313</v>
      </c>
      <c r="H96" s="144" t="s">
        <v>75</v>
      </c>
      <c r="I96" s="198"/>
      <c r="J96" s="203"/>
      <c r="K96" s="208"/>
      <c r="L96" s="212">
        <v>1.128575672</v>
      </c>
      <c r="M96" s="212">
        <v>1.128575672</v>
      </c>
      <c r="N96" s="212">
        <v>1.128575672</v>
      </c>
      <c r="O96" s="212">
        <v>1.128575672</v>
      </c>
      <c r="P96" s="212">
        <v>1.128575672</v>
      </c>
      <c r="Q96" s="212">
        <v>1.128575672</v>
      </c>
      <c r="R96" s="212">
        <v>1.128575672</v>
      </c>
      <c r="S96" s="212">
        <v>1.128575672</v>
      </c>
      <c r="T96" s="212">
        <v>1.128575672</v>
      </c>
      <c r="U96" s="212">
        <v>1.1363423580000001</v>
      </c>
      <c r="V96" s="212">
        <v>1.1466088889999999</v>
      </c>
      <c r="W96" s="212">
        <v>1.1393414610000001</v>
      </c>
      <c r="X96" s="182">
        <v>1.1094999999999999</v>
      </c>
      <c r="Y96" s="182">
        <v>1.1052999999999999</v>
      </c>
      <c r="Z96" s="182">
        <v>1.1029</v>
      </c>
      <c r="AA96" s="182">
        <v>1.101</v>
      </c>
      <c r="AB96" s="182">
        <v>1.0992999999999999</v>
      </c>
      <c r="AC96" s="182">
        <v>1.0979000000000001</v>
      </c>
      <c r="AD96" s="182">
        <v>1.0979000000000001</v>
      </c>
      <c r="AE96" s="182">
        <v>1.0979000000000001</v>
      </c>
      <c r="AF96" s="182">
        <v>1.0979000000000001</v>
      </c>
      <c r="AG96" s="182">
        <v>1.0979000000000001</v>
      </c>
      <c r="AH96" s="182">
        <v>1.0979000000000001</v>
      </c>
      <c r="AI96" s="182">
        <v>1.0979000000000001</v>
      </c>
      <c r="AJ96" s="182">
        <v>1.0979000000000001</v>
      </c>
      <c r="AK96" s="182">
        <v>1.0979000000000001</v>
      </c>
      <c r="AL96" s="182">
        <v>1.0979000000000001</v>
      </c>
      <c r="AM96" s="182">
        <v>1.0979000000000001</v>
      </c>
      <c r="AN96" s="182">
        <v>1.0979000000000001</v>
      </c>
      <c r="AO96" s="182">
        <v>1.0979000000000001</v>
      </c>
      <c r="AP96" s="182">
        <v>1.0979000000000001</v>
      </c>
      <c r="AQ96" s="182">
        <v>1.0979000000000001</v>
      </c>
      <c r="AR96" s="182">
        <v>1.0979000000000001</v>
      </c>
      <c r="AS96" s="182">
        <v>1.0979000000000001</v>
      </c>
      <c r="AT96" s="182">
        <v>1.0979000000000001</v>
      </c>
      <c r="AU96" s="182">
        <v>1.0979000000000001</v>
      </c>
      <c r="AV96" s="182">
        <v>1.0979000000000001</v>
      </c>
      <c r="AW96" s="182">
        <v>1.0979000000000001</v>
      </c>
      <c r="AX96" s="182">
        <v>1.0979000000000001</v>
      </c>
      <c r="AY96" s="182">
        <v>1.0979000000000001</v>
      </c>
      <c r="AZ96" s="182">
        <v>1.0979000000000001</v>
      </c>
      <c r="BA96" s="182">
        <v>1.0979000000000001</v>
      </c>
      <c r="BB96" s="182">
        <v>1.0979000000000001</v>
      </c>
      <c r="BC96" s="182">
        <v>1.0979000000000001</v>
      </c>
      <c r="BD96" s="182">
        <v>1.0979000000000001</v>
      </c>
      <c r="BE96" s="182">
        <v>1.0979000000000001</v>
      </c>
      <c r="BF96" s="182">
        <v>1.0979000000000001</v>
      </c>
      <c r="BG96" s="182">
        <v>1.0979000000000001</v>
      </c>
      <c r="BH96" s="182">
        <v>1.0979000000000001</v>
      </c>
      <c r="BI96" s="182">
        <v>1.0979000000000001</v>
      </c>
      <c r="BJ96" s="182">
        <v>1.0979000000000001</v>
      </c>
      <c r="BK96" s="182">
        <v>1.0979000000000001</v>
      </c>
      <c r="BL96" s="182">
        <v>1.0979000000000001</v>
      </c>
      <c r="BM96" s="182">
        <v>1.0979000000000001</v>
      </c>
      <c r="BN96" s="182">
        <v>1.0979000000000001</v>
      </c>
      <c r="BO96" s="182">
        <v>1.0979000000000001</v>
      </c>
      <c r="BP96" s="182">
        <v>1.0979000000000001</v>
      </c>
      <c r="BQ96" s="182">
        <v>1.0979000000000001</v>
      </c>
      <c r="BR96" s="182">
        <v>1.0979000000000001</v>
      </c>
      <c r="BS96" s="182">
        <v>1.0979000000000001</v>
      </c>
      <c r="BT96" s="182">
        <v>1.0979000000000001</v>
      </c>
    </row>
    <row r="97" spans="1:72" ht="29.4" thickBot="1" x14ac:dyDescent="0.35">
      <c r="A97" s="166" t="s">
        <v>428</v>
      </c>
      <c r="B97" s="176" t="s">
        <v>378</v>
      </c>
      <c r="C97" s="176" t="s">
        <v>379</v>
      </c>
      <c r="D97" s="176" t="s">
        <v>374</v>
      </c>
      <c r="E97" s="189" t="s">
        <v>380</v>
      </c>
      <c r="F97" s="176" t="s">
        <v>7</v>
      </c>
      <c r="G97" s="176" t="s">
        <v>313</v>
      </c>
      <c r="H97" s="144" t="s">
        <v>75</v>
      </c>
      <c r="I97" s="198"/>
      <c r="J97" s="203"/>
      <c r="K97" s="208"/>
      <c r="L97" s="212">
        <v>1.128575672</v>
      </c>
      <c r="M97" s="212">
        <v>1.128575672</v>
      </c>
      <c r="N97" s="212">
        <v>1.128575672</v>
      </c>
      <c r="O97" s="212">
        <v>1.128575672</v>
      </c>
      <c r="P97" s="212">
        <v>1.128575672</v>
      </c>
      <c r="Q97" s="212">
        <v>1.128575672</v>
      </c>
      <c r="R97" s="212">
        <v>1.128575672</v>
      </c>
      <c r="S97" s="212">
        <v>1.128575672</v>
      </c>
      <c r="T97" s="212">
        <v>1.128575672</v>
      </c>
      <c r="U97" s="212">
        <v>1.1363423580000001</v>
      </c>
      <c r="V97" s="212">
        <v>1.1466088889999999</v>
      </c>
      <c r="W97" s="212">
        <v>1.1393414610000001</v>
      </c>
      <c r="X97" s="182">
        <v>1.1027</v>
      </c>
      <c r="Y97" s="182">
        <v>1.1000000000000001</v>
      </c>
      <c r="Z97" s="182">
        <v>1.0978000000000001</v>
      </c>
      <c r="AA97" s="182">
        <v>1.0964</v>
      </c>
      <c r="AB97" s="182">
        <v>1.0952999999999999</v>
      </c>
      <c r="AC97" s="182">
        <v>1.0943000000000001</v>
      </c>
      <c r="AD97" s="182">
        <v>1.0932999999999999</v>
      </c>
      <c r="AE97" s="182">
        <v>1.0922000000000001</v>
      </c>
      <c r="AF97" s="182">
        <v>1.0911999999999999</v>
      </c>
      <c r="AG97" s="182">
        <v>1.0907</v>
      </c>
      <c r="AH97" s="182">
        <v>1.0902000000000001</v>
      </c>
      <c r="AI97" s="182">
        <v>1.0896999999999999</v>
      </c>
      <c r="AJ97" s="182">
        <v>1.0891999999999999</v>
      </c>
      <c r="AK97" s="182">
        <v>1.0888</v>
      </c>
      <c r="AL97" s="182">
        <v>1.0886</v>
      </c>
      <c r="AM97" s="182">
        <v>1.0884</v>
      </c>
      <c r="AN97" s="182">
        <v>1.0882000000000001</v>
      </c>
      <c r="AO97" s="182">
        <v>1.0880000000000001</v>
      </c>
      <c r="AP97" s="182">
        <v>1.0878000000000001</v>
      </c>
      <c r="AQ97" s="182">
        <v>1.0876999999999999</v>
      </c>
      <c r="AR97" s="182">
        <v>1.0875999999999999</v>
      </c>
      <c r="AS97" s="182">
        <v>1.0874999999999999</v>
      </c>
      <c r="AT97" s="182">
        <v>1.0873999999999999</v>
      </c>
      <c r="AU97" s="182">
        <v>1.0872999999999999</v>
      </c>
      <c r="AV97" s="182">
        <v>1.0872999999999999</v>
      </c>
      <c r="AW97" s="182">
        <v>1.0872999999999999</v>
      </c>
      <c r="AX97" s="182">
        <v>1.0872999999999999</v>
      </c>
      <c r="AY97" s="182">
        <v>1.0871999999999999</v>
      </c>
      <c r="AZ97" s="182">
        <v>1.0871999999999999</v>
      </c>
      <c r="BA97" s="182">
        <v>1.0871999999999999</v>
      </c>
      <c r="BB97" s="182">
        <v>1.0871999999999999</v>
      </c>
      <c r="BC97" s="182">
        <v>1.0871999999999999</v>
      </c>
      <c r="BD97" s="182">
        <v>1.0871999999999999</v>
      </c>
      <c r="BE97" s="182">
        <v>1.0871999999999999</v>
      </c>
      <c r="BF97" s="182">
        <v>1.0871999999999999</v>
      </c>
      <c r="BG97" s="182">
        <v>1.0871999999999999</v>
      </c>
      <c r="BH97" s="182">
        <v>1.0871999999999999</v>
      </c>
      <c r="BI97" s="182">
        <v>1.0871999999999999</v>
      </c>
      <c r="BJ97" s="182">
        <v>1.0871999999999999</v>
      </c>
      <c r="BK97" s="182">
        <v>1.0871999999999999</v>
      </c>
      <c r="BL97" s="182">
        <v>1.0871999999999999</v>
      </c>
      <c r="BM97" s="182">
        <v>1.0871999999999999</v>
      </c>
      <c r="BN97" s="182">
        <v>1.0871999999999999</v>
      </c>
      <c r="BO97" s="182">
        <v>1.0871999999999999</v>
      </c>
      <c r="BP97" s="182">
        <v>1.0871999999999999</v>
      </c>
      <c r="BQ97" s="182">
        <v>1.0871999999999999</v>
      </c>
      <c r="BR97" s="182">
        <v>1.0871999999999999</v>
      </c>
      <c r="BS97" s="182">
        <v>1.0871999999999999</v>
      </c>
      <c r="BT97" s="182">
        <v>1.0871999999999999</v>
      </c>
    </row>
    <row r="98" spans="1:72" ht="29.4" thickBot="1" x14ac:dyDescent="0.35">
      <c r="A98" s="166" t="s">
        <v>428</v>
      </c>
      <c r="B98" s="176" t="s">
        <v>378</v>
      </c>
      <c r="C98" s="181" t="s">
        <v>381</v>
      </c>
      <c r="D98" s="181" t="s">
        <v>382</v>
      </c>
      <c r="E98" s="189" t="s">
        <v>380</v>
      </c>
      <c r="F98" s="176" t="s">
        <v>7</v>
      </c>
      <c r="G98" s="176" t="s">
        <v>313</v>
      </c>
      <c r="H98" s="144" t="s">
        <v>75</v>
      </c>
      <c r="I98" s="198"/>
      <c r="J98" s="203"/>
      <c r="K98" s="208"/>
      <c r="L98" s="212">
        <v>0.01</v>
      </c>
      <c r="M98" s="212">
        <v>0.01</v>
      </c>
      <c r="N98" s="212">
        <v>0.01</v>
      </c>
      <c r="O98" s="212">
        <v>0.01</v>
      </c>
      <c r="P98" s="212">
        <v>0.01</v>
      </c>
      <c r="Q98" s="212">
        <v>0.01</v>
      </c>
      <c r="R98" s="212">
        <v>0.01</v>
      </c>
      <c r="S98" s="212">
        <v>0.01</v>
      </c>
      <c r="T98" s="212">
        <v>0.01</v>
      </c>
      <c r="U98" s="212">
        <v>0.01</v>
      </c>
      <c r="V98" s="212">
        <v>0.01</v>
      </c>
      <c r="W98" s="212">
        <v>0.01</v>
      </c>
      <c r="X98" s="212">
        <v>0.01</v>
      </c>
      <c r="Y98" s="212">
        <v>0.01</v>
      </c>
      <c r="Z98" s="212">
        <v>0.01</v>
      </c>
      <c r="AA98" s="212">
        <v>0.01</v>
      </c>
      <c r="AB98" s="212">
        <v>0.01</v>
      </c>
      <c r="AC98" s="212">
        <v>0.01</v>
      </c>
      <c r="AD98" s="212">
        <v>0.01</v>
      </c>
      <c r="AE98" s="212">
        <v>0.01</v>
      </c>
      <c r="AF98" s="212">
        <v>0.01</v>
      </c>
      <c r="AG98" s="182">
        <v>1.0999999999999999E-2</v>
      </c>
      <c r="AH98" s="182">
        <v>1.2E-2</v>
      </c>
      <c r="AI98" s="182">
        <v>1.3000000000000001E-2</v>
      </c>
      <c r="AJ98" s="182">
        <v>1.4000000000000002E-2</v>
      </c>
      <c r="AK98" s="182">
        <v>1.5000000000000003E-2</v>
      </c>
      <c r="AL98" s="182">
        <v>1.6000000000000004E-2</v>
      </c>
      <c r="AM98" s="182">
        <v>1.7000000000000005E-2</v>
      </c>
      <c r="AN98" s="182">
        <v>1.8000000000000006E-2</v>
      </c>
      <c r="AO98" s="182">
        <v>1.9000000000000006E-2</v>
      </c>
      <c r="AP98" s="182">
        <v>2.0000000000000007E-2</v>
      </c>
      <c r="AQ98" s="182">
        <v>2.1000000000000008E-2</v>
      </c>
      <c r="AR98" s="182">
        <v>2.2000000000000009E-2</v>
      </c>
      <c r="AS98" s="182">
        <v>2.300000000000001E-2</v>
      </c>
      <c r="AT98" s="182">
        <v>2.4000000000000011E-2</v>
      </c>
      <c r="AU98" s="182">
        <v>2.5000000000000001E-2</v>
      </c>
      <c r="AV98" s="182">
        <v>2.5000000000000001E-2</v>
      </c>
      <c r="AW98" s="182">
        <v>2.5000000000000001E-2</v>
      </c>
      <c r="AX98" s="182">
        <v>2.5000000000000001E-2</v>
      </c>
      <c r="AY98" s="182">
        <v>2.5000000000000001E-2</v>
      </c>
      <c r="AZ98" s="182">
        <v>2.5000000000000001E-2</v>
      </c>
      <c r="BA98" s="182">
        <v>2.5000000000000001E-2</v>
      </c>
      <c r="BB98" s="182">
        <v>2.5000000000000001E-2</v>
      </c>
      <c r="BC98" s="182">
        <v>2.5000000000000001E-2</v>
      </c>
      <c r="BD98" s="182">
        <v>2.5000000000000001E-2</v>
      </c>
      <c r="BE98" s="182">
        <v>2.5000000000000001E-2</v>
      </c>
      <c r="BF98" s="182">
        <v>2.5000000000000001E-2</v>
      </c>
      <c r="BG98" s="182">
        <v>2.5000000000000001E-2</v>
      </c>
      <c r="BH98" s="182">
        <v>2.5000000000000001E-2</v>
      </c>
      <c r="BI98" s="182">
        <v>2.5000000000000001E-2</v>
      </c>
      <c r="BJ98" s="182">
        <v>2.5000000000000001E-2</v>
      </c>
      <c r="BK98" s="182">
        <v>2.5000000000000001E-2</v>
      </c>
      <c r="BL98" s="182">
        <v>2.5000000000000001E-2</v>
      </c>
      <c r="BM98" s="182">
        <v>2.5000000000000001E-2</v>
      </c>
      <c r="BN98" s="182">
        <v>2.5000000000000001E-2</v>
      </c>
      <c r="BO98" s="182">
        <v>2.5000000000000001E-2</v>
      </c>
      <c r="BP98" s="182">
        <v>2.5000000000000001E-2</v>
      </c>
      <c r="BQ98" s="182">
        <v>2.5000000000000001E-2</v>
      </c>
      <c r="BR98" s="182">
        <v>2.5000000000000001E-2</v>
      </c>
      <c r="BS98" s="182">
        <v>2.5000000000000001E-2</v>
      </c>
      <c r="BT98" s="182">
        <v>2.5000000000000001E-2</v>
      </c>
    </row>
    <row r="99" spans="1:72" ht="29.4" thickBot="1" x14ac:dyDescent="0.35">
      <c r="A99" s="166" t="s">
        <v>428</v>
      </c>
      <c r="B99" s="176" t="s">
        <v>378</v>
      </c>
      <c r="C99" s="181" t="s">
        <v>381</v>
      </c>
      <c r="D99" s="181" t="s">
        <v>383</v>
      </c>
      <c r="E99" s="189" t="s">
        <v>380</v>
      </c>
      <c r="F99" s="176" t="s">
        <v>7</v>
      </c>
      <c r="G99" s="176" t="s">
        <v>313</v>
      </c>
      <c r="H99" s="144" t="s">
        <v>75</v>
      </c>
      <c r="I99" s="198"/>
      <c r="J99" s="203"/>
      <c r="K99" s="208"/>
      <c r="L99" s="212">
        <v>0.99</v>
      </c>
      <c r="M99" s="212">
        <v>0.99</v>
      </c>
      <c r="N99" s="212">
        <v>0.99</v>
      </c>
      <c r="O99" s="212">
        <v>0.99</v>
      </c>
      <c r="P99" s="212">
        <v>0.99</v>
      </c>
      <c r="Q99" s="212">
        <v>0.99</v>
      </c>
      <c r="R99" s="212">
        <v>0.99</v>
      </c>
      <c r="S99" s="212">
        <v>0.99</v>
      </c>
      <c r="T99" s="212">
        <v>0.99</v>
      </c>
      <c r="U99" s="212">
        <v>0.99</v>
      </c>
      <c r="V99" s="212">
        <v>0.99</v>
      </c>
      <c r="W99" s="212">
        <v>0.99</v>
      </c>
      <c r="X99" s="212">
        <v>0.99</v>
      </c>
      <c r="Y99" s="212">
        <v>0.99</v>
      </c>
      <c r="Z99" s="212">
        <v>0.99</v>
      </c>
      <c r="AA99" s="212">
        <v>0.99</v>
      </c>
      <c r="AB99" s="212">
        <v>0.99</v>
      </c>
      <c r="AC99" s="212">
        <v>0.99</v>
      </c>
      <c r="AD99" s="212">
        <v>0.99</v>
      </c>
      <c r="AE99" s="212">
        <v>0.99</v>
      </c>
      <c r="AF99" s="212">
        <v>0.99</v>
      </c>
      <c r="AG99" s="182">
        <v>0.98899999999999999</v>
      </c>
      <c r="AH99" s="182">
        <v>0.98799999999999999</v>
      </c>
      <c r="AI99" s="182">
        <v>0.98699999999999999</v>
      </c>
      <c r="AJ99" s="182">
        <v>0.98599999999999999</v>
      </c>
      <c r="AK99" s="182">
        <v>0.98499999999999999</v>
      </c>
      <c r="AL99" s="182">
        <v>0.98399999999999999</v>
      </c>
      <c r="AM99" s="182">
        <v>0.98299999999999998</v>
      </c>
      <c r="AN99" s="182">
        <v>0.98199999999999998</v>
      </c>
      <c r="AO99" s="182">
        <v>0.98099999999999998</v>
      </c>
      <c r="AP99" s="182">
        <v>0.98</v>
      </c>
      <c r="AQ99" s="182">
        <v>0.97899999999999998</v>
      </c>
      <c r="AR99" s="182">
        <v>0.97799999999999998</v>
      </c>
      <c r="AS99" s="182">
        <v>0.97699999999999998</v>
      </c>
      <c r="AT99" s="182">
        <v>0.97599999999999998</v>
      </c>
      <c r="AU99" s="182">
        <v>0.97499999999999998</v>
      </c>
      <c r="AV99" s="182">
        <v>0.97499999999999998</v>
      </c>
      <c r="AW99" s="182">
        <v>0.97499999999999998</v>
      </c>
      <c r="AX99" s="182">
        <v>0.97499999999999998</v>
      </c>
      <c r="AY99" s="182">
        <v>0.97499999999999998</v>
      </c>
      <c r="AZ99" s="182">
        <v>0.97499999999999998</v>
      </c>
      <c r="BA99" s="182">
        <v>0.97499999999999998</v>
      </c>
      <c r="BB99" s="182">
        <v>0.97499999999999998</v>
      </c>
      <c r="BC99" s="182">
        <v>0.97499999999999998</v>
      </c>
      <c r="BD99" s="182">
        <v>0.97499999999999998</v>
      </c>
      <c r="BE99" s="182">
        <v>0.97499999999999998</v>
      </c>
      <c r="BF99" s="182">
        <v>0.97499999999999998</v>
      </c>
      <c r="BG99" s="182">
        <v>0.97499999999999998</v>
      </c>
      <c r="BH99" s="182">
        <v>0.97499999999999998</v>
      </c>
      <c r="BI99" s="182">
        <v>0.97499999999999998</v>
      </c>
      <c r="BJ99" s="182">
        <v>0.97499999999999998</v>
      </c>
      <c r="BK99" s="182">
        <v>0.97499999999999998</v>
      </c>
      <c r="BL99" s="182">
        <v>0.97499999999999998</v>
      </c>
      <c r="BM99" s="182">
        <v>0.97499999999999998</v>
      </c>
      <c r="BN99" s="182">
        <v>0.97499999999999998</v>
      </c>
      <c r="BO99" s="182">
        <v>0.97499999999999998</v>
      </c>
      <c r="BP99" s="182">
        <v>0.97499999999999998</v>
      </c>
      <c r="BQ99" s="182">
        <v>0.97499999999999998</v>
      </c>
      <c r="BR99" s="182">
        <v>0.97499999999999998</v>
      </c>
      <c r="BS99" s="182">
        <v>0.97499999999999998</v>
      </c>
      <c r="BT99" s="182">
        <v>0.97499999999999998</v>
      </c>
    </row>
    <row r="100" spans="1:72" ht="29.4" thickBot="1" x14ac:dyDescent="0.35">
      <c r="A100" s="166" t="s">
        <v>428</v>
      </c>
      <c r="B100" s="176" t="s">
        <v>378</v>
      </c>
      <c r="C100" s="184" t="s">
        <v>384</v>
      </c>
      <c r="D100" s="184" t="s">
        <v>385</v>
      </c>
      <c r="E100" s="189" t="s">
        <v>380</v>
      </c>
      <c r="F100" s="176" t="s">
        <v>7</v>
      </c>
      <c r="G100" s="176" t="s">
        <v>313</v>
      </c>
      <c r="H100" s="144" t="s">
        <v>75</v>
      </c>
      <c r="I100" s="198"/>
      <c r="J100" s="203"/>
      <c r="K100" s="208"/>
      <c r="L100" s="212">
        <v>0.01</v>
      </c>
      <c r="M100" s="212">
        <v>0.01</v>
      </c>
      <c r="N100" s="212">
        <v>0.01</v>
      </c>
      <c r="O100" s="212">
        <v>0.01</v>
      </c>
      <c r="P100" s="212">
        <v>0.01</v>
      </c>
      <c r="Q100" s="212">
        <v>0.01</v>
      </c>
      <c r="R100" s="212">
        <v>0.01</v>
      </c>
      <c r="S100" s="212">
        <v>0.01</v>
      </c>
      <c r="T100" s="212">
        <v>0.01</v>
      </c>
      <c r="U100" s="212">
        <v>0.01</v>
      </c>
      <c r="V100" s="212">
        <v>0.01</v>
      </c>
      <c r="W100" s="212">
        <v>0.01</v>
      </c>
      <c r="X100" s="212">
        <v>0.01</v>
      </c>
      <c r="Y100" s="212">
        <v>0.01</v>
      </c>
      <c r="Z100" s="212">
        <v>0.01</v>
      </c>
      <c r="AA100" s="212">
        <v>0.01</v>
      </c>
      <c r="AB100" s="212">
        <v>0.01</v>
      </c>
      <c r="AC100" s="212">
        <v>0.01</v>
      </c>
      <c r="AD100" s="212">
        <v>0.01</v>
      </c>
      <c r="AE100" s="212">
        <v>0.01</v>
      </c>
      <c r="AF100" s="212">
        <v>0.01</v>
      </c>
      <c r="AG100" s="182">
        <v>0.01</v>
      </c>
      <c r="AH100" s="182">
        <v>0.01</v>
      </c>
      <c r="AI100" s="182">
        <v>0.01</v>
      </c>
      <c r="AJ100" s="182">
        <v>0.01</v>
      </c>
      <c r="AK100" s="182">
        <v>0.01</v>
      </c>
      <c r="AL100" s="182">
        <v>0.01</v>
      </c>
      <c r="AM100" s="182">
        <v>0.01</v>
      </c>
      <c r="AN100" s="182">
        <v>0.01</v>
      </c>
      <c r="AO100" s="182">
        <v>0.01</v>
      </c>
      <c r="AP100" s="182">
        <v>0.01</v>
      </c>
      <c r="AQ100" s="182">
        <v>0.01</v>
      </c>
      <c r="AR100" s="182">
        <v>0.01</v>
      </c>
      <c r="AS100" s="182">
        <v>0.01</v>
      </c>
      <c r="AT100" s="182">
        <v>0.01</v>
      </c>
      <c r="AU100" s="182">
        <v>0.01</v>
      </c>
      <c r="AV100" s="182">
        <v>0.01</v>
      </c>
      <c r="AW100" s="182">
        <v>0.01</v>
      </c>
      <c r="AX100" s="182">
        <v>0.01</v>
      </c>
      <c r="AY100" s="182">
        <v>0.01</v>
      </c>
      <c r="AZ100" s="182">
        <v>0.01</v>
      </c>
      <c r="BA100" s="182">
        <v>0.01</v>
      </c>
      <c r="BB100" s="182">
        <v>0.01</v>
      </c>
      <c r="BC100" s="182">
        <v>0.01</v>
      </c>
      <c r="BD100" s="182">
        <v>0.01</v>
      </c>
      <c r="BE100" s="182">
        <v>0.01</v>
      </c>
      <c r="BF100" s="182">
        <v>0.01</v>
      </c>
      <c r="BG100" s="182">
        <v>0.01</v>
      </c>
      <c r="BH100" s="182">
        <v>0.01</v>
      </c>
      <c r="BI100" s="182">
        <v>0.01</v>
      </c>
      <c r="BJ100" s="182">
        <v>0.01</v>
      </c>
      <c r="BK100" s="182">
        <v>0.01</v>
      </c>
      <c r="BL100" s="182">
        <v>0.01</v>
      </c>
      <c r="BM100" s="182">
        <v>0.01</v>
      </c>
      <c r="BN100" s="182">
        <v>0.01</v>
      </c>
      <c r="BO100" s="182">
        <v>0.01</v>
      </c>
      <c r="BP100" s="182">
        <v>0.01</v>
      </c>
      <c r="BQ100" s="182">
        <v>0.01</v>
      </c>
      <c r="BR100" s="182">
        <v>0.01</v>
      </c>
      <c r="BS100" s="182">
        <v>0.01</v>
      </c>
      <c r="BT100" s="182">
        <v>0.01</v>
      </c>
    </row>
    <row r="101" spans="1:72" ht="28.8" x14ac:dyDescent="0.3">
      <c r="A101" s="166" t="s">
        <v>428</v>
      </c>
      <c r="B101" s="178" t="s">
        <v>378</v>
      </c>
      <c r="C101" s="183" t="s">
        <v>384</v>
      </c>
      <c r="D101" s="183" t="s">
        <v>386</v>
      </c>
      <c r="E101" s="191" t="s">
        <v>380</v>
      </c>
      <c r="F101" s="178" t="s">
        <v>7</v>
      </c>
      <c r="G101" s="178" t="s">
        <v>313</v>
      </c>
      <c r="H101" s="194" t="s">
        <v>75</v>
      </c>
      <c r="I101" s="200"/>
      <c r="J101" s="204"/>
      <c r="K101" s="210"/>
      <c r="L101" s="213">
        <v>0.99</v>
      </c>
      <c r="M101" s="213">
        <v>0.99</v>
      </c>
      <c r="N101" s="213">
        <v>0.99</v>
      </c>
      <c r="O101" s="213">
        <v>0.99</v>
      </c>
      <c r="P101" s="213">
        <v>0.99</v>
      </c>
      <c r="Q101" s="213">
        <v>0.99</v>
      </c>
      <c r="R101" s="213">
        <v>0.99</v>
      </c>
      <c r="S101" s="213">
        <v>0.99</v>
      </c>
      <c r="T101" s="213">
        <v>0.99</v>
      </c>
      <c r="U101" s="213">
        <v>0.99</v>
      </c>
      <c r="V101" s="213">
        <v>0.99</v>
      </c>
      <c r="W101" s="213">
        <v>0.99</v>
      </c>
      <c r="X101" s="213">
        <v>0.99</v>
      </c>
      <c r="Y101" s="213">
        <v>0.99</v>
      </c>
      <c r="Z101" s="213">
        <v>0.99</v>
      </c>
      <c r="AA101" s="213">
        <v>0.99</v>
      </c>
      <c r="AB101" s="213">
        <v>0.99</v>
      </c>
      <c r="AC101" s="213">
        <v>0.99</v>
      </c>
      <c r="AD101" s="213">
        <v>0.99</v>
      </c>
      <c r="AE101" s="213">
        <v>0.99</v>
      </c>
      <c r="AF101" s="213">
        <v>0.99</v>
      </c>
      <c r="AG101" s="218">
        <v>0.99</v>
      </c>
      <c r="AH101" s="218">
        <v>0.99</v>
      </c>
      <c r="AI101" s="218">
        <v>0.99</v>
      </c>
      <c r="AJ101" s="218">
        <v>0.99</v>
      </c>
      <c r="AK101" s="218">
        <v>0.99</v>
      </c>
      <c r="AL101" s="218">
        <v>0.99</v>
      </c>
      <c r="AM101" s="218">
        <v>0.99</v>
      </c>
      <c r="AN101" s="218">
        <v>0.99</v>
      </c>
      <c r="AO101" s="218">
        <v>0.99</v>
      </c>
      <c r="AP101" s="218">
        <v>0.99</v>
      </c>
      <c r="AQ101" s="218">
        <v>0.99</v>
      </c>
      <c r="AR101" s="218">
        <v>0.99</v>
      </c>
      <c r="AS101" s="218">
        <v>0.99</v>
      </c>
      <c r="AT101" s="218">
        <v>0.99</v>
      </c>
      <c r="AU101" s="218">
        <v>0.99</v>
      </c>
      <c r="AV101" s="218">
        <v>0.99</v>
      </c>
      <c r="AW101" s="218">
        <v>0.99</v>
      </c>
      <c r="AX101" s="218">
        <v>0.99</v>
      </c>
      <c r="AY101" s="218">
        <v>0.99</v>
      </c>
      <c r="AZ101" s="218">
        <v>0.99</v>
      </c>
      <c r="BA101" s="218">
        <v>0.99</v>
      </c>
      <c r="BB101" s="218">
        <v>0.99</v>
      </c>
      <c r="BC101" s="218">
        <v>0.99</v>
      </c>
      <c r="BD101" s="218">
        <v>0.99</v>
      </c>
      <c r="BE101" s="218">
        <v>0.99</v>
      </c>
      <c r="BF101" s="218">
        <v>0.99</v>
      </c>
      <c r="BG101" s="218">
        <v>0.99</v>
      </c>
      <c r="BH101" s="218">
        <v>0.99</v>
      </c>
      <c r="BI101" s="218">
        <v>0.99</v>
      </c>
      <c r="BJ101" s="218">
        <v>0.99</v>
      </c>
      <c r="BK101" s="218">
        <v>0.99</v>
      </c>
      <c r="BL101" s="218">
        <v>0.99</v>
      </c>
      <c r="BM101" s="218">
        <v>0.99</v>
      </c>
      <c r="BN101" s="218">
        <v>0.99</v>
      </c>
      <c r="BO101" s="218">
        <v>0.99</v>
      </c>
      <c r="BP101" s="218">
        <v>0.99</v>
      </c>
      <c r="BQ101" s="218">
        <v>0.99</v>
      </c>
      <c r="BR101" s="218">
        <v>0.99</v>
      </c>
      <c r="BS101" s="218">
        <v>0.99</v>
      </c>
      <c r="BT101" s="218">
        <v>0.99</v>
      </c>
    </row>
  </sheetData>
  <autoFilter ref="A1:BT101" xr:uid="{00000000-0001-0000-0900-000000000000}"/>
  <phoneticPr fontId="12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8"/>
  <sheetViews>
    <sheetView workbookViewId="0">
      <selection activeCell="K15" sqref="K15"/>
    </sheetView>
  </sheetViews>
  <sheetFormatPr baseColWidth="10" defaultColWidth="9.109375" defaultRowHeight="14.4" x14ac:dyDescent="0.3"/>
  <cols>
    <col min="1" max="1" width="10.44140625" bestFit="1" customWidth="1"/>
    <col min="2" max="2" width="16.88671875" bestFit="1" customWidth="1"/>
  </cols>
  <sheetData>
    <row r="1" spans="1:2" x14ac:dyDescent="0.3">
      <c r="A1" s="152" t="s">
        <v>406</v>
      </c>
      <c r="B1" s="152" t="s">
        <v>407</v>
      </c>
    </row>
    <row r="2" spans="1:2" x14ac:dyDescent="0.3">
      <c r="A2" s="153" t="s">
        <v>408</v>
      </c>
      <c r="B2" s="8" t="s">
        <v>409</v>
      </c>
    </row>
    <row r="3" spans="1:2" x14ac:dyDescent="0.3">
      <c r="A3" s="153" t="s">
        <v>410</v>
      </c>
      <c r="B3" s="8" t="s">
        <v>409</v>
      </c>
    </row>
    <row r="4" spans="1:2" x14ac:dyDescent="0.3">
      <c r="A4" s="154" t="s">
        <v>411</v>
      </c>
      <c r="B4" s="8" t="s">
        <v>412</v>
      </c>
    </row>
    <row r="5" spans="1:2" x14ac:dyDescent="0.3">
      <c r="A5" s="154" t="s">
        <v>411</v>
      </c>
      <c r="B5" s="8" t="s">
        <v>413</v>
      </c>
    </row>
    <row r="6" spans="1:2" x14ac:dyDescent="0.3">
      <c r="A6" s="154" t="s">
        <v>411</v>
      </c>
      <c r="B6" s="8" t="s">
        <v>414</v>
      </c>
    </row>
    <row r="7" spans="1:2" x14ac:dyDescent="0.3">
      <c r="A7" s="154" t="s">
        <v>415</v>
      </c>
      <c r="B7" s="8" t="s">
        <v>412</v>
      </c>
    </row>
    <row r="8" spans="1:2" x14ac:dyDescent="0.3">
      <c r="A8" s="154" t="s">
        <v>415</v>
      </c>
      <c r="B8" s="8" t="s">
        <v>416</v>
      </c>
    </row>
    <row r="9" spans="1:2" x14ac:dyDescent="0.3">
      <c r="A9" s="154" t="s">
        <v>415</v>
      </c>
      <c r="B9" s="8" t="s">
        <v>414</v>
      </c>
    </row>
    <row r="10" spans="1:2" x14ac:dyDescent="0.3">
      <c r="A10" s="154" t="s">
        <v>417</v>
      </c>
      <c r="B10" s="8" t="s">
        <v>414</v>
      </c>
    </row>
    <row r="11" spans="1:2" x14ac:dyDescent="0.3">
      <c r="A11" s="154" t="s">
        <v>418</v>
      </c>
      <c r="B11" s="8" t="s">
        <v>414</v>
      </c>
    </row>
    <row r="12" spans="1:2" x14ac:dyDescent="0.3">
      <c r="A12" s="154" t="s">
        <v>419</v>
      </c>
      <c r="B12" s="8" t="s">
        <v>412</v>
      </c>
    </row>
    <row r="13" spans="1:2" x14ac:dyDescent="0.3">
      <c r="A13" s="154" t="s">
        <v>419</v>
      </c>
      <c r="B13" s="8" t="s">
        <v>416</v>
      </c>
    </row>
    <row r="14" spans="1:2" x14ac:dyDescent="0.3">
      <c r="A14" s="154" t="s">
        <v>419</v>
      </c>
      <c r="B14" s="8" t="s">
        <v>414</v>
      </c>
    </row>
    <row r="15" spans="1:2" x14ac:dyDescent="0.3">
      <c r="A15" s="154" t="s">
        <v>420</v>
      </c>
      <c r="B15" s="8" t="s">
        <v>414</v>
      </c>
    </row>
    <row r="16" spans="1:2" x14ac:dyDescent="0.3">
      <c r="A16" s="154" t="s">
        <v>421</v>
      </c>
      <c r="B16" s="8" t="s">
        <v>414</v>
      </c>
    </row>
    <row r="17" spans="1:2" x14ac:dyDescent="0.3">
      <c r="A17" s="155" t="s">
        <v>422</v>
      </c>
      <c r="B17" s="8" t="s">
        <v>414</v>
      </c>
    </row>
    <row r="18" spans="1:2" x14ac:dyDescent="0.3">
      <c r="A18" s="155" t="s">
        <v>423</v>
      </c>
      <c r="B18" s="8" t="s">
        <v>414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AF23D19B54443A4816B7A855E1A3A" ma:contentTypeVersion="14" ma:contentTypeDescription="Create a new document." ma:contentTypeScope="" ma:versionID="bd0015ad11d148b4569a99f2f79c058a">
  <xsd:schema xmlns:xsd="http://www.w3.org/2001/XMLSchema" xmlns:xs="http://www.w3.org/2001/XMLSchema" xmlns:p="http://schemas.microsoft.com/office/2006/metadata/properties" xmlns:ns2="ed575f5b-fa7e-445b-bbbb-e92fdf4cc5d5" xmlns:ns3="20fbab50-0c90-4fcd-9aec-c69fdbaf44e3" targetNamespace="http://schemas.microsoft.com/office/2006/metadata/properties" ma:root="true" ma:fieldsID="7e23bac4c833190ca3c17d7672853c90" ns2:_="" ns3:_="">
    <xsd:import namespace="ed575f5b-fa7e-445b-bbbb-e92fdf4cc5d5"/>
    <xsd:import namespace="20fbab50-0c90-4fcd-9aec-c69fdbaf44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75f5b-fa7e-445b-bbbb-e92fdf4cc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fbab50-0c90-4fcd-9aec-c69fdbaf4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9daffd9-10a1-40ad-ad44-09f529b4f670}" ma:internalName="TaxCatchAll" ma:showField="CatchAllData" ma:web="20fbab50-0c90-4fcd-9aec-c69fdbaf44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D3FF63-960C-4C55-9F43-055C0CA96C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75f5b-fa7e-445b-bbbb-e92fdf4cc5d5"/>
    <ds:schemaRef ds:uri="20fbab50-0c90-4fcd-9aec-c69fdbaf44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2873BF-5027-4F42-975C-D9E339E78D3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Scenarios</vt:lpstr>
      <vt:lpstr>Overall_Parameters</vt:lpstr>
      <vt:lpstr>Distance_Levers</vt:lpstr>
      <vt:lpstr>Mode_Shift</vt:lpstr>
      <vt:lpstr>Occupancy_Rate</vt:lpstr>
      <vt:lpstr>Electrical</vt:lpstr>
      <vt:lpstr>Tech_Adoption</vt:lpstr>
      <vt:lpstr>Efficiency</vt:lpstr>
      <vt:lpstr>TElasticity</vt:lpstr>
      <vt:lpstr>SmartGrid</vt:lpstr>
      <vt:lpstr>Biofuels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HIDALGO CHAFUEL DANIEL ALEJANDRO</cp:lastModifiedBy>
  <cp:revision>1</cp:revision>
  <dcterms:created xsi:type="dcterms:W3CDTF">2015-06-05T18:17:20Z</dcterms:created>
  <dcterms:modified xsi:type="dcterms:W3CDTF">2025-09-22T02:33:11Z</dcterms:modified>
</cp:coreProperties>
</file>